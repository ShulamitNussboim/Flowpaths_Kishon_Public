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user\Documents\Shulamit\PhD\Chemistry\"/>
    </mc:Choice>
  </mc:AlternateContent>
  <xr:revisionPtr revIDLastSave="0" documentId="13_ncr:1_{4719C398-519E-45F8-A3E6-12D9E0582042}" xr6:coauthVersionLast="47" xr6:coauthVersionMax="47" xr10:uidLastSave="{00000000-0000-0000-0000-000000000000}"/>
  <bookViews>
    <workbookView xWindow="-108" yWindow="-108" windowWidth="23256" windowHeight="12576" xr2:uid="{00000000-000D-0000-FFFF-FFFF00000000}"/>
  </bookViews>
  <sheets>
    <sheet name="Working file- semi Matlab " sheetId="5" r:id="rId1"/>
    <sheet name="win22_3 (Matlab input)" sheetId="30" r:id="rId2"/>
    <sheet name="Lab raw data" sheetId="1" r:id="rId3"/>
    <sheet name="Raw data extraction" sheetId="2" r:id="rId4"/>
    <sheet name="low detection materials-ETES " sheetId="21" r:id="rId5"/>
    <sheet name="runoff components-ETES" sheetId="46" r:id="rId6"/>
    <sheet name="Channels vs field-ETES" sheetId="36" r:id="rId7"/>
    <sheet name="1st vs 2nd storm2-ETES" sheetId="41" r:id="rId8"/>
    <sheet name="dominance by flowpath-ETES" sheetId="23" r:id="rId9"/>
    <sheet name="loc_name-Matlab input" sheetId="19" r:id="rId10"/>
    <sheet name="loc names- Matlab inut" sheetId="6" r:id="rId11"/>
    <sheet name="win22_pestNames-Matlab input" sheetId="8" r:id="rId12"/>
  </sheets>
  <definedNames>
    <definedName name="_xlnm.Print_Area" localSheetId="3">'Raw data extraction'!$P$20</definedName>
  </definedNames>
  <calcPr calcId="191029"/>
</workbook>
</file>

<file path=xl/calcChain.xml><?xml version="1.0" encoding="utf-8"?>
<calcChain xmlns="http://schemas.openxmlformats.org/spreadsheetml/2006/main">
  <c r="A6899" i="1" l="1"/>
  <c r="E5064" i="1"/>
  <c r="P45" i="41"/>
  <c r="Z54" i="46"/>
  <c r="AQ54" i="46"/>
  <c r="C55" i="46"/>
  <c r="D55" i="46"/>
  <c r="E55" i="46"/>
  <c r="L55" i="46"/>
  <c r="M55" i="46"/>
  <c r="T55" i="46"/>
  <c r="U55" i="46"/>
  <c r="AB55" i="46"/>
  <c r="AC55" i="46"/>
  <c r="AJ55" i="46"/>
  <c r="AK55" i="46"/>
  <c r="AQ55" i="46"/>
  <c r="AR55" i="46"/>
  <c r="AS55" i="46"/>
  <c r="E57" i="46"/>
  <c r="F57" i="46"/>
  <c r="G57" i="46"/>
  <c r="M57" i="46"/>
  <c r="N57" i="46"/>
  <c r="U57" i="46"/>
  <c r="V57" i="46"/>
  <c r="AC57" i="46"/>
  <c r="AD57" i="46"/>
  <c r="AK57" i="46"/>
  <c r="AL57" i="46"/>
  <c r="AS57" i="46"/>
  <c r="AT57" i="46"/>
  <c r="G58" i="46"/>
  <c r="H58" i="46"/>
  <c r="P58" i="46"/>
  <c r="X58" i="46"/>
  <c r="AF58" i="46"/>
  <c r="AN58" i="46"/>
  <c r="AV58" i="46"/>
  <c r="J56" i="46"/>
  <c r="K56" i="46"/>
  <c r="R56" i="46"/>
  <c r="S56" i="46"/>
  <c r="AA56" i="46"/>
  <c r="AH56" i="46"/>
  <c r="AI56" i="46"/>
  <c r="AP56" i="46"/>
  <c r="D59" i="46"/>
  <c r="E59" i="46"/>
  <c r="K59" i="46"/>
  <c r="L59" i="46"/>
  <c r="M59" i="46"/>
  <c r="S59" i="46"/>
  <c r="T59" i="46"/>
  <c r="U59" i="46"/>
  <c r="AA59" i="46"/>
  <c r="AB59" i="46"/>
  <c r="AC59" i="46"/>
  <c r="AI59" i="46"/>
  <c r="AJ59" i="46"/>
  <c r="AK59" i="46"/>
  <c r="AR59" i="46"/>
  <c r="AS59" i="46"/>
  <c r="E60" i="46"/>
  <c r="F60" i="46"/>
  <c r="G60" i="46"/>
  <c r="M60" i="46"/>
  <c r="N60" i="46"/>
  <c r="U60" i="46"/>
  <c r="V60" i="46"/>
  <c r="AC60" i="46"/>
  <c r="AD60" i="46"/>
  <c r="AK60" i="46"/>
  <c r="AL60" i="46"/>
  <c r="AS60" i="46"/>
  <c r="AT60" i="46"/>
  <c r="G61" i="46"/>
  <c r="H61" i="46"/>
  <c r="P61" i="46"/>
  <c r="X61" i="46"/>
  <c r="AF61" i="46"/>
  <c r="AN61" i="46"/>
  <c r="AV61" i="46"/>
  <c r="C33" i="46"/>
  <c r="D33" i="46"/>
  <c r="D54" i="46" s="1"/>
  <c r="E33" i="46"/>
  <c r="E54" i="46" s="1"/>
  <c r="F33" i="46"/>
  <c r="F55" i="46" s="1"/>
  <c r="G33" i="46"/>
  <c r="G55" i="46" s="1"/>
  <c r="H33" i="46"/>
  <c r="H57" i="46" s="1"/>
  <c r="I33" i="46"/>
  <c r="I61" i="46" s="1"/>
  <c r="J33" i="46"/>
  <c r="K33" i="46"/>
  <c r="L33" i="46"/>
  <c r="L54" i="46" s="1"/>
  <c r="M33" i="46"/>
  <c r="M54" i="46" s="1"/>
  <c r="N33" i="46"/>
  <c r="N55" i="46" s="1"/>
  <c r="O33" i="46"/>
  <c r="P33" i="46"/>
  <c r="P57" i="46" s="1"/>
  <c r="Q33" i="46"/>
  <c r="Q56" i="46" s="1"/>
  <c r="R33" i="46"/>
  <c r="R54" i="46" s="1"/>
  <c r="S33" i="46"/>
  <c r="T33" i="46"/>
  <c r="T54" i="46" s="1"/>
  <c r="U33" i="46"/>
  <c r="U54" i="46" s="1"/>
  <c r="V33" i="46"/>
  <c r="V55" i="46" s="1"/>
  <c r="W33" i="46"/>
  <c r="X33" i="46"/>
  <c r="X57" i="46" s="1"/>
  <c r="Y33" i="46"/>
  <c r="Y61" i="46" s="1"/>
  <c r="Z33" i="46"/>
  <c r="Z56" i="46" s="1"/>
  <c r="AA33" i="46"/>
  <c r="AB33" i="46"/>
  <c r="AB54" i="46" s="1"/>
  <c r="AC33" i="46"/>
  <c r="AC54" i="46" s="1"/>
  <c r="AD33" i="46"/>
  <c r="AD55" i="46" s="1"/>
  <c r="AE33" i="46"/>
  <c r="AF33" i="46"/>
  <c r="AF57" i="46" s="1"/>
  <c r="AG33" i="46"/>
  <c r="AG58" i="46" s="1"/>
  <c r="AH33" i="46"/>
  <c r="AI33" i="46"/>
  <c r="AJ33" i="46"/>
  <c r="AJ54" i="46" s="1"/>
  <c r="AK33" i="46"/>
  <c r="AK54" i="46" s="1"/>
  <c r="AL33" i="46"/>
  <c r="AL55" i="46" s="1"/>
  <c r="AM33" i="46"/>
  <c r="AN33" i="46"/>
  <c r="AN57" i="46" s="1"/>
  <c r="AO33" i="46"/>
  <c r="AO56" i="46" s="1"/>
  <c r="AP33" i="46"/>
  <c r="AQ33" i="46"/>
  <c r="AR33" i="46"/>
  <c r="AR54" i="46" s="1"/>
  <c r="AS33" i="46"/>
  <c r="AS54" i="46" s="1"/>
  <c r="AT33" i="46"/>
  <c r="AT55" i="46" s="1"/>
  <c r="AU33" i="46"/>
  <c r="AV33" i="46"/>
  <c r="AV57" i="46" s="1"/>
  <c r="B33" i="46"/>
  <c r="B61" i="46" s="1"/>
  <c r="C51" i="46"/>
  <c r="H51" i="46"/>
  <c r="K51" i="46"/>
  <c r="L51" i="46"/>
  <c r="P51" i="46"/>
  <c r="S51" i="46"/>
  <c r="X51" i="46"/>
  <c r="AA51" i="46"/>
  <c r="AB51" i="46"/>
  <c r="AF51" i="46"/>
  <c r="AH51" i="46"/>
  <c r="AI51" i="46"/>
  <c r="AN51" i="46"/>
  <c r="AQ51" i="46"/>
  <c r="AR51" i="46"/>
  <c r="AV51" i="46"/>
  <c r="D52" i="46"/>
  <c r="L52" i="46"/>
  <c r="M52" i="46"/>
  <c r="N52" i="46"/>
  <c r="R52" i="46"/>
  <c r="T52" i="46"/>
  <c r="AB52" i="46"/>
  <c r="AC52" i="46"/>
  <c r="AD52" i="46"/>
  <c r="AH52" i="46"/>
  <c r="AJ52" i="46"/>
  <c r="AR52" i="46"/>
  <c r="AS52" i="46"/>
  <c r="AT52" i="46"/>
  <c r="D53" i="46"/>
  <c r="F53" i="46"/>
  <c r="G53" i="46"/>
  <c r="H53" i="46"/>
  <c r="L53" i="46"/>
  <c r="N53" i="46"/>
  <c r="O53" i="46"/>
  <c r="P53" i="46"/>
  <c r="T53" i="46"/>
  <c r="V53" i="46"/>
  <c r="W53" i="46"/>
  <c r="X53" i="46"/>
  <c r="AB53" i="46"/>
  <c r="AD53" i="46"/>
  <c r="AE53" i="46"/>
  <c r="AF53" i="46"/>
  <c r="AJ53" i="46"/>
  <c r="AL53" i="46"/>
  <c r="AM53" i="46"/>
  <c r="AN53" i="46"/>
  <c r="AR53" i="46"/>
  <c r="AT53" i="46"/>
  <c r="AU53" i="46"/>
  <c r="AV53" i="46"/>
  <c r="C32" i="46"/>
  <c r="C53" i="46" s="1"/>
  <c r="D32" i="46"/>
  <c r="D51" i="46" s="1"/>
  <c r="E32" i="46"/>
  <c r="F32" i="46"/>
  <c r="F51" i="46" s="1"/>
  <c r="G32" i="46"/>
  <c r="G52" i="46" s="1"/>
  <c r="H32" i="46"/>
  <c r="H52" i="46" s="1"/>
  <c r="I32" i="46"/>
  <c r="I53" i="46" s="1"/>
  <c r="J32" i="46"/>
  <c r="K32" i="46"/>
  <c r="K53" i="46" s="1"/>
  <c r="L32" i="46"/>
  <c r="M32" i="46"/>
  <c r="N32" i="46"/>
  <c r="N51" i="46" s="1"/>
  <c r="O32" i="46"/>
  <c r="O52" i="46" s="1"/>
  <c r="P32" i="46"/>
  <c r="P52" i="46" s="1"/>
  <c r="Q32" i="46"/>
  <c r="Q53" i="46" s="1"/>
  <c r="R32" i="46"/>
  <c r="R53" i="46" s="1"/>
  <c r="S32" i="46"/>
  <c r="S53" i="46" s="1"/>
  <c r="T32" i="46"/>
  <c r="T51" i="46" s="1"/>
  <c r="U32" i="46"/>
  <c r="V32" i="46"/>
  <c r="V51" i="46" s="1"/>
  <c r="W32" i="46"/>
  <c r="W52" i="46" s="1"/>
  <c r="X32" i="46"/>
  <c r="X52" i="46" s="1"/>
  <c r="Y32" i="46"/>
  <c r="Y53" i="46" s="1"/>
  <c r="Z32" i="46"/>
  <c r="AA32" i="46"/>
  <c r="AA53" i="46" s="1"/>
  <c r="AB32" i="46"/>
  <c r="AC32" i="46"/>
  <c r="AD32" i="46"/>
  <c r="AD51" i="46" s="1"/>
  <c r="AE32" i="46"/>
  <c r="AE52" i="46" s="1"/>
  <c r="AF32" i="46"/>
  <c r="AF52" i="46" s="1"/>
  <c r="AG32" i="46"/>
  <c r="AG53" i="46" s="1"/>
  <c r="AH32" i="46"/>
  <c r="AH53" i="46" s="1"/>
  <c r="AI32" i="46"/>
  <c r="AI53" i="46" s="1"/>
  <c r="AJ32" i="46"/>
  <c r="AJ51" i="46" s="1"/>
  <c r="AK32" i="46"/>
  <c r="AL32" i="46"/>
  <c r="AL51" i="46" s="1"/>
  <c r="AM32" i="46"/>
  <c r="AM52" i="46" s="1"/>
  <c r="AN32" i="46"/>
  <c r="AN52" i="46" s="1"/>
  <c r="AO32" i="46"/>
  <c r="AO53" i="46" s="1"/>
  <c r="AP32" i="46"/>
  <c r="AQ32" i="46"/>
  <c r="AQ53" i="46" s="1"/>
  <c r="AR32" i="46"/>
  <c r="AS32" i="46"/>
  <c r="AT32" i="46"/>
  <c r="AT51" i="46" s="1"/>
  <c r="AU32" i="46"/>
  <c r="AU52" i="46" s="1"/>
  <c r="AV32" i="46"/>
  <c r="AV52" i="46" s="1"/>
  <c r="B32" i="46"/>
  <c r="B53" i="46" s="1"/>
  <c r="AV47" i="46"/>
  <c r="D42" i="46"/>
  <c r="J42" i="46"/>
  <c r="L42" i="46"/>
  <c r="V42" i="46"/>
  <c r="Z42" i="46"/>
  <c r="AB42" i="46"/>
  <c r="AK42" i="46"/>
  <c r="AL42" i="46"/>
  <c r="AP42" i="46"/>
  <c r="G43" i="46"/>
  <c r="H43" i="46"/>
  <c r="I43" i="46"/>
  <c r="O43" i="46"/>
  <c r="W43" i="46"/>
  <c r="X43" i="46"/>
  <c r="AC43" i="46"/>
  <c r="AE43" i="46"/>
  <c r="AM43" i="46"/>
  <c r="AO43" i="46"/>
  <c r="AS43" i="46"/>
  <c r="AU43" i="46"/>
  <c r="K44" i="46"/>
  <c r="L44" i="46"/>
  <c r="P44" i="46"/>
  <c r="Z44" i="46"/>
  <c r="AA44" i="46"/>
  <c r="AB44" i="46"/>
  <c r="AH44" i="46"/>
  <c r="AP44" i="46"/>
  <c r="AQ44" i="46"/>
  <c r="C45" i="46"/>
  <c r="E45" i="46"/>
  <c r="M45" i="46"/>
  <c r="O45" i="46"/>
  <c r="S45" i="46"/>
  <c r="U45" i="46"/>
  <c r="Z45" i="46"/>
  <c r="AA45" i="46"/>
  <c r="AB45" i="46"/>
  <c r="AG45" i="46"/>
  <c r="AH45" i="46"/>
  <c r="AI45" i="46"/>
  <c r="AK45" i="46"/>
  <c r="AO45" i="46"/>
  <c r="AP45" i="46"/>
  <c r="AQ45" i="46"/>
  <c r="AR45" i="46"/>
  <c r="AS45" i="46"/>
  <c r="D46" i="46"/>
  <c r="F46" i="46"/>
  <c r="G46" i="46"/>
  <c r="H46" i="46"/>
  <c r="L46" i="46"/>
  <c r="M46" i="46"/>
  <c r="N46" i="46"/>
  <c r="O46" i="46"/>
  <c r="T46" i="46"/>
  <c r="U46" i="46"/>
  <c r="V46" i="46"/>
  <c r="W46" i="46"/>
  <c r="X46" i="46"/>
  <c r="AB46" i="46"/>
  <c r="AC46" i="46"/>
  <c r="AE46" i="46"/>
  <c r="AF46" i="46"/>
  <c r="AJ46" i="46"/>
  <c r="AK46" i="46"/>
  <c r="AL46" i="46"/>
  <c r="AM46" i="46"/>
  <c r="AN46" i="46"/>
  <c r="AS46" i="46"/>
  <c r="AT46" i="46"/>
  <c r="AU46" i="46"/>
  <c r="C47" i="46"/>
  <c r="G47" i="46"/>
  <c r="H47" i="46"/>
  <c r="I47" i="46"/>
  <c r="K47" i="46"/>
  <c r="O47" i="46"/>
  <c r="P47" i="46"/>
  <c r="Q47" i="46"/>
  <c r="R47" i="46"/>
  <c r="S47" i="46"/>
  <c r="W47" i="46"/>
  <c r="Y47" i="46"/>
  <c r="Z47" i="46"/>
  <c r="AA47" i="46"/>
  <c r="AE47" i="46"/>
  <c r="AF47" i="46"/>
  <c r="AG47" i="46"/>
  <c r="AH47" i="46"/>
  <c r="AM47" i="46"/>
  <c r="AN47" i="46"/>
  <c r="AO47" i="46"/>
  <c r="AP47" i="46"/>
  <c r="AQ47" i="46"/>
  <c r="AU47" i="46"/>
  <c r="C48" i="46"/>
  <c r="E48" i="46"/>
  <c r="F48" i="46"/>
  <c r="J48" i="46"/>
  <c r="K48" i="46"/>
  <c r="L48" i="46"/>
  <c r="M48" i="46"/>
  <c r="N48" i="46"/>
  <c r="S48" i="46"/>
  <c r="T48" i="46"/>
  <c r="U48" i="46"/>
  <c r="V48" i="46"/>
  <c r="Z48" i="46"/>
  <c r="AA48" i="46"/>
  <c r="AB48" i="46"/>
  <c r="AD48" i="46"/>
  <c r="AH48" i="46"/>
  <c r="AI48" i="46"/>
  <c r="AJ48" i="46"/>
  <c r="AK48" i="46"/>
  <c r="AL48" i="46"/>
  <c r="AP48" i="46"/>
  <c r="AR48" i="46"/>
  <c r="AS48" i="46"/>
  <c r="AT48" i="46"/>
  <c r="E49" i="46"/>
  <c r="F49" i="46"/>
  <c r="G49" i="46"/>
  <c r="H49" i="46"/>
  <c r="M49" i="46"/>
  <c r="N49" i="46"/>
  <c r="O49" i="46"/>
  <c r="P49" i="46"/>
  <c r="Q49" i="46"/>
  <c r="U49" i="46"/>
  <c r="V49" i="46"/>
  <c r="X49" i="46"/>
  <c r="Y49" i="46"/>
  <c r="AC49" i="46"/>
  <c r="AD49" i="46"/>
  <c r="AE49" i="46"/>
  <c r="AF49" i="46"/>
  <c r="AG49" i="46"/>
  <c r="AL49" i="46"/>
  <c r="AM49" i="46"/>
  <c r="AN49" i="46"/>
  <c r="AO49" i="46"/>
  <c r="AS49" i="46"/>
  <c r="AT49" i="46"/>
  <c r="AU49" i="46"/>
  <c r="D50" i="46"/>
  <c r="H50" i="46"/>
  <c r="I50" i="46"/>
  <c r="J50" i="46"/>
  <c r="K50" i="46"/>
  <c r="L50" i="46"/>
  <c r="P50" i="46"/>
  <c r="R50" i="46"/>
  <c r="S50" i="46"/>
  <c r="T50" i="46"/>
  <c r="X50" i="46"/>
  <c r="Y50" i="46"/>
  <c r="Z50" i="46"/>
  <c r="AA50" i="46"/>
  <c r="AF50" i="46"/>
  <c r="AG50" i="46"/>
  <c r="AH50" i="46"/>
  <c r="AI50" i="46"/>
  <c r="AJ50" i="46"/>
  <c r="AN50" i="46"/>
  <c r="AO50" i="46"/>
  <c r="AQ50" i="46"/>
  <c r="AR50" i="46"/>
  <c r="B43" i="46"/>
  <c r="B44" i="46"/>
  <c r="B46" i="46"/>
  <c r="B47" i="46"/>
  <c r="B48" i="46"/>
  <c r="B31" i="46"/>
  <c r="T42" i="46" s="1"/>
  <c r="C31"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AG31" i="46"/>
  <c r="AH31" i="46"/>
  <c r="AI31" i="46"/>
  <c r="AJ31" i="46"/>
  <c r="AK31" i="46"/>
  <c r="AL31" i="46"/>
  <c r="AM31" i="46"/>
  <c r="AN31" i="46"/>
  <c r="AO31" i="46"/>
  <c r="AP31" i="46"/>
  <c r="AQ31" i="46"/>
  <c r="AR31" i="46"/>
  <c r="AS31" i="46"/>
  <c r="AT31" i="46"/>
  <c r="AU31" i="46"/>
  <c r="AV31" i="46"/>
  <c r="AV37" i="46"/>
  <c r="C30" i="46"/>
  <c r="C38" i="46" s="1"/>
  <c r="D30" i="46"/>
  <c r="D40" i="46" s="1"/>
  <c r="E30" i="46"/>
  <c r="F30" i="46"/>
  <c r="F35" i="46" s="1"/>
  <c r="G30" i="46"/>
  <c r="G35" i="46" s="1"/>
  <c r="H30" i="46"/>
  <c r="H36" i="46" s="1"/>
  <c r="I30" i="46"/>
  <c r="J30" i="46"/>
  <c r="J36" i="46" s="1"/>
  <c r="K30" i="46"/>
  <c r="L30" i="46"/>
  <c r="M30" i="46"/>
  <c r="N30" i="46"/>
  <c r="O30" i="46"/>
  <c r="O39" i="46" s="1"/>
  <c r="P30" i="46"/>
  <c r="P35" i="46" s="1"/>
  <c r="Q30" i="46"/>
  <c r="R30" i="46"/>
  <c r="R36" i="46" s="1"/>
  <c r="S30" i="46"/>
  <c r="S41" i="46" s="1"/>
  <c r="T30" i="46"/>
  <c r="U30" i="46"/>
  <c r="V30" i="46"/>
  <c r="W30" i="46"/>
  <c r="W37" i="46" s="1"/>
  <c r="X30" i="46"/>
  <c r="X37" i="46" s="1"/>
  <c r="Y30" i="46"/>
  <c r="Z30" i="46"/>
  <c r="Z36" i="46" s="1"/>
  <c r="AA30" i="46"/>
  <c r="AA38" i="46" s="1"/>
  <c r="AB30" i="46"/>
  <c r="AC30" i="46"/>
  <c r="AD30" i="46"/>
  <c r="AE30" i="46"/>
  <c r="AE35" i="46" s="1"/>
  <c r="AF30" i="46"/>
  <c r="AF35" i="46" s="1"/>
  <c r="AG30" i="46"/>
  <c r="AH30" i="46"/>
  <c r="AH36" i="46" s="1"/>
  <c r="AI30" i="46"/>
  <c r="AI38" i="46" s="1"/>
  <c r="AJ30" i="46"/>
  <c r="AK30" i="46"/>
  <c r="AL30" i="46"/>
  <c r="AM30" i="46"/>
  <c r="AM35" i="46" s="1"/>
  <c r="AN30" i="46"/>
  <c r="AN39" i="46" s="1"/>
  <c r="AO30" i="46"/>
  <c r="AP30" i="46"/>
  <c r="AP36" i="46" s="1"/>
  <c r="AQ30" i="46"/>
  <c r="AQ37" i="46" s="1"/>
  <c r="AR30" i="46"/>
  <c r="AR35" i="46" s="1"/>
  <c r="AS30" i="46"/>
  <c r="AT30" i="46"/>
  <c r="AU30" i="46"/>
  <c r="AU35" i="46" s="1"/>
  <c r="AV30" i="46"/>
  <c r="AV41" i="46" s="1"/>
  <c r="B30" i="46"/>
  <c r="B37" i="46" s="1"/>
  <c r="BI43" i="46"/>
  <c r="BH43" i="46"/>
  <c r="BG43" i="46"/>
  <c r="BF43" i="46"/>
  <c r="BE43" i="46"/>
  <c r="BD43" i="46"/>
  <c r="BC43" i="46"/>
  <c r="BI42" i="46"/>
  <c r="BH42" i="46"/>
  <c r="BG42" i="46"/>
  <c r="BF42" i="46"/>
  <c r="BE42" i="46"/>
  <c r="BD42" i="46"/>
  <c r="BI41" i="46"/>
  <c r="BH41" i="46"/>
  <c r="BG41" i="46"/>
  <c r="BF41" i="46"/>
  <c r="BE41" i="46"/>
  <c r="BD41" i="46"/>
  <c r="BI40" i="46"/>
  <c r="BH40" i="46"/>
  <c r="BG40" i="46"/>
  <c r="BF40" i="46"/>
  <c r="BE40" i="46"/>
  <c r="BD40" i="46"/>
  <c r="BI39" i="46"/>
  <c r="BH39" i="46"/>
  <c r="BG39" i="46"/>
  <c r="BF39" i="46"/>
  <c r="BE39" i="46"/>
  <c r="BD39" i="46"/>
  <c r="BI38" i="46"/>
  <c r="BH38" i="46"/>
  <c r="BG38" i="46"/>
  <c r="BF38" i="46"/>
  <c r="BE38" i="46"/>
  <c r="BD38" i="46"/>
  <c r="BI37" i="46"/>
  <c r="BH37" i="46"/>
  <c r="BG37" i="46"/>
  <c r="BF37" i="46"/>
  <c r="BE37" i="46"/>
  <c r="BD37" i="46"/>
  <c r="L35" i="46"/>
  <c r="D35" i="46"/>
  <c r="H35" i="46"/>
  <c r="I35" i="46"/>
  <c r="M35" i="46"/>
  <c r="N35" i="46"/>
  <c r="Q35" i="46"/>
  <c r="T35" i="46"/>
  <c r="U35" i="46"/>
  <c r="V35" i="46"/>
  <c r="W35" i="46"/>
  <c r="X35" i="46"/>
  <c r="Y35" i="46"/>
  <c r="AD35" i="46"/>
  <c r="AG35" i="46"/>
  <c r="AI35" i="46"/>
  <c r="AL35" i="46"/>
  <c r="AO35" i="46"/>
  <c r="C36" i="46"/>
  <c r="D36" i="46"/>
  <c r="E36" i="46"/>
  <c r="F36" i="46"/>
  <c r="G36" i="46"/>
  <c r="I36" i="46"/>
  <c r="L36" i="46"/>
  <c r="M36" i="46"/>
  <c r="N36" i="46"/>
  <c r="Q36" i="46"/>
  <c r="T36" i="46"/>
  <c r="U36" i="46"/>
  <c r="V36" i="46"/>
  <c r="W36" i="46"/>
  <c r="X36" i="46"/>
  <c r="Y36" i="46"/>
  <c r="AD36" i="46"/>
  <c r="AG36" i="46"/>
  <c r="AI36" i="46"/>
  <c r="AL36" i="46"/>
  <c r="AO36" i="46"/>
  <c r="C37" i="46"/>
  <c r="D37" i="46"/>
  <c r="F37" i="46"/>
  <c r="H37" i="46"/>
  <c r="I37" i="46"/>
  <c r="L37" i="46"/>
  <c r="M37" i="46"/>
  <c r="N37" i="46"/>
  <c r="O37" i="46"/>
  <c r="P37" i="46"/>
  <c r="Q37" i="46"/>
  <c r="U37" i="46"/>
  <c r="V37" i="46"/>
  <c r="Y37" i="46"/>
  <c r="AD37" i="46"/>
  <c r="AF37" i="46"/>
  <c r="AG37" i="46"/>
  <c r="AJ37" i="46"/>
  <c r="AM37" i="46"/>
  <c r="AN37" i="46"/>
  <c r="AO37" i="46"/>
  <c r="AR37" i="46"/>
  <c r="AS37" i="46"/>
  <c r="D38" i="46"/>
  <c r="F38" i="46"/>
  <c r="G38" i="46"/>
  <c r="H38" i="46"/>
  <c r="I38" i="46"/>
  <c r="M38" i="46"/>
  <c r="N38" i="46"/>
  <c r="P38" i="46"/>
  <c r="Q38" i="46"/>
  <c r="V38" i="46"/>
  <c r="X38" i="46"/>
  <c r="Y38" i="46"/>
  <c r="AB38" i="46"/>
  <c r="AE38" i="46"/>
  <c r="AF38" i="46"/>
  <c r="AG38" i="46"/>
  <c r="AJ38" i="46"/>
  <c r="AK38" i="46"/>
  <c r="AO38" i="46"/>
  <c r="AQ38" i="46"/>
  <c r="AR38" i="46"/>
  <c r="AS38" i="46"/>
  <c r="AT38" i="46"/>
  <c r="D39" i="46"/>
  <c r="F39" i="46"/>
  <c r="H39" i="46"/>
  <c r="I39" i="46"/>
  <c r="N39" i="46"/>
  <c r="P39" i="46"/>
  <c r="Q39" i="46"/>
  <c r="T39" i="46"/>
  <c r="W39" i="46"/>
  <c r="X39" i="46"/>
  <c r="Y39" i="46"/>
  <c r="AB39" i="46"/>
  <c r="AC39" i="46"/>
  <c r="AF39" i="46"/>
  <c r="AG39" i="46"/>
  <c r="AI39" i="46"/>
  <c r="AJ39" i="46"/>
  <c r="AK39" i="46"/>
  <c r="AL39" i="46"/>
  <c r="AO39" i="46"/>
  <c r="AR39" i="46"/>
  <c r="AS39" i="46"/>
  <c r="AT39" i="46"/>
  <c r="AU39" i="46"/>
  <c r="F40" i="46"/>
  <c r="H40" i="46"/>
  <c r="I40" i="46"/>
  <c r="L40" i="46"/>
  <c r="O40" i="46"/>
  <c r="P40" i="46"/>
  <c r="Q40" i="46"/>
  <c r="T40" i="46"/>
  <c r="U40" i="46"/>
  <c r="X40" i="46"/>
  <c r="Y40" i="46"/>
  <c r="AA40" i="46"/>
  <c r="AB40" i="46"/>
  <c r="AC40" i="46"/>
  <c r="AD40" i="46"/>
  <c r="AG40" i="46"/>
  <c r="AJ40" i="46"/>
  <c r="AK40" i="46"/>
  <c r="AL40" i="46"/>
  <c r="AM40" i="46"/>
  <c r="AN40" i="46"/>
  <c r="AO40" i="46"/>
  <c r="AR40" i="46"/>
  <c r="AS40" i="46"/>
  <c r="AT40" i="46"/>
  <c r="AU40" i="46"/>
  <c r="D41" i="46"/>
  <c r="F41" i="46"/>
  <c r="G41" i="46"/>
  <c r="H41" i="46"/>
  <c r="I41" i="46"/>
  <c r="L41" i="46"/>
  <c r="M41" i="46"/>
  <c r="O41" i="46"/>
  <c r="Q41" i="46"/>
  <c r="T41" i="46"/>
  <c r="U41" i="46"/>
  <c r="V41" i="46"/>
  <c r="X41" i="46"/>
  <c r="Y41" i="46"/>
  <c r="AB41" i="46"/>
  <c r="AC41" i="46"/>
  <c r="AD41" i="46"/>
  <c r="AG41" i="46"/>
  <c r="AJ41" i="46"/>
  <c r="AK41" i="46"/>
  <c r="AL41" i="46"/>
  <c r="AM41" i="46"/>
  <c r="AN41" i="46"/>
  <c r="AO41" i="46"/>
  <c r="AQ41" i="46"/>
  <c r="AR41" i="46"/>
  <c r="AS41" i="46"/>
  <c r="AT41" i="46"/>
  <c r="AU41" i="46"/>
  <c r="B36" i="46"/>
  <c r="O25" i="21"/>
  <c r="Q19" i="21"/>
  <c r="Q18" i="21"/>
  <c r="P5" i="21"/>
  <c r="Q5" i="21"/>
  <c r="O5" i="21"/>
  <c r="O10" i="21"/>
  <c r="O9" i="21"/>
  <c r="O19" i="21"/>
  <c r="P19" i="21"/>
  <c r="O18" i="21"/>
  <c r="K38" i="46" l="1"/>
  <c r="K37" i="46"/>
  <c r="AQ40" i="46"/>
  <c r="AM36" i="46"/>
  <c r="O36" i="46"/>
  <c r="O35" i="46"/>
  <c r="AS35" i="46"/>
  <c r="AS36" i="46"/>
  <c r="AK37" i="46"/>
  <c r="AK35" i="46"/>
  <c r="AK36" i="46"/>
  <c r="AC38" i="46"/>
  <c r="AC37" i="46"/>
  <c r="U39" i="46"/>
  <c r="U38" i="46"/>
  <c r="M40" i="46"/>
  <c r="M39" i="46"/>
  <c r="E35" i="46"/>
  <c r="E41" i="46"/>
  <c r="AV35" i="46"/>
  <c r="E42" i="46"/>
  <c r="AU55" i="46"/>
  <c r="AU59" i="46"/>
  <c r="AU54" i="46"/>
  <c r="AU56" i="46"/>
  <c r="AM55" i="46"/>
  <c r="AM59" i="46"/>
  <c r="AM54" i="46"/>
  <c r="AM56" i="46"/>
  <c r="AM60" i="46"/>
  <c r="AM61" i="46"/>
  <c r="AE55" i="46"/>
  <c r="AE59" i="46"/>
  <c r="AE54" i="46"/>
  <c r="AE56" i="46"/>
  <c r="AE57" i="46"/>
  <c r="AE58" i="46"/>
  <c r="W55" i="46"/>
  <c r="W59" i="46"/>
  <c r="W54" i="46"/>
  <c r="W56" i="46"/>
  <c r="O55" i="46"/>
  <c r="O59" i="46"/>
  <c r="O54" i="46"/>
  <c r="O56" i="46"/>
  <c r="O60" i="46"/>
  <c r="O61" i="46"/>
  <c r="AU61" i="46"/>
  <c r="AG56" i="46"/>
  <c r="AU58" i="46"/>
  <c r="Q58" i="46"/>
  <c r="AM57" i="46"/>
  <c r="O57" i="46"/>
  <c r="AI41" i="46"/>
  <c r="C41" i="46"/>
  <c r="K39" i="46"/>
  <c r="S38" i="46"/>
  <c r="AA37" i="46"/>
  <c r="AJ35" i="46"/>
  <c r="AJ36" i="46"/>
  <c r="AB37" i="46"/>
  <c r="AB35" i="46"/>
  <c r="AB36" i="46"/>
  <c r="T38" i="46"/>
  <c r="T37" i="46"/>
  <c r="L39" i="46"/>
  <c r="L38" i="46"/>
  <c r="AO61" i="46"/>
  <c r="AE60" i="46"/>
  <c r="AO58" i="46"/>
  <c r="O58" i="46"/>
  <c r="AU36" i="46"/>
  <c r="K35" i="46"/>
  <c r="AV40" i="46"/>
  <c r="AC45" i="46"/>
  <c r="N45" i="46"/>
  <c r="AF44" i="46"/>
  <c r="J44" i="46"/>
  <c r="Y43" i="46"/>
  <c r="AR42" i="46"/>
  <c r="U42" i="46"/>
  <c r="AV50" i="46"/>
  <c r="AP53" i="46"/>
  <c r="AP52" i="46"/>
  <c r="Z53" i="46"/>
  <c r="Z52" i="46"/>
  <c r="J53" i="46"/>
  <c r="J52" i="46"/>
  <c r="AV49" i="46"/>
  <c r="J51" i="46"/>
  <c r="AM58" i="46"/>
  <c r="AE41" i="46"/>
  <c r="K41" i="46"/>
  <c r="K40" i="46"/>
  <c r="S39" i="46"/>
  <c r="G39" i="46"/>
  <c r="AN38" i="46"/>
  <c r="O38" i="46"/>
  <c r="AI37" i="46"/>
  <c r="AR36" i="46"/>
  <c r="AF36" i="46"/>
  <c r="K36" i="46"/>
  <c r="AV39" i="46"/>
  <c r="Z51" i="46"/>
  <c r="AE61" i="46"/>
  <c r="AU60" i="46"/>
  <c r="W60" i="46"/>
  <c r="AA36" i="46"/>
  <c r="AA35" i="46"/>
  <c r="AI40" i="46"/>
  <c r="AQ39" i="46"/>
  <c r="AQ36" i="46"/>
  <c r="AE36" i="46"/>
  <c r="AQ35" i="46"/>
  <c r="AF40" i="46"/>
  <c r="AF41" i="46"/>
  <c r="AV38" i="46"/>
  <c r="AP51" i="46"/>
  <c r="AU57" i="46"/>
  <c r="W57" i="46"/>
  <c r="C40" i="46"/>
  <c r="C39" i="46"/>
  <c r="AU38" i="46"/>
  <c r="AU37" i="46"/>
  <c r="AE40" i="46"/>
  <c r="AE39" i="46"/>
  <c r="B57" i="46"/>
  <c r="B58" i="46"/>
  <c r="B56" i="46"/>
  <c r="B59" i="46"/>
  <c r="B60" i="46"/>
  <c r="B54" i="46"/>
  <c r="AO57" i="46"/>
  <c r="AO60" i="46"/>
  <c r="AO55" i="46"/>
  <c r="AO59" i="46"/>
  <c r="AO54" i="46"/>
  <c r="AG57" i="46"/>
  <c r="AG60" i="46"/>
  <c r="AG55" i="46"/>
  <c r="AG59" i="46"/>
  <c r="AG54" i="46"/>
  <c r="AG61" i="46"/>
  <c r="Y57" i="46"/>
  <c r="Y60" i="46"/>
  <c r="Y55" i="46"/>
  <c r="Y59" i="46"/>
  <c r="Y54" i="46"/>
  <c r="Y58" i="46"/>
  <c r="Y56" i="46"/>
  <c r="Q57" i="46"/>
  <c r="Q60" i="46"/>
  <c r="Q55" i="46"/>
  <c r="Q59" i="46"/>
  <c r="Q54" i="46"/>
  <c r="Q61" i="46"/>
  <c r="I57" i="46"/>
  <c r="I60" i="46"/>
  <c r="I55" i="46"/>
  <c r="I59" i="46"/>
  <c r="I54" i="46"/>
  <c r="I58" i="46"/>
  <c r="I56" i="46"/>
  <c r="B55" i="46"/>
  <c r="S37" i="46"/>
  <c r="S36" i="46"/>
  <c r="S35" i="46"/>
  <c r="AM39" i="46"/>
  <c r="AM38" i="46"/>
  <c r="W40" i="46"/>
  <c r="W41" i="46"/>
  <c r="AA41" i="46"/>
  <c r="P41" i="46"/>
  <c r="S40" i="46"/>
  <c r="G40" i="46"/>
  <c r="AA39" i="46"/>
  <c r="W38" i="46"/>
  <c r="AE37" i="46"/>
  <c r="G37" i="46"/>
  <c r="AN36" i="46"/>
  <c r="AC36" i="46"/>
  <c r="P36" i="46"/>
  <c r="AN35" i="46"/>
  <c r="AC35" i="46"/>
  <c r="C35" i="46"/>
  <c r="AT37" i="46"/>
  <c r="AT35" i="46"/>
  <c r="AT36" i="46"/>
  <c r="AL38" i="46"/>
  <c r="AL37" i="46"/>
  <c r="AD39" i="46"/>
  <c r="AD38" i="46"/>
  <c r="V40" i="46"/>
  <c r="V39" i="46"/>
  <c r="N40" i="46"/>
  <c r="N41" i="46"/>
  <c r="AV36" i="46"/>
  <c r="AV44" i="46"/>
  <c r="G42" i="46"/>
  <c r="O42" i="46"/>
  <c r="W42" i="46"/>
  <c r="AE42" i="46"/>
  <c r="AM42" i="46"/>
  <c r="AU42" i="46"/>
  <c r="J43" i="46"/>
  <c r="R43" i="46"/>
  <c r="Z43" i="46"/>
  <c r="AH43" i="46"/>
  <c r="AP43" i="46"/>
  <c r="E44" i="46"/>
  <c r="M44" i="46"/>
  <c r="U44" i="46"/>
  <c r="AC44" i="46"/>
  <c r="AK44" i="46"/>
  <c r="AS44" i="46"/>
  <c r="H45" i="46"/>
  <c r="P45" i="46"/>
  <c r="AV43" i="46"/>
  <c r="H42" i="46"/>
  <c r="P42" i="46"/>
  <c r="X42" i="46"/>
  <c r="AF42" i="46"/>
  <c r="AN42" i="46"/>
  <c r="C43" i="46"/>
  <c r="K43" i="46"/>
  <c r="S43" i="46"/>
  <c r="AA43" i="46"/>
  <c r="AI43" i="46"/>
  <c r="AQ43" i="46"/>
  <c r="F44" i="46"/>
  <c r="N44" i="46"/>
  <c r="V44" i="46"/>
  <c r="AD44" i="46"/>
  <c r="AL44" i="46"/>
  <c r="AT44" i="46"/>
  <c r="I45" i="46"/>
  <c r="Q45" i="46"/>
  <c r="AV42" i="46"/>
  <c r="I42" i="46"/>
  <c r="Q42" i="46"/>
  <c r="Y42" i="46"/>
  <c r="AG42" i="46"/>
  <c r="AO42" i="46"/>
  <c r="D43" i="46"/>
  <c r="L43" i="46"/>
  <c r="T43" i="46"/>
  <c r="AB43" i="46"/>
  <c r="AJ43" i="46"/>
  <c r="AR43" i="46"/>
  <c r="G44" i="46"/>
  <c r="O44" i="46"/>
  <c r="W44" i="46"/>
  <c r="AE44" i="46"/>
  <c r="AM44" i="46"/>
  <c r="AU44" i="46"/>
  <c r="J45" i="46"/>
  <c r="R45" i="46"/>
  <c r="AV48" i="46"/>
  <c r="C42" i="46"/>
  <c r="K42" i="46"/>
  <c r="S42" i="46"/>
  <c r="AA42" i="46"/>
  <c r="AI42" i="46"/>
  <c r="AQ42" i="46"/>
  <c r="F43" i="46"/>
  <c r="N43" i="46"/>
  <c r="V43" i="46"/>
  <c r="AD43" i="46"/>
  <c r="AL43" i="46"/>
  <c r="AT43" i="46"/>
  <c r="I44" i="46"/>
  <c r="Q44" i="46"/>
  <c r="Y44" i="46"/>
  <c r="AG44" i="46"/>
  <c r="AO44" i="46"/>
  <c r="D45" i="46"/>
  <c r="L45" i="46"/>
  <c r="T45" i="46"/>
  <c r="AV46" i="46"/>
  <c r="M42" i="46"/>
  <c r="AC42" i="46"/>
  <c r="AS42" i="46"/>
  <c r="P43" i="46"/>
  <c r="AF43" i="46"/>
  <c r="C44" i="46"/>
  <c r="S44" i="46"/>
  <c r="AI44" i="46"/>
  <c r="F45" i="46"/>
  <c r="V45" i="46"/>
  <c r="AD45" i="46"/>
  <c r="AL45" i="46"/>
  <c r="AT45" i="46"/>
  <c r="I46" i="46"/>
  <c r="Q46" i="46"/>
  <c r="Y46" i="46"/>
  <c r="AG46" i="46"/>
  <c r="AO46" i="46"/>
  <c r="D47" i="46"/>
  <c r="L47" i="46"/>
  <c r="T47" i="46"/>
  <c r="AB47" i="46"/>
  <c r="AJ47" i="46"/>
  <c r="AR47" i="46"/>
  <c r="G48" i="46"/>
  <c r="O48" i="46"/>
  <c r="W48" i="46"/>
  <c r="AE48" i="46"/>
  <c r="AM48" i="46"/>
  <c r="AU48" i="46"/>
  <c r="J49" i="46"/>
  <c r="R49" i="46"/>
  <c r="Z49" i="46"/>
  <c r="AH49" i="46"/>
  <c r="AP49" i="46"/>
  <c r="E50" i="46"/>
  <c r="M50" i="46"/>
  <c r="U50" i="46"/>
  <c r="AC50" i="46"/>
  <c r="AK50" i="46"/>
  <c r="AS50" i="46"/>
  <c r="B49" i="46"/>
  <c r="AV45" i="46"/>
  <c r="N42" i="46"/>
  <c r="AD42" i="46"/>
  <c r="AT42" i="46"/>
  <c r="Q43" i="46"/>
  <c r="AG43" i="46"/>
  <c r="D44" i="46"/>
  <c r="T44" i="46"/>
  <c r="AJ44" i="46"/>
  <c r="G45" i="46"/>
  <c r="W45" i="46"/>
  <c r="AE45" i="46"/>
  <c r="AM45" i="46"/>
  <c r="AU45" i="46"/>
  <c r="J46" i="46"/>
  <c r="R46" i="46"/>
  <c r="Z46" i="46"/>
  <c r="AH46" i="46"/>
  <c r="AP46" i="46"/>
  <c r="E47" i="46"/>
  <c r="M47" i="46"/>
  <c r="U47" i="46"/>
  <c r="AC47" i="46"/>
  <c r="AK47" i="46"/>
  <c r="AS47" i="46"/>
  <c r="H48" i="46"/>
  <c r="P48" i="46"/>
  <c r="X48" i="46"/>
  <c r="AF48" i="46"/>
  <c r="AN48" i="46"/>
  <c r="C49" i="46"/>
  <c r="K49" i="46"/>
  <c r="S49" i="46"/>
  <c r="AA49" i="46"/>
  <c r="AI49" i="46"/>
  <c r="AQ49" i="46"/>
  <c r="F50" i="46"/>
  <c r="N50" i="46"/>
  <c r="V50" i="46"/>
  <c r="AD50" i="46"/>
  <c r="AL50" i="46"/>
  <c r="AT50" i="46"/>
  <c r="B50" i="46"/>
  <c r="B45" i="46"/>
  <c r="R42" i="46"/>
  <c r="AH42" i="46"/>
  <c r="E43" i="46"/>
  <c r="U43" i="46"/>
  <c r="AK43" i="46"/>
  <c r="H44" i="46"/>
  <c r="X44" i="46"/>
  <c r="AN44" i="46"/>
  <c r="K45" i="46"/>
  <c r="X45" i="46"/>
  <c r="AF45" i="46"/>
  <c r="AN45" i="46"/>
  <c r="C46" i="46"/>
  <c r="K46" i="46"/>
  <c r="S46" i="46"/>
  <c r="AA46" i="46"/>
  <c r="AI46" i="46"/>
  <c r="AQ46" i="46"/>
  <c r="F47" i="46"/>
  <c r="N47" i="46"/>
  <c r="V47" i="46"/>
  <c r="AD47" i="46"/>
  <c r="AL47" i="46"/>
  <c r="AT47" i="46"/>
  <c r="I48" i="46"/>
  <c r="Q48" i="46"/>
  <c r="Y48" i="46"/>
  <c r="AG48" i="46"/>
  <c r="AO48" i="46"/>
  <c r="D49" i="46"/>
  <c r="L49" i="46"/>
  <c r="T49" i="46"/>
  <c r="AB49" i="46"/>
  <c r="AJ49" i="46"/>
  <c r="AR49" i="46"/>
  <c r="G50" i="46"/>
  <c r="O50" i="46"/>
  <c r="W50" i="46"/>
  <c r="AE50" i="46"/>
  <c r="AM50" i="46"/>
  <c r="AU50" i="46"/>
  <c r="B42" i="46"/>
  <c r="AP50" i="46"/>
  <c r="AB50" i="46"/>
  <c r="Q50" i="46"/>
  <c r="C50" i="46"/>
  <c r="AK49" i="46"/>
  <c r="W49" i="46"/>
  <c r="I49" i="46"/>
  <c r="AQ48" i="46"/>
  <c r="AC48" i="46"/>
  <c r="R48" i="46"/>
  <c r="D48" i="46"/>
  <c r="AI47" i="46"/>
  <c r="X47" i="46"/>
  <c r="J47" i="46"/>
  <c r="AR46" i="46"/>
  <c r="AD46" i="46"/>
  <c r="P46" i="46"/>
  <c r="E46" i="46"/>
  <c r="AJ45" i="46"/>
  <c r="Y45" i="46"/>
  <c r="AR44" i="46"/>
  <c r="R44" i="46"/>
  <c r="AN43" i="46"/>
  <c r="M43" i="46"/>
  <c r="AJ42" i="46"/>
  <c r="F42" i="46"/>
  <c r="R51" i="46"/>
  <c r="W61" i="46"/>
  <c r="W58" i="46"/>
  <c r="AS51" i="46"/>
  <c r="AS53" i="46"/>
  <c r="AK51" i="46"/>
  <c r="AK53" i="46"/>
  <c r="AC51" i="46"/>
  <c r="AC53" i="46"/>
  <c r="U51" i="46"/>
  <c r="U53" i="46"/>
  <c r="M51" i="46"/>
  <c r="M53" i="46"/>
  <c r="E51" i="46"/>
  <c r="E53" i="46"/>
  <c r="AL52" i="46"/>
  <c r="V52" i="46"/>
  <c r="F52" i="46"/>
  <c r="AQ58" i="46"/>
  <c r="AQ61" i="46"/>
  <c r="AQ57" i="46"/>
  <c r="AQ60" i="46"/>
  <c r="AI58" i="46"/>
  <c r="AI61" i="46"/>
  <c r="AI57" i="46"/>
  <c r="AI60" i="46"/>
  <c r="AA58" i="46"/>
  <c r="AA61" i="46"/>
  <c r="AA57" i="46"/>
  <c r="AA60" i="46"/>
  <c r="S58" i="46"/>
  <c r="S61" i="46"/>
  <c r="S57" i="46"/>
  <c r="S60" i="46"/>
  <c r="K58" i="46"/>
  <c r="K61" i="46"/>
  <c r="K57" i="46"/>
  <c r="K60" i="46"/>
  <c r="C58" i="46"/>
  <c r="C61" i="46"/>
  <c r="C57" i="46"/>
  <c r="C60" i="46"/>
  <c r="C59" i="46"/>
  <c r="C56" i="46"/>
  <c r="AK52" i="46"/>
  <c r="U52" i="46"/>
  <c r="E52" i="46"/>
  <c r="AP58" i="46"/>
  <c r="AP61" i="46"/>
  <c r="AP57" i="46"/>
  <c r="AP60" i="46"/>
  <c r="AP55" i="46"/>
  <c r="AP59" i="46"/>
  <c r="AH58" i="46"/>
  <c r="AH61" i="46"/>
  <c r="AH57" i="46"/>
  <c r="AH60" i="46"/>
  <c r="AH55" i="46"/>
  <c r="AH59" i="46"/>
  <c r="Z58" i="46"/>
  <c r="Z61" i="46"/>
  <c r="Z57" i="46"/>
  <c r="Z60" i="46"/>
  <c r="Z55" i="46"/>
  <c r="Z59" i="46"/>
  <c r="R58" i="46"/>
  <c r="R61" i="46"/>
  <c r="R57" i="46"/>
  <c r="R60" i="46"/>
  <c r="R55" i="46"/>
  <c r="R59" i="46"/>
  <c r="J58" i="46"/>
  <c r="J61" i="46"/>
  <c r="J57" i="46"/>
  <c r="J60" i="46"/>
  <c r="J55" i="46"/>
  <c r="J59" i="46"/>
  <c r="AQ59" i="46"/>
  <c r="AQ56" i="46"/>
  <c r="AI55" i="46"/>
  <c r="AI54" i="46"/>
  <c r="K55" i="46"/>
  <c r="AH54" i="46"/>
  <c r="K54" i="46"/>
  <c r="J54" i="46"/>
  <c r="AA55" i="46"/>
  <c r="AA54" i="46"/>
  <c r="C54" i="46"/>
  <c r="S55" i="46"/>
  <c r="AP54" i="46"/>
  <c r="S54" i="46"/>
  <c r="AQ52" i="46"/>
  <c r="AI52" i="46"/>
  <c r="AA52" i="46"/>
  <c r="S52" i="46"/>
  <c r="K52" i="46"/>
  <c r="C52" i="46"/>
  <c r="AO51" i="46"/>
  <c r="AG51" i="46"/>
  <c r="Y51" i="46"/>
  <c r="Q51" i="46"/>
  <c r="I51" i="46"/>
  <c r="AT61" i="46"/>
  <c r="AL61" i="46"/>
  <c r="AD61" i="46"/>
  <c r="V61" i="46"/>
  <c r="N61" i="46"/>
  <c r="F61" i="46"/>
  <c r="AR60" i="46"/>
  <c r="AJ60" i="46"/>
  <c r="AB60" i="46"/>
  <c r="T60" i="46"/>
  <c r="L60" i="46"/>
  <c r="D60" i="46"/>
  <c r="AV56" i="46"/>
  <c r="AN56" i="46"/>
  <c r="AF56" i="46"/>
  <c r="X56" i="46"/>
  <c r="P56" i="46"/>
  <c r="H56" i="46"/>
  <c r="AT58" i="46"/>
  <c r="AL58" i="46"/>
  <c r="AD58" i="46"/>
  <c r="V58" i="46"/>
  <c r="N58" i="46"/>
  <c r="F58" i="46"/>
  <c r="AR57" i="46"/>
  <c r="AJ57" i="46"/>
  <c r="AB57" i="46"/>
  <c r="T57" i="46"/>
  <c r="L57" i="46"/>
  <c r="D57" i="46"/>
  <c r="AV54" i="46"/>
  <c r="AN54" i="46"/>
  <c r="AF54" i="46"/>
  <c r="X54" i="46"/>
  <c r="P54" i="46"/>
  <c r="H54" i="46"/>
  <c r="AS61" i="46"/>
  <c r="AK61" i="46"/>
  <c r="AC61" i="46"/>
  <c r="U61" i="46"/>
  <c r="M61" i="46"/>
  <c r="E61" i="46"/>
  <c r="G56" i="46"/>
  <c r="AS58" i="46"/>
  <c r="AK58" i="46"/>
  <c r="AC58" i="46"/>
  <c r="U58" i="46"/>
  <c r="M58" i="46"/>
  <c r="E58" i="46"/>
  <c r="G54" i="46"/>
  <c r="B51" i="46"/>
  <c r="AO52" i="46"/>
  <c r="AG52" i="46"/>
  <c r="Y52" i="46"/>
  <c r="Q52" i="46"/>
  <c r="I52" i="46"/>
  <c r="AU51" i="46"/>
  <c r="AM51" i="46"/>
  <c r="AE51" i="46"/>
  <c r="W51" i="46"/>
  <c r="O51" i="46"/>
  <c r="G51" i="46"/>
  <c r="AR61" i="46"/>
  <c r="AJ61" i="46"/>
  <c r="AB61" i="46"/>
  <c r="T61" i="46"/>
  <c r="L61" i="46"/>
  <c r="D61" i="46"/>
  <c r="AV59" i="46"/>
  <c r="AN59" i="46"/>
  <c r="AF59" i="46"/>
  <c r="X59" i="46"/>
  <c r="P59" i="46"/>
  <c r="H59" i="46"/>
  <c r="AT56" i="46"/>
  <c r="AL56" i="46"/>
  <c r="AD56" i="46"/>
  <c r="V56" i="46"/>
  <c r="N56" i="46"/>
  <c r="F56" i="46"/>
  <c r="AR58" i="46"/>
  <c r="AJ58" i="46"/>
  <c r="AB58" i="46"/>
  <c r="T58" i="46"/>
  <c r="L58" i="46"/>
  <c r="D58" i="46"/>
  <c r="AV55" i="46"/>
  <c r="AN55" i="46"/>
  <c r="AF55" i="46"/>
  <c r="X55" i="46"/>
  <c r="P55" i="46"/>
  <c r="H55" i="46"/>
  <c r="AT54" i="46"/>
  <c r="AL54" i="46"/>
  <c r="AD54" i="46"/>
  <c r="V54" i="46"/>
  <c r="N54" i="46"/>
  <c r="F54" i="46"/>
  <c r="B52" i="46"/>
  <c r="G59" i="46"/>
  <c r="AS56" i="46"/>
  <c r="AK56" i="46"/>
  <c r="AC56" i="46"/>
  <c r="U56" i="46"/>
  <c r="M56" i="46"/>
  <c r="E56" i="46"/>
  <c r="AV60" i="46"/>
  <c r="AN60" i="46"/>
  <c r="AF60" i="46"/>
  <c r="X60" i="46"/>
  <c r="P60" i="46"/>
  <c r="H60" i="46"/>
  <c r="AT59" i="46"/>
  <c r="AL59" i="46"/>
  <c r="AD59" i="46"/>
  <c r="V59" i="46"/>
  <c r="N59" i="46"/>
  <c r="F59" i="46"/>
  <c r="AR56" i="46"/>
  <c r="AJ56" i="46"/>
  <c r="AB56" i="46"/>
  <c r="T56" i="46"/>
  <c r="L56" i="46"/>
  <c r="D56" i="46"/>
  <c r="AP41" i="46"/>
  <c r="AH41" i="46"/>
  <c r="Z41" i="46"/>
  <c r="R41" i="46"/>
  <c r="J41" i="46"/>
  <c r="AP39" i="46"/>
  <c r="AH39" i="46"/>
  <c r="Z39" i="46"/>
  <c r="R39" i="46"/>
  <c r="J39" i="46"/>
  <c r="AP37" i="46"/>
  <c r="AH37" i="46"/>
  <c r="Z37" i="46"/>
  <c r="R37" i="46"/>
  <c r="J37" i="46"/>
  <c r="J35" i="46"/>
  <c r="AP35" i="46"/>
  <c r="AH35" i="46"/>
  <c r="Z35" i="46"/>
  <c r="R35" i="46"/>
  <c r="AP40" i="46"/>
  <c r="AH40" i="46"/>
  <c r="Z40" i="46"/>
  <c r="R40" i="46"/>
  <c r="J40" i="46"/>
  <c r="AP38" i="46"/>
  <c r="AH38" i="46"/>
  <c r="Z38" i="46"/>
  <c r="R38" i="46"/>
  <c r="J38" i="46"/>
  <c r="B35" i="46"/>
  <c r="B41" i="46"/>
  <c r="B40" i="46"/>
  <c r="B39" i="46"/>
  <c r="B38" i="46"/>
  <c r="E39" i="46"/>
  <c r="E37" i="46"/>
  <c r="E40" i="46"/>
  <c r="E38" i="46"/>
  <c r="J69" i="46"/>
  <c r="R69" i="46"/>
  <c r="Z69" i="46"/>
  <c r="AH69" i="46"/>
  <c r="AU69" i="46"/>
  <c r="AX72" i="46"/>
  <c r="AO69" i="46" l="1"/>
  <c r="AS69" i="46"/>
  <c r="AY72" i="46"/>
  <c r="I98" i="46"/>
  <c r="Q98" i="46"/>
  <c r="Y98" i="46"/>
  <c r="AG98" i="46"/>
  <c r="AO98" i="46"/>
  <c r="AW98" i="46"/>
  <c r="H99" i="46"/>
  <c r="P99" i="46"/>
  <c r="X99" i="46"/>
  <c r="AF99" i="46"/>
  <c r="AN99" i="46"/>
  <c r="AV99" i="46"/>
  <c r="G100" i="46"/>
  <c r="O100" i="46"/>
  <c r="W100" i="46"/>
  <c r="AE100" i="46"/>
  <c r="AM100" i="46"/>
  <c r="AU100" i="46"/>
  <c r="J98" i="46"/>
  <c r="R98" i="46"/>
  <c r="Z98" i="46"/>
  <c r="AH98" i="46"/>
  <c r="AP98" i="46"/>
  <c r="AX101" i="46"/>
  <c r="I99" i="46"/>
  <c r="Q99" i="46"/>
  <c r="Y99" i="46"/>
  <c r="AG99" i="46"/>
  <c r="AO99" i="46"/>
  <c r="AW99" i="46"/>
  <c r="H100" i="46"/>
  <c r="P100" i="46"/>
  <c r="X100" i="46"/>
  <c r="AF100" i="46"/>
  <c r="AN100" i="46"/>
  <c r="AV100" i="46"/>
  <c r="D98" i="46"/>
  <c r="L98" i="46"/>
  <c r="T98" i="46"/>
  <c r="AB98" i="46"/>
  <c r="AJ98" i="46"/>
  <c r="AR98" i="46"/>
  <c r="C99" i="46"/>
  <c r="K99" i="46"/>
  <c r="S99" i="46"/>
  <c r="AA99" i="46"/>
  <c r="AI99" i="46"/>
  <c r="AQ99" i="46"/>
  <c r="AY102" i="46"/>
  <c r="J100" i="46"/>
  <c r="R100" i="46"/>
  <c r="Z100" i="46"/>
  <c r="AH100" i="46"/>
  <c r="AP100" i="46"/>
  <c r="AX103" i="46"/>
  <c r="E98" i="46"/>
  <c r="M98" i="46"/>
  <c r="U98" i="46"/>
  <c r="AC98" i="46"/>
  <c r="AK98" i="46"/>
  <c r="AS98" i="46"/>
  <c r="D99" i="46"/>
  <c r="L99" i="46"/>
  <c r="T99" i="46"/>
  <c r="AB99" i="46"/>
  <c r="AJ99" i="46"/>
  <c r="AR99" i="46"/>
  <c r="C100" i="46"/>
  <c r="K100" i="46"/>
  <c r="S100" i="46"/>
  <c r="AA100" i="46"/>
  <c r="AI100" i="46"/>
  <c r="AQ100" i="46"/>
  <c r="AY103" i="46"/>
  <c r="F98" i="46"/>
  <c r="N98" i="46"/>
  <c r="V98" i="46"/>
  <c r="AD98" i="46"/>
  <c r="AL98" i="46"/>
  <c r="AT98" i="46"/>
  <c r="E99" i="46"/>
  <c r="M99" i="46"/>
  <c r="U99" i="46"/>
  <c r="AC99" i="46"/>
  <c r="AK99" i="46"/>
  <c r="AS99" i="46"/>
  <c r="D100" i="46"/>
  <c r="L100" i="46"/>
  <c r="T100" i="46"/>
  <c r="AB100" i="46"/>
  <c r="AJ100" i="46"/>
  <c r="AR100" i="46"/>
  <c r="Q96" i="46"/>
  <c r="G98" i="46"/>
  <c r="O98" i="46"/>
  <c r="W98" i="46"/>
  <c r="AE98" i="46"/>
  <c r="AM98" i="46"/>
  <c r="AU98" i="46"/>
  <c r="F99" i="46"/>
  <c r="N99" i="46"/>
  <c r="V99" i="46"/>
  <c r="AD99" i="46"/>
  <c r="AL99" i="46"/>
  <c r="AT99" i="46"/>
  <c r="E100" i="46"/>
  <c r="M100" i="46"/>
  <c r="U100" i="46"/>
  <c r="AC100" i="46"/>
  <c r="AK100" i="46"/>
  <c r="AS100" i="46"/>
  <c r="Q97" i="46"/>
  <c r="H98" i="46"/>
  <c r="P98" i="46"/>
  <c r="X98" i="46"/>
  <c r="AF98" i="46"/>
  <c r="AN98" i="46"/>
  <c r="AV98" i="46"/>
  <c r="G99" i="46"/>
  <c r="O99" i="46"/>
  <c r="W99" i="46"/>
  <c r="AE99" i="46"/>
  <c r="AM99" i="46"/>
  <c r="AU99" i="46"/>
  <c r="F100" i="46"/>
  <c r="N100" i="46"/>
  <c r="V100" i="46"/>
  <c r="AD100" i="46"/>
  <c r="AL100" i="46"/>
  <c r="AT100" i="46"/>
  <c r="J99" i="46"/>
  <c r="Y100" i="46"/>
  <c r="G122" i="46"/>
  <c r="O122" i="46"/>
  <c r="C98" i="46"/>
  <c r="R99" i="46"/>
  <c r="AG100" i="46"/>
  <c r="K98" i="46"/>
  <c r="Z99" i="46"/>
  <c r="AO100" i="46"/>
  <c r="S98" i="46"/>
  <c r="AH99" i="46"/>
  <c r="AW100" i="46"/>
  <c r="AA98" i="46"/>
  <c r="AP99" i="46"/>
  <c r="C122" i="46"/>
  <c r="K122" i="46"/>
  <c r="AI98" i="46"/>
  <c r="AX102" i="46"/>
  <c r="AQ98" i="46"/>
  <c r="I100" i="46"/>
  <c r="E122" i="46"/>
  <c r="M122" i="46"/>
  <c r="AY101" i="46"/>
  <c r="Q100" i="46"/>
  <c r="F122" i="46"/>
  <c r="AA122" i="46"/>
  <c r="I122" i="46"/>
  <c r="AJ122" i="46"/>
  <c r="J122" i="46"/>
  <c r="U122" i="46"/>
  <c r="AC122" i="46"/>
  <c r="AK122" i="46"/>
  <c r="AS122" i="46"/>
  <c r="B98" i="46"/>
  <c r="W122" i="46"/>
  <c r="AE122" i="46"/>
  <c r="AU122" i="46"/>
  <c r="X122" i="46"/>
  <c r="L122" i="46"/>
  <c r="V122" i="46"/>
  <c r="AD122" i="46"/>
  <c r="AL122" i="46"/>
  <c r="AT122" i="46"/>
  <c r="B99" i="46"/>
  <c r="AM122" i="46"/>
  <c r="AF122" i="46"/>
  <c r="AV122" i="46"/>
  <c r="N122" i="46"/>
  <c r="B100" i="46"/>
  <c r="P122" i="46"/>
  <c r="AN122" i="46"/>
  <c r="Q122" i="46"/>
  <c r="Y122" i="46"/>
  <c r="AG122" i="46"/>
  <c r="AO122" i="46"/>
  <c r="AW122" i="46"/>
  <c r="H122" i="46"/>
  <c r="AQ122" i="46"/>
  <c r="AB122" i="46"/>
  <c r="D122" i="46"/>
  <c r="R122" i="46"/>
  <c r="Z122" i="46"/>
  <c r="AH122" i="46"/>
  <c r="AP122" i="46"/>
  <c r="AX125" i="46"/>
  <c r="S122" i="46"/>
  <c r="AI122" i="46"/>
  <c r="AY125" i="46"/>
  <c r="T122" i="46"/>
  <c r="AR122" i="46"/>
  <c r="AF97" i="46"/>
  <c r="AG96" i="46"/>
  <c r="U89" i="46"/>
  <c r="U119" i="46" s="1"/>
  <c r="I88" i="46"/>
  <c r="AY100" i="46"/>
  <c r="AE97" i="46"/>
  <c r="Y96" i="46"/>
  <c r="M89" i="46"/>
  <c r="M119" i="46" s="1"/>
  <c r="AV97" i="46"/>
  <c r="AC97" i="46"/>
  <c r="E89" i="46"/>
  <c r="E119" i="46" s="1"/>
  <c r="AA87" i="46"/>
  <c r="AA118" i="46" s="1"/>
  <c r="AU97" i="46"/>
  <c r="U97" i="46"/>
  <c r="I96" i="46"/>
  <c r="R87" i="46"/>
  <c r="R118" i="46" s="1"/>
  <c r="AG85" i="46"/>
  <c r="AG116" i="46" s="1"/>
  <c r="AS97" i="46"/>
  <c r="M97" i="46"/>
  <c r="I87" i="46"/>
  <c r="I118" i="46" s="1"/>
  <c r="V85" i="46"/>
  <c r="V116" i="46" s="1"/>
  <c r="AN97" i="46"/>
  <c r="E97" i="46"/>
  <c r="AQ86" i="46"/>
  <c r="AQ117" i="46" s="1"/>
  <c r="H85" i="46"/>
  <c r="H116" i="46" s="1"/>
  <c r="AM97" i="46"/>
  <c r="AW96" i="46"/>
  <c r="AH86" i="46"/>
  <c r="AH117" i="46" s="1"/>
  <c r="AR84" i="46"/>
  <c r="AR115" i="46" s="1"/>
  <c r="AK97" i="46"/>
  <c r="AO96" i="46"/>
  <c r="Y86" i="46"/>
  <c r="Y117" i="46" s="1"/>
  <c r="B71" i="46"/>
  <c r="B107" i="46" s="1"/>
  <c r="J71" i="46"/>
  <c r="J114" i="46" s="1"/>
  <c r="AX74" i="46"/>
  <c r="AX117" i="46" s="1"/>
  <c r="F81" i="46"/>
  <c r="F109" i="46" s="1"/>
  <c r="N81" i="46"/>
  <c r="N109" i="46" s="1"/>
  <c r="V81" i="46"/>
  <c r="V109" i="46" s="1"/>
  <c r="AH82" i="46"/>
  <c r="AH110" i="46" s="1"/>
  <c r="AP82" i="46"/>
  <c r="AP110" i="46" s="1"/>
  <c r="AX85" i="46"/>
  <c r="AX113" i="46" s="1"/>
  <c r="F83" i="46"/>
  <c r="F111" i="46" s="1"/>
  <c r="AT83" i="46"/>
  <c r="AT111" i="46" s="1"/>
  <c r="C71" i="46"/>
  <c r="C114" i="46" s="1"/>
  <c r="K71" i="46"/>
  <c r="K114" i="46" s="1"/>
  <c r="S71" i="46"/>
  <c r="S114" i="46" s="1"/>
  <c r="AA71" i="46"/>
  <c r="AA114" i="46" s="1"/>
  <c r="O81" i="46"/>
  <c r="O109" i="46" s="1"/>
  <c r="AE81" i="46"/>
  <c r="AE109" i="46" s="1"/>
  <c r="AM81" i="46"/>
  <c r="AM109" i="46" s="1"/>
  <c r="AU81" i="46"/>
  <c r="AU109" i="46" s="1"/>
  <c r="K82" i="46"/>
  <c r="K110" i="46" s="1"/>
  <c r="S82" i="46"/>
  <c r="S110" i="46" s="1"/>
  <c r="AA82" i="46"/>
  <c r="AA110" i="46" s="1"/>
  <c r="AE83" i="46"/>
  <c r="AE111" i="46" s="1"/>
  <c r="AM83" i="46"/>
  <c r="AM111" i="46" s="1"/>
  <c r="AU83" i="46"/>
  <c r="AU111" i="46" s="1"/>
  <c r="D71" i="46"/>
  <c r="D114" i="46" s="1"/>
  <c r="L71" i="46"/>
  <c r="L114" i="46" s="1"/>
  <c r="P81" i="46"/>
  <c r="P109" i="46" s="1"/>
  <c r="X81" i="46"/>
  <c r="X109" i="46" s="1"/>
  <c r="AF81" i="46"/>
  <c r="AF109" i="46" s="1"/>
  <c r="D82" i="46"/>
  <c r="D110" i="46" s="1"/>
  <c r="L82" i="46"/>
  <c r="L110" i="46" s="1"/>
  <c r="P83" i="46"/>
  <c r="P111" i="46" s="1"/>
  <c r="X83" i="46"/>
  <c r="X111" i="46" s="1"/>
  <c r="AF83" i="46"/>
  <c r="AF111" i="46" s="1"/>
  <c r="P72" i="46"/>
  <c r="X72" i="46"/>
  <c r="AF72" i="46"/>
  <c r="AB73" i="46"/>
  <c r="AJ73" i="46"/>
  <c r="AR73" i="46"/>
  <c r="E71" i="46"/>
  <c r="E114" i="46" s="1"/>
  <c r="AC71" i="46"/>
  <c r="AC114" i="46" s="1"/>
  <c r="AK71" i="46"/>
  <c r="AK114" i="46" s="1"/>
  <c r="AS71" i="46"/>
  <c r="AS114" i="46" s="1"/>
  <c r="Q81" i="46"/>
  <c r="Q109" i="46" s="1"/>
  <c r="AO81" i="46"/>
  <c r="AO109" i="46" s="1"/>
  <c r="AW81" i="46"/>
  <c r="AW109" i="46" s="1"/>
  <c r="U82" i="46"/>
  <c r="U110" i="46" s="1"/>
  <c r="AC82" i="46"/>
  <c r="AC110" i="46" s="1"/>
  <c r="AK82" i="46"/>
  <c r="AK110" i="46" s="1"/>
  <c r="AO83" i="46"/>
  <c r="AO111" i="46" s="1"/>
  <c r="AW83" i="46"/>
  <c r="AW111" i="46" s="1"/>
  <c r="AO72" i="46"/>
  <c r="AW72" i="46"/>
  <c r="E73" i="46"/>
  <c r="AY76" i="46"/>
  <c r="I74" i="46"/>
  <c r="Y74" i="46"/>
  <c r="AD71" i="46"/>
  <c r="AD114" i="46" s="1"/>
  <c r="AL71" i="46"/>
  <c r="AL114" i="46" s="1"/>
  <c r="AT71" i="46"/>
  <c r="AT114" i="46" s="1"/>
  <c r="AP81" i="46"/>
  <c r="AP109" i="46" s="1"/>
  <c r="AX84" i="46"/>
  <c r="AX112" i="46" s="1"/>
  <c r="N82" i="46"/>
  <c r="N110" i="46" s="1"/>
  <c r="V82" i="46"/>
  <c r="V110" i="46" s="1"/>
  <c r="AD82" i="46"/>
  <c r="AD110" i="46" s="1"/>
  <c r="Z83" i="46"/>
  <c r="Z111" i="46" s="1"/>
  <c r="AH83" i="46"/>
  <c r="AH111" i="46" s="1"/>
  <c r="AP83" i="46"/>
  <c r="AP111" i="46" s="1"/>
  <c r="J72" i="46"/>
  <c r="R72" i="46"/>
  <c r="Z72" i="46"/>
  <c r="V73" i="46"/>
  <c r="AD73" i="46"/>
  <c r="AL73" i="46"/>
  <c r="AH74" i="46"/>
  <c r="AP74" i="46"/>
  <c r="AX77" i="46"/>
  <c r="AT75" i="46"/>
  <c r="AT103" i="46" s="1"/>
  <c r="B76" i="46"/>
  <c r="B112" i="46" s="1"/>
  <c r="G71" i="46"/>
  <c r="G114" i="46" s="1"/>
  <c r="C81" i="46"/>
  <c r="C109" i="46" s="1"/>
  <c r="K81" i="46"/>
  <c r="K109" i="46" s="1"/>
  <c r="S81" i="46"/>
  <c r="S109" i="46" s="1"/>
  <c r="G82" i="46"/>
  <c r="G110" i="46" s="1"/>
  <c r="AM82" i="46"/>
  <c r="AM110" i="46" s="1"/>
  <c r="C83" i="46"/>
  <c r="C111" i="46" s="1"/>
  <c r="K83" i="46"/>
  <c r="K111" i="46" s="1"/>
  <c r="S83" i="46"/>
  <c r="S111" i="46" s="1"/>
  <c r="C72" i="46"/>
  <c r="K72" i="46"/>
  <c r="S72" i="46"/>
  <c r="AI72" i="46"/>
  <c r="W73" i="46"/>
  <c r="AE73" i="46"/>
  <c r="AM73" i="46"/>
  <c r="AU73" i="46"/>
  <c r="AW71" i="46"/>
  <c r="AW114" i="46" s="1"/>
  <c r="E81" i="46"/>
  <c r="E109" i="46" s="1"/>
  <c r="M81" i="46"/>
  <c r="M109" i="46" s="1"/>
  <c r="AW82" i="46"/>
  <c r="AW110" i="46" s="1"/>
  <c r="E83" i="46"/>
  <c r="E111" i="46" s="1"/>
  <c r="M83" i="46"/>
  <c r="M111" i="46" s="1"/>
  <c r="E72" i="46"/>
  <c r="M72" i="46"/>
  <c r="AS72" i="46"/>
  <c r="I73" i="46"/>
  <c r="Y73" i="46"/>
  <c r="AG73" i="46"/>
  <c r="E74" i="46"/>
  <c r="AC74" i="46"/>
  <c r="AK74" i="46"/>
  <c r="AS74" i="46"/>
  <c r="Q75" i="46"/>
  <c r="Q103" i="46" s="1"/>
  <c r="AO75" i="46"/>
  <c r="AO103" i="46" s="1"/>
  <c r="AW75" i="46"/>
  <c r="AW103" i="46" s="1"/>
  <c r="E76" i="46"/>
  <c r="E104" i="46" s="1"/>
  <c r="C73" i="46"/>
  <c r="Z73" i="46"/>
  <c r="AV73" i="46"/>
  <c r="AE75" i="46"/>
  <c r="AE103" i="46" s="1"/>
  <c r="AP75" i="46"/>
  <c r="AP103" i="46" s="1"/>
  <c r="J76" i="46"/>
  <c r="J104" i="46" s="1"/>
  <c r="R76" i="46"/>
  <c r="R104" i="46" s="1"/>
  <c r="F77" i="46"/>
  <c r="F105" i="46" s="1"/>
  <c r="N77" i="46"/>
  <c r="N105" i="46" s="1"/>
  <c r="V77" i="46"/>
  <c r="V105" i="46" s="1"/>
  <c r="AD77" i="46"/>
  <c r="AD105" i="46" s="1"/>
  <c r="R78" i="46"/>
  <c r="R106" i="46" s="1"/>
  <c r="Z78" i="46"/>
  <c r="Z106" i="46" s="1"/>
  <c r="AH78" i="46"/>
  <c r="AH106" i="46" s="1"/>
  <c r="AP78" i="46"/>
  <c r="AP106" i="46" s="1"/>
  <c r="AD79" i="46"/>
  <c r="AD107" i="46" s="1"/>
  <c r="AL79" i="46"/>
  <c r="AL107" i="46" s="1"/>
  <c r="AT79" i="46"/>
  <c r="AT107" i="46" s="1"/>
  <c r="B80" i="46"/>
  <c r="B116" i="46" s="1"/>
  <c r="AP80" i="46"/>
  <c r="AP108" i="46" s="1"/>
  <c r="AX83" i="46"/>
  <c r="AX111" i="46" s="1"/>
  <c r="F84" i="46"/>
  <c r="F115" i="46" s="1"/>
  <c r="N84" i="46"/>
  <c r="N115" i="46" s="1"/>
  <c r="H73" i="46"/>
  <c r="AA73" i="46"/>
  <c r="AX76" i="46"/>
  <c r="AF75" i="46"/>
  <c r="AF103" i="46" s="1"/>
  <c r="AQ75" i="46"/>
  <c r="AQ103" i="46" s="1"/>
  <c r="AY78" i="46"/>
  <c r="AY106" i="46" s="1"/>
  <c r="G77" i="46"/>
  <c r="G105" i="46" s="1"/>
  <c r="O77" i="46"/>
  <c r="O105" i="46" s="1"/>
  <c r="W77" i="46"/>
  <c r="W105" i="46" s="1"/>
  <c r="S78" i="46"/>
  <c r="S106" i="46" s="1"/>
  <c r="AA78" i="46"/>
  <c r="AA106" i="46" s="1"/>
  <c r="AI78" i="46"/>
  <c r="AI106" i="46" s="1"/>
  <c r="AE79" i="46"/>
  <c r="AE107" i="46" s="1"/>
  <c r="AM79" i="46"/>
  <c r="AM107" i="46" s="1"/>
  <c r="AU79" i="46"/>
  <c r="AU107" i="46" s="1"/>
  <c r="C80" i="46"/>
  <c r="C108" i="46" s="1"/>
  <c r="AQ80" i="46"/>
  <c r="AQ108" i="46" s="1"/>
  <c r="G84" i="46"/>
  <c r="G115" i="46" s="1"/>
  <c r="O84" i="46"/>
  <c r="O115" i="46" s="1"/>
  <c r="W84" i="46"/>
  <c r="W115" i="46" s="1"/>
  <c r="C85" i="46"/>
  <c r="C116" i="46" s="1"/>
  <c r="S85" i="46"/>
  <c r="S116" i="46" s="1"/>
  <c r="AA85" i="46"/>
  <c r="AA116" i="46" s="1"/>
  <c r="AI85" i="46"/>
  <c r="AI116" i="46" s="1"/>
  <c r="AJ81" i="46"/>
  <c r="AJ109" i="46" s="1"/>
  <c r="T83" i="46"/>
  <c r="T111" i="46" s="1"/>
  <c r="AM72" i="46"/>
  <c r="J73" i="46"/>
  <c r="AF73" i="46"/>
  <c r="AD74" i="46"/>
  <c r="W75" i="46"/>
  <c r="W103" i="46" s="1"/>
  <c r="AH75" i="46"/>
  <c r="AH103" i="46" s="1"/>
  <c r="AR75" i="46"/>
  <c r="AR103" i="46" s="1"/>
  <c r="L76" i="46"/>
  <c r="L104" i="46" s="1"/>
  <c r="AR76" i="46"/>
  <c r="AR104" i="46" s="1"/>
  <c r="H77" i="46"/>
  <c r="H105" i="46" s="1"/>
  <c r="P77" i="46"/>
  <c r="P105" i="46" s="1"/>
  <c r="X77" i="46"/>
  <c r="X105" i="46" s="1"/>
  <c r="L78" i="46"/>
  <c r="L106" i="46" s="1"/>
  <c r="T78" i="46"/>
  <c r="T106" i="46" s="1"/>
  <c r="AB78" i="46"/>
  <c r="AB106" i="46" s="1"/>
  <c r="AJ78" i="46"/>
  <c r="AJ106" i="46" s="1"/>
  <c r="AF79" i="46"/>
  <c r="AF107" i="46" s="1"/>
  <c r="AN79" i="46"/>
  <c r="AN107" i="46" s="1"/>
  <c r="AV79" i="46"/>
  <c r="AV107" i="46" s="1"/>
  <c r="AR80" i="46"/>
  <c r="AR108" i="46" s="1"/>
  <c r="H84" i="46"/>
  <c r="H115" i="46" s="1"/>
  <c r="P84" i="46"/>
  <c r="P115" i="46" s="1"/>
  <c r="L85" i="46"/>
  <c r="L116" i="46" s="1"/>
  <c r="T85" i="46"/>
  <c r="T116" i="46" s="1"/>
  <c r="AB85" i="46"/>
  <c r="AB116" i="46" s="1"/>
  <c r="AF86" i="46"/>
  <c r="AF117" i="46" s="1"/>
  <c r="AN86" i="46"/>
  <c r="AN117" i="46" s="1"/>
  <c r="AV86" i="46"/>
  <c r="AV117" i="46" s="1"/>
  <c r="AR87" i="46"/>
  <c r="AR118" i="46" s="1"/>
  <c r="AB83" i="46"/>
  <c r="AB111" i="46" s="1"/>
  <c r="AR72" i="46"/>
  <c r="AH73" i="46"/>
  <c r="C74" i="46"/>
  <c r="S74" i="46"/>
  <c r="M75" i="46"/>
  <c r="M103" i="46" s="1"/>
  <c r="AI75" i="46"/>
  <c r="AI103" i="46" s="1"/>
  <c r="AS75" i="46"/>
  <c r="AS103" i="46" s="1"/>
  <c r="D76" i="46"/>
  <c r="D104" i="46" s="1"/>
  <c r="AK76" i="46"/>
  <c r="AK104" i="46" s="1"/>
  <c r="AY79" i="46"/>
  <c r="AY107" i="46" s="1"/>
  <c r="I77" i="46"/>
  <c r="I105" i="46" s="1"/>
  <c r="Y77" i="46"/>
  <c r="Y105" i="46" s="1"/>
  <c r="AW77" i="46"/>
  <c r="AW105" i="46" s="1"/>
  <c r="U78" i="46"/>
  <c r="U106" i="46" s="1"/>
  <c r="AC78" i="46"/>
  <c r="AC106" i="46" s="1"/>
  <c r="AK78" i="46"/>
  <c r="AK106" i="46" s="1"/>
  <c r="I79" i="46"/>
  <c r="I107" i="46" s="1"/>
  <c r="AO79" i="46"/>
  <c r="AO107" i="46" s="1"/>
  <c r="AW79" i="46"/>
  <c r="AW107" i="46" s="1"/>
  <c r="E80" i="46"/>
  <c r="E108" i="46" s="1"/>
  <c r="U80" i="46"/>
  <c r="U108" i="46" s="1"/>
  <c r="AC80" i="46"/>
  <c r="AC108" i="46" s="1"/>
  <c r="AY83" i="46"/>
  <c r="AY111" i="46" s="1"/>
  <c r="I84" i="46"/>
  <c r="I115" i="46" s="1"/>
  <c r="AG84" i="46"/>
  <c r="AG115" i="46" s="1"/>
  <c r="U85" i="46"/>
  <c r="U116" i="46" s="1"/>
  <c r="AC85" i="46"/>
  <c r="AC116" i="46" s="1"/>
  <c r="AK85" i="46"/>
  <c r="AK116" i="46" s="1"/>
  <c r="AS85" i="46"/>
  <c r="AS116" i="46" s="1"/>
  <c r="AN71" i="46"/>
  <c r="AN114" i="46" s="1"/>
  <c r="AJ83" i="46"/>
  <c r="AJ111" i="46" s="1"/>
  <c r="AT72" i="46"/>
  <c r="P73" i="46"/>
  <c r="AI73" i="46"/>
  <c r="O75" i="46"/>
  <c r="O103" i="46" s="1"/>
  <c r="Z75" i="46"/>
  <c r="Z103" i="46" s="1"/>
  <c r="AJ75" i="46"/>
  <c r="AJ103" i="46" s="1"/>
  <c r="N76" i="46"/>
  <c r="N104" i="46" s="1"/>
  <c r="AL76" i="46"/>
  <c r="AL104" i="46" s="1"/>
  <c r="AT76" i="46"/>
  <c r="AT104" i="46" s="1"/>
  <c r="B77" i="46"/>
  <c r="B113" i="46" s="1"/>
  <c r="AX80" i="46"/>
  <c r="AX108" i="46" s="1"/>
  <c r="F78" i="46"/>
  <c r="F106" i="46" s="1"/>
  <c r="N78" i="46"/>
  <c r="N106" i="46" s="1"/>
  <c r="J79" i="46"/>
  <c r="J107" i="46" s="1"/>
  <c r="R79" i="46"/>
  <c r="R107" i="46" s="1"/>
  <c r="Z79" i="46"/>
  <c r="Z107" i="46" s="1"/>
  <c r="V80" i="46"/>
  <c r="V108" i="46" s="1"/>
  <c r="AD80" i="46"/>
  <c r="AD108" i="46" s="1"/>
  <c r="AL80" i="46"/>
  <c r="AL108" i="46" s="1"/>
  <c r="J84" i="46"/>
  <c r="J115" i="46" s="1"/>
  <c r="AF82" i="46"/>
  <c r="AF110" i="46" s="1"/>
  <c r="F72" i="46"/>
  <c r="AB72" i="46"/>
  <c r="AN73" i="46"/>
  <c r="AI74" i="46"/>
  <c r="AU74" i="46"/>
  <c r="E75" i="46"/>
  <c r="E103" i="46" s="1"/>
  <c r="AK75" i="46"/>
  <c r="AK103" i="46" s="1"/>
  <c r="O76" i="46"/>
  <c r="O104" i="46" s="1"/>
  <c r="W76" i="46"/>
  <c r="W104" i="46" s="1"/>
  <c r="AE76" i="46"/>
  <c r="AE104" i="46" s="1"/>
  <c r="AA77" i="46"/>
  <c r="AA105" i="46" s="1"/>
  <c r="AI77" i="46"/>
  <c r="AI105" i="46" s="1"/>
  <c r="AQ77" i="46"/>
  <c r="AQ105" i="46" s="1"/>
  <c r="AU78" i="46"/>
  <c r="AU106" i="46" s="1"/>
  <c r="C79" i="46"/>
  <c r="C107" i="46" s="1"/>
  <c r="K79" i="46"/>
  <c r="K107" i="46" s="1"/>
  <c r="AA79" i="46"/>
  <c r="AA107" i="46" s="1"/>
  <c r="AI79" i="46"/>
  <c r="AI107" i="46" s="1"/>
  <c r="O80" i="46"/>
  <c r="O108" i="46" s="1"/>
  <c r="W80" i="46"/>
  <c r="W108" i="46" s="1"/>
  <c r="AE80" i="46"/>
  <c r="AE108" i="46" s="1"/>
  <c r="C84" i="46"/>
  <c r="C115" i="46" s="1"/>
  <c r="AA84" i="46"/>
  <c r="AA115" i="46" s="1"/>
  <c r="AI84" i="46"/>
  <c r="AI115" i="46" s="1"/>
  <c r="AQ84" i="46"/>
  <c r="AQ115" i="46" s="1"/>
  <c r="AN82" i="46"/>
  <c r="AN110" i="46" s="1"/>
  <c r="G72" i="46"/>
  <c r="AD72" i="46"/>
  <c r="AP73" i="46"/>
  <c r="G74" i="46"/>
  <c r="W74" i="46"/>
  <c r="G75" i="46"/>
  <c r="G103" i="46" s="1"/>
  <c r="AM75" i="46"/>
  <c r="AM103" i="46" s="1"/>
  <c r="AX78" i="46"/>
  <c r="AX106" i="46" s="1"/>
  <c r="H76" i="46"/>
  <c r="H104" i="46" s="1"/>
  <c r="AF76" i="46"/>
  <c r="AF104" i="46" s="1"/>
  <c r="D77" i="46"/>
  <c r="D105" i="46" s="1"/>
  <c r="L77" i="46"/>
  <c r="L105" i="46" s="1"/>
  <c r="T77" i="46"/>
  <c r="T105" i="46" s="1"/>
  <c r="AR77" i="46"/>
  <c r="AR105" i="46" s="1"/>
  <c r="X78" i="46"/>
  <c r="X106" i="46" s="1"/>
  <c r="AF78" i="46"/>
  <c r="AF106" i="46" s="1"/>
  <c r="AN78" i="46"/>
  <c r="AN106" i="46" s="1"/>
  <c r="D79" i="46"/>
  <c r="D107" i="46" s="1"/>
  <c r="L79" i="46"/>
  <c r="L107" i="46" s="1"/>
  <c r="AJ79" i="46"/>
  <c r="AJ107" i="46" s="1"/>
  <c r="AR79" i="46"/>
  <c r="AR107" i="46" s="1"/>
  <c r="H80" i="46"/>
  <c r="H108" i="46" s="1"/>
  <c r="P80" i="46"/>
  <c r="P108" i="46" s="1"/>
  <c r="AF80" i="46"/>
  <c r="AF108" i="46" s="1"/>
  <c r="D84" i="46"/>
  <c r="D115" i="46" s="1"/>
  <c r="L84" i="46"/>
  <c r="L115" i="46" s="1"/>
  <c r="AT97" i="46"/>
  <c r="AL97" i="46"/>
  <c r="AD97" i="46"/>
  <c r="V97" i="46"/>
  <c r="N97" i="46"/>
  <c r="F97" i="46"/>
  <c r="AX99" i="46"/>
  <c r="AP96" i="46"/>
  <c r="AH96" i="46"/>
  <c r="Z96" i="46"/>
  <c r="R96" i="46"/>
  <c r="J96" i="46"/>
  <c r="B96" i="46"/>
  <c r="AL89" i="46"/>
  <c r="AL119" i="46" s="1"/>
  <c r="AD89" i="46"/>
  <c r="AD119" i="46" s="1"/>
  <c r="V89" i="46"/>
  <c r="V119" i="46" s="1"/>
  <c r="N89" i="46"/>
  <c r="N119" i="46" s="1"/>
  <c r="AX91" i="46"/>
  <c r="Z88" i="46"/>
  <c r="R88" i="46"/>
  <c r="J88" i="46"/>
  <c r="B88" i="46"/>
  <c r="AU87" i="46"/>
  <c r="AU118" i="46" s="1"/>
  <c r="AL87" i="46"/>
  <c r="AL118" i="46" s="1"/>
  <c r="AR86" i="46"/>
  <c r="AR117" i="46" s="1"/>
  <c r="AI86" i="46"/>
  <c r="AI117" i="46" s="1"/>
  <c r="Z86" i="46"/>
  <c r="Z117" i="46" s="1"/>
  <c r="Q86" i="46"/>
  <c r="Q117" i="46" s="1"/>
  <c r="AV85" i="46"/>
  <c r="AV116" i="46" s="1"/>
  <c r="I85" i="46"/>
  <c r="I116" i="46" s="1"/>
  <c r="AS84" i="46"/>
  <c r="AS115" i="46" s="1"/>
  <c r="AC84" i="46"/>
  <c r="AC115" i="46" s="1"/>
  <c r="AW80" i="46"/>
  <c r="AW108" i="46" s="1"/>
  <c r="Y78" i="46"/>
  <c r="Y106" i="46" s="1"/>
  <c r="AR97" i="46"/>
  <c r="AJ97" i="46"/>
  <c r="AB97" i="46"/>
  <c r="T97" i="46"/>
  <c r="L97" i="46"/>
  <c r="D97" i="46"/>
  <c r="AV96" i="46"/>
  <c r="AN96" i="46"/>
  <c r="AF96" i="46"/>
  <c r="X96" i="46"/>
  <c r="P96" i="46"/>
  <c r="H96" i="46"/>
  <c r="T89" i="46"/>
  <c r="T119" i="46" s="1"/>
  <c r="L89" i="46"/>
  <c r="L119" i="46" s="1"/>
  <c r="D89" i="46"/>
  <c r="D119" i="46" s="1"/>
  <c r="AV88" i="46"/>
  <c r="H88" i="46"/>
  <c r="AS87" i="46"/>
  <c r="AS118" i="46" s="1"/>
  <c r="Z87" i="46"/>
  <c r="Z118" i="46" s="1"/>
  <c r="H87" i="46"/>
  <c r="H118" i="46" s="1"/>
  <c r="AP86" i="46"/>
  <c r="AP117" i="46" s="1"/>
  <c r="W86" i="46"/>
  <c r="W117" i="46" s="1"/>
  <c r="N86" i="46"/>
  <c r="N117" i="46" s="1"/>
  <c r="AF85" i="46"/>
  <c r="AF116" i="46" s="1"/>
  <c r="R85" i="46"/>
  <c r="R116" i="46" s="1"/>
  <c r="F85" i="46"/>
  <c r="F116" i="46" s="1"/>
  <c r="Z84" i="46"/>
  <c r="Z115" i="46" s="1"/>
  <c r="AG80" i="46"/>
  <c r="AG108" i="46" s="1"/>
  <c r="AW76" i="46"/>
  <c r="AW104" i="46" s="1"/>
  <c r="AC75" i="46"/>
  <c r="AC103" i="46" s="1"/>
  <c r="X73" i="46"/>
  <c r="AQ97" i="46"/>
  <c r="AI97" i="46"/>
  <c r="AA97" i="46"/>
  <c r="S97" i="46"/>
  <c r="K97" i="46"/>
  <c r="C97" i="46"/>
  <c r="AU96" i="46"/>
  <c r="AM96" i="46"/>
  <c r="AE96" i="46"/>
  <c r="W96" i="46"/>
  <c r="O96" i="46"/>
  <c r="G96" i="46"/>
  <c r="AQ89" i="46"/>
  <c r="AQ119" i="46" s="1"/>
  <c r="AI89" i="46"/>
  <c r="AI119" i="46" s="1"/>
  <c r="AA89" i="46"/>
  <c r="AA119" i="46" s="1"/>
  <c r="C89" i="46"/>
  <c r="C119" i="46" s="1"/>
  <c r="AE88" i="46"/>
  <c r="W88" i="46"/>
  <c r="O88" i="46"/>
  <c r="AY90" i="46"/>
  <c r="AY121" i="46" s="1"/>
  <c r="AQ87" i="46"/>
  <c r="AQ118" i="46" s="1"/>
  <c r="P87" i="46"/>
  <c r="P118" i="46" s="1"/>
  <c r="AO86" i="46"/>
  <c r="AO117" i="46" s="1"/>
  <c r="AE86" i="46"/>
  <c r="AE117" i="46" s="1"/>
  <c r="V86" i="46"/>
  <c r="V117" i="46" s="1"/>
  <c r="B85" i="46"/>
  <c r="B121" i="46" s="1"/>
  <c r="AL84" i="46"/>
  <c r="AL115" i="46" s="1"/>
  <c r="V84" i="46"/>
  <c r="V115" i="46" s="1"/>
  <c r="Y80" i="46"/>
  <c r="Y108" i="46" s="1"/>
  <c r="AO76" i="46"/>
  <c r="AO104" i="46" s="1"/>
  <c r="AX100" i="46"/>
  <c r="AP97" i="46"/>
  <c r="AH97" i="46"/>
  <c r="Z97" i="46"/>
  <c r="R97" i="46"/>
  <c r="J97" i="46"/>
  <c r="B97" i="46"/>
  <c r="AT96" i="46"/>
  <c r="AL96" i="46"/>
  <c r="AD96" i="46"/>
  <c r="V96" i="46"/>
  <c r="N96" i="46"/>
  <c r="F96" i="46"/>
  <c r="AH89" i="46"/>
  <c r="AH119" i="46" s="1"/>
  <c r="Z89" i="46"/>
  <c r="Z119" i="46" s="1"/>
  <c r="R89" i="46"/>
  <c r="R119" i="46" s="1"/>
  <c r="AT88" i="46"/>
  <c r="V88" i="46"/>
  <c r="N88" i="46"/>
  <c r="F88" i="46"/>
  <c r="AP87" i="46"/>
  <c r="AP118" i="46" s="1"/>
  <c r="AG87" i="46"/>
  <c r="AG118" i="46" s="1"/>
  <c r="F87" i="46"/>
  <c r="F118" i="46" s="1"/>
  <c r="AM86" i="46"/>
  <c r="AM117" i="46" s="1"/>
  <c r="AD86" i="46"/>
  <c r="AD117" i="46" s="1"/>
  <c r="U86" i="46"/>
  <c r="U117" i="46" s="1"/>
  <c r="L86" i="46"/>
  <c r="L117" i="46" s="1"/>
  <c r="AD85" i="46"/>
  <c r="AD116" i="46" s="1"/>
  <c r="AY87" i="46"/>
  <c r="AY118" i="46" s="1"/>
  <c r="AK84" i="46"/>
  <c r="AK115" i="46" s="1"/>
  <c r="U84" i="46"/>
  <c r="U115" i="46" s="1"/>
  <c r="E79" i="46"/>
  <c r="E107" i="46" s="1"/>
  <c r="H75" i="46"/>
  <c r="H103" i="46" s="1"/>
  <c r="AE72" i="46"/>
  <c r="AW97" i="46"/>
  <c r="AO97" i="46"/>
  <c r="AG97" i="46"/>
  <c r="Y97" i="46"/>
  <c r="I97" i="46"/>
  <c r="AY99" i="46"/>
  <c r="AS96" i="46"/>
  <c r="AK96" i="46"/>
  <c r="AC96" i="46"/>
  <c r="U96" i="46"/>
  <c r="M96" i="46"/>
  <c r="E96" i="46"/>
  <c r="AO89" i="46"/>
  <c r="AO119" i="46" s="1"/>
  <c r="I89" i="46"/>
  <c r="I119" i="46" s="1"/>
  <c r="AY91" i="46"/>
  <c r="AS88" i="46"/>
  <c r="AC88" i="46"/>
  <c r="U88" i="46"/>
  <c r="W87" i="46"/>
  <c r="W118" i="46" s="1"/>
  <c r="N87" i="46"/>
  <c r="N118" i="46" s="1"/>
  <c r="E87" i="46"/>
  <c r="E118" i="46" s="1"/>
  <c r="AU86" i="46"/>
  <c r="AU117" i="46" s="1"/>
  <c r="B86" i="46"/>
  <c r="B122" i="46" s="1"/>
  <c r="AN85" i="46"/>
  <c r="AN116" i="46" s="1"/>
  <c r="Z85" i="46"/>
  <c r="Z116" i="46" s="1"/>
  <c r="T84" i="46"/>
  <c r="T115" i="46" s="1"/>
  <c r="AK77" i="46"/>
  <c r="AK105" i="46" s="1"/>
  <c r="Y76" i="46"/>
  <c r="Y104" i="46" s="1"/>
  <c r="AW74" i="46"/>
  <c r="X97" i="46"/>
  <c r="P97" i="46"/>
  <c r="H97" i="46"/>
  <c r="AR96" i="46"/>
  <c r="AJ96" i="46"/>
  <c r="AB96" i="46"/>
  <c r="T96" i="46"/>
  <c r="L96" i="46"/>
  <c r="D96" i="46"/>
  <c r="AF89" i="46"/>
  <c r="AF119" i="46" s="1"/>
  <c r="X89" i="46"/>
  <c r="X119" i="46" s="1"/>
  <c r="P89" i="46"/>
  <c r="P119" i="46" s="1"/>
  <c r="L88" i="46"/>
  <c r="D88" i="46"/>
  <c r="AW87" i="46"/>
  <c r="AW118" i="46" s="1"/>
  <c r="AN87" i="46"/>
  <c r="AN118" i="46" s="1"/>
  <c r="AE87" i="46"/>
  <c r="AE118" i="46" s="1"/>
  <c r="C87" i="46"/>
  <c r="C118" i="46" s="1"/>
  <c r="AK86" i="46"/>
  <c r="AK117" i="46" s="1"/>
  <c r="AB86" i="46"/>
  <c r="AB117" i="46" s="1"/>
  <c r="S86" i="46"/>
  <c r="S117" i="46" s="1"/>
  <c r="J86" i="46"/>
  <c r="J117" i="46" s="1"/>
  <c r="Y85" i="46"/>
  <c r="Y116" i="46" s="1"/>
  <c r="AH84" i="46"/>
  <c r="AH115" i="46" s="1"/>
  <c r="M84" i="46"/>
  <c r="M115" i="46" s="1"/>
  <c r="AY82" i="46"/>
  <c r="AY110" i="46" s="1"/>
  <c r="AL74" i="46"/>
  <c r="W97" i="46"/>
  <c r="O97" i="46"/>
  <c r="G97" i="46"/>
  <c r="AQ96" i="46"/>
  <c r="AI96" i="46"/>
  <c r="AA96" i="46"/>
  <c r="S96" i="46"/>
  <c r="K96" i="46"/>
  <c r="C96" i="46"/>
  <c r="AU89" i="46"/>
  <c r="AU119" i="46" s="1"/>
  <c r="AM89" i="46"/>
  <c r="AM119" i="46" s="1"/>
  <c r="O89" i="46"/>
  <c r="O119" i="46" s="1"/>
  <c r="G89" i="46"/>
  <c r="G119" i="46" s="1"/>
  <c r="AI88" i="46"/>
  <c r="AA88" i="46"/>
  <c r="S88" i="46"/>
  <c r="AD87" i="46"/>
  <c r="AD118" i="46" s="1"/>
  <c r="B87" i="46"/>
  <c r="AS86" i="46"/>
  <c r="AS117" i="46" s="1"/>
  <c r="AJ86" i="46"/>
  <c r="AJ117" i="46" s="1"/>
  <c r="I86" i="46"/>
  <c r="I117" i="46" s="1"/>
  <c r="X85" i="46"/>
  <c r="X116" i="46" s="1"/>
  <c r="J85" i="46"/>
  <c r="J116" i="46" s="1"/>
  <c r="AT84" i="46"/>
  <c r="AT115" i="46" s="1"/>
  <c r="AS79" i="46"/>
  <c r="AS107" i="46" s="1"/>
  <c r="I76" i="46"/>
  <c r="I104" i="46" s="1"/>
  <c r="X74" i="46"/>
  <c r="AV69" i="46"/>
  <c r="AT69" i="46"/>
  <c r="AR69" i="46"/>
  <c r="AG69" i="46"/>
  <c r="Y69" i="46"/>
  <c r="AQ69" i="46"/>
  <c r="AM69" i="46"/>
  <c r="AE69" i="46"/>
  <c r="AP69" i="46"/>
  <c r="AK69" i="46"/>
  <c r="AN69" i="46"/>
  <c r="AI69" i="46"/>
  <c r="AA69" i="46"/>
  <c r="S69" i="46"/>
  <c r="AD69" i="46"/>
  <c r="AL69" i="46"/>
  <c r="AF69" i="46"/>
  <c r="AJ69" i="46"/>
  <c r="AC69" i="46"/>
  <c r="AW69" i="46"/>
  <c r="AB69" i="46"/>
  <c r="K69" i="46"/>
  <c r="C69" i="46"/>
  <c r="Z65" i="46"/>
  <c r="Z101" i="46" s="1"/>
  <c r="X69" i="46"/>
  <c r="P69" i="46"/>
  <c r="H69" i="46"/>
  <c r="AY68" i="46"/>
  <c r="AY104" i="46" s="1"/>
  <c r="W69" i="46"/>
  <c r="O69" i="46"/>
  <c r="G69" i="46"/>
  <c r="AM66" i="46"/>
  <c r="AM102" i="46" s="1"/>
  <c r="V69" i="46"/>
  <c r="N69" i="46"/>
  <c r="F69" i="46"/>
  <c r="K67" i="46"/>
  <c r="K112" i="46" s="1"/>
  <c r="U69" i="46"/>
  <c r="M69" i="46"/>
  <c r="E69" i="46"/>
  <c r="AQ67" i="46"/>
  <c r="AQ112" i="46" s="1"/>
  <c r="T69" i="46"/>
  <c r="L69" i="46"/>
  <c r="D69" i="46"/>
  <c r="AT68" i="46"/>
  <c r="C66" i="46"/>
  <c r="C102" i="46" s="1"/>
  <c r="AO66" i="46"/>
  <c r="AO102" i="46" s="1"/>
  <c r="L67" i="46"/>
  <c r="L112" i="46" s="1"/>
  <c r="AV68" i="46"/>
  <c r="AK65" i="46"/>
  <c r="AK101" i="46" s="1"/>
  <c r="D66" i="46"/>
  <c r="D102" i="46" s="1"/>
  <c r="AQ66" i="46"/>
  <c r="AQ102" i="46" s="1"/>
  <c r="S67" i="46"/>
  <c r="S112" i="46" s="1"/>
  <c r="AU67" i="46"/>
  <c r="AU112" i="46" s="1"/>
  <c r="AM65" i="46"/>
  <c r="AM101" i="46" s="1"/>
  <c r="K66" i="46"/>
  <c r="K102" i="46" s="1"/>
  <c r="U67" i="46"/>
  <c r="U112" i="46" s="1"/>
  <c r="AY70" i="46"/>
  <c r="AY115" i="46" s="1"/>
  <c r="C65" i="46"/>
  <c r="C101" i="46" s="1"/>
  <c r="AO65" i="46"/>
  <c r="AO101" i="46" s="1"/>
  <c r="L66" i="46"/>
  <c r="L102" i="46" s="1"/>
  <c r="AF67" i="46"/>
  <c r="AF112" i="46" s="1"/>
  <c r="B68" i="46"/>
  <c r="B104" i="46" s="1"/>
  <c r="D70" i="46"/>
  <c r="D113" i="46" s="1"/>
  <c r="D65" i="46"/>
  <c r="D101" i="46" s="1"/>
  <c r="Z66" i="46"/>
  <c r="Z102" i="46" s="1"/>
  <c r="AY69" i="46"/>
  <c r="AY105" i="46" s="1"/>
  <c r="AG67" i="46"/>
  <c r="AG112" i="46" s="1"/>
  <c r="D68" i="46"/>
  <c r="J70" i="46"/>
  <c r="J113" i="46" s="1"/>
  <c r="N65" i="46"/>
  <c r="N101" i="46" s="1"/>
  <c r="AF66" i="46"/>
  <c r="AF102" i="46" s="1"/>
  <c r="AK67" i="46"/>
  <c r="AK112" i="46" s="1"/>
  <c r="P68" i="46"/>
  <c r="S65" i="46"/>
  <c r="S101" i="46" s="1"/>
  <c r="AG66" i="46"/>
  <c r="AG102" i="46" s="1"/>
  <c r="AE68" i="46"/>
  <c r="U65" i="46"/>
  <c r="U101" i="46" s="1"/>
  <c r="F66" i="46"/>
  <c r="F102" i="46" s="1"/>
  <c r="AP66" i="46"/>
  <c r="AP102" i="46" s="1"/>
  <c r="N67" i="46"/>
  <c r="N112" i="46" s="1"/>
  <c r="L68" i="46"/>
  <c r="B70" i="46"/>
  <c r="B106" i="46" s="1"/>
  <c r="F65" i="46"/>
  <c r="F101" i="46" s="1"/>
  <c r="AP65" i="46"/>
  <c r="AP101" i="46" s="1"/>
  <c r="N66" i="46"/>
  <c r="N102" i="46" s="1"/>
  <c r="C67" i="46"/>
  <c r="C112" i="46" s="1"/>
  <c r="Z67" i="46"/>
  <c r="Z112" i="46" s="1"/>
  <c r="AM67" i="46"/>
  <c r="AM112" i="46" s="1"/>
  <c r="AG68" i="46"/>
  <c r="W70" i="46"/>
  <c r="W113" i="46" s="1"/>
  <c r="K65" i="46"/>
  <c r="K101" i="46" s="1"/>
  <c r="AF65" i="46"/>
  <c r="AF101" i="46" s="1"/>
  <c r="AQ65" i="46"/>
  <c r="AQ101" i="46" s="1"/>
  <c r="S66" i="46"/>
  <c r="S102" i="46" s="1"/>
  <c r="AK66" i="46"/>
  <c r="AK102" i="46" s="1"/>
  <c r="D67" i="46"/>
  <c r="D112" i="46" s="1"/>
  <c r="AO67" i="46"/>
  <c r="AO112" i="46" s="1"/>
  <c r="AJ68" i="46"/>
  <c r="Y70" i="46"/>
  <c r="Y113" i="46" s="1"/>
  <c r="L65" i="46"/>
  <c r="L101" i="46" s="1"/>
  <c r="AG65" i="46"/>
  <c r="AG101" i="46" s="1"/>
  <c r="U66" i="46"/>
  <c r="U102" i="46" s="1"/>
  <c r="F67" i="46"/>
  <c r="F112" i="46" s="1"/>
  <c r="AP67" i="46"/>
  <c r="AP112" i="46" s="1"/>
  <c r="AS68" i="46"/>
  <c r="AC70" i="46"/>
  <c r="AC113" i="46" s="1"/>
  <c r="E65" i="46"/>
  <c r="E101" i="46" s="1"/>
  <c r="M65" i="46"/>
  <c r="M101" i="46" s="1"/>
  <c r="T65" i="46"/>
  <c r="T101" i="46" s="1"/>
  <c r="AA65" i="46"/>
  <c r="AA101" i="46" s="1"/>
  <c r="AL65" i="46"/>
  <c r="AL101" i="46" s="1"/>
  <c r="E66" i="46"/>
  <c r="E102" i="46" s="1"/>
  <c r="M66" i="46"/>
  <c r="M102" i="46" s="1"/>
  <c r="T66" i="46"/>
  <c r="T102" i="46" s="1"/>
  <c r="AA66" i="46"/>
  <c r="AA102" i="46" s="1"/>
  <c r="AL66" i="46"/>
  <c r="AL102" i="46" s="1"/>
  <c r="E67" i="46"/>
  <c r="E112" i="46" s="1"/>
  <c r="M67" i="46"/>
  <c r="M112" i="46" s="1"/>
  <c r="T67" i="46"/>
  <c r="T112" i="46" s="1"/>
  <c r="AA67" i="46"/>
  <c r="AA112" i="46" s="1"/>
  <c r="AL67" i="46"/>
  <c r="AL112" i="46" s="1"/>
  <c r="C68" i="46"/>
  <c r="R68" i="46"/>
  <c r="AI68" i="46"/>
  <c r="B69" i="46"/>
  <c r="B105" i="46" s="1"/>
  <c r="H70" i="46"/>
  <c r="H113" i="46" s="1"/>
  <c r="G65" i="46"/>
  <c r="G101" i="46" s="1"/>
  <c r="O65" i="46"/>
  <c r="O101" i="46" s="1"/>
  <c r="V65" i="46"/>
  <c r="V101" i="46" s="1"/>
  <c r="AB65" i="46"/>
  <c r="AB101" i="46" s="1"/>
  <c r="AH65" i="46"/>
  <c r="AH101" i="46" s="1"/>
  <c r="AR65" i="46"/>
  <c r="AR101" i="46" s="1"/>
  <c r="AU65" i="46"/>
  <c r="AU101" i="46" s="1"/>
  <c r="G66" i="46"/>
  <c r="G102" i="46" s="1"/>
  <c r="O66" i="46"/>
  <c r="O102" i="46" s="1"/>
  <c r="V66" i="46"/>
  <c r="V102" i="46" s="1"/>
  <c r="AB66" i="46"/>
  <c r="AB102" i="46" s="1"/>
  <c r="AH66" i="46"/>
  <c r="AH102" i="46" s="1"/>
  <c r="AR66" i="46"/>
  <c r="AR102" i="46" s="1"/>
  <c r="AU66" i="46"/>
  <c r="AU102" i="46" s="1"/>
  <c r="G67" i="46"/>
  <c r="G112" i="46" s="1"/>
  <c r="O67" i="46"/>
  <c r="O112" i="46" s="1"/>
  <c r="V67" i="46"/>
  <c r="V112" i="46" s="1"/>
  <c r="AB67" i="46"/>
  <c r="AB112" i="46" s="1"/>
  <c r="AH67" i="46"/>
  <c r="AH112" i="46" s="1"/>
  <c r="AR67" i="46"/>
  <c r="AR112" i="46" s="1"/>
  <c r="AV67" i="46"/>
  <c r="AV112" i="46" s="1"/>
  <c r="G68" i="46"/>
  <c r="W68" i="46"/>
  <c r="AX71" i="46"/>
  <c r="L70" i="46"/>
  <c r="L113" i="46" s="1"/>
  <c r="AG70" i="46"/>
  <c r="AG113" i="46" s="1"/>
  <c r="H65" i="46"/>
  <c r="H101" i="46" s="1"/>
  <c r="P65" i="46"/>
  <c r="P101" i="46" s="1"/>
  <c r="W65" i="46"/>
  <c r="W101" i="46" s="1"/>
  <c r="AC65" i="46"/>
  <c r="AC101" i="46" s="1"/>
  <c r="AI65" i="46"/>
  <c r="AI101" i="46" s="1"/>
  <c r="AS65" i="46"/>
  <c r="AS101" i="46" s="1"/>
  <c r="AV65" i="46"/>
  <c r="AV101" i="46" s="1"/>
  <c r="H66" i="46"/>
  <c r="H102" i="46" s="1"/>
  <c r="P66" i="46"/>
  <c r="P102" i="46" s="1"/>
  <c r="W66" i="46"/>
  <c r="W102" i="46" s="1"/>
  <c r="AC66" i="46"/>
  <c r="AC102" i="46" s="1"/>
  <c r="AI66" i="46"/>
  <c r="AI102" i="46" s="1"/>
  <c r="AS66" i="46"/>
  <c r="AS102" i="46" s="1"/>
  <c r="AV66" i="46"/>
  <c r="AV102" i="46" s="1"/>
  <c r="H67" i="46"/>
  <c r="H112" i="46" s="1"/>
  <c r="P67" i="46"/>
  <c r="P112" i="46" s="1"/>
  <c r="W67" i="46"/>
  <c r="W112" i="46" s="1"/>
  <c r="AC67" i="46"/>
  <c r="AC112" i="46" s="1"/>
  <c r="AI67" i="46"/>
  <c r="AI112" i="46" s="1"/>
  <c r="AS67" i="46"/>
  <c r="AS112" i="46" s="1"/>
  <c r="AX70" i="46"/>
  <c r="AX115" i="46" s="1"/>
  <c r="H68" i="46"/>
  <c r="Y68" i="46"/>
  <c r="P70" i="46"/>
  <c r="P113" i="46" s="1"/>
  <c r="AX73" i="46"/>
  <c r="AX116" i="46" s="1"/>
  <c r="AT70" i="46"/>
  <c r="AT113" i="46" s="1"/>
  <c r="AN70" i="46"/>
  <c r="AN113" i="46" s="1"/>
  <c r="AJ70" i="46"/>
  <c r="AJ113" i="46" s="1"/>
  <c r="AE70" i="46"/>
  <c r="AE113" i="46" s="1"/>
  <c r="AW70" i="46"/>
  <c r="AW113" i="46" s="1"/>
  <c r="AD70" i="46"/>
  <c r="AD113" i="46" s="1"/>
  <c r="X70" i="46"/>
  <c r="X113" i="46" s="1"/>
  <c r="Q70" i="46"/>
  <c r="Q113" i="46" s="1"/>
  <c r="I70" i="46"/>
  <c r="I113" i="46" s="1"/>
  <c r="AW68" i="46"/>
  <c r="AD68" i="46"/>
  <c r="X68" i="46"/>
  <c r="Q68" i="46"/>
  <c r="I68" i="46"/>
  <c r="AW67" i="46"/>
  <c r="AW112" i="46" s="1"/>
  <c r="AV70" i="46"/>
  <c r="AV113" i="46" s="1"/>
  <c r="AS70" i="46"/>
  <c r="AS113" i="46" s="1"/>
  <c r="AI70" i="46"/>
  <c r="AI113" i="46" s="1"/>
  <c r="AU70" i="46"/>
  <c r="AU113" i="46" s="1"/>
  <c r="AR70" i="46"/>
  <c r="AR113" i="46" s="1"/>
  <c r="AH70" i="46"/>
  <c r="AH113" i="46" s="1"/>
  <c r="AB70" i="46"/>
  <c r="AB113" i="46" s="1"/>
  <c r="V70" i="46"/>
  <c r="V113" i="46" s="1"/>
  <c r="O70" i="46"/>
  <c r="O113" i="46" s="1"/>
  <c r="G70" i="46"/>
  <c r="G113" i="46" s="1"/>
  <c r="AU68" i="46"/>
  <c r="AR68" i="46"/>
  <c r="AH68" i="46"/>
  <c r="AB68" i="46"/>
  <c r="V68" i="46"/>
  <c r="O68" i="46"/>
  <c r="AY73" i="46"/>
  <c r="AY116" i="46" s="1"/>
  <c r="AQ70" i="46"/>
  <c r="AQ113" i="46" s="1"/>
  <c r="AM70" i="46"/>
  <c r="AM113" i="46" s="1"/>
  <c r="U70" i="46"/>
  <c r="U113" i="46" s="1"/>
  <c r="N70" i="46"/>
  <c r="N113" i="46" s="1"/>
  <c r="F70" i="46"/>
  <c r="F113" i="46" s="1"/>
  <c r="AY71" i="46"/>
  <c r="AQ68" i="46"/>
  <c r="AM68" i="46"/>
  <c r="U68" i="46"/>
  <c r="N68" i="46"/>
  <c r="F68" i="46"/>
  <c r="AL70" i="46"/>
  <c r="AL113" i="46" s="1"/>
  <c r="AA70" i="46"/>
  <c r="AA113" i="46" s="1"/>
  <c r="T70" i="46"/>
  <c r="T113" i="46" s="1"/>
  <c r="M70" i="46"/>
  <c r="M113" i="46" s="1"/>
  <c r="E70" i="46"/>
  <c r="E113" i="46" s="1"/>
  <c r="AL68" i="46"/>
  <c r="AA68" i="46"/>
  <c r="T68" i="46"/>
  <c r="M68" i="46"/>
  <c r="E68" i="46"/>
  <c r="AO70" i="46"/>
  <c r="AO113" i="46" s="1"/>
  <c r="AK70" i="46"/>
  <c r="AK113" i="46" s="1"/>
  <c r="AF70" i="46"/>
  <c r="AF113" i="46" s="1"/>
  <c r="Z70" i="46"/>
  <c r="Z113" i="46" s="1"/>
  <c r="S70" i="46"/>
  <c r="S113" i="46" s="1"/>
  <c r="K70" i="46"/>
  <c r="K113" i="46" s="1"/>
  <c r="C70" i="46"/>
  <c r="C113" i="46" s="1"/>
  <c r="AO68" i="46"/>
  <c r="AK68" i="46"/>
  <c r="AF68" i="46"/>
  <c r="Z68" i="46"/>
  <c r="S68" i="46"/>
  <c r="I65" i="46"/>
  <c r="I101" i="46" s="1"/>
  <c r="Q65" i="46"/>
  <c r="Q101" i="46" s="1"/>
  <c r="X65" i="46"/>
  <c r="X101" i="46" s="1"/>
  <c r="AD65" i="46"/>
  <c r="AD101" i="46" s="1"/>
  <c r="AW65" i="46"/>
  <c r="AW101" i="46" s="1"/>
  <c r="I66" i="46"/>
  <c r="I102" i="46" s="1"/>
  <c r="Q66" i="46"/>
  <c r="Q102" i="46" s="1"/>
  <c r="X66" i="46"/>
  <c r="X102" i="46" s="1"/>
  <c r="AD66" i="46"/>
  <c r="AD102" i="46" s="1"/>
  <c r="AW66" i="46"/>
  <c r="AW102" i="46" s="1"/>
  <c r="I67" i="46"/>
  <c r="I112" i="46" s="1"/>
  <c r="Q67" i="46"/>
  <c r="Q112" i="46" s="1"/>
  <c r="X67" i="46"/>
  <c r="X112" i="46" s="1"/>
  <c r="AD67" i="46"/>
  <c r="AD112" i="46" s="1"/>
  <c r="J68" i="46"/>
  <c r="AN68" i="46"/>
  <c r="R70" i="46"/>
  <c r="R113" i="46" s="1"/>
  <c r="AP70" i="46"/>
  <c r="AP113" i="46" s="1"/>
  <c r="Q69" i="46"/>
  <c r="I69" i="46"/>
  <c r="B65" i="46"/>
  <c r="B101" i="46" s="1"/>
  <c r="J65" i="46"/>
  <c r="J101" i="46" s="1"/>
  <c r="R65" i="46"/>
  <c r="R101" i="46" s="1"/>
  <c r="Y65" i="46"/>
  <c r="Y101" i="46" s="1"/>
  <c r="AE65" i="46"/>
  <c r="AE101" i="46" s="1"/>
  <c r="AJ65" i="46"/>
  <c r="AJ101" i="46" s="1"/>
  <c r="AN65" i="46"/>
  <c r="AN101" i="46" s="1"/>
  <c r="AT65" i="46"/>
  <c r="AT101" i="46" s="1"/>
  <c r="AX68" i="46"/>
  <c r="AX104" i="46" s="1"/>
  <c r="B66" i="46"/>
  <c r="B102" i="46" s="1"/>
  <c r="J66" i="46"/>
  <c r="J102" i="46" s="1"/>
  <c r="R66" i="46"/>
  <c r="R102" i="46" s="1"/>
  <c r="Y66" i="46"/>
  <c r="Y102" i="46" s="1"/>
  <c r="AE66" i="46"/>
  <c r="AE102" i="46" s="1"/>
  <c r="AJ66" i="46"/>
  <c r="AJ102" i="46" s="1"/>
  <c r="AN66" i="46"/>
  <c r="AN102" i="46" s="1"/>
  <c r="AT66" i="46"/>
  <c r="AT102" i="46" s="1"/>
  <c r="AX69" i="46"/>
  <c r="AX105" i="46" s="1"/>
  <c r="B67" i="46"/>
  <c r="B103" i="46" s="1"/>
  <c r="J67" i="46"/>
  <c r="J112" i="46" s="1"/>
  <c r="R67" i="46"/>
  <c r="R112" i="46" s="1"/>
  <c r="Y67" i="46"/>
  <c r="Y112" i="46" s="1"/>
  <c r="AE67" i="46"/>
  <c r="AE112" i="46" s="1"/>
  <c r="AJ67" i="46"/>
  <c r="AJ112" i="46" s="1"/>
  <c r="AN67" i="46"/>
  <c r="AN112" i="46" s="1"/>
  <c r="AT67" i="46"/>
  <c r="AT112" i="46" s="1"/>
  <c r="K68" i="46"/>
  <c r="AC68" i="46"/>
  <c r="AP68" i="46"/>
  <c r="AS91" i="46"/>
  <c r="AS121" i="46" s="1"/>
  <c r="P91" i="46"/>
  <c r="P121" i="46" s="1"/>
  <c r="AS90" i="46"/>
  <c r="AS120" i="46" s="1"/>
  <c r="AN90" i="46"/>
  <c r="AN120" i="46" s="1"/>
  <c r="I91" i="46"/>
  <c r="I121" i="46" s="1"/>
  <c r="AE89" i="46"/>
  <c r="AE119" i="46" s="1"/>
  <c r="AH91" i="46"/>
  <c r="AH121" i="46" s="1"/>
  <c r="AD91" i="46"/>
  <c r="AD121" i="46" s="1"/>
  <c r="AW89" i="46"/>
  <c r="AW119" i="46" s="1"/>
  <c r="AW90" i="46"/>
  <c r="AW120" i="46" s="1"/>
  <c r="AC91" i="46"/>
  <c r="AC121" i="46" s="1"/>
  <c r="J91" i="46"/>
  <c r="J121" i="46" s="1"/>
  <c r="I90" i="46"/>
  <c r="I120" i="46" s="1"/>
  <c r="AX92" i="46"/>
  <c r="AX122" i="46" s="1"/>
  <c r="AG89" i="46"/>
  <c r="AG119" i="46" s="1"/>
  <c r="AV90" i="46"/>
  <c r="AV120" i="46" s="1"/>
  <c r="R90" i="46"/>
  <c r="R120" i="46" s="1"/>
  <c r="AS89" i="46"/>
  <c r="AS119" i="46" s="1"/>
  <c r="AV91" i="46"/>
  <c r="AV121" i="46" s="1"/>
  <c r="AI90" i="46"/>
  <c r="AI120" i="46" s="1"/>
  <c r="Q90" i="46"/>
  <c r="Q120" i="46" s="1"/>
  <c r="W89" i="46"/>
  <c r="W119" i="46" s="1"/>
  <c r="AU88" i="46"/>
  <c r="AU91" i="46"/>
  <c r="AU121" i="46" s="1"/>
  <c r="Q91" i="46"/>
  <c r="Q121" i="46" s="1"/>
  <c r="AE90" i="46"/>
  <c r="AE120" i="46" s="1"/>
  <c r="AA91" i="46"/>
  <c r="AA121" i="46" s="1"/>
  <c r="F91" i="46"/>
  <c r="F121" i="46" s="1"/>
  <c r="G90" i="46"/>
  <c r="G120" i="46" s="1"/>
  <c r="AP89" i="46"/>
  <c r="AP119" i="46" s="1"/>
  <c r="Y88" i="46"/>
  <c r="M91" i="46"/>
  <c r="M121" i="46" s="1"/>
  <c r="E91" i="46"/>
  <c r="E121" i="46" s="1"/>
  <c r="T90" i="46"/>
  <c r="T120" i="46" s="1"/>
  <c r="N90" i="46"/>
  <c r="N120" i="46" s="1"/>
  <c r="AY92" i="46"/>
  <c r="AY122" i="46" s="1"/>
  <c r="AN89" i="46"/>
  <c r="AN119" i="46" s="1"/>
  <c r="AM88" i="46"/>
  <c r="AF88" i="46"/>
  <c r="X88" i="46"/>
  <c r="T91" i="46"/>
  <c r="T121" i="46" s="1"/>
  <c r="AQ90" i="46"/>
  <c r="AQ120" i="46" s="1"/>
  <c r="J89" i="46"/>
  <c r="J119" i="46" s="1"/>
  <c r="G87" i="46"/>
  <c r="G118" i="46" s="1"/>
  <c r="AK91" i="46"/>
  <c r="AK121" i="46" s="1"/>
  <c r="AF91" i="46"/>
  <c r="AF121" i="46" s="1"/>
  <c r="Z91" i="46"/>
  <c r="Z121" i="46" s="1"/>
  <c r="S91" i="46"/>
  <c r="S121" i="46" s="1"/>
  <c r="L91" i="46"/>
  <c r="L121" i="46" s="1"/>
  <c r="E90" i="46"/>
  <c r="E120" i="46" s="1"/>
  <c r="Q89" i="46"/>
  <c r="Q119" i="46" s="1"/>
  <c r="AR88" i="46"/>
  <c r="AL88" i="46"/>
  <c r="C88" i="46"/>
  <c r="Q71" i="46"/>
  <c r="Q114" i="46" s="1"/>
  <c r="X71" i="46"/>
  <c r="X114" i="46" s="1"/>
  <c r="I81" i="46"/>
  <c r="I109" i="46" s="1"/>
  <c r="W81" i="46"/>
  <c r="W109" i="46" s="1"/>
  <c r="AC81" i="46"/>
  <c r="AC109" i="46" s="1"/>
  <c r="AI81" i="46"/>
  <c r="AI109" i="46" s="1"/>
  <c r="AS81" i="46"/>
  <c r="AS109" i="46" s="1"/>
  <c r="AV81" i="46"/>
  <c r="AV109" i="46" s="1"/>
  <c r="R71" i="46"/>
  <c r="R114" i="46" s="1"/>
  <c r="Y71" i="46"/>
  <c r="Y114" i="46" s="1"/>
  <c r="AE71" i="46"/>
  <c r="AE114" i="46" s="1"/>
  <c r="AJ71" i="46"/>
  <c r="AJ114" i="46" s="1"/>
  <c r="B81" i="46"/>
  <c r="B117" i="46" s="1"/>
  <c r="J81" i="46"/>
  <c r="J109" i="46" s="1"/>
  <c r="AD81" i="46"/>
  <c r="AD109" i="46" s="1"/>
  <c r="Z71" i="46"/>
  <c r="Z114" i="46" s="1"/>
  <c r="AF71" i="46"/>
  <c r="AF114" i="46" s="1"/>
  <c r="AO71" i="46"/>
  <c r="AO114" i="46" s="1"/>
  <c r="R81" i="46"/>
  <c r="R109" i="46" s="1"/>
  <c r="Y81" i="46"/>
  <c r="Y109" i="46" s="1"/>
  <c r="AN81" i="46"/>
  <c r="AN109" i="46" s="1"/>
  <c r="AT81" i="46"/>
  <c r="AT109" i="46" s="1"/>
  <c r="M71" i="46"/>
  <c r="M114" i="46" s="1"/>
  <c r="AG71" i="46"/>
  <c r="AG114" i="46" s="1"/>
  <c r="AP71" i="46"/>
  <c r="AP114" i="46" s="1"/>
  <c r="D81" i="46"/>
  <c r="D109" i="46" s="1"/>
  <c r="L81" i="46"/>
  <c r="L109" i="46" s="1"/>
  <c r="Z81" i="46"/>
  <c r="Z109" i="46" s="1"/>
  <c r="AK81" i="46"/>
  <c r="AK109" i="46" s="1"/>
  <c r="I82" i="46"/>
  <c r="I110" i="46" s="1"/>
  <c r="P82" i="46"/>
  <c r="P110" i="46" s="1"/>
  <c r="W82" i="46"/>
  <c r="W110" i="46" s="1"/>
  <c r="AI82" i="46"/>
  <c r="AI110" i="46" s="1"/>
  <c r="AS82" i="46"/>
  <c r="AS110" i="46" s="1"/>
  <c r="AV82" i="46"/>
  <c r="AV110" i="46" s="1"/>
  <c r="H83" i="46"/>
  <c r="H111" i="46" s="1"/>
  <c r="O83" i="46"/>
  <c r="O111" i="46" s="1"/>
  <c r="V83" i="46"/>
  <c r="V111" i="46" s="1"/>
  <c r="AR83" i="46"/>
  <c r="AR111" i="46" s="1"/>
  <c r="F79" i="46"/>
  <c r="F107" i="46" s="1"/>
  <c r="N79" i="46"/>
  <c r="N107" i="46" s="1"/>
  <c r="T79" i="46"/>
  <c r="T107" i="46" s="1"/>
  <c r="F71" i="46"/>
  <c r="F114" i="46" s="1"/>
  <c r="N71" i="46"/>
  <c r="N114" i="46" s="1"/>
  <c r="T71" i="46"/>
  <c r="T114" i="46" s="1"/>
  <c r="AG81" i="46"/>
  <c r="AG109" i="46" s="1"/>
  <c r="B82" i="46"/>
  <c r="B118" i="46" s="1"/>
  <c r="J82" i="46"/>
  <c r="J110" i="46" s="1"/>
  <c r="Q82" i="46"/>
  <c r="Q110" i="46" s="1"/>
  <c r="X82" i="46"/>
  <c r="X110" i="46" s="1"/>
  <c r="I83" i="46"/>
  <c r="I111" i="46" s="1"/>
  <c r="W83" i="46"/>
  <c r="W111" i="46" s="1"/>
  <c r="AC83" i="46"/>
  <c r="AC111" i="46" s="1"/>
  <c r="AI83" i="46"/>
  <c r="AI111" i="46" s="1"/>
  <c r="AS83" i="46"/>
  <c r="AS111" i="46" s="1"/>
  <c r="AV83" i="46"/>
  <c r="AV111" i="46" s="1"/>
  <c r="G79" i="46"/>
  <c r="G107" i="46" s="1"/>
  <c r="U79" i="46"/>
  <c r="U107" i="46" s="1"/>
  <c r="AQ79" i="46"/>
  <c r="AQ107" i="46" s="1"/>
  <c r="U71" i="46"/>
  <c r="U114" i="46" s="1"/>
  <c r="AM71" i="46"/>
  <c r="AM114" i="46" s="1"/>
  <c r="AQ71" i="46"/>
  <c r="AQ114" i="46" s="1"/>
  <c r="AY74" i="46"/>
  <c r="AY117" i="46" s="1"/>
  <c r="T81" i="46"/>
  <c r="T109" i="46" s="1"/>
  <c r="AA81" i="46"/>
  <c r="AA109" i="46" s="1"/>
  <c r="AL81" i="46"/>
  <c r="AL109" i="46" s="1"/>
  <c r="I71" i="46"/>
  <c r="I114" i="46" s="1"/>
  <c r="P71" i="46"/>
  <c r="P114" i="46" s="1"/>
  <c r="W71" i="46"/>
  <c r="W114" i="46" s="1"/>
  <c r="AI71" i="46"/>
  <c r="AI114" i="46" s="1"/>
  <c r="AV71" i="46"/>
  <c r="AV114" i="46" s="1"/>
  <c r="H81" i="46"/>
  <c r="H109" i="46" s="1"/>
  <c r="AB81" i="46"/>
  <c r="AB109" i="46" s="1"/>
  <c r="AH81" i="46"/>
  <c r="AH109" i="46" s="1"/>
  <c r="AR81" i="46"/>
  <c r="AR109" i="46" s="1"/>
  <c r="E82" i="46"/>
  <c r="E110" i="46" s="1"/>
  <c r="M82" i="46"/>
  <c r="M110" i="46" s="1"/>
  <c r="AG82" i="46"/>
  <c r="AG110" i="46" s="1"/>
  <c r="D83" i="46"/>
  <c r="D111" i="46" s="1"/>
  <c r="L83" i="46"/>
  <c r="L111" i="46" s="1"/>
  <c r="AK83" i="46"/>
  <c r="AK111" i="46" s="1"/>
  <c r="B79" i="46"/>
  <c r="B115" i="46" s="1"/>
  <c r="Q79" i="46"/>
  <c r="Q107" i="46" s="1"/>
  <c r="X79" i="46"/>
  <c r="X107" i="46" s="1"/>
  <c r="H71" i="46"/>
  <c r="H114" i="46" s="1"/>
  <c r="AQ81" i="46"/>
  <c r="AQ109" i="46" s="1"/>
  <c r="F82" i="46"/>
  <c r="F110" i="46" s="1"/>
  <c r="R82" i="46"/>
  <c r="R110" i="46" s="1"/>
  <c r="AR82" i="46"/>
  <c r="AR110" i="46" s="1"/>
  <c r="B83" i="46"/>
  <c r="B119" i="46" s="1"/>
  <c r="N83" i="46"/>
  <c r="N111" i="46" s="1"/>
  <c r="Y83" i="46"/>
  <c r="Y111" i="46" s="1"/>
  <c r="O71" i="46"/>
  <c r="O114" i="46" s="1"/>
  <c r="AB82" i="46"/>
  <c r="AB110" i="46" s="1"/>
  <c r="V71" i="46"/>
  <c r="V114" i="46" s="1"/>
  <c r="G81" i="46"/>
  <c r="G109" i="46" s="1"/>
  <c r="AY84" i="46"/>
  <c r="AY112" i="46" s="1"/>
  <c r="H82" i="46"/>
  <c r="H110" i="46" s="1"/>
  <c r="T82" i="46"/>
  <c r="T110" i="46" s="1"/>
  <c r="AE82" i="46"/>
  <c r="AE110" i="46" s="1"/>
  <c r="Q83" i="46"/>
  <c r="Q111" i="46" s="1"/>
  <c r="AA83" i="46"/>
  <c r="AA111" i="46" s="1"/>
  <c r="AQ83" i="46"/>
  <c r="AQ111" i="46" s="1"/>
  <c r="J80" i="46"/>
  <c r="J108" i="46" s="1"/>
  <c r="Q80" i="46"/>
  <c r="Q108" i="46" s="1"/>
  <c r="X80" i="46"/>
  <c r="X108" i="46" s="1"/>
  <c r="AV84" i="46"/>
  <c r="AV115" i="46" s="1"/>
  <c r="AB71" i="46"/>
  <c r="AB114" i="46" s="1"/>
  <c r="R83" i="46"/>
  <c r="R111" i="46" s="1"/>
  <c r="V79" i="46"/>
  <c r="V107" i="46" s="1"/>
  <c r="K80" i="46"/>
  <c r="K108" i="46" s="1"/>
  <c r="R80" i="46"/>
  <c r="R108" i="46" s="1"/>
  <c r="AJ80" i="46"/>
  <c r="AJ108" i="46" s="1"/>
  <c r="AN80" i="46"/>
  <c r="AN108" i="46" s="1"/>
  <c r="AT80" i="46"/>
  <c r="AT108" i="46" s="1"/>
  <c r="B84" i="46"/>
  <c r="B120" i="46" s="1"/>
  <c r="Q84" i="46"/>
  <c r="Q115" i="46" s="1"/>
  <c r="X84" i="46"/>
  <c r="X115" i="46" s="1"/>
  <c r="AD84" i="46"/>
  <c r="AD115" i="46" s="1"/>
  <c r="AH71" i="46"/>
  <c r="AH114" i="46" s="1"/>
  <c r="U81" i="46"/>
  <c r="U109" i="46" s="1"/>
  <c r="G83" i="46"/>
  <c r="G111" i="46" s="1"/>
  <c r="AD83" i="46"/>
  <c r="AD111" i="46" s="1"/>
  <c r="AL83" i="46"/>
  <c r="AL111" i="46" s="1"/>
  <c r="AY86" i="46"/>
  <c r="AY114" i="46" s="1"/>
  <c r="Y82" i="46"/>
  <c r="Y110" i="46" s="1"/>
  <c r="AO82" i="46"/>
  <c r="AO110" i="46" s="1"/>
  <c r="AU82" i="46"/>
  <c r="AU110" i="46" s="1"/>
  <c r="J83" i="46"/>
  <c r="J111" i="46" s="1"/>
  <c r="M79" i="46"/>
  <c r="M107" i="46" s="1"/>
  <c r="Y79" i="46"/>
  <c r="Y107" i="46" s="1"/>
  <c r="AH79" i="46"/>
  <c r="AH107" i="46" s="1"/>
  <c r="M80" i="46"/>
  <c r="M108" i="46" s="1"/>
  <c r="AU71" i="46"/>
  <c r="AU114" i="46" s="1"/>
  <c r="AJ82" i="46"/>
  <c r="AJ110" i="46" s="1"/>
  <c r="G80" i="46"/>
  <c r="G108" i="46" s="1"/>
  <c r="S80" i="46"/>
  <c r="S108" i="46" s="1"/>
  <c r="AB80" i="46"/>
  <c r="AB108" i="46" s="1"/>
  <c r="AS80" i="46"/>
  <c r="AS108" i="46" s="1"/>
  <c r="AF84" i="46"/>
  <c r="AF115" i="46" s="1"/>
  <c r="AU84" i="46"/>
  <c r="AU115" i="46" s="1"/>
  <c r="O79" i="46"/>
  <c r="O107" i="46" s="1"/>
  <c r="AC79" i="46"/>
  <c r="AC107" i="46" s="1"/>
  <c r="I80" i="46"/>
  <c r="I108" i="46" s="1"/>
  <c r="AX87" i="46"/>
  <c r="AX118" i="46" s="1"/>
  <c r="U83" i="46"/>
  <c r="U111" i="46" s="1"/>
  <c r="W79" i="46"/>
  <c r="W107" i="46" s="1"/>
  <c r="AK79" i="46"/>
  <c r="AK107" i="46" s="1"/>
  <c r="AX82" i="46"/>
  <c r="AX110" i="46" s="1"/>
  <c r="D80" i="46"/>
  <c r="D108" i="46" s="1"/>
  <c r="AA80" i="46"/>
  <c r="AA108" i="46" s="1"/>
  <c r="AI80" i="46"/>
  <c r="AI108" i="46" s="1"/>
  <c r="AB84" i="46"/>
  <c r="AB115" i="46" s="1"/>
  <c r="AP84" i="46"/>
  <c r="AP115" i="46" s="1"/>
  <c r="Z82" i="46"/>
  <c r="Z110" i="46" s="1"/>
  <c r="H79" i="46"/>
  <c r="H107" i="46" s="1"/>
  <c r="Z80" i="46"/>
  <c r="Z108" i="46" s="1"/>
  <c r="Y84" i="46"/>
  <c r="Y115" i="46" s="1"/>
  <c r="AJ84" i="46"/>
  <c r="AJ115" i="46" s="1"/>
  <c r="Y72" i="46"/>
  <c r="AJ72" i="46"/>
  <c r="AN72" i="46"/>
  <c r="AX75" i="46"/>
  <c r="B73" i="46"/>
  <c r="B109" i="46" s="1"/>
  <c r="Q73" i="46"/>
  <c r="AW73" i="46"/>
  <c r="P74" i="46"/>
  <c r="AV74" i="46"/>
  <c r="V75" i="46"/>
  <c r="V103" i="46" s="1"/>
  <c r="AB75" i="46"/>
  <c r="AB103" i="46" s="1"/>
  <c r="AU75" i="46"/>
  <c r="AU103" i="46" s="1"/>
  <c r="G76" i="46"/>
  <c r="G104" i="46" s="1"/>
  <c r="U76" i="46"/>
  <c r="U104" i="46" s="1"/>
  <c r="AL82" i="46"/>
  <c r="AL110" i="46" s="1"/>
  <c r="AP79" i="46"/>
  <c r="AP107" i="46" s="1"/>
  <c r="N80" i="46"/>
  <c r="N108" i="46" s="1"/>
  <c r="AM84" i="46"/>
  <c r="AM115" i="46" s="1"/>
  <c r="AG72" i="46"/>
  <c r="AP72" i="46"/>
  <c r="D73" i="46"/>
  <c r="L73" i="46"/>
  <c r="S73" i="46"/>
  <c r="AK73" i="46"/>
  <c r="AO73" i="46"/>
  <c r="K74" i="46"/>
  <c r="R74" i="46"/>
  <c r="AE74" i="46"/>
  <c r="AJ74" i="46"/>
  <c r="AN74" i="46"/>
  <c r="AQ82" i="46"/>
  <c r="AQ110" i="46" s="1"/>
  <c r="S79" i="46"/>
  <c r="S107" i="46" s="1"/>
  <c r="AY85" i="46"/>
  <c r="AY113" i="46" s="1"/>
  <c r="AG79" i="46"/>
  <c r="AG107" i="46" s="1"/>
  <c r="AK80" i="46"/>
  <c r="AK108" i="46" s="1"/>
  <c r="AU80" i="46"/>
  <c r="AU108" i="46" s="1"/>
  <c r="E84" i="46"/>
  <c r="E115" i="46" s="1"/>
  <c r="I72" i="46"/>
  <c r="W72" i="46"/>
  <c r="AC72" i="46"/>
  <c r="AV72" i="46"/>
  <c r="O73" i="46"/>
  <c r="U74" i="46"/>
  <c r="AR71" i="46"/>
  <c r="AR114" i="46" s="1"/>
  <c r="AO80" i="46"/>
  <c r="AO108" i="46" s="1"/>
  <c r="Q72" i="46"/>
  <c r="AK72" i="46"/>
  <c r="N73" i="46"/>
  <c r="J74" i="46"/>
  <c r="T74" i="46"/>
  <c r="AF74" i="46"/>
  <c r="AM74" i="46"/>
  <c r="D75" i="46"/>
  <c r="D103" i="46" s="1"/>
  <c r="T75" i="46"/>
  <c r="T103" i="46" s="1"/>
  <c r="V76" i="46"/>
  <c r="V104" i="46" s="1"/>
  <c r="AC76" i="46"/>
  <c r="AC104" i="46" s="1"/>
  <c r="AI76" i="46"/>
  <c r="AI104" i="46" s="1"/>
  <c r="AS76" i="46"/>
  <c r="AS104" i="46" s="1"/>
  <c r="AV76" i="46"/>
  <c r="AV104" i="46" s="1"/>
  <c r="AB77" i="46"/>
  <c r="AB105" i="46" s="1"/>
  <c r="AH77" i="46"/>
  <c r="AH105" i="46" s="1"/>
  <c r="AU77" i="46"/>
  <c r="AU105" i="46" s="1"/>
  <c r="T80" i="46"/>
  <c r="T108" i="46" s="1"/>
  <c r="AE84" i="46"/>
  <c r="AE115" i="46" s="1"/>
  <c r="AL72" i="46"/>
  <c r="AY75" i="46"/>
  <c r="L74" i="46"/>
  <c r="V74" i="46"/>
  <c r="AG74" i="46"/>
  <c r="AT74" i="46"/>
  <c r="N75" i="46"/>
  <c r="N103" i="46" s="1"/>
  <c r="U75" i="46"/>
  <c r="U103" i="46" s="1"/>
  <c r="AG83" i="46"/>
  <c r="AG111" i="46" s="1"/>
  <c r="K84" i="46"/>
  <c r="K115" i="46" s="1"/>
  <c r="H72" i="46"/>
  <c r="T72" i="46"/>
  <c r="AQ73" i="46"/>
  <c r="M74" i="46"/>
  <c r="F75" i="46"/>
  <c r="F103" i="46" s="1"/>
  <c r="AD75" i="46"/>
  <c r="AD103" i="46" s="1"/>
  <c r="P76" i="46"/>
  <c r="P104" i="46" s="1"/>
  <c r="X76" i="46"/>
  <c r="X104" i="46" s="1"/>
  <c r="AJ76" i="46"/>
  <c r="AJ104" i="46" s="1"/>
  <c r="AN76" i="46"/>
  <c r="AN104" i="46" s="1"/>
  <c r="AX79" i="46"/>
  <c r="AX107" i="46" s="1"/>
  <c r="J77" i="46"/>
  <c r="J105" i="46" s="1"/>
  <c r="Q77" i="46"/>
  <c r="Q105" i="46" s="1"/>
  <c r="C82" i="46"/>
  <c r="C110" i="46" s="1"/>
  <c r="AW84" i="46"/>
  <c r="AW115" i="46" s="1"/>
  <c r="U72" i="46"/>
  <c r="F73" i="46"/>
  <c r="R73" i="46"/>
  <c r="AS73" i="46"/>
  <c r="B74" i="46"/>
  <c r="B110" i="46" s="1"/>
  <c r="N74" i="46"/>
  <c r="Z74" i="46"/>
  <c r="AO74" i="46"/>
  <c r="O82" i="46"/>
  <c r="O110" i="46" s="1"/>
  <c r="AN83" i="46"/>
  <c r="AN111" i="46" s="1"/>
  <c r="AV80" i="46"/>
  <c r="AV108" i="46" s="1"/>
  <c r="R84" i="46"/>
  <c r="R115" i="46" s="1"/>
  <c r="L72" i="46"/>
  <c r="V72" i="46"/>
  <c r="G73" i="46"/>
  <c r="AC73" i="46"/>
  <c r="AX86" i="46"/>
  <c r="AX114" i="46" s="1"/>
  <c r="P79" i="46"/>
  <c r="P107" i="46" s="1"/>
  <c r="F80" i="46"/>
  <c r="F108" i="46" s="1"/>
  <c r="S84" i="46"/>
  <c r="S115" i="46" s="1"/>
  <c r="N72" i="46"/>
  <c r="AU72" i="46"/>
  <c r="T73" i="46"/>
  <c r="AB79" i="46"/>
  <c r="AB107" i="46" s="1"/>
  <c r="M73" i="46"/>
  <c r="L75" i="46"/>
  <c r="L103" i="46" s="1"/>
  <c r="AD76" i="46"/>
  <c r="AD104" i="46" s="1"/>
  <c r="AQ76" i="46"/>
  <c r="AQ104" i="46" s="1"/>
  <c r="Z77" i="46"/>
  <c r="Z105" i="46" s="1"/>
  <c r="H78" i="46"/>
  <c r="H106" i="46" s="1"/>
  <c r="O78" i="46"/>
  <c r="O106" i="46" s="1"/>
  <c r="V78" i="46"/>
  <c r="V106" i="46" s="1"/>
  <c r="AR78" i="46"/>
  <c r="AR106" i="46" s="1"/>
  <c r="G85" i="46"/>
  <c r="G116" i="46" s="1"/>
  <c r="AM85" i="46"/>
  <c r="AM116" i="46" s="1"/>
  <c r="AQ85" i="46"/>
  <c r="AQ116" i="46" s="1"/>
  <c r="AY88" i="46"/>
  <c r="AY119" i="46" s="1"/>
  <c r="F86" i="46"/>
  <c r="F117" i="46" s="1"/>
  <c r="T86" i="46"/>
  <c r="T117" i="46" s="1"/>
  <c r="AA86" i="46"/>
  <c r="AA117" i="46" s="1"/>
  <c r="AL86" i="46"/>
  <c r="AL117" i="46" s="1"/>
  <c r="M87" i="46"/>
  <c r="M118" i="46" s="1"/>
  <c r="AH80" i="46"/>
  <c r="AH108" i="46" s="1"/>
  <c r="F74" i="46"/>
  <c r="AB74" i="46"/>
  <c r="AQ74" i="46"/>
  <c r="AY77" i="46"/>
  <c r="C75" i="46"/>
  <c r="C103" i="46" s="1"/>
  <c r="R75" i="46"/>
  <c r="R103" i="46" s="1"/>
  <c r="AL75" i="46"/>
  <c r="AL103" i="46" s="1"/>
  <c r="M76" i="46"/>
  <c r="M104" i="46" s="1"/>
  <c r="K77" i="46"/>
  <c r="K105" i="46" s="1"/>
  <c r="AJ77" i="46"/>
  <c r="AJ105" i="46" s="1"/>
  <c r="AP77" i="46"/>
  <c r="AP105" i="46" s="1"/>
  <c r="C78" i="46"/>
  <c r="C106" i="46" s="1"/>
  <c r="K78" i="46"/>
  <c r="K106" i="46" s="1"/>
  <c r="AE78" i="46"/>
  <c r="AE106" i="46" s="1"/>
  <c r="AT78" i="46"/>
  <c r="AT106" i="46" s="1"/>
  <c r="AX81" i="46"/>
  <c r="AX109" i="46" s="1"/>
  <c r="Q85" i="46"/>
  <c r="Q116" i="46" s="1"/>
  <c r="AW85" i="46"/>
  <c r="AW116" i="46" s="1"/>
  <c r="P86" i="46"/>
  <c r="P117" i="46" s="1"/>
  <c r="AC86" i="46"/>
  <c r="AC117" i="46" s="1"/>
  <c r="AM80" i="46"/>
  <c r="AM108" i="46" s="1"/>
  <c r="O72" i="46"/>
  <c r="H74" i="46"/>
  <c r="AR74" i="46"/>
  <c r="S75" i="46"/>
  <c r="S103" i="46" s="1"/>
  <c r="C76" i="46"/>
  <c r="C104" i="46" s="1"/>
  <c r="Z76" i="46"/>
  <c r="Z104" i="46" s="1"/>
  <c r="AC77" i="46"/>
  <c r="AC105" i="46" s="1"/>
  <c r="AV77" i="46"/>
  <c r="AV105" i="46" s="1"/>
  <c r="D78" i="46"/>
  <c r="D106" i="46" s="1"/>
  <c r="AO78" i="46"/>
  <c r="AO106" i="46" s="1"/>
  <c r="K85" i="46"/>
  <c r="K116" i="46" s="1"/>
  <c r="AE85" i="46"/>
  <c r="AE116" i="46" s="1"/>
  <c r="AJ85" i="46"/>
  <c r="AJ116" i="46" s="1"/>
  <c r="AT85" i="46"/>
  <c r="AT116" i="46" s="1"/>
  <c r="AX88" i="46"/>
  <c r="AX119" i="46" s="1"/>
  <c r="X86" i="46"/>
  <c r="X117" i="46" s="1"/>
  <c r="AW86" i="46"/>
  <c r="AW117" i="46" s="1"/>
  <c r="AC87" i="46"/>
  <c r="AC118" i="46" s="1"/>
  <c r="AI87" i="46"/>
  <c r="AI118" i="46" s="1"/>
  <c r="AV87" i="46"/>
  <c r="AV118" i="46" s="1"/>
  <c r="AT82" i="46"/>
  <c r="AT110" i="46" s="1"/>
  <c r="AQ72" i="46"/>
  <c r="O74" i="46"/>
  <c r="AG76" i="46"/>
  <c r="AG104" i="46" s="1"/>
  <c r="AT77" i="46"/>
  <c r="AT105" i="46" s="1"/>
  <c r="I78" i="46"/>
  <c r="I106" i="46" s="1"/>
  <c r="AD78" i="46"/>
  <c r="AD106" i="46" s="1"/>
  <c r="AM78" i="46"/>
  <c r="AM106" i="46" s="1"/>
  <c r="E85" i="46"/>
  <c r="E116" i="46" s="1"/>
  <c r="P85" i="46"/>
  <c r="P116" i="46" s="1"/>
  <c r="AR85" i="46"/>
  <c r="AR116" i="46" s="1"/>
  <c r="M86" i="46"/>
  <c r="M117" i="46" s="1"/>
  <c r="V87" i="46"/>
  <c r="V118" i="46" s="1"/>
  <c r="AX90" i="46"/>
  <c r="AX121" i="46" s="1"/>
  <c r="AT73" i="46"/>
  <c r="Q74" i="46"/>
  <c r="S76" i="46"/>
  <c r="S104" i="46" s="1"/>
  <c r="AH76" i="46"/>
  <c r="AH104" i="46" s="1"/>
  <c r="J78" i="46"/>
  <c r="J106" i="46" s="1"/>
  <c r="AG78" i="46"/>
  <c r="AG106" i="46" s="1"/>
  <c r="C86" i="46"/>
  <c r="C117" i="46" s="1"/>
  <c r="D87" i="46"/>
  <c r="D118" i="46" s="1"/>
  <c r="X87" i="46"/>
  <c r="X118" i="46" s="1"/>
  <c r="AF87" i="46"/>
  <c r="AF118" i="46" s="1"/>
  <c r="AM87" i="46"/>
  <c r="AM118" i="46" s="1"/>
  <c r="P88" i="46"/>
  <c r="H89" i="46"/>
  <c r="H119" i="46" s="1"/>
  <c r="AB89" i="46"/>
  <c r="AB119" i="46" s="1"/>
  <c r="AR89" i="46"/>
  <c r="AR119" i="46" s="1"/>
  <c r="B72" i="46"/>
  <c r="B108" i="46" s="1"/>
  <c r="X75" i="46"/>
  <c r="X103" i="46" s="1"/>
  <c r="AV75" i="46"/>
  <c r="AV103" i="46" s="1"/>
  <c r="T76" i="46"/>
  <c r="T104" i="46" s="1"/>
  <c r="M77" i="46"/>
  <c r="M105" i="46" s="1"/>
  <c r="D72" i="46"/>
  <c r="K73" i="46"/>
  <c r="B75" i="46"/>
  <c r="B111" i="46" s="1"/>
  <c r="Y75" i="46"/>
  <c r="Y103" i="46" s="1"/>
  <c r="F76" i="46"/>
  <c r="F104" i="46" s="1"/>
  <c r="AN84" i="46"/>
  <c r="AN115" i="46" s="1"/>
  <c r="U73" i="46"/>
  <c r="AA74" i="46"/>
  <c r="I75" i="46"/>
  <c r="I103" i="46" s="1"/>
  <c r="AN75" i="46"/>
  <c r="AN103" i="46" s="1"/>
  <c r="AE77" i="46"/>
  <c r="AE105" i="46" s="1"/>
  <c r="AN77" i="46"/>
  <c r="AN105" i="46" s="1"/>
  <c r="B78" i="46"/>
  <c r="B114" i="46" s="1"/>
  <c r="AW78" i="46"/>
  <c r="AW106" i="46" s="1"/>
  <c r="G86" i="46"/>
  <c r="G117" i="46" s="1"/>
  <c r="AH87" i="46"/>
  <c r="AH118" i="46" s="1"/>
  <c r="AO84" i="46"/>
  <c r="AO115" i="46" s="1"/>
  <c r="AA72" i="46"/>
  <c r="J75" i="46"/>
  <c r="J103" i="46" s="1"/>
  <c r="AA75" i="46"/>
  <c r="AA103" i="46" s="1"/>
  <c r="K76" i="46"/>
  <c r="K104" i="46" s="1"/>
  <c r="AA76" i="46"/>
  <c r="AA104" i="46" s="1"/>
  <c r="AM76" i="46"/>
  <c r="AM104" i="46" s="1"/>
  <c r="AU76" i="46"/>
  <c r="AU104" i="46" s="1"/>
  <c r="C77" i="46"/>
  <c r="C105" i="46" s="1"/>
  <c r="R77" i="46"/>
  <c r="R105" i="46" s="1"/>
  <c r="AF77" i="46"/>
  <c r="AF105" i="46" s="1"/>
  <c r="AO77" i="46"/>
  <c r="AO105" i="46" s="1"/>
  <c r="E78" i="46"/>
  <c r="E106" i="46" s="1"/>
  <c r="P78" i="46"/>
  <c r="P106" i="46" s="1"/>
  <c r="AQ78" i="46"/>
  <c r="AQ106" i="46" s="1"/>
  <c r="M85" i="46"/>
  <c r="M116" i="46" s="1"/>
  <c r="W85" i="46"/>
  <c r="W116" i="46" s="1"/>
  <c r="AO85" i="46"/>
  <c r="AO116" i="46" s="1"/>
  <c r="AU85" i="46"/>
  <c r="AU116" i="46" s="1"/>
  <c r="H86" i="46"/>
  <c r="H117" i="46" s="1"/>
  <c r="AT86" i="46"/>
  <c r="AT117" i="46" s="1"/>
  <c r="J87" i="46"/>
  <c r="J118" i="46" s="1"/>
  <c r="S87" i="46"/>
  <c r="S118" i="46" s="1"/>
  <c r="AO87" i="46"/>
  <c r="AO118" i="46" s="1"/>
  <c r="E88" i="46"/>
  <c r="M88" i="46"/>
  <c r="AG88" i="46"/>
  <c r="AP88" i="46"/>
  <c r="S89" i="46"/>
  <c r="S119" i="46" s="1"/>
  <c r="AK89" i="46"/>
  <c r="AK119" i="46" s="1"/>
  <c r="AH72" i="46"/>
  <c r="D74" i="46"/>
  <c r="K75" i="46"/>
  <c r="K103" i="46" s="1"/>
  <c r="AG75" i="46"/>
  <c r="AG103" i="46" s="1"/>
  <c r="AB76" i="46"/>
  <c r="AB104" i="46" s="1"/>
  <c r="S77" i="46"/>
  <c r="S105" i="46" s="1"/>
  <c r="AG77" i="46"/>
  <c r="AG105" i="46" s="1"/>
  <c r="AY80" i="46"/>
  <c r="AY108" i="46" s="1"/>
  <c r="Q78" i="46"/>
  <c r="Q106" i="46" s="1"/>
  <c r="AS78" i="46"/>
  <c r="AS106" i="46" s="1"/>
  <c r="N85" i="46"/>
  <c r="N116" i="46" s="1"/>
  <c r="AH85" i="46"/>
  <c r="AH116" i="46" s="1"/>
  <c r="AP85" i="46"/>
  <c r="AP116" i="46" s="1"/>
  <c r="K86" i="46"/>
  <c r="K117" i="46" s="1"/>
  <c r="AY89" i="46"/>
  <c r="AY120" i="46" s="1"/>
  <c r="K87" i="46"/>
  <c r="K118" i="46" s="1"/>
  <c r="T87" i="46"/>
  <c r="T118" i="46" s="1"/>
  <c r="AB87" i="46"/>
  <c r="AB118" i="46" s="1"/>
  <c r="AJ87" i="46"/>
  <c r="AJ118" i="46" s="1"/>
  <c r="L80" i="46"/>
  <c r="L108" i="46" s="1"/>
  <c r="P75" i="46"/>
  <c r="P103" i="46" s="1"/>
  <c r="Q76" i="46"/>
  <c r="Q104" i="46" s="1"/>
  <c r="AP76" i="46"/>
  <c r="AP104" i="46" s="1"/>
  <c r="E77" i="46"/>
  <c r="E105" i="46" s="1"/>
  <c r="U77" i="46"/>
  <c r="U105" i="46" s="1"/>
  <c r="AS77" i="46"/>
  <c r="AS105" i="46" s="1"/>
  <c r="G78" i="46"/>
  <c r="G106" i="46" s="1"/>
  <c r="AL78" i="46"/>
  <c r="AL106" i="46" s="1"/>
  <c r="AY81" i="46"/>
  <c r="AY109" i="46" s="1"/>
  <c r="D85" i="46"/>
  <c r="D116" i="46" s="1"/>
  <c r="O85" i="46"/>
  <c r="O116" i="46" s="1"/>
  <c r="AG86" i="46"/>
  <c r="AG117" i="46" s="1"/>
  <c r="L87" i="46"/>
  <c r="L118" i="46" s="1"/>
  <c r="U87" i="46"/>
  <c r="U118" i="46" s="1"/>
  <c r="AK87" i="46"/>
  <c r="AK118" i="46" s="1"/>
  <c r="AN91" i="46"/>
  <c r="AN121" i="46" s="1"/>
  <c r="AE91" i="46"/>
  <c r="AE121" i="46" s="1"/>
  <c r="Y91" i="46"/>
  <c r="Y121" i="46" s="1"/>
  <c r="AO90" i="46"/>
  <c r="AO120" i="46" s="1"/>
  <c r="AK90" i="46"/>
  <c r="AK120" i="46" s="1"/>
  <c r="L90" i="46"/>
  <c r="L120" i="46" s="1"/>
  <c r="AT89" i="46"/>
  <c r="AT119" i="46" s="1"/>
  <c r="Y89" i="46"/>
  <c r="Y119" i="46" s="1"/>
  <c r="F89" i="46"/>
  <c r="F119" i="46" s="1"/>
  <c r="AW88" i="46"/>
  <c r="AQ88" i="46"/>
  <c r="AK88" i="46"/>
  <c r="AD88" i="46"/>
  <c r="AJ88" i="46"/>
  <c r="AB88" i="46"/>
  <c r="T88" i="46"/>
  <c r="K88" i="46"/>
  <c r="AX89" i="46"/>
  <c r="AX120" i="46" s="1"/>
  <c r="R86" i="46"/>
  <c r="R117" i="46" s="1"/>
  <c r="AM77" i="46"/>
  <c r="AM105" i="46" s="1"/>
  <c r="AO88" i="46"/>
  <c r="Y87" i="46"/>
  <c r="Y118" i="46" s="1"/>
  <c r="O86" i="46"/>
  <c r="O117" i="46" s="1"/>
  <c r="AL85" i="46"/>
  <c r="AL116" i="46" s="1"/>
  <c r="W78" i="46"/>
  <c r="W106" i="46" s="1"/>
  <c r="AL77" i="46"/>
  <c r="AL105" i="46" s="1"/>
  <c r="B89" i="46"/>
  <c r="AN88" i="46"/>
  <c r="AH88" i="46"/>
  <c r="Q87" i="46"/>
  <c r="Q118" i="46" s="1"/>
  <c r="E86" i="46"/>
  <c r="E117" i="46" s="1"/>
  <c r="AV78" i="46"/>
  <c r="AV106" i="46" s="1"/>
  <c r="AY94" i="46"/>
  <c r="AY124" i="46" s="1"/>
  <c r="AQ91" i="46"/>
  <c r="AQ121" i="46" s="1"/>
  <c r="AM91" i="46"/>
  <c r="AM121" i="46" s="1"/>
  <c r="U91" i="46"/>
  <c r="U121" i="46" s="1"/>
  <c r="V90" i="46"/>
  <c r="V120" i="46" s="1"/>
  <c r="O90" i="46"/>
  <c r="O120" i="46" s="1"/>
  <c r="H90" i="46"/>
  <c r="H120" i="46" s="1"/>
  <c r="AV89" i="46"/>
  <c r="AV119" i="46" s="1"/>
  <c r="AJ89" i="46"/>
  <c r="AJ119" i="46" s="1"/>
  <c r="AC89" i="46"/>
  <c r="AC119" i="46" s="1"/>
  <c r="K89" i="46"/>
  <c r="K119" i="46" s="1"/>
  <c r="Q88" i="46"/>
  <c r="G88" i="46"/>
  <c r="AT87" i="46"/>
  <c r="AT118" i="46" s="1"/>
  <c r="O87" i="46"/>
  <c r="O118" i="46" s="1"/>
  <c r="D86" i="46"/>
  <c r="D117" i="46" s="1"/>
  <c r="M78" i="46"/>
  <c r="M106" i="46" s="1"/>
  <c r="N91" i="46"/>
  <c r="N121" i="46" s="1"/>
  <c r="CL6" i="5"/>
  <c r="CM6" i="5"/>
  <c r="CL7" i="5"/>
  <c r="CM7" i="5"/>
  <c r="CL8" i="5"/>
  <c r="CM8" i="5"/>
  <c r="CL9" i="5"/>
  <c r="CM9" i="5"/>
  <c r="CL10" i="5"/>
  <c r="CM10" i="5"/>
  <c r="CL11" i="5"/>
  <c r="CM11" i="5"/>
  <c r="CL12" i="5"/>
  <c r="CM12" i="5"/>
  <c r="CL13" i="5"/>
  <c r="CM13" i="5"/>
  <c r="CL14" i="5"/>
  <c r="CM14" i="5"/>
  <c r="CL15" i="5"/>
  <c r="CM15" i="5"/>
  <c r="CL16" i="5"/>
  <c r="CM16" i="5"/>
  <c r="CL17" i="5"/>
  <c r="CM17" i="5"/>
  <c r="CL18" i="5"/>
  <c r="CM18" i="5"/>
  <c r="CL19" i="5"/>
  <c r="CM19" i="5"/>
  <c r="CL20" i="5"/>
  <c r="CM20" i="5"/>
  <c r="CL21" i="5"/>
  <c r="CM21" i="5"/>
  <c r="CL22" i="5"/>
  <c r="CM22" i="5"/>
  <c r="CL23" i="5"/>
  <c r="CM23" i="5"/>
  <c r="CL24" i="5"/>
  <c r="CM24" i="5"/>
  <c r="CL25" i="5"/>
  <c r="CM25" i="5"/>
  <c r="CL26" i="5"/>
  <c r="CM26" i="5"/>
  <c r="CL27" i="5"/>
  <c r="CM27" i="5"/>
  <c r="CL28" i="5"/>
  <c r="CM28" i="5"/>
  <c r="CL29" i="5"/>
  <c r="CM29" i="5"/>
  <c r="CL30" i="5"/>
  <c r="CM30" i="5"/>
  <c r="CL31" i="5"/>
  <c r="CM31" i="5"/>
  <c r="CL32" i="5"/>
  <c r="CM32" i="5"/>
  <c r="CL33" i="5"/>
  <c r="CM33" i="5"/>
  <c r="CL34" i="5"/>
  <c r="CM34" i="5"/>
  <c r="CL35" i="5"/>
  <c r="CM35" i="5"/>
  <c r="CL36" i="5"/>
  <c r="CM36" i="5"/>
  <c r="CL37" i="5"/>
  <c r="CM37" i="5"/>
  <c r="CL38" i="5"/>
  <c r="CM38" i="5"/>
  <c r="CL39" i="5"/>
  <c r="CM39" i="5"/>
  <c r="CL40" i="5"/>
  <c r="CM40" i="5"/>
  <c r="CL41" i="5"/>
  <c r="CM41" i="5"/>
  <c r="CL42" i="5"/>
  <c r="CM42" i="5"/>
  <c r="CL43" i="5"/>
  <c r="CM43" i="5"/>
  <c r="CL44" i="5"/>
  <c r="CM44" i="5"/>
  <c r="CL45" i="5"/>
  <c r="CM45" i="5"/>
  <c r="CL46" i="5"/>
  <c r="CM46" i="5"/>
  <c r="CL47" i="5"/>
  <c r="CM47" i="5"/>
  <c r="CL48" i="5"/>
  <c r="CM48" i="5"/>
  <c r="CL49" i="5"/>
  <c r="CM49" i="5"/>
  <c r="CL50" i="5"/>
  <c r="CM50" i="5"/>
  <c r="CL51" i="5"/>
  <c r="CM51" i="5"/>
  <c r="CL52" i="5"/>
  <c r="CM52" i="5"/>
  <c r="CL53" i="5"/>
  <c r="CM53" i="5"/>
  <c r="CL54" i="5"/>
  <c r="CM54" i="5"/>
  <c r="CL55" i="5"/>
  <c r="CM55" i="5"/>
  <c r="CL56" i="5"/>
  <c r="CM56" i="5"/>
  <c r="CL57" i="5"/>
  <c r="CM57" i="5"/>
  <c r="CL58" i="5"/>
  <c r="CM58" i="5"/>
  <c r="CL59" i="5"/>
  <c r="CM59" i="5"/>
  <c r="CL60" i="5"/>
  <c r="CM60" i="5"/>
  <c r="CL61" i="5"/>
  <c r="CM61" i="5"/>
  <c r="CL62" i="5"/>
  <c r="CM62" i="5"/>
  <c r="CL63" i="5"/>
  <c r="CM63" i="5"/>
  <c r="CL64" i="5"/>
  <c r="CM64" i="5"/>
  <c r="CL65" i="5"/>
  <c r="CM65" i="5"/>
  <c r="CL66" i="5"/>
  <c r="CM66" i="5"/>
  <c r="CL67" i="5"/>
  <c r="CM67" i="5"/>
  <c r="CL68" i="5"/>
  <c r="CM68" i="5"/>
  <c r="CL69" i="5"/>
  <c r="CM69" i="5"/>
  <c r="CL70" i="5"/>
  <c r="CM70" i="5"/>
  <c r="CL71" i="5"/>
  <c r="CM71" i="5"/>
  <c r="CL72" i="5"/>
  <c r="CM72" i="5"/>
  <c r="CL73" i="5"/>
  <c r="CM73" i="5"/>
  <c r="CL74" i="5"/>
  <c r="CM74" i="5"/>
  <c r="CL75" i="5"/>
  <c r="CM75" i="5"/>
  <c r="CL76" i="5"/>
  <c r="CM76" i="5"/>
  <c r="CL77" i="5"/>
  <c r="CM77" i="5"/>
  <c r="CL78" i="5"/>
  <c r="CM78" i="5"/>
  <c r="CL79" i="5"/>
  <c r="CM79" i="5"/>
  <c r="CL80" i="5"/>
  <c r="CM80" i="5"/>
  <c r="CL81" i="5"/>
  <c r="CM81" i="5"/>
  <c r="CL82" i="5"/>
  <c r="CM82" i="5"/>
  <c r="CL83" i="5"/>
  <c r="CM83" i="5"/>
  <c r="CL84" i="5"/>
  <c r="CM84" i="5"/>
  <c r="CL85" i="5"/>
  <c r="CM85" i="5"/>
  <c r="CL86" i="5"/>
  <c r="CM86" i="5"/>
  <c r="CL87" i="5"/>
  <c r="CM87" i="5"/>
  <c r="CL88" i="5"/>
  <c r="CM88" i="5"/>
  <c r="CL89" i="5"/>
  <c r="CM89" i="5"/>
  <c r="CL90" i="5"/>
  <c r="CM90" i="5"/>
  <c r="CL91" i="5"/>
  <c r="CM91" i="5"/>
  <c r="CL92" i="5"/>
  <c r="CM92" i="5"/>
  <c r="CL93" i="5"/>
  <c r="CM93" i="5"/>
  <c r="CL94" i="5"/>
  <c r="CM94" i="5"/>
  <c r="CL95" i="5"/>
  <c r="CM95" i="5"/>
  <c r="CL96" i="5"/>
  <c r="CM96" i="5"/>
  <c r="CL97" i="5"/>
  <c r="CM97" i="5"/>
  <c r="CL98" i="5"/>
  <c r="CM98" i="5"/>
  <c r="CL99" i="5"/>
  <c r="CM99" i="5"/>
  <c r="CL100" i="5"/>
  <c r="CM100" i="5"/>
  <c r="CL101" i="5"/>
  <c r="CM101" i="5"/>
  <c r="CL102" i="5"/>
  <c r="CM102" i="5"/>
  <c r="CL103" i="5"/>
  <c r="CM103" i="5"/>
  <c r="CL104" i="5"/>
  <c r="CM104" i="5"/>
  <c r="CL105" i="5"/>
  <c r="CM105" i="5"/>
  <c r="CL106" i="5"/>
  <c r="CM106" i="5"/>
  <c r="CL107" i="5"/>
  <c r="CM107" i="5"/>
  <c r="CL108" i="5"/>
  <c r="CM108" i="5"/>
  <c r="CL109" i="5"/>
  <c r="CM109" i="5"/>
  <c r="CL110" i="5"/>
  <c r="CM110" i="5"/>
  <c r="CL111" i="5"/>
  <c r="CM111" i="5"/>
  <c r="CL5" i="5"/>
  <c r="CM5" i="5"/>
  <c r="F116" i="5"/>
  <c r="G116" i="5"/>
  <c r="H116" i="5"/>
  <c r="I116" i="5"/>
  <c r="J116" i="5"/>
  <c r="K116" i="5"/>
  <c r="L116" i="5"/>
  <c r="M116" i="5"/>
  <c r="N116" i="5"/>
  <c r="O116" i="5"/>
  <c r="P116" i="5"/>
  <c r="Q116" i="5"/>
  <c r="R116" i="5"/>
  <c r="S116" i="5"/>
  <c r="T116" i="5"/>
  <c r="U116" i="5"/>
  <c r="V116" i="5"/>
  <c r="W116" i="5"/>
  <c r="X116" i="5"/>
  <c r="Y116" i="5"/>
  <c r="Z116" i="5"/>
  <c r="AA116" i="5"/>
  <c r="AB116" i="5"/>
  <c r="AC116" i="5"/>
  <c r="AD116" i="5"/>
  <c r="AE116" i="5"/>
  <c r="AF116" i="5"/>
  <c r="AG116" i="5"/>
  <c r="AH116" i="5"/>
  <c r="AI116" i="5"/>
  <c r="AJ116" i="5"/>
  <c r="AK116" i="5"/>
  <c r="AL116" i="5"/>
  <c r="AM116" i="5"/>
  <c r="AN116" i="5"/>
  <c r="AO116" i="5"/>
  <c r="AP116" i="5"/>
  <c r="AQ116" i="5"/>
  <c r="AR116" i="5"/>
  <c r="AS116" i="5"/>
  <c r="AT116" i="5"/>
  <c r="AU116" i="5"/>
  <c r="AV116" i="5"/>
  <c r="AW116" i="5"/>
  <c r="AX116" i="5"/>
  <c r="AY116" i="5"/>
  <c r="AZ116" i="5"/>
  <c r="BA116" i="5"/>
  <c r="BB116" i="5"/>
  <c r="BC116" i="5"/>
  <c r="BD116" i="5"/>
  <c r="BE116" i="5"/>
  <c r="BF116" i="5"/>
  <c r="BG116" i="5"/>
  <c r="BH116" i="5"/>
  <c r="BI116" i="5"/>
  <c r="BJ116" i="5"/>
  <c r="BK116" i="5"/>
  <c r="BL116" i="5"/>
  <c r="BM116" i="5"/>
  <c r="BN116" i="5"/>
  <c r="BO116" i="5"/>
  <c r="BP116" i="5"/>
  <c r="BQ116" i="5"/>
  <c r="BR116" i="5"/>
  <c r="BS116" i="5"/>
  <c r="BT116" i="5"/>
  <c r="BU116" i="5"/>
  <c r="BV116" i="5"/>
  <c r="BW116" i="5"/>
  <c r="BX116" i="5"/>
  <c r="BY116" i="5"/>
  <c r="BZ116" i="5"/>
  <c r="CA116" i="5"/>
  <c r="CB116" i="5"/>
  <c r="CC116" i="5"/>
  <c r="CD116" i="5"/>
  <c r="CE116" i="5"/>
  <c r="CF116" i="5"/>
  <c r="CG116" i="5"/>
  <c r="E116" i="5"/>
  <c r="E117" i="5"/>
  <c r="B90" i="46" l="1"/>
  <c r="B91" i="46"/>
  <c r="R91" i="46"/>
  <c r="R121" i="46" s="1"/>
  <c r="V91" i="46"/>
  <c r="V121" i="46" s="1"/>
  <c r="H91" i="46"/>
  <c r="H121" i="46" s="1"/>
  <c r="K90" i="46"/>
  <c r="K120" i="46" s="1"/>
  <c r="AX94" i="46"/>
  <c r="AX124" i="46" s="1"/>
  <c r="C91" i="46"/>
  <c r="C121" i="46" s="1"/>
  <c r="AH90" i="46"/>
  <c r="AH120" i="46" s="1"/>
  <c r="C90" i="46"/>
  <c r="C120" i="46" s="1"/>
  <c r="AJ91" i="46"/>
  <c r="AJ121" i="46" s="1"/>
  <c r="AR90" i="46"/>
  <c r="AR120" i="46" s="1"/>
  <c r="D90" i="46"/>
  <c r="D120" i="46" s="1"/>
  <c r="F90" i="46"/>
  <c r="F120" i="46" s="1"/>
  <c r="AI91" i="46"/>
  <c r="AI121" i="46" s="1"/>
  <c r="AX93" i="46"/>
  <c r="AX123" i="46" s="1"/>
  <c r="AF90" i="46"/>
  <c r="AF120" i="46" s="1"/>
  <c r="AA90" i="46"/>
  <c r="AA120" i="46" s="1"/>
  <c r="Y90" i="46"/>
  <c r="Y120" i="46" s="1"/>
  <c r="AC90" i="46"/>
  <c r="AC120" i="46" s="1"/>
  <c r="J90" i="46"/>
  <c r="J120" i="46" s="1"/>
  <c r="AG90" i="46"/>
  <c r="AG120" i="46" s="1"/>
  <c r="W91" i="46"/>
  <c r="W121" i="46" s="1"/>
  <c r="AY93" i="46"/>
  <c r="AY123" i="46" s="1"/>
  <c r="K91" i="46"/>
  <c r="K121" i="46" s="1"/>
  <c r="D91" i="46"/>
  <c r="D121" i="46" s="1"/>
  <c r="AW91" i="46"/>
  <c r="AW121" i="46" s="1"/>
  <c r="W90" i="46"/>
  <c r="W120" i="46" s="1"/>
  <c r="AB91" i="46"/>
  <c r="AB121" i="46" s="1"/>
  <c r="AB90" i="46"/>
  <c r="AB120" i="46" s="1"/>
  <c r="AL90" i="46"/>
  <c r="AL120" i="46" s="1"/>
  <c r="P90" i="46"/>
  <c r="P120" i="46" s="1"/>
  <c r="O91" i="46"/>
  <c r="O121" i="46" s="1"/>
  <c r="AM90" i="46"/>
  <c r="AM120" i="46" s="1"/>
  <c r="Z90" i="46"/>
  <c r="Z120" i="46" s="1"/>
  <c r="AL91" i="46"/>
  <c r="AL121" i="46" s="1"/>
  <c r="AJ90" i="46"/>
  <c r="AJ120" i="46" s="1"/>
  <c r="AO91" i="46"/>
  <c r="AO121" i="46" s="1"/>
  <c r="U90" i="46"/>
  <c r="U120" i="46" s="1"/>
  <c r="AT90" i="46"/>
  <c r="AT120" i="46" s="1"/>
  <c r="AR91" i="46"/>
  <c r="AR121" i="46" s="1"/>
  <c r="M90" i="46"/>
  <c r="M120" i="46" s="1"/>
  <c r="AU90" i="46"/>
  <c r="AU120" i="46" s="1"/>
  <c r="AG91" i="46"/>
  <c r="AG121" i="46" s="1"/>
  <c r="G91" i="46"/>
  <c r="G121" i="46" s="1"/>
  <c r="AP90" i="46"/>
  <c r="AP120" i="46" s="1"/>
  <c r="AP91" i="46"/>
  <c r="AP121" i="46" s="1"/>
  <c r="X91" i="46"/>
  <c r="X121" i="46" s="1"/>
  <c r="AD90" i="46"/>
  <c r="AD120" i="46" s="1"/>
  <c r="AT91" i="46"/>
  <c r="AT121" i="46" s="1"/>
  <c r="S90" i="46"/>
  <c r="S120" i="46" s="1"/>
  <c r="X90" i="46"/>
  <c r="X120" i="46" s="1"/>
  <c r="A114" i="5"/>
  <c r="A41" i="36"/>
  <c r="A46" i="36"/>
  <c r="A38" i="36"/>
  <c r="A40" i="36"/>
  <c r="A44" i="36"/>
  <c r="A50" i="36"/>
  <c r="A56" i="36"/>
  <c r="A58" i="36"/>
  <c r="A52" i="36"/>
  <c r="R18" i="21"/>
  <c r="R19" i="21"/>
  <c r="Q9" i="21"/>
  <c r="P9" i="21"/>
  <c r="P10" i="21"/>
  <c r="Q10" i="21"/>
  <c r="I131" i="36"/>
  <c r="J131" i="36"/>
  <c r="G131" i="36"/>
  <c r="H131" i="36"/>
  <c r="F131" i="36"/>
  <c r="E131" i="36"/>
  <c r="D131" i="36"/>
  <c r="C131" i="36"/>
  <c r="G105" i="36"/>
  <c r="H105" i="36"/>
  <c r="C105" i="36"/>
  <c r="D105" i="36"/>
  <c r="E105" i="36"/>
  <c r="F105" i="36"/>
  <c r="I105" i="36"/>
  <c r="J105" i="36"/>
  <c r="C38" i="36"/>
  <c r="C36" i="36" s="1"/>
  <c r="C50" i="36"/>
  <c r="C48" i="36" s="1"/>
  <c r="C52" i="36"/>
  <c r="C40" i="36"/>
  <c r="C44" i="36"/>
  <c r="C46" i="36"/>
  <c r="C56" i="36"/>
  <c r="C58" i="36"/>
  <c r="C54" i="36" s="1"/>
  <c r="A47" i="36" l="1"/>
  <c r="A53" i="36"/>
  <c r="A59" i="36"/>
  <c r="C42" i="36"/>
  <c r="C55" i="36"/>
  <c r="G44" i="41"/>
  <c r="G43" i="41"/>
  <c r="G42" i="41"/>
  <c r="R52" i="41"/>
  <c r="C52" i="41" l="1"/>
  <c r="D52" i="41"/>
  <c r="E52" i="41"/>
  <c r="F52" i="41"/>
  <c r="G52" i="41"/>
  <c r="H52" i="41"/>
  <c r="I52" i="41"/>
  <c r="J52" i="41"/>
  <c r="K52" i="41"/>
  <c r="L52" i="41"/>
  <c r="M52" i="41"/>
  <c r="N52" i="41"/>
  <c r="O52" i="41"/>
  <c r="P52" i="41"/>
  <c r="Q52" i="41"/>
  <c r="S52" i="41"/>
  <c r="T52" i="41"/>
  <c r="U52" i="41"/>
  <c r="B52" i="41"/>
  <c r="H65" i="41"/>
  <c r="F67" i="41"/>
  <c r="E43" i="41"/>
  <c r="J82" i="41"/>
  <c r="S121" i="41"/>
  <c r="B50" i="41"/>
  <c r="K122" i="36"/>
  <c r="K121" i="36"/>
  <c r="K26" i="21" l="1"/>
  <c r="L26" i="21"/>
  <c r="I26" i="21"/>
  <c r="E150" i="5"/>
  <c r="E154" i="5" s="1"/>
  <c r="F151" i="5"/>
  <c r="F155" i="5" s="1"/>
  <c r="CA150" i="5"/>
  <c r="CA154" i="5" s="1"/>
  <c r="CB150" i="5"/>
  <c r="CB154" i="5" s="1"/>
  <c r="CC150" i="5"/>
  <c r="CC154" i="5" s="1"/>
  <c r="CC157" i="5" s="1"/>
  <c r="CD150" i="5"/>
  <c r="CD154" i="5" s="1"/>
  <c r="CD157" i="5" s="1"/>
  <c r="CA151" i="5"/>
  <c r="CA155" i="5" s="1"/>
  <c r="CB151" i="5"/>
  <c r="CB155" i="5" s="1"/>
  <c r="CC151" i="5"/>
  <c r="CC155" i="5" s="1"/>
  <c r="CD151" i="5"/>
  <c r="CD155" i="5" s="1"/>
  <c r="CA152" i="5"/>
  <c r="CA156" i="5" s="1"/>
  <c r="CB152" i="5"/>
  <c r="CB156" i="5" s="1"/>
  <c r="CC152" i="5"/>
  <c r="CC156" i="5" s="1"/>
  <c r="CD152" i="5"/>
  <c r="CD156" i="5" s="1"/>
  <c r="F150" i="5"/>
  <c r="F154" i="5" s="1"/>
  <c r="G150" i="5"/>
  <c r="G154" i="5" s="1"/>
  <c r="H150" i="5"/>
  <c r="H154" i="5" s="1"/>
  <c r="I150" i="5"/>
  <c r="I154" i="5" s="1"/>
  <c r="J150" i="5"/>
  <c r="J154" i="5" s="1"/>
  <c r="K150" i="5"/>
  <c r="K154" i="5" s="1"/>
  <c r="L150" i="5"/>
  <c r="L154" i="5" s="1"/>
  <c r="M150" i="5"/>
  <c r="M154" i="5" s="1"/>
  <c r="N150" i="5"/>
  <c r="N154" i="5" s="1"/>
  <c r="O150" i="5"/>
  <c r="O154" i="5" s="1"/>
  <c r="P150" i="5"/>
  <c r="P154" i="5" s="1"/>
  <c r="Q150" i="5"/>
  <c r="Q154" i="5" s="1"/>
  <c r="Q157" i="5" s="1"/>
  <c r="R150" i="5"/>
  <c r="R154" i="5" s="1"/>
  <c r="R157" i="5" s="1"/>
  <c r="S150" i="5"/>
  <c r="S154" i="5" s="1"/>
  <c r="T150" i="5"/>
  <c r="T154" i="5" s="1"/>
  <c r="U150" i="5"/>
  <c r="U154" i="5" s="1"/>
  <c r="U157" i="5" s="1"/>
  <c r="V150" i="5"/>
  <c r="V154" i="5" s="1"/>
  <c r="W150" i="5"/>
  <c r="W154" i="5" s="1"/>
  <c r="W157" i="5" s="1"/>
  <c r="X150" i="5"/>
  <c r="X154" i="5" s="1"/>
  <c r="X157" i="5" s="1"/>
  <c r="Y150" i="5"/>
  <c r="Y154" i="5" s="1"/>
  <c r="Z150" i="5"/>
  <c r="Z154" i="5" s="1"/>
  <c r="AA150" i="5"/>
  <c r="AA154" i="5" s="1"/>
  <c r="AB150" i="5"/>
  <c r="AB154" i="5" s="1"/>
  <c r="AB157" i="5" s="1"/>
  <c r="AC150" i="5"/>
  <c r="AC154" i="5" s="1"/>
  <c r="AD150" i="5"/>
  <c r="AD154" i="5" s="1"/>
  <c r="AE150" i="5"/>
  <c r="AE154" i="5" s="1"/>
  <c r="AF150" i="5"/>
  <c r="AF154" i="5" s="1"/>
  <c r="AF157" i="5" s="1"/>
  <c r="AG150" i="5"/>
  <c r="AG154" i="5" s="1"/>
  <c r="AH150" i="5"/>
  <c r="AH154" i="5" s="1"/>
  <c r="AH157" i="5" s="1"/>
  <c r="AI150" i="5"/>
  <c r="AI154" i="5" s="1"/>
  <c r="AJ150" i="5"/>
  <c r="AJ154" i="5" s="1"/>
  <c r="AK150" i="5"/>
  <c r="AK154" i="5" s="1"/>
  <c r="AK157" i="5" s="1"/>
  <c r="AL150" i="5"/>
  <c r="AL154" i="5" s="1"/>
  <c r="AM150" i="5"/>
  <c r="AM154" i="5" s="1"/>
  <c r="AM157" i="5" s="1"/>
  <c r="AN150" i="5"/>
  <c r="AN154" i="5" s="1"/>
  <c r="AO150" i="5"/>
  <c r="AO154" i="5" s="1"/>
  <c r="AO157" i="5" s="1"/>
  <c r="AP150" i="5"/>
  <c r="AP154" i="5" s="1"/>
  <c r="AQ150" i="5"/>
  <c r="AQ154" i="5" s="1"/>
  <c r="AR150" i="5"/>
  <c r="AR154" i="5" s="1"/>
  <c r="AS150" i="5"/>
  <c r="AS154" i="5" s="1"/>
  <c r="AS157" i="5" s="1"/>
  <c r="AT150" i="5"/>
  <c r="AT154" i="5" s="1"/>
  <c r="AU150" i="5"/>
  <c r="AU154" i="5" s="1"/>
  <c r="AV150" i="5"/>
  <c r="AV154" i="5" s="1"/>
  <c r="AV157" i="5" s="1"/>
  <c r="AW150" i="5"/>
  <c r="AW154" i="5" s="1"/>
  <c r="AX150" i="5"/>
  <c r="AX154" i="5" s="1"/>
  <c r="AY150" i="5"/>
  <c r="AY154" i="5" s="1"/>
  <c r="AY157" i="5" s="1"/>
  <c r="AZ150" i="5"/>
  <c r="AZ154" i="5" s="1"/>
  <c r="AZ157" i="5" s="1"/>
  <c r="BA150" i="5"/>
  <c r="BA154" i="5" s="1"/>
  <c r="BA157" i="5" s="1"/>
  <c r="BB150" i="5"/>
  <c r="BB154" i="5" s="1"/>
  <c r="BB157" i="5" s="1"/>
  <c r="BC150" i="5"/>
  <c r="BC154" i="5" s="1"/>
  <c r="BC157" i="5" s="1"/>
  <c r="BD150" i="5"/>
  <c r="BD154" i="5" s="1"/>
  <c r="BE150" i="5"/>
  <c r="BE154" i="5" s="1"/>
  <c r="BE157" i="5" s="1"/>
  <c r="BF150" i="5"/>
  <c r="BF154" i="5" s="1"/>
  <c r="BG150" i="5"/>
  <c r="BG154" i="5" s="1"/>
  <c r="BH150" i="5"/>
  <c r="BH154" i="5" s="1"/>
  <c r="BI150" i="5"/>
  <c r="BI154" i="5" s="1"/>
  <c r="BI157" i="5" s="1"/>
  <c r="BJ150" i="5"/>
  <c r="BJ154" i="5" s="1"/>
  <c r="BK150" i="5"/>
  <c r="BK154" i="5" s="1"/>
  <c r="BK157" i="5" s="1"/>
  <c r="BL150" i="5"/>
  <c r="BL154" i="5" s="1"/>
  <c r="BL157" i="5" s="1"/>
  <c r="BM150" i="5"/>
  <c r="BM154" i="5" s="1"/>
  <c r="BM157" i="5" s="1"/>
  <c r="BN150" i="5"/>
  <c r="BN154" i="5" s="1"/>
  <c r="BN157" i="5" s="1"/>
  <c r="BO150" i="5"/>
  <c r="BO154" i="5" s="1"/>
  <c r="BP150" i="5"/>
  <c r="BP154" i="5" s="1"/>
  <c r="BP157" i="5" s="1"/>
  <c r="BQ150" i="5"/>
  <c r="BQ154" i="5" s="1"/>
  <c r="BR150" i="5"/>
  <c r="BR154" i="5" s="1"/>
  <c r="BS150" i="5"/>
  <c r="BS154" i="5" s="1"/>
  <c r="BS157" i="5" s="1"/>
  <c r="BT150" i="5"/>
  <c r="BT154" i="5" s="1"/>
  <c r="BU150" i="5"/>
  <c r="BU154" i="5" s="1"/>
  <c r="BU157" i="5" s="1"/>
  <c r="BV150" i="5"/>
  <c r="BV154" i="5" s="1"/>
  <c r="BW150" i="5"/>
  <c r="BW154" i="5" s="1"/>
  <c r="BW157" i="5" s="1"/>
  <c r="BX150" i="5"/>
  <c r="BX154" i="5" s="1"/>
  <c r="BX157" i="5" s="1"/>
  <c r="BY150" i="5"/>
  <c r="BY154" i="5" s="1"/>
  <c r="BY157" i="5" s="1"/>
  <c r="BZ150" i="5"/>
  <c r="BZ154" i="5" s="1"/>
  <c r="BZ157" i="5" s="1"/>
  <c r="CE150" i="5"/>
  <c r="CE154" i="5" s="1"/>
  <c r="CE157" i="5" s="1"/>
  <c r="CF150" i="5"/>
  <c r="CF154" i="5" s="1"/>
  <c r="CF157" i="5" s="1"/>
  <c r="CG150" i="5"/>
  <c r="CG154" i="5" s="1"/>
  <c r="CG157" i="5" s="1"/>
  <c r="G151" i="5"/>
  <c r="G155" i="5" s="1"/>
  <c r="H151" i="5"/>
  <c r="H155" i="5" s="1"/>
  <c r="I151" i="5"/>
  <c r="I155" i="5" s="1"/>
  <c r="J151" i="5"/>
  <c r="J155" i="5" s="1"/>
  <c r="K151" i="5"/>
  <c r="K155" i="5" s="1"/>
  <c r="L151" i="5"/>
  <c r="L155" i="5" s="1"/>
  <c r="M151" i="5"/>
  <c r="M155" i="5" s="1"/>
  <c r="N151" i="5"/>
  <c r="N155" i="5" s="1"/>
  <c r="O151" i="5"/>
  <c r="O155" i="5" s="1"/>
  <c r="P151" i="5"/>
  <c r="P155" i="5" s="1"/>
  <c r="Q151" i="5"/>
  <c r="Q155" i="5" s="1"/>
  <c r="R151" i="5"/>
  <c r="R155" i="5" s="1"/>
  <c r="S151" i="5"/>
  <c r="S155" i="5" s="1"/>
  <c r="T151" i="5"/>
  <c r="T155" i="5" s="1"/>
  <c r="U151" i="5"/>
  <c r="U155" i="5" s="1"/>
  <c r="V151" i="5"/>
  <c r="V155" i="5" s="1"/>
  <c r="W151" i="5"/>
  <c r="W155" i="5" s="1"/>
  <c r="X151" i="5"/>
  <c r="X155" i="5" s="1"/>
  <c r="Y151" i="5"/>
  <c r="Y155" i="5" s="1"/>
  <c r="Z151" i="5"/>
  <c r="Z155" i="5" s="1"/>
  <c r="AA151" i="5"/>
  <c r="AA155" i="5" s="1"/>
  <c r="AB151" i="5"/>
  <c r="AB155" i="5" s="1"/>
  <c r="AC151" i="5"/>
  <c r="AC155" i="5" s="1"/>
  <c r="AD151" i="5"/>
  <c r="AD155" i="5" s="1"/>
  <c r="AE151" i="5"/>
  <c r="AE155" i="5" s="1"/>
  <c r="AF151" i="5"/>
  <c r="AF155" i="5" s="1"/>
  <c r="AG151" i="5"/>
  <c r="AG155" i="5" s="1"/>
  <c r="AH151" i="5"/>
  <c r="AH155" i="5" s="1"/>
  <c r="AI151" i="5"/>
  <c r="AI155" i="5" s="1"/>
  <c r="AJ151" i="5"/>
  <c r="AJ155" i="5" s="1"/>
  <c r="AK151" i="5"/>
  <c r="AK155" i="5" s="1"/>
  <c r="AL151" i="5"/>
  <c r="AL155" i="5" s="1"/>
  <c r="AM151" i="5"/>
  <c r="AM155" i="5" s="1"/>
  <c r="AN151" i="5"/>
  <c r="AN155" i="5" s="1"/>
  <c r="AO151" i="5"/>
  <c r="AO155" i="5" s="1"/>
  <c r="AP151" i="5"/>
  <c r="AP155" i="5" s="1"/>
  <c r="AQ151" i="5"/>
  <c r="AQ155" i="5" s="1"/>
  <c r="AR151" i="5"/>
  <c r="AR155" i="5" s="1"/>
  <c r="AS151" i="5"/>
  <c r="AS155" i="5" s="1"/>
  <c r="AT151" i="5"/>
  <c r="AT155" i="5" s="1"/>
  <c r="AU151" i="5"/>
  <c r="AU155" i="5" s="1"/>
  <c r="AV151" i="5"/>
  <c r="AV155" i="5" s="1"/>
  <c r="AW151" i="5"/>
  <c r="AW155" i="5" s="1"/>
  <c r="AX151" i="5"/>
  <c r="AX155" i="5" s="1"/>
  <c r="AY151" i="5"/>
  <c r="AY155" i="5" s="1"/>
  <c r="AZ151" i="5"/>
  <c r="AZ155" i="5" s="1"/>
  <c r="BA151" i="5"/>
  <c r="BA155" i="5" s="1"/>
  <c r="BB151" i="5"/>
  <c r="BB155" i="5" s="1"/>
  <c r="BC151" i="5"/>
  <c r="BC155" i="5" s="1"/>
  <c r="BD151" i="5"/>
  <c r="BD155" i="5" s="1"/>
  <c r="BE151" i="5"/>
  <c r="BE155" i="5" s="1"/>
  <c r="BF151" i="5"/>
  <c r="BF155" i="5" s="1"/>
  <c r="BG151" i="5"/>
  <c r="BG155" i="5" s="1"/>
  <c r="BH151" i="5"/>
  <c r="BH155" i="5" s="1"/>
  <c r="BI151" i="5"/>
  <c r="BI155" i="5" s="1"/>
  <c r="BJ151" i="5"/>
  <c r="BJ155" i="5" s="1"/>
  <c r="BK151" i="5"/>
  <c r="BK155" i="5" s="1"/>
  <c r="BL151" i="5"/>
  <c r="BL155" i="5" s="1"/>
  <c r="BM151" i="5"/>
  <c r="BM155" i="5" s="1"/>
  <c r="BN151" i="5"/>
  <c r="BN155" i="5" s="1"/>
  <c r="BO151" i="5"/>
  <c r="BO155" i="5" s="1"/>
  <c r="BP151" i="5"/>
  <c r="BP155" i="5" s="1"/>
  <c r="BQ151" i="5"/>
  <c r="BQ155" i="5" s="1"/>
  <c r="BR151" i="5"/>
  <c r="BR155" i="5" s="1"/>
  <c r="BS151" i="5"/>
  <c r="BS155" i="5" s="1"/>
  <c r="BT151" i="5"/>
  <c r="BT155" i="5" s="1"/>
  <c r="BU151" i="5"/>
  <c r="BU155" i="5" s="1"/>
  <c r="BV151" i="5"/>
  <c r="BV155" i="5" s="1"/>
  <c r="BW151" i="5"/>
  <c r="BW155" i="5" s="1"/>
  <c r="BX151" i="5"/>
  <c r="BX155" i="5" s="1"/>
  <c r="BY151" i="5"/>
  <c r="BY155" i="5" s="1"/>
  <c r="BZ151" i="5"/>
  <c r="BZ155" i="5" s="1"/>
  <c r="CE151" i="5"/>
  <c r="CE155" i="5" s="1"/>
  <c r="CF151" i="5"/>
  <c r="CF155" i="5" s="1"/>
  <c r="CG151" i="5"/>
  <c r="CG155" i="5" s="1"/>
  <c r="F152" i="5"/>
  <c r="F156" i="5" s="1"/>
  <c r="G152" i="5"/>
  <c r="G156" i="5" s="1"/>
  <c r="H152" i="5"/>
  <c r="H156" i="5" s="1"/>
  <c r="I152" i="5"/>
  <c r="I156" i="5" s="1"/>
  <c r="J152" i="5"/>
  <c r="J156" i="5" s="1"/>
  <c r="K152" i="5"/>
  <c r="K156" i="5" s="1"/>
  <c r="L152" i="5"/>
  <c r="L156" i="5" s="1"/>
  <c r="M152" i="5"/>
  <c r="M156" i="5" s="1"/>
  <c r="N152" i="5"/>
  <c r="N156" i="5" s="1"/>
  <c r="O152" i="5"/>
  <c r="O156" i="5" s="1"/>
  <c r="P152" i="5"/>
  <c r="P156" i="5" s="1"/>
  <c r="Q152" i="5"/>
  <c r="Q156" i="5" s="1"/>
  <c r="R152" i="5"/>
  <c r="R156" i="5" s="1"/>
  <c r="S152" i="5"/>
  <c r="S156" i="5" s="1"/>
  <c r="T152" i="5"/>
  <c r="T156" i="5" s="1"/>
  <c r="U152" i="5"/>
  <c r="U156" i="5" s="1"/>
  <c r="V152" i="5"/>
  <c r="V156" i="5" s="1"/>
  <c r="W152" i="5"/>
  <c r="W156" i="5" s="1"/>
  <c r="X152" i="5"/>
  <c r="X156" i="5" s="1"/>
  <c r="Y152" i="5"/>
  <c r="Y156" i="5" s="1"/>
  <c r="Z152" i="5"/>
  <c r="Z156" i="5" s="1"/>
  <c r="AA152" i="5"/>
  <c r="AA156" i="5" s="1"/>
  <c r="AB152" i="5"/>
  <c r="AB156" i="5" s="1"/>
  <c r="AC152" i="5"/>
  <c r="AC156" i="5" s="1"/>
  <c r="AD152" i="5"/>
  <c r="AD156" i="5" s="1"/>
  <c r="AE152" i="5"/>
  <c r="AE156" i="5" s="1"/>
  <c r="AF152" i="5"/>
  <c r="AF156" i="5" s="1"/>
  <c r="AG152" i="5"/>
  <c r="AG156" i="5" s="1"/>
  <c r="AH152" i="5"/>
  <c r="AH156" i="5" s="1"/>
  <c r="AI152" i="5"/>
  <c r="AI156" i="5" s="1"/>
  <c r="AJ152" i="5"/>
  <c r="AJ156" i="5" s="1"/>
  <c r="AK152" i="5"/>
  <c r="AK156" i="5" s="1"/>
  <c r="AL152" i="5"/>
  <c r="AL156" i="5" s="1"/>
  <c r="AM152" i="5"/>
  <c r="AM156" i="5" s="1"/>
  <c r="AN152" i="5"/>
  <c r="AN156" i="5" s="1"/>
  <c r="AO152" i="5"/>
  <c r="AO156" i="5" s="1"/>
  <c r="AP152" i="5"/>
  <c r="AP156" i="5" s="1"/>
  <c r="AQ152" i="5"/>
  <c r="AQ156" i="5" s="1"/>
  <c r="AR152" i="5"/>
  <c r="AR156" i="5" s="1"/>
  <c r="AS152" i="5"/>
  <c r="AS156" i="5" s="1"/>
  <c r="AT152" i="5"/>
  <c r="AT156" i="5" s="1"/>
  <c r="AU152" i="5"/>
  <c r="AU156" i="5" s="1"/>
  <c r="AV152" i="5"/>
  <c r="AV156" i="5" s="1"/>
  <c r="AW152" i="5"/>
  <c r="AW156" i="5" s="1"/>
  <c r="AX152" i="5"/>
  <c r="AX156" i="5" s="1"/>
  <c r="AY152" i="5"/>
  <c r="AY156" i="5" s="1"/>
  <c r="AZ152" i="5"/>
  <c r="AZ156" i="5" s="1"/>
  <c r="BA152" i="5"/>
  <c r="BA156" i="5" s="1"/>
  <c r="BB152" i="5"/>
  <c r="BB156" i="5" s="1"/>
  <c r="BC152" i="5"/>
  <c r="BC156" i="5" s="1"/>
  <c r="BD152" i="5"/>
  <c r="BD156" i="5" s="1"/>
  <c r="BE152" i="5"/>
  <c r="BE156" i="5" s="1"/>
  <c r="BF152" i="5"/>
  <c r="BF156" i="5" s="1"/>
  <c r="BG152" i="5"/>
  <c r="BG156" i="5" s="1"/>
  <c r="BH152" i="5"/>
  <c r="BH156" i="5" s="1"/>
  <c r="BI152" i="5"/>
  <c r="BI156" i="5" s="1"/>
  <c r="BJ152" i="5"/>
  <c r="BJ156" i="5" s="1"/>
  <c r="BK152" i="5"/>
  <c r="BK156" i="5" s="1"/>
  <c r="BL152" i="5"/>
  <c r="BL156" i="5" s="1"/>
  <c r="BM152" i="5"/>
  <c r="BM156" i="5" s="1"/>
  <c r="BN152" i="5"/>
  <c r="BN156" i="5" s="1"/>
  <c r="BO152" i="5"/>
  <c r="BO156" i="5" s="1"/>
  <c r="BP152" i="5"/>
  <c r="BP156" i="5" s="1"/>
  <c r="BQ152" i="5"/>
  <c r="BQ156" i="5" s="1"/>
  <c r="BR152" i="5"/>
  <c r="BR156" i="5" s="1"/>
  <c r="BS152" i="5"/>
  <c r="BS156" i="5" s="1"/>
  <c r="BT152" i="5"/>
  <c r="BT156" i="5" s="1"/>
  <c r="BU152" i="5"/>
  <c r="BU156" i="5" s="1"/>
  <c r="BV152" i="5"/>
  <c r="BV156" i="5" s="1"/>
  <c r="BW152" i="5"/>
  <c r="BW156" i="5" s="1"/>
  <c r="BX152" i="5"/>
  <c r="BX156" i="5" s="1"/>
  <c r="BY152" i="5"/>
  <c r="BY156" i="5" s="1"/>
  <c r="BZ152" i="5"/>
  <c r="BZ156" i="5" s="1"/>
  <c r="CE152" i="5"/>
  <c r="CE156" i="5" s="1"/>
  <c r="CF152" i="5"/>
  <c r="CF156" i="5" s="1"/>
  <c r="CG152" i="5"/>
  <c r="CG156" i="5" s="1"/>
  <c r="E152" i="5"/>
  <c r="E156" i="5" s="1"/>
  <c r="E151" i="5"/>
  <c r="E155" i="5" s="1"/>
  <c r="BR157" i="5" l="1"/>
  <c r="BJ157" i="5"/>
  <c r="AD157" i="5"/>
  <c r="AE157" i="5"/>
  <c r="AL157" i="5"/>
  <c r="V157" i="5"/>
  <c r="AT157" i="5"/>
  <c r="N157" i="5"/>
  <c r="BF157" i="5"/>
  <c r="AC157" i="5"/>
  <c r="M157" i="5"/>
  <c r="BT157" i="5"/>
  <c r="BD157" i="5"/>
  <c r="AN157" i="5"/>
  <c r="P157" i="5"/>
  <c r="H157" i="5"/>
  <c r="AU157" i="5"/>
  <c r="O157" i="5"/>
  <c r="G157" i="5"/>
  <c r="BQ157" i="5"/>
  <c r="BH157" i="5"/>
  <c r="AR157" i="5"/>
  <c r="AJ157" i="5"/>
  <c r="T157" i="5"/>
  <c r="L157" i="5"/>
  <c r="BO157" i="5"/>
  <c r="BG157" i="5"/>
  <c r="AQ157" i="5"/>
  <c r="AI157" i="5"/>
  <c r="AA157" i="5"/>
  <c r="S157" i="5"/>
  <c r="K157" i="5"/>
  <c r="CB157" i="5"/>
  <c r="BV157" i="5"/>
  <c r="AX157" i="5"/>
  <c r="AP157" i="5"/>
  <c r="Z157" i="5"/>
  <c r="J157" i="5"/>
  <c r="CA157" i="5"/>
  <c r="AW157" i="5"/>
  <c r="AG157" i="5"/>
  <c r="Y157" i="5"/>
  <c r="I157" i="5"/>
  <c r="F157" i="5"/>
  <c r="E157" i="5"/>
  <c r="E46" i="41" l="1"/>
  <c r="B42" i="41"/>
  <c r="AR114" i="5" l="1"/>
  <c r="E44" i="41"/>
  <c r="E42" i="41"/>
  <c r="I43" i="41" l="1"/>
  <c r="B41" i="41"/>
  <c r="AB118" i="5"/>
  <c r="AB117" i="5"/>
  <c r="S99" i="41"/>
  <c r="L52" i="36" l="1"/>
  <c r="D3" i="5"/>
  <c r="BG121" i="5"/>
  <c r="Q26" i="21"/>
  <c r="Q25" i="21"/>
  <c r="O26" i="21"/>
  <c r="R8" i="23" l="1"/>
  <c r="R5" i="21"/>
  <c r="R20" i="21"/>
  <c r="Q11" i="21"/>
  <c r="O11" i="21"/>
  <c r="Q20" i="21"/>
  <c r="O20" i="21"/>
  <c r="L50" i="36" l="1"/>
  <c r="L48" i="36" s="1"/>
  <c r="L40" i="36"/>
  <c r="L38" i="36"/>
  <c r="P50" i="36"/>
  <c r="P40" i="36"/>
  <c r="P38" i="36"/>
  <c r="P36" i="36" l="1"/>
  <c r="L36" i="36"/>
  <c r="U49" i="41" l="1"/>
  <c r="T49" i="41"/>
  <c r="S49" i="41"/>
  <c r="R49" i="41"/>
  <c r="Q49" i="41"/>
  <c r="P49" i="41"/>
  <c r="O49" i="41"/>
  <c r="N49" i="41"/>
  <c r="M49" i="41"/>
  <c r="L49" i="41"/>
  <c r="K49" i="41"/>
  <c r="J49" i="41"/>
  <c r="I49" i="41"/>
  <c r="H49" i="41"/>
  <c r="G49" i="41"/>
  <c r="F49" i="41"/>
  <c r="E49" i="41"/>
  <c r="D49" i="41"/>
  <c r="C49" i="41"/>
  <c r="T45" i="41"/>
  <c r="S45" i="41"/>
  <c r="Q45" i="41"/>
  <c r="O45" i="41"/>
  <c r="N45" i="41"/>
  <c r="M45" i="41"/>
  <c r="K45" i="41"/>
  <c r="I45" i="41"/>
  <c r="H45" i="41"/>
  <c r="G45" i="41"/>
  <c r="E45" i="41"/>
  <c r="D45" i="41"/>
  <c r="C45" i="41"/>
  <c r="C41" i="41"/>
  <c r="D41" i="41"/>
  <c r="F41" i="41"/>
  <c r="G41" i="41"/>
  <c r="H41" i="41"/>
  <c r="I41" i="41"/>
  <c r="K41" i="41"/>
  <c r="L41" i="41"/>
  <c r="M41" i="41"/>
  <c r="N41" i="41"/>
  <c r="O41" i="41"/>
  <c r="P41" i="41"/>
  <c r="Q41" i="41"/>
  <c r="R41" i="41"/>
  <c r="T41" i="41"/>
  <c r="U41" i="41"/>
  <c r="C42" i="41"/>
  <c r="D42" i="41"/>
  <c r="F42" i="41"/>
  <c r="H42" i="41"/>
  <c r="I42" i="41"/>
  <c r="K42" i="41"/>
  <c r="L42" i="41"/>
  <c r="M42" i="41"/>
  <c r="N42" i="41"/>
  <c r="O42" i="41"/>
  <c r="P42" i="41"/>
  <c r="Q42" i="41"/>
  <c r="R42" i="41"/>
  <c r="S42" i="41"/>
  <c r="T42" i="41"/>
  <c r="C43" i="41"/>
  <c r="D43" i="41"/>
  <c r="H43" i="41"/>
  <c r="K43" i="41"/>
  <c r="M43" i="41"/>
  <c r="O43" i="41"/>
  <c r="P43" i="41"/>
  <c r="Q43" i="41"/>
  <c r="S43" i="41"/>
  <c r="T43" i="41"/>
  <c r="C44" i="41"/>
  <c r="D44" i="41"/>
  <c r="F44" i="41"/>
  <c r="H44" i="41"/>
  <c r="I44" i="41"/>
  <c r="K44" i="41"/>
  <c r="L44" i="41"/>
  <c r="M44" i="41"/>
  <c r="O44" i="41"/>
  <c r="P44" i="41"/>
  <c r="Q44" i="41"/>
  <c r="R44" i="41"/>
  <c r="S44" i="41"/>
  <c r="T44" i="41"/>
  <c r="C46" i="41"/>
  <c r="D46" i="41"/>
  <c r="G46" i="41"/>
  <c r="H46" i="41"/>
  <c r="I46" i="41"/>
  <c r="J46" i="41"/>
  <c r="K46" i="41"/>
  <c r="M46" i="41"/>
  <c r="N46" i="41"/>
  <c r="O46" i="41"/>
  <c r="P46" i="41"/>
  <c r="Q46" i="41"/>
  <c r="S46" i="41"/>
  <c r="T46" i="41"/>
  <c r="U46" i="41"/>
  <c r="C47" i="41"/>
  <c r="D47" i="41"/>
  <c r="E47" i="41"/>
  <c r="F47" i="41"/>
  <c r="G47" i="41"/>
  <c r="H47" i="41"/>
  <c r="I47" i="41"/>
  <c r="J47" i="41"/>
  <c r="K47" i="41"/>
  <c r="L47" i="41"/>
  <c r="M47" i="41"/>
  <c r="N47" i="41"/>
  <c r="O47" i="41"/>
  <c r="P47" i="41"/>
  <c r="Q47" i="41"/>
  <c r="R47" i="41"/>
  <c r="S47" i="41"/>
  <c r="T47" i="41"/>
  <c r="U47" i="41"/>
  <c r="C48" i="41"/>
  <c r="D48" i="41"/>
  <c r="E48" i="41"/>
  <c r="F48" i="41"/>
  <c r="G48" i="41"/>
  <c r="H48" i="41"/>
  <c r="I48" i="41"/>
  <c r="J48" i="41"/>
  <c r="K48" i="41"/>
  <c r="M48" i="41"/>
  <c r="N48" i="41"/>
  <c r="O48" i="41"/>
  <c r="P48" i="41"/>
  <c r="Q48" i="41"/>
  <c r="T48" i="41"/>
  <c r="U48" i="41"/>
  <c r="C50" i="41"/>
  <c r="D50" i="41"/>
  <c r="E50" i="41"/>
  <c r="F50" i="41"/>
  <c r="G50" i="41"/>
  <c r="H50" i="41"/>
  <c r="I50" i="41"/>
  <c r="J50" i="41"/>
  <c r="K50" i="41"/>
  <c r="L50" i="41"/>
  <c r="M50" i="41"/>
  <c r="N50" i="41"/>
  <c r="O50" i="41"/>
  <c r="P50" i="41"/>
  <c r="Q50" i="41"/>
  <c r="T50" i="41"/>
  <c r="U50" i="41"/>
  <c r="C51" i="41"/>
  <c r="D51" i="41"/>
  <c r="E51" i="41"/>
  <c r="F51" i="41"/>
  <c r="G51" i="41"/>
  <c r="H51" i="41"/>
  <c r="I51" i="41"/>
  <c r="J51" i="41"/>
  <c r="K51" i="41"/>
  <c r="M51" i="41"/>
  <c r="N51" i="41"/>
  <c r="O51" i="41"/>
  <c r="P51" i="41"/>
  <c r="Q51" i="41"/>
  <c r="T51" i="41"/>
  <c r="U51" i="41"/>
  <c r="B51" i="41"/>
  <c r="B49" i="41"/>
  <c r="B48" i="41"/>
  <c r="B47" i="41"/>
  <c r="B46" i="41"/>
  <c r="B45" i="41"/>
  <c r="B44" i="41"/>
  <c r="B43" i="41"/>
  <c r="S131" i="41"/>
  <c r="S130" i="41"/>
  <c r="S129" i="41"/>
  <c r="S128" i="41"/>
  <c r="S127" i="41"/>
  <c r="S126" i="41"/>
  <c r="S125" i="41"/>
  <c r="S124" i="41"/>
  <c r="S123" i="41"/>
  <c r="S122" i="41"/>
  <c r="R110" i="41"/>
  <c r="Q110" i="41"/>
  <c r="P110" i="41"/>
  <c r="O110" i="41"/>
  <c r="N110" i="41"/>
  <c r="M110" i="41"/>
  <c r="L110" i="41"/>
  <c r="K110" i="41"/>
  <c r="J110" i="41"/>
  <c r="I110" i="41"/>
  <c r="H110" i="41"/>
  <c r="G110" i="41"/>
  <c r="F110" i="41"/>
  <c r="E110" i="41"/>
  <c r="D110" i="41"/>
  <c r="C110" i="41"/>
  <c r="B110" i="41"/>
  <c r="S108" i="41"/>
  <c r="S107" i="41"/>
  <c r="S106" i="41"/>
  <c r="S105" i="41"/>
  <c r="S104" i="41"/>
  <c r="S103" i="41"/>
  <c r="S102" i="41"/>
  <c r="S101" i="41"/>
  <c r="S100" i="41"/>
  <c r="CD96" i="41"/>
  <c r="CC96" i="41"/>
  <c r="CB96" i="41"/>
  <c r="CA96" i="41"/>
  <c r="BZ96" i="41"/>
  <c r="BY96" i="41"/>
  <c r="BX96" i="41"/>
  <c r="BW96" i="41"/>
  <c r="BV96" i="41"/>
  <c r="BU96" i="41"/>
  <c r="BT96" i="41"/>
  <c r="BS96" i="41"/>
  <c r="BR96" i="41"/>
  <c r="BQ96" i="41"/>
  <c r="BP96" i="41"/>
  <c r="BO96" i="41"/>
  <c r="BN96" i="41"/>
  <c r="BM96" i="41"/>
  <c r="BL96" i="41"/>
  <c r="BK96" i="41"/>
  <c r="BJ96" i="41"/>
  <c r="BI96" i="41"/>
  <c r="BH96" i="41"/>
  <c r="BG96" i="41"/>
  <c r="BF96" i="41"/>
  <c r="BE96" i="41"/>
  <c r="BD96" i="41"/>
  <c r="BC96" i="41"/>
  <c r="BB96" i="41"/>
  <c r="BA96" i="41"/>
  <c r="AZ96" i="41"/>
  <c r="AY96" i="41"/>
  <c r="AX96" i="41"/>
  <c r="AW96" i="41"/>
  <c r="AV96" i="41"/>
  <c r="AU96" i="41"/>
  <c r="AT96" i="41"/>
  <c r="AS96" i="41"/>
  <c r="AR96" i="41"/>
  <c r="AQ96" i="41"/>
  <c r="AP96" i="41"/>
  <c r="AO96" i="41"/>
  <c r="AN96" i="41"/>
  <c r="AM96" i="41"/>
  <c r="AL96" i="41"/>
  <c r="AK96" i="41"/>
  <c r="AJ96" i="41"/>
  <c r="AI96" i="41"/>
  <c r="AH96" i="41"/>
  <c r="AG96" i="41"/>
  <c r="AF96" i="41"/>
  <c r="AE96" i="41"/>
  <c r="AD96" i="41"/>
  <c r="AC96" i="41"/>
  <c r="AB96" i="41"/>
  <c r="AA96" i="41"/>
  <c r="Z96" i="41"/>
  <c r="Y96" i="41"/>
  <c r="X96" i="41"/>
  <c r="W96" i="41"/>
  <c r="V96" i="41"/>
  <c r="U96" i="41"/>
  <c r="T96" i="41"/>
  <c r="S96" i="41"/>
  <c r="R96" i="41"/>
  <c r="Q96" i="41"/>
  <c r="P96" i="41"/>
  <c r="O96" i="41"/>
  <c r="N96" i="41"/>
  <c r="M96" i="41"/>
  <c r="L96" i="41"/>
  <c r="K96" i="41"/>
  <c r="J96" i="41"/>
  <c r="I96" i="41"/>
  <c r="H96" i="41"/>
  <c r="G96" i="41"/>
  <c r="F96" i="41"/>
  <c r="E96" i="41"/>
  <c r="D96" i="41"/>
  <c r="C96" i="41"/>
  <c r="B96" i="41"/>
  <c r="CD95" i="41"/>
  <c r="CC95" i="41"/>
  <c r="CB95" i="41"/>
  <c r="CA95" i="41"/>
  <c r="BZ95" i="41"/>
  <c r="BY95" i="41"/>
  <c r="BX95" i="41"/>
  <c r="BW95" i="41"/>
  <c r="BV95" i="41"/>
  <c r="BU95" i="41"/>
  <c r="BT95" i="41"/>
  <c r="BS95" i="41"/>
  <c r="BR95" i="41"/>
  <c r="BQ95" i="41"/>
  <c r="BP95" i="41"/>
  <c r="BO95" i="41"/>
  <c r="BN95" i="41"/>
  <c r="BM95" i="41"/>
  <c r="BL95" i="41"/>
  <c r="BK95" i="41"/>
  <c r="BJ95" i="41"/>
  <c r="BI95" i="41"/>
  <c r="BH95" i="41"/>
  <c r="BG95" i="41"/>
  <c r="BF95" i="41"/>
  <c r="BE95" i="41"/>
  <c r="BD95" i="41"/>
  <c r="BC95" i="41"/>
  <c r="BB95" i="41"/>
  <c r="BA95" i="41"/>
  <c r="AZ95" i="41"/>
  <c r="AY95" i="41"/>
  <c r="AX95" i="41"/>
  <c r="AW95" i="41"/>
  <c r="AV95" i="41"/>
  <c r="AU95" i="41"/>
  <c r="AT95" i="41"/>
  <c r="AS95" i="41"/>
  <c r="AR95" i="41"/>
  <c r="AQ95" i="41"/>
  <c r="AP95" i="41"/>
  <c r="AO95" i="41"/>
  <c r="AN95" i="41"/>
  <c r="AM95" i="41"/>
  <c r="AL95" i="41"/>
  <c r="AK95" i="41"/>
  <c r="AJ95" i="41"/>
  <c r="AI95" i="41"/>
  <c r="AH95" i="41"/>
  <c r="AG95" i="41"/>
  <c r="AF95" i="41"/>
  <c r="AE95" i="41"/>
  <c r="AD95" i="41"/>
  <c r="AC95" i="41"/>
  <c r="AB95" i="41"/>
  <c r="AA95" i="41"/>
  <c r="Z95" i="41"/>
  <c r="Y95" i="41"/>
  <c r="X95" i="41"/>
  <c r="W95" i="41"/>
  <c r="V95" i="41"/>
  <c r="U95" i="41"/>
  <c r="T95" i="41"/>
  <c r="S95" i="41"/>
  <c r="R95" i="41"/>
  <c r="Q95" i="41"/>
  <c r="P95" i="41"/>
  <c r="O95" i="41"/>
  <c r="N95" i="41"/>
  <c r="M95" i="41"/>
  <c r="L95" i="41"/>
  <c r="K95" i="41"/>
  <c r="J95" i="41"/>
  <c r="I95" i="41"/>
  <c r="H95" i="41"/>
  <c r="G95" i="41"/>
  <c r="F95" i="41"/>
  <c r="E95" i="41"/>
  <c r="D95" i="41"/>
  <c r="C95" i="41"/>
  <c r="B95" i="41"/>
  <c r="CD94" i="41"/>
  <c r="CC94" i="41"/>
  <c r="CB94" i="41"/>
  <c r="CA94" i="41"/>
  <c r="BZ94" i="41"/>
  <c r="BY94" i="41"/>
  <c r="BX94" i="41"/>
  <c r="BW94" i="41"/>
  <c r="BV94" i="41"/>
  <c r="BU94" i="41"/>
  <c r="BT94" i="41"/>
  <c r="BS94" i="41"/>
  <c r="BR94" i="41"/>
  <c r="BQ94" i="41"/>
  <c r="BP94" i="41"/>
  <c r="BO94" i="41"/>
  <c r="BN94" i="41"/>
  <c r="BM94" i="41"/>
  <c r="BL94" i="41"/>
  <c r="BK94" i="41"/>
  <c r="BJ94" i="41"/>
  <c r="BI94" i="41"/>
  <c r="BH94" i="41"/>
  <c r="BG94" i="41"/>
  <c r="BF94" i="41"/>
  <c r="BE94" i="41"/>
  <c r="BD94" i="41"/>
  <c r="BC94" i="41"/>
  <c r="BB94" i="41"/>
  <c r="BA94" i="41"/>
  <c r="AZ94" i="41"/>
  <c r="AY94" i="41"/>
  <c r="AX94" i="41"/>
  <c r="AW94" i="41"/>
  <c r="AV94" i="41"/>
  <c r="AU94" i="41"/>
  <c r="AT94" i="41"/>
  <c r="AS94" i="41"/>
  <c r="AR94" i="41"/>
  <c r="AQ94" i="41"/>
  <c r="AP94" i="41"/>
  <c r="AO94" i="41"/>
  <c r="AN94" i="41"/>
  <c r="AM94" i="41"/>
  <c r="AL94" i="41"/>
  <c r="AK94" i="41"/>
  <c r="AJ94" i="41"/>
  <c r="AI94" i="41"/>
  <c r="AH94" i="41"/>
  <c r="AG94" i="41"/>
  <c r="AF94" i="41"/>
  <c r="AE94" i="41"/>
  <c r="AD94" i="41"/>
  <c r="AC94" i="41"/>
  <c r="AB94" i="41"/>
  <c r="AA94" i="41"/>
  <c r="Z94" i="41"/>
  <c r="Y94" i="41"/>
  <c r="X94" i="41"/>
  <c r="W94" i="41"/>
  <c r="V94" i="41"/>
  <c r="U94" i="41"/>
  <c r="T94" i="41"/>
  <c r="S94" i="41"/>
  <c r="R94" i="41"/>
  <c r="Q94" i="41"/>
  <c r="P94" i="41"/>
  <c r="O94" i="41"/>
  <c r="N94" i="41"/>
  <c r="M94" i="41"/>
  <c r="L94" i="41"/>
  <c r="K94" i="41"/>
  <c r="J94" i="41"/>
  <c r="I94" i="41"/>
  <c r="H94" i="41"/>
  <c r="G94" i="41"/>
  <c r="F94" i="41"/>
  <c r="E94" i="41"/>
  <c r="D94" i="41"/>
  <c r="C94" i="41"/>
  <c r="B94" i="41"/>
  <c r="CD93" i="41"/>
  <c r="CC93" i="41"/>
  <c r="CB93" i="41"/>
  <c r="CA93" i="41"/>
  <c r="BZ93" i="41"/>
  <c r="BY93" i="41"/>
  <c r="BX93" i="41"/>
  <c r="BW93" i="41"/>
  <c r="BV93" i="41"/>
  <c r="BU93" i="41"/>
  <c r="BT93" i="41"/>
  <c r="BS93" i="41"/>
  <c r="BR93" i="41"/>
  <c r="BQ93" i="41"/>
  <c r="BP93" i="41"/>
  <c r="BO93" i="41"/>
  <c r="BN93" i="41"/>
  <c r="BM93" i="41"/>
  <c r="BL93" i="41"/>
  <c r="BK93" i="41"/>
  <c r="BJ93" i="41"/>
  <c r="BI93" i="41"/>
  <c r="BH93" i="41"/>
  <c r="BG93" i="41"/>
  <c r="BF93" i="41"/>
  <c r="BE93" i="41"/>
  <c r="BD93" i="41"/>
  <c r="BC93" i="41"/>
  <c r="BB93" i="41"/>
  <c r="BA93" i="41"/>
  <c r="AZ93" i="41"/>
  <c r="AY93" i="41"/>
  <c r="AX93" i="41"/>
  <c r="AW93" i="41"/>
  <c r="AV93" i="41"/>
  <c r="AU93" i="41"/>
  <c r="AT93" i="41"/>
  <c r="AS93" i="41"/>
  <c r="AR93" i="41"/>
  <c r="AQ93" i="41"/>
  <c r="AP93" i="41"/>
  <c r="AO93" i="41"/>
  <c r="AN93" i="41"/>
  <c r="AM93" i="41"/>
  <c r="AL93" i="41"/>
  <c r="AK93" i="41"/>
  <c r="AJ93" i="41"/>
  <c r="AI93" i="41"/>
  <c r="AH93" i="41"/>
  <c r="AG93" i="41"/>
  <c r="AF93" i="41"/>
  <c r="AE93" i="41"/>
  <c r="AD93" i="41"/>
  <c r="AC93" i="41"/>
  <c r="AB93" i="41"/>
  <c r="AA93" i="41"/>
  <c r="Z93" i="41"/>
  <c r="Y93" i="41"/>
  <c r="X93" i="41"/>
  <c r="W93" i="41"/>
  <c r="V93" i="41"/>
  <c r="U93" i="41"/>
  <c r="T93" i="41"/>
  <c r="S93" i="41"/>
  <c r="R93" i="41"/>
  <c r="Q93" i="41"/>
  <c r="P93" i="41"/>
  <c r="O93" i="41"/>
  <c r="N93" i="41"/>
  <c r="M93" i="41"/>
  <c r="L93" i="41"/>
  <c r="K93" i="41"/>
  <c r="J93" i="41"/>
  <c r="I93" i="41"/>
  <c r="H93" i="41"/>
  <c r="G93" i="41"/>
  <c r="F93" i="41"/>
  <c r="E93" i="41"/>
  <c r="D93" i="41"/>
  <c r="C93" i="41"/>
  <c r="B93" i="41"/>
  <c r="CD92" i="41"/>
  <c r="CC92" i="41"/>
  <c r="CB92" i="41"/>
  <c r="CA92" i="41"/>
  <c r="BZ92" i="41"/>
  <c r="BY92" i="41"/>
  <c r="BX92" i="41"/>
  <c r="BW92" i="41"/>
  <c r="BV92" i="41"/>
  <c r="BU92" i="41"/>
  <c r="BT92" i="41"/>
  <c r="BS92" i="41"/>
  <c r="BR92" i="41"/>
  <c r="BQ92" i="41"/>
  <c r="BP92" i="41"/>
  <c r="BO92" i="41"/>
  <c r="BN92" i="41"/>
  <c r="BM92" i="41"/>
  <c r="BL92" i="41"/>
  <c r="BK92" i="41"/>
  <c r="BJ92" i="41"/>
  <c r="BI92" i="41"/>
  <c r="BH92" i="41"/>
  <c r="BG92" i="41"/>
  <c r="BF92" i="41"/>
  <c r="BE92" i="41"/>
  <c r="BD92" i="41"/>
  <c r="BC92" i="41"/>
  <c r="BB92" i="41"/>
  <c r="BA92" i="41"/>
  <c r="AZ92" i="41"/>
  <c r="AY92" i="41"/>
  <c r="AX92" i="41"/>
  <c r="AW92" i="41"/>
  <c r="AV92" i="41"/>
  <c r="AU92" i="41"/>
  <c r="AT92" i="41"/>
  <c r="AS92" i="41"/>
  <c r="AR92" i="41"/>
  <c r="AQ92" i="41"/>
  <c r="AP92" i="41"/>
  <c r="AO92" i="41"/>
  <c r="AN92" i="41"/>
  <c r="AM92" i="41"/>
  <c r="AL92" i="41"/>
  <c r="AK92" i="41"/>
  <c r="AJ92" i="41"/>
  <c r="AI92" i="41"/>
  <c r="AH92" i="41"/>
  <c r="AG92" i="41"/>
  <c r="AF92" i="41"/>
  <c r="AE92" i="41"/>
  <c r="AD92" i="41"/>
  <c r="AC92" i="41"/>
  <c r="AB92" i="41"/>
  <c r="AA92" i="41"/>
  <c r="Z92" i="41"/>
  <c r="Y92" i="41"/>
  <c r="X92" i="41"/>
  <c r="W92" i="41"/>
  <c r="V92" i="41"/>
  <c r="U92" i="41"/>
  <c r="T92" i="41"/>
  <c r="S92" i="41"/>
  <c r="R92" i="41"/>
  <c r="Q92" i="41"/>
  <c r="P92" i="41"/>
  <c r="O92" i="41"/>
  <c r="N92" i="41"/>
  <c r="M92" i="41"/>
  <c r="L92" i="41"/>
  <c r="K92" i="41"/>
  <c r="J92" i="41"/>
  <c r="I92" i="41"/>
  <c r="H92" i="41"/>
  <c r="G92" i="41"/>
  <c r="F92" i="41"/>
  <c r="E92" i="41"/>
  <c r="D92" i="41"/>
  <c r="C92" i="41"/>
  <c r="B92" i="41"/>
  <c r="CD90" i="41"/>
  <c r="CC90" i="41"/>
  <c r="CB90" i="41"/>
  <c r="CA90" i="41"/>
  <c r="BZ90" i="41"/>
  <c r="BY90" i="41"/>
  <c r="BX90" i="41"/>
  <c r="BW90" i="41"/>
  <c r="BV90" i="41"/>
  <c r="BU90" i="41"/>
  <c r="BT90" i="41"/>
  <c r="BS90" i="41"/>
  <c r="BR90" i="41"/>
  <c r="BQ90" i="41"/>
  <c r="BP90" i="41"/>
  <c r="BO90" i="41"/>
  <c r="BN90" i="41"/>
  <c r="BM90" i="41"/>
  <c r="BL90" i="41"/>
  <c r="BK90" i="41"/>
  <c r="BJ90" i="41"/>
  <c r="BI90" i="41"/>
  <c r="BH90" i="41"/>
  <c r="BG90" i="41"/>
  <c r="BF90" i="41"/>
  <c r="BE90" i="41"/>
  <c r="BD90" i="41"/>
  <c r="BC90" i="41"/>
  <c r="BB90" i="41"/>
  <c r="BA90" i="41"/>
  <c r="AZ90" i="41"/>
  <c r="AY90" i="41"/>
  <c r="AX90" i="41"/>
  <c r="AW90" i="41"/>
  <c r="AV90" i="41"/>
  <c r="AU90" i="41"/>
  <c r="AT90" i="41"/>
  <c r="AS90" i="41"/>
  <c r="AR90" i="41"/>
  <c r="AQ90" i="41"/>
  <c r="AP90" i="41"/>
  <c r="AO90" i="41"/>
  <c r="AN90" i="41"/>
  <c r="AM90" i="41"/>
  <c r="AL90" i="41"/>
  <c r="AK90" i="41"/>
  <c r="AJ90" i="41"/>
  <c r="AI90" i="41"/>
  <c r="AH90" i="41"/>
  <c r="AG90" i="41"/>
  <c r="AF90" i="41"/>
  <c r="AE90" i="41"/>
  <c r="AD90" i="41"/>
  <c r="AC90" i="41"/>
  <c r="AB90" i="41"/>
  <c r="AA90" i="41"/>
  <c r="Z90" i="41"/>
  <c r="Y90" i="41"/>
  <c r="X90" i="41"/>
  <c r="W90" i="41"/>
  <c r="V90" i="41"/>
  <c r="U90" i="41"/>
  <c r="T90" i="41"/>
  <c r="S90" i="41"/>
  <c r="R90" i="41"/>
  <c r="Q90" i="41"/>
  <c r="P90" i="41"/>
  <c r="O90" i="41"/>
  <c r="N90" i="41"/>
  <c r="M90" i="41"/>
  <c r="L90" i="41"/>
  <c r="K90" i="41"/>
  <c r="J90" i="41"/>
  <c r="I90" i="41"/>
  <c r="H90" i="41"/>
  <c r="G90" i="41"/>
  <c r="F90" i="41"/>
  <c r="E90" i="41"/>
  <c r="D90" i="41"/>
  <c r="C90" i="41"/>
  <c r="B90" i="41"/>
  <c r="CD89" i="41"/>
  <c r="CC89" i="41"/>
  <c r="CB89" i="41"/>
  <c r="CA89" i="41"/>
  <c r="BZ89" i="41"/>
  <c r="BY89" i="41"/>
  <c r="BX89" i="41"/>
  <c r="BW89" i="41"/>
  <c r="BV89" i="41"/>
  <c r="BU89" i="41"/>
  <c r="BT89" i="41"/>
  <c r="BS89" i="41"/>
  <c r="BR89" i="41"/>
  <c r="BQ89" i="41"/>
  <c r="BP89" i="41"/>
  <c r="BO89" i="41"/>
  <c r="BN89" i="41"/>
  <c r="BM89" i="41"/>
  <c r="BL89" i="41"/>
  <c r="BK89" i="41"/>
  <c r="BJ89" i="41"/>
  <c r="BI89" i="41"/>
  <c r="BH89" i="41"/>
  <c r="BG89" i="41"/>
  <c r="BF89" i="41"/>
  <c r="BE89" i="41"/>
  <c r="BD89" i="41"/>
  <c r="BC89" i="41"/>
  <c r="BB89" i="41"/>
  <c r="BA89" i="41"/>
  <c r="AZ89" i="41"/>
  <c r="AY89" i="41"/>
  <c r="AX89" i="41"/>
  <c r="AW89" i="41"/>
  <c r="AV89" i="41"/>
  <c r="AU89" i="41"/>
  <c r="AT89" i="41"/>
  <c r="AS89" i="41"/>
  <c r="AR89" i="41"/>
  <c r="AQ89" i="41"/>
  <c r="AP89" i="41"/>
  <c r="AO89" i="41"/>
  <c r="AN89" i="41"/>
  <c r="AM89" i="41"/>
  <c r="AL89" i="41"/>
  <c r="AK89" i="41"/>
  <c r="AJ89" i="41"/>
  <c r="AI89" i="41"/>
  <c r="AH89" i="41"/>
  <c r="AG89" i="41"/>
  <c r="AF89" i="41"/>
  <c r="AE89" i="41"/>
  <c r="AD89" i="41"/>
  <c r="AC89" i="41"/>
  <c r="AB89" i="41"/>
  <c r="AA89" i="41"/>
  <c r="Z89" i="41"/>
  <c r="Y89" i="41"/>
  <c r="X89" i="41"/>
  <c r="W89" i="41"/>
  <c r="V89" i="41"/>
  <c r="U89" i="41"/>
  <c r="T89" i="41"/>
  <c r="S89" i="41"/>
  <c r="R89" i="41"/>
  <c r="Q89" i="41"/>
  <c r="P89" i="41"/>
  <c r="O89" i="41"/>
  <c r="N89" i="41"/>
  <c r="M89" i="41"/>
  <c r="L89" i="41"/>
  <c r="K89" i="41"/>
  <c r="J89" i="41"/>
  <c r="I89" i="41"/>
  <c r="H89" i="41"/>
  <c r="G89" i="41"/>
  <c r="F89" i="41"/>
  <c r="E89" i="41"/>
  <c r="D89" i="41"/>
  <c r="C89" i="41"/>
  <c r="B89" i="41"/>
  <c r="CD88" i="41"/>
  <c r="CC88" i="41"/>
  <c r="CB88" i="41"/>
  <c r="CA88" i="41"/>
  <c r="BZ88" i="41"/>
  <c r="BY88" i="41"/>
  <c r="BX88" i="41"/>
  <c r="BW88" i="41"/>
  <c r="BV88" i="41"/>
  <c r="BU88" i="41"/>
  <c r="BT88" i="41"/>
  <c r="BS88" i="41"/>
  <c r="BR88" i="41"/>
  <c r="BQ88" i="41"/>
  <c r="BP88" i="41"/>
  <c r="BO88" i="41"/>
  <c r="BN88" i="41"/>
  <c r="BM88" i="41"/>
  <c r="BL88" i="41"/>
  <c r="BK88" i="41"/>
  <c r="BJ88" i="41"/>
  <c r="BI88" i="41"/>
  <c r="BH88" i="41"/>
  <c r="BG88" i="41"/>
  <c r="BF88" i="41"/>
  <c r="BE88" i="41"/>
  <c r="BD88" i="41"/>
  <c r="BC88" i="41"/>
  <c r="BB88" i="41"/>
  <c r="BA88" i="41"/>
  <c r="AZ88" i="41"/>
  <c r="AY88" i="41"/>
  <c r="AX88" i="41"/>
  <c r="AW88" i="41"/>
  <c r="AV88" i="41"/>
  <c r="AU88" i="41"/>
  <c r="AT88" i="41"/>
  <c r="AS88" i="41"/>
  <c r="AR88" i="41"/>
  <c r="AQ88" i="41"/>
  <c r="AP88" i="41"/>
  <c r="AO88" i="41"/>
  <c r="AN88" i="41"/>
  <c r="AM88" i="41"/>
  <c r="AL88" i="41"/>
  <c r="AK88" i="41"/>
  <c r="AJ88" i="41"/>
  <c r="AI88" i="41"/>
  <c r="AH88" i="41"/>
  <c r="AG88" i="41"/>
  <c r="AF88" i="41"/>
  <c r="AE88" i="41"/>
  <c r="AD88" i="41"/>
  <c r="AC88" i="41"/>
  <c r="AB88" i="41"/>
  <c r="AA88" i="41"/>
  <c r="Z88" i="41"/>
  <c r="Y88" i="41"/>
  <c r="X88" i="41"/>
  <c r="W88" i="41"/>
  <c r="V88" i="41"/>
  <c r="U88" i="41"/>
  <c r="T88" i="41"/>
  <c r="S88" i="41"/>
  <c r="R88" i="41"/>
  <c r="Q88" i="41"/>
  <c r="P88" i="41"/>
  <c r="O88" i="41"/>
  <c r="N88" i="41"/>
  <c r="M88" i="41"/>
  <c r="L88" i="41"/>
  <c r="K88" i="41"/>
  <c r="J88" i="41"/>
  <c r="I88" i="41"/>
  <c r="H88" i="41"/>
  <c r="G88" i="41"/>
  <c r="F88" i="41"/>
  <c r="E88" i="41"/>
  <c r="D88" i="41"/>
  <c r="C88" i="41"/>
  <c r="B88" i="41"/>
  <c r="CD87" i="41"/>
  <c r="CC87" i="41"/>
  <c r="CB87" i="41"/>
  <c r="CA87" i="41"/>
  <c r="BZ87" i="41"/>
  <c r="BY87" i="41"/>
  <c r="BX87" i="41"/>
  <c r="BW87" i="41"/>
  <c r="BV87" i="41"/>
  <c r="BU87" i="41"/>
  <c r="BT87" i="41"/>
  <c r="BS87" i="41"/>
  <c r="BR87" i="41"/>
  <c r="BQ87" i="41"/>
  <c r="BP87" i="41"/>
  <c r="BO87" i="41"/>
  <c r="BN87" i="41"/>
  <c r="BM87" i="41"/>
  <c r="BL87" i="41"/>
  <c r="BK87" i="41"/>
  <c r="BJ87" i="41"/>
  <c r="BI87" i="41"/>
  <c r="BH87" i="41"/>
  <c r="BG87" i="41"/>
  <c r="BF87" i="41"/>
  <c r="BE87" i="41"/>
  <c r="BD87" i="41"/>
  <c r="BC87" i="41"/>
  <c r="BB87" i="41"/>
  <c r="BA87" i="41"/>
  <c r="AZ87" i="41"/>
  <c r="AY87" i="41"/>
  <c r="AX87" i="41"/>
  <c r="AW87" i="41"/>
  <c r="AV87" i="41"/>
  <c r="AU87" i="41"/>
  <c r="AT87" i="41"/>
  <c r="AS87" i="41"/>
  <c r="AR87" i="41"/>
  <c r="AQ87" i="41"/>
  <c r="AP87" i="41"/>
  <c r="AO87" i="41"/>
  <c r="AN87" i="41"/>
  <c r="AM87" i="41"/>
  <c r="AL87" i="41"/>
  <c r="AK87" i="41"/>
  <c r="AJ87" i="41"/>
  <c r="AI87" i="41"/>
  <c r="AH87" i="41"/>
  <c r="AG87" i="41"/>
  <c r="AF87" i="41"/>
  <c r="AE87" i="41"/>
  <c r="AD87" i="41"/>
  <c r="AC87" i="41"/>
  <c r="AB87" i="41"/>
  <c r="AA87" i="41"/>
  <c r="Z87" i="41"/>
  <c r="Y87" i="41"/>
  <c r="X87" i="41"/>
  <c r="W87" i="41"/>
  <c r="V87" i="41"/>
  <c r="U87" i="41"/>
  <c r="T87" i="41"/>
  <c r="S87" i="41"/>
  <c r="R87" i="41"/>
  <c r="Q87" i="41"/>
  <c r="P87" i="41"/>
  <c r="O87" i="41"/>
  <c r="N87" i="41"/>
  <c r="M87" i="41"/>
  <c r="L87" i="41"/>
  <c r="K87" i="41"/>
  <c r="J87" i="41"/>
  <c r="I87" i="41"/>
  <c r="H87" i="41"/>
  <c r="G87" i="41"/>
  <c r="F87" i="41"/>
  <c r="E87" i="41"/>
  <c r="D87" i="41"/>
  <c r="C87" i="41"/>
  <c r="B87" i="41"/>
  <c r="CD86" i="41"/>
  <c r="CC86" i="41"/>
  <c r="CB86" i="41"/>
  <c r="CA86" i="41"/>
  <c r="BZ86" i="41"/>
  <c r="BY86" i="41"/>
  <c r="BX86" i="41"/>
  <c r="BW86" i="41"/>
  <c r="BV86" i="41"/>
  <c r="BU86" i="41"/>
  <c r="BT86" i="41"/>
  <c r="BS86" i="41"/>
  <c r="BR86" i="41"/>
  <c r="BQ86" i="41"/>
  <c r="BP86" i="41"/>
  <c r="BO86" i="41"/>
  <c r="BN86" i="41"/>
  <c r="BM86" i="41"/>
  <c r="BL86" i="41"/>
  <c r="BK86" i="41"/>
  <c r="BJ86" i="41"/>
  <c r="BI86" i="41"/>
  <c r="BH86" i="41"/>
  <c r="BG86" i="41"/>
  <c r="BF86" i="41"/>
  <c r="BE86" i="41"/>
  <c r="BD86" i="41"/>
  <c r="BC86" i="41"/>
  <c r="BB86" i="41"/>
  <c r="BA86" i="41"/>
  <c r="AZ86" i="41"/>
  <c r="AY86" i="41"/>
  <c r="AX86" i="41"/>
  <c r="AW86" i="41"/>
  <c r="AV86" i="41"/>
  <c r="AU86" i="41"/>
  <c r="AT86" i="41"/>
  <c r="AS86" i="41"/>
  <c r="AR86" i="41"/>
  <c r="AQ86" i="41"/>
  <c r="AP86" i="41"/>
  <c r="AO86" i="41"/>
  <c r="AN86" i="41"/>
  <c r="AM86" i="41"/>
  <c r="AL86" i="41"/>
  <c r="AK86" i="41"/>
  <c r="AJ86" i="41"/>
  <c r="AI86" i="41"/>
  <c r="AH86" i="41"/>
  <c r="AG86" i="41"/>
  <c r="AF86" i="41"/>
  <c r="AE86" i="41"/>
  <c r="AD86" i="41"/>
  <c r="AC86" i="41"/>
  <c r="AB86" i="41"/>
  <c r="AA86" i="41"/>
  <c r="Z86" i="41"/>
  <c r="Y86" i="41"/>
  <c r="X86" i="41"/>
  <c r="W86" i="41"/>
  <c r="V86" i="41"/>
  <c r="U86" i="41"/>
  <c r="T86" i="41"/>
  <c r="S86" i="41"/>
  <c r="R86" i="41"/>
  <c r="Q86" i="41"/>
  <c r="P86" i="41"/>
  <c r="O86" i="41"/>
  <c r="N86" i="41"/>
  <c r="M86" i="41"/>
  <c r="L86" i="41"/>
  <c r="K86" i="41"/>
  <c r="J86" i="41"/>
  <c r="I86" i="41"/>
  <c r="H86" i="41"/>
  <c r="G86" i="41"/>
  <c r="F86" i="41"/>
  <c r="E86" i="41"/>
  <c r="D86" i="41"/>
  <c r="C86" i="41"/>
  <c r="B86" i="41"/>
  <c r="CD82" i="41"/>
  <c r="CC82" i="41"/>
  <c r="CB82" i="41"/>
  <c r="CA82" i="41"/>
  <c r="BZ82" i="41"/>
  <c r="BY82" i="41"/>
  <c r="BX82" i="41"/>
  <c r="BW82" i="41"/>
  <c r="BV82" i="41"/>
  <c r="BU82" i="41"/>
  <c r="BT82" i="41"/>
  <c r="BS82" i="41"/>
  <c r="BR82" i="41"/>
  <c r="BQ82" i="41"/>
  <c r="BP82" i="41"/>
  <c r="BO82" i="41"/>
  <c r="BN82" i="41"/>
  <c r="BM82" i="41"/>
  <c r="BL82" i="41"/>
  <c r="BK82" i="41"/>
  <c r="BJ82" i="41"/>
  <c r="BI82" i="41"/>
  <c r="BH82" i="41"/>
  <c r="BG82" i="41"/>
  <c r="BF82" i="41"/>
  <c r="BE82" i="41"/>
  <c r="BD82" i="41"/>
  <c r="BC82" i="41"/>
  <c r="BB82" i="41"/>
  <c r="BA82" i="41"/>
  <c r="AZ82" i="41"/>
  <c r="AY82" i="41"/>
  <c r="AX82" i="41"/>
  <c r="AW82" i="41"/>
  <c r="AV82" i="41"/>
  <c r="AU82" i="41"/>
  <c r="AT82" i="41"/>
  <c r="AS82" i="41"/>
  <c r="AR82" i="41"/>
  <c r="AQ82" i="41"/>
  <c r="AP82" i="41"/>
  <c r="AO82" i="41"/>
  <c r="AN82" i="41"/>
  <c r="AM82" i="41"/>
  <c r="AL82" i="41"/>
  <c r="AK82" i="41"/>
  <c r="AJ82" i="41"/>
  <c r="AI82" i="41"/>
  <c r="AH82" i="41"/>
  <c r="AG82" i="41"/>
  <c r="AF82" i="41"/>
  <c r="AE82" i="41"/>
  <c r="AD82" i="41"/>
  <c r="AC82" i="41"/>
  <c r="AB82" i="41"/>
  <c r="AA82" i="41"/>
  <c r="Z82" i="41"/>
  <c r="Y82" i="41"/>
  <c r="X82" i="41"/>
  <c r="W82" i="41"/>
  <c r="V82" i="41"/>
  <c r="U82" i="41"/>
  <c r="T82" i="41"/>
  <c r="S82" i="41"/>
  <c r="R82" i="41"/>
  <c r="Q82" i="41"/>
  <c r="P82" i="41"/>
  <c r="O82" i="41"/>
  <c r="N82" i="41"/>
  <c r="M82" i="41"/>
  <c r="L82" i="41"/>
  <c r="K82" i="41"/>
  <c r="I82" i="41"/>
  <c r="H82" i="41"/>
  <c r="G82" i="41"/>
  <c r="F82" i="41"/>
  <c r="E82" i="41"/>
  <c r="D82" i="41"/>
  <c r="C82" i="41"/>
  <c r="B82" i="41"/>
  <c r="CD81" i="41"/>
  <c r="CC81" i="41"/>
  <c r="CB81" i="41"/>
  <c r="CA81" i="41"/>
  <c r="BZ81" i="41"/>
  <c r="BY81" i="41"/>
  <c r="BX81" i="41"/>
  <c r="BW81" i="41"/>
  <c r="BV81" i="41"/>
  <c r="BU81" i="41"/>
  <c r="BT81" i="41"/>
  <c r="BS81" i="41"/>
  <c r="BR81" i="41"/>
  <c r="BQ81" i="41"/>
  <c r="BP81" i="41"/>
  <c r="BO81" i="41"/>
  <c r="BN81" i="41"/>
  <c r="BM81" i="41"/>
  <c r="BL81" i="41"/>
  <c r="BK81" i="41"/>
  <c r="BJ81" i="41"/>
  <c r="BI81" i="41"/>
  <c r="BH81" i="41"/>
  <c r="BG81" i="41"/>
  <c r="BF81" i="41"/>
  <c r="BE81" i="41"/>
  <c r="BD81" i="41"/>
  <c r="BC81" i="41"/>
  <c r="BB81" i="41"/>
  <c r="BA81" i="41"/>
  <c r="AZ81" i="41"/>
  <c r="AY81" i="41"/>
  <c r="AX81" i="41"/>
  <c r="AW81" i="41"/>
  <c r="AV81" i="41"/>
  <c r="AU81" i="41"/>
  <c r="AT81" i="41"/>
  <c r="AS81" i="41"/>
  <c r="AR81" i="41"/>
  <c r="AQ81" i="41"/>
  <c r="AP81" i="41"/>
  <c r="AO81" i="41"/>
  <c r="AN81" i="41"/>
  <c r="AM81" i="41"/>
  <c r="AL81" i="41"/>
  <c r="AK81" i="41"/>
  <c r="AJ81" i="41"/>
  <c r="AI81" i="41"/>
  <c r="AH81" i="41"/>
  <c r="AG81" i="41"/>
  <c r="AF81" i="41"/>
  <c r="AE81" i="41"/>
  <c r="AD81" i="41"/>
  <c r="AC81" i="41"/>
  <c r="AB81" i="41"/>
  <c r="AA81" i="41"/>
  <c r="Z81" i="41"/>
  <c r="Y81" i="41"/>
  <c r="X81" i="41"/>
  <c r="W81" i="41"/>
  <c r="V81" i="41"/>
  <c r="U81" i="41"/>
  <c r="T81" i="41"/>
  <c r="S81" i="41"/>
  <c r="R81" i="41"/>
  <c r="Q81" i="41"/>
  <c r="P81" i="41"/>
  <c r="O81" i="41"/>
  <c r="N81" i="41"/>
  <c r="M81" i="41"/>
  <c r="L81" i="41"/>
  <c r="K81" i="41"/>
  <c r="J81" i="41"/>
  <c r="I81" i="41"/>
  <c r="H81" i="41"/>
  <c r="G81" i="41"/>
  <c r="F81" i="41"/>
  <c r="E81" i="41"/>
  <c r="D81" i="41"/>
  <c r="C81" i="41"/>
  <c r="B81" i="41"/>
  <c r="CD76" i="41"/>
  <c r="CD80" i="41" s="1"/>
  <c r="CC76" i="41"/>
  <c r="CC80" i="41" s="1"/>
  <c r="CB76" i="41"/>
  <c r="CB80" i="41" s="1"/>
  <c r="CA76" i="41"/>
  <c r="CA80" i="41" s="1"/>
  <c r="BZ76" i="41"/>
  <c r="BZ80" i="41" s="1"/>
  <c r="BY76" i="41"/>
  <c r="BX76" i="41"/>
  <c r="BX80" i="41" s="1"/>
  <c r="BW76" i="41"/>
  <c r="BW80" i="41" s="1"/>
  <c r="BV76" i="41"/>
  <c r="BV80" i="41" s="1"/>
  <c r="BU76" i="41"/>
  <c r="BU80" i="41" s="1"/>
  <c r="BT76" i="41"/>
  <c r="BT80" i="41" s="1"/>
  <c r="BS76" i="41"/>
  <c r="BR76" i="41"/>
  <c r="BR80" i="41" s="1"/>
  <c r="BQ76" i="41"/>
  <c r="BP76" i="41"/>
  <c r="BP80" i="41" s="1"/>
  <c r="BO76" i="41"/>
  <c r="BO80" i="41" s="1"/>
  <c r="BN76" i="41"/>
  <c r="BM76" i="41"/>
  <c r="BM80" i="41" s="1"/>
  <c r="BL76" i="41"/>
  <c r="BK76" i="41"/>
  <c r="BK80" i="41" s="1"/>
  <c r="BJ76" i="41"/>
  <c r="BJ80" i="41" s="1"/>
  <c r="BI76" i="41"/>
  <c r="BI80" i="41" s="1"/>
  <c r="BH76" i="41"/>
  <c r="BH80" i="41" s="1"/>
  <c r="BG76" i="41"/>
  <c r="BG80" i="41" s="1"/>
  <c r="BF76" i="41"/>
  <c r="BF80" i="41" s="1"/>
  <c r="BE76" i="41"/>
  <c r="BE80" i="41" s="1"/>
  <c r="BD76" i="41"/>
  <c r="BD80" i="41" s="1"/>
  <c r="BC76" i="41"/>
  <c r="BB76" i="41"/>
  <c r="BB80" i="41" s="1"/>
  <c r="BA76" i="41"/>
  <c r="AZ76" i="41"/>
  <c r="AZ80" i="41" s="1"/>
  <c r="AY76" i="41"/>
  <c r="AY80" i="41" s="1"/>
  <c r="AX76" i="41"/>
  <c r="AX80" i="41" s="1"/>
  <c r="AW76" i="41"/>
  <c r="AW80" i="41" s="1"/>
  <c r="AV76" i="41"/>
  <c r="AV80" i="41" s="1"/>
  <c r="AU76" i="41"/>
  <c r="AT76" i="41"/>
  <c r="AS76" i="41"/>
  <c r="AS80" i="41" s="1"/>
  <c r="AR76" i="41"/>
  <c r="AQ76" i="41"/>
  <c r="AQ80" i="41" s="1"/>
  <c r="AP76" i="41"/>
  <c r="AP80" i="41" s="1"/>
  <c r="AO76" i="41"/>
  <c r="AN76" i="41"/>
  <c r="AM76" i="41"/>
  <c r="AM80" i="41" s="1"/>
  <c r="AL76" i="41"/>
  <c r="AL80" i="41" s="1"/>
  <c r="AK76" i="41"/>
  <c r="AJ76" i="41"/>
  <c r="AJ80" i="41" s="1"/>
  <c r="AI76" i="41"/>
  <c r="AH76" i="41"/>
  <c r="AH80" i="41" s="1"/>
  <c r="AG76" i="41"/>
  <c r="AF76" i="41"/>
  <c r="AE76" i="41"/>
  <c r="AE80" i="41" s="1"/>
  <c r="AD76" i="41"/>
  <c r="AD80" i="41" s="1"/>
  <c r="AC76" i="41"/>
  <c r="AC80" i="41" s="1"/>
  <c r="AB76" i="41"/>
  <c r="AB80" i="41" s="1"/>
  <c r="AA76" i="41"/>
  <c r="Z76" i="41"/>
  <c r="Y76" i="41"/>
  <c r="Y80" i="41" s="1"/>
  <c r="X76" i="41"/>
  <c r="W76" i="41"/>
  <c r="V76" i="41"/>
  <c r="V80" i="41" s="1"/>
  <c r="U76" i="41"/>
  <c r="U80" i="41" s="1"/>
  <c r="T76" i="41"/>
  <c r="T80" i="41" s="1"/>
  <c r="S76" i="41"/>
  <c r="R76" i="41"/>
  <c r="R80" i="41" s="1"/>
  <c r="Q76" i="41"/>
  <c r="P76" i="41"/>
  <c r="O76" i="41"/>
  <c r="O80" i="41" s="1"/>
  <c r="N76" i="41"/>
  <c r="N80" i="41" s="1"/>
  <c r="M76" i="41"/>
  <c r="L76" i="41"/>
  <c r="K76" i="41"/>
  <c r="K80" i="41" s="1"/>
  <c r="J76" i="41"/>
  <c r="I76" i="41"/>
  <c r="H76" i="41"/>
  <c r="G76" i="41"/>
  <c r="G80" i="41" s="1"/>
  <c r="F76" i="41"/>
  <c r="F80" i="41" s="1"/>
  <c r="E76" i="41"/>
  <c r="E80" i="41" s="1"/>
  <c r="D76" i="41"/>
  <c r="D80" i="41" s="1"/>
  <c r="C76" i="41"/>
  <c r="C80" i="41" s="1"/>
  <c r="B76" i="41"/>
  <c r="B80" i="41" s="1"/>
  <c r="CD74" i="41"/>
  <c r="CC74" i="41"/>
  <c r="CB74" i="41"/>
  <c r="CA74" i="41"/>
  <c r="BZ74" i="41"/>
  <c r="BY74" i="41"/>
  <c r="BX74" i="41"/>
  <c r="BW74" i="41"/>
  <c r="BV74" i="41"/>
  <c r="BU74" i="41"/>
  <c r="BT74" i="41"/>
  <c r="BS74" i="41"/>
  <c r="BR74" i="41"/>
  <c r="BQ74" i="41"/>
  <c r="BP74" i="41"/>
  <c r="BO74" i="41"/>
  <c r="BN74" i="41"/>
  <c r="BM74" i="41"/>
  <c r="BL74" i="41"/>
  <c r="BK74" i="41"/>
  <c r="BJ74" i="41"/>
  <c r="BI74" i="41"/>
  <c r="BH74" i="41"/>
  <c r="BG74" i="41"/>
  <c r="BF74" i="41"/>
  <c r="BE74" i="41"/>
  <c r="BD74" i="41"/>
  <c r="BC74" i="41"/>
  <c r="BB74" i="41"/>
  <c r="BA74" i="41"/>
  <c r="AZ74" i="41"/>
  <c r="AY74" i="41"/>
  <c r="AX74" i="41"/>
  <c r="AW74" i="41"/>
  <c r="AV74" i="41"/>
  <c r="AU74" i="41"/>
  <c r="AT74" i="41"/>
  <c r="AS74" i="41"/>
  <c r="AR74" i="41"/>
  <c r="AQ74" i="41"/>
  <c r="AP74" i="41"/>
  <c r="AO74" i="41"/>
  <c r="AN74" i="41"/>
  <c r="AM74" i="41"/>
  <c r="AL74" i="41"/>
  <c r="AK74" i="41"/>
  <c r="AJ74" i="41"/>
  <c r="AI74" i="41"/>
  <c r="AH74" i="41"/>
  <c r="AG74" i="41"/>
  <c r="AF74" i="41"/>
  <c r="AE74" i="41"/>
  <c r="AD74" i="41"/>
  <c r="AC74" i="41"/>
  <c r="AB74" i="41"/>
  <c r="AA74" i="41"/>
  <c r="Z74" i="41"/>
  <c r="Y74" i="41"/>
  <c r="X74" i="41"/>
  <c r="W74" i="41"/>
  <c r="V74" i="41"/>
  <c r="U74" i="41"/>
  <c r="T74" i="41"/>
  <c r="S74" i="41"/>
  <c r="R74" i="41"/>
  <c r="Q74" i="41"/>
  <c r="P74" i="41"/>
  <c r="O74" i="41"/>
  <c r="N74" i="41"/>
  <c r="M74" i="41"/>
  <c r="L74" i="41"/>
  <c r="K74" i="41"/>
  <c r="J74" i="41"/>
  <c r="I74" i="41"/>
  <c r="H74" i="41"/>
  <c r="G74" i="41"/>
  <c r="F74" i="41"/>
  <c r="E74" i="41"/>
  <c r="D74" i="41"/>
  <c r="C74" i="41"/>
  <c r="B74" i="41"/>
  <c r="CD73" i="41"/>
  <c r="CC73" i="41"/>
  <c r="CB73" i="41"/>
  <c r="CA73" i="41"/>
  <c r="BZ73" i="41"/>
  <c r="BY73" i="41"/>
  <c r="BX73" i="41"/>
  <c r="BW73" i="41"/>
  <c r="BV73" i="41"/>
  <c r="BU73" i="41"/>
  <c r="BT73" i="41"/>
  <c r="BS73" i="41"/>
  <c r="BR73" i="41"/>
  <c r="BQ73" i="41"/>
  <c r="BP73" i="41"/>
  <c r="BO73" i="41"/>
  <c r="BN73" i="41"/>
  <c r="BM73" i="41"/>
  <c r="BL73" i="41"/>
  <c r="BK73" i="41"/>
  <c r="BJ73" i="41"/>
  <c r="BI73" i="41"/>
  <c r="BH73" i="41"/>
  <c r="BG73" i="41"/>
  <c r="BF73" i="41"/>
  <c r="BE73" i="41"/>
  <c r="BD73" i="41"/>
  <c r="BC73" i="41"/>
  <c r="BB73" i="41"/>
  <c r="BA73" i="41"/>
  <c r="AZ73" i="41"/>
  <c r="AY73" i="41"/>
  <c r="AX73" i="41"/>
  <c r="AW73" i="41"/>
  <c r="AV73" i="41"/>
  <c r="AU73" i="41"/>
  <c r="AT73" i="41"/>
  <c r="AS73" i="41"/>
  <c r="AR73" i="41"/>
  <c r="AQ73" i="41"/>
  <c r="AP73" i="41"/>
  <c r="AO73" i="41"/>
  <c r="AN73" i="41"/>
  <c r="AM73" i="41"/>
  <c r="AL73" i="41"/>
  <c r="AK73" i="41"/>
  <c r="AJ73" i="41"/>
  <c r="AI73" i="41"/>
  <c r="AH73" i="41"/>
  <c r="AG73" i="41"/>
  <c r="AF73" i="41"/>
  <c r="AE73" i="41"/>
  <c r="AD73" i="41"/>
  <c r="AC73" i="41"/>
  <c r="AB73" i="41"/>
  <c r="AA73" i="41"/>
  <c r="Z73" i="41"/>
  <c r="Y73" i="41"/>
  <c r="X73" i="41"/>
  <c r="W73" i="41"/>
  <c r="V73" i="41"/>
  <c r="U73" i="41"/>
  <c r="T73" i="41"/>
  <c r="S73" i="41"/>
  <c r="R73" i="41"/>
  <c r="Q73" i="41"/>
  <c r="P73" i="41"/>
  <c r="O73" i="41"/>
  <c r="N73" i="41"/>
  <c r="M73" i="41"/>
  <c r="L73" i="41"/>
  <c r="K73" i="41"/>
  <c r="J73" i="41"/>
  <c r="I73" i="41"/>
  <c r="H73" i="41"/>
  <c r="G73" i="41"/>
  <c r="F73" i="41"/>
  <c r="E73" i="41"/>
  <c r="D73" i="41"/>
  <c r="C73" i="41"/>
  <c r="B73" i="41"/>
  <c r="CD72" i="41"/>
  <c r="CC72" i="41"/>
  <c r="CB72" i="41"/>
  <c r="CA72" i="41"/>
  <c r="BZ72" i="41"/>
  <c r="BY72" i="41"/>
  <c r="BX72" i="41"/>
  <c r="BW72" i="41"/>
  <c r="BV72" i="41"/>
  <c r="BU72" i="41"/>
  <c r="BT72" i="41"/>
  <c r="BS72" i="41"/>
  <c r="BR72" i="41"/>
  <c r="BQ72" i="41"/>
  <c r="BP72" i="41"/>
  <c r="BO72" i="41"/>
  <c r="BN72" i="41"/>
  <c r="BM72" i="41"/>
  <c r="BL72" i="41"/>
  <c r="BK72" i="41"/>
  <c r="BJ72" i="41"/>
  <c r="BI72" i="41"/>
  <c r="BH72" i="41"/>
  <c r="BG72" i="41"/>
  <c r="BF72" i="41"/>
  <c r="BE72" i="41"/>
  <c r="BD72" i="41"/>
  <c r="BC72" i="41"/>
  <c r="BB72" i="41"/>
  <c r="BA72" i="41"/>
  <c r="AZ72" i="41"/>
  <c r="AY72" i="41"/>
  <c r="AX72" i="41"/>
  <c r="AW72" i="41"/>
  <c r="AV72" i="41"/>
  <c r="AU72" i="41"/>
  <c r="AT72" i="41"/>
  <c r="AS72" i="41"/>
  <c r="AR72" i="41"/>
  <c r="AQ72" i="41"/>
  <c r="AP72" i="41"/>
  <c r="AO72" i="41"/>
  <c r="AN72" i="41"/>
  <c r="AM72" i="41"/>
  <c r="AL72" i="41"/>
  <c r="AK72" i="41"/>
  <c r="AJ72" i="41"/>
  <c r="AI72" i="41"/>
  <c r="AH72" i="41"/>
  <c r="AG72" i="41"/>
  <c r="AF72" i="41"/>
  <c r="AE72" i="41"/>
  <c r="AD72" i="41"/>
  <c r="AC72" i="41"/>
  <c r="AB72" i="41"/>
  <c r="AA72" i="41"/>
  <c r="Z72" i="41"/>
  <c r="Y72" i="41"/>
  <c r="X72" i="41"/>
  <c r="W72" i="41"/>
  <c r="V72" i="41"/>
  <c r="U72" i="41"/>
  <c r="T72" i="41"/>
  <c r="S72" i="41"/>
  <c r="R72" i="41"/>
  <c r="Q72" i="41"/>
  <c r="P72" i="41"/>
  <c r="O72" i="41"/>
  <c r="N72" i="41"/>
  <c r="M72" i="41"/>
  <c r="L72" i="41"/>
  <c r="K72" i="41"/>
  <c r="J72" i="41"/>
  <c r="I72" i="41"/>
  <c r="H72" i="41"/>
  <c r="G72" i="41"/>
  <c r="F72" i="41"/>
  <c r="E72" i="41"/>
  <c r="D72" i="41"/>
  <c r="C72" i="41"/>
  <c r="B72" i="41"/>
  <c r="CD71" i="41"/>
  <c r="CC71" i="41"/>
  <c r="CB71" i="41"/>
  <c r="CA71" i="41"/>
  <c r="BZ71" i="41"/>
  <c r="BY71" i="41"/>
  <c r="BX71" i="41"/>
  <c r="BW71" i="41"/>
  <c r="BV71" i="41"/>
  <c r="BU71" i="41"/>
  <c r="BT71" i="41"/>
  <c r="BS71" i="41"/>
  <c r="BR71" i="41"/>
  <c r="BQ71" i="41"/>
  <c r="BP71" i="41"/>
  <c r="BO71" i="41"/>
  <c r="BN71" i="41"/>
  <c r="BM71" i="41"/>
  <c r="BL71" i="41"/>
  <c r="BK71" i="41"/>
  <c r="BJ71" i="41"/>
  <c r="BI71" i="41"/>
  <c r="BH71" i="41"/>
  <c r="BG71" i="41"/>
  <c r="BF71" i="41"/>
  <c r="BE71" i="41"/>
  <c r="BD71" i="41"/>
  <c r="BC71" i="41"/>
  <c r="BB71" i="41"/>
  <c r="BA71" i="41"/>
  <c r="AZ71" i="41"/>
  <c r="AY71" i="41"/>
  <c r="AX71" i="41"/>
  <c r="AW71" i="41"/>
  <c r="AV71" i="41"/>
  <c r="AU71" i="41"/>
  <c r="AT71" i="41"/>
  <c r="AS71" i="41"/>
  <c r="AR71" i="41"/>
  <c r="AQ71" i="41"/>
  <c r="AP71" i="41"/>
  <c r="AO71" i="41"/>
  <c r="AN71" i="41"/>
  <c r="AM71" i="41"/>
  <c r="AL71" i="41"/>
  <c r="AK71" i="41"/>
  <c r="AJ71" i="41"/>
  <c r="AI71" i="41"/>
  <c r="AH71" i="41"/>
  <c r="AG71" i="41"/>
  <c r="AF71" i="41"/>
  <c r="AE71" i="41"/>
  <c r="AD71" i="41"/>
  <c r="AC71" i="41"/>
  <c r="AB71" i="41"/>
  <c r="AA71" i="41"/>
  <c r="Z71" i="41"/>
  <c r="Y71" i="41"/>
  <c r="X71" i="41"/>
  <c r="W71" i="41"/>
  <c r="V71" i="41"/>
  <c r="U71" i="41"/>
  <c r="T71" i="41"/>
  <c r="S71" i="41"/>
  <c r="R71" i="41"/>
  <c r="Q71" i="41"/>
  <c r="P71" i="41"/>
  <c r="O71" i="41"/>
  <c r="N71" i="41"/>
  <c r="M71" i="41"/>
  <c r="L71" i="41"/>
  <c r="K71" i="41"/>
  <c r="J71" i="41"/>
  <c r="I71" i="41"/>
  <c r="H71" i="41"/>
  <c r="G71" i="41"/>
  <c r="F71" i="41"/>
  <c r="E71" i="41"/>
  <c r="D71" i="41"/>
  <c r="C71" i="41"/>
  <c r="B71" i="41"/>
  <c r="CD70" i="41"/>
  <c r="CC70" i="41"/>
  <c r="CB70" i="41"/>
  <c r="CA70" i="41"/>
  <c r="BZ70" i="41"/>
  <c r="BY70" i="41"/>
  <c r="BX70" i="41"/>
  <c r="BW70" i="41"/>
  <c r="BV70" i="41"/>
  <c r="BU70" i="41"/>
  <c r="BT70" i="41"/>
  <c r="BS70" i="41"/>
  <c r="BR70" i="41"/>
  <c r="BQ70" i="41"/>
  <c r="BP70" i="41"/>
  <c r="BO70" i="41"/>
  <c r="BN70" i="41"/>
  <c r="BM70" i="41"/>
  <c r="BL70" i="41"/>
  <c r="BK70" i="41"/>
  <c r="BJ70" i="41"/>
  <c r="BI70" i="41"/>
  <c r="BH70" i="41"/>
  <c r="BG70" i="41"/>
  <c r="BF70" i="41"/>
  <c r="BE70" i="41"/>
  <c r="BD70" i="41"/>
  <c r="BC70" i="41"/>
  <c r="BB70" i="41"/>
  <c r="BA70" i="41"/>
  <c r="AZ70" i="41"/>
  <c r="AY70" i="41"/>
  <c r="AX70" i="41"/>
  <c r="AW70" i="41"/>
  <c r="AV70" i="41"/>
  <c r="AU70" i="41"/>
  <c r="AT70" i="41"/>
  <c r="AS70" i="41"/>
  <c r="AR70" i="41"/>
  <c r="AQ70" i="41"/>
  <c r="AP70" i="41"/>
  <c r="AO70" i="41"/>
  <c r="AN70" i="41"/>
  <c r="AM70" i="41"/>
  <c r="AL70" i="41"/>
  <c r="AK70" i="41"/>
  <c r="AJ70" i="41"/>
  <c r="AI70" i="41"/>
  <c r="AH70" i="41"/>
  <c r="AG70" i="41"/>
  <c r="AF70" i="41"/>
  <c r="AE70" i="41"/>
  <c r="AD70" i="41"/>
  <c r="AC70" i="41"/>
  <c r="AB70" i="41"/>
  <c r="AA70" i="41"/>
  <c r="Z70" i="41"/>
  <c r="Y70" i="41"/>
  <c r="X70" i="41"/>
  <c r="W70" i="41"/>
  <c r="V70" i="41"/>
  <c r="U70" i="41"/>
  <c r="T70" i="41"/>
  <c r="S70" i="41"/>
  <c r="R70" i="41"/>
  <c r="Q70" i="41"/>
  <c r="P70" i="41"/>
  <c r="O70" i="41"/>
  <c r="N70" i="41"/>
  <c r="M70" i="41"/>
  <c r="L70" i="41"/>
  <c r="K70" i="41"/>
  <c r="J70" i="41"/>
  <c r="I70" i="41"/>
  <c r="H70" i="41"/>
  <c r="G70" i="41"/>
  <c r="F70" i="41"/>
  <c r="E70" i="41"/>
  <c r="D70" i="41"/>
  <c r="C70" i="41"/>
  <c r="B70" i="41"/>
  <c r="CD69" i="41"/>
  <c r="CD78" i="41" s="1"/>
  <c r="CC69" i="41"/>
  <c r="CC78" i="41" s="1"/>
  <c r="CB69" i="41"/>
  <c r="CB78" i="41" s="1"/>
  <c r="CA69" i="41"/>
  <c r="CA78" i="41" s="1"/>
  <c r="BZ69" i="41"/>
  <c r="BZ78" i="41" s="1"/>
  <c r="BY69" i="41"/>
  <c r="BX69" i="41"/>
  <c r="BX78" i="41" s="1"/>
  <c r="BW69" i="41"/>
  <c r="BW78" i="41" s="1"/>
  <c r="BV69" i="41"/>
  <c r="BV78" i="41" s="1"/>
  <c r="BU69" i="41"/>
  <c r="BU78" i="41" s="1"/>
  <c r="BT69" i="41"/>
  <c r="BT78" i="41" s="1"/>
  <c r="BS69" i="41"/>
  <c r="BR69" i="41"/>
  <c r="BR78" i="41" s="1"/>
  <c r="BQ69" i="41"/>
  <c r="BQ78" i="41" s="1"/>
  <c r="BP69" i="41"/>
  <c r="BP78" i="41" s="1"/>
  <c r="BO69" i="41"/>
  <c r="BO78" i="41" s="1"/>
  <c r="BN69" i="41"/>
  <c r="BN78" i="41" s="1"/>
  <c r="BM69" i="41"/>
  <c r="BM78" i="41" s="1"/>
  <c r="BL69" i="41"/>
  <c r="BK69" i="41"/>
  <c r="BK78" i="41" s="1"/>
  <c r="BJ69" i="41"/>
  <c r="BJ78" i="41" s="1"/>
  <c r="BI69" i="41"/>
  <c r="BI78" i="41" s="1"/>
  <c r="BH69" i="41"/>
  <c r="BH78" i="41" s="1"/>
  <c r="BG69" i="41"/>
  <c r="BG78" i="41" s="1"/>
  <c r="BF69" i="41"/>
  <c r="BF78" i="41" s="1"/>
  <c r="BE69" i="41"/>
  <c r="BD69" i="41"/>
  <c r="BD78" i="41" s="1"/>
  <c r="BC69" i="41"/>
  <c r="BC78" i="41" s="1"/>
  <c r="BB69" i="41"/>
  <c r="BB78" i="41" s="1"/>
  <c r="BA69" i="41"/>
  <c r="AZ69" i="41"/>
  <c r="AZ78" i="41" s="1"/>
  <c r="AY69" i="41"/>
  <c r="AY78" i="41" s="1"/>
  <c r="AX69" i="41"/>
  <c r="AX78" i="41" s="1"/>
  <c r="AW69" i="41"/>
  <c r="AW78" i="41" s="1"/>
  <c r="AV69" i="41"/>
  <c r="AV78" i="41" s="1"/>
  <c r="AU69" i="41"/>
  <c r="AT69" i="41"/>
  <c r="AT78" i="41" s="1"/>
  <c r="AS69" i="41"/>
  <c r="AS78" i="41" s="1"/>
  <c r="AR69" i="41"/>
  <c r="AQ69" i="41"/>
  <c r="AQ78" i="41" s="1"/>
  <c r="AP69" i="41"/>
  <c r="AP78" i="41" s="1"/>
  <c r="AO69" i="41"/>
  <c r="AN69" i="41"/>
  <c r="AM69" i="41"/>
  <c r="AM78" i="41" s="1"/>
  <c r="AL69" i="41"/>
  <c r="AL78" i="41" s="1"/>
  <c r="AK69" i="41"/>
  <c r="AJ69" i="41"/>
  <c r="AJ78" i="41" s="1"/>
  <c r="AI69" i="41"/>
  <c r="AI78" i="41" s="1"/>
  <c r="AH69" i="41"/>
  <c r="AH78" i="41" s="1"/>
  <c r="AG69" i="41"/>
  <c r="AF69" i="41"/>
  <c r="AF78" i="41" s="1"/>
  <c r="AE69" i="41"/>
  <c r="AE78" i="41" s="1"/>
  <c r="AD69" i="41"/>
  <c r="AD78" i="41" s="1"/>
  <c r="AC69" i="41"/>
  <c r="AC78" i="41" s="1"/>
  <c r="AB69" i="41"/>
  <c r="AB78" i="41" s="1"/>
  <c r="AA69" i="41"/>
  <c r="AA78" i="41" s="1"/>
  <c r="Z69" i="41"/>
  <c r="Y69" i="41"/>
  <c r="Y78" i="41" s="1"/>
  <c r="X69" i="41"/>
  <c r="W69" i="41"/>
  <c r="V69" i="41"/>
  <c r="V78" i="41" s="1"/>
  <c r="U69" i="41"/>
  <c r="U78" i="41" s="1"/>
  <c r="T69" i="41"/>
  <c r="T78" i="41" s="1"/>
  <c r="S69" i="41"/>
  <c r="S78" i="41" s="1"/>
  <c r="R69" i="41"/>
  <c r="R78" i="41" s="1"/>
  <c r="Q69" i="41"/>
  <c r="P69" i="41"/>
  <c r="P78" i="41" s="1"/>
  <c r="O69" i="41"/>
  <c r="O78" i="41" s="1"/>
  <c r="N69" i="41"/>
  <c r="N78" i="41" s="1"/>
  <c r="M69" i="41"/>
  <c r="L69" i="41"/>
  <c r="K69" i="41"/>
  <c r="K78" i="41" s="1"/>
  <c r="J69" i="41"/>
  <c r="I69" i="41"/>
  <c r="I78" i="41" s="1"/>
  <c r="H69" i="41"/>
  <c r="G69" i="41"/>
  <c r="G78" i="41" s="1"/>
  <c r="F69" i="41"/>
  <c r="F78" i="41" s="1"/>
  <c r="E69" i="41"/>
  <c r="E78" i="41" s="1"/>
  <c r="D69" i="41"/>
  <c r="D78" i="41" s="1"/>
  <c r="C69" i="41"/>
  <c r="C78" i="41" s="1"/>
  <c r="B69" i="41"/>
  <c r="B78" i="41" s="1"/>
  <c r="CD68" i="41"/>
  <c r="CC68" i="41"/>
  <c r="CB68" i="41"/>
  <c r="CA68" i="41"/>
  <c r="BZ68" i="41"/>
  <c r="BY68" i="41"/>
  <c r="BX68" i="41"/>
  <c r="BW68" i="41"/>
  <c r="BV68" i="41"/>
  <c r="BU68" i="41"/>
  <c r="BT68" i="41"/>
  <c r="BS68" i="41"/>
  <c r="BR68" i="41"/>
  <c r="BQ68" i="41"/>
  <c r="BP68" i="41"/>
  <c r="BO68" i="41"/>
  <c r="BN68" i="41"/>
  <c r="BM68" i="41"/>
  <c r="BL68" i="41"/>
  <c r="BK68" i="41"/>
  <c r="BJ68" i="41"/>
  <c r="BI68" i="41"/>
  <c r="BH68" i="41"/>
  <c r="BG68" i="41"/>
  <c r="BF68" i="41"/>
  <c r="BE68" i="41"/>
  <c r="BD68" i="41"/>
  <c r="BC68" i="41"/>
  <c r="BB68" i="41"/>
  <c r="BA68" i="41"/>
  <c r="AZ68" i="41"/>
  <c r="AY68" i="41"/>
  <c r="AX68" i="41"/>
  <c r="AW68" i="41"/>
  <c r="AV68" i="41"/>
  <c r="AU68" i="41"/>
  <c r="AT68" i="41"/>
  <c r="AS68" i="41"/>
  <c r="AR68" i="41"/>
  <c r="AQ68" i="41"/>
  <c r="AP68" i="41"/>
  <c r="AO68" i="41"/>
  <c r="AN68" i="41"/>
  <c r="AM68" i="41"/>
  <c r="AL68" i="41"/>
  <c r="AK68" i="41"/>
  <c r="AJ68" i="41"/>
  <c r="AI68" i="41"/>
  <c r="AH68" i="41"/>
  <c r="AG68" i="41"/>
  <c r="AF68" i="41"/>
  <c r="AE68" i="41"/>
  <c r="AD68" i="41"/>
  <c r="AC68" i="41"/>
  <c r="AB68" i="41"/>
  <c r="AA68" i="41"/>
  <c r="Z68" i="41"/>
  <c r="Y68" i="41"/>
  <c r="X68" i="41"/>
  <c r="W68" i="41"/>
  <c r="V68" i="41"/>
  <c r="U68" i="41"/>
  <c r="T68" i="41"/>
  <c r="S68" i="41"/>
  <c r="R68" i="41"/>
  <c r="Q68" i="41"/>
  <c r="P68" i="41"/>
  <c r="O68" i="41"/>
  <c r="N68" i="41"/>
  <c r="M68" i="41"/>
  <c r="L68" i="41"/>
  <c r="K68" i="41"/>
  <c r="J68" i="41"/>
  <c r="I68" i="41"/>
  <c r="H68" i="41"/>
  <c r="G68" i="41"/>
  <c r="F68" i="41"/>
  <c r="E68" i="41"/>
  <c r="D68" i="41"/>
  <c r="C68" i="41"/>
  <c r="B68" i="41"/>
  <c r="CD67" i="41"/>
  <c r="CC67" i="41"/>
  <c r="CB67" i="41"/>
  <c r="CA67" i="41"/>
  <c r="BZ67" i="41"/>
  <c r="BY67" i="41"/>
  <c r="BX67" i="41"/>
  <c r="BW67" i="41"/>
  <c r="BV67" i="41"/>
  <c r="BU67" i="41"/>
  <c r="BT67" i="41"/>
  <c r="BS67" i="41"/>
  <c r="BR67" i="41"/>
  <c r="BQ67" i="41"/>
  <c r="BP67" i="41"/>
  <c r="BO67" i="41"/>
  <c r="BN67" i="41"/>
  <c r="BM67" i="41"/>
  <c r="BL67" i="41"/>
  <c r="BK67" i="41"/>
  <c r="BJ67" i="41"/>
  <c r="BI67" i="41"/>
  <c r="BH67" i="41"/>
  <c r="BG67" i="41"/>
  <c r="BF67" i="41"/>
  <c r="BE67" i="41"/>
  <c r="BD67" i="41"/>
  <c r="BC67" i="41"/>
  <c r="BB67" i="41"/>
  <c r="BA67" i="41"/>
  <c r="AZ67" i="41"/>
  <c r="AY67" i="41"/>
  <c r="AX67" i="41"/>
  <c r="AW67" i="41"/>
  <c r="AV67" i="41"/>
  <c r="AU67" i="41"/>
  <c r="AT67" i="41"/>
  <c r="AS67" i="41"/>
  <c r="AR67" i="41"/>
  <c r="AQ67" i="41"/>
  <c r="AP67" i="41"/>
  <c r="AO67" i="41"/>
  <c r="AN67" i="41"/>
  <c r="AM67" i="41"/>
  <c r="AL67" i="41"/>
  <c r="AK67" i="41"/>
  <c r="AJ67" i="41"/>
  <c r="AI67" i="41"/>
  <c r="AH67" i="41"/>
  <c r="AG67" i="41"/>
  <c r="AF67" i="41"/>
  <c r="AE67" i="41"/>
  <c r="AD67" i="41"/>
  <c r="AC67" i="41"/>
  <c r="AB67" i="41"/>
  <c r="AA67" i="41"/>
  <c r="Z67" i="41"/>
  <c r="Y67" i="41"/>
  <c r="X67" i="41"/>
  <c r="W67" i="41"/>
  <c r="V67" i="41"/>
  <c r="U67" i="41"/>
  <c r="T67" i="41"/>
  <c r="S67" i="41"/>
  <c r="R67" i="41"/>
  <c r="Q67" i="41"/>
  <c r="P67" i="41"/>
  <c r="O67" i="41"/>
  <c r="N67" i="41"/>
  <c r="M67" i="41"/>
  <c r="L67" i="41"/>
  <c r="K67" i="41"/>
  <c r="J67" i="41"/>
  <c r="I67" i="41"/>
  <c r="H67" i="41"/>
  <c r="G67" i="41"/>
  <c r="E67" i="41"/>
  <c r="D67" i="41"/>
  <c r="C67" i="41"/>
  <c r="B67" i="41"/>
  <c r="CD66" i="41"/>
  <c r="CD79" i="41" s="1"/>
  <c r="CC66" i="41"/>
  <c r="CC79" i="41" s="1"/>
  <c r="CB66" i="41"/>
  <c r="CB79" i="41" s="1"/>
  <c r="CA66" i="41"/>
  <c r="CA79" i="41" s="1"/>
  <c r="BZ66" i="41"/>
  <c r="BZ79" i="41" s="1"/>
  <c r="BY66" i="41"/>
  <c r="BX66" i="41"/>
  <c r="BX79" i="41" s="1"/>
  <c r="BW66" i="41"/>
  <c r="BW79" i="41" s="1"/>
  <c r="BV66" i="41"/>
  <c r="BV79" i="41" s="1"/>
  <c r="BU66" i="41"/>
  <c r="BU79" i="41" s="1"/>
  <c r="BT66" i="41"/>
  <c r="BT79" i="41" s="1"/>
  <c r="BS66" i="41"/>
  <c r="BS79" i="41" s="1"/>
  <c r="BR66" i="41"/>
  <c r="BQ66" i="41"/>
  <c r="BQ79" i="41" s="1"/>
  <c r="BP66" i="41"/>
  <c r="BP79" i="41" s="1"/>
  <c r="BO66" i="41"/>
  <c r="BO79" i="41" s="1"/>
  <c r="BN66" i="41"/>
  <c r="BN79" i="41" s="1"/>
  <c r="BM66" i="41"/>
  <c r="BM79" i="41" s="1"/>
  <c r="BL66" i="41"/>
  <c r="BK66" i="41"/>
  <c r="BK79" i="41" s="1"/>
  <c r="BJ66" i="41"/>
  <c r="BJ79" i="41" s="1"/>
  <c r="BI66" i="41"/>
  <c r="BI79" i="41" s="1"/>
  <c r="BH66" i="41"/>
  <c r="BH79" i="41" s="1"/>
  <c r="BG66" i="41"/>
  <c r="BG79" i="41" s="1"/>
  <c r="BF66" i="41"/>
  <c r="BF79" i="41" s="1"/>
  <c r="BE66" i="41"/>
  <c r="BD66" i="41"/>
  <c r="BC66" i="41"/>
  <c r="BB66" i="41"/>
  <c r="BB79" i="41" s="1"/>
  <c r="BA66" i="41"/>
  <c r="AZ66" i="41"/>
  <c r="AZ79" i="41" s="1"/>
  <c r="AY66" i="41"/>
  <c r="AY79" i="41" s="1"/>
  <c r="AX66" i="41"/>
  <c r="AX79" i="41" s="1"/>
  <c r="AW66" i="41"/>
  <c r="AW79" i="41" s="1"/>
  <c r="AV66" i="41"/>
  <c r="AV79" i="41" s="1"/>
  <c r="AU66" i="41"/>
  <c r="AT66" i="41"/>
  <c r="AT79" i="41" s="1"/>
  <c r="AS66" i="41"/>
  <c r="AS79" i="41" s="1"/>
  <c r="AR66" i="41"/>
  <c r="AR79" i="41" s="1"/>
  <c r="AQ66" i="41"/>
  <c r="AQ79" i="41" s="1"/>
  <c r="AP66" i="41"/>
  <c r="AP79" i="41" s="1"/>
  <c r="AO66" i="41"/>
  <c r="AN66" i="41"/>
  <c r="AM66" i="41"/>
  <c r="AM79" i="41" s="1"/>
  <c r="AL66" i="41"/>
  <c r="AL79" i="41" s="1"/>
  <c r="AK66" i="41"/>
  <c r="AJ66" i="41"/>
  <c r="AJ79" i="41" s="1"/>
  <c r="AI66" i="41"/>
  <c r="AH66" i="41"/>
  <c r="AH79" i="41" s="1"/>
  <c r="AG66" i="41"/>
  <c r="AF66" i="41"/>
  <c r="AF79" i="41" s="1"/>
  <c r="AE66" i="41"/>
  <c r="AE79" i="41" s="1"/>
  <c r="AD66" i="41"/>
  <c r="AD79" i="41" s="1"/>
  <c r="AC66" i="41"/>
  <c r="AC79" i="41" s="1"/>
  <c r="AB66" i="41"/>
  <c r="AB79" i="41" s="1"/>
  <c r="AA66" i="41"/>
  <c r="AA79" i="41" s="1"/>
  <c r="Z66" i="41"/>
  <c r="Y66" i="41"/>
  <c r="Y79" i="41" s="1"/>
  <c r="X66" i="41"/>
  <c r="W66" i="41"/>
  <c r="V66" i="41"/>
  <c r="V79" i="41" s="1"/>
  <c r="U66" i="41"/>
  <c r="U79" i="41" s="1"/>
  <c r="T66" i="41"/>
  <c r="T79" i="41" s="1"/>
  <c r="S66" i="41"/>
  <c r="R66" i="41"/>
  <c r="R79" i="41" s="1"/>
  <c r="Q66" i="41"/>
  <c r="P66" i="41"/>
  <c r="P79" i="41" s="1"/>
  <c r="O66" i="41"/>
  <c r="O79" i="41" s="1"/>
  <c r="N66" i="41"/>
  <c r="N79" i="41" s="1"/>
  <c r="M66" i="41"/>
  <c r="L66" i="41"/>
  <c r="K66" i="41"/>
  <c r="K79" i="41" s="1"/>
  <c r="J66" i="41"/>
  <c r="I66" i="41"/>
  <c r="I79" i="41" s="1"/>
  <c r="H66" i="41"/>
  <c r="G66" i="41"/>
  <c r="G79" i="41" s="1"/>
  <c r="F66" i="41"/>
  <c r="F79" i="41" s="1"/>
  <c r="E66" i="41"/>
  <c r="E79" i="41" s="1"/>
  <c r="D66" i="41"/>
  <c r="D79" i="41" s="1"/>
  <c r="C66" i="41"/>
  <c r="C79" i="41" s="1"/>
  <c r="B66" i="41"/>
  <c r="B79" i="41" s="1"/>
  <c r="CD65" i="41"/>
  <c r="CC65" i="41"/>
  <c r="CB65" i="41"/>
  <c r="CA65" i="41"/>
  <c r="BZ65" i="41"/>
  <c r="BY65" i="41"/>
  <c r="BX65" i="41"/>
  <c r="BW65" i="41"/>
  <c r="BV65" i="41"/>
  <c r="BU65" i="41"/>
  <c r="BT65" i="41"/>
  <c r="BS65" i="41"/>
  <c r="BR65" i="41"/>
  <c r="BQ65" i="41"/>
  <c r="BP65" i="41"/>
  <c r="BO65" i="41"/>
  <c r="BN65" i="41"/>
  <c r="BM65" i="41"/>
  <c r="BL65" i="41"/>
  <c r="BK65" i="41"/>
  <c r="BJ65" i="41"/>
  <c r="BI65" i="41"/>
  <c r="BH65" i="41"/>
  <c r="BG65" i="41"/>
  <c r="BF65" i="41"/>
  <c r="BE65" i="41"/>
  <c r="BD65" i="41"/>
  <c r="BC65" i="41"/>
  <c r="BB65" i="41"/>
  <c r="BA65" i="41"/>
  <c r="AZ65" i="41"/>
  <c r="AY65" i="41"/>
  <c r="AX65" i="41"/>
  <c r="AW65" i="41"/>
  <c r="AV65" i="41"/>
  <c r="AU65" i="41"/>
  <c r="AT65" i="41"/>
  <c r="AS65" i="41"/>
  <c r="AR65" i="41"/>
  <c r="AQ65" i="41"/>
  <c r="AP65" i="41"/>
  <c r="AO65" i="41"/>
  <c r="AN65" i="41"/>
  <c r="AM65" i="41"/>
  <c r="AL65" i="41"/>
  <c r="AK65" i="41"/>
  <c r="AJ65" i="41"/>
  <c r="AI65" i="41"/>
  <c r="AH65" i="41"/>
  <c r="AG65" i="41"/>
  <c r="AF65" i="41"/>
  <c r="AE65" i="41"/>
  <c r="AD65" i="41"/>
  <c r="AC65" i="41"/>
  <c r="AB65" i="41"/>
  <c r="AA65" i="41"/>
  <c r="Z65" i="41"/>
  <c r="Y65" i="41"/>
  <c r="X65" i="41"/>
  <c r="W65" i="41"/>
  <c r="V65" i="41"/>
  <c r="U65" i="41"/>
  <c r="T65" i="41"/>
  <c r="S65" i="41"/>
  <c r="R65" i="41"/>
  <c r="Q65" i="41"/>
  <c r="P65" i="41"/>
  <c r="O65" i="41"/>
  <c r="N65" i="41"/>
  <c r="M65" i="41"/>
  <c r="L65" i="41"/>
  <c r="K65" i="41"/>
  <c r="J65" i="41"/>
  <c r="I65" i="41"/>
  <c r="G65" i="41"/>
  <c r="F65" i="41"/>
  <c r="E65" i="41"/>
  <c r="D65" i="41"/>
  <c r="C65" i="41"/>
  <c r="B65" i="41"/>
  <c r="B57" i="41"/>
  <c r="O132" i="36"/>
  <c r="O133" i="36" s="1"/>
  <c r="O131" i="36"/>
  <c r="P131" i="36"/>
  <c r="P132" i="36" s="1"/>
  <c r="Q131" i="36"/>
  <c r="Q132" i="36" s="1"/>
  <c r="N131" i="36"/>
  <c r="N132" i="36" s="1"/>
  <c r="W138" i="36"/>
  <c r="W139" i="36"/>
  <c r="W140" i="36"/>
  <c r="W137" i="36"/>
  <c r="V56" i="36"/>
  <c r="I52" i="36"/>
  <c r="I50" i="36"/>
  <c r="D38" i="36"/>
  <c r="E38" i="36"/>
  <c r="F38" i="36"/>
  <c r="G38" i="36"/>
  <c r="H38" i="36"/>
  <c r="I38" i="36"/>
  <c r="J38" i="36"/>
  <c r="K38" i="36"/>
  <c r="M38" i="36"/>
  <c r="N38" i="36"/>
  <c r="O38" i="36"/>
  <c r="Q38" i="36"/>
  <c r="R38" i="36"/>
  <c r="S38" i="36"/>
  <c r="T38" i="36"/>
  <c r="U38" i="36"/>
  <c r="V38" i="36"/>
  <c r="D40" i="36"/>
  <c r="E40" i="36"/>
  <c r="F40" i="36"/>
  <c r="G40" i="36"/>
  <c r="H40" i="36"/>
  <c r="I40" i="36"/>
  <c r="J40" i="36"/>
  <c r="K40" i="36"/>
  <c r="M40" i="36"/>
  <c r="N40" i="36"/>
  <c r="O40" i="36"/>
  <c r="O41" i="36" s="1"/>
  <c r="Q40" i="36"/>
  <c r="R40" i="36"/>
  <c r="S40" i="36"/>
  <c r="T40" i="36"/>
  <c r="U40" i="36"/>
  <c r="V40" i="36"/>
  <c r="D44" i="36"/>
  <c r="E44" i="36"/>
  <c r="F44" i="36"/>
  <c r="G44" i="36"/>
  <c r="H44" i="36"/>
  <c r="I44" i="36"/>
  <c r="J44" i="36"/>
  <c r="K44" i="36"/>
  <c r="L44" i="36"/>
  <c r="M44" i="36"/>
  <c r="N44" i="36"/>
  <c r="O44" i="36"/>
  <c r="P44" i="36"/>
  <c r="Q44" i="36"/>
  <c r="R44" i="36"/>
  <c r="S44" i="36"/>
  <c r="T44" i="36"/>
  <c r="U44" i="36"/>
  <c r="V44" i="36"/>
  <c r="D46" i="36"/>
  <c r="E46" i="36"/>
  <c r="F46" i="36"/>
  <c r="G46" i="36"/>
  <c r="H46" i="36"/>
  <c r="I46" i="36"/>
  <c r="J46" i="36"/>
  <c r="K46" i="36"/>
  <c r="L46" i="36"/>
  <c r="M46" i="36"/>
  <c r="N46" i="36"/>
  <c r="O46" i="36"/>
  <c r="P46" i="36"/>
  <c r="Q46" i="36"/>
  <c r="R46" i="36"/>
  <c r="S46" i="36"/>
  <c r="T46" i="36"/>
  <c r="U46" i="36"/>
  <c r="V46" i="36"/>
  <c r="D50" i="36"/>
  <c r="E50" i="36"/>
  <c r="F50" i="36"/>
  <c r="G50" i="36"/>
  <c r="H50" i="36"/>
  <c r="J50" i="36"/>
  <c r="K50" i="36"/>
  <c r="M50" i="36"/>
  <c r="N50" i="36"/>
  <c r="O50" i="36"/>
  <c r="Q50" i="36"/>
  <c r="R50" i="36"/>
  <c r="S50" i="36"/>
  <c r="T50" i="36"/>
  <c r="U50" i="36"/>
  <c r="V50" i="36"/>
  <c r="D52" i="36"/>
  <c r="E52" i="36"/>
  <c r="F52" i="36"/>
  <c r="F53" i="36" s="1"/>
  <c r="G52" i="36"/>
  <c r="H52" i="36"/>
  <c r="H53" i="36" s="1"/>
  <c r="J52" i="36"/>
  <c r="K52" i="36"/>
  <c r="L53" i="36"/>
  <c r="M52" i="36"/>
  <c r="N52" i="36"/>
  <c r="O52" i="36"/>
  <c r="P52" i="36"/>
  <c r="Q52" i="36"/>
  <c r="Q53" i="36" s="1"/>
  <c r="R52" i="36"/>
  <c r="S52" i="36"/>
  <c r="T52" i="36"/>
  <c r="U52" i="36"/>
  <c r="V52" i="36"/>
  <c r="D56" i="36"/>
  <c r="E56" i="36"/>
  <c r="F56" i="36"/>
  <c r="G56" i="36"/>
  <c r="H56" i="36"/>
  <c r="I56" i="36"/>
  <c r="J56" i="36"/>
  <c r="K56" i="36"/>
  <c r="L56" i="36"/>
  <c r="M56" i="36"/>
  <c r="N56" i="36"/>
  <c r="O56" i="36"/>
  <c r="P56" i="36"/>
  <c r="Q56" i="36"/>
  <c r="R56" i="36"/>
  <c r="S56" i="36"/>
  <c r="T56" i="36"/>
  <c r="U56" i="36"/>
  <c r="D58" i="36"/>
  <c r="D59" i="36" s="1"/>
  <c r="E58" i="36"/>
  <c r="F58" i="36"/>
  <c r="G58" i="36"/>
  <c r="H58" i="36"/>
  <c r="I58" i="36"/>
  <c r="J58" i="36"/>
  <c r="K58" i="36"/>
  <c r="L58" i="36"/>
  <c r="L59" i="36" s="1"/>
  <c r="M58" i="36"/>
  <c r="N58" i="36"/>
  <c r="O58" i="36"/>
  <c r="P58" i="36"/>
  <c r="Q58" i="36"/>
  <c r="R58" i="36"/>
  <c r="S58" i="36"/>
  <c r="T58" i="36"/>
  <c r="T59" i="36" s="1"/>
  <c r="U58" i="36"/>
  <c r="V58" i="36"/>
  <c r="S53" i="36" l="1"/>
  <c r="O59" i="36"/>
  <c r="G59" i="36"/>
  <c r="T53" i="36"/>
  <c r="V59" i="36"/>
  <c r="R132" i="36"/>
  <c r="P53" i="36"/>
  <c r="P48" i="36"/>
  <c r="K36" i="36"/>
  <c r="K53" i="36"/>
  <c r="K48" i="36"/>
  <c r="U47" i="36"/>
  <c r="M47" i="36"/>
  <c r="E47" i="36"/>
  <c r="R59" i="36"/>
  <c r="O53" i="36"/>
  <c r="Q47" i="36"/>
  <c r="I47" i="36"/>
  <c r="F36" i="36"/>
  <c r="V51" i="41"/>
  <c r="W51" i="41" s="1"/>
  <c r="V52" i="41"/>
  <c r="V41" i="41"/>
  <c r="V42" i="41"/>
  <c r="T110" i="41"/>
  <c r="B55" i="41"/>
  <c r="AN79" i="41"/>
  <c r="Q79" i="41"/>
  <c r="BD79" i="41"/>
  <c r="BS78" i="41"/>
  <c r="AG79" i="41"/>
  <c r="AO79" i="41"/>
  <c r="BE79" i="41"/>
  <c r="W79" i="41"/>
  <c r="AU79" i="41"/>
  <c r="BC79" i="41"/>
  <c r="L78" i="41"/>
  <c r="AR78" i="41"/>
  <c r="AU80" i="41"/>
  <c r="L79" i="41"/>
  <c r="H79" i="41"/>
  <c r="X79" i="41"/>
  <c r="BL79" i="41"/>
  <c r="W80" i="41"/>
  <c r="BS80" i="41"/>
  <c r="Q78" i="41"/>
  <c r="AG78" i="41"/>
  <c r="AO78" i="41"/>
  <c r="BE78" i="41"/>
  <c r="S80" i="41"/>
  <c r="AA80" i="41"/>
  <c r="AI80" i="41"/>
  <c r="BC80" i="41"/>
  <c r="AT80" i="41"/>
  <c r="H80" i="41"/>
  <c r="P80" i="41"/>
  <c r="X80" i="41"/>
  <c r="AF80" i="41"/>
  <c r="W41" i="41"/>
  <c r="M79" i="41"/>
  <c r="AK79" i="41"/>
  <c r="BA79" i="41"/>
  <c r="BY79" i="41"/>
  <c r="J78" i="41"/>
  <c r="Z78" i="41"/>
  <c r="L80" i="41"/>
  <c r="AR80" i="41"/>
  <c r="BR79" i="41"/>
  <c r="M80" i="41"/>
  <c r="AK80" i="41"/>
  <c r="BA80" i="41"/>
  <c r="BQ80" i="41"/>
  <c r="BY80" i="41"/>
  <c r="V44" i="41"/>
  <c r="W44" i="41" s="1"/>
  <c r="M78" i="41"/>
  <c r="AK78" i="41"/>
  <c r="BA78" i="41"/>
  <c r="BY78" i="41"/>
  <c r="S110" i="41"/>
  <c r="AN80" i="41"/>
  <c r="BL80" i="41"/>
  <c r="V48" i="41"/>
  <c r="W48" i="41" s="1"/>
  <c r="J79" i="41"/>
  <c r="Z79" i="41"/>
  <c r="W78" i="41"/>
  <c r="AU78" i="41"/>
  <c r="I80" i="41"/>
  <c r="Q80" i="41"/>
  <c r="AG80" i="41"/>
  <c r="AO80" i="41"/>
  <c r="V49" i="41"/>
  <c r="W49" i="41" s="1"/>
  <c r="S79" i="41"/>
  <c r="AI79" i="41"/>
  <c r="H78" i="41"/>
  <c r="X78" i="41"/>
  <c r="AN78" i="41"/>
  <c r="BL78" i="41"/>
  <c r="J80" i="41"/>
  <c r="Z80" i="41"/>
  <c r="BN80" i="41"/>
  <c r="V47" i="41"/>
  <c r="W47" i="41" s="1"/>
  <c r="V50" i="41"/>
  <c r="W50" i="41" s="1"/>
  <c r="B54" i="41"/>
  <c r="V45" i="41"/>
  <c r="W45" i="41" s="1"/>
  <c r="B56" i="41"/>
  <c r="V43" i="41"/>
  <c r="W43" i="41" s="1"/>
  <c r="V46" i="41"/>
  <c r="C53" i="36"/>
  <c r="C41" i="36"/>
  <c r="U59" i="36"/>
  <c r="M59" i="36"/>
  <c r="E59" i="36"/>
  <c r="R53" i="36"/>
  <c r="R45" i="36" s="1"/>
  <c r="J53" i="36"/>
  <c r="V47" i="36"/>
  <c r="N47" i="36"/>
  <c r="F47" i="36"/>
  <c r="S59" i="36"/>
  <c r="K59" i="36"/>
  <c r="G53" i="36"/>
  <c r="O47" i="36"/>
  <c r="N133" i="36"/>
  <c r="Q59" i="36"/>
  <c r="I59" i="36"/>
  <c r="V53" i="36"/>
  <c r="N53" i="36"/>
  <c r="E53" i="36"/>
  <c r="E45" i="36" s="1"/>
  <c r="R47" i="36"/>
  <c r="J47" i="36"/>
  <c r="P41" i="36"/>
  <c r="H41" i="36"/>
  <c r="C59" i="36"/>
  <c r="P59" i="36"/>
  <c r="H59" i="36"/>
  <c r="U53" i="36"/>
  <c r="M53" i="36"/>
  <c r="D53" i="36"/>
  <c r="G41" i="36"/>
  <c r="I53" i="36"/>
  <c r="P47" i="36"/>
  <c r="H47" i="36"/>
  <c r="V41" i="36"/>
  <c r="N41" i="36"/>
  <c r="F41" i="36"/>
  <c r="N59" i="36"/>
  <c r="F59" i="36"/>
  <c r="C47" i="36"/>
  <c r="S47" i="36"/>
  <c r="K47" i="36"/>
  <c r="Q41" i="36"/>
  <c r="I41" i="36"/>
  <c r="Q133" i="36"/>
  <c r="T41" i="36"/>
  <c r="L41" i="36"/>
  <c r="D41" i="36"/>
  <c r="P133" i="36"/>
  <c r="T47" i="36"/>
  <c r="L47" i="36"/>
  <c r="D47" i="36"/>
  <c r="G47" i="36"/>
  <c r="R41" i="36"/>
  <c r="J41" i="36"/>
  <c r="U41" i="36"/>
  <c r="M41" i="36"/>
  <c r="E41" i="36"/>
  <c r="J59" i="36"/>
  <c r="S41" i="36"/>
  <c r="K41" i="36"/>
  <c r="F45" i="36"/>
  <c r="V55" i="36"/>
  <c r="V54" i="36"/>
  <c r="Q51" i="36"/>
  <c r="S57" i="36"/>
  <c r="K57" i="36"/>
  <c r="W38" i="36"/>
  <c r="O57" i="36"/>
  <c r="G57" i="36"/>
  <c r="W46" i="36"/>
  <c r="W56" i="36"/>
  <c r="W50" i="36"/>
  <c r="W53" i="36"/>
  <c r="W45" i="36"/>
  <c r="W52" i="36"/>
  <c r="W40" i="36"/>
  <c r="W58" i="36"/>
  <c r="W44" i="36"/>
  <c r="W59" i="36"/>
  <c r="W51" i="36"/>
  <c r="W57" i="36"/>
  <c r="W41" i="36"/>
  <c r="J57" i="36"/>
  <c r="W47" i="36"/>
  <c r="W39" i="36"/>
  <c r="T57" i="36"/>
  <c r="L57" i="36"/>
  <c r="D57" i="36"/>
  <c r="C49" i="36"/>
  <c r="T45" i="36"/>
  <c r="D48" i="36"/>
  <c r="I45" i="36"/>
  <c r="I51" i="36"/>
  <c r="P42" i="36"/>
  <c r="Q37" i="36"/>
  <c r="F51" i="36"/>
  <c r="L54" i="36"/>
  <c r="R55" i="36"/>
  <c r="V48" i="36"/>
  <c r="P51" i="36"/>
  <c r="H51" i="36"/>
  <c r="I37" i="36"/>
  <c r="M54" i="36"/>
  <c r="R48" i="36"/>
  <c r="J48" i="36"/>
  <c r="P37" i="36"/>
  <c r="U42" i="36"/>
  <c r="M42" i="36"/>
  <c r="E42" i="36"/>
  <c r="T51" i="36"/>
  <c r="L51" i="36"/>
  <c r="D51" i="36"/>
  <c r="O37" i="36"/>
  <c r="T54" i="36"/>
  <c r="H37" i="36"/>
  <c r="D49" i="36"/>
  <c r="O51" i="36"/>
  <c r="G51" i="36"/>
  <c r="R57" i="36"/>
  <c r="U51" i="36"/>
  <c r="M51" i="36"/>
  <c r="E51" i="36"/>
  <c r="H48" i="36"/>
  <c r="V43" i="36"/>
  <c r="N43" i="36"/>
  <c r="Q43" i="36"/>
  <c r="I43" i="36"/>
  <c r="Q57" i="36"/>
  <c r="I55" i="36"/>
  <c r="S45" i="36"/>
  <c r="K49" i="36"/>
  <c r="D36" i="36"/>
  <c r="P57" i="36"/>
  <c r="H57" i="36"/>
  <c r="V49" i="36"/>
  <c r="N49" i="36"/>
  <c r="F49" i="36"/>
  <c r="S37" i="36"/>
  <c r="K37" i="36"/>
  <c r="V57" i="36"/>
  <c r="N57" i="36"/>
  <c r="F57" i="36"/>
  <c r="N54" i="36"/>
  <c r="F54" i="36"/>
  <c r="O49" i="36"/>
  <c r="G49" i="36"/>
  <c r="O48" i="36"/>
  <c r="U57" i="36"/>
  <c r="M57" i="36"/>
  <c r="E57" i="36"/>
  <c r="P43" i="36"/>
  <c r="H43" i="36"/>
  <c r="Q42" i="36"/>
  <c r="R37" i="36"/>
  <c r="J37" i="36"/>
  <c r="G54" i="36"/>
  <c r="U55" i="36"/>
  <c r="M55" i="36"/>
  <c r="E55" i="36"/>
  <c r="E54" i="36"/>
  <c r="N48" i="36"/>
  <c r="O43" i="36"/>
  <c r="G43" i="36"/>
  <c r="S36" i="36"/>
  <c r="T55" i="36"/>
  <c r="L55" i="36"/>
  <c r="D55" i="36"/>
  <c r="D54" i="36"/>
  <c r="U49" i="36"/>
  <c r="M49" i="36"/>
  <c r="E49" i="36"/>
  <c r="G48" i="36"/>
  <c r="V42" i="36"/>
  <c r="N42" i="36"/>
  <c r="F42" i="36"/>
  <c r="I42" i="36"/>
  <c r="R39" i="36"/>
  <c r="H36" i="36"/>
  <c r="R36" i="36"/>
  <c r="F43" i="36"/>
  <c r="S55" i="36"/>
  <c r="K55" i="36"/>
  <c r="V51" i="36"/>
  <c r="T48" i="36"/>
  <c r="F48" i="36"/>
  <c r="H42" i="36"/>
  <c r="J39" i="36"/>
  <c r="O36" i="36"/>
  <c r="G36" i="36"/>
  <c r="R54" i="36"/>
  <c r="J54" i="36"/>
  <c r="J55" i="36"/>
  <c r="S39" i="36"/>
  <c r="K39" i="36"/>
  <c r="T49" i="36"/>
  <c r="T42" i="36"/>
  <c r="L42" i="36"/>
  <c r="D42" i="36"/>
  <c r="V36" i="36"/>
  <c r="N36" i="36"/>
  <c r="J36" i="36"/>
  <c r="O54" i="36"/>
  <c r="Q54" i="36"/>
  <c r="I54" i="36"/>
  <c r="U54" i="36"/>
  <c r="N51" i="36"/>
  <c r="L49" i="36"/>
  <c r="P54" i="36"/>
  <c r="H54" i="36"/>
  <c r="R42" i="36"/>
  <c r="J42" i="36"/>
  <c r="T36" i="36"/>
  <c r="Q55" i="36"/>
  <c r="U43" i="36"/>
  <c r="Q39" i="36"/>
  <c r="P55" i="36"/>
  <c r="H55" i="36"/>
  <c r="S54" i="36"/>
  <c r="K54" i="36"/>
  <c r="R49" i="36"/>
  <c r="J49" i="36"/>
  <c r="U48" i="36"/>
  <c r="M48" i="36"/>
  <c r="E48" i="36"/>
  <c r="T43" i="36"/>
  <c r="L43" i="36"/>
  <c r="D43" i="36"/>
  <c r="O42" i="36"/>
  <c r="G42" i="36"/>
  <c r="P39" i="36"/>
  <c r="H39" i="36"/>
  <c r="V37" i="36"/>
  <c r="N37" i="36"/>
  <c r="F37" i="36"/>
  <c r="Q36" i="36"/>
  <c r="I36" i="36"/>
  <c r="E43" i="36"/>
  <c r="I57" i="36"/>
  <c r="O55" i="36"/>
  <c r="G55" i="36"/>
  <c r="S51" i="36"/>
  <c r="K51" i="36"/>
  <c r="Q49" i="36"/>
  <c r="I49" i="36"/>
  <c r="S43" i="36"/>
  <c r="K43" i="36"/>
  <c r="O39" i="36"/>
  <c r="G39" i="36"/>
  <c r="U37" i="36"/>
  <c r="M37" i="36"/>
  <c r="E37" i="36"/>
  <c r="S49" i="36"/>
  <c r="G37" i="36"/>
  <c r="N55" i="36"/>
  <c r="F55" i="36"/>
  <c r="R51" i="36"/>
  <c r="J51" i="36"/>
  <c r="P49" i="36"/>
  <c r="H49" i="36"/>
  <c r="S48" i="36"/>
  <c r="R43" i="36"/>
  <c r="J43" i="36"/>
  <c r="V39" i="36"/>
  <c r="N39" i="36"/>
  <c r="F39" i="36"/>
  <c r="T37" i="36"/>
  <c r="L37" i="36"/>
  <c r="D37" i="36"/>
  <c r="U39" i="36"/>
  <c r="M39" i="36"/>
  <c r="E39" i="36"/>
  <c r="M43" i="36"/>
  <c r="I39" i="36"/>
  <c r="Q48" i="36"/>
  <c r="I48" i="36"/>
  <c r="S42" i="36"/>
  <c r="K42" i="36"/>
  <c r="T39" i="36"/>
  <c r="L39" i="36"/>
  <c r="D39" i="36"/>
  <c r="U36" i="36"/>
  <c r="M36" i="36"/>
  <c r="E36" i="36"/>
  <c r="C43" i="36"/>
  <c r="C37" i="36"/>
  <c r="R133" i="36" l="1"/>
  <c r="W46" i="41"/>
  <c r="W53" i="41"/>
  <c r="W52" i="41"/>
  <c r="W42" i="41"/>
  <c r="W36" i="36"/>
  <c r="W37" i="36"/>
  <c r="W55" i="36"/>
  <c r="W54" i="36"/>
  <c r="W42" i="36"/>
  <c r="W43" i="36"/>
  <c r="W48" i="36"/>
  <c r="W49" i="36"/>
  <c r="J45" i="36"/>
  <c r="O45" i="36"/>
  <c r="N45" i="36"/>
  <c r="Q45" i="36"/>
  <c r="H45" i="36"/>
  <c r="D45" i="36"/>
  <c r="L45" i="36"/>
  <c r="M45" i="36"/>
  <c r="P45" i="36"/>
  <c r="G45" i="36"/>
  <c r="V45" i="36"/>
  <c r="K45" i="36"/>
  <c r="U45" i="36"/>
  <c r="W54" i="41" l="1"/>
  <c r="BH118" i="5" l="1"/>
  <c r="AC114" i="5"/>
  <c r="AC113" i="5"/>
  <c r="K121" i="5" l="1"/>
  <c r="V118" i="5" l="1"/>
  <c r="AA118" i="5"/>
  <c r="E118" i="5" l="1"/>
  <c r="S8" i="23"/>
  <c r="Y8" i="23"/>
  <c r="R13" i="23" l="1"/>
  <c r="Y49" i="23"/>
  <c r="X49" i="23"/>
  <c r="W49" i="23"/>
  <c r="V49" i="23"/>
  <c r="U49" i="23"/>
  <c r="T49" i="23"/>
  <c r="R49" i="23"/>
  <c r="Y48" i="23"/>
  <c r="X48" i="23"/>
  <c r="W48" i="23"/>
  <c r="V48" i="23"/>
  <c r="U48" i="23"/>
  <c r="T48" i="23"/>
  <c r="R48" i="23"/>
  <c r="Y34" i="23"/>
  <c r="X34" i="23"/>
  <c r="W34" i="23"/>
  <c r="V34" i="23"/>
  <c r="U34" i="23"/>
  <c r="T34" i="23"/>
  <c r="R34" i="23"/>
  <c r="Y33" i="23"/>
  <c r="X33" i="23"/>
  <c r="W33" i="23"/>
  <c r="V33" i="23"/>
  <c r="U33" i="23"/>
  <c r="T33" i="23"/>
  <c r="R33" i="23"/>
  <c r="Y14" i="23"/>
  <c r="X14" i="23"/>
  <c r="W14" i="23"/>
  <c r="V14" i="23"/>
  <c r="U14" i="23"/>
  <c r="T14" i="23"/>
  <c r="S14" i="23"/>
  <c r="R14" i="23"/>
  <c r="Y13" i="23"/>
  <c r="X13" i="23"/>
  <c r="W13" i="23"/>
  <c r="V13" i="23"/>
  <c r="U13" i="23"/>
  <c r="T13" i="23"/>
  <c r="S13" i="23"/>
  <c r="R29" i="23"/>
  <c r="V8" i="23"/>
  <c r="F117" i="5" l="1"/>
  <c r="G117" i="5"/>
  <c r="H117" i="5"/>
  <c r="I117" i="5"/>
  <c r="J117" i="5"/>
  <c r="K117" i="5"/>
  <c r="L117" i="5"/>
  <c r="M117" i="5"/>
  <c r="N117" i="5"/>
  <c r="O117" i="5"/>
  <c r="P117" i="5"/>
  <c r="Q117" i="5"/>
  <c r="R117" i="5"/>
  <c r="S117" i="5"/>
  <c r="T117" i="5"/>
  <c r="U117" i="5"/>
  <c r="V117" i="5"/>
  <c r="W117" i="5"/>
  <c r="X117" i="5"/>
  <c r="Y117" i="5"/>
  <c r="Z117" i="5"/>
  <c r="AA117" i="5"/>
  <c r="AC117" i="5"/>
  <c r="AD117" i="5"/>
  <c r="AE117" i="5"/>
  <c r="AF117" i="5"/>
  <c r="AG117" i="5"/>
  <c r="AH117" i="5"/>
  <c r="AI117" i="5"/>
  <c r="AJ117" i="5"/>
  <c r="AK117" i="5"/>
  <c r="AL117" i="5"/>
  <c r="AM117" i="5"/>
  <c r="AN117" i="5"/>
  <c r="AO117" i="5"/>
  <c r="AP117" i="5"/>
  <c r="AQ117" i="5"/>
  <c r="AR117" i="5"/>
  <c r="AS117" i="5"/>
  <c r="AT117" i="5"/>
  <c r="AU117" i="5"/>
  <c r="AV117" i="5"/>
  <c r="AW117" i="5"/>
  <c r="AX117" i="5"/>
  <c r="AY117" i="5"/>
  <c r="AZ117" i="5"/>
  <c r="BA117" i="5"/>
  <c r="BB117" i="5"/>
  <c r="BC117" i="5"/>
  <c r="BD117" i="5"/>
  <c r="BE117" i="5"/>
  <c r="BF117" i="5"/>
  <c r="BG117" i="5"/>
  <c r="BH117" i="5"/>
  <c r="BI117" i="5"/>
  <c r="BJ117" i="5"/>
  <c r="BK117" i="5"/>
  <c r="BL117" i="5"/>
  <c r="BM117" i="5"/>
  <c r="BN117" i="5"/>
  <c r="BO117" i="5"/>
  <c r="BP117" i="5"/>
  <c r="BQ117" i="5"/>
  <c r="BR117" i="5"/>
  <c r="BS117" i="5"/>
  <c r="BT117" i="5"/>
  <c r="BU117" i="5"/>
  <c r="BV117" i="5"/>
  <c r="BW117" i="5"/>
  <c r="BX117" i="5"/>
  <c r="BY117" i="5"/>
  <c r="BZ117" i="5"/>
  <c r="CA117" i="5"/>
  <c r="CB117" i="5"/>
  <c r="CC117" i="5"/>
  <c r="CD117" i="5"/>
  <c r="CE117" i="5"/>
  <c r="CF117" i="5"/>
  <c r="CG117" i="5"/>
  <c r="E123" i="5"/>
  <c r="U29" i="23" l="1"/>
  <c r="C39" i="36" l="1"/>
  <c r="AL47" i="36"/>
  <c r="C45" i="36" l="1"/>
  <c r="AQ59" i="36"/>
  <c r="AH59" i="36"/>
  <c r="AK41" i="36"/>
  <c r="AK47" i="36"/>
  <c r="AD47" i="36"/>
  <c r="AA41" i="36"/>
  <c r="AH41" i="36"/>
  <c r="Z41" i="36"/>
  <c r="AM47" i="36"/>
  <c r="AE47" i="36"/>
  <c r="AL41" i="36"/>
  <c r="AD41" i="36"/>
  <c r="AO47" i="36"/>
  <c r="AG47" i="36"/>
  <c r="Y47" i="36"/>
  <c r="AM39" i="36"/>
  <c r="AN47" i="36"/>
  <c r="AF47" i="36"/>
  <c r="AO41" i="36"/>
  <c r="AM53" i="36"/>
  <c r="AE41" i="36"/>
  <c r="Z53" i="36"/>
  <c r="AC47" i="36"/>
  <c r="AJ47" i="36"/>
  <c r="AB47" i="36"/>
  <c r="AQ47" i="36"/>
  <c r="AI47" i="36"/>
  <c r="AA47" i="36"/>
  <c r="AA53" i="36"/>
  <c r="AK39" i="36"/>
  <c r="Y39" i="36"/>
  <c r="C51" i="36"/>
  <c r="AP47" i="36"/>
  <c r="AH47" i="36"/>
  <c r="Z47" i="36"/>
  <c r="AP39" i="36"/>
  <c r="X53" i="36"/>
  <c r="AE53" i="36"/>
  <c r="AI53" i="36"/>
  <c r="AK53" i="36"/>
  <c r="AP53" i="36"/>
  <c r="AO53" i="36"/>
  <c r="AQ53" i="36"/>
  <c r="AB39" i="36" l="1"/>
  <c r="Y53" i="36"/>
  <c r="AC53" i="36"/>
  <c r="AJ53" i="36"/>
  <c r="AN39" i="36"/>
  <c r="AC39" i="36"/>
  <c r="AB53" i="36"/>
  <c r="AQ39" i="36"/>
  <c r="AE39" i="36"/>
  <c r="AL39" i="36"/>
  <c r="Z39" i="36"/>
  <c r="AI41" i="36"/>
  <c r="AF39" i="36"/>
  <c r="AH39" i="36"/>
  <c r="Y41" i="36"/>
  <c r="AF41" i="36"/>
  <c r="AO39" i="36"/>
  <c r="AJ41" i="36"/>
  <c r="AI39" i="36"/>
  <c r="X39" i="36"/>
  <c r="AB41" i="36"/>
  <c r="AC41" i="36"/>
  <c r="AJ39" i="36"/>
  <c r="AP41" i="36"/>
  <c r="AG41" i="36"/>
  <c r="AN41" i="36"/>
  <c r="AQ41" i="36"/>
  <c r="AQ37" i="36" s="1"/>
  <c r="AM41" i="36"/>
  <c r="AG39" i="36"/>
  <c r="AQ45" i="36"/>
  <c r="X41" i="36"/>
  <c r="AA39" i="36"/>
  <c r="AD39" i="36"/>
  <c r="AD53" i="36"/>
  <c r="AG53" i="36"/>
  <c r="AL53" i="36"/>
  <c r="AH53" i="36"/>
  <c r="AH37" i="36" s="1"/>
  <c r="AF53" i="36"/>
  <c r="AN53" i="36"/>
  <c r="AR39" i="36" l="1"/>
  <c r="AR41" i="36"/>
  <c r="AH45" i="36"/>
  <c r="AR53" i="36"/>
  <c r="X59" i="36" l="1"/>
  <c r="C57" i="36"/>
  <c r="E129" i="5"/>
  <c r="F129" i="5"/>
  <c r="G133" i="5"/>
  <c r="G129" i="5"/>
  <c r="G131" i="5"/>
  <c r="H129" i="5"/>
  <c r="I129" i="5"/>
  <c r="J129" i="5"/>
  <c r="K129" i="5"/>
  <c r="L129" i="5"/>
  <c r="M129" i="5"/>
  <c r="N129" i="5"/>
  <c r="O129" i="5"/>
  <c r="P129" i="5"/>
  <c r="Q129" i="5"/>
  <c r="R129" i="5"/>
  <c r="S129" i="5"/>
  <c r="T129" i="5"/>
  <c r="U129" i="5"/>
  <c r="V129" i="5"/>
  <c r="W129" i="5"/>
  <c r="X129" i="5"/>
  <c r="Y129" i="5"/>
  <c r="Z129" i="5"/>
  <c r="AA129" i="5"/>
  <c r="AB129" i="5"/>
  <c r="AC129" i="5"/>
  <c r="AD129" i="5"/>
  <c r="AE129" i="5"/>
  <c r="AF129" i="5"/>
  <c r="AG129" i="5"/>
  <c r="AH129" i="5"/>
  <c r="AI129" i="5"/>
  <c r="AJ129" i="5"/>
  <c r="AK129" i="5"/>
  <c r="AL129" i="5"/>
  <c r="AM129" i="5"/>
  <c r="AN129" i="5"/>
  <c r="AO129" i="5"/>
  <c r="AP129" i="5"/>
  <c r="AQ129" i="5"/>
  <c r="AR129" i="5"/>
  <c r="AS129" i="5"/>
  <c r="AT129" i="5"/>
  <c r="AU129" i="5"/>
  <c r="AV129" i="5"/>
  <c r="AW129" i="5"/>
  <c r="AX129" i="5"/>
  <c r="AY129" i="5"/>
  <c r="AZ129" i="5"/>
  <c r="BA129" i="5"/>
  <c r="BB129" i="5"/>
  <c r="BC129" i="5"/>
  <c r="BD129" i="5"/>
  <c r="BE129" i="5"/>
  <c r="BF129" i="5"/>
  <c r="BG129" i="5"/>
  <c r="BH129" i="5"/>
  <c r="BI129" i="5"/>
  <c r="BJ129" i="5"/>
  <c r="BK129" i="5"/>
  <c r="BL129" i="5"/>
  <c r="BM129" i="5"/>
  <c r="BN129" i="5"/>
  <c r="BO129" i="5"/>
  <c r="BP129" i="5"/>
  <c r="BQ129" i="5"/>
  <c r="BR129" i="5"/>
  <c r="BS129" i="5"/>
  <c r="BT129" i="5"/>
  <c r="BU129" i="5"/>
  <c r="BV129" i="5"/>
  <c r="BW129" i="5"/>
  <c r="BX129" i="5"/>
  <c r="BY129" i="5"/>
  <c r="BZ129" i="5"/>
  <c r="CA129" i="5"/>
  <c r="CB129" i="5"/>
  <c r="CC129" i="5"/>
  <c r="CD129" i="5"/>
  <c r="CE129" i="5"/>
  <c r="CF129" i="5"/>
  <c r="CG129" i="5"/>
  <c r="AL130" i="5"/>
  <c r="F147" i="5"/>
  <c r="F146" i="5"/>
  <c r="F145" i="5"/>
  <c r="F144" i="5"/>
  <c r="F143" i="5"/>
  <c r="F142" i="5"/>
  <c r="F141" i="5"/>
  <c r="F140" i="5"/>
  <c r="F133" i="5"/>
  <c r="H133" i="5"/>
  <c r="I133" i="5"/>
  <c r="J133" i="5"/>
  <c r="K133" i="5"/>
  <c r="L133" i="5"/>
  <c r="M133" i="5"/>
  <c r="N133" i="5"/>
  <c r="O133" i="5"/>
  <c r="P133" i="5"/>
  <c r="Q133" i="5"/>
  <c r="R133" i="5"/>
  <c r="S133" i="5"/>
  <c r="T133" i="5"/>
  <c r="U133" i="5"/>
  <c r="V133" i="5"/>
  <c r="W133" i="5"/>
  <c r="X133" i="5"/>
  <c r="Y133" i="5"/>
  <c r="Z133" i="5"/>
  <c r="AA133" i="5"/>
  <c r="AB133" i="5"/>
  <c r="AC133" i="5"/>
  <c r="AD133" i="5"/>
  <c r="AE133" i="5"/>
  <c r="AF133" i="5"/>
  <c r="AG133" i="5"/>
  <c r="AH133" i="5"/>
  <c r="AI133" i="5"/>
  <c r="AJ133" i="5"/>
  <c r="AK133" i="5"/>
  <c r="AL133" i="5"/>
  <c r="AM133" i="5"/>
  <c r="AN133" i="5"/>
  <c r="AO133" i="5"/>
  <c r="AP133" i="5"/>
  <c r="AQ133" i="5"/>
  <c r="AR133" i="5"/>
  <c r="AS133" i="5"/>
  <c r="AT133" i="5"/>
  <c r="AU133" i="5"/>
  <c r="AV133" i="5"/>
  <c r="AW133" i="5"/>
  <c r="AX133" i="5"/>
  <c r="AY133" i="5"/>
  <c r="AZ133" i="5"/>
  <c r="BA133" i="5"/>
  <c r="BB133" i="5"/>
  <c r="BC133" i="5"/>
  <c r="BD133" i="5"/>
  <c r="BE133" i="5"/>
  <c r="BF133" i="5"/>
  <c r="BG133" i="5"/>
  <c r="BH133" i="5"/>
  <c r="BI133" i="5"/>
  <c r="BJ133" i="5"/>
  <c r="BK133" i="5"/>
  <c r="BL133" i="5"/>
  <c r="BM133" i="5"/>
  <c r="BN133" i="5"/>
  <c r="BO133" i="5"/>
  <c r="BP133" i="5"/>
  <c r="BQ133" i="5"/>
  <c r="BR133" i="5"/>
  <c r="BS133" i="5"/>
  <c r="BT133" i="5"/>
  <c r="BU133" i="5"/>
  <c r="BV133" i="5"/>
  <c r="BW133" i="5"/>
  <c r="BX133" i="5"/>
  <c r="BY133" i="5"/>
  <c r="BZ133" i="5"/>
  <c r="CA133" i="5"/>
  <c r="CB133" i="5"/>
  <c r="CC133" i="5"/>
  <c r="CD133" i="5"/>
  <c r="CE133" i="5"/>
  <c r="CF133" i="5"/>
  <c r="CG133" i="5"/>
  <c r="E133" i="5"/>
  <c r="H134" i="5"/>
  <c r="Z121" i="5"/>
  <c r="Z118" i="5"/>
  <c r="O121" i="5"/>
  <c r="N131" i="5"/>
  <c r="E134" i="5"/>
  <c r="F130" i="5"/>
  <c r="G130" i="5"/>
  <c r="H130" i="5"/>
  <c r="I130" i="5"/>
  <c r="J130" i="5"/>
  <c r="K130" i="5"/>
  <c r="L130" i="5"/>
  <c r="M130" i="5"/>
  <c r="N130" i="5"/>
  <c r="O130" i="5"/>
  <c r="P130" i="5"/>
  <c r="Q130" i="5"/>
  <c r="R130" i="5"/>
  <c r="S130" i="5"/>
  <c r="T130" i="5"/>
  <c r="U130" i="5"/>
  <c r="V130" i="5"/>
  <c r="W130" i="5"/>
  <c r="X130" i="5"/>
  <c r="Y130" i="5"/>
  <c r="Z130" i="5"/>
  <c r="AA130" i="5"/>
  <c r="AB130" i="5"/>
  <c r="AC130" i="5"/>
  <c r="AD130" i="5"/>
  <c r="AE130" i="5"/>
  <c r="AF130" i="5"/>
  <c r="AG130" i="5"/>
  <c r="AH130" i="5"/>
  <c r="AI130" i="5"/>
  <c r="AJ130" i="5"/>
  <c r="AK130" i="5"/>
  <c r="AM130" i="5"/>
  <c r="AN130" i="5"/>
  <c r="AO130" i="5"/>
  <c r="AP130" i="5"/>
  <c r="AQ130" i="5"/>
  <c r="AR130" i="5"/>
  <c r="AS130" i="5"/>
  <c r="AT130" i="5"/>
  <c r="AU130" i="5"/>
  <c r="AV130" i="5"/>
  <c r="AW130" i="5"/>
  <c r="AX130" i="5"/>
  <c r="AY130" i="5"/>
  <c r="AZ130" i="5"/>
  <c r="BA130" i="5"/>
  <c r="BB130" i="5"/>
  <c r="BC130" i="5"/>
  <c r="BD130" i="5"/>
  <c r="BE130" i="5"/>
  <c r="BF130" i="5"/>
  <c r="BG130" i="5"/>
  <c r="BH130" i="5"/>
  <c r="BI130" i="5"/>
  <c r="BJ130" i="5"/>
  <c r="BK130" i="5"/>
  <c r="BL130" i="5"/>
  <c r="BM130" i="5"/>
  <c r="BN130" i="5"/>
  <c r="BO130" i="5"/>
  <c r="BP130" i="5"/>
  <c r="BQ130" i="5"/>
  <c r="BR130" i="5"/>
  <c r="BS130" i="5"/>
  <c r="BT130" i="5"/>
  <c r="BU130" i="5"/>
  <c r="BV130" i="5"/>
  <c r="BW130" i="5"/>
  <c r="BX130" i="5"/>
  <c r="BY130" i="5"/>
  <c r="BZ130" i="5"/>
  <c r="CA130" i="5"/>
  <c r="CB130" i="5"/>
  <c r="CC130" i="5"/>
  <c r="CD130" i="5"/>
  <c r="CE130" i="5"/>
  <c r="CF130" i="5"/>
  <c r="CG130" i="5"/>
  <c r="F131" i="5"/>
  <c r="H131" i="5"/>
  <c r="I131" i="5"/>
  <c r="J131" i="5"/>
  <c r="K131" i="5"/>
  <c r="L131" i="5"/>
  <c r="M131" i="5"/>
  <c r="O131" i="5"/>
  <c r="P131" i="5"/>
  <c r="Q131" i="5"/>
  <c r="R131" i="5"/>
  <c r="S131" i="5"/>
  <c r="T131" i="5"/>
  <c r="U131" i="5"/>
  <c r="V131" i="5"/>
  <c r="W131" i="5"/>
  <c r="X131" i="5"/>
  <c r="Y131" i="5"/>
  <c r="Z131" i="5"/>
  <c r="AA131" i="5"/>
  <c r="AB131" i="5"/>
  <c r="AC131" i="5"/>
  <c r="AD131" i="5"/>
  <c r="AE131" i="5"/>
  <c r="AF131" i="5"/>
  <c r="AG131" i="5"/>
  <c r="AH131" i="5"/>
  <c r="AI131" i="5"/>
  <c r="AJ131" i="5"/>
  <c r="AK131" i="5"/>
  <c r="AL131" i="5"/>
  <c r="AM131" i="5"/>
  <c r="AN131" i="5"/>
  <c r="AO131" i="5"/>
  <c r="AP131" i="5"/>
  <c r="AQ131" i="5"/>
  <c r="AR131" i="5"/>
  <c r="AS131" i="5"/>
  <c r="AT131" i="5"/>
  <c r="AU131" i="5"/>
  <c r="AV131" i="5"/>
  <c r="AW131" i="5"/>
  <c r="AX131" i="5"/>
  <c r="AY131" i="5"/>
  <c r="AZ131" i="5"/>
  <c r="BA131" i="5"/>
  <c r="BB131" i="5"/>
  <c r="BC131" i="5"/>
  <c r="BD131" i="5"/>
  <c r="BE131" i="5"/>
  <c r="BF131" i="5"/>
  <c r="BG131" i="5"/>
  <c r="BH131" i="5"/>
  <c r="BI131" i="5"/>
  <c r="BJ131" i="5"/>
  <c r="BK131" i="5"/>
  <c r="BL131" i="5"/>
  <c r="BM131" i="5"/>
  <c r="BN131" i="5"/>
  <c r="BO131" i="5"/>
  <c r="BP131" i="5"/>
  <c r="BQ131" i="5"/>
  <c r="BR131" i="5"/>
  <c r="BS131" i="5"/>
  <c r="BT131" i="5"/>
  <c r="BU131" i="5"/>
  <c r="BV131" i="5"/>
  <c r="BW131" i="5"/>
  <c r="BX131" i="5"/>
  <c r="BY131" i="5"/>
  <c r="BZ131" i="5"/>
  <c r="CA131" i="5"/>
  <c r="CB131" i="5"/>
  <c r="CC131" i="5"/>
  <c r="CD131" i="5"/>
  <c r="CE131" i="5"/>
  <c r="CF131" i="5"/>
  <c r="CG131" i="5"/>
  <c r="F132" i="5"/>
  <c r="G132" i="5"/>
  <c r="H132" i="5"/>
  <c r="I132" i="5"/>
  <c r="J132" i="5"/>
  <c r="K132" i="5"/>
  <c r="L132" i="5"/>
  <c r="M132" i="5"/>
  <c r="N132" i="5"/>
  <c r="O132" i="5"/>
  <c r="P132" i="5"/>
  <c r="Q132" i="5"/>
  <c r="R132" i="5"/>
  <c r="S132" i="5"/>
  <c r="T132" i="5"/>
  <c r="U132" i="5"/>
  <c r="V132" i="5"/>
  <c r="W132" i="5"/>
  <c r="X132" i="5"/>
  <c r="Y132" i="5"/>
  <c r="Z132" i="5"/>
  <c r="AA132" i="5"/>
  <c r="AB132" i="5"/>
  <c r="AC132" i="5"/>
  <c r="AD132" i="5"/>
  <c r="AE132" i="5"/>
  <c r="AF132" i="5"/>
  <c r="AG132" i="5"/>
  <c r="AH132" i="5"/>
  <c r="AI132" i="5"/>
  <c r="AJ132" i="5"/>
  <c r="AK132" i="5"/>
  <c r="AL132" i="5"/>
  <c r="AM132" i="5"/>
  <c r="AN132" i="5"/>
  <c r="AO132" i="5"/>
  <c r="AP132" i="5"/>
  <c r="AQ132" i="5"/>
  <c r="AR132" i="5"/>
  <c r="AS132" i="5"/>
  <c r="AT132" i="5"/>
  <c r="AU132" i="5"/>
  <c r="AV132" i="5"/>
  <c r="AW132" i="5"/>
  <c r="AX132" i="5"/>
  <c r="AY132" i="5"/>
  <c r="AZ132" i="5"/>
  <c r="BA132" i="5"/>
  <c r="BB132" i="5"/>
  <c r="BC132" i="5"/>
  <c r="BD132" i="5"/>
  <c r="BE132" i="5"/>
  <c r="BF132" i="5"/>
  <c r="BG132" i="5"/>
  <c r="BH132" i="5"/>
  <c r="BI132" i="5"/>
  <c r="BJ132" i="5"/>
  <c r="BK132" i="5"/>
  <c r="BL132" i="5"/>
  <c r="BM132" i="5"/>
  <c r="BN132" i="5"/>
  <c r="BO132" i="5"/>
  <c r="BP132" i="5"/>
  <c r="BQ132" i="5"/>
  <c r="BR132" i="5"/>
  <c r="BS132" i="5"/>
  <c r="BT132" i="5"/>
  <c r="BU132" i="5"/>
  <c r="BV132" i="5"/>
  <c r="BW132" i="5"/>
  <c r="BX132" i="5"/>
  <c r="BY132" i="5"/>
  <c r="BZ132" i="5"/>
  <c r="CA132" i="5"/>
  <c r="CB132" i="5"/>
  <c r="CC132" i="5"/>
  <c r="CD132" i="5"/>
  <c r="CE132" i="5"/>
  <c r="CF132" i="5"/>
  <c r="CG132" i="5"/>
  <c r="F134" i="5"/>
  <c r="G134" i="5"/>
  <c r="I134" i="5"/>
  <c r="J134" i="5"/>
  <c r="K134" i="5"/>
  <c r="L134" i="5"/>
  <c r="M134" i="5"/>
  <c r="N134" i="5"/>
  <c r="O134" i="5"/>
  <c r="P134" i="5"/>
  <c r="Q134" i="5"/>
  <c r="R134" i="5"/>
  <c r="S134" i="5"/>
  <c r="T134" i="5"/>
  <c r="U134" i="5"/>
  <c r="V134" i="5"/>
  <c r="W134" i="5"/>
  <c r="X134" i="5"/>
  <c r="Y134" i="5"/>
  <c r="Z134" i="5"/>
  <c r="AA134" i="5"/>
  <c r="AB134" i="5"/>
  <c r="AC134" i="5"/>
  <c r="AD134" i="5"/>
  <c r="AE134" i="5"/>
  <c r="AF134" i="5"/>
  <c r="AG134" i="5"/>
  <c r="AH134" i="5"/>
  <c r="AI134" i="5"/>
  <c r="AJ134" i="5"/>
  <c r="AK134" i="5"/>
  <c r="AL134" i="5"/>
  <c r="AM134" i="5"/>
  <c r="AN134" i="5"/>
  <c r="AO134" i="5"/>
  <c r="AP134" i="5"/>
  <c r="AQ134" i="5"/>
  <c r="AR134" i="5"/>
  <c r="AS134" i="5"/>
  <c r="AT134" i="5"/>
  <c r="AU134" i="5"/>
  <c r="AV134" i="5"/>
  <c r="AW134" i="5"/>
  <c r="AX134" i="5"/>
  <c r="AY134" i="5"/>
  <c r="AZ134" i="5"/>
  <c r="BA134" i="5"/>
  <c r="BB134" i="5"/>
  <c r="BC134" i="5"/>
  <c r="BD134" i="5"/>
  <c r="BE134" i="5"/>
  <c r="BF134" i="5"/>
  <c r="BG134" i="5"/>
  <c r="BH134" i="5"/>
  <c r="BI134" i="5"/>
  <c r="BJ134" i="5"/>
  <c r="BK134" i="5"/>
  <c r="BL134" i="5"/>
  <c r="BM134" i="5"/>
  <c r="BN134" i="5"/>
  <c r="BO134" i="5"/>
  <c r="BP134" i="5"/>
  <c r="BQ134" i="5"/>
  <c r="BR134" i="5"/>
  <c r="BS134" i="5"/>
  <c r="BT134" i="5"/>
  <c r="BU134" i="5"/>
  <c r="BV134" i="5"/>
  <c r="BW134" i="5"/>
  <c r="BX134" i="5"/>
  <c r="BY134" i="5"/>
  <c r="BZ134" i="5"/>
  <c r="CA134" i="5"/>
  <c r="CB134" i="5"/>
  <c r="CC134" i="5"/>
  <c r="CD134" i="5"/>
  <c r="CE134" i="5"/>
  <c r="CF134" i="5"/>
  <c r="CG134" i="5"/>
  <c r="F135" i="5"/>
  <c r="G135" i="5"/>
  <c r="H135" i="5"/>
  <c r="I135" i="5"/>
  <c r="J135" i="5"/>
  <c r="K135" i="5"/>
  <c r="L135" i="5"/>
  <c r="M135" i="5"/>
  <c r="N135" i="5"/>
  <c r="O135" i="5"/>
  <c r="P135" i="5"/>
  <c r="Q135" i="5"/>
  <c r="R135" i="5"/>
  <c r="S135" i="5"/>
  <c r="T135" i="5"/>
  <c r="U135" i="5"/>
  <c r="V135" i="5"/>
  <c r="W135" i="5"/>
  <c r="X135" i="5"/>
  <c r="Y135" i="5"/>
  <c r="Z135" i="5"/>
  <c r="AA135" i="5"/>
  <c r="AB135" i="5"/>
  <c r="AC135" i="5"/>
  <c r="AD135" i="5"/>
  <c r="AE135" i="5"/>
  <c r="AF135" i="5"/>
  <c r="AG135" i="5"/>
  <c r="AH135" i="5"/>
  <c r="AI135" i="5"/>
  <c r="AJ135" i="5"/>
  <c r="AK135" i="5"/>
  <c r="AL135" i="5"/>
  <c r="AM135" i="5"/>
  <c r="AN135" i="5"/>
  <c r="AO135" i="5"/>
  <c r="AP135" i="5"/>
  <c r="AQ135" i="5"/>
  <c r="AR135" i="5"/>
  <c r="AS135" i="5"/>
  <c r="AT135" i="5"/>
  <c r="AU135" i="5"/>
  <c r="AV135" i="5"/>
  <c r="AW135" i="5"/>
  <c r="AX135" i="5"/>
  <c r="AY135" i="5"/>
  <c r="AZ135" i="5"/>
  <c r="BA135" i="5"/>
  <c r="BB135" i="5"/>
  <c r="BC135" i="5"/>
  <c r="BD135" i="5"/>
  <c r="BE135" i="5"/>
  <c r="BF135" i="5"/>
  <c r="BG135" i="5"/>
  <c r="BH135" i="5"/>
  <c r="BI135" i="5"/>
  <c r="BJ135" i="5"/>
  <c r="BK135" i="5"/>
  <c r="BL135" i="5"/>
  <c r="BM135" i="5"/>
  <c r="BN135" i="5"/>
  <c r="BO135" i="5"/>
  <c r="BP135" i="5"/>
  <c r="BQ135" i="5"/>
  <c r="BR135" i="5"/>
  <c r="BS135" i="5"/>
  <c r="BT135" i="5"/>
  <c r="BU135" i="5"/>
  <c r="BV135" i="5"/>
  <c r="BW135" i="5"/>
  <c r="BX135" i="5"/>
  <c r="BY135" i="5"/>
  <c r="BZ135" i="5"/>
  <c r="CA135" i="5"/>
  <c r="CB135" i="5"/>
  <c r="CC135" i="5"/>
  <c r="CD135" i="5"/>
  <c r="CE135" i="5"/>
  <c r="CF135" i="5"/>
  <c r="CG135" i="5"/>
  <c r="F136" i="5"/>
  <c r="G136" i="5"/>
  <c r="H136" i="5"/>
  <c r="I136" i="5"/>
  <c r="J136" i="5"/>
  <c r="K136" i="5"/>
  <c r="L136" i="5"/>
  <c r="M136" i="5"/>
  <c r="N136" i="5"/>
  <c r="O136" i="5"/>
  <c r="P136" i="5"/>
  <c r="Q136" i="5"/>
  <c r="R136" i="5"/>
  <c r="S136" i="5"/>
  <c r="T136" i="5"/>
  <c r="U136" i="5"/>
  <c r="V136" i="5"/>
  <c r="W136" i="5"/>
  <c r="X136" i="5"/>
  <c r="Y136" i="5"/>
  <c r="Z136" i="5"/>
  <c r="AA136" i="5"/>
  <c r="AB136" i="5"/>
  <c r="AC136" i="5"/>
  <c r="AD136" i="5"/>
  <c r="AE136" i="5"/>
  <c r="AF136" i="5"/>
  <c r="AG136" i="5"/>
  <c r="AH136" i="5"/>
  <c r="AI136" i="5"/>
  <c r="AJ136" i="5"/>
  <c r="AK136" i="5"/>
  <c r="AL136" i="5"/>
  <c r="AM136" i="5"/>
  <c r="AN136" i="5"/>
  <c r="AO136" i="5"/>
  <c r="AP136" i="5"/>
  <c r="AQ136" i="5"/>
  <c r="AR136" i="5"/>
  <c r="AS136" i="5"/>
  <c r="AT136" i="5"/>
  <c r="AU136" i="5"/>
  <c r="AV136" i="5"/>
  <c r="AW136" i="5"/>
  <c r="AX136" i="5"/>
  <c r="AY136" i="5"/>
  <c r="AZ136" i="5"/>
  <c r="BA136" i="5"/>
  <c r="BB136" i="5"/>
  <c r="BC136" i="5"/>
  <c r="BD136" i="5"/>
  <c r="BE136" i="5"/>
  <c r="BF136" i="5"/>
  <c r="BG136" i="5"/>
  <c r="BH136" i="5"/>
  <c r="BI136" i="5"/>
  <c r="BJ136" i="5"/>
  <c r="BK136" i="5"/>
  <c r="BL136" i="5"/>
  <c r="BM136" i="5"/>
  <c r="BN136" i="5"/>
  <c r="BO136" i="5"/>
  <c r="BP136" i="5"/>
  <c r="BQ136" i="5"/>
  <c r="BR136" i="5"/>
  <c r="BS136" i="5"/>
  <c r="BT136" i="5"/>
  <c r="BU136" i="5"/>
  <c r="BV136" i="5"/>
  <c r="BW136" i="5"/>
  <c r="BX136" i="5"/>
  <c r="BY136" i="5"/>
  <c r="BZ136" i="5"/>
  <c r="CA136" i="5"/>
  <c r="CB136" i="5"/>
  <c r="CC136" i="5"/>
  <c r="CD136" i="5"/>
  <c r="CE136" i="5"/>
  <c r="CF136" i="5"/>
  <c r="CG136" i="5"/>
  <c r="E136" i="5"/>
  <c r="E135" i="5"/>
  <c r="E132" i="5"/>
  <c r="E131" i="5"/>
  <c r="E130" i="5"/>
  <c r="G121" i="5"/>
  <c r="AF59" i="36" l="1"/>
  <c r="AF37" i="36" s="1"/>
  <c r="AA59" i="36"/>
  <c r="AA37" i="36" s="1"/>
  <c r="Y59" i="36"/>
  <c r="Y37" i="36" s="1"/>
  <c r="AO59" i="36"/>
  <c r="AO37" i="36" s="1"/>
  <c r="AD59" i="36"/>
  <c r="AD37" i="36" s="1"/>
  <c r="AG59" i="36"/>
  <c r="AG37" i="36" s="1"/>
  <c r="Z59" i="36"/>
  <c r="Z37" i="36" s="1"/>
  <c r="AM59" i="36"/>
  <c r="AM37" i="36" s="1"/>
  <c r="AP59" i="36"/>
  <c r="AP37" i="36" s="1"/>
  <c r="AL59" i="36"/>
  <c r="AL37" i="36" s="1"/>
  <c r="AJ59" i="36"/>
  <c r="AJ37" i="36" s="1"/>
  <c r="AE59" i="36"/>
  <c r="AE37" i="36" s="1"/>
  <c r="AI59" i="36"/>
  <c r="AI37" i="36" s="1"/>
  <c r="AC59" i="36"/>
  <c r="AC37" i="36" s="1"/>
  <c r="AK59" i="36"/>
  <c r="AK37" i="36" s="1"/>
  <c r="AN59" i="36"/>
  <c r="AN37" i="36" s="1"/>
  <c r="AB59" i="36"/>
  <c r="AB37" i="36" s="1"/>
  <c r="AK45" i="36"/>
  <c r="AJ45" i="36"/>
  <c r="AN45" i="36"/>
  <c r="Y45" i="36"/>
  <c r="X45" i="36"/>
  <c r="AB45" i="36"/>
  <c r="X47" i="36"/>
  <c r="AR47" i="36" s="1"/>
  <c r="Z45" i="36"/>
  <c r="AD45" i="36"/>
  <c r="AF45" i="36"/>
  <c r="AG45" i="36"/>
  <c r="AL45" i="36"/>
  <c r="AE45" i="36"/>
  <c r="AM45" i="36"/>
  <c r="AO45" i="36"/>
  <c r="AP45" i="36"/>
  <c r="AC45" i="36"/>
  <c r="AI45" i="36"/>
  <c r="AA45" i="36"/>
  <c r="AR45" i="36" l="1"/>
  <c r="AR59" i="36"/>
  <c r="X37" i="36"/>
  <c r="CF118" i="5" l="1"/>
  <c r="CF119" i="5"/>
  <c r="CF121" i="5"/>
  <c r="CF122" i="5"/>
  <c r="CF123" i="5"/>
  <c r="CF124" i="5"/>
  <c r="CF125" i="5"/>
  <c r="CF126" i="5"/>
  <c r="F123" i="5" l="1"/>
  <c r="G123" i="5"/>
  <c r="H123" i="5"/>
  <c r="I123" i="5"/>
  <c r="J123" i="5"/>
  <c r="K123" i="5"/>
  <c r="L123" i="5"/>
  <c r="M123" i="5"/>
  <c r="N123" i="5"/>
  <c r="O123" i="5"/>
  <c r="P123" i="5"/>
  <c r="Q123" i="5"/>
  <c r="R123" i="5"/>
  <c r="S123" i="5"/>
  <c r="T123" i="5"/>
  <c r="U123" i="5"/>
  <c r="V123" i="5"/>
  <c r="W123" i="5"/>
  <c r="X123" i="5"/>
  <c r="Y123" i="5"/>
  <c r="Z123" i="5"/>
  <c r="AA123" i="5"/>
  <c r="AB123" i="5"/>
  <c r="AC123" i="5"/>
  <c r="AD123" i="5"/>
  <c r="AE123" i="5"/>
  <c r="AF123" i="5"/>
  <c r="AG123" i="5"/>
  <c r="AH123" i="5"/>
  <c r="AI123" i="5"/>
  <c r="AJ123" i="5"/>
  <c r="AK123" i="5"/>
  <c r="AL123" i="5"/>
  <c r="AM123" i="5"/>
  <c r="AN123" i="5"/>
  <c r="AO123" i="5"/>
  <c r="AP123" i="5"/>
  <c r="AQ123" i="5"/>
  <c r="AR123" i="5"/>
  <c r="AS123" i="5"/>
  <c r="AT123" i="5"/>
  <c r="AU123" i="5"/>
  <c r="AV123" i="5"/>
  <c r="AW123" i="5"/>
  <c r="AX123" i="5"/>
  <c r="AY123" i="5"/>
  <c r="AZ123" i="5"/>
  <c r="BA123" i="5"/>
  <c r="BB123" i="5"/>
  <c r="BC123" i="5"/>
  <c r="BD123" i="5"/>
  <c r="BE123" i="5"/>
  <c r="BF123" i="5"/>
  <c r="BG123" i="5"/>
  <c r="BH123" i="5"/>
  <c r="BI123" i="5"/>
  <c r="BJ123" i="5"/>
  <c r="BK123" i="5"/>
  <c r="BL123" i="5"/>
  <c r="BM123" i="5"/>
  <c r="BN123" i="5"/>
  <c r="BO123" i="5"/>
  <c r="BP123" i="5"/>
  <c r="BQ123" i="5"/>
  <c r="BR123" i="5"/>
  <c r="BS123" i="5"/>
  <c r="BT123" i="5"/>
  <c r="BU123" i="5"/>
  <c r="BV123" i="5"/>
  <c r="BW123" i="5"/>
  <c r="BX123" i="5"/>
  <c r="BY123" i="5"/>
  <c r="BZ123" i="5"/>
  <c r="CA123" i="5"/>
  <c r="CB123" i="5"/>
  <c r="CC123" i="5"/>
  <c r="CD123" i="5"/>
  <c r="CE123" i="5"/>
  <c r="CG123" i="5"/>
  <c r="F124" i="5"/>
  <c r="G124" i="5"/>
  <c r="H124" i="5"/>
  <c r="I124" i="5"/>
  <c r="J124" i="5"/>
  <c r="K124" i="5"/>
  <c r="L124" i="5"/>
  <c r="M124" i="5"/>
  <c r="N124" i="5"/>
  <c r="O124" i="5"/>
  <c r="P124" i="5"/>
  <c r="Q124" i="5"/>
  <c r="R124" i="5"/>
  <c r="S124" i="5"/>
  <c r="T124" i="5"/>
  <c r="U124" i="5"/>
  <c r="V124" i="5"/>
  <c r="W124" i="5"/>
  <c r="X124" i="5"/>
  <c r="Y124" i="5"/>
  <c r="Z124" i="5"/>
  <c r="AA124" i="5"/>
  <c r="AB124" i="5"/>
  <c r="AC124" i="5"/>
  <c r="AD124" i="5"/>
  <c r="AE124" i="5"/>
  <c r="AF124" i="5"/>
  <c r="AG124" i="5"/>
  <c r="AH124" i="5"/>
  <c r="AI124" i="5"/>
  <c r="AJ124" i="5"/>
  <c r="AK124" i="5"/>
  <c r="AL124" i="5"/>
  <c r="AM124" i="5"/>
  <c r="AN124" i="5"/>
  <c r="AO124" i="5"/>
  <c r="AP124" i="5"/>
  <c r="AQ124" i="5"/>
  <c r="AR124" i="5"/>
  <c r="AS124" i="5"/>
  <c r="AT124" i="5"/>
  <c r="AU124" i="5"/>
  <c r="AV124" i="5"/>
  <c r="AW124" i="5"/>
  <c r="AX124" i="5"/>
  <c r="AY124" i="5"/>
  <c r="AZ124" i="5"/>
  <c r="BA124" i="5"/>
  <c r="BB124" i="5"/>
  <c r="BC124" i="5"/>
  <c r="BD124" i="5"/>
  <c r="BE124" i="5"/>
  <c r="BF124" i="5"/>
  <c r="BG124" i="5"/>
  <c r="BH124" i="5"/>
  <c r="BI124" i="5"/>
  <c r="BJ124" i="5"/>
  <c r="BK124" i="5"/>
  <c r="BL124" i="5"/>
  <c r="BM124" i="5"/>
  <c r="BN124" i="5"/>
  <c r="BO124" i="5"/>
  <c r="BP124" i="5"/>
  <c r="BQ124" i="5"/>
  <c r="BR124" i="5"/>
  <c r="BS124" i="5"/>
  <c r="BT124" i="5"/>
  <c r="BU124" i="5"/>
  <c r="BV124" i="5"/>
  <c r="BW124" i="5"/>
  <c r="BX124" i="5"/>
  <c r="BY124" i="5"/>
  <c r="BZ124" i="5"/>
  <c r="CA124" i="5"/>
  <c r="CB124" i="5"/>
  <c r="CC124" i="5"/>
  <c r="CD124" i="5"/>
  <c r="CE124" i="5"/>
  <c r="CG124" i="5"/>
  <c r="F125" i="5"/>
  <c r="G125" i="5"/>
  <c r="H125" i="5"/>
  <c r="I125" i="5"/>
  <c r="J125" i="5"/>
  <c r="K125" i="5"/>
  <c r="L125" i="5"/>
  <c r="M125" i="5"/>
  <c r="N125" i="5"/>
  <c r="O125" i="5"/>
  <c r="P125" i="5"/>
  <c r="Q125" i="5"/>
  <c r="R125" i="5"/>
  <c r="S125" i="5"/>
  <c r="T125" i="5"/>
  <c r="U125" i="5"/>
  <c r="V125" i="5"/>
  <c r="W125" i="5"/>
  <c r="X125" i="5"/>
  <c r="Y125" i="5"/>
  <c r="Z125" i="5"/>
  <c r="AA125" i="5"/>
  <c r="AB125" i="5"/>
  <c r="AC125" i="5"/>
  <c r="AD125" i="5"/>
  <c r="AE125" i="5"/>
  <c r="AF125" i="5"/>
  <c r="AG125" i="5"/>
  <c r="AH125" i="5"/>
  <c r="AI125" i="5"/>
  <c r="AJ125" i="5"/>
  <c r="AK125" i="5"/>
  <c r="AL125" i="5"/>
  <c r="AM125" i="5"/>
  <c r="AN125" i="5"/>
  <c r="AO125" i="5"/>
  <c r="AP125" i="5"/>
  <c r="AQ125" i="5"/>
  <c r="AR125" i="5"/>
  <c r="AS125" i="5"/>
  <c r="AT125" i="5"/>
  <c r="AU125" i="5"/>
  <c r="AV125" i="5"/>
  <c r="AW125" i="5"/>
  <c r="AX125" i="5"/>
  <c r="AY125" i="5"/>
  <c r="AZ125" i="5"/>
  <c r="BA125" i="5"/>
  <c r="BB125" i="5"/>
  <c r="BC125" i="5"/>
  <c r="BD125" i="5"/>
  <c r="BE125" i="5"/>
  <c r="BF125" i="5"/>
  <c r="BG125" i="5"/>
  <c r="BH125" i="5"/>
  <c r="BI125" i="5"/>
  <c r="BJ125" i="5"/>
  <c r="BK125" i="5"/>
  <c r="BL125" i="5"/>
  <c r="BM125" i="5"/>
  <c r="BN125" i="5"/>
  <c r="BO125" i="5"/>
  <c r="BP125" i="5"/>
  <c r="BQ125" i="5"/>
  <c r="BR125" i="5"/>
  <c r="BS125" i="5"/>
  <c r="BT125" i="5"/>
  <c r="BU125" i="5"/>
  <c r="BV125" i="5"/>
  <c r="BW125" i="5"/>
  <c r="BX125" i="5"/>
  <c r="BY125" i="5"/>
  <c r="BZ125" i="5"/>
  <c r="CA125" i="5"/>
  <c r="CB125" i="5"/>
  <c r="CC125" i="5"/>
  <c r="CD125" i="5"/>
  <c r="CE125" i="5"/>
  <c r="CG125" i="5"/>
  <c r="E125" i="5"/>
  <c r="F126" i="5"/>
  <c r="G126" i="5"/>
  <c r="H126" i="5"/>
  <c r="I126" i="5"/>
  <c r="J126" i="5"/>
  <c r="K126" i="5"/>
  <c r="L126" i="5"/>
  <c r="M126" i="5"/>
  <c r="N126" i="5"/>
  <c r="O126" i="5"/>
  <c r="P126" i="5"/>
  <c r="Q126" i="5"/>
  <c r="R126" i="5"/>
  <c r="S126" i="5"/>
  <c r="T126" i="5"/>
  <c r="U126" i="5"/>
  <c r="V126" i="5"/>
  <c r="W126" i="5"/>
  <c r="X126" i="5"/>
  <c r="Y126" i="5"/>
  <c r="Z126" i="5"/>
  <c r="AA126" i="5"/>
  <c r="AB126" i="5"/>
  <c r="AC126" i="5"/>
  <c r="AD126" i="5"/>
  <c r="AE126" i="5"/>
  <c r="AF126" i="5"/>
  <c r="AG126" i="5"/>
  <c r="AH126" i="5"/>
  <c r="AI126" i="5"/>
  <c r="AJ126" i="5"/>
  <c r="AK126" i="5"/>
  <c r="AL126" i="5"/>
  <c r="AM126" i="5"/>
  <c r="AN126" i="5"/>
  <c r="AO126" i="5"/>
  <c r="AP126" i="5"/>
  <c r="AQ126" i="5"/>
  <c r="AR126" i="5"/>
  <c r="AS126" i="5"/>
  <c r="AT126" i="5"/>
  <c r="AU126" i="5"/>
  <c r="AV126" i="5"/>
  <c r="AW126" i="5"/>
  <c r="AX126" i="5"/>
  <c r="AY126" i="5"/>
  <c r="AZ126" i="5"/>
  <c r="BA126" i="5"/>
  <c r="BB126" i="5"/>
  <c r="BC126" i="5"/>
  <c r="BD126" i="5"/>
  <c r="BE126" i="5"/>
  <c r="BF126" i="5"/>
  <c r="BG126" i="5"/>
  <c r="BH126" i="5"/>
  <c r="BI126" i="5"/>
  <c r="BJ126" i="5"/>
  <c r="BK126" i="5"/>
  <c r="BL126" i="5"/>
  <c r="BM126" i="5"/>
  <c r="BN126" i="5"/>
  <c r="BO126" i="5"/>
  <c r="BP126" i="5"/>
  <c r="BQ126" i="5"/>
  <c r="BR126" i="5"/>
  <c r="BS126" i="5"/>
  <c r="BT126" i="5"/>
  <c r="BU126" i="5"/>
  <c r="BV126" i="5"/>
  <c r="BW126" i="5"/>
  <c r="BX126" i="5"/>
  <c r="BY126" i="5"/>
  <c r="BZ126" i="5"/>
  <c r="CA126" i="5"/>
  <c r="CB126" i="5"/>
  <c r="CC126" i="5"/>
  <c r="CD126" i="5"/>
  <c r="CE126" i="5"/>
  <c r="CG126" i="5"/>
  <c r="E126" i="5"/>
  <c r="E124" i="5"/>
  <c r="E121" i="5"/>
  <c r="BO121" i="5"/>
  <c r="N121" i="5"/>
  <c r="BO118" i="5"/>
  <c r="AL118" i="5"/>
  <c r="F121" i="5"/>
  <c r="H121" i="5"/>
  <c r="I121" i="5"/>
  <c r="J121" i="5"/>
  <c r="L121" i="5"/>
  <c r="M121" i="5"/>
  <c r="P121" i="5"/>
  <c r="Q121" i="5"/>
  <c r="R121" i="5"/>
  <c r="S121" i="5"/>
  <c r="T121" i="5"/>
  <c r="U121" i="5"/>
  <c r="V121" i="5"/>
  <c r="W121" i="5"/>
  <c r="X121" i="5"/>
  <c r="Y121" i="5"/>
  <c r="AA121" i="5"/>
  <c r="AB121" i="5"/>
  <c r="AC121" i="5"/>
  <c r="AD121" i="5"/>
  <c r="AE121" i="5"/>
  <c r="AF121" i="5"/>
  <c r="AG121" i="5"/>
  <c r="AH121" i="5"/>
  <c r="AI121" i="5"/>
  <c r="AJ121" i="5"/>
  <c r="AK121" i="5"/>
  <c r="AL121" i="5"/>
  <c r="AM121" i="5"/>
  <c r="AN121" i="5"/>
  <c r="AO121" i="5"/>
  <c r="AP121" i="5"/>
  <c r="AQ121" i="5"/>
  <c r="AR121" i="5"/>
  <c r="AS121" i="5"/>
  <c r="AT121" i="5"/>
  <c r="AU121" i="5"/>
  <c r="AV121" i="5"/>
  <c r="AW121" i="5"/>
  <c r="AX121" i="5"/>
  <c r="AY121" i="5"/>
  <c r="AZ121" i="5"/>
  <c r="BA121" i="5"/>
  <c r="BB121" i="5"/>
  <c r="BC121" i="5"/>
  <c r="BD121" i="5"/>
  <c r="BE121" i="5"/>
  <c r="BF121" i="5"/>
  <c r="BH121" i="5"/>
  <c r="BI121" i="5"/>
  <c r="BJ121" i="5"/>
  <c r="BK121" i="5"/>
  <c r="BL121" i="5"/>
  <c r="BM121" i="5"/>
  <c r="BN121" i="5"/>
  <c r="BP121" i="5"/>
  <c r="BQ121" i="5"/>
  <c r="BR121" i="5"/>
  <c r="BS121" i="5"/>
  <c r="BT121" i="5"/>
  <c r="BU121" i="5"/>
  <c r="BV121" i="5"/>
  <c r="BW121" i="5"/>
  <c r="BX121" i="5"/>
  <c r="BY121" i="5"/>
  <c r="BZ121" i="5"/>
  <c r="CA121" i="5"/>
  <c r="CB121" i="5"/>
  <c r="CC121" i="5"/>
  <c r="CD121" i="5"/>
  <c r="CE121" i="5"/>
  <c r="CG121" i="5"/>
  <c r="F122" i="5"/>
  <c r="G122" i="5"/>
  <c r="H122" i="5"/>
  <c r="I122" i="5"/>
  <c r="J122" i="5"/>
  <c r="K122" i="5"/>
  <c r="L122" i="5"/>
  <c r="M122" i="5"/>
  <c r="N122" i="5"/>
  <c r="O122" i="5"/>
  <c r="P122" i="5"/>
  <c r="Q122" i="5"/>
  <c r="R122" i="5"/>
  <c r="S122" i="5"/>
  <c r="T122" i="5"/>
  <c r="U122" i="5"/>
  <c r="V122" i="5"/>
  <c r="W122" i="5"/>
  <c r="X122" i="5"/>
  <c r="Y122" i="5"/>
  <c r="Z122" i="5"/>
  <c r="AA122" i="5"/>
  <c r="AB122" i="5"/>
  <c r="AC122" i="5"/>
  <c r="AD122" i="5"/>
  <c r="AE122" i="5"/>
  <c r="AF122" i="5"/>
  <c r="AG122" i="5"/>
  <c r="AH122" i="5"/>
  <c r="AI122" i="5"/>
  <c r="AJ122" i="5"/>
  <c r="AK122" i="5"/>
  <c r="AL122" i="5"/>
  <c r="AM122" i="5"/>
  <c r="AN122" i="5"/>
  <c r="AO122" i="5"/>
  <c r="AP122" i="5"/>
  <c r="AQ122" i="5"/>
  <c r="AR122" i="5"/>
  <c r="AS122" i="5"/>
  <c r="AT122" i="5"/>
  <c r="AU122" i="5"/>
  <c r="AV122" i="5"/>
  <c r="AW122" i="5"/>
  <c r="AX122" i="5"/>
  <c r="AY122" i="5"/>
  <c r="AZ122" i="5"/>
  <c r="BA122" i="5"/>
  <c r="BB122" i="5"/>
  <c r="BC122" i="5"/>
  <c r="BD122" i="5"/>
  <c r="BE122" i="5"/>
  <c r="BF122" i="5"/>
  <c r="BG122" i="5"/>
  <c r="BH122" i="5"/>
  <c r="BI122" i="5"/>
  <c r="BJ122" i="5"/>
  <c r="BK122" i="5"/>
  <c r="BL122" i="5"/>
  <c r="BM122" i="5"/>
  <c r="BN122" i="5"/>
  <c r="BO122" i="5"/>
  <c r="BP122" i="5"/>
  <c r="BQ122" i="5"/>
  <c r="BR122" i="5"/>
  <c r="BS122" i="5"/>
  <c r="BT122" i="5"/>
  <c r="BU122" i="5"/>
  <c r="BV122" i="5"/>
  <c r="BW122" i="5"/>
  <c r="BX122" i="5"/>
  <c r="BY122" i="5"/>
  <c r="BZ122" i="5"/>
  <c r="CA122" i="5"/>
  <c r="CB122" i="5"/>
  <c r="CC122" i="5"/>
  <c r="CD122" i="5"/>
  <c r="CE122" i="5"/>
  <c r="CG122" i="5"/>
  <c r="E122" i="5"/>
  <c r="E119" i="5" l="1"/>
  <c r="AX118" i="5"/>
  <c r="AC118" i="5" l="1"/>
  <c r="Y118" i="5"/>
  <c r="F119" i="5"/>
  <c r="G119" i="5"/>
  <c r="H119" i="5"/>
  <c r="I119" i="5"/>
  <c r="J119" i="5"/>
  <c r="K119" i="5"/>
  <c r="L119" i="5"/>
  <c r="M119" i="5"/>
  <c r="N119" i="5"/>
  <c r="O119" i="5"/>
  <c r="P119" i="5"/>
  <c r="Q119" i="5"/>
  <c r="R119" i="5"/>
  <c r="S119" i="5"/>
  <c r="T119" i="5"/>
  <c r="U119" i="5"/>
  <c r="V119" i="5"/>
  <c r="W119" i="5"/>
  <c r="X119" i="5"/>
  <c r="Y119" i="5"/>
  <c r="Z119" i="5"/>
  <c r="AA119" i="5"/>
  <c r="AB119" i="5"/>
  <c r="AC119" i="5"/>
  <c r="AD119" i="5"/>
  <c r="AE119" i="5"/>
  <c r="AF119" i="5"/>
  <c r="AG119" i="5"/>
  <c r="AH119" i="5"/>
  <c r="AI119" i="5"/>
  <c r="AJ119" i="5"/>
  <c r="AK119" i="5"/>
  <c r="AL119" i="5"/>
  <c r="AM119" i="5"/>
  <c r="AN119" i="5"/>
  <c r="AO119" i="5"/>
  <c r="AP119" i="5"/>
  <c r="AQ119" i="5"/>
  <c r="AR119" i="5"/>
  <c r="AS119" i="5"/>
  <c r="AT119" i="5"/>
  <c r="AU119" i="5"/>
  <c r="AV119" i="5"/>
  <c r="AW119" i="5"/>
  <c r="AX119" i="5"/>
  <c r="AY119" i="5"/>
  <c r="AZ119" i="5"/>
  <c r="BA119" i="5"/>
  <c r="BB119" i="5"/>
  <c r="BC119" i="5"/>
  <c r="BD119" i="5"/>
  <c r="BE119" i="5"/>
  <c r="BF119" i="5"/>
  <c r="BG119" i="5"/>
  <c r="BH119" i="5"/>
  <c r="BI119" i="5"/>
  <c r="BJ119" i="5"/>
  <c r="BK119" i="5"/>
  <c r="BL119" i="5"/>
  <c r="BM119" i="5"/>
  <c r="BN119" i="5"/>
  <c r="BO119" i="5"/>
  <c r="BP119" i="5"/>
  <c r="BQ119" i="5"/>
  <c r="BR119" i="5"/>
  <c r="BS119" i="5"/>
  <c r="BT119" i="5"/>
  <c r="BU119" i="5"/>
  <c r="BV119" i="5"/>
  <c r="BW119" i="5"/>
  <c r="BX119" i="5"/>
  <c r="BY119" i="5"/>
  <c r="BZ119" i="5"/>
  <c r="CA119" i="5"/>
  <c r="CB119" i="5"/>
  <c r="CC119" i="5"/>
  <c r="CD119" i="5"/>
  <c r="CE119" i="5"/>
  <c r="CG119" i="5"/>
  <c r="F118" i="5"/>
  <c r="G118" i="5"/>
  <c r="H118" i="5"/>
  <c r="I118" i="5"/>
  <c r="J118" i="5"/>
  <c r="K118" i="5"/>
  <c r="L118" i="5"/>
  <c r="M118" i="5"/>
  <c r="N118" i="5"/>
  <c r="O118" i="5"/>
  <c r="P118" i="5"/>
  <c r="Q118" i="5"/>
  <c r="R118" i="5"/>
  <c r="S118" i="5"/>
  <c r="T118" i="5"/>
  <c r="U118" i="5"/>
  <c r="W118" i="5"/>
  <c r="X118" i="5"/>
  <c r="AE118" i="5"/>
  <c r="AF118" i="5"/>
  <c r="AG118" i="5"/>
  <c r="AH118" i="5"/>
  <c r="AI118" i="5"/>
  <c r="AJ118" i="5"/>
  <c r="AK118" i="5"/>
  <c r="AM118" i="5"/>
  <c r="AN118" i="5"/>
  <c r="AO118" i="5"/>
  <c r="AP118" i="5"/>
  <c r="AQ118" i="5"/>
  <c r="AR118" i="5"/>
  <c r="AS118" i="5"/>
  <c r="AT118" i="5"/>
  <c r="AU118" i="5"/>
  <c r="AV118" i="5"/>
  <c r="AW118" i="5"/>
  <c r="AY118" i="5"/>
  <c r="AZ118" i="5"/>
  <c r="BA118" i="5"/>
  <c r="BB118" i="5"/>
  <c r="BC118" i="5"/>
  <c r="BD118" i="5"/>
  <c r="BE118" i="5"/>
  <c r="BF118" i="5"/>
  <c r="BG118" i="5"/>
  <c r="BI118" i="5"/>
  <c r="BJ118" i="5"/>
  <c r="BK118" i="5"/>
  <c r="BL118" i="5"/>
  <c r="BM118" i="5"/>
  <c r="BN118" i="5"/>
  <c r="BP118" i="5"/>
  <c r="BQ118" i="5"/>
  <c r="BR118" i="5"/>
  <c r="BS118" i="5"/>
  <c r="BT118" i="5"/>
  <c r="BU118" i="5"/>
  <c r="BV118" i="5"/>
  <c r="BW118" i="5"/>
  <c r="BX118" i="5"/>
  <c r="BY118" i="5"/>
  <c r="BZ118" i="5"/>
  <c r="CA118" i="5"/>
  <c r="CB118" i="5"/>
  <c r="CC118" i="5"/>
  <c r="CD118" i="5"/>
  <c r="CE118" i="5"/>
  <c r="CG118" i="5"/>
  <c r="AD118" i="5"/>
  <c r="V29" i="23" l="1"/>
  <c r="W29" i="23"/>
  <c r="Y29" i="23" l="1"/>
  <c r="Y44" i="23"/>
  <c r="F3" i="23"/>
  <c r="F4" i="23"/>
  <c r="M10" i="21"/>
  <c r="J11" i="21"/>
  <c r="J5" i="21"/>
  <c r="V44" i="23"/>
  <c r="W44" i="23"/>
  <c r="X44" i="23"/>
  <c r="U44" i="23"/>
  <c r="T44" i="23"/>
  <c r="F38" i="23"/>
  <c r="F29" i="23"/>
  <c r="F27" i="23"/>
  <c r="F23" i="23"/>
  <c r="F19" i="23"/>
  <c r="P18" i="21" l="1"/>
  <c r="J26" i="21"/>
  <c r="P11" i="21" s="1"/>
  <c r="R9" i="21"/>
  <c r="R10" i="21"/>
  <c r="M26" i="21"/>
  <c r="R11" i="21" s="1"/>
  <c r="P26" i="21"/>
  <c r="P25" i="21"/>
  <c r="R26" i="21"/>
  <c r="R25" i="21"/>
  <c r="S29" i="23"/>
  <c r="S33" i="23"/>
  <c r="S34" i="23"/>
  <c r="S30" i="23"/>
  <c r="S49" i="23"/>
  <c r="S48" i="23"/>
  <c r="S44" i="23"/>
  <c r="S45" i="23"/>
  <c r="T45" i="23"/>
  <c r="U45" i="23"/>
  <c r="V45" i="23"/>
  <c r="W45" i="23"/>
  <c r="X45" i="23"/>
  <c r="Y45" i="23"/>
  <c r="T29" i="23"/>
  <c r="X29" i="23"/>
  <c r="T30" i="23"/>
  <c r="U30" i="23"/>
  <c r="V30" i="23"/>
  <c r="W30" i="23"/>
  <c r="X30" i="23"/>
  <c r="Y30" i="23"/>
  <c r="R30" i="23"/>
  <c r="Y9" i="23"/>
  <c r="X8" i="23"/>
  <c r="X9" i="23"/>
  <c r="T8" i="23"/>
  <c r="U8" i="23"/>
  <c r="W8" i="23"/>
  <c r="S9" i="23"/>
  <c r="T9" i="23"/>
  <c r="U9" i="23"/>
  <c r="V9" i="23"/>
  <c r="W9" i="23"/>
  <c r="R9" i="23"/>
  <c r="O6" i="21"/>
  <c r="Q6" i="21"/>
  <c r="P6" i="21"/>
  <c r="P20" i="21" l="1"/>
  <c r="R6" i="21"/>
  <c r="CM114" i="2" l="1"/>
  <c r="CM113" i="2"/>
  <c r="C5406" i="1" l="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05"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827"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498"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15"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170" i="1"/>
  <c r="R44" i="23"/>
  <c r="R45"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H2" authorId="0" shapeId="0" xr:uid="{B359778B-2A77-4739-ADD2-8C7C7BD8BEBA}">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I2" authorId="0" shapeId="0" xr:uid="{CB0C9D84-082D-4121-BFEF-060C7AFDF59E}">
      <text>
        <r>
          <rPr>
            <b/>
            <sz val="9"/>
            <color indexed="81"/>
            <rFont val="Tahoma"/>
            <family val="2"/>
          </rPr>
          <t>Shulamit Nussboim:</t>
        </r>
        <r>
          <rPr>
            <sz val="9"/>
            <color indexed="81"/>
            <rFont val="Tahoma"/>
            <family val="2"/>
          </rPr>
          <t xml:space="preserve">
Ratio has a similar trend to atrazine 
desethyl</t>
        </r>
      </text>
    </comment>
    <comment ref="H4" authorId="0" shapeId="0" xr:uid="{00000000-0006-0000-0400-00000100000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I4" authorId="0" shapeId="0" xr:uid="{00000000-0006-0000-0400-000002000000}">
      <text>
        <r>
          <rPr>
            <b/>
            <sz val="9"/>
            <color indexed="81"/>
            <rFont val="Tahoma"/>
            <family val="2"/>
          </rPr>
          <t>Shulamit Nussboim:</t>
        </r>
        <r>
          <rPr>
            <sz val="9"/>
            <color indexed="81"/>
            <rFont val="Tahoma"/>
            <family val="2"/>
          </rPr>
          <t xml:space="preserve">
Ratio has a similar trend to atrazine 
desethyl</t>
        </r>
      </text>
    </comment>
    <comment ref="CN7" authorId="0" shapeId="0" xr:uid="{382D04B6-98FA-4D19-BF9F-927DDF1060EE}">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CN8" authorId="0" shapeId="0" xr:uid="{35C36BDE-9B8E-4B10-84AC-935A20C14DD2}">
      <text>
        <r>
          <rPr>
            <b/>
            <sz val="9"/>
            <color indexed="81"/>
            <rFont val="Tahoma"/>
            <family val="2"/>
          </rPr>
          <t>Shulamit Nussboim:</t>
        </r>
        <r>
          <rPr>
            <sz val="9"/>
            <color indexed="81"/>
            <rFont val="Tahoma"/>
            <family val="2"/>
          </rPr>
          <t xml:space="preserve">
Ratio has a similar trend to atrazine 
desethyl</t>
        </r>
      </text>
    </comment>
    <comment ref="F139" authorId="0" shapeId="0" xr:uid="{EF5D16DB-836F-4A06-B39E-40E4AAC6868E}">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H149" authorId="0" shapeId="0" xr:uid="{F79D2BCB-E08C-4FE2-B56B-17A0EB998686}">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I149" authorId="0" shapeId="0" xr:uid="{2E4813A2-FD79-4932-B6D3-BE32587012A3}">
      <text>
        <r>
          <rPr>
            <b/>
            <sz val="9"/>
            <color indexed="81"/>
            <rFont val="Tahoma"/>
            <family val="2"/>
          </rPr>
          <t>Shulamit Nussboim:</t>
        </r>
        <r>
          <rPr>
            <sz val="9"/>
            <color indexed="81"/>
            <rFont val="Tahoma"/>
            <family val="2"/>
          </rPr>
          <t xml:space="preserve">
Ratio has a similar trend to atrazine 
desethyl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AG9" authorId="0" shapeId="0" xr:uid="{00000000-0006-0000-0100-000001000000}">
      <text>
        <r>
          <rPr>
            <b/>
            <sz val="9"/>
            <color indexed="81"/>
            <rFont val="Tahoma"/>
            <family val="2"/>
          </rPr>
          <t>Shulamit Nussboim:</t>
        </r>
        <r>
          <rPr>
            <sz val="9"/>
            <color indexed="81"/>
            <rFont val="Tahoma"/>
            <family val="2"/>
          </rPr>
          <t xml:space="preserve">
החומר יום בדה בתאריך 30.12.2022 כשבועיים וחצי לפני אירוע הגשם. מיד לאחר היישום היו שלשה-ארבעה ימים בהם לא יר יותר מ-1מ"מ ביום אחר כך היה יבש עד לאירוע של ה-16.1.2022
</t>
        </r>
      </text>
    </comment>
    <comment ref="AL9" authorId="0" shapeId="0" xr:uid="{00000000-0006-0000-0100-000002000000}">
      <text>
        <r>
          <rPr>
            <b/>
            <sz val="9"/>
            <color indexed="81"/>
            <rFont val="Tahoma"/>
            <family val="2"/>
          </rPr>
          <t>Shulamit Nussboim:</t>
        </r>
        <r>
          <rPr>
            <sz val="9"/>
            <color indexed="81"/>
            <rFont val="Tahoma"/>
            <family val="2"/>
          </rPr>
          <t xml:space="preserve">
ריכוזים גבוהים בשדה ונמוכים בשולי הדה בשל חלחול ודילול מהגשם. הריכוזים שוב עולים בתעלותאליהן מתנקז הגר התת קרקעי, לאחר שהנגר התת קרקעי יוצא אל התעלה הראשית אחרי שמנקז ושוטף עוד חומר מאזור שסמוך לפני הקרקע מתחתיה
לכן, הריכוזים בקצה השדה (EF4, EF6) נמוכים יותר</t>
        </r>
      </text>
    </comment>
    <comment ref="AG12" authorId="0" shapeId="0" xr:uid="{00000000-0006-0000-0100-000003000000}">
      <text>
        <r>
          <rPr>
            <b/>
            <sz val="9"/>
            <color indexed="81"/>
            <rFont val="Tahoma"/>
            <family val="2"/>
          </rPr>
          <t>Shulamit Nussboim:</t>
        </r>
        <r>
          <rPr>
            <sz val="9"/>
            <color indexed="81"/>
            <rFont val="Tahoma"/>
            <family val="2"/>
          </rPr>
          <t xml:space="preserve">
ריכוזים גבוהים בתעלות הניקוז.יתכןשחלק מהמים מחלחליםוהחומר נשאר סמוך לגרגרי הקרקע.</t>
        </r>
      </text>
    </comment>
    <comment ref="AE17" authorId="0" shapeId="0" xr:uid="{00000000-0006-0000-0100-000004000000}">
      <text>
        <r>
          <rPr>
            <b/>
            <sz val="9"/>
            <color indexed="81"/>
            <rFont val="Tahoma"/>
            <family val="2"/>
          </rPr>
          <t>Shulamit Nussboim:</t>
        </r>
        <r>
          <rPr>
            <sz val="9"/>
            <color indexed="81"/>
            <rFont val="Tahoma"/>
            <family val="2"/>
          </rPr>
          <t xml:space="preserve">
החומר פוזר בתאריך 10.1.2022 בחלקת הבצל (6 ימים לפני הדיגום (
</t>
        </r>
      </text>
    </comment>
    <comment ref="I21" authorId="0" shapeId="0" xr:uid="{00000000-0006-0000-0100-00000500000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J21" authorId="0" shapeId="0" xr:uid="{00000000-0006-0000-0100-000006000000}">
      <text>
        <r>
          <rPr>
            <b/>
            <sz val="9"/>
            <color indexed="81"/>
            <rFont val="Tahoma"/>
            <family val="2"/>
          </rPr>
          <t>Shulamit Nussboim:</t>
        </r>
        <r>
          <rPr>
            <sz val="9"/>
            <color indexed="81"/>
            <rFont val="Tahoma"/>
            <family val="2"/>
          </rPr>
          <t xml:space="preserve">
Ratio has a similar trend to atrazine 
desethyl</t>
        </r>
      </text>
    </comment>
    <comment ref="K31" authorId="0" shapeId="0" xr:uid="{00000000-0006-0000-0100-000007000000}">
      <text>
        <r>
          <rPr>
            <b/>
            <sz val="9"/>
            <color indexed="81"/>
            <rFont val="Tahoma"/>
            <family val="2"/>
          </rPr>
          <t>Shulamit Nussboim:</t>
        </r>
        <r>
          <rPr>
            <sz val="9"/>
            <color indexed="81"/>
            <rFont val="Tahoma"/>
            <family val="2"/>
          </rPr>
          <t xml:space="preserve">
כנראה איסוף המים היה בשיא הכמוגרף בנתיב זרימה זה. לכן בצנצנת הסמוכה, 2EF6, שהיו בה מים גם מזמן קודם, התקבלו ריכוזים נמוכים</t>
        </r>
      </text>
    </comment>
    <comment ref="K42" authorId="0" shapeId="0" xr:uid="{00000000-0006-0000-0100-000008000000}">
      <text>
        <r>
          <rPr>
            <b/>
            <sz val="9"/>
            <color indexed="81"/>
            <rFont val="Tahoma"/>
            <family val="2"/>
          </rPr>
          <t>Shulamit Nussboim:</t>
        </r>
        <r>
          <rPr>
            <sz val="9"/>
            <color indexed="81"/>
            <rFont val="Tahoma"/>
            <family val="2"/>
          </rPr>
          <t xml:space="preserve">
האיסוף כאן בדומה לצנצנות סמוכות נעשה בזמן יחיד ולכן לא נמהל עם ריכוזים קודמים
</t>
        </r>
      </text>
    </comment>
    <comment ref="AE42" authorId="0" shapeId="0" xr:uid="{00000000-0006-0000-0100-000009000000}">
      <text>
        <r>
          <rPr>
            <b/>
            <sz val="9"/>
            <color indexed="81"/>
            <rFont val="Tahoma"/>
            <family val="2"/>
          </rPr>
          <t>Shulamit Nussboim:</t>
        </r>
        <r>
          <rPr>
            <sz val="9"/>
            <color indexed="81"/>
            <rFont val="Tahoma"/>
            <family val="2"/>
          </rPr>
          <t xml:space="preserve">
תעלה זו מנקזת את כל השדה וכמה תעלות משדה הבצל מתנקזות אליה</t>
        </r>
      </text>
    </comment>
    <comment ref="I43" authorId="0" shapeId="0" xr:uid="{00000000-0006-0000-0100-00000A00000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J43" authorId="0" shapeId="0" xr:uid="{00000000-0006-0000-0100-00000B000000}">
      <text>
        <r>
          <rPr>
            <b/>
            <sz val="9"/>
            <color indexed="81"/>
            <rFont val="Tahoma"/>
            <family val="2"/>
          </rPr>
          <t>Shulamit Nussboim:</t>
        </r>
        <r>
          <rPr>
            <sz val="9"/>
            <color indexed="81"/>
            <rFont val="Tahoma"/>
            <family val="2"/>
          </rPr>
          <t xml:space="preserve">
Ratio has a similar trend to atrazine 
desethyl</t>
        </r>
      </text>
    </comment>
    <comment ref="I70" authorId="0" shapeId="0" xr:uid="{00000000-0006-0000-0100-00000C00000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J70" authorId="0" shapeId="0" xr:uid="{00000000-0006-0000-0100-00000D000000}">
      <text>
        <r>
          <rPr>
            <b/>
            <sz val="9"/>
            <color indexed="81"/>
            <rFont val="Tahoma"/>
            <family val="2"/>
          </rPr>
          <t>Shulamit Nussboim:</t>
        </r>
        <r>
          <rPr>
            <sz val="9"/>
            <color indexed="81"/>
            <rFont val="Tahoma"/>
            <family val="2"/>
          </rPr>
          <t xml:space="preserve">
Ratio has a similar trend to atrazine 
desethyl</t>
        </r>
      </text>
    </comment>
    <comment ref="I84" authorId="0" shapeId="0" xr:uid="{00000000-0006-0000-0100-00000E00000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J84" authorId="0" shapeId="0" xr:uid="{00000000-0006-0000-0100-00000F000000}">
      <text>
        <r>
          <rPr>
            <b/>
            <sz val="9"/>
            <color indexed="81"/>
            <rFont val="Tahoma"/>
            <family val="2"/>
          </rPr>
          <t>Shulamit Nussboim:</t>
        </r>
        <r>
          <rPr>
            <sz val="9"/>
            <color indexed="81"/>
            <rFont val="Tahoma"/>
            <family val="2"/>
          </rPr>
          <t xml:space="preserve">
Ratio has a similar trend to atrazine 
desethyl</t>
        </r>
      </text>
    </comment>
    <comment ref="I97" authorId="0" shapeId="0" xr:uid="{00000000-0006-0000-0100-00001000000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J97" authorId="0" shapeId="0" xr:uid="{00000000-0006-0000-0100-000011000000}">
      <text>
        <r>
          <rPr>
            <b/>
            <sz val="9"/>
            <color indexed="81"/>
            <rFont val="Tahoma"/>
            <family val="2"/>
          </rPr>
          <t>Shulamit Nussboim:</t>
        </r>
        <r>
          <rPr>
            <sz val="9"/>
            <color indexed="81"/>
            <rFont val="Tahoma"/>
            <family val="2"/>
          </rPr>
          <t xml:space="preserve">
Ratio has a similar trend to atrazine 
desethyl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E1" authorId="0" shapeId="0" xr:uid="{938C89D0-7D05-4152-AB89-ED50DA4F8FEE}">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F1" authorId="0" shapeId="0" xr:uid="{225E1CC6-D686-40CE-9891-BB8F5ECCC599}">
      <text>
        <r>
          <rPr>
            <b/>
            <sz val="9"/>
            <color indexed="81"/>
            <rFont val="Tahoma"/>
            <family val="2"/>
          </rPr>
          <t>Shulamit Nussboim:</t>
        </r>
        <r>
          <rPr>
            <sz val="9"/>
            <color indexed="81"/>
            <rFont val="Tahoma"/>
            <family val="2"/>
          </rPr>
          <t xml:space="preserve">
Ratio has a similar trend to atrazine 
desethyl</t>
        </r>
      </text>
    </comment>
    <comment ref="BG1" authorId="0" shapeId="0" xr:uid="{285C85C9-D7D9-489D-A230-891284883CEB}">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BH1" authorId="0" shapeId="0" xr:uid="{37325897-25F0-4888-8C29-E1479038D2CF}">
      <text>
        <r>
          <rPr>
            <b/>
            <sz val="9"/>
            <color indexed="81"/>
            <rFont val="Tahoma"/>
            <family val="2"/>
          </rPr>
          <t>Shulamit Nussboim:</t>
        </r>
        <r>
          <rPr>
            <sz val="9"/>
            <color indexed="81"/>
            <rFont val="Tahoma"/>
            <family val="2"/>
          </rPr>
          <t xml:space="preserve">
Ratio has a similar trend to atrazine 
desethyl</t>
        </r>
      </text>
    </comment>
    <comment ref="E64" authorId="0" shapeId="0" xr:uid="{F6585F65-8166-45EC-900B-D21327FD5BC1}">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F64" authorId="0" shapeId="0" xr:uid="{DA97EFCB-5027-479E-9797-3CC66AA33377}">
      <text>
        <r>
          <rPr>
            <b/>
            <sz val="9"/>
            <color indexed="81"/>
            <rFont val="Tahoma"/>
            <family val="2"/>
          </rPr>
          <t>Shulamit Nussboim:</t>
        </r>
        <r>
          <rPr>
            <sz val="9"/>
            <color indexed="81"/>
            <rFont val="Tahoma"/>
            <family val="2"/>
          </rPr>
          <t xml:space="preserve">
Ratio has a similar trend to atrazine 
desethyl</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C1" authorId="0" shapeId="0" xr:uid="{B178D53D-E7CD-4B15-8B94-7B649068B5E8}">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C3" authorId="0" shapeId="0" xr:uid="{FAE7FDBF-382D-48AB-A4FF-CDC2D3BACCFF}">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C35" authorId="0" shapeId="0" xr:uid="{35BF7338-9310-4692-922D-322CC37CE236}">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X36" authorId="0" shapeId="0" xr:uid="{1BB3656C-CEDF-4836-A23F-A155E1B472B2}">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C63" authorId="0" shapeId="0" xr:uid="{7A0571BE-7769-446F-8B94-BCCA7245B1CC}">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X76" authorId="0" shapeId="0" xr:uid="{2577742A-3B1F-4A25-9536-345F0F778AF1}">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C136" authorId="0" shapeId="0" xr:uid="{27F4B236-3061-4532-A4A5-F342FF85C8D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E62" authorId="0" shapeId="0" xr:uid="{F7C39712-8950-4E38-835D-417BC6747CDC}">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F62" authorId="0" shapeId="0" xr:uid="{B0043A04-C5FB-4DEC-A710-9A46725FBBD5}">
      <text>
        <r>
          <rPr>
            <b/>
            <sz val="9"/>
            <color indexed="81"/>
            <rFont val="Tahoma"/>
            <family val="2"/>
          </rPr>
          <t>Shulamit Nussboim:</t>
        </r>
        <r>
          <rPr>
            <sz val="9"/>
            <color indexed="81"/>
            <rFont val="Tahoma"/>
            <family val="2"/>
          </rPr>
          <t xml:space="preserve">
Ratio has a similar trend to atrazine 
desethyl</t>
        </r>
      </text>
    </comment>
    <comment ref="E63" authorId="0" shapeId="0" xr:uid="{F9A44048-78D2-4EAD-A65E-B63A7DBB46D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F63" authorId="0" shapeId="0" xr:uid="{C8110C1A-33D9-425A-81F7-E8B11B04B00C}">
      <text>
        <r>
          <rPr>
            <b/>
            <sz val="9"/>
            <color indexed="81"/>
            <rFont val="Tahoma"/>
            <family val="2"/>
          </rPr>
          <t>Shulamit Nussboim:</t>
        </r>
        <r>
          <rPr>
            <sz val="9"/>
            <color indexed="81"/>
            <rFont val="Tahoma"/>
            <family val="2"/>
          </rPr>
          <t xml:space="preserve">
Ratio has a similar trend to atrazine 
desethyl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A11" authorId="0" shapeId="0" xr:uid="{A033C24B-0B22-4D74-BF6A-E2E1DE70FA5D}">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A33" authorId="0" shapeId="0" xr:uid="{2524289A-D8CC-469A-AA76-BB7F841C1338}">
      <text>
        <r>
          <rPr>
            <b/>
            <sz val="9"/>
            <color indexed="81"/>
            <rFont val="Tahoma"/>
            <family val="2"/>
          </rPr>
          <t>Shulamit Nussboim:</t>
        </r>
        <r>
          <rPr>
            <sz val="9"/>
            <color indexed="81"/>
            <rFont val="Tahoma"/>
            <family val="2"/>
          </rPr>
          <t xml:space="preserve">
Ratio has a similar trend to atrazine 
desethyl</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Shulamit Nussboim</author>
  </authors>
  <commentList>
    <comment ref="A5" authorId="0" shapeId="0" xr:uid="{00000000-0006-0000-0D00-000001000000}">
      <text>
        <r>
          <rPr>
            <b/>
            <sz val="9"/>
            <color indexed="81"/>
            <rFont val="Tahoma"/>
            <family val="2"/>
          </rPr>
          <t>Shulamit Nussboim:</t>
        </r>
        <r>
          <rPr>
            <sz val="9"/>
            <color indexed="81"/>
            <rFont val="Tahoma"/>
            <family val="2"/>
          </rPr>
          <t xml:space="preserve">
Atrazine is old in this field and enough tume passed since the last application that allowed enough degredataion. The ratio between atrazine and the metabolite are seems to stay nearly constant
</t>
        </r>
      </text>
    </comment>
    <comment ref="A6" authorId="0" shapeId="0" xr:uid="{00000000-0006-0000-0D00-000002000000}">
      <text>
        <r>
          <rPr>
            <b/>
            <sz val="9"/>
            <color indexed="81"/>
            <rFont val="Tahoma"/>
            <family val="2"/>
          </rPr>
          <t>Shulamit Nussboim:</t>
        </r>
        <r>
          <rPr>
            <sz val="9"/>
            <color indexed="81"/>
            <rFont val="Tahoma"/>
            <family val="2"/>
          </rPr>
          <t xml:space="preserve">
Ratio has a similar trend to atrazine 
desethyl</t>
        </r>
      </text>
    </comment>
  </commentList>
</comments>
</file>

<file path=xl/sharedStrings.xml><?xml version="1.0" encoding="utf-8"?>
<sst xmlns="http://schemas.openxmlformats.org/spreadsheetml/2006/main" count="34379" uniqueCount="820">
  <si>
    <t>Analyte Name</t>
  </si>
  <si>
    <t>Acetaminophen.1</t>
  </si>
  <si>
    <t>Sample Name</t>
  </si>
  <si>
    <t>MLQ Water 1</t>
  </si>
  <si>
    <t>N/A</t>
  </si>
  <si>
    <t>MLQ Water 2</t>
  </si>
  <si>
    <t>Blank-1</t>
  </si>
  <si>
    <t>Shulamit W-L1 Sm-2</t>
  </si>
  <si>
    <t>Shulamit W-L1 Sm-3</t>
  </si>
  <si>
    <t>Shulamit W-L1 Sm-4</t>
  </si>
  <si>
    <t>Shulamit W-L1 Sm-6</t>
  </si>
  <si>
    <t>Shulamit W-L1 Sm-7</t>
  </si>
  <si>
    <t>Shulamit W-L1 Sm-8</t>
  </si>
  <si>
    <t>Shulamit W-L1 Sm-9</t>
  </si>
  <si>
    <t>Shulamit W-L1 Sm-10</t>
  </si>
  <si>
    <t>Shulamit W-L1 Sm-11</t>
  </si>
  <si>
    <t>Shulamit W-L1 Sm-12</t>
  </si>
  <si>
    <t>Shulamit W-L1 Sm-13</t>
  </si>
  <si>
    <t>Shulamit W-L1 Sm-14</t>
  </si>
  <si>
    <t>Shulamit W-L1 Sm-15</t>
  </si>
  <si>
    <t>Shulamit W-L1 Sm-16</t>
  </si>
  <si>
    <t>Shulamit W-L1 Sm-17</t>
  </si>
  <si>
    <t>Shulamit W-L1 Sm-18</t>
  </si>
  <si>
    <t>Shulamit W-L1 Sm-19</t>
  </si>
  <si>
    <t>Shulamit W-L1 Sm-22</t>
  </si>
  <si>
    <t>Shulamit W-L1 Sm-23</t>
  </si>
  <si>
    <t>Shulamit W-L1 Sm-24</t>
  </si>
  <si>
    <t>Shulamit W-L1 Sm-25</t>
  </si>
  <si>
    <t>Shulamit W-L1 Sm-26</t>
  </si>
  <si>
    <t>Shulamit W-L1 Sm-27</t>
  </si>
  <si>
    <t>Shulamit W-L1 Sm-28</t>
  </si>
  <si>
    <t>Shulamit W-L1 Sm-29</t>
  </si>
  <si>
    <t>Shulamit W-L1 Sm-30</t>
  </si>
  <si>
    <t>Shulamit W-L1 Sm-32</t>
  </si>
  <si>
    <t>Shulamit W-L1 Sm-33</t>
  </si>
  <si>
    <t>Shulamit W-L1 Sm-34</t>
  </si>
  <si>
    <t>Shulamit W-L1 Sm-35</t>
  </si>
  <si>
    <t>Shulamit W-L1 Sm-36</t>
  </si>
  <si>
    <t>Shulamit W-L1 Sm-37</t>
  </si>
  <si>
    <t>Shulamit W-L1 Sm-38</t>
  </si>
  <si>
    <t>Shulamit W-L1 Sm-39</t>
  </si>
  <si>
    <t>Shulamit W-L1 Sm-40</t>
  </si>
  <si>
    <t>Shulamit W-L1 Sm-41</t>
  </si>
  <si>
    <t>Shulamit W-L1 Sm-42</t>
  </si>
  <si>
    <t>Shulamit W-L1 Sm-43</t>
  </si>
  <si>
    <t>Shulamit W-L1 Sm-44</t>
  </si>
  <si>
    <t>Shulamit W-L1 Sm-45</t>
  </si>
  <si>
    <t>Shulamit W-L1 Sm-46</t>
  </si>
  <si>
    <t>Shulamit W-L1 Sm-47</t>
  </si>
  <si>
    <t>Shulamit W-L1 Sm-48</t>
  </si>
  <si>
    <t>Shulamit W-L1 Sm-49</t>
  </si>
  <si>
    <t>Shulamit W-L1 Sm-50</t>
  </si>
  <si>
    <t>Shulamit W-L1 Sm-51</t>
  </si>
  <si>
    <t>Shulamit W-L1 Sm-52</t>
  </si>
  <si>
    <t>Shulamit W-L1 Sm-53</t>
  </si>
  <si>
    <t>Shulamit W-L1 Sm-54</t>
  </si>
  <si>
    <t>Shulamit W-L1 Sm-66</t>
  </si>
  <si>
    <t>Shulamit W-L1 Sm-67</t>
  </si>
  <si>
    <t>Shulamit W-L1 Sm-84</t>
  </si>
  <si>
    <t>Shulamit W-L1 Sm-86</t>
  </si>
  <si>
    <t>Shulamit W-L1 Sm-87</t>
  </si>
  <si>
    <t>Shulamit W-L1 Sm-88</t>
  </si>
  <si>
    <t>Shulamit W-L1 Sm-89</t>
  </si>
  <si>
    <t>Shulamit W-L1 Sm-90</t>
  </si>
  <si>
    <t>Shulamit W-L1 Sm-91</t>
  </si>
  <si>
    <t>Shulamit W-L1 Sm-92</t>
  </si>
  <si>
    <t>Shulamit W-L1 Sm-93</t>
  </si>
  <si>
    <t>Shulamit W-L1 Sm-94</t>
  </si>
  <si>
    <t>Shulamit W-L1 Sm-95</t>
  </si>
  <si>
    <t>Shulamit W-L1 Sm-96</t>
  </si>
  <si>
    <t>Shulamit W-L1 Sm-98</t>
  </si>
  <si>
    <t>Shulamit W-L1 Sm-99</t>
  </si>
  <si>
    <t>Shulamit W-L1 Sm-100</t>
  </si>
  <si>
    <t>Shulamit W-L1 Sm-104</t>
  </si>
  <si>
    <t>Shulamit W-L1 Sm-105</t>
  </si>
  <si>
    <t>Shulamit W-L1 Sm-106</t>
  </si>
  <si>
    <t>Shulamit W-L1 Sm-107</t>
  </si>
  <si>
    <t>Shulamit W-L1 Sm-108</t>
  </si>
  <si>
    <t>Shulamit W-L1 Sm-109</t>
  </si>
  <si>
    <t>Shulamit W-L1 Sm-110</t>
  </si>
  <si>
    <t>Shulamit W-L1 Sm-111</t>
  </si>
  <si>
    <t>Shulamit W-L1 Sm-112</t>
  </si>
  <si>
    <t>Acetamiprid.1</t>
  </si>
  <si>
    <t>Alachlor.1</t>
  </si>
  <si>
    <t>Aldicarb-sulfoxide.1</t>
  </si>
  <si>
    <t>Ametryn.1</t>
  </si>
  <si>
    <t>Atrazine.1</t>
  </si>
  <si>
    <t>Atrazine-Desethyl.1</t>
  </si>
  <si>
    <t>Atrazine-Desisopropyl.1</t>
  </si>
  <si>
    <t>Azoxystrobin.1</t>
  </si>
  <si>
    <t>Bezafibrate.1</t>
  </si>
  <si>
    <t>Boscalid.2</t>
  </si>
  <si>
    <t>Bupirimate.1</t>
  </si>
  <si>
    <t>Caffeine.2</t>
  </si>
  <si>
    <t>Carbamazepine.1</t>
  </si>
  <si>
    <t>Carbendazim.1</t>
  </si>
  <si>
    <t>Carbofuran.1</t>
  </si>
  <si>
    <t>Carbofuran-3-hydroxy.1</t>
  </si>
  <si>
    <t>Chlorantraniliprole.1</t>
  </si>
  <si>
    <t>Cyproconazole.1</t>
  </si>
  <si>
    <t>Cyprodinil.1</t>
  </si>
  <si>
    <t>Diazinon.1</t>
  </si>
  <si>
    <t>Diclofenac.1</t>
  </si>
  <si>
    <t>Diethofencarb.1</t>
  </si>
  <si>
    <t>Difenoconazole.1</t>
  </si>
  <si>
    <t>Diflufenican.1</t>
  </si>
  <si>
    <t>Dimethomorph-cis/trans.1</t>
  </si>
  <si>
    <t>Diuron.2</t>
  </si>
  <si>
    <t>Famphur.1</t>
  </si>
  <si>
    <t>Fenaminphos sulfoxide.1</t>
  </si>
  <si>
    <t>Fenaminphos.1</t>
  </si>
  <si>
    <t>Fenhexamid.1</t>
  </si>
  <si>
    <t>Fluometuron.1</t>
  </si>
  <si>
    <t>Flutriafol.1</t>
  </si>
  <si>
    <t>Hexazinone.1</t>
  </si>
  <si>
    <t>Imazapyr.1</t>
  </si>
  <si>
    <t>Imidacloprid.1</t>
  </si>
  <si>
    <t>Indaziflam.1</t>
  </si>
  <si>
    <t>Lamotrigine.1</t>
  </si>
  <si>
    <t>Linuron.1</t>
  </si>
  <si>
    <t>Lorazepam.1</t>
  </si>
  <si>
    <t>Metalaxyl.1</t>
  </si>
  <si>
    <t>Metazachlor.1</t>
  </si>
  <si>
    <t>Methomyl.1</t>
  </si>
  <si>
    <t>Methoxyfenozide.1</t>
  </si>
  <si>
    <t>Metolachlor.1</t>
  </si>
  <si>
    <t>Metoprolol.1</t>
  </si>
  <si>
    <t>Metribuzin.2</t>
  </si>
  <si>
    <t>Molinate.1</t>
  </si>
  <si>
    <t>Naltrexone.1</t>
  </si>
  <si>
    <t>Oxadiazon.1</t>
  </si>
  <si>
    <t>Pebulat/Vernolat.1</t>
  </si>
  <si>
    <t>Penconazole.1</t>
  </si>
  <si>
    <t>Pendimethalin.1</t>
  </si>
  <si>
    <t>Pirimicarb.1</t>
  </si>
  <si>
    <t>Prochloraz.1</t>
  </si>
  <si>
    <t>Prometon.1</t>
  </si>
  <si>
    <t>Prometryn.1</t>
  </si>
  <si>
    <t>Propachlor.1</t>
  </si>
  <si>
    <t>Propamocarb.1</t>
  </si>
  <si>
    <t>Propazine.1</t>
  </si>
  <si>
    <t>Propiconazole.1</t>
  </si>
  <si>
    <t>Propoxur.1</t>
  </si>
  <si>
    <t>Propyzamide.1</t>
  </si>
  <si>
    <t>Pyraclostrobin.1</t>
  </si>
  <si>
    <t>Pyriproxyfen.1</t>
  </si>
  <si>
    <t>Sildenafil.1</t>
  </si>
  <si>
    <t>Simazine.1</t>
  </si>
  <si>
    <t>Sulfamethoxazole.1</t>
  </si>
  <si>
    <t>Sulfapyridine.1</t>
  </si>
  <si>
    <t>Sulfotep.1</t>
  </si>
  <si>
    <t>Tebuconazole.1</t>
  </si>
  <si>
    <t>Tebuthiuron.1</t>
  </si>
  <si>
    <t>Terbutryn.1</t>
  </si>
  <si>
    <t>Thiacloprid.1</t>
  </si>
  <si>
    <t>Thionazin.1</t>
  </si>
  <si>
    <t>Triadimenol A.1</t>
  </si>
  <si>
    <t>Calculated Concentration (ng/L)</t>
  </si>
  <si>
    <t>Aldicarb</t>
  </si>
  <si>
    <t>Aldicarb-sulfone</t>
  </si>
  <si>
    <t>Everything that is close or below this value should be regarded as "not detected"</t>
  </si>
  <si>
    <t>Pay attention to the concentration detected in blank</t>
  </si>
  <si>
    <t>Carbamazepine-10,11-epoxide.1</t>
  </si>
  <si>
    <t>Carbamazepine-2-hydroxy</t>
  </si>
  <si>
    <t>Carbamazepine-3-hydroxy</t>
  </si>
  <si>
    <t>Carbamazepine-trans-10,11-dihydroxy</t>
  </si>
  <si>
    <t>Measured concentrations were very high and far above the upper point of cal curve (5000)</t>
  </si>
  <si>
    <t>Actual concentrations will be higher than reported</t>
  </si>
  <si>
    <t>Measured concentrations were very high and very far above the upper point of cal curve (5000)</t>
  </si>
  <si>
    <t>Actual concentrations will be much higher than reported</t>
  </si>
  <si>
    <t>The method was developed for ppt levels; concentrations at tens of ppb or ppm levels cannot be measured in the same analysis.</t>
  </si>
  <si>
    <t>Oxamyl</t>
  </si>
  <si>
    <t>Measured concentration was very high and far above the upper point of cal curve (5000)</t>
  </si>
  <si>
    <t>Actual concentration will be higher than reported</t>
  </si>
  <si>
    <t>Jeny numbers</t>
  </si>
  <si>
    <t>Shulamit number</t>
  </si>
  <si>
    <t>name on the jar</t>
  </si>
  <si>
    <t>Water samples:</t>
  </si>
  <si>
    <t>WF9</t>
  </si>
  <si>
    <t>CWF15</t>
  </si>
  <si>
    <t>WWM</t>
  </si>
  <si>
    <t>EF1</t>
  </si>
  <si>
    <t>EF3</t>
  </si>
  <si>
    <t>EF4</t>
  </si>
  <si>
    <t>EF2</t>
  </si>
  <si>
    <t>EF5</t>
  </si>
  <si>
    <t>EF6</t>
  </si>
  <si>
    <t>EF7</t>
  </si>
  <si>
    <t>WF14</t>
  </si>
  <si>
    <t>2EF4</t>
  </si>
  <si>
    <t>2EF3</t>
  </si>
  <si>
    <t>2EF1</t>
  </si>
  <si>
    <t>2EF2</t>
  </si>
  <si>
    <t>2EF5</t>
  </si>
  <si>
    <t>2EF6</t>
  </si>
  <si>
    <t>2EF7</t>
  </si>
  <si>
    <t>2WF8</t>
  </si>
  <si>
    <t>2WF9</t>
  </si>
  <si>
    <t>2WF10</t>
  </si>
  <si>
    <t>2WF12</t>
  </si>
  <si>
    <t>2WF18</t>
  </si>
  <si>
    <t>2WF17</t>
  </si>
  <si>
    <t>2WF16</t>
  </si>
  <si>
    <t>2WF15</t>
  </si>
  <si>
    <t>1WPzD</t>
  </si>
  <si>
    <t>1WPzSh</t>
  </si>
  <si>
    <t>1EPzD</t>
  </si>
  <si>
    <t>1EPzSh</t>
  </si>
  <si>
    <t>2WPzD</t>
  </si>
  <si>
    <t>2WPzSh</t>
  </si>
  <si>
    <t>2EPzD</t>
  </si>
  <si>
    <t>2EPzSh</t>
  </si>
  <si>
    <t>3WPzD</t>
  </si>
  <si>
    <t>3WPzSh</t>
  </si>
  <si>
    <t>3EPzD</t>
  </si>
  <si>
    <t>3EPzSh</t>
  </si>
  <si>
    <t>4WPzD</t>
  </si>
  <si>
    <t>4WPzSh</t>
  </si>
  <si>
    <t>4EPzD</t>
  </si>
  <si>
    <t>4EPzSh</t>
  </si>
  <si>
    <t>5WPzD</t>
  </si>
  <si>
    <t>5WPzSh</t>
  </si>
  <si>
    <t>5EPzD</t>
  </si>
  <si>
    <t>5EPzSh</t>
  </si>
  <si>
    <t>6WPzD</t>
  </si>
  <si>
    <t>6WPzSh</t>
  </si>
  <si>
    <t>6EPzD</t>
  </si>
  <si>
    <t>6EPzSh</t>
  </si>
  <si>
    <t>S</t>
  </si>
  <si>
    <t>2S</t>
  </si>
  <si>
    <t>3S</t>
  </si>
  <si>
    <t>P2</t>
  </si>
  <si>
    <t>EEM</t>
  </si>
  <si>
    <t>2WM</t>
  </si>
  <si>
    <t>GD 5+6</t>
  </si>
  <si>
    <t>GD 15+16</t>
  </si>
  <si>
    <t>GD 17+18</t>
  </si>
  <si>
    <t>GD 19+20</t>
  </si>
  <si>
    <t>GD 21+22</t>
  </si>
  <si>
    <t>GD 23+24</t>
  </si>
  <si>
    <t>I2EF6</t>
  </si>
  <si>
    <t>WPWF8</t>
  </si>
  <si>
    <t>20PWF14</t>
  </si>
  <si>
    <t>S1</t>
  </si>
  <si>
    <t>POWF14</t>
  </si>
  <si>
    <t>GB 21+22</t>
  </si>
  <si>
    <t>GB 4+5+6+7</t>
  </si>
  <si>
    <t>GB 10+11</t>
  </si>
  <si>
    <t>F2EF6</t>
  </si>
  <si>
    <t>GB 8+9</t>
  </si>
  <si>
    <t>GB 23+24</t>
  </si>
  <si>
    <t>GB 12+13</t>
  </si>
  <si>
    <t>GB 19+20</t>
  </si>
  <si>
    <t>Acetaminophen</t>
  </si>
  <si>
    <t>Acetamiprid</t>
  </si>
  <si>
    <t>Alachlor</t>
  </si>
  <si>
    <t>Ametryn</t>
  </si>
  <si>
    <t>Atrazine</t>
  </si>
  <si>
    <t>Atrazine-Desethyl</t>
  </si>
  <si>
    <t>Atrazine-Desisopropyl</t>
  </si>
  <si>
    <t>Azoxystrobin</t>
  </si>
  <si>
    <t>Bezafibrate</t>
  </si>
  <si>
    <t>Boscalid</t>
  </si>
  <si>
    <t>Caffeine</t>
  </si>
  <si>
    <t>Carbamazepine</t>
  </si>
  <si>
    <t>Carbamazepine-10,11-epoxide</t>
  </si>
  <si>
    <t>Bupirimate</t>
  </si>
  <si>
    <t>Carbendazim</t>
  </si>
  <si>
    <t>Carbofuran</t>
  </si>
  <si>
    <t>Carbofuran-3-hydroxy</t>
  </si>
  <si>
    <t>Chlorantraniliprole</t>
  </si>
  <si>
    <t>Cyproconazole</t>
  </si>
  <si>
    <t>Cyprodinil</t>
  </si>
  <si>
    <t>Diazinon</t>
  </si>
  <si>
    <t>Diclofenac</t>
  </si>
  <si>
    <t>Diethofencarb</t>
  </si>
  <si>
    <t>Difenoconazole</t>
  </si>
  <si>
    <t>Diflufenican</t>
  </si>
  <si>
    <t>Dimethomorph-cis/trans</t>
  </si>
  <si>
    <t>Diuron</t>
  </si>
  <si>
    <t>Famphur</t>
  </si>
  <si>
    <t>Fenaminphos sulfoxid</t>
  </si>
  <si>
    <t>Fenaminphos</t>
  </si>
  <si>
    <t>Fenhexamid</t>
  </si>
  <si>
    <t>Fluometuron</t>
  </si>
  <si>
    <t>Flutriafol</t>
  </si>
  <si>
    <t>Hexazinone</t>
  </si>
  <si>
    <t>Imazapyr</t>
  </si>
  <si>
    <t>Imidacloprid</t>
  </si>
  <si>
    <t>Indaziflam</t>
  </si>
  <si>
    <t>Lamotrigine</t>
  </si>
  <si>
    <t>Linuron</t>
  </si>
  <si>
    <t>Lorazepam</t>
  </si>
  <si>
    <t>Metalaxyl</t>
  </si>
  <si>
    <t>Metazachlor</t>
  </si>
  <si>
    <t>Methomyl</t>
  </si>
  <si>
    <t>Methoxyfenozide</t>
  </si>
  <si>
    <t>Metolachlor</t>
  </si>
  <si>
    <t>Metoprolol</t>
  </si>
  <si>
    <t>Metribuzin</t>
  </si>
  <si>
    <t>Molinate</t>
  </si>
  <si>
    <t>Naltrexone</t>
  </si>
  <si>
    <t>Oxadiazon</t>
  </si>
  <si>
    <t>Pebulat/Vernolat</t>
  </si>
  <si>
    <t>Penconazole</t>
  </si>
  <si>
    <t>Pendimethalin</t>
  </si>
  <si>
    <t>Pirimicarb</t>
  </si>
  <si>
    <t>Prochloraz</t>
  </si>
  <si>
    <t>Prometon</t>
  </si>
  <si>
    <t>Prometryn</t>
  </si>
  <si>
    <t>Propachlor</t>
  </si>
  <si>
    <t>Propamocarb</t>
  </si>
  <si>
    <t>Propazine</t>
  </si>
  <si>
    <t>Propiconazole</t>
  </si>
  <si>
    <t>Propoxur</t>
  </si>
  <si>
    <t>Propyzamide</t>
  </si>
  <si>
    <t>Pyraclostrobin</t>
  </si>
  <si>
    <t>Pyriproxyfen</t>
  </si>
  <si>
    <t>Sildenafil</t>
  </si>
  <si>
    <t>Simazine</t>
  </si>
  <si>
    <t>Sulfamethoxazole</t>
  </si>
  <si>
    <t>Sulfapyridine</t>
  </si>
  <si>
    <t>Sulfotep</t>
  </si>
  <si>
    <t>Tebuconazole</t>
  </si>
  <si>
    <t>Tebuthiuron</t>
  </si>
  <si>
    <t>Terbutryn</t>
  </si>
  <si>
    <t>Thiacloprid</t>
  </si>
  <si>
    <t>Thionazin</t>
  </si>
  <si>
    <t>Triadimenol A</t>
  </si>
  <si>
    <t>WF10</t>
  </si>
  <si>
    <t>ef6-נמצא מלא בסחף ונאסף במקום מהשקע בו ישב</t>
  </si>
  <si>
    <t>2OPWF14</t>
  </si>
  <si>
    <t>wf14- (נאסף לאחר זמן רב שהיה טבוע במים)</t>
  </si>
  <si>
    <t>3s</t>
  </si>
  <si>
    <t>2wm מופיע גם ליד הפיאזומטרים וגם ליד ניסוי השדה השני, כדי להקל את הצפיה בשני המקרים</t>
  </si>
  <si>
    <t>WF8</t>
  </si>
  <si>
    <t>L1 Shulamit W P2-4</t>
  </si>
  <si>
    <t>L1 Shulamit W P2-5</t>
  </si>
  <si>
    <t>L1 Shulamit W P2-6</t>
  </si>
  <si>
    <t>L1 Shulamit W P2-7</t>
  </si>
  <si>
    <t>L1 Shulamit W P2-8</t>
  </si>
  <si>
    <t>L1 Shulamit W P2-9</t>
  </si>
  <si>
    <t>L1 Shulamit W 9J 1+2</t>
  </si>
  <si>
    <t>L1 Shulamit W 9J 3+4+5</t>
  </si>
  <si>
    <t>L1 Shulamit W 9J 6+7+8</t>
  </si>
  <si>
    <t>L1 Shulamit W 9J 9+10+11</t>
  </si>
  <si>
    <t>L1 Shulamit W 9J 19+20+21</t>
  </si>
  <si>
    <t>L1 Shulamit W 9J 22</t>
  </si>
  <si>
    <t>NaN</t>
  </si>
  <si>
    <t>Shulamit Soil Sm-1</t>
  </si>
  <si>
    <t>3SEF010</t>
  </si>
  <si>
    <t>Shulamit Soil Sm-2</t>
  </si>
  <si>
    <t>3SEF2030</t>
  </si>
  <si>
    <t>Shulamit Soil Sm-3</t>
  </si>
  <si>
    <t>2SEF010</t>
  </si>
  <si>
    <t>Shulamit Soil Sm-4</t>
  </si>
  <si>
    <t>2SEF2030</t>
  </si>
  <si>
    <t>Shulamit Soil Sm-5</t>
  </si>
  <si>
    <t>2SWF010</t>
  </si>
  <si>
    <t>Shulamit Soil Sm-6</t>
  </si>
  <si>
    <t>2SWF2030</t>
  </si>
  <si>
    <t>Shulamit Soil Sm-7</t>
  </si>
  <si>
    <t>SCWF15010</t>
  </si>
  <si>
    <t>Shulamit Soil Sm-8</t>
  </si>
  <si>
    <t>SCWF152030</t>
  </si>
  <si>
    <t>Shulamit Soil Sm-9</t>
  </si>
  <si>
    <t>SOWF14010</t>
  </si>
  <si>
    <t>Shulamit Soil Sm-10</t>
  </si>
  <si>
    <t>SOWF142030</t>
  </si>
  <si>
    <t>Shulamit Soil Sm-11</t>
  </si>
  <si>
    <t>31SEF010</t>
  </si>
  <si>
    <t>Shulamit Soil Sm-12</t>
  </si>
  <si>
    <t>31SEF2030</t>
  </si>
  <si>
    <t>Shulamit Soil Sm-13</t>
  </si>
  <si>
    <t>21SEF010</t>
  </si>
  <si>
    <t>Shulamit Soil Sm-14</t>
  </si>
  <si>
    <t>21SEF2030</t>
  </si>
  <si>
    <t>Shulamit Soil Sm-15</t>
  </si>
  <si>
    <t>21SWF010</t>
  </si>
  <si>
    <t>Shulamit Soil Sm-16</t>
  </si>
  <si>
    <t>21SWF2030</t>
  </si>
  <si>
    <t>Shulamit Soil Sm-17</t>
  </si>
  <si>
    <t>2SCWF15010</t>
  </si>
  <si>
    <t>Shulamit Soil Sm-18</t>
  </si>
  <si>
    <t>2SCWF152030</t>
  </si>
  <si>
    <t>Shulamit Soil Sm-19</t>
  </si>
  <si>
    <t>2SOWF14010</t>
  </si>
  <si>
    <t>Shulamit Soil Sm-20</t>
  </si>
  <si>
    <t>2SOWF142030</t>
  </si>
  <si>
    <t>HMX</t>
  </si>
  <si>
    <t>RDX</t>
  </si>
  <si>
    <t>Bromacil</t>
  </si>
  <si>
    <t>Clofibric acid</t>
  </si>
  <si>
    <t>Gemfibrosil</t>
  </si>
  <si>
    <t>Ibuprofen</t>
  </si>
  <si>
    <t>Naproxen</t>
  </si>
  <si>
    <t>Paraben-ethyl</t>
  </si>
  <si>
    <t>Paraben-methyl</t>
  </si>
  <si>
    <t>Paraben-n/i-butyl</t>
  </si>
  <si>
    <t>Paraben-propyl</t>
  </si>
  <si>
    <t>Sulfaxoflor</t>
  </si>
  <si>
    <t>Terbacil</t>
  </si>
  <si>
    <t>Triclopyr</t>
  </si>
  <si>
    <t>P2-4</t>
  </si>
  <si>
    <t>P2-5</t>
  </si>
  <si>
    <t>P2-6</t>
  </si>
  <si>
    <t>P2-7</t>
  </si>
  <si>
    <t>P2-8</t>
  </si>
  <si>
    <t>P2-9</t>
  </si>
  <si>
    <t>3+4+6</t>
  </si>
  <si>
    <t>6+7+9</t>
  </si>
  <si>
    <t>1+3</t>
  </si>
  <si>
    <t>9+10+12</t>
  </si>
  <si>
    <t>19+20+22</t>
  </si>
  <si>
    <t>Dates</t>
  </si>
  <si>
    <t>WM</t>
  </si>
  <si>
    <t>GD_5_6</t>
  </si>
  <si>
    <t>GD_15_16</t>
  </si>
  <si>
    <t>GD_17_18</t>
  </si>
  <si>
    <t>GD_19_20</t>
  </si>
  <si>
    <t>GD_21_22</t>
  </si>
  <si>
    <t>GD_23_24</t>
  </si>
  <si>
    <t>GB_21_22</t>
  </si>
  <si>
    <t>GB_4_5_6_7</t>
  </si>
  <si>
    <t>GB_10_11</t>
  </si>
  <si>
    <t>GB_8_9</t>
  </si>
  <si>
    <t>GB_23_24</t>
  </si>
  <si>
    <t>GB_12_13</t>
  </si>
  <si>
    <t>GB_19_20</t>
  </si>
  <si>
    <t>1_3</t>
  </si>
  <si>
    <t>3_4_6</t>
  </si>
  <si>
    <t>6_7_9</t>
  </si>
  <si>
    <t>9_10_12</t>
  </si>
  <si>
    <t>19_20_22</t>
  </si>
  <si>
    <t>Carb10,11-epoxide</t>
  </si>
  <si>
    <t>Carb-2-hydroxy</t>
  </si>
  <si>
    <t>Carb3-hydroxy</t>
  </si>
  <si>
    <t>Dimethoh-cis/trans</t>
  </si>
  <si>
    <t>Paraben butyl</t>
  </si>
  <si>
    <t>Sulfamethox</t>
  </si>
  <si>
    <t>Difenocona</t>
  </si>
  <si>
    <t>Cyprocona</t>
  </si>
  <si>
    <t>Carb-trs-10,11-drxy</t>
  </si>
  <si>
    <t xml:space="preserve">Fenaminphos_slfx </t>
  </si>
  <si>
    <t>type</t>
  </si>
  <si>
    <t>loc</t>
  </si>
  <si>
    <t>Water data</t>
  </si>
  <si>
    <t>Average</t>
  </si>
  <si>
    <t>Name</t>
  </si>
  <si>
    <t>Kow</t>
  </si>
  <si>
    <t>Koc</t>
  </si>
  <si>
    <t>Location detected</t>
  </si>
  <si>
    <t>These materials were detected in one flowpath only in4 or less location (e.g. no more than 4 location in runoff etc.)</t>
  </si>
  <si>
    <t>carbofuran</t>
  </si>
  <si>
    <t>cyproconazole</t>
  </si>
  <si>
    <t>carbamezapine-hydroxy-2</t>
  </si>
  <si>
    <t>flutriafol</t>
  </si>
  <si>
    <t>fenhexamid</t>
  </si>
  <si>
    <t>hexazinone</t>
  </si>
  <si>
    <t>indaziflam</t>
  </si>
  <si>
    <t>methomyl</t>
  </si>
  <si>
    <t>metribuzin</t>
  </si>
  <si>
    <t>metazachlor</t>
  </si>
  <si>
    <t>naproxen</t>
  </si>
  <si>
    <t>propachlor</t>
  </si>
  <si>
    <t>prochloraz</t>
  </si>
  <si>
    <t>sulfamethoxazole</t>
  </si>
  <si>
    <t>72, 160</t>
  </si>
  <si>
    <t>73-125</t>
  </si>
  <si>
    <t>Solbility (mg/l)</t>
  </si>
  <si>
    <t>Degradability (days)</t>
  </si>
  <si>
    <t>non degradable</t>
  </si>
  <si>
    <t>GW</t>
  </si>
  <si>
    <t>R</t>
  </si>
  <si>
    <t>SW</t>
  </si>
  <si>
    <t>sildenafil</t>
  </si>
  <si>
    <t>propiconazole</t>
  </si>
  <si>
    <t>name</t>
  </si>
  <si>
    <t>Molecular Weight*</t>
  </si>
  <si>
    <t>Henry constant**(atm m^3/mol)</t>
  </si>
  <si>
    <t>log Kow***</t>
  </si>
  <si>
    <t>Haloginated****</t>
  </si>
  <si>
    <t>Pka***** Under this pH value the compound will be in the anion form thus will repeal the clay negative particles</t>
  </si>
  <si>
    <t xml:space="preserve">Solubility (mg/l) (NaCl 360,000 g/l) single number </t>
  </si>
  <si>
    <t>Mobility</t>
  </si>
  <si>
    <t>Allowed/Forbidden countries</t>
  </si>
  <si>
    <t>Min bidegradation rate (half life in days)</t>
  </si>
  <si>
    <t>Max bidegradation rate (half life in days)</t>
  </si>
  <si>
    <t>Very high mobility</t>
  </si>
  <si>
    <t>Moderate to high</t>
  </si>
  <si>
    <t>Allowed in all countries</t>
  </si>
  <si>
    <t>&lt;1</t>
  </si>
  <si>
    <t>8, important process, aerobic. Unerobic- 45 days</t>
  </si>
  <si>
    <t>High</t>
  </si>
  <si>
    <t>high to low</t>
  </si>
  <si>
    <t>Not allowed in PPBD countries</t>
  </si>
  <si>
    <t>Low to slight</t>
  </si>
  <si>
    <t>not degradable in anaerobic conditions</t>
  </si>
  <si>
    <t>Moderate to low</t>
  </si>
  <si>
    <t>Allowed in most countries</t>
  </si>
  <si>
    <t>Immobile</t>
  </si>
  <si>
    <t>Forbidden in PPBD countries</t>
  </si>
  <si>
    <t>Forbidden in few countries</t>
  </si>
  <si>
    <t>14,7</t>
  </si>
  <si>
    <t>15.96, -3.8</t>
  </si>
  <si>
    <t>Adsorbed</t>
  </si>
  <si>
    <t>Low</t>
  </si>
  <si>
    <t>-</t>
  </si>
  <si>
    <t>Very high to moderate</t>
  </si>
  <si>
    <t>Moderate</t>
  </si>
  <si>
    <t>Allowed in all PPBD countries</t>
  </si>
  <si>
    <t>Very low</t>
  </si>
  <si>
    <t>&lt;7</t>
  </si>
  <si>
    <t>Immobile/slight</t>
  </si>
  <si>
    <t>Forbidden in PPDB countries</t>
  </si>
  <si>
    <t>No mobility</t>
  </si>
  <si>
    <t>Persistent</t>
  </si>
  <si>
    <t>Low to high</t>
  </si>
  <si>
    <t>Fenamiphos sulfoxide</t>
  </si>
  <si>
    <t>slight</t>
  </si>
  <si>
    <t>48 with vegetation. Vegetation supports degradation</t>
  </si>
  <si>
    <t> 2.2e-11</t>
  </si>
  <si>
    <t>8.53 and 9.21</t>
  </si>
  <si>
    <t>Forbidden in most PPDB countries</t>
  </si>
  <si>
    <t xml:space="preserve"> (photo 7)68</t>
  </si>
  <si>
    <t>very high to slight</t>
  </si>
  <si>
    <t>160&lt; bio, 47</t>
  </si>
  <si>
    <t>low/slight</t>
  </si>
  <si>
    <t xml:space="preserve"> 4-photodeg.165</t>
  </si>
  <si>
    <t>1.51(5.2?)</t>
  </si>
  <si>
    <t>immobile</t>
  </si>
  <si>
    <t>Was not biodegrated</t>
  </si>
  <si>
    <t>3.35X10-9 </t>
  </si>
  <si>
    <t>Low to moderate</t>
  </si>
  <si>
    <t>High to slight</t>
  </si>
  <si>
    <t>moderate to no mobility</t>
  </si>
  <si>
    <t>High to very high</t>
  </si>
  <si>
    <t>moderate to immobility</t>
  </si>
  <si>
    <t>6.9  in rivers/ponding</t>
  </si>
  <si>
    <t>Dominant flowpath</t>
  </si>
  <si>
    <t>R, GW</t>
  </si>
  <si>
    <t>R (שיא הסערה(</t>
  </si>
  <si>
    <t>Bidegradation rate (half life in days)</t>
  </si>
  <si>
    <t xml:space="preserve"> GW</t>
  </si>
  <si>
    <t>(shallow)</t>
  </si>
  <si>
    <t>&gt;54.3</t>
  </si>
  <si>
    <t>4.73X10-12</t>
  </si>
  <si>
    <t>Not important process</t>
  </si>
  <si>
    <t>Imidaclopryd</t>
  </si>
  <si>
    <t>If values were found in PPBD they were taken, otherways, avergae between reported values in pub-chem was done</t>
  </si>
  <si>
    <t xml:space="preserve">5 4 </t>
  </si>
  <si>
    <t>tebuthiuron</t>
  </si>
  <si>
    <t>*1500 as a high value inserted arbitrarily</t>
  </si>
  <si>
    <t>Ratio- 1st vs 2nd storm</t>
  </si>
  <si>
    <t>ef7</t>
  </si>
  <si>
    <t>ef8</t>
  </si>
  <si>
    <t>wf14</t>
  </si>
  <si>
    <t>wf10</t>
  </si>
  <si>
    <t xml:space="preserve">The measure for location (R,GW, or SW) was the location with highest concentration. </t>
  </si>
  <si>
    <t>flowpaths</t>
  </si>
  <si>
    <t>311-runoff 1st cmpgn east</t>
  </si>
  <si>
    <t>111-gwtr deep west</t>
  </si>
  <si>
    <t>averge surface water concentraion</t>
  </si>
  <si>
    <t>stdv:</t>
  </si>
  <si>
    <t>averge subsurface water concentraion</t>
  </si>
  <si>
    <t>The statistics tries to understand the propagation of pllutants dwonwards by the pipe and groundwater time series, relating to surface data</t>
  </si>
  <si>
    <t>max</t>
  </si>
  <si>
    <t>min</t>
  </si>
  <si>
    <t>1:62,76:81</t>
  </si>
  <si>
    <t>channelsW:</t>
  </si>
  <si>
    <t>channelsE:</t>
  </si>
  <si>
    <t>surfaceW:</t>
  </si>
  <si>
    <t>surfaceE:</t>
  </si>
  <si>
    <t>ChannelW</t>
  </si>
  <si>
    <t>stdv</t>
  </si>
  <si>
    <t>CHannelE</t>
  </si>
  <si>
    <t>SurfaceW</t>
  </si>
  <si>
    <t>SurfaceE</t>
  </si>
  <si>
    <t>stdv.</t>
  </si>
  <si>
    <t>East channels</t>
  </si>
  <si>
    <t>East surface runoff</t>
  </si>
  <si>
    <t>West surface runoff</t>
  </si>
  <si>
    <t>ChannelE</t>
  </si>
  <si>
    <t>2nd storm W</t>
  </si>
  <si>
    <t>1st stoem E</t>
  </si>
  <si>
    <t>2nd storm E</t>
  </si>
  <si>
    <t>1st storm W</t>
  </si>
  <si>
    <t>הצמדות לסדימנטים ושחרור לתמיסה מאוחר יותר, כאשר חלק מהתמיסה מחלחל והריכוזים עולים, שכן המקור הם תהליכי ספיחה ושחרור?</t>
  </si>
  <si>
    <t>בדומה למטלקסיל, בריכוזים נמוכים יורת, שכן מחלחל מטה כמומס.</t>
  </si>
  <si>
    <t>West channels</t>
  </si>
  <si>
    <t>יושם ממש בסמיכות</t>
  </si>
  <si>
    <t>V</t>
  </si>
  <si>
    <t>Max:</t>
  </si>
  <si>
    <t>ניסיון:</t>
  </si>
  <si>
    <t xml:space="preserve">Azoxystrobin </t>
  </si>
  <si>
    <t xml:space="preserve">Bezafibrate </t>
  </si>
  <si>
    <t xml:space="preserve">Boscalid </t>
  </si>
  <si>
    <t xml:space="preserve">Chlorantraniliprole </t>
  </si>
  <si>
    <t xml:space="preserve">Diclofenac </t>
  </si>
  <si>
    <t xml:space="preserve">Difenoconazole </t>
  </si>
  <si>
    <t xml:space="preserve">Diflufenican </t>
  </si>
  <si>
    <t xml:space="preserve">Dimethoh-cis/trans </t>
  </si>
  <si>
    <t xml:space="preserve">Diuron </t>
  </si>
  <si>
    <t xml:space="preserve">Fenaminphos </t>
  </si>
  <si>
    <t xml:space="preserve">Imidacloprid </t>
  </si>
  <si>
    <t xml:space="preserve">Indaziflam </t>
  </si>
  <si>
    <t xml:space="preserve">Metalaxyl </t>
  </si>
  <si>
    <t xml:space="preserve">Methomyl </t>
  </si>
  <si>
    <t xml:space="preserve">Metribuzin </t>
  </si>
  <si>
    <t xml:space="preserve">Oxadiazon </t>
  </si>
  <si>
    <t xml:space="preserve">Pendimethalin </t>
  </si>
  <si>
    <t xml:space="preserve">Propyzamide </t>
  </si>
  <si>
    <t>Silendafil</t>
  </si>
  <si>
    <t xml:space="preserve">Tebuconazole </t>
  </si>
  <si>
    <t xml:space="preserve">Atrazine </t>
  </si>
  <si>
    <t xml:space="preserve">Atrazine-Desethyl </t>
  </si>
  <si>
    <t xml:space="preserve">Atrazine-Desisopropyl </t>
  </si>
  <si>
    <t xml:space="preserve">Bromacil </t>
  </si>
  <si>
    <t>Carbamazepine10,11-epoxide</t>
  </si>
  <si>
    <t xml:space="preserve">Fenhexamid </t>
  </si>
  <si>
    <t xml:space="preserve">Fluometuron </t>
  </si>
  <si>
    <t xml:space="preserve">Hexazinone </t>
  </si>
  <si>
    <t xml:space="preserve">Ibuprofen </t>
  </si>
  <si>
    <t xml:space="preserve">Lamotrigine </t>
  </si>
  <si>
    <t xml:space="preserve">Metazachlor </t>
  </si>
  <si>
    <t xml:space="preserve">Methoxyfenozide </t>
  </si>
  <si>
    <t xml:space="preserve">Pirimicarb </t>
  </si>
  <si>
    <t xml:space="preserve">Prochloraz </t>
  </si>
  <si>
    <t xml:space="preserve">Prometryn </t>
  </si>
  <si>
    <t xml:space="preserve">Propazine </t>
  </si>
  <si>
    <t xml:space="preserve">Tebuthiuron </t>
  </si>
  <si>
    <t xml:space="preserve">Ametryn </t>
  </si>
  <si>
    <t xml:space="preserve">Carbendazim </t>
  </si>
  <si>
    <t xml:space="preserve">Carbofuran </t>
  </si>
  <si>
    <t xml:space="preserve">Flutriafol </t>
  </si>
  <si>
    <t xml:space="preserve">Metolachlor </t>
  </si>
  <si>
    <t xml:space="preserve">Naproxen </t>
  </si>
  <si>
    <t xml:space="preserve">Propachlor </t>
  </si>
  <si>
    <t xml:space="preserve">Simazine </t>
  </si>
  <si>
    <t>מזהמים בריכוזים גבוהים יותר בתעלות בשני השדות</t>
  </si>
  <si>
    <t>wf16*</t>
  </si>
  <si>
    <t>East channel</t>
  </si>
  <si>
    <t>East field</t>
  </si>
  <si>
    <t>West channel</t>
  </si>
  <si>
    <t>West field</t>
  </si>
  <si>
    <t>Channel W</t>
  </si>
  <si>
    <t>Channel E</t>
  </si>
  <si>
    <t>Surface W</t>
  </si>
  <si>
    <t>Surface E</t>
  </si>
  <si>
    <t>n.d. before storm</t>
  </si>
  <si>
    <t>not detected before storm</t>
  </si>
  <si>
    <t>After/Before&gt;1</t>
  </si>
  <si>
    <t>After/Before&lt;1</t>
  </si>
  <si>
    <t>*WF15 in the 1st storn was taken from secondary channel</t>
  </si>
  <si>
    <t>Real concentrations</t>
  </si>
  <si>
    <t>1st storm</t>
  </si>
  <si>
    <t>2nd storm</t>
  </si>
  <si>
    <t>WF7</t>
  </si>
  <si>
    <t>Average ratio- 1st vs 2nd storm</t>
  </si>
  <si>
    <t>out of 17</t>
  </si>
  <si>
    <t>out of 9</t>
  </si>
  <si>
    <t>*1.1</t>
  </si>
  <si>
    <t>31SEF010*</t>
  </si>
  <si>
    <t>EXCEL</t>
  </si>
  <si>
    <t>31…=soil sample al location 3, taken the 1st time after 1st storm. Out of all soil samples' only 2 were selecyed for each field</t>
  </si>
  <si>
    <t>Not all soil samples were analyzed, but the ones in the list</t>
  </si>
  <si>
    <t>The analysis is done in the flowpath paper excel spreadsheet</t>
  </si>
  <si>
    <t>All rare compound average</t>
  </si>
  <si>
    <t>All compound (source: sorting and analysis, tab:Flowpaths properties calc. )</t>
  </si>
  <si>
    <t>log kow</t>
  </si>
  <si>
    <t>koc</t>
  </si>
  <si>
    <t>*1.1 was put in a case the concentration in the 2nd storm was 0, then error was accepted in the ratio, dividing by zero. To keep value higher than 1.</t>
  </si>
  <si>
    <t>Atrazine degaradtion rates effect runoff distribution</t>
  </si>
  <si>
    <t>*- Pharmaceuticals</t>
  </si>
  <si>
    <t>Lamotrigine*</t>
  </si>
  <si>
    <t>Carbamazepine*</t>
  </si>
  <si>
    <t>In case of including sildenafil (Julius is not sure that was detected)</t>
  </si>
  <si>
    <t>Min:</t>
  </si>
  <si>
    <t xml:space="preserve"> במספר מותאם </t>
  </si>
  <si>
    <t>אישית לוחצים 3;;; כדי להעלים את המספרים</t>
  </si>
  <si>
    <t>2EF61</t>
  </si>
  <si>
    <t>2EF62</t>
  </si>
  <si>
    <t>WF16</t>
  </si>
  <si>
    <t>MRL (maximum residue limit)</t>
  </si>
  <si>
    <t>האם אסור לשימוש</t>
  </si>
  <si>
    <t>האם נמצא במאגר חומרי הדברה</t>
  </si>
  <si>
    <t>האם נמצא בריכוזים חריגים</t>
  </si>
  <si>
    <t>האם מותר לשימוש באירופה? (PPDB)</t>
  </si>
  <si>
    <t>לא</t>
  </si>
  <si>
    <t>כן</t>
  </si>
  <si>
    <t>*(סקר 2022 https://www.gov.il/BlobFolder/news/pesticideresidues2023/he/PPIS_seker-sheeriot-homrey-hadbara-2022.pdf)</t>
  </si>
  <si>
    <t xml:space="preserve">האם נמצא שאריתי בסקר בירקות* </t>
  </si>
  <si>
    <t>לא נבדק?</t>
  </si>
  <si>
    <t>חלקי, ארצות מזרח התיכון ומז' אירופה</t>
  </si>
  <si>
    <t>?</t>
  </si>
  <si>
    <t>**מיקום בטבלאות וריכוזים בהשוואה לשאר החומרים</t>
  </si>
  <si>
    <t xml:space="preserve">שכיחות החומר בנחלים עפ מנדלב וחוב' 2021** </t>
  </si>
  <si>
    <t>נמוך</t>
  </si>
  <si>
    <t>בינוני-נמוך</t>
  </si>
  <si>
    <t>not detected</t>
  </si>
  <si>
    <t>low</t>
  </si>
  <si>
    <t>thiacloprid</t>
  </si>
  <si>
    <t>low-very low</t>
  </si>
  <si>
    <t>not analyzed?</t>
  </si>
  <si>
    <t>intermediate-high</t>
  </si>
  <si>
    <t>max in first storm in Est field</t>
  </si>
  <si>
    <t>max in first storm in Wst field</t>
  </si>
  <si>
    <t>max in sec storm in Wst field</t>
  </si>
  <si>
    <t>Include onion</t>
  </si>
  <si>
    <t>max in sec storm in Est field</t>
  </si>
  <si>
    <t>Carbamazepine-10,11</t>
  </si>
  <si>
    <t>Carbamazepine-2-hyd.</t>
  </si>
  <si>
    <t>Carbamazepine-trans-10,11</t>
  </si>
  <si>
    <t xml:space="preserve"> W-L1 Sm-52</t>
  </si>
  <si>
    <t xml:space="preserve"> W-L1 Sm-95</t>
  </si>
  <si>
    <t xml:space="preserve"> W-L1 Sm-66</t>
  </si>
  <si>
    <t xml:space="preserve"> W-L1 Sm-4</t>
  </si>
  <si>
    <t xml:space="preserve"> W-L1 Sm-6</t>
  </si>
  <si>
    <t xml:space="preserve"> W-L1 Sm-7</t>
  </si>
  <si>
    <t xml:space="preserve"> W-L1 Sm-8</t>
  </si>
  <si>
    <t xml:space="preserve"> W-L1 Sm-9</t>
  </si>
  <si>
    <t xml:space="preserve"> W-L1 Sm-10</t>
  </si>
  <si>
    <t xml:space="preserve"> W-L1 Sm-11</t>
  </si>
  <si>
    <t xml:space="preserve"> W-L1 Sm-12</t>
  </si>
  <si>
    <t xml:space="preserve"> W-L1 Sm-93</t>
  </si>
  <si>
    <t xml:space="preserve"> W-L1 Sm-96</t>
  </si>
  <si>
    <t xml:space="preserve"> W-L1 Sm-13</t>
  </si>
  <si>
    <t xml:space="preserve"> W-L1 Sm-3</t>
  </si>
  <si>
    <t xml:space="preserve"> W-L1 Sm-2</t>
  </si>
  <si>
    <t xml:space="preserve"> W-L1 Sm-53</t>
  </si>
  <si>
    <t xml:space="preserve"> W-L1 Sm-67</t>
  </si>
  <si>
    <t xml:space="preserve"> W-L1 Sm-84</t>
  </si>
  <si>
    <t xml:space="preserve"> W-L1 Sm-16</t>
  </si>
  <si>
    <t xml:space="preserve"> W-L1 Sm-14</t>
  </si>
  <si>
    <t xml:space="preserve"> W-L1 Sm-15</t>
  </si>
  <si>
    <t xml:space="preserve"> W-L1 Sm-17</t>
  </si>
  <si>
    <t xml:space="preserve"> W-L1 Sm-18</t>
  </si>
  <si>
    <t xml:space="preserve"> W-L1 Sm-19</t>
  </si>
  <si>
    <t xml:space="preserve"> W-L1 Sm-92</t>
  </si>
  <si>
    <t xml:space="preserve"> W-L1 Sm-104</t>
  </si>
  <si>
    <t xml:space="preserve"> W-L1 Sm-22</t>
  </si>
  <si>
    <t xml:space="preserve"> W-L1 Sm-23</t>
  </si>
  <si>
    <t xml:space="preserve"> W-L1 Sm-24</t>
  </si>
  <si>
    <t xml:space="preserve"> W-L1 Sm-25</t>
  </si>
  <si>
    <t xml:space="preserve"> W-L1 Sm-26</t>
  </si>
  <si>
    <t xml:space="preserve"> W-L1 Sm-94</t>
  </si>
  <si>
    <t xml:space="preserve"> W-L1 Sm-30</t>
  </si>
  <si>
    <t xml:space="preserve"> W-L1 Sm-29</t>
  </si>
  <si>
    <t xml:space="preserve"> W-L1 Sm-28</t>
  </si>
  <si>
    <t xml:space="preserve"> W-L1 Sm-27</t>
  </si>
  <si>
    <t xml:space="preserve"> W-L1 Sm-54</t>
  </si>
  <si>
    <t xml:space="preserve"> W-L1 Sm-111</t>
  </si>
  <si>
    <t xml:space="preserve"> W-L1 Sm-112</t>
  </si>
  <si>
    <t xml:space="preserve"> W-L1 Sm-110</t>
  </si>
  <si>
    <t xml:space="preserve"> W-L1 Sm-109</t>
  </si>
  <si>
    <t xml:space="preserve"> W-L1 Sm-32</t>
  </si>
  <si>
    <t xml:space="preserve"> W-L1 Sm-33</t>
  </si>
  <si>
    <t xml:space="preserve"> W-L1 Sm-34</t>
  </si>
  <si>
    <t xml:space="preserve"> W-L1 Sm-35</t>
  </si>
  <si>
    <t xml:space="preserve"> W-L1 Sm-36</t>
  </si>
  <si>
    <t xml:space="preserve"> W-L1 Sm-37</t>
  </si>
  <si>
    <t xml:space="preserve"> W-L1 Sm-38</t>
  </si>
  <si>
    <t xml:space="preserve"> W-L1 Sm-39</t>
  </si>
  <si>
    <t xml:space="preserve"> W-L1 Sm-40</t>
  </si>
  <si>
    <t xml:space="preserve"> W-L1 Sm-41</t>
  </si>
  <si>
    <t xml:space="preserve"> W-L1 Sm-42</t>
  </si>
  <si>
    <t xml:space="preserve"> W-L1 Sm-43</t>
  </si>
  <si>
    <t xml:space="preserve"> W-L1 Sm-44</t>
  </si>
  <si>
    <t xml:space="preserve"> W-L1 Sm-45</t>
  </si>
  <si>
    <t xml:space="preserve"> W-L1 Sm-46</t>
  </si>
  <si>
    <t xml:space="preserve"> W-L1 Sm-47</t>
  </si>
  <si>
    <t xml:space="preserve"> W-L1 Sm-48</t>
  </si>
  <si>
    <t xml:space="preserve"> W-L1 Sm-49</t>
  </si>
  <si>
    <t xml:space="preserve"> W-L1 Sm-50</t>
  </si>
  <si>
    <t xml:space="preserve"> W-L1 Sm-51</t>
  </si>
  <si>
    <t xml:space="preserve"> W-L1 Sm-86</t>
  </si>
  <si>
    <t xml:space="preserve"> W-L1 Sm-87</t>
  </si>
  <si>
    <t xml:space="preserve"> W-L1 Sm-88</t>
  </si>
  <si>
    <t xml:space="preserve"> W-L1 Sm-89</t>
  </si>
  <si>
    <t xml:space="preserve"> W-L1 Sm-90</t>
  </si>
  <si>
    <t xml:space="preserve"> W-L1 Sm-91</t>
  </si>
  <si>
    <t xml:space="preserve"> W-L1 Sm-98</t>
  </si>
  <si>
    <t xml:space="preserve"> W-L1 Sm-99</t>
  </si>
  <si>
    <t xml:space="preserve"> W-L1 Sm-100</t>
  </si>
  <si>
    <t xml:space="preserve"> W-L1 Sm-105</t>
  </si>
  <si>
    <t xml:space="preserve"> W-L1 Sm-106</t>
  </si>
  <si>
    <t xml:space="preserve"> W-L1 Sm-107</t>
  </si>
  <si>
    <t xml:space="preserve"> W-L1 Sm-108</t>
  </si>
  <si>
    <t>L1  W P2-4</t>
  </si>
  <si>
    <t>L1  W P2-5</t>
  </si>
  <si>
    <t>L1  W P2-6</t>
  </si>
  <si>
    <t>L1  W P2-7</t>
  </si>
  <si>
    <t>L1  W P2-8</t>
  </si>
  <si>
    <t>L1  W P2-9</t>
  </si>
  <si>
    <t>L1  W 9J 1+2</t>
  </si>
  <si>
    <t>L1  W 9J 3+4+5</t>
  </si>
  <si>
    <t>L1  W 9J 6+7+8</t>
  </si>
  <si>
    <t>L1  W 9J 9+10+11</t>
  </si>
  <si>
    <t>L1  W 9J 19+20+21</t>
  </si>
  <si>
    <t>L1  W 9J 22</t>
  </si>
  <si>
    <t xml:space="preserve"> Soil Sm-1</t>
  </si>
  <si>
    <t xml:space="preserve"> Soil Sm-2</t>
  </si>
  <si>
    <t xml:space="preserve"> Soil Sm-3</t>
  </si>
  <si>
    <t xml:space="preserve"> Soil Sm-4</t>
  </si>
  <si>
    <t xml:space="preserve"> Soil Sm-5</t>
  </si>
  <si>
    <t xml:space="preserve"> Soil Sm-6</t>
  </si>
  <si>
    <t xml:space="preserve"> Soil Sm-7</t>
  </si>
  <si>
    <t xml:space="preserve"> Soil Sm-8</t>
  </si>
  <si>
    <t xml:space="preserve"> Soil Sm-9</t>
  </si>
  <si>
    <t xml:space="preserve"> Soil Sm-10</t>
  </si>
  <si>
    <t xml:space="preserve"> Soil Sm-11</t>
  </si>
  <si>
    <t xml:space="preserve"> Soil Sm-12</t>
  </si>
  <si>
    <t xml:space="preserve"> Soil Sm-13</t>
  </si>
  <si>
    <t xml:space="preserve"> Soil Sm-14</t>
  </si>
  <si>
    <t xml:space="preserve"> Soil Sm-15</t>
  </si>
  <si>
    <t xml:space="preserve"> Soil Sm-16</t>
  </si>
  <si>
    <t xml:space="preserve"> Soil Sm-17</t>
  </si>
  <si>
    <t xml:space="preserve"> Soil Sm-18</t>
  </si>
  <si>
    <t xml:space="preserve"> Soil Sm-19</t>
  </si>
  <si>
    <t xml:space="preserve"> Soil Sm-20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</si>
</sst>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
  </numFmts>
  <fonts count="43" x14ac:knownFonts="1">
    <font>
      <sz val="11"/>
      <color theme="1"/>
      <name val="Arial"/>
      <family val="2"/>
      <scheme val="minor"/>
    </font>
    <font>
      <sz val="11"/>
      <color theme="1"/>
      <name val="Arial"/>
      <family val="2"/>
      <scheme val="minor"/>
    </font>
    <font>
      <sz val="18"/>
      <color theme="3"/>
      <name val="Times New Roman"/>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65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11"/>
      <color rgb="FF00B050"/>
      <name val="Arial"/>
      <family val="2"/>
      <scheme val="minor"/>
    </font>
    <font>
      <sz val="12"/>
      <color theme="1"/>
      <name val="Arial"/>
      <family val="2"/>
    </font>
    <font>
      <sz val="12"/>
      <color rgb="FF000000"/>
      <name val="Arial"/>
      <family val="2"/>
    </font>
    <font>
      <sz val="11"/>
      <color theme="1"/>
      <name val="Arial"/>
      <family val="2"/>
    </font>
    <font>
      <b/>
      <sz val="11"/>
      <color theme="1"/>
      <name val="Arial"/>
      <family val="2"/>
    </font>
    <font>
      <sz val="11"/>
      <color theme="1"/>
      <name val="Calibri"/>
      <family val="2"/>
    </font>
    <font>
      <sz val="11"/>
      <name val="Arial"/>
      <family val="2"/>
    </font>
    <font>
      <sz val="11"/>
      <name val="Arial"/>
      <family val="2"/>
      <scheme val="minor"/>
    </font>
    <font>
      <sz val="11"/>
      <color theme="9"/>
      <name val="Arial"/>
      <family val="2"/>
      <scheme val="minor"/>
    </font>
    <font>
      <sz val="9"/>
      <color indexed="81"/>
      <name val="Tahoma"/>
      <family val="2"/>
    </font>
    <font>
      <b/>
      <sz val="9"/>
      <color indexed="81"/>
      <name val="Tahoma"/>
      <family val="2"/>
    </font>
    <font>
      <sz val="14"/>
      <color theme="1"/>
      <name val="Arial"/>
      <family val="2"/>
      <scheme val="minor"/>
    </font>
    <font>
      <sz val="8"/>
      <name val="Arial"/>
      <family val="2"/>
      <scheme val="minor"/>
    </font>
    <font>
      <sz val="12"/>
      <color rgb="FF212121"/>
      <name val="Segoe UI"/>
      <family val="2"/>
    </font>
    <font>
      <sz val="10"/>
      <color rgb="FF111827"/>
      <name val="Segoe UI"/>
      <family val="2"/>
    </font>
    <font>
      <sz val="20"/>
      <color theme="1"/>
      <name val="Arial"/>
      <family val="2"/>
      <scheme val="minor"/>
    </font>
    <font>
      <b/>
      <sz val="20"/>
      <color theme="1"/>
      <name val="Arial"/>
      <family val="2"/>
      <scheme val="minor"/>
    </font>
    <font>
      <b/>
      <sz val="20"/>
      <name val="Arial"/>
      <family val="2"/>
      <scheme val="minor"/>
    </font>
    <font>
      <sz val="12"/>
      <color theme="1"/>
      <name val="Arial"/>
      <family val="2"/>
      <scheme val="minor"/>
    </font>
    <font>
      <i/>
      <sz val="10"/>
      <color theme="1"/>
      <name val="Arial"/>
      <family val="2"/>
      <scheme val="minor"/>
    </font>
    <font>
      <sz val="20"/>
      <name val="Arial"/>
      <family val="2"/>
      <scheme val="minor"/>
    </font>
    <font>
      <b/>
      <sz val="14"/>
      <color theme="1"/>
      <name val="Arial"/>
      <family val="2"/>
      <scheme val="minor"/>
    </font>
    <font>
      <b/>
      <sz val="14"/>
      <name val="Arial"/>
      <family val="2"/>
      <scheme val="minor"/>
    </font>
    <font>
      <sz val="11"/>
      <color theme="9" tint="-0.249977111117893"/>
      <name val="Arial"/>
      <family val="2"/>
      <scheme val="minor"/>
    </font>
    <font>
      <sz val="11"/>
      <color rgb="FFFF0066"/>
      <name val="Arial"/>
      <family val="2"/>
      <scheme val="minor"/>
    </font>
  </fonts>
  <fills count="6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9" tint="0.59999389629810485"/>
        <bgColor indexed="64"/>
      </patternFill>
    </fill>
    <fill>
      <patternFill patternType="solid">
        <fgColor theme="9" tint="0.59999389629810485"/>
        <bgColor rgb="FFF4B083"/>
      </patternFill>
    </fill>
    <fill>
      <patternFill patternType="solid">
        <fgColor rgb="FFFF7C8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00B0F0"/>
        <bgColor indexed="64"/>
      </patternFill>
    </fill>
    <fill>
      <patternFill patternType="solid">
        <fgColor rgb="FFFF99FF"/>
        <bgColor indexed="64"/>
      </patternFill>
    </fill>
    <fill>
      <patternFill patternType="solid">
        <fgColor rgb="FFFFCDFF"/>
        <bgColor indexed="64"/>
      </patternFill>
    </fill>
    <fill>
      <patternFill patternType="solid">
        <fgColor rgb="FF79DCFF"/>
        <bgColor indexed="64"/>
      </patternFill>
    </fill>
    <fill>
      <patternFill patternType="solid">
        <fgColor rgb="FFFFFF00"/>
        <bgColor indexed="64"/>
      </patternFill>
    </fill>
    <fill>
      <patternFill patternType="solid">
        <fgColor rgb="FFFF3F3F"/>
        <bgColor indexed="64"/>
      </patternFill>
    </fill>
    <fill>
      <patternFill patternType="solid">
        <fgColor rgb="FFFF4F4F"/>
        <bgColor indexed="64"/>
      </patternFill>
    </fill>
    <fill>
      <patternFill patternType="solid">
        <fgColor rgb="FFFF4343"/>
        <bgColor indexed="64"/>
      </patternFill>
    </fill>
    <fill>
      <patternFill patternType="solid">
        <fgColor theme="0"/>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8" tint="0.79998168889431442"/>
        <bgColor indexed="64"/>
      </patternFill>
    </fill>
    <fill>
      <patternFill patternType="solid">
        <fgColor rgb="FFFF00FF"/>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FF825B"/>
        <bgColor indexed="64"/>
      </patternFill>
    </fill>
    <fill>
      <patternFill patternType="solid">
        <fgColor theme="7" tint="0.59999389629810485"/>
        <bgColor indexed="64"/>
      </patternFill>
    </fill>
    <fill>
      <patternFill patternType="solid">
        <fgColor rgb="FFFF9933"/>
        <bgColor indexed="64"/>
      </patternFill>
    </fill>
    <fill>
      <patternFill patternType="solid">
        <fgColor rgb="FF99FFCC"/>
        <bgColor indexed="64"/>
      </patternFill>
    </fill>
    <fill>
      <patternFill patternType="solid">
        <fgColor rgb="FF00FF00"/>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rgb="FFCC99FF"/>
        <bgColor indexed="64"/>
      </patternFill>
    </fill>
    <fill>
      <patternFill patternType="solid">
        <fgColor theme="5" tint="0.39997558519241921"/>
        <bgColor indexed="64"/>
      </patternFill>
    </fill>
    <fill>
      <patternFill patternType="solid">
        <fgColor rgb="FFC2E49C"/>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FF00"/>
      </left>
      <right style="thin">
        <color rgb="FF00FF00"/>
      </right>
      <top style="thin">
        <color rgb="FF00FF00"/>
      </top>
      <bottom style="thin">
        <color rgb="FF00FF00"/>
      </bottom>
      <diagonal/>
    </border>
    <border>
      <left style="thin">
        <color rgb="FFFF0066"/>
      </left>
      <right style="thin">
        <color rgb="FFFF0066"/>
      </right>
      <top style="thin">
        <color rgb="FFFF0066"/>
      </top>
      <bottom style="thin">
        <color rgb="FFFF0066"/>
      </bottom>
      <diagonal/>
    </border>
    <border>
      <left/>
      <right/>
      <top style="medium">
        <color rgb="FFFFFF00"/>
      </top>
      <bottom/>
      <diagonal/>
    </border>
    <border>
      <left/>
      <right style="medium">
        <color rgb="FFFFFF00"/>
      </right>
      <top style="medium">
        <color rgb="FFFFFF00"/>
      </top>
      <bottom/>
      <diagonal/>
    </border>
    <border>
      <left/>
      <right style="medium">
        <color rgb="FFFFFF00"/>
      </right>
      <top/>
      <bottom/>
      <diagonal/>
    </border>
    <border>
      <left/>
      <right/>
      <top/>
      <bottom style="medium">
        <color rgb="FFFFFF00"/>
      </bottom>
      <diagonal/>
    </border>
    <border>
      <left/>
      <right style="medium">
        <color rgb="FFFFFF00"/>
      </right>
      <top/>
      <bottom style="medium">
        <color rgb="FFFFFF00"/>
      </bottom>
      <diagonal/>
    </border>
    <border>
      <left style="thin">
        <color rgb="FFFFFF00"/>
      </left>
      <right/>
      <top style="thin">
        <color rgb="FFFFFF00"/>
      </top>
      <bottom/>
      <diagonal/>
    </border>
    <border>
      <left style="thin">
        <color rgb="FFFFFF00"/>
      </left>
      <right/>
      <top/>
      <bottom/>
      <diagonal/>
    </border>
    <border>
      <left style="thin">
        <color rgb="FFFFFF00"/>
      </left>
      <right/>
      <top/>
      <bottom style="thin">
        <color rgb="FFFFFF00"/>
      </bottom>
      <diagonal/>
    </border>
    <border>
      <left/>
      <right/>
      <top style="thin">
        <color rgb="FFFFFF00"/>
      </top>
      <bottom/>
      <diagonal/>
    </border>
    <border>
      <left/>
      <right style="thin">
        <color rgb="FFFFFF00"/>
      </right>
      <top style="thin">
        <color rgb="FFFFFF00"/>
      </top>
      <bottom/>
      <diagonal/>
    </border>
    <border>
      <left/>
      <right style="thin">
        <color rgb="FFFFFF00"/>
      </right>
      <top/>
      <bottom/>
      <diagonal/>
    </border>
    <border>
      <left/>
      <right/>
      <top/>
      <bottom style="thin">
        <color rgb="FFFFFF00"/>
      </bottom>
      <diagonal/>
    </border>
    <border>
      <left/>
      <right style="thin">
        <color rgb="FFFFFF00"/>
      </right>
      <top/>
      <bottom style="thin">
        <color rgb="FFFFFF00"/>
      </bottom>
      <diagonal/>
    </border>
    <border>
      <left style="thin">
        <color rgb="FFFFFF00"/>
      </left>
      <right/>
      <top style="thin">
        <color rgb="FFFFFF00"/>
      </top>
      <bottom style="thin">
        <color rgb="FFFFFF00"/>
      </bottom>
      <diagonal/>
    </border>
    <border>
      <left/>
      <right/>
      <top style="thin">
        <color rgb="FFFFFF00"/>
      </top>
      <bottom style="thin">
        <color rgb="FFFFFF00"/>
      </bottom>
      <diagonal/>
    </border>
    <border>
      <left/>
      <right style="thin">
        <color rgb="FFFFFF00"/>
      </right>
      <top style="thin">
        <color rgb="FFFFFF00"/>
      </top>
      <bottom style="thin">
        <color rgb="FFFFFF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88">
    <xf numFmtId="0" fontId="0" fillId="0" borderId="0" xfId="0"/>
    <xf numFmtId="0" fontId="0" fillId="33" borderId="0" xfId="0" applyFill="1"/>
    <xf numFmtId="0" fontId="14" fillId="0" borderId="0" xfId="0" applyFont="1"/>
    <xf numFmtId="0" fontId="18" fillId="0" borderId="0" xfId="0" applyFont="1"/>
    <xf numFmtId="0" fontId="19" fillId="34" borderId="10" xfId="0" applyFont="1" applyFill="1" applyBorder="1" applyAlignment="1">
      <alignment vertical="center" wrapText="1"/>
    </xf>
    <xf numFmtId="0" fontId="20" fillId="0" borderId="11" xfId="0" applyFont="1" applyBorder="1" applyAlignment="1">
      <alignment vertical="center" wrapText="1"/>
    </xf>
    <xf numFmtId="0" fontId="21" fillId="35" borderId="12" xfId="0" applyFont="1" applyFill="1" applyBorder="1"/>
    <xf numFmtId="0" fontId="22" fillId="0" borderId="13" xfId="0" applyFont="1" applyBorder="1"/>
    <xf numFmtId="0" fontId="21" fillId="0" borderId="13" xfId="0" applyFont="1" applyBorder="1"/>
    <xf numFmtId="0" fontId="21" fillId="36" borderId="12" xfId="0" applyFont="1" applyFill="1" applyBorder="1"/>
    <xf numFmtId="0" fontId="22" fillId="36" borderId="13" xfId="0" applyFont="1" applyFill="1" applyBorder="1"/>
    <xf numFmtId="0" fontId="23" fillId="36" borderId="13" xfId="0" applyFont="1" applyFill="1" applyBorder="1"/>
    <xf numFmtId="20" fontId="21" fillId="36" borderId="13" xfId="0" applyNumberFormat="1" applyFont="1" applyFill="1" applyBorder="1"/>
    <xf numFmtId="0" fontId="0" fillId="36" borderId="13" xfId="0" applyFill="1" applyBorder="1"/>
    <xf numFmtId="0" fontId="21" fillId="37" borderId="12" xfId="0" applyFont="1" applyFill="1" applyBorder="1"/>
    <xf numFmtId="0" fontId="0" fillId="37" borderId="13" xfId="0" applyFill="1" applyBorder="1"/>
    <xf numFmtId="0" fontId="23" fillId="37" borderId="13" xfId="0" applyFont="1" applyFill="1" applyBorder="1"/>
    <xf numFmtId="0" fontId="21" fillId="33" borderId="12" xfId="0" applyFont="1" applyFill="1" applyBorder="1"/>
    <xf numFmtId="0" fontId="0" fillId="33" borderId="13" xfId="0" applyFill="1" applyBorder="1"/>
    <xf numFmtId="0" fontId="24" fillId="38" borderId="13" xfId="0" applyFont="1" applyFill="1" applyBorder="1"/>
    <xf numFmtId="0" fontId="0" fillId="38" borderId="13" xfId="0" applyFill="1" applyBorder="1"/>
    <xf numFmtId="0" fontId="21" fillId="33" borderId="14" xfId="0" applyFont="1" applyFill="1" applyBorder="1"/>
    <xf numFmtId="0" fontId="0" fillId="33" borderId="15" xfId="0" applyFill="1" applyBorder="1"/>
    <xf numFmtId="0" fontId="0" fillId="38" borderId="15" xfId="0" applyFill="1" applyBorder="1"/>
    <xf numFmtId="0" fontId="26" fillId="0" borderId="0" xfId="0" applyFont="1"/>
    <xf numFmtId="0" fontId="23" fillId="36" borderId="17" xfId="0" applyFont="1" applyFill="1" applyBorder="1"/>
    <xf numFmtId="0" fontId="0" fillId="0" borderId="16" xfId="0" applyBorder="1"/>
    <xf numFmtId="0" fontId="26" fillId="0" borderId="16" xfId="0" applyFont="1" applyBorder="1"/>
    <xf numFmtId="0" fontId="14" fillId="0" borderId="16" xfId="0" applyFont="1" applyBorder="1"/>
    <xf numFmtId="0" fontId="0" fillId="39" borderId="0" xfId="0" applyFill="1"/>
    <xf numFmtId="0" fontId="0" fillId="40" borderId="0" xfId="0" applyFill="1"/>
    <xf numFmtId="0" fontId="25" fillId="40" borderId="0" xfId="0" applyFont="1" applyFill="1"/>
    <xf numFmtId="0" fontId="0" fillId="41" borderId="0" xfId="0" applyFill="1"/>
    <xf numFmtId="0" fontId="23" fillId="36" borderId="18" xfId="0" applyFont="1" applyFill="1" applyBorder="1"/>
    <xf numFmtId="0" fontId="24" fillId="38" borderId="17" xfId="0" applyFont="1" applyFill="1" applyBorder="1"/>
    <xf numFmtId="0" fontId="23" fillId="37" borderId="15" xfId="0" applyFont="1" applyFill="1" applyBorder="1"/>
    <xf numFmtId="0" fontId="0" fillId="36" borderId="0" xfId="0" applyFill="1"/>
    <xf numFmtId="0" fontId="23" fillId="36" borderId="0" xfId="0" applyFont="1" applyFill="1"/>
    <xf numFmtId="0" fontId="0" fillId="36" borderId="19" xfId="0" applyFill="1" applyBorder="1"/>
    <xf numFmtId="0" fontId="23" fillId="37" borderId="17" xfId="0" applyFont="1" applyFill="1" applyBorder="1"/>
    <xf numFmtId="0" fontId="23" fillId="36" borderId="15" xfId="0" applyFont="1" applyFill="1" applyBorder="1"/>
    <xf numFmtId="0" fontId="0" fillId="42" borderId="0" xfId="0" applyFill="1"/>
    <xf numFmtId="0" fontId="16" fillId="0" borderId="0" xfId="0" applyFont="1"/>
    <xf numFmtId="0" fontId="0" fillId="0" borderId="0" xfId="0" applyAlignment="1">
      <alignment wrapText="1"/>
    </xf>
    <xf numFmtId="0" fontId="0" fillId="43" borderId="0" xfId="0" applyFill="1"/>
    <xf numFmtId="0" fontId="0" fillId="44" borderId="0" xfId="0" applyFill="1"/>
    <xf numFmtId="0" fontId="0" fillId="44" borderId="16" xfId="0" applyFill="1" applyBorder="1"/>
    <xf numFmtId="0" fontId="0" fillId="45" borderId="0" xfId="0" applyFill="1"/>
    <xf numFmtId="0" fontId="21" fillId="45" borderId="0" xfId="0" applyFont="1" applyFill="1"/>
    <xf numFmtId="2" fontId="0" fillId="0" borderId="0" xfId="0" applyNumberFormat="1"/>
    <xf numFmtId="14" fontId="0" fillId="0" borderId="0" xfId="0" applyNumberFormat="1"/>
    <xf numFmtId="0" fontId="0" fillId="46" borderId="0" xfId="0" applyFill="1"/>
    <xf numFmtId="0" fontId="25" fillId="0" borderId="0" xfId="0" applyFont="1"/>
    <xf numFmtId="0" fontId="0" fillId="46" borderId="16" xfId="0" applyFill="1" applyBorder="1"/>
    <xf numFmtId="0" fontId="0" fillId="47" borderId="0" xfId="0" applyFill="1"/>
    <xf numFmtId="0" fontId="0" fillId="48" borderId="0" xfId="0" applyFill="1"/>
    <xf numFmtId="0" fontId="0" fillId="48" borderId="16" xfId="0" applyFill="1" applyBorder="1"/>
    <xf numFmtId="14" fontId="0" fillId="0" borderId="20" xfId="0" applyNumberFormat="1" applyBorder="1"/>
    <xf numFmtId="0" fontId="0" fillId="46" borderId="20" xfId="0" applyFill="1" applyBorder="1"/>
    <xf numFmtId="0" fontId="0" fillId="48" borderId="20" xfId="0" applyFill="1" applyBorder="1"/>
    <xf numFmtId="0" fontId="0" fillId="40" borderId="20" xfId="0" applyFill="1" applyBorder="1"/>
    <xf numFmtId="0" fontId="0" fillId="0" borderId="20" xfId="0" applyBorder="1"/>
    <xf numFmtId="0" fontId="0" fillId="39" borderId="20" xfId="0" applyFill="1" applyBorder="1"/>
    <xf numFmtId="17" fontId="0" fillId="0" borderId="0" xfId="0" applyNumberFormat="1"/>
    <xf numFmtId="11" fontId="0" fillId="0" borderId="0" xfId="0" applyNumberFormat="1"/>
    <xf numFmtId="0" fontId="31" fillId="0" borderId="0" xfId="0" applyFont="1"/>
    <xf numFmtId="11" fontId="31" fillId="0" borderId="0" xfId="0" applyNumberFormat="1" applyFont="1"/>
    <xf numFmtId="0" fontId="0" fillId="0" borderId="0" xfId="0" applyAlignment="1">
      <alignment horizontal="right"/>
    </xf>
    <xf numFmtId="0" fontId="32" fillId="0" borderId="0" xfId="0" applyFont="1"/>
    <xf numFmtId="0" fontId="0" fillId="49" borderId="0" xfId="0" applyFill="1" applyAlignment="1">
      <alignment horizontal="right"/>
    </xf>
    <xf numFmtId="0" fontId="0" fillId="50" borderId="0" xfId="0" applyFill="1"/>
    <xf numFmtId="2" fontId="0" fillId="41" borderId="0" xfId="0" applyNumberFormat="1" applyFill="1"/>
    <xf numFmtId="2" fontId="0" fillId="43" borderId="0" xfId="0" applyNumberFormat="1" applyFill="1"/>
    <xf numFmtId="0" fontId="0" fillId="51" borderId="0" xfId="0" applyFill="1"/>
    <xf numFmtId="0" fontId="16" fillId="0" borderId="0" xfId="0" applyFont="1" applyAlignment="1">
      <alignment wrapText="1"/>
    </xf>
    <xf numFmtId="14" fontId="0" fillId="48" borderId="0" xfId="0" applyNumberFormat="1" applyFill="1"/>
    <xf numFmtId="2" fontId="16" fillId="0" borderId="0" xfId="0" applyNumberFormat="1" applyFont="1"/>
    <xf numFmtId="0" fontId="33" fillId="47" borderId="0" xfId="0" applyFont="1" applyFill="1"/>
    <xf numFmtId="2" fontId="33" fillId="47" borderId="0" xfId="0" applyNumberFormat="1" applyFont="1" applyFill="1"/>
    <xf numFmtId="0" fontId="36" fillId="47" borderId="0" xfId="0" applyFont="1" applyFill="1"/>
    <xf numFmtId="2" fontId="16" fillId="0" borderId="21" xfId="0" applyNumberFormat="1" applyFont="1" applyBorder="1"/>
    <xf numFmtId="2" fontId="16" fillId="0" borderId="22" xfId="0" applyNumberFormat="1" applyFont="1" applyBorder="1"/>
    <xf numFmtId="2" fontId="16" fillId="0" borderId="23" xfId="0" applyNumberFormat="1" applyFont="1" applyBorder="1"/>
    <xf numFmtId="0" fontId="0" fillId="0" borderId="0" xfId="0" applyAlignment="1">
      <alignment horizontal="left"/>
    </xf>
    <xf numFmtId="0" fontId="0" fillId="51" borderId="0" xfId="0" applyFill="1" applyAlignment="1">
      <alignment horizontal="left"/>
    </xf>
    <xf numFmtId="0" fontId="0" fillId="40" borderId="0" xfId="0" applyFill="1" applyAlignment="1">
      <alignment horizontal="left"/>
    </xf>
    <xf numFmtId="0" fontId="25" fillId="40" borderId="0" xfId="0" applyFont="1" applyFill="1" applyAlignment="1">
      <alignment horizontal="left"/>
    </xf>
    <xf numFmtId="0" fontId="0" fillId="48" borderId="0" xfId="0" applyFill="1" applyAlignment="1">
      <alignment horizontal="left"/>
    </xf>
    <xf numFmtId="0" fontId="36" fillId="0" borderId="0" xfId="0" applyFont="1" applyAlignment="1">
      <alignment horizontal="left"/>
    </xf>
    <xf numFmtId="0" fontId="36" fillId="47" borderId="0" xfId="0" applyFont="1" applyFill="1" applyAlignment="1">
      <alignment horizontal="left"/>
    </xf>
    <xf numFmtId="0" fontId="36" fillId="0" borderId="0" xfId="0" applyFont="1"/>
    <xf numFmtId="0" fontId="0" fillId="46" borderId="0" xfId="0" applyFill="1" applyAlignment="1">
      <alignment wrapText="1"/>
    </xf>
    <xf numFmtId="0" fontId="36" fillId="47" borderId="0" xfId="0" applyFont="1" applyFill="1" applyAlignment="1">
      <alignment wrapText="1"/>
    </xf>
    <xf numFmtId="0" fontId="36" fillId="0" borderId="0" xfId="0" applyFont="1" applyAlignment="1">
      <alignment wrapText="1"/>
    </xf>
    <xf numFmtId="2" fontId="0" fillId="42" borderId="0" xfId="0" applyNumberFormat="1" applyFill="1"/>
    <xf numFmtId="0" fontId="37" fillId="0" borderId="0" xfId="0" applyFont="1" applyAlignment="1">
      <alignment horizontal="justify" vertical="top" readingOrder="1"/>
    </xf>
    <xf numFmtId="0" fontId="37" fillId="52" borderId="0" xfId="0" applyFont="1" applyFill="1" applyAlignment="1">
      <alignment horizontal="justify" vertical="top" readingOrder="1"/>
    </xf>
    <xf numFmtId="14" fontId="0" fillId="53" borderId="0" xfId="0" applyNumberFormat="1" applyFill="1"/>
    <xf numFmtId="0" fontId="0" fillId="53" borderId="0" xfId="0" applyFill="1"/>
    <xf numFmtId="0" fontId="0" fillId="54" borderId="0" xfId="0" applyFill="1"/>
    <xf numFmtId="0" fontId="39" fillId="0" borderId="0" xfId="0" applyFont="1" applyAlignment="1">
      <alignment wrapText="1"/>
    </xf>
    <xf numFmtId="0" fontId="39" fillId="0" borderId="0" xfId="0" applyFont="1"/>
    <xf numFmtId="0" fontId="39" fillId="0" borderId="0" xfId="0" applyFont="1" applyAlignment="1">
      <alignment horizontal="left"/>
    </xf>
    <xf numFmtId="0" fontId="40" fillId="0" borderId="0" xfId="0" applyFont="1" applyAlignment="1">
      <alignment horizontal="left"/>
    </xf>
    <xf numFmtId="2" fontId="29" fillId="0" borderId="0" xfId="0" applyNumberFormat="1" applyFont="1"/>
    <xf numFmtId="2" fontId="29" fillId="48" borderId="0" xfId="0" applyNumberFormat="1" applyFont="1" applyFill="1"/>
    <xf numFmtId="2" fontId="0" fillId="0" borderId="0" xfId="0" applyNumberFormat="1" applyAlignment="1">
      <alignment wrapText="1"/>
    </xf>
    <xf numFmtId="0" fontId="39" fillId="55" borderId="0" xfId="0" applyFont="1" applyFill="1"/>
    <xf numFmtId="0" fontId="39" fillId="48" borderId="0" xfId="0" applyFont="1" applyFill="1"/>
    <xf numFmtId="0" fontId="41" fillId="0" borderId="0" xfId="0" applyFont="1"/>
    <xf numFmtId="0" fontId="42" fillId="0" borderId="0" xfId="0" applyFont="1"/>
    <xf numFmtId="0" fontId="0" fillId="56" borderId="0" xfId="0" applyFill="1"/>
    <xf numFmtId="0" fontId="0" fillId="57" borderId="0" xfId="0" applyFill="1"/>
    <xf numFmtId="0" fontId="0" fillId="46" borderId="13" xfId="0" applyFill="1" applyBorder="1"/>
    <xf numFmtId="0" fontId="0" fillId="0" borderId="13" xfId="0" applyBorder="1"/>
    <xf numFmtId="0" fontId="0" fillId="58" borderId="0" xfId="0" applyFill="1"/>
    <xf numFmtId="0" fontId="41" fillId="0" borderId="16" xfId="0" applyFont="1" applyBorder="1"/>
    <xf numFmtId="0" fontId="42" fillId="0" borderId="16" xfId="0" applyFont="1" applyBorder="1"/>
    <xf numFmtId="0" fontId="41" fillId="58" borderId="0" xfId="0" applyFont="1" applyFill="1"/>
    <xf numFmtId="0" fontId="41" fillId="57" borderId="0" xfId="0" applyFont="1" applyFill="1"/>
    <xf numFmtId="0" fontId="25" fillId="58" borderId="0" xfId="0" applyFont="1" applyFill="1"/>
    <xf numFmtId="0" fontId="0" fillId="59" borderId="0" xfId="0" applyFill="1"/>
    <xf numFmtId="14" fontId="0" fillId="59" borderId="0" xfId="0" applyNumberFormat="1" applyFill="1"/>
    <xf numFmtId="14" fontId="0" fillId="50" borderId="0" xfId="0" applyNumberFormat="1" applyFill="1"/>
    <xf numFmtId="14" fontId="0" fillId="60" borderId="0" xfId="0" applyNumberFormat="1" applyFill="1"/>
    <xf numFmtId="0" fontId="0" fillId="60" borderId="0" xfId="0" applyFill="1"/>
    <xf numFmtId="14" fontId="0" fillId="61" borderId="0" xfId="0" applyNumberFormat="1" applyFill="1"/>
    <xf numFmtId="0" fontId="0" fillId="61" borderId="0" xfId="0" applyFill="1"/>
    <xf numFmtId="0" fontId="0" fillId="59" borderId="24" xfId="0" applyFill="1" applyBorder="1"/>
    <xf numFmtId="0" fontId="0" fillId="50" borderId="24" xfId="0" applyFill="1" applyBorder="1"/>
    <xf numFmtId="0" fontId="0" fillId="60" borderId="25" xfId="0" applyFill="1" applyBorder="1"/>
    <xf numFmtId="0" fontId="0" fillId="61" borderId="25" xfId="0" applyFill="1" applyBorder="1"/>
    <xf numFmtId="0" fontId="0" fillId="48" borderId="25" xfId="0" applyFill="1" applyBorder="1"/>
    <xf numFmtId="0" fontId="0" fillId="62" borderId="0" xfId="0" applyFill="1"/>
    <xf numFmtId="164" fontId="1" fillId="63" borderId="0" xfId="0" applyNumberFormat="1" applyFont="1" applyFill="1" applyAlignment="1">
      <alignment horizontal="left" vertical="center"/>
    </xf>
    <xf numFmtId="0" fontId="0" fillId="33" borderId="16" xfId="0" applyFill="1" applyBorder="1"/>
    <xf numFmtId="0" fontId="0" fillId="64" borderId="0" xfId="0" applyFill="1"/>
    <xf numFmtId="1" fontId="33" fillId="47" borderId="20" xfId="0" applyNumberFormat="1" applyFont="1" applyFill="1" applyBorder="1" applyAlignment="1">
      <alignment wrapText="1"/>
    </xf>
    <xf numFmtId="1" fontId="34" fillId="47" borderId="20" xfId="0" applyNumberFormat="1" applyFont="1" applyFill="1" applyBorder="1" applyAlignment="1">
      <alignment horizontal="left" vertical="top" wrapText="1"/>
    </xf>
    <xf numFmtId="1" fontId="34" fillId="47" borderId="0" xfId="0" applyNumberFormat="1" applyFont="1" applyFill="1" applyAlignment="1">
      <alignment wrapText="1"/>
    </xf>
    <xf numFmtId="1" fontId="33" fillId="47" borderId="0" xfId="0" applyNumberFormat="1" applyFont="1" applyFill="1" applyAlignment="1">
      <alignment horizontal="left"/>
    </xf>
    <xf numFmtId="1" fontId="35" fillId="47" borderId="0" xfId="0" applyNumberFormat="1" applyFont="1" applyFill="1" applyAlignment="1">
      <alignment wrapText="1"/>
    </xf>
    <xf numFmtId="1" fontId="34" fillId="47" borderId="20" xfId="0" applyNumberFormat="1" applyFont="1" applyFill="1" applyBorder="1" applyAlignment="1">
      <alignment wrapText="1"/>
    </xf>
    <xf numFmtId="1" fontId="33" fillId="47" borderId="20" xfId="0" applyNumberFormat="1" applyFont="1" applyFill="1" applyBorder="1" applyAlignment="1">
      <alignment horizontal="left"/>
    </xf>
    <xf numFmtId="1" fontId="34" fillId="47" borderId="0" xfId="0" applyNumberFormat="1" applyFont="1" applyFill="1" applyAlignment="1">
      <alignment horizontal="left"/>
    </xf>
    <xf numFmtId="0" fontId="25" fillId="40" borderId="0" xfId="0" applyFont="1" applyFill="1" applyAlignment="1">
      <alignment horizontal="left" readingOrder="2"/>
    </xf>
    <xf numFmtId="0" fontId="0" fillId="0" borderId="0" xfId="0" applyAlignment="1">
      <alignment horizontal="left" readingOrder="2"/>
    </xf>
    <xf numFmtId="0" fontId="25" fillId="0" borderId="0" xfId="0" applyFont="1" applyAlignment="1">
      <alignment horizontal="left" readingOrder="2"/>
    </xf>
    <xf numFmtId="0" fontId="36" fillId="47" borderId="0" xfId="0" applyFont="1" applyFill="1" applyAlignment="1">
      <alignment horizontal="left" readingOrder="2"/>
    </xf>
    <xf numFmtId="0" fontId="36" fillId="0" borderId="0" xfId="0" applyFont="1" applyAlignment="1">
      <alignment horizontal="left" readingOrder="2"/>
    </xf>
    <xf numFmtId="0" fontId="0" fillId="48" borderId="0" xfId="0" applyFill="1" applyAlignment="1">
      <alignment horizontal="left" readingOrder="2"/>
    </xf>
    <xf numFmtId="0" fontId="0" fillId="51" borderId="0" xfId="0" applyFill="1" applyAlignment="1">
      <alignment horizontal="left" readingOrder="2"/>
    </xf>
    <xf numFmtId="0" fontId="0" fillId="42" borderId="0" xfId="0" applyFill="1" applyAlignment="1">
      <alignment horizontal="left" readingOrder="2"/>
    </xf>
    <xf numFmtId="1" fontId="34" fillId="47" borderId="20" xfId="0" applyNumberFormat="1" applyFont="1" applyFill="1" applyBorder="1" applyAlignment="1">
      <alignment horizontal="left" vertical="top" wrapText="1" readingOrder="2"/>
    </xf>
    <xf numFmtId="1" fontId="33" fillId="47" borderId="0" xfId="0" applyNumberFormat="1" applyFont="1" applyFill="1" applyAlignment="1">
      <alignment horizontal="left" readingOrder="2"/>
    </xf>
    <xf numFmtId="1" fontId="33" fillId="47" borderId="20" xfId="0" applyNumberFormat="1" applyFont="1" applyFill="1" applyBorder="1" applyAlignment="1">
      <alignment horizontal="left" readingOrder="2"/>
    </xf>
    <xf numFmtId="1" fontId="34" fillId="47" borderId="0" xfId="0" applyNumberFormat="1" applyFont="1" applyFill="1" applyAlignment="1">
      <alignment horizontal="left" readingOrder="2"/>
    </xf>
    <xf numFmtId="0" fontId="38" fillId="47" borderId="0" xfId="0" applyFont="1" applyFill="1"/>
    <xf numFmtId="2" fontId="33" fillId="47" borderId="0" xfId="0" applyNumberFormat="1" applyFont="1" applyFill="1" applyAlignment="1">
      <alignment horizontal="left" readingOrder="2"/>
    </xf>
    <xf numFmtId="0" fontId="33" fillId="47" borderId="0" xfId="0" applyFont="1" applyFill="1" applyAlignment="1">
      <alignment horizontal="left"/>
    </xf>
    <xf numFmtId="2" fontId="33" fillId="47" borderId="0" xfId="0" applyNumberFormat="1" applyFont="1" applyFill="1" applyAlignment="1">
      <alignment horizontal="right"/>
    </xf>
    <xf numFmtId="2" fontId="38" fillId="47" borderId="0" xfId="0" applyNumberFormat="1" applyFont="1" applyFill="1" applyAlignment="1">
      <alignment horizontal="right"/>
    </xf>
    <xf numFmtId="2" fontId="34" fillId="43" borderId="0" xfId="0" applyNumberFormat="1" applyFont="1" applyFill="1"/>
    <xf numFmtId="2" fontId="34" fillId="43" borderId="0" xfId="0" applyNumberFormat="1" applyFont="1" applyFill="1" applyAlignment="1">
      <alignment horizontal="left" readingOrder="2"/>
    </xf>
    <xf numFmtId="0" fontId="34" fillId="47" borderId="20" xfId="0" applyFont="1" applyFill="1" applyBorder="1" applyAlignment="1">
      <alignment wrapText="1"/>
    </xf>
    <xf numFmtId="0" fontId="0" fillId="47" borderId="0" xfId="0" applyFill="1" applyAlignment="1">
      <alignment horizontal="left"/>
    </xf>
    <xf numFmtId="0" fontId="0" fillId="47" borderId="0" xfId="0" applyFill="1" applyAlignment="1">
      <alignment horizontal="left" readingOrder="2"/>
    </xf>
    <xf numFmtId="1" fontId="34" fillId="47" borderId="20" xfId="0" applyNumberFormat="1" applyFont="1" applyFill="1" applyBorder="1" applyAlignment="1">
      <alignment horizontal="left" vertical="top" wrapText="1" readingOrder="1"/>
    </xf>
    <xf numFmtId="0" fontId="29" fillId="47" borderId="0" xfId="0" applyFont="1" applyFill="1"/>
    <xf numFmtId="165" fontId="0" fillId="0" borderId="0" xfId="0" applyNumberFormat="1"/>
    <xf numFmtId="165" fontId="0" fillId="0" borderId="26" xfId="0" applyNumberFormat="1" applyBorder="1"/>
    <xf numFmtId="165" fontId="0" fillId="0" borderId="27" xfId="0" applyNumberFormat="1" applyBorder="1"/>
    <xf numFmtId="165" fontId="0" fillId="0" borderId="28" xfId="0" applyNumberFormat="1" applyBorder="1"/>
    <xf numFmtId="165" fontId="0" fillId="0" borderId="29" xfId="0" applyNumberFormat="1" applyBorder="1"/>
    <xf numFmtId="165" fontId="0" fillId="0" borderId="30" xfId="0" applyNumberFormat="1" applyBorder="1"/>
    <xf numFmtId="0" fontId="0" fillId="0" borderId="0" xfId="0" applyAlignment="1">
      <alignment textRotation="90"/>
    </xf>
    <xf numFmtId="0" fontId="25" fillId="0" borderId="0" xfId="0" applyFont="1" applyAlignment="1">
      <alignment textRotation="90"/>
    </xf>
    <xf numFmtId="165" fontId="0" fillId="0" borderId="31" xfId="0" applyNumberFormat="1" applyBorder="1"/>
    <xf numFmtId="165" fontId="0" fillId="0" borderId="32" xfId="0" applyNumberFormat="1" applyBorder="1"/>
    <xf numFmtId="165" fontId="0" fillId="0" borderId="33" xfId="0" applyNumberFormat="1" applyBorder="1"/>
    <xf numFmtId="165" fontId="0" fillId="0" borderId="34" xfId="0" applyNumberFormat="1" applyBorder="1"/>
    <xf numFmtId="165" fontId="0" fillId="0" borderId="35" xfId="0" applyNumberFormat="1" applyBorder="1"/>
    <xf numFmtId="165" fontId="0" fillId="0" borderId="36" xfId="0" applyNumberFormat="1" applyBorder="1"/>
    <xf numFmtId="165" fontId="0" fillId="0" borderId="37" xfId="0" applyNumberFormat="1" applyBorder="1"/>
    <xf numFmtId="165" fontId="0" fillId="0" borderId="38" xfId="0" applyNumberFormat="1" applyBorder="1"/>
    <xf numFmtId="165" fontId="0" fillId="0" borderId="39" xfId="0" applyNumberFormat="1" applyBorder="1"/>
    <xf numFmtId="165" fontId="0" fillId="0" borderId="40" xfId="0" applyNumberFormat="1" applyBorder="1"/>
    <xf numFmtId="165" fontId="0" fillId="0" borderId="41" xfId="0" applyNumberFormat="1" applyBorder="1"/>
  </cellXfs>
  <cellStyles count="42">
    <cellStyle name="20% - הדגשה1" xfId="19" builtinId="30" customBuiltin="1"/>
    <cellStyle name="20% - הדגשה2" xfId="23" builtinId="34" customBuiltin="1"/>
    <cellStyle name="20% - הדגשה3" xfId="27" builtinId="38" customBuiltin="1"/>
    <cellStyle name="20% - הדגשה4" xfId="31" builtinId="42" customBuiltin="1"/>
    <cellStyle name="20% - הדגשה5" xfId="35" builtinId="46" customBuiltin="1"/>
    <cellStyle name="20% - הדגשה6" xfId="39" builtinId="50" customBuiltin="1"/>
    <cellStyle name="40% - הדגשה1" xfId="20" builtinId="31" customBuiltin="1"/>
    <cellStyle name="40% - הדגשה2" xfId="24" builtinId="35" customBuiltin="1"/>
    <cellStyle name="40% - הדגשה3" xfId="28" builtinId="39" customBuiltin="1"/>
    <cellStyle name="40% - הדגשה4" xfId="32" builtinId="43" customBuiltin="1"/>
    <cellStyle name="40% - הדגשה5" xfId="36" builtinId="47" customBuiltin="1"/>
    <cellStyle name="40% - הדגשה6" xfId="40" builtinId="51" customBuiltin="1"/>
    <cellStyle name="60% - הדגשה1" xfId="21" builtinId="32" customBuiltin="1"/>
    <cellStyle name="60% - הדגשה2" xfId="25" builtinId="36" customBuiltin="1"/>
    <cellStyle name="60% - הדגשה3" xfId="29" builtinId="40" customBuiltin="1"/>
    <cellStyle name="60% - הדגשה4" xfId="33" builtinId="44" customBuiltin="1"/>
    <cellStyle name="60% - הדגשה5" xfId="37" builtinId="48" customBuiltin="1"/>
    <cellStyle name="60% - הדגשה6" xfId="41" builtinId="52" customBuiltin="1"/>
    <cellStyle name="Normal" xfId="0" builtinId="0"/>
    <cellStyle name="הדגשה1" xfId="18" builtinId="29" customBuiltin="1"/>
    <cellStyle name="הדגשה2" xfId="22" builtinId="33" customBuiltin="1"/>
    <cellStyle name="הדגשה3" xfId="26" builtinId="37" customBuiltin="1"/>
    <cellStyle name="הדגשה4" xfId="30" builtinId="41" customBuiltin="1"/>
    <cellStyle name="הדגשה5" xfId="34" builtinId="45" customBuiltin="1"/>
    <cellStyle name="הדגשה6" xfId="38" builtinId="49" customBuiltin="1"/>
    <cellStyle name="הערה" xfId="15" builtinId="10" customBuiltin="1"/>
    <cellStyle name="חישוב" xfId="11" builtinId="22" customBuiltin="1"/>
    <cellStyle name="טוב" xfId="6" builtinId="26" customBuiltin="1"/>
    <cellStyle name="טקסט אזהרה" xfId="14" builtinId="11" customBuiltin="1"/>
    <cellStyle name="טקסט הסברי" xfId="16" builtinId="53" customBuiltin="1"/>
    <cellStyle name="כותרת" xfId="1" builtinId="15" customBuiltin="1"/>
    <cellStyle name="כותרת 1" xfId="2" builtinId="16" customBuiltin="1"/>
    <cellStyle name="כותרת 2" xfId="3" builtinId="17" customBuiltin="1"/>
    <cellStyle name="כותרת 3" xfId="4" builtinId="18" customBuiltin="1"/>
    <cellStyle name="כותרת 4" xfId="5" builtinId="19" customBuiltin="1"/>
    <cellStyle name="ניטראלי" xfId="8" builtinId="28" customBuiltin="1"/>
    <cellStyle name="סה&quot;כ" xfId="17" builtinId="25" customBuiltin="1"/>
    <cellStyle name="פלט" xfId="10" builtinId="21" customBuiltin="1"/>
    <cellStyle name="קלט" xfId="9" builtinId="20" customBuiltin="1"/>
    <cellStyle name="רע" xfId="7" builtinId="27" customBuiltin="1"/>
    <cellStyle name="תא מסומן" xfId="13" builtinId="23" customBuiltin="1"/>
    <cellStyle name="תא מקושר" xfId="12" builtinId="24" customBuiltin="1"/>
  </cellStyles>
  <dxfs count="40">
    <dxf>
      <fill>
        <patternFill>
          <bgColor rgb="FFFFFF00"/>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theme="9" tint="-0.24994659260841701"/>
      </font>
      <fill>
        <patternFill>
          <bgColor theme="9" tint="0.79998168889431442"/>
        </patternFill>
      </fill>
    </dxf>
    <dxf>
      <font>
        <color rgb="FFFF0066"/>
      </font>
      <fill>
        <patternFill>
          <bgColor rgb="FFFFCCCC"/>
        </patternFill>
      </fill>
    </dxf>
    <dxf>
      <font>
        <color auto="1"/>
      </font>
      <fill>
        <patternFill>
          <bgColor rgb="FF00FF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EAEAEA"/>
      <color rgb="FFC2E49C"/>
      <color rgb="FF00FF00"/>
      <color rgb="FFFFCCCC"/>
      <color rgb="FFFF0066"/>
      <color rgb="FF99FFCC"/>
      <color rgb="FFFF825B"/>
      <color rgb="FFFF9933"/>
      <color rgb="FF79DCFF"/>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87</xdr:col>
      <xdr:colOff>68580</xdr:colOff>
      <xdr:row>93</xdr:row>
      <xdr:rowOff>38100</xdr:rowOff>
    </xdr:from>
    <xdr:to>
      <xdr:col>93</xdr:col>
      <xdr:colOff>365760</xdr:colOff>
      <xdr:row>102</xdr:row>
      <xdr:rowOff>7620</xdr:rowOff>
    </xdr:to>
    <xdr:sp macro="" textlink="">
      <xdr:nvSpPr>
        <xdr:cNvPr id="5" name="תיבת טקסט 4">
          <a:extLst>
            <a:ext uri="{FF2B5EF4-FFF2-40B4-BE49-F238E27FC236}">
              <a16:creationId xmlns:a16="http://schemas.microsoft.com/office/drawing/2014/main" id="{EAF007E5-CD79-137C-AF4D-25BE39E2DC68}"/>
            </a:ext>
          </a:extLst>
        </xdr:cNvPr>
        <xdr:cNvSpPr txBox="1"/>
      </xdr:nvSpPr>
      <xdr:spPr>
        <a:xfrm>
          <a:off x="62666880" y="16832580"/>
          <a:ext cx="4320540" cy="15544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he-IL" sz="2000"/>
            <a:t> </a:t>
          </a:r>
          <a:r>
            <a:rPr lang="en-US" sz="2000"/>
            <a:t>The analysis for these materials was not done for streamwater and soil data</a:t>
          </a:r>
          <a:endParaRPr lang="he-IL" sz="2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297180</xdr:colOff>
      <xdr:row>17</xdr:row>
      <xdr:rowOff>99060</xdr:rowOff>
    </xdr:from>
    <xdr:to>
      <xdr:col>4</xdr:col>
      <xdr:colOff>662940</xdr:colOff>
      <xdr:row>23</xdr:row>
      <xdr:rowOff>121920</xdr:rowOff>
    </xdr:to>
    <xdr:sp macro="" textlink="">
      <xdr:nvSpPr>
        <xdr:cNvPr id="2" name="תיבת טקסט 1">
          <a:extLst>
            <a:ext uri="{FF2B5EF4-FFF2-40B4-BE49-F238E27FC236}">
              <a16:creationId xmlns:a16="http://schemas.microsoft.com/office/drawing/2014/main" id="{DBBBE9C0-B1FA-0F14-0FD8-C01B1A9A14E7}"/>
            </a:ext>
          </a:extLst>
        </xdr:cNvPr>
        <xdr:cNvSpPr txBox="1"/>
      </xdr:nvSpPr>
      <xdr:spPr>
        <a:xfrm>
          <a:off x="297180" y="3604260"/>
          <a:ext cx="3048000" cy="10744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100"/>
            <a:t>This file was used in the journal ETES (Ecotoxicology and Environmental</a:t>
          </a:r>
          <a:r>
            <a:rPr lang="en-US" sz="1100" baseline="0"/>
            <a:t> Pafety paper, Nussboim et al 2025):</a:t>
          </a: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mn-lt"/>
              <a:ea typeface="+mn-ea"/>
              <a:cs typeface="+mn-cs"/>
            </a:rPr>
            <a:t>"Data-driven analysis for emerging contaminants in field scale flowpaths"</a:t>
          </a:r>
        </a:p>
        <a:p>
          <a:endParaRPr lang="he-IL"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51</xdr:col>
      <xdr:colOff>0</xdr:colOff>
      <xdr:row>33</xdr:row>
      <xdr:rowOff>0</xdr:rowOff>
    </xdr:from>
    <xdr:to>
      <xdr:col>55</xdr:col>
      <xdr:colOff>365760</xdr:colOff>
      <xdr:row>33</xdr:row>
      <xdr:rowOff>1074420</xdr:rowOff>
    </xdr:to>
    <xdr:sp macro="" textlink="">
      <xdr:nvSpPr>
        <xdr:cNvPr id="2" name="תיבת טקסט 1">
          <a:extLst>
            <a:ext uri="{FF2B5EF4-FFF2-40B4-BE49-F238E27FC236}">
              <a16:creationId xmlns:a16="http://schemas.microsoft.com/office/drawing/2014/main" id="{A0030F25-C4F6-46D4-A765-FF4952FF78AB}"/>
            </a:ext>
          </a:extLst>
        </xdr:cNvPr>
        <xdr:cNvSpPr txBox="1"/>
      </xdr:nvSpPr>
      <xdr:spPr>
        <a:xfrm>
          <a:off x="11605260" y="5654040"/>
          <a:ext cx="3048000" cy="107442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1"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This file was used in the journal ETES (Ecotoxicology and Environmental Pafety paper, Nussboim et al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"Data-driven analysis for emerging contaminants in field scale flowpaths"</a:t>
          </a:r>
        </a:p>
        <a:p>
          <a:pPr marL="0" marR="0" lvl="0" indent="0" defTabSz="914400" eaLnBrk="1" fontAlgn="auto" latinLnBrk="0" hangingPunct="1">
            <a:lnSpc>
              <a:spcPct val="100000"/>
            </a:lnSpc>
            <a:spcBef>
              <a:spcPts val="0"/>
            </a:spcBef>
            <a:spcAft>
              <a:spcPts val="0"/>
            </a:spcAft>
            <a:buClrTx/>
            <a:buSzTx/>
            <a:buFontTx/>
            <a:buNone/>
            <a:tabLst/>
            <a:defRPr/>
          </a:pPr>
          <a:endParaRPr kumimoji="0" lang="he-IL" sz="1100" b="0" i="0" u="none" strike="noStrike" kern="0" cap="none" spc="0" normalizeH="0" baseline="0" noProof="0">
            <a:ln>
              <a:noFill/>
            </a:ln>
            <a:solidFill>
              <a:sysClr val="windowText" lastClr="000000"/>
            </a:solidFill>
            <a:effectLst/>
            <a:uLnTx/>
            <a:uFillTx/>
            <a:latin typeface="Calibri" panose="020F0502020204030204"/>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72</xdr:row>
      <xdr:rowOff>0</xdr:rowOff>
    </xdr:from>
    <xdr:to>
      <xdr:col>4</xdr:col>
      <xdr:colOff>960120</xdr:colOff>
      <xdr:row>78</xdr:row>
      <xdr:rowOff>22860</xdr:rowOff>
    </xdr:to>
    <xdr:sp macro="" textlink="">
      <xdr:nvSpPr>
        <xdr:cNvPr id="2" name="תיבת טקסט 1">
          <a:extLst>
            <a:ext uri="{FF2B5EF4-FFF2-40B4-BE49-F238E27FC236}">
              <a16:creationId xmlns:a16="http://schemas.microsoft.com/office/drawing/2014/main" id="{103D8D6F-31FA-4F66-93AD-243E1E0E4415}"/>
            </a:ext>
          </a:extLst>
        </xdr:cNvPr>
        <xdr:cNvSpPr txBox="1"/>
      </xdr:nvSpPr>
      <xdr:spPr>
        <a:xfrm>
          <a:off x="3863340" y="12649200"/>
          <a:ext cx="3048000" cy="107442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1"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This file was used in the journal ETES (Ecotoxicology and Environmental Pafety paper, Nussboim et al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"Data-driven analysis for emerging contaminants in field scale flowpaths"</a:t>
          </a:r>
        </a:p>
        <a:p>
          <a:pPr marL="0" marR="0" lvl="0" indent="0" defTabSz="914400" eaLnBrk="1" fontAlgn="auto" latinLnBrk="0" hangingPunct="1">
            <a:lnSpc>
              <a:spcPct val="100000"/>
            </a:lnSpc>
            <a:spcBef>
              <a:spcPts val="0"/>
            </a:spcBef>
            <a:spcAft>
              <a:spcPts val="0"/>
            </a:spcAft>
            <a:buClrTx/>
            <a:buSzTx/>
            <a:buFontTx/>
            <a:buNone/>
            <a:tabLst/>
            <a:defRPr/>
          </a:pPr>
          <a:endParaRPr kumimoji="0" lang="he-IL" sz="1100" b="0" i="0" u="none" strike="noStrike" kern="0" cap="none" spc="0" normalizeH="0" baseline="0" noProof="0">
            <a:ln>
              <a:noFill/>
            </a:ln>
            <a:solidFill>
              <a:sysClr val="windowText" lastClr="000000"/>
            </a:solidFill>
            <a:effectLst/>
            <a:uLnTx/>
            <a:uFillTx/>
            <a:latin typeface="Calibri" panose="020F0502020204030204"/>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54</xdr:row>
      <xdr:rowOff>0</xdr:rowOff>
    </xdr:from>
    <xdr:to>
      <xdr:col>6</xdr:col>
      <xdr:colOff>365760</xdr:colOff>
      <xdr:row>60</xdr:row>
      <xdr:rowOff>30480</xdr:rowOff>
    </xdr:to>
    <xdr:sp macro="" textlink="">
      <xdr:nvSpPr>
        <xdr:cNvPr id="2" name="תיבת טקסט 1">
          <a:extLst>
            <a:ext uri="{FF2B5EF4-FFF2-40B4-BE49-F238E27FC236}">
              <a16:creationId xmlns:a16="http://schemas.microsoft.com/office/drawing/2014/main" id="{B60ECEF6-D5DF-46A4-8CC6-B7BCE1BE3429}"/>
            </a:ext>
          </a:extLst>
        </xdr:cNvPr>
        <xdr:cNvSpPr txBox="1"/>
      </xdr:nvSpPr>
      <xdr:spPr>
        <a:xfrm>
          <a:off x="1341120" y="9517380"/>
          <a:ext cx="3048000" cy="108204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1"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This file was used in the journal ETES (Ecotoxicology and Environmental Pafety paper, Nussboim et al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"Data-driven analysis for emerging contaminants in field scale flowpaths"</a:t>
          </a:r>
        </a:p>
        <a:p>
          <a:pPr marL="0" marR="0" lvl="0" indent="0" defTabSz="914400" eaLnBrk="1" fontAlgn="auto" latinLnBrk="0" hangingPunct="1">
            <a:lnSpc>
              <a:spcPct val="100000"/>
            </a:lnSpc>
            <a:spcBef>
              <a:spcPts val="0"/>
            </a:spcBef>
            <a:spcAft>
              <a:spcPts val="0"/>
            </a:spcAft>
            <a:buClrTx/>
            <a:buSzTx/>
            <a:buFontTx/>
            <a:buNone/>
            <a:tabLst/>
            <a:defRPr/>
          </a:pPr>
          <a:endParaRPr kumimoji="0" lang="he-IL" sz="1100" b="0" i="0" u="none" strike="noStrike" kern="0" cap="none" spc="0" normalizeH="0" baseline="0" noProof="0">
            <a:ln>
              <a:noFill/>
            </a:ln>
            <a:solidFill>
              <a:sysClr val="windowText" lastClr="000000"/>
            </a:solidFill>
            <a:effectLst/>
            <a:uLnTx/>
            <a:uFillTx/>
            <a:latin typeface="Calibri" panose="020F0502020204030204"/>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18</xdr:col>
      <xdr:colOff>0</xdr:colOff>
      <xdr:row>3</xdr:row>
      <xdr:rowOff>0</xdr:rowOff>
    </xdr:from>
    <xdr:to>
      <xdr:col>22</xdr:col>
      <xdr:colOff>701040</xdr:colOff>
      <xdr:row>6</xdr:row>
      <xdr:rowOff>388620</xdr:rowOff>
    </xdr:to>
    <xdr:sp macro="" textlink="">
      <xdr:nvSpPr>
        <xdr:cNvPr id="2" name="תיבת טקסט 1">
          <a:extLst>
            <a:ext uri="{FF2B5EF4-FFF2-40B4-BE49-F238E27FC236}">
              <a16:creationId xmlns:a16="http://schemas.microsoft.com/office/drawing/2014/main" id="{17BC06AA-1C47-4320-AB1D-04A271860A16}"/>
            </a:ext>
          </a:extLst>
        </xdr:cNvPr>
        <xdr:cNvSpPr txBox="1"/>
      </xdr:nvSpPr>
      <xdr:spPr>
        <a:xfrm>
          <a:off x="10797540" y="845820"/>
          <a:ext cx="3048000" cy="107442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1"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rPr>
            <a:t>This file was used in the journal ETES (Ecotoxicology and Environmental Pafety paper, Nussboim et al 2025):</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sysClr val="windowText" lastClr="000000"/>
              </a:solidFill>
              <a:effectLst/>
              <a:uLnTx/>
              <a:uFillTx/>
              <a:latin typeface="Calibri" panose="020F0502020204030204"/>
              <a:ea typeface="+mn-ea"/>
              <a:cs typeface="+mn-cs"/>
            </a:rPr>
            <a:t>"Data-driven analysis for emerging contaminants in field scale flowpaths"</a:t>
          </a:r>
        </a:p>
        <a:p>
          <a:pPr marL="0" marR="0" lvl="0" indent="0" defTabSz="914400" eaLnBrk="1" fontAlgn="auto" latinLnBrk="0" hangingPunct="1">
            <a:lnSpc>
              <a:spcPct val="100000"/>
            </a:lnSpc>
            <a:spcBef>
              <a:spcPts val="0"/>
            </a:spcBef>
            <a:spcAft>
              <a:spcPts val="0"/>
            </a:spcAft>
            <a:buClrTx/>
            <a:buSzTx/>
            <a:buFontTx/>
            <a:buNone/>
            <a:tabLst/>
            <a:defRPr/>
          </a:pPr>
          <a:endParaRPr kumimoji="0" lang="he-IL" sz="1100" b="0" i="0" u="none" strike="noStrike" kern="0" cap="none" spc="0" normalizeH="0" baseline="0" noProof="0">
            <a:ln>
              <a:noFill/>
            </a:ln>
            <a:solidFill>
              <a:sysClr val="windowText" lastClr="000000"/>
            </a:solidFill>
            <a:effectLst/>
            <a:uLnTx/>
            <a:uFillTx/>
            <a:latin typeface="Calibri" panose="020F0502020204030204"/>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G157"/>
  <sheetViews>
    <sheetView tabSelected="1" zoomScaleNormal="100" workbookViewId="0">
      <pane xSplit="3" topLeftCell="T1" activePane="topRight" state="frozen"/>
      <selection pane="topRight" activeCell="A18" sqref="A18"/>
    </sheetView>
  </sheetViews>
  <sheetFormatPr defaultRowHeight="13.8" x14ac:dyDescent="0.25"/>
  <cols>
    <col min="1" max="1" width="15" style="50" bestFit="1" customWidth="1"/>
    <col min="2" max="2" width="23.8984375" style="51" customWidth="1"/>
    <col min="3" max="3" width="12.5" style="51" customWidth="1"/>
  </cols>
  <sheetData>
    <row r="1" spans="1:111" x14ac:dyDescent="0.25">
      <c r="E1">
        <v>1</v>
      </c>
      <c r="F1">
        <v>2</v>
      </c>
      <c r="G1">
        <v>3</v>
      </c>
      <c r="H1">
        <v>4</v>
      </c>
      <c r="I1">
        <v>5</v>
      </c>
      <c r="J1">
        <v>6</v>
      </c>
      <c r="K1">
        <v>7</v>
      </c>
      <c r="L1">
        <v>8</v>
      </c>
      <c r="M1">
        <v>9</v>
      </c>
      <c r="N1">
        <v>10</v>
      </c>
      <c r="O1">
        <v>11</v>
      </c>
      <c r="P1">
        <v>12</v>
      </c>
      <c r="Q1">
        <v>13</v>
      </c>
      <c r="R1">
        <v>14</v>
      </c>
      <c r="S1">
        <v>15</v>
      </c>
      <c r="T1">
        <v>16</v>
      </c>
      <c r="U1">
        <v>17</v>
      </c>
      <c r="V1">
        <v>18</v>
      </c>
      <c r="W1">
        <v>19</v>
      </c>
      <c r="X1">
        <v>20</v>
      </c>
      <c r="Y1">
        <v>21</v>
      </c>
      <c r="Z1">
        <v>22</v>
      </c>
      <c r="AA1">
        <v>23</v>
      </c>
      <c r="AB1">
        <v>24</v>
      </c>
      <c r="AC1">
        <v>25</v>
      </c>
      <c r="AD1">
        <v>26</v>
      </c>
      <c r="AE1">
        <v>27</v>
      </c>
      <c r="AF1">
        <v>28</v>
      </c>
      <c r="AG1">
        <v>29</v>
      </c>
      <c r="AH1">
        <v>30</v>
      </c>
      <c r="AI1">
        <v>31</v>
      </c>
      <c r="AJ1">
        <v>32</v>
      </c>
      <c r="AK1">
        <v>33</v>
      </c>
      <c r="AL1">
        <v>34</v>
      </c>
      <c r="AM1">
        <v>35</v>
      </c>
      <c r="AN1">
        <v>36</v>
      </c>
      <c r="AO1">
        <v>37</v>
      </c>
      <c r="AP1">
        <v>38</v>
      </c>
      <c r="AQ1">
        <v>39</v>
      </c>
      <c r="AR1">
        <v>40</v>
      </c>
      <c r="AS1">
        <v>41</v>
      </c>
      <c r="AT1">
        <v>42</v>
      </c>
      <c r="AU1">
        <v>43</v>
      </c>
      <c r="AV1">
        <v>44</v>
      </c>
      <c r="AW1">
        <v>45</v>
      </c>
      <c r="AX1">
        <v>46</v>
      </c>
      <c r="AY1">
        <v>47</v>
      </c>
      <c r="AZ1">
        <v>48</v>
      </c>
      <c r="BA1">
        <v>49</v>
      </c>
      <c r="BB1">
        <v>50</v>
      </c>
      <c r="BC1">
        <v>51</v>
      </c>
      <c r="BD1">
        <v>52</v>
      </c>
      <c r="BE1">
        <v>53</v>
      </c>
      <c r="BF1">
        <v>54</v>
      </c>
      <c r="BG1">
        <v>55</v>
      </c>
      <c r="BH1">
        <v>56</v>
      </c>
      <c r="BI1">
        <v>57</v>
      </c>
      <c r="BJ1">
        <v>58</v>
      </c>
      <c r="BK1">
        <v>59</v>
      </c>
      <c r="BL1">
        <v>60</v>
      </c>
      <c r="BM1">
        <v>61</v>
      </c>
      <c r="BN1">
        <v>62</v>
      </c>
      <c r="BO1">
        <v>63</v>
      </c>
      <c r="BP1">
        <v>64</v>
      </c>
      <c r="BQ1">
        <v>65</v>
      </c>
      <c r="BR1">
        <v>66</v>
      </c>
      <c r="BS1">
        <v>67</v>
      </c>
      <c r="BT1">
        <v>68</v>
      </c>
      <c r="BU1">
        <v>69</v>
      </c>
      <c r="BV1">
        <v>70</v>
      </c>
      <c r="BW1">
        <v>71</v>
      </c>
      <c r="BX1">
        <v>72</v>
      </c>
      <c r="BY1">
        <v>73</v>
      </c>
      <c r="BZ1">
        <v>74</v>
      </c>
      <c r="CA1">
        <v>75</v>
      </c>
      <c r="CB1">
        <v>76</v>
      </c>
      <c r="CC1">
        <v>77</v>
      </c>
      <c r="CD1">
        <v>78</v>
      </c>
      <c r="CE1">
        <v>79</v>
      </c>
      <c r="CF1">
        <v>80</v>
      </c>
      <c r="CG1">
        <v>81</v>
      </c>
    </row>
    <row r="2" spans="1:111" x14ac:dyDescent="0.25">
      <c r="A2" s="50" t="s">
        <v>414</v>
      </c>
      <c r="B2" s="51" t="s">
        <v>2</v>
      </c>
      <c r="C2" s="51" t="s">
        <v>664</v>
      </c>
      <c r="D2" t="s">
        <v>663</v>
      </c>
      <c r="E2" s="41" t="s">
        <v>253</v>
      </c>
      <c r="F2" t="s">
        <v>254</v>
      </c>
      <c r="G2" t="s">
        <v>256</v>
      </c>
      <c r="H2" s="30" t="s">
        <v>257</v>
      </c>
      <c r="I2" t="s">
        <v>258</v>
      </c>
      <c r="J2" s="32" t="s">
        <v>259</v>
      </c>
      <c r="K2" t="s">
        <v>260</v>
      </c>
      <c r="L2" s="30" t="s">
        <v>261</v>
      </c>
      <c r="M2" t="s">
        <v>262</v>
      </c>
      <c r="N2" t="s">
        <v>263</v>
      </c>
      <c r="O2" t="s">
        <v>264</v>
      </c>
      <c r="P2" t="s">
        <v>265</v>
      </c>
      <c r="Q2" t="s">
        <v>163</v>
      </c>
      <c r="R2" t="s">
        <v>164</v>
      </c>
      <c r="S2" s="30" t="s">
        <v>165</v>
      </c>
      <c r="T2" s="73" t="s">
        <v>267</v>
      </c>
      <c r="U2" t="s">
        <v>268</v>
      </c>
      <c r="V2" s="30" t="s">
        <v>270</v>
      </c>
      <c r="W2" t="s">
        <v>271</v>
      </c>
      <c r="X2" t="s">
        <v>273</v>
      </c>
      <c r="Y2" s="30" t="s">
        <v>274</v>
      </c>
      <c r="Z2" s="31" t="s">
        <v>276</v>
      </c>
      <c r="AA2" s="30" t="s">
        <v>277</v>
      </c>
      <c r="AB2" s="30" t="s">
        <v>278</v>
      </c>
      <c r="AC2" t="s">
        <v>279</v>
      </c>
      <c r="AD2" t="s">
        <v>281</v>
      </c>
      <c r="AE2" t="s">
        <v>282</v>
      </c>
      <c r="AF2" s="29" t="s">
        <v>283</v>
      </c>
      <c r="AG2" t="s">
        <v>284</v>
      </c>
      <c r="AH2" t="s">
        <v>285</v>
      </c>
      <c r="AI2" s="32" t="s">
        <v>286</v>
      </c>
      <c r="AJ2" t="s">
        <v>288</v>
      </c>
      <c r="AK2" t="s">
        <v>289</v>
      </c>
      <c r="AL2" t="s">
        <v>290</v>
      </c>
      <c r="AM2" s="29" t="s">
        <v>291</v>
      </c>
      <c r="AN2" s="29" t="s">
        <v>293</v>
      </c>
      <c r="AO2" s="30" t="s">
        <v>294</v>
      </c>
      <c r="AP2" s="29" t="s">
        <v>295</v>
      </c>
      <c r="AQ2" t="s">
        <v>296</v>
      </c>
      <c r="AR2" t="s">
        <v>297</v>
      </c>
      <c r="AS2" s="30" t="s">
        <v>298</v>
      </c>
      <c r="AT2" t="s">
        <v>299</v>
      </c>
      <c r="AU2" t="s">
        <v>302</v>
      </c>
      <c r="AV2" s="30" t="s">
        <v>171</v>
      </c>
      <c r="AW2" t="s">
        <v>304</v>
      </c>
      <c r="AX2" t="s">
        <v>305</v>
      </c>
      <c r="AY2" t="s">
        <v>306</v>
      </c>
      <c r="AZ2" t="s">
        <v>307</v>
      </c>
      <c r="BA2" s="29" t="s">
        <v>308</v>
      </c>
      <c r="BB2" t="s">
        <v>309</v>
      </c>
      <c r="BC2" t="s">
        <v>310</v>
      </c>
      <c r="BD2" s="29" t="s">
        <v>311</v>
      </c>
      <c r="BE2" t="s">
        <v>312</v>
      </c>
      <c r="BF2" t="s">
        <v>313</v>
      </c>
      <c r="BG2" s="29" t="s">
        <v>314</v>
      </c>
      <c r="BH2" t="s">
        <v>315</v>
      </c>
      <c r="BI2" t="s">
        <v>316</v>
      </c>
      <c r="BJ2" s="44" t="s">
        <v>318</v>
      </c>
      <c r="BK2" t="s">
        <v>319</v>
      </c>
      <c r="BL2" s="44" t="s">
        <v>320</v>
      </c>
      <c r="BM2" s="32" t="s">
        <v>321</v>
      </c>
      <c r="BN2" s="32" t="s">
        <v>322</v>
      </c>
      <c r="BO2" t="s">
        <v>323</v>
      </c>
      <c r="BP2" t="s">
        <v>324</v>
      </c>
      <c r="BQ2" t="s">
        <v>325</v>
      </c>
      <c r="BR2" t="s">
        <v>326</v>
      </c>
      <c r="BS2" t="s">
        <v>328</v>
      </c>
      <c r="BT2" t="s">
        <v>389</v>
      </c>
      <c r="BU2" t="s">
        <v>390</v>
      </c>
      <c r="BV2" s="44" t="s">
        <v>391</v>
      </c>
      <c r="BW2" s="44" t="s">
        <v>392</v>
      </c>
      <c r="BX2" s="44" t="s">
        <v>393</v>
      </c>
      <c r="BY2" s="44" t="s">
        <v>394</v>
      </c>
      <c r="BZ2" s="44" t="s">
        <v>395</v>
      </c>
      <c r="CA2" t="s">
        <v>396</v>
      </c>
      <c r="CB2" t="s">
        <v>397</v>
      </c>
      <c r="CC2" t="s">
        <v>398</v>
      </c>
      <c r="CD2" t="s">
        <v>399</v>
      </c>
      <c r="CE2" s="44" t="s">
        <v>400</v>
      </c>
      <c r="CF2" s="44" t="s">
        <v>401</v>
      </c>
      <c r="CG2" t="s">
        <v>402</v>
      </c>
      <c r="CH2" t="s">
        <v>444</v>
      </c>
      <c r="CI2" t="s">
        <v>445</v>
      </c>
      <c r="CN2" s="41" t="s">
        <v>253</v>
      </c>
      <c r="CO2" t="s">
        <v>253</v>
      </c>
      <c r="CQ2" t="s">
        <v>560</v>
      </c>
    </row>
    <row r="3" spans="1:111" x14ac:dyDescent="0.25">
      <c r="D3">
        <f>8/12</f>
        <v>0.66666666666666663</v>
      </c>
      <c r="E3" s="44">
        <v>1</v>
      </c>
      <c r="F3">
        <v>2</v>
      </c>
      <c r="G3">
        <v>3</v>
      </c>
      <c r="H3">
        <v>4</v>
      </c>
      <c r="I3">
        <v>5</v>
      </c>
      <c r="J3">
        <v>6</v>
      </c>
      <c r="K3">
        <v>7</v>
      </c>
      <c r="L3">
        <v>8</v>
      </c>
      <c r="M3">
        <v>9</v>
      </c>
      <c r="N3">
        <v>10</v>
      </c>
      <c r="O3">
        <v>11</v>
      </c>
      <c r="P3" s="44">
        <v>12</v>
      </c>
      <c r="Q3">
        <v>13</v>
      </c>
      <c r="R3">
        <v>14</v>
      </c>
      <c r="S3">
        <v>15</v>
      </c>
      <c r="T3">
        <v>16</v>
      </c>
      <c r="U3">
        <v>17</v>
      </c>
      <c r="V3">
        <v>18</v>
      </c>
      <c r="W3">
        <v>19</v>
      </c>
      <c r="X3">
        <v>20</v>
      </c>
      <c r="Y3" s="44">
        <v>21</v>
      </c>
      <c r="Z3">
        <v>22</v>
      </c>
      <c r="AA3">
        <v>23</v>
      </c>
      <c r="AB3">
        <v>24</v>
      </c>
      <c r="AC3">
        <v>25</v>
      </c>
      <c r="AD3">
        <v>26</v>
      </c>
      <c r="AE3">
        <v>27</v>
      </c>
      <c r="AF3">
        <v>28</v>
      </c>
      <c r="AG3">
        <v>29</v>
      </c>
      <c r="AH3">
        <v>30</v>
      </c>
      <c r="AI3">
        <v>31</v>
      </c>
      <c r="AJ3">
        <v>32</v>
      </c>
      <c r="AK3">
        <v>33</v>
      </c>
      <c r="AL3" s="44">
        <v>34</v>
      </c>
      <c r="AM3">
        <v>35</v>
      </c>
      <c r="AN3">
        <v>36</v>
      </c>
      <c r="AO3">
        <v>37</v>
      </c>
      <c r="AP3" s="44">
        <v>38</v>
      </c>
      <c r="AQ3">
        <v>39</v>
      </c>
      <c r="AR3">
        <v>40</v>
      </c>
      <c r="AS3" s="44">
        <v>41</v>
      </c>
      <c r="AT3">
        <v>42</v>
      </c>
      <c r="AU3">
        <v>43</v>
      </c>
      <c r="AV3">
        <v>44</v>
      </c>
      <c r="AW3">
        <v>45</v>
      </c>
      <c r="AX3">
        <v>46</v>
      </c>
      <c r="AY3">
        <v>47</v>
      </c>
      <c r="AZ3">
        <v>48</v>
      </c>
      <c r="BA3">
        <v>49</v>
      </c>
      <c r="BB3">
        <v>50</v>
      </c>
      <c r="BC3">
        <v>51</v>
      </c>
      <c r="BD3">
        <v>52</v>
      </c>
      <c r="BE3">
        <v>53</v>
      </c>
      <c r="BF3">
        <v>54</v>
      </c>
      <c r="BG3">
        <v>55</v>
      </c>
      <c r="BH3">
        <v>56</v>
      </c>
      <c r="BI3">
        <v>57</v>
      </c>
      <c r="BJ3">
        <v>58</v>
      </c>
      <c r="BK3">
        <v>59</v>
      </c>
      <c r="BL3">
        <v>60</v>
      </c>
      <c r="BM3">
        <v>61</v>
      </c>
      <c r="BN3">
        <v>62</v>
      </c>
      <c r="BO3">
        <v>63</v>
      </c>
      <c r="BP3">
        <v>64</v>
      </c>
      <c r="BQ3">
        <v>65</v>
      </c>
      <c r="BR3">
        <v>66</v>
      </c>
      <c r="BS3">
        <v>67</v>
      </c>
      <c r="BT3">
        <v>68</v>
      </c>
      <c r="BU3">
        <v>69</v>
      </c>
      <c r="BV3">
        <v>70</v>
      </c>
      <c r="BW3">
        <v>71</v>
      </c>
      <c r="BX3">
        <v>72</v>
      </c>
      <c r="BY3">
        <v>73</v>
      </c>
      <c r="BZ3">
        <v>74</v>
      </c>
      <c r="CA3">
        <v>75</v>
      </c>
      <c r="CB3">
        <v>76</v>
      </c>
      <c r="CC3">
        <v>77</v>
      </c>
      <c r="CD3">
        <v>78</v>
      </c>
      <c r="CE3">
        <v>79</v>
      </c>
      <c r="CF3">
        <v>80</v>
      </c>
      <c r="CG3">
        <v>81</v>
      </c>
      <c r="CQ3" t="s">
        <v>561</v>
      </c>
    </row>
    <row r="4" spans="1:111" ht="13.8" customHeight="1" x14ac:dyDescent="0.25">
      <c r="A4" s="50" t="s">
        <v>414</v>
      </c>
      <c r="B4" s="51" t="s">
        <v>2</v>
      </c>
      <c r="E4" s="41" t="s">
        <v>253</v>
      </c>
      <c r="F4" t="s">
        <v>254</v>
      </c>
      <c r="G4" t="s">
        <v>256</v>
      </c>
      <c r="H4" s="30" t="s">
        <v>257</v>
      </c>
      <c r="I4" t="s">
        <v>258</v>
      </c>
      <c r="J4" s="32" t="s">
        <v>259</v>
      </c>
      <c r="K4" t="s">
        <v>260</v>
      </c>
      <c r="L4" s="30" t="s">
        <v>261</v>
      </c>
      <c r="M4" t="s">
        <v>262</v>
      </c>
      <c r="N4" t="s">
        <v>263</v>
      </c>
      <c r="O4" t="s">
        <v>264</v>
      </c>
      <c r="P4" t="s">
        <v>265</v>
      </c>
      <c r="Q4" t="s">
        <v>163</v>
      </c>
      <c r="R4" t="s">
        <v>164</v>
      </c>
      <c r="S4" s="30" t="s">
        <v>165</v>
      </c>
      <c r="T4" t="s">
        <v>267</v>
      </c>
      <c r="U4" t="s">
        <v>268</v>
      </c>
      <c r="V4" s="30" t="s">
        <v>270</v>
      </c>
      <c r="W4" t="s">
        <v>271</v>
      </c>
      <c r="X4" t="s">
        <v>273</v>
      </c>
      <c r="Y4" s="30" t="s">
        <v>274</v>
      </c>
      <c r="Z4" s="31" t="s">
        <v>276</v>
      </c>
      <c r="AA4" s="30" t="s">
        <v>277</v>
      </c>
      <c r="AB4" s="30" t="s">
        <v>278</v>
      </c>
      <c r="AC4" t="s">
        <v>279</v>
      </c>
      <c r="AD4" t="s">
        <v>281</v>
      </c>
      <c r="AE4" t="s">
        <v>282</v>
      </c>
      <c r="AF4" s="29" t="s">
        <v>283</v>
      </c>
      <c r="AG4" t="s">
        <v>284</v>
      </c>
      <c r="AH4" t="s">
        <v>285</v>
      </c>
      <c r="AI4" s="32" t="s">
        <v>286</v>
      </c>
      <c r="AJ4" t="s">
        <v>288</v>
      </c>
      <c r="AK4" t="s">
        <v>289</v>
      </c>
      <c r="AL4" t="s">
        <v>290</v>
      </c>
      <c r="AM4" s="29" t="s">
        <v>291</v>
      </c>
      <c r="AN4" t="s">
        <v>293</v>
      </c>
      <c r="AO4" s="30" t="s">
        <v>294</v>
      </c>
      <c r="AP4" s="29" t="s">
        <v>295</v>
      </c>
      <c r="AQ4" t="s">
        <v>296</v>
      </c>
      <c r="AR4" t="s">
        <v>297</v>
      </c>
      <c r="AS4" s="30" t="s">
        <v>298</v>
      </c>
      <c r="AT4" t="s">
        <v>299</v>
      </c>
      <c r="AU4" t="s">
        <v>302</v>
      </c>
      <c r="AV4" s="30" t="s">
        <v>171</v>
      </c>
      <c r="AW4" t="s">
        <v>304</v>
      </c>
      <c r="AX4" t="s">
        <v>305</v>
      </c>
      <c r="AY4" t="s">
        <v>306</v>
      </c>
      <c r="AZ4" t="s">
        <v>307</v>
      </c>
      <c r="BA4" s="29" t="s">
        <v>308</v>
      </c>
      <c r="BB4" t="s">
        <v>309</v>
      </c>
      <c r="BC4" t="s">
        <v>310</v>
      </c>
      <c r="BD4" s="29" t="s">
        <v>311</v>
      </c>
      <c r="BE4" t="s">
        <v>312</v>
      </c>
      <c r="BF4" t="s">
        <v>313</v>
      </c>
      <c r="BG4" s="29" t="s">
        <v>314</v>
      </c>
      <c r="BH4" t="s">
        <v>315</v>
      </c>
      <c r="BI4" t="s">
        <v>316</v>
      </c>
      <c r="BJ4" t="s">
        <v>318</v>
      </c>
      <c r="BK4" t="s">
        <v>319</v>
      </c>
      <c r="BL4" t="s">
        <v>320</v>
      </c>
      <c r="BM4" s="32" t="s">
        <v>321</v>
      </c>
      <c r="BN4" s="32" t="s">
        <v>322</v>
      </c>
      <c r="BO4" t="s">
        <v>323</v>
      </c>
      <c r="BP4" t="s">
        <v>324</v>
      </c>
      <c r="BQ4" t="s">
        <v>325</v>
      </c>
      <c r="BR4" t="s">
        <v>326</v>
      </c>
      <c r="BS4" t="s">
        <v>328</v>
      </c>
      <c r="BT4" t="s">
        <v>389</v>
      </c>
      <c r="BU4" t="s">
        <v>390</v>
      </c>
      <c r="BV4" t="s">
        <v>391</v>
      </c>
      <c r="BW4" t="s">
        <v>392</v>
      </c>
      <c r="BX4" t="s">
        <v>393</v>
      </c>
      <c r="BY4" t="s">
        <v>394</v>
      </c>
      <c r="BZ4" t="s">
        <v>395</v>
      </c>
      <c r="CA4" t="s">
        <v>396</v>
      </c>
      <c r="CB4" t="s">
        <v>397</v>
      </c>
      <c r="CC4" t="s">
        <v>398</v>
      </c>
      <c r="CD4" t="s">
        <v>399</v>
      </c>
      <c r="CE4" t="s">
        <v>400</v>
      </c>
      <c r="CF4" t="s">
        <v>401</v>
      </c>
      <c r="CG4" t="s">
        <v>402</v>
      </c>
      <c r="CH4" t="s">
        <v>444</v>
      </c>
      <c r="CI4" t="s">
        <v>445</v>
      </c>
      <c r="CJ4" t="s">
        <v>559</v>
      </c>
      <c r="CL4" t="s">
        <v>567</v>
      </c>
      <c r="CM4" t="s">
        <v>566</v>
      </c>
      <c r="CN4" s="41" t="s">
        <v>253</v>
      </c>
      <c r="CO4" t="s">
        <v>253</v>
      </c>
    </row>
    <row r="5" spans="1:111" x14ac:dyDescent="0.25">
      <c r="A5" s="50">
        <v>44573.631944444445</v>
      </c>
      <c r="B5" s="51" t="s">
        <v>713</v>
      </c>
      <c r="C5" s="51" t="s">
        <v>228</v>
      </c>
      <c r="D5">
        <v>44573.631944444445</v>
      </c>
      <c r="E5" t="s">
        <v>4</v>
      </c>
      <c r="F5">
        <v>1.71</v>
      </c>
      <c r="G5">
        <v>1.41</v>
      </c>
      <c r="H5">
        <v>2.5299999999999998</v>
      </c>
      <c r="I5" t="s">
        <v>4</v>
      </c>
      <c r="J5" t="s">
        <v>4</v>
      </c>
      <c r="K5">
        <v>11.52</v>
      </c>
      <c r="L5">
        <v>57.3</v>
      </c>
      <c r="M5">
        <v>27.04</v>
      </c>
      <c r="N5">
        <v>47.65</v>
      </c>
      <c r="O5">
        <v>120.01</v>
      </c>
      <c r="P5">
        <v>8.34</v>
      </c>
      <c r="Q5">
        <v>4.42</v>
      </c>
      <c r="R5">
        <v>8.4700000000000006</v>
      </c>
      <c r="S5">
        <v>182</v>
      </c>
      <c r="T5">
        <v>6.33</v>
      </c>
      <c r="U5">
        <v>1.08</v>
      </c>
      <c r="V5">
        <v>18.559999999999999</v>
      </c>
      <c r="W5" t="s">
        <v>4</v>
      </c>
      <c r="X5" t="s">
        <v>4</v>
      </c>
      <c r="Y5">
        <v>85.51</v>
      </c>
      <c r="Z5">
        <v>3.71</v>
      </c>
      <c r="AA5">
        <v>29.220000000000002</v>
      </c>
      <c r="AB5">
        <v>7.36</v>
      </c>
      <c r="AC5">
        <v>1412.74</v>
      </c>
      <c r="AD5">
        <v>165.63</v>
      </c>
      <c r="AE5">
        <v>22.27</v>
      </c>
      <c r="AF5" t="s">
        <v>4</v>
      </c>
      <c r="AG5" t="s">
        <v>4</v>
      </c>
      <c r="AH5">
        <v>8.73</v>
      </c>
      <c r="AI5" t="s">
        <v>4</v>
      </c>
      <c r="AJ5">
        <v>233.55</v>
      </c>
      <c r="AK5">
        <v>11.38</v>
      </c>
      <c r="AL5">
        <v>40.81</v>
      </c>
      <c r="AM5">
        <v>11.52</v>
      </c>
      <c r="AN5">
        <v>37.4</v>
      </c>
      <c r="AO5" t="s">
        <v>4</v>
      </c>
      <c r="AP5" t="s">
        <v>4</v>
      </c>
      <c r="AQ5">
        <v>35.880000000000003</v>
      </c>
      <c r="AR5">
        <v>75.239999999999995</v>
      </c>
      <c r="AS5">
        <v>5.0599999999999996</v>
      </c>
      <c r="AT5">
        <v>4.8099999999999996</v>
      </c>
      <c r="AU5">
        <v>25.86</v>
      </c>
      <c r="AV5" t="s">
        <v>4</v>
      </c>
      <c r="AW5">
        <v>15.9</v>
      </c>
      <c r="AX5" t="s">
        <v>4</v>
      </c>
      <c r="AY5" t="s">
        <v>4</v>
      </c>
      <c r="AZ5" t="s">
        <v>4</v>
      </c>
      <c r="BA5" t="s">
        <v>4</v>
      </c>
      <c r="BB5">
        <v>60.1</v>
      </c>
      <c r="BC5" t="s">
        <v>4</v>
      </c>
      <c r="BD5">
        <v>7.4399999999999995</v>
      </c>
      <c r="BE5" t="s">
        <v>4</v>
      </c>
      <c r="BF5">
        <v>4.45</v>
      </c>
      <c r="BG5">
        <v>9.26</v>
      </c>
      <c r="BH5" t="s">
        <v>4</v>
      </c>
      <c r="BI5" t="s">
        <v>4</v>
      </c>
      <c r="BJ5" t="s">
        <v>4</v>
      </c>
      <c r="BK5" t="s">
        <v>4</v>
      </c>
      <c r="BL5">
        <v>13.9</v>
      </c>
      <c r="BM5">
        <v>10.68</v>
      </c>
      <c r="BN5" t="s">
        <v>4</v>
      </c>
      <c r="BO5">
        <v>20.76</v>
      </c>
      <c r="BP5" t="s">
        <v>4</v>
      </c>
      <c r="BQ5">
        <v>6.25</v>
      </c>
      <c r="BR5" t="s">
        <v>4</v>
      </c>
      <c r="BS5">
        <v>10.19</v>
      </c>
      <c r="BT5">
        <v>0.24</v>
      </c>
      <c r="BU5" t="s">
        <v>4</v>
      </c>
      <c r="BV5" t="s">
        <v>4</v>
      </c>
      <c r="BW5" t="s">
        <v>4</v>
      </c>
      <c r="BX5">
        <v>2.11</v>
      </c>
      <c r="BY5">
        <v>105.06</v>
      </c>
      <c r="BZ5">
        <v>154.91999999999999</v>
      </c>
      <c r="CA5" t="s">
        <v>4</v>
      </c>
      <c r="CB5">
        <v>18.619999999999997</v>
      </c>
      <c r="CC5" t="s">
        <v>4</v>
      </c>
      <c r="CD5" t="s">
        <v>4</v>
      </c>
      <c r="CE5" t="s">
        <v>4</v>
      </c>
      <c r="CF5">
        <v>14.65</v>
      </c>
      <c r="CG5" t="s">
        <v>4</v>
      </c>
      <c r="CH5">
        <v>3</v>
      </c>
      <c r="CI5">
        <v>8</v>
      </c>
      <c r="CJ5">
        <v>4</v>
      </c>
      <c r="CK5">
        <v>2</v>
      </c>
      <c r="CL5">
        <f>MIN(E5:CG5)</f>
        <v>0.24</v>
      </c>
      <c r="CM5">
        <f>MAX(E5:CG5)</f>
        <v>1412.74</v>
      </c>
      <c r="CN5" t="s">
        <v>254</v>
      </c>
      <c r="CO5" t="s">
        <v>254</v>
      </c>
    </row>
    <row r="6" spans="1:111" x14ac:dyDescent="0.25">
      <c r="A6" s="50">
        <v>44577.583333333336</v>
      </c>
      <c r="B6" s="51" t="s">
        <v>714</v>
      </c>
      <c r="C6" s="51" t="s">
        <v>243</v>
      </c>
      <c r="D6">
        <v>44577.583333333336</v>
      </c>
      <c r="E6" t="s">
        <v>4</v>
      </c>
      <c r="F6">
        <v>2.77</v>
      </c>
      <c r="G6">
        <v>0.86</v>
      </c>
      <c r="H6" t="s">
        <v>4</v>
      </c>
      <c r="I6" t="s">
        <v>4</v>
      </c>
      <c r="J6" t="s">
        <v>4</v>
      </c>
      <c r="K6">
        <v>2.19</v>
      </c>
      <c r="L6">
        <v>122.34</v>
      </c>
      <c r="M6">
        <v>10.81</v>
      </c>
      <c r="N6">
        <v>20.65</v>
      </c>
      <c r="O6">
        <v>1580.89</v>
      </c>
      <c r="P6">
        <v>40.99</v>
      </c>
      <c r="Q6">
        <v>25.32</v>
      </c>
      <c r="R6">
        <v>51.38</v>
      </c>
      <c r="S6">
        <v>1340.43</v>
      </c>
      <c r="T6">
        <v>7.71</v>
      </c>
      <c r="U6" t="s">
        <v>4</v>
      </c>
      <c r="V6">
        <v>6.84</v>
      </c>
      <c r="W6" t="s">
        <v>4</v>
      </c>
      <c r="X6" t="s">
        <v>4</v>
      </c>
      <c r="Y6">
        <v>286.75</v>
      </c>
      <c r="Z6">
        <v>2.33</v>
      </c>
      <c r="AA6">
        <v>1.95</v>
      </c>
      <c r="AB6">
        <v>2.21</v>
      </c>
      <c r="AC6">
        <v>571.33000000000004</v>
      </c>
      <c r="AD6">
        <v>7.67</v>
      </c>
      <c r="AE6">
        <v>10.56</v>
      </c>
      <c r="AF6" t="s">
        <v>4</v>
      </c>
      <c r="AG6" t="s">
        <v>4</v>
      </c>
      <c r="AH6">
        <v>2.76</v>
      </c>
      <c r="AI6" t="s">
        <v>4</v>
      </c>
      <c r="AJ6">
        <v>41.6</v>
      </c>
      <c r="AK6" t="s">
        <v>4</v>
      </c>
      <c r="AL6">
        <v>733.46</v>
      </c>
      <c r="AM6" t="s">
        <v>4</v>
      </c>
      <c r="AN6">
        <v>4</v>
      </c>
      <c r="AO6" t="s">
        <v>4</v>
      </c>
      <c r="AP6" t="s">
        <v>4</v>
      </c>
      <c r="AQ6">
        <v>9.18</v>
      </c>
      <c r="AR6">
        <v>2.35</v>
      </c>
      <c r="AS6">
        <v>60.48</v>
      </c>
      <c r="AT6">
        <v>6.38</v>
      </c>
      <c r="AU6" t="s">
        <v>4</v>
      </c>
      <c r="AV6" t="s">
        <v>4</v>
      </c>
      <c r="AW6">
        <v>3.38</v>
      </c>
      <c r="AX6">
        <v>0.56999999999999995</v>
      </c>
      <c r="AY6" t="s">
        <v>4</v>
      </c>
      <c r="AZ6" t="s">
        <v>4</v>
      </c>
      <c r="BA6" t="s">
        <v>4</v>
      </c>
      <c r="BB6">
        <v>6.7</v>
      </c>
      <c r="BC6" t="s">
        <v>4</v>
      </c>
      <c r="BD6">
        <v>20.76</v>
      </c>
      <c r="BE6" t="s">
        <v>4</v>
      </c>
      <c r="BF6" t="s">
        <v>4</v>
      </c>
      <c r="BG6">
        <v>20.170000000000002</v>
      </c>
      <c r="BH6" t="s">
        <v>4</v>
      </c>
      <c r="BI6" t="s">
        <v>4</v>
      </c>
      <c r="BJ6">
        <v>18.420000000000002</v>
      </c>
      <c r="BK6" t="s">
        <v>4</v>
      </c>
      <c r="BL6">
        <v>156.84</v>
      </c>
      <c r="BM6">
        <v>112.83</v>
      </c>
      <c r="BN6" t="s">
        <v>4</v>
      </c>
      <c r="BO6">
        <v>9.17</v>
      </c>
      <c r="BP6" t="s">
        <v>4</v>
      </c>
      <c r="BQ6">
        <v>3.74</v>
      </c>
      <c r="BR6">
        <v>0.91</v>
      </c>
      <c r="BS6">
        <v>10.31</v>
      </c>
      <c r="BT6">
        <v>1.0900000000000001</v>
      </c>
      <c r="BU6" t="s">
        <v>4</v>
      </c>
      <c r="BV6" t="s">
        <v>4</v>
      </c>
      <c r="BW6" t="s">
        <v>4</v>
      </c>
      <c r="BX6">
        <v>5.72</v>
      </c>
      <c r="BY6">
        <v>198.23</v>
      </c>
      <c r="BZ6">
        <v>503</v>
      </c>
      <c r="CA6">
        <v>2.3100000000000005</v>
      </c>
      <c r="CB6">
        <v>19</v>
      </c>
      <c r="CC6" t="s">
        <v>4</v>
      </c>
      <c r="CD6" t="s">
        <v>4</v>
      </c>
      <c r="CE6" t="s">
        <v>4</v>
      </c>
      <c r="CF6">
        <v>1.35</v>
      </c>
      <c r="CG6" t="s">
        <v>4</v>
      </c>
      <c r="CH6">
        <v>3</v>
      </c>
      <c r="CI6">
        <v>8</v>
      </c>
      <c r="CJ6">
        <v>4</v>
      </c>
      <c r="CK6">
        <v>4</v>
      </c>
      <c r="CL6">
        <f t="shared" ref="CL6:CL69" si="0">MIN(E6:CG6)</f>
        <v>0.56999999999999995</v>
      </c>
      <c r="CM6">
        <f t="shared" ref="CM6:CM69" si="1">MAX(E6:CG6)</f>
        <v>1580.89</v>
      </c>
      <c r="CN6" t="s">
        <v>256</v>
      </c>
      <c r="CO6" t="s">
        <v>256</v>
      </c>
    </row>
    <row r="7" spans="1:111" x14ac:dyDescent="0.25">
      <c r="A7" s="50">
        <v>44573.625</v>
      </c>
      <c r="B7" s="51" t="s">
        <v>715</v>
      </c>
      <c r="C7" s="51" t="s">
        <v>231</v>
      </c>
      <c r="D7">
        <v>44573.625</v>
      </c>
      <c r="E7" t="s">
        <v>4</v>
      </c>
      <c r="F7" t="s">
        <v>4</v>
      </c>
      <c r="G7">
        <v>0.4</v>
      </c>
      <c r="H7">
        <v>5.0599999999999996</v>
      </c>
      <c r="I7">
        <v>6.71</v>
      </c>
      <c r="J7" t="s">
        <v>4</v>
      </c>
      <c r="K7" t="s">
        <v>4</v>
      </c>
      <c r="L7" t="s">
        <v>4</v>
      </c>
      <c r="M7">
        <v>14.99</v>
      </c>
      <c r="N7" t="s">
        <v>4</v>
      </c>
      <c r="O7">
        <v>127.58</v>
      </c>
      <c r="P7">
        <v>19.04</v>
      </c>
      <c r="Q7" t="s">
        <v>4</v>
      </c>
      <c r="R7" t="s">
        <v>4</v>
      </c>
      <c r="S7">
        <v>7.79</v>
      </c>
      <c r="T7" t="s">
        <v>4</v>
      </c>
      <c r="U7" t="s">
        <v>4</v>
      </c>
      <c r="V7">
        <v>43.55</v>
      </c>
      <c r="W7" t="s">
        <v>4</v>
      </c>
      <c r="X7" t="s">
        <v>4</v>
      </c>
      <c r="Y7" t="s">
        <v>4</v>
      </c>
      <c r="Z7">
        <v>0.59999999999999964</v>
      </c>
      <c r="AA7" t="s">
        <v>4</v>
      </c>
      <c r="AB7" t="s">
        <v>4</v>
      </c>
      <c r="AC7">
        <v>4.82</v>
      </c>
      <c r="AD7" t="s">
        <v>4</v>
      </c>
      <c r="AE7" t="s">
        <v>4</v>
      </c>
      <c r="AF7" t="s">
        <v>4</v>
      </c>
      <c r="AG7">
        <v>11.98</v>
      </c>
      <c r="AH7" t="s">
        <v>4</v>
      </c>
      <c r="AI7">
        <v>0.26</v>
      </c>
      <c r="AJ7">
        <v>117.69</v>
      </c>
      <c r="AK7" t="s">
        <v>4</v>
      </c>
      <c r="AL7">
        <v>9.56</v>
      </c>
      <c r="AM7" t="s">
        <v>4</v>
      </c>
      <c r="AN7">
        <v>1.24</v>
      </c>
      <c r="AO7">
        <v>7.65</v>
      </c>
      <c r="AP7" t="s">
        <v>4</v>
      </c>
      <c r="AQ7">
        <v>60.59</v>
      </c>
      <c r="AR7">
        <v>1.53</v>
      </c>
      <c r="AS7" t="s">
        <v>4</v>
      </c>
      <c r="AT7" t="s">
        <v>4</v>
      </c>
      <c r="AU7" t="s">
        <v>4</v>
      </c>
      <c r="AV7" t="s">
        <v>4</v>
      </c>
      <c r="AW7" t="s">
        <v>4</v>
      </c>
      <c r="AX7" t="s">
        <v>4</v>
      </c>
      <c r="AY7" t="s">
        <v>4</v>
      </c>
      <c r="AZ7" t="s">
        <v>4</v>
      </c>
      <c r="BA7">
        <v>0.2</v>
      </c>
      <c r="BB7">
        <v>1.52</v>
      </c>
      <c r="BC7" t="s">
        <v>4</v>
      </c>
      <c r="BD7">
        <v>0.56000000000000005</v>
      </c>
      <c r="BE7" t="s">
        <v>4</v>
      </c>
      <c r="BF7" t="s">
        <v>4</v>
      </c>
      <c r="BG7" t="s">
        <v>4</v>
      </c>
      <c r="BH7" t="s">
        <v>4</v>
      </c>
      <c r="BI7" t="s">
        <v>4</v>
      </c>
      <c r="BJ7" t="s">
        <v>4</v>
      </c>
      <c r="BK7" t="s">
        <v>4</v>
      </c>
      <c r="BL7" t="s">
        <v>4</v>
      </c>
      <c r="BM7" t="s">
        <v>4</v>
      </c>
      <c r="BN7" t="s">
        <v>4</v>
      </c>
      <c r="BO7" t="s">
        <v>4</v>
      </c>
      <c r="BP7" t="s">
        <v>4</v>
      </c>
      <c r="BQ7">
        <v>0.79</v>
      </c>
      <c r="BR7" t="s">
        <v>4</v>
      </c>
      <c r="BS7" t="s">
        <v>4</v>
      </c>
      <c r="BT7" t="s">
        <v>4</v>
      </c>
      <c r="BU7" t="s">
        <v>4</v>
      </c>
      <c r="BV7">
        <v>64.03</v>
      </c>
      <c r="BW7" t="s">
        <v>4</v>
      </c>
      <c r="BX7" t="s">
        <v>4</v>
      </c>
      <c r="BY7" t="s">
        <v>4</v>
      </c>
      <c r="BZ7" t="s">
        <v>4</v>
      </c>
      <c r="CA7" t="s">
        <v>4</v>
      </c>
      <c r="CB7">
        <v>0.91999999999999993</v>
      </c>
      <c r="CC7" t="s">
        <v>4</v>
      </c>
      <c r="CD7" t="s">
        <v>4</v>
      </c>
      <c r="CE7" t="s">
        <v>4</v>
      </c>
      <c r="CF7" t="s">
        <v>4</v>
      </c>
      <c r="CG7" t="s">
        <v>4</v>
      </c>
      <c r="CH7">
        <v>1</v>
      </c>
      <c r="CI7">
        <v>2</v>
      </c>
      <c r="CJ7">
        <v>2</v>
      </c>
      <c r="CK7" t="s">
        <v>348</v>
      </c>
      <c r="CL7">
        <f t="shared" si="0"/>
        <v>0.2</v>
      </c>
      <c r="CM7">
        <f t="shared" si="1"/>
        <v>127.58</v>
      </c>
      <c r="CN7" s="30" t="s">
        <v>257</v>
      </c>
      <c r="CO7" t="s">
        <v>257</v>
      </c>
    </row>
    <row r="8" spans="1:111" x14ac:dyDescent="0.25">
      <c r="A8" s="50">
        <v>44577.520833333336</v>
      </c>
      <c r="B8" s="51" t="s">
        <v>716</v>
      </c>
      <c r="C8" s="51" t="s">
        <v>180</v>
      </c>
      <c r="D8">
        <v>44577</v>
      </c>
      <c r="E8">
        <v>1308.08</v>
      </c>
      <c r="F8" t="s">
        <v>4</v>
      </c>
      <c r="G8" t="s">
        <v>4</v>
      </c>
      <c r="H8">
        <v>24.56</v>
      </c>
      <c r="I8">
        <v>71.62</v>
      </c>
      <c r="J8">
        <v>67.709999999999994</v>
      </c>
      <c r="K8">
        <v>1.18</v>
      </c>
      <c r="L8" t="s">
        <v>4</v>
      </c>
      <c r="M8">
        <v>82.04</v>
      </c>
      <c r="N8">
        <v>47.38</v>
      </c>
      <c r="O8">
        <v>1421.1</v>
      </c>
      <c r="P8">
        <v>209.33</v>
      </c>
      <c r="Q8" t="s">
        <v>4</v>
      </c>
      <c r="R8" t="s">
        <v>4</v>
      </c>
      <c r="S8">
        <v>68.06</v>
      </c>
      <c r="T8">
        <v>0.33</v>
      </c>
      <c r="U8" t="s">
        <v>4</v>
      </c>
      <c r="V8">
        <v>755.48</v>
      </c>
      <c r="W8" t="s">
        <v>4</v>
      </c>
      <c r="X8" t="s">
        <v>4</v>
      </c>
      <c r="Y8" t="s">
        <v>4</v>
      </c>
      <c r="Z8">
        <v>6.38</v>
      </c>
      <c r="AA8">
        <v>103.07000000000001</v>
      </c>
      <c r="AB8" t="s">
        <v>4</v>
      </c>
      <c r="AC8">
        <v>736.87</v>
      </c>
      <c r="AD8" t="s">
        <v>4</v>
      </c>
      <c r="AE8" t="s">
        <v>4</v>
      </c>
      <c r="AF8" t="s">
        <v>4</v>
      </c>
      <c r="AG8">
        <v>3.51</v>
      </c>
      <c r="AH8" t="s">
        <v>4</v>
      </c>
      <c r="AI8">
        <v>0.91</v>
      </c>
      <c r="AJ8">
        <v>1777.71</v>
      </c>
      <c r="AK8" t="s">
        <v>4</v>
      </c>
      <c r="AL8">
        <v>83.48</v>
      </c>
      <c r="AM8" t="s">
        <v>4</v>
      </c>
      <c r="AN8">
        <v>9.1199999999999992</v>
      </c>
      <c r="AO8" t="s">
        <v>4</v>
      </c>
      <c r="AP8" t="s">
        <v>4</v>
      </c>
      <c r="AQ8">
        <v>971.37</v>
      </c>
      <c r="AR8">
        <v>6.7</v>
      </c>
      <c r="AS8" t="s">
        <v>4</v>
      </c>
      <c r="AT8" t="s">
        <v>4</v>
      </c>
      <c r="AU8">
        <v>481.06</v>
      </c>
      <c r="AV8" t="s">
        <v>4</v>
      </c>
      <c r="AW8" t="s">
        <v>4</v>
      </c>
      <c r="AX8">
        <v>25.38</v>
      </c>
      <c r="AY8" t="s">
        <v>4</v>
      </c>
      <c r="AZ8" t="s">
        <v>4</v>
      </c>
      <c r="BA8">
        <v>0.34</v>
      </c>
      <c r="BB8" t="s">
        <v>4</v>
      </c>
      <c r="BC8" t="s">
        <v>4</v>
      </c>
      <c r="BD8">
        <v>6.82</v>
      </c>
      <c r="BE8" t="s">
        <v>4</v>
      </c>
      <c r="BF8" t="s">
        <v>4</v>
      </c>
      <c r="BG8">
        <v>367.37</v>
      </c>
      <c r="BH8" t="s">
        <v>4</v>
      </c>
      <c r="BI8" t="s">
        <v>4</v>
      </c>
      <c r="BJ8" t="s">
        <v>4</v>
      </c>
      <c r="BK8" t="s">
        <v>4</v>
      </c>
      <c r="BL8">
        <v>1.87</v>
      </c>
      <c r="BM8" t="s">
        <v>4</v>
      </c>
      <c r="BN8" t="s">
        <v>4</v>
      </c>
      <c r="BO8">
        <v>5.67</v>
      </c>
      <c r="BP8">
        <v>1.59</v>
      </c>
      <c r="BQ8">
        <v>1.08</v>
      </c>
      <c r="BR8" t="s">
        <v>4</v>
      </c>
      <c r="BS8" t="s">
        <v>4</v>
      </c>
      <c r="BT8" t="s">
        <v>4</v>
      </c>
      <c r="BU8" t="s">
        <v>4</v>
      </c>
      <c r="BV8">
        <v>23.16</v>
      </c>
      <c r="BW8" t="s">
        <v>4</v>
      </c>
      <c r="BX8" t="s">
        <v>4</v>
      </c>
      <c r="BY8" t="s">
        <v>4</v>
      </c>
      <c r="BZ8" t="s">
        <v>4</v>
      </c>
      <c r="CA8">
        <v>5.17</v>
      </c>
      <c r="CB8">
        <v>5.8100000000000005</v>
      </c>
      <c r="CC8" t="s">
        <v>4</v>
      </c>
      <c r="CD8" t="s">
        <v>4</v>
      </c>
      <c r="CE8" t="s">
        <v>4</v>
      </c>
      <c r="CF8" t="s">
        <v>4</v>
      </c>
      <c r="CG8" t="s">
        <v>4</v>
      </c>
      <c r="CH8">
        <v>1</v>
      </c>
      <c r="CI8">
        <v>3</v>
      </c>
      <c r="CJ8">
        <v>22</v>
      </c>
      <c r="CK8">
        <v>4</v>
      </c>
      <c r="CL8">
        <f t="shared" si="0"/>
        <v>0.33</v>
      </c>
      <c r="CM8">
        <f t="shared" si="1"/>
        <v>1777.71</v>
      </c>
      <c r="CN8" t="s">
        <v>258</v>
      </c>
      <c r="CO8" t="s">
        <v>258</v>
      </c>
    </row>
    <row r="9" spans="1:111" x14ac:dyDescent="0.25">
      <c r="A9" s="50">
        <v>44577</v>
      </c>
      <c r="B9" s="51" t="s">
        <v>717</v>
      </c>
      <c r="C9" s="51" t="s">
        <v>181</v>
      </c>
      <c r="D9">
        <v>44577</v>
      </c>
      <c r="E9" t="s">
        <v>4</v>
      </c>
      <c r="F9" t="s">
        <v>4</v>
      </c>
      <c r="G9" t="s">
        <v>4</v>
      </c>
      <c r="H9">
        <v>0.84</v>
      </c>
      <c r="I9" t="s">
        <v>4</v>
      </c>
      <c r="J9" t="s">
        <v>4</v>
      </c>
      <c r="K9">
        <v>1.19</v>
      </c>
      <c r="L9" t="s">
        <v>4</v>
      </c>
      <c r="M9">
        <v>130.22999999999999</v>
      </c>
      <c r="N9" t="s">
        <v>4</v>
      </c>
      <c r="O9">
        <v>231.37</v>
      </c>
      <c r="P9">
        <v>50.77</v>
      </c>
      <c r="Q9" t="s">
        <v>4</v>
      </c>
      <c r="R9" t="s">
        <v>4</v>
      </c>
      <c r="S9">
        <v>3.93</v>
      </c>
      <c r="T9">
        <v>1.57</v>
      </c>
      <c r="U9" t="s">
        <v>4</v>
      </c>
      <c r="V9">
        <v>7.64</v>
      </c>
      <c r="W9" t="s">
        <v>4</v>
      </c>
      <c r="X9" t="s">
        <v>4</v>
      </c>
      <c r="Y9" t="s">
        <v>4</v>
      </c>
      <c r="Z9">
        <v>1</v>
      </c>
      <c r="AA9">
        <v>0.92999999999999994</v>
      </c>
      <c r="AB9" t="s">
        <v>4</v>
      </c>
      <c r="AC9">
        <v>98996.18</v>
      </c>
      <c r="AD9">
        <v>15.76</v>
      </c>
      <c r="AE9" t="s">
        <v>4</v>
      </c>
      <c r="AF9" t="s">
        <v>4</v>
      </c>
      <c r="AG9">
        <v>3.98</v>
      </c>
      <c r="AH9" t="s">
        <v>4</v>
      </c>
      <c r="AI9" t="s">
        <v>4</v>
      </c>
      <c r="AJ9">
        <v>93.31</v>
      </c>
      <c r="AK9" t="s">
        <v>4</v>
      </c>
      <c r="AL9">
        <v>29.05</v>
      </c>
      <c r="AM9" t="s">
        <v>4</v>
      </c>
      <c r="AN9">
        <v>26.060000000000002</v>
      </c>
      <c r="AO9" t="s">
        <v>4</v>
      </c>
      <c r="AP9" t="s">
        <v>4</v>
      </c>
      <c r="AQ9">
        <v>5.39</v>
      </c>
      <c r="AR9">
        <v>4.09</v>
      </c>
      <c r="AS9" t="s">
        <v>4</v>
      </c>
      <c r="AT9" t="s">
        <v>4</v>
      </c>
      <c r="AU9">
        <v>3.59</v>
      </c>
      <c r="AV9" t="s">
        <v>4</v>
      </c>
      <c r="AW9" t="s">
        <v>4</v>
      </c>
      <c r="AX9">
        <v>1.99</v>
      </c>
      <c r="AY9" t="s">
        <v>4</v>
      </c>
      <c r="AZ9" t="s">
        <v>4</v>
      </c>
      <c r="BA9" t="s">
        <v>4</v>
      </c>
      <c r="BB9" t="s">
        <v>4</v>
      </c>
      <c r="BC9" t="s">
        <v>4</v>
      </c>
      <c r="BD9">
        <v>1.73</v>
      </c>
      <c r="BE9" t="s">
        <v>4</v>
      </c>
      <c r="BF9" t="s">
        <v>4</v>
      </c>
      <c r="BG9">
        <v>2.48</v>
      </c>
      <c r="BH9">
        <v>91.53</v>
      </c>
      <c r="BI9" t="s">
        <v>4</v>
      </c>
      <c r="BJ9" t="s">
        <v>4</v>
      </c>
      <c r="BK9" t="s">
        <v>4</v>
      </c>
      <c r="BL9" t="s">
        <v>4</v>
      </c>
      <c r="BM9" t="s">
        <v>4</v>
      </c>
      <c r="BN9" t="s">
        <v>4</v>
      </c>
      <c r="BO9">
        <v>7.27</v>
      </c>
      <c r="BP9" t="s">
        <v>4</v>
      </c>
      <c r="BQ9">
        <v>9.15</v>
      </c>
      <c r="BR9" t="s">
        <v>4</v>
      </c>
      <c r="BS9" t="s">
        <v>4</v>
      </c>
      <c r="BT9" t="s">
        <v>4</v>
      </c>
      <c r="BU9" t="s">
        <v>4</v>
      </c>
      <c r="BV9" t="s">
        <v>4</v>
      </c>
      <c r="BW9" t="s">
        <v>4</v>
      </c>
      <c r="BX9" t="s">
        <v>4</v>
      </c>
      <c r="BY9" t="s">
        <v>4</v>
      </c>
      <c r="BZ9" t="s">
        <v>4</v>
      </c>
      <c r="CA9">
        <v>3.4800000000000004</v>
      </c>
      <c r="CB9">
        <v>5.8599999999999994</v>
      </c>
      <c r="CC9" t="s">
        <v>4</v>
      </c>
      <c r="CD9" t="s">
        <v>4</v>
      </c>
      <c r="CE9" t="s">
        <v>4</v>
      </c>
      <c r="CF9" t="s">
        <v>4</v>
      </c>
      <c r="CG9" t="s">
        <v>4</v>
      </c>
      <c r="CH9">
        <v>2</v>
      </c>
      <c r="CI9">
        <v>5</v>
      </c>
      <c r="CJ9">
        <v>311</v>
      </c>
      <c r="CK9" t="s">
        <v>348</v>
      </c>
      <c r="CL9">
        <f t="shared" si="0"/>
        <v>0.84</v>
      </c>
      <c r="CM9">
        <f t="shared" si="1"/>
        <v>98996.18</v>
      </c>
      <c r="CN9" s="32" t="s">
        <v>259</v>
      </c>
      <c r="CO9" t="s">
        <v>259</v>
      </c>
    </row>
    <row r="10" spans="1:111" x14ac:dyDescent="0.25">
      <c r="A10" s="50">
        <v>44577</v>
      </c>
      <c r="B10" s="51" t="s">
        <v>718</v>
      </c>
      <c r="C10" s="51" t="s">
        <v>182</v>
      </c>
      <c r="D10">
        <v>44577</v>
      </c>
      <c r="E10" t="s">
        <v>4</v>
      </c>
      <c r="F10" t="s">
        <v>4</v>
      </c>
      <c r="G10" t="s">
        <v>4</v>
      </c>
      <c r="H10" t="s">
        <v>4</v>
      </c>
      <c r="I10" t="s">
        <v>4</v>
      </c>
      <c r="J10" t="s">
        <v>4</v>
      </c>
      <c r="K10">
        <v>0.47</v>
      </c>
      <c r="L10" t="s">
        <v>4</v>
      </c>
      <c r="M10">
        <v>51.95</v>
      </c>
      <c r="N10">
        <v>20.729999999999997</v>
      </c>
      <c r="O10">
        <v>39.6</v>
      </c>
      <c r="P10">
        <v>7.29</v>
      </c>
      <c r="Q10" t="s">
        <v>4</v>
      </c>
      <c r="R10" t="s">
        <v>4</v>
      </c>
      <c r="S10" t="s">
        <v>4</v>
      </c>
      <c r="T10">
        <v>0.86</v>
      </c>
      <c r="U10" t="s">
        <v>4</v>
      </c>
      <c r="V10" t="s">
        <v>4</v>
      </c>
      <c r="W10" t="s">
        <v>4</v>
      </c>
      <c r="X10" t="s">
        <v>4</v>
      </c>
      <c r="Y10" t="s">
        <v>4</v>
      </c>
      <c r="Z10">
        <v>0.47999999999999954</v>
      </c>
      <c r="AA10">
        <v>1.86</v>
      </c>
      <c r="AB10" t="s">
        <v>4</v>
      </c>
      <c r="AC10">
        <v>58690.51</v>
      </c>
      <c r="AD10">
        <v>3.22</v>
      </c>
      <c r="AE10" t="s">
        <v>4</v>
      </c>
      <c r="AF10" t="s">
        <v>4</v>
      </c>
      <c r="AG10" t="s">
        <v>4</v>
      </c>
      <c r="AH10" t="s">
        <v>4</v>
      </c>
      <c r="AI10" t="s">
        <v>4</v>
      </c>
      <c r="AJ10">
        <v>14.71</v>
      </c>
      <c r="AK10" t="s">
        <v>4</v>
      </c>
      <c r="AL10">
        <v>6.53</v>
      </c>
      <c r="AM10" t="s">
        <v>4</v>
      </c>
      <c r="AN10">
        <v>4.37</v>
      </c>
      <c r="AO10" t="s">
        <v>4</v>
      </c>
      <c r="AP10" t="s">
        <v>4</v>
      </c>
      <c r="AQ10">
        <v>1.01</v>
      </c>
      <c r="AR10">
        <v>1.33</v>
      </c>
      <c r="AS10" t="s">
        <v>4</v>
      </c>
      <c r="AT10" t="s">
        <v>4</v>
      </c>
      <c r="AU10" t="s">
        <v>4</v>
      </c>
      <c r="AV10" t="s">
        <v>4</v>
      </c>
      <c r="AW10" t="s">
        <v>4</v>
      </c>
      <c r="AX10">
        <v>2.29</v>
      </c>
      <c r="AY10" t="s">
        <v>4</v>
      </c>
      <c r="AZ10" t="s">
        <v>4</v>
      </c>
      <c r="BA10" t="s">
        <v>4</v>
      </c>
      <c r="BB10" t="s">
        <v>4</v>
      </c>
      <c r="BC10" t="s">
        <v>4</v>
      </c>
      <c r="BD10">
        <v>0.86999999999999988</v>
      </c>
      <c r="BE10" t="s">
        <v>4</v>
      </c>
      <c r="BF10" t="s">
        <v>4</v>
      </c>
      <c r="BG10">
        <v>1.49</v>
      </c>
      <c r="BH10">
        <v>30.82</v>
      </c>
      <c r="BI10" t="s">
        <v>4</v>
      </c>
      <c r="BJ10" t="s">
        <v>4</v>
      </c>
      <c r="BK10" t="s">
        <v>4</v>
      </c>
      <c r="BL10" t="s">
        <v>4</v>
      </c>
      <c r="BM10" t="s">
        <v>4</v>
      </c>
      <c r="BN10" t="s">
        <v>4</v>
      </c>
      <c r="BO10">
        <v>2.39</v>
      </c>
      <c r="BP10" t="s">
        <v>4</v>
      </c>
      <c r="BQ10">
        <v>1.05</v>
      </c>
      <c r="BR10" t="s">
        <v>4</v>
      </c>
      <c r="BS10" t="s">
        <v>4</v>
      </c>
      <c r="BT10" t="s">
        <v>4</v>
      </c>
      <c r="BU10" t="s">
        <v>4</v>
      </c>
      <c r="BV10" t="s">
        <v>4</v>
      </c>
      <c r="BW10" t="s">
        <v>4</v>
      </c>
      <c r="BX10" t="s">
        <v>4</v>
      </c>
      <c r="BY10" t="s">
        <v>4</v>
      </c>
      <c r="BZ10" t="s">
        <v>4</v>
      </c>
      <c r="CA10">
        <v>0.75999999999999979</v>
      </c>
      <c r="CB10">
        <v>4.9000000000000004</v>
      </c>
      <c r="CC10" t="s">
        <v>4</v>
      </c>
      <c r="CD10" t="s">
        <v>4</v>
      </c>
      <c r="CE10" t="s">
        <v>4</v>
      </c>
      <c r="CF10" t="s">
        <v>4</v>
      </c>
      <c r="CG10" t="s">
        <v>4</v>
      </c>
      <c r="CH10">
        <v>2</v>
      </c>
      <c r="CI10">
        <v>5</v>
      </c>
      <c r="CJ10">
        <v>311</v>
      </c>
      <c r="CK10">
        <v>2</v>
      </c>
      <c r="CL10">
        <f t="shared" si="0"/>
        <v>0.47</v>
      </c>
      <c r="CM10">
        <f t="shared" si="1"/>
        <v>58690.51</v>
      </c>
      <c r="CN10" t="s">
        <v>260</v>
      </c>
      <c r="CO10" t="s">
        <v>260</v>
      </c>
    </row>
    <row r="11" spans="1:111" x14ac:dyDescent="0.25">
      <c r="A11" s="50">
        <v>44577</v>
      </c>
      <c r="B11" s="51" t="s">
        <v>719</v>
      </c>
      <c r="C11" s="51" t="s">
        <v>183</v>
      </c>
      <c r="D11">
        <v>44577</v>
      </c>
      <c r="E11" t="s">
        <v>4</v>
      </c>
      <c r="F11" t="s">
        <v>4</v>
      </c>
      <c r="G11" t="s">
        <v>4</v>
      </c>
      <c r="H11" t="s">
        <v>4</v>
      </c>
      <c r="I11" t="s">
        <v>4</v>
      </c>
      <c r="J11" t="s">
        <v>4</v>
      </c>
      <c r="K11">
        <v>0.18</v>
      </c>
      <c r="L11" t="s">
        <v>4</v>
      </c>
      <c r="M11">
        <v>19.43</v>
      </c>
      <c r="N11" t="s">
        <v>4</v>
      </c>
      <c r="O11">
        <v>22.72</v>
      </c>
      <c r="P11">
        <v>4.0999999999999996</v>
      </c>
      <c r="Q11" t="s">
        <v>4</v>
      </c>
      <c r="R11" t="s">
        <v>4</v>
      </c>
      <c r="S11" t="s">
        <v>4</v>
      </c>
      <c r="T11">
        <v>0.53</v>
      </c>
      <c r="U11" t="s">
        <v>4</v>
      </c>
      <c r="V11" t="s">
        <v>4</v>
      </c>
      <c r="W11" t="s">
        <v>4</v>
      </c>
      <c r="X11" t="s">
        <v>4</v>
      </c>
      <c r="Y11" t="s">
        <v>4</v>
      </c>
      <c r="Z11">
        <v>0.54999999999999982</v>
      </c>
      <c r="AA11">
        <v>1.5399999999999998</v>
      </c>
      <c r="AB11" t="s">
        <v>4</v>
      </c>
      <c r="AC11">
        <v>32026.71</v>
      </c>
      <c r="AD11">
        <v>1.5</v>
      </c>
      <c r="AE11" t="s">
        <v>4</v>
      </c>
      <c r="AF11" t="s">
        <v>4</v>
      </c>
      <c r="AG11" t="s">
        <v>4</v>
      </c>
      <c r="AH11" t="s">
        <v>4</v>
      </c>
      <c r="AI11" t="s">
        <v>4</v>
      </c>
      <c r="AJ11">
        <v>17.93</v>
      </c>
      <c r="AK11" t="s">
        <v>4</v>
      </c>
      <c r="AL11">
        <v>5.08</v>
      </c>
      <c r="AM11" t="s">
        <v>4</v>
      </c>
      <c r="AN11">
        <v>2.16</v>
      </c>
      <c r="AO11" t="s">
        <v>4</v>
      </c>
      <c r="AP11" t="s">
        <v>4</v>
      </c>
      <c r="AQ11">
        <v>1.21</v>
      </c>
      <c r="AR11">
        <v>0.92000000000000015</v>
      </c>
      <c r="AS11" t="s">
        <v>4</v>
      </c>
      <c r="AT11" t="s">
        <v>4</v>
      </c>
      <c r="AU11" t="s">
        <v>4</v>
      </c>
      <c r="AV11" t="s">
        <v>4</v>
      </c>
      <c r="AW11" t="s">
        <v>4</v>
      </c>
      <c r="AX11">
        <v>4.2300000000000004</v>
      </c>
      <c r="AY11" t="s">
        <v>4</v>
      </c>
      <c r="AZ11" t="s">
        <v>4</v>
      </c>
      <c r="BA11" t="s">
        <v>4</v>
      </c>
      <c r="BB11" t="s">
        <v>4</v>
      </c>
      <c r="BC11" t="s">
        <v>4</v>
      </c>
      <c r="BD11">
        <v>0.36</v>
      </c>
      <c r="BE11" t="s">
        <v>4</v>
      </c>
      <c r="BF11" t="s">
        <v>4</v>
      </c>
      <c r="BG11" t="s">
        <v>4</v>
      </c>
      <c r="BH11">
        <v>10.62</v>
      </c>
      <c r="BI11" t="s">
        <v>4</v>
      </c>
      <c r="BJ11" t="s">
        <v>4</v>
      </c>
      <c r="BK11" t="s">
        <v>4</v>
      </c>
      <c r="BL11" t="s">
        <v>4</v>
      </c>
      <c r="BM11" t="s">
        <v>4</v>
      </c>
      <c r="BN11" t="s">
        <v>4</v>
      </c>
      <c r="BO11">
        <v>3.38</v>
      </c>
      <c r="BP11" t="s">
        <v>4</v>
      </c>
      <c r="BQ11" t="s">
        <v>4</v>
      </c>
      <c r="BR11" t="s">
        <v>4</v>
      </c>
      <c r="BS11" t="s">
        <v>4</v>
      </c>
      <c r="BT11" t="s">
        <v>4</v>
      </c>
      <c r="BU11" t="s">
        <v>4</v>
      </c>
      <c r="BV11" t="s">
        <v>4</v>
      </c>
      <c r="BW11" t="s">
        <v>4</v>
      </c>
      <c r="BX11" t="s">
        <v>4</v>
      </c>
      <c r="BY11" t="s">
        <v>4</v>
      </c>
      <c r="BZ11" t="s">
        <v>4</v>
      </c>
      <c r="CA11">
        <v>4.2100000000000009</v>
      </c>
      <c r="CB11">
        <v>3.1799999999999997</v>
      </c>
      <c r="CC11" t="s">
        <v>4</v>
      </c>
      <c r="CD11" t="s">
        <v>4</v>
      </c>
      <c r="CE11" t="s">
        <v>4</v>
      </c>
      <c r="CF11" t="s">
        <v>4</v>
      </c>
      <c r="CG11" t="s">
        <v>4</v>
      </c>
      <c r="CH11">
        <v>2</v>
      </c>
      <c r="CI11">
        <v>5</v>
      </c>
      <c r="CJ11">
        <v>311</v>
      </c>
      <c r="CK11" t="s">
        <v>348</v>
      </c>
      <c r="CL11">
        <f t="shared" si="0"/>
        <v>0.18</v>
      </c>
      <c r="CM11">
        <f t="shared" si="1"/>
        <v>32026.71</v>
      </c>
      <c r="CN11" s="30" t="s">
        <v>261</v>
      </c>
      <c r="CO11" t="s">
        <v>261</v>
      </c>
    </row>
    <row r="12" spans="1:111" x14ac:dyDescent="0.25">
      <c r="A12" s="50">
        <v>44577</v>
      </c>
      <c r="B12" s="51" t="s">
        <v>720</v>
      </c>
      <c r="C12" s="51" t="s">
        <v>184</v>
      </c>
      <c r="D12">
        <v>44577</v>
      </c>
      <c r="E12" t="s">
        <v>4</v>
      </c>
      <c r="F12" t="s">
        <v>4</v>
      </c>
      <c r="G12" t="s">
        <v>4</v>
      </c>
      <c r="H12" t="s">
        <v>4</v>
      </c>
      <c r="I12" t="s">
        <v>4</v>
      </c>
      <c r="J12" t="s">
        <v>4</v>
      </c>
      <c r="K12">
        <v>1.42</v>
      </c>
      <c r="L12" t="s">
        <v>4</v>
      </c>
      <c r="M12">
        <v>98.93</v>
      </c>
      <c r="N12" t="s">
        <v>4</v>
      </c>
      <c r="O12">
        <v>62.74</v>
      </c>
      <c r="P12">
        <v>10.75</v>
      </c>
      <c r="Q12" t="s">
        <v>4</v>
      </c>
      <c r="R12" t="s">
        <v>4</v>
      </c>
      <c r="S12">
        <v>3.71</v>
      </c>
      <c r="T12">
        <v>0.95</v>
      </c>
      <c r="U12" t="s">
        <v>4</v>
      </c>
      <c r="V12">
        <v>6.66</v>
      </c>
      <c r="W12">
        <v>12.48</v>
      </c>
      <c r="X12" t="s">
        <v>4</v>
      </c>
      <c r="Y12" t="s">
        <v>4</v>
      </c>
      <c r="Z12">
        <v>0.72999999999999954</v>
      </c>
      <c r="AA12">
        <v>1.3699999999999999</v>
      </c>
      <c r="AB12" t="s">
        <v>4</v>
      </c>
      <c r="AC12">
        <v>78676.92</v>
      </c>
      <c r="AD12">
        <v>10.76</v>
      </c>
      <c r="AE12" t="s">
        <v>4</v>
      </c>
      <c r="AF12" t="s">
        <v>4</v>
      </c>
      <c r="AG12">
        <v>5.13</v>
      </c>
      <c r="AH12" t="s">
        <v>4</v>
      </c>
      <c r="AI12" t="s">
        <v>4</v>
      </c>
      <c r="AJ12">
        <v>38.18</v>
      </c>
      <c r="AK12" t="s">
        <v>4</v>
      </c>
      <c r="AL12">
        <v>5.27</v>
      </c>
      <c r="AM12" t="s">
        <v>4</v>
      </c>
      <c r="AN12">
        <v>22.69</v>
      </c>
      <c r="AO12" t="s">
        <v>4</v>
      </c>
      <c r="AP12" t="s">
        <v>4</v>
      </c>
      <c r="AQ12">
        <v>9.5299999999999994</v>
      </c>
      <c r="AR12">
        <v>8.06</v>
      </c>
      <c r="AS12" t="s">
        <v>4</v>
      </c>
      <c r="AT12" t="s">
        <v>4</v>
      </c>
      <c r="AU12" t="s">
        <v>4</v>
      </c>
      <c r="AV12" t="s">
        <v>4</v>
      </c>
      <c r="AW12">
        <v>2.2999999999999998</v>
      </c>
      <c r="AX12">
        <v>1.28</v>
      </c>
      <c r="AY12" t="s">
        <v>4</v>
      </c>
      <c r="AZ12" t="s">
        <v>4</v>
      </c>
      <c r="BA12" t="s">
        <v>4</v>
      </c>
      <c r="BB12" t="s">
        <v>4</v>
      </c>
      <c r="BC12" t="s">
        <v>4</v>
      </c>
      <c r="BD12">
        <v>1.1299999999999999</v>
      </c>
      <c r="BE12" t="s">
        <v>4</v>
      </c>
      <c r="BF12" t="s">
        <v>4</v>
      </c>
      <c r="BG12" t="s">
        <v>4</v>
      </c>
      <c r="BH12">
        <v>67.84</v>
      </c>
      <c r="BI12" t="s">
        <v>4</v>
      </c>
      <c r="BJ12" t="s">
        <v>4</v>
      </c>
      <c r="BK12" t="s">
        <v>4</v>
      </c>
      <c r="BL12" t="s">
        <v>4</v>
      </c>
      <c r="BM12" t="s">
        <v>4</v>
      </c>
      <c r="BN12" t="s">
        <v>4</v>
      </c>
      <c r="BO12">
        <v>12.74</v>
      </c>
      <c r="BP12" t="s">
        <v>4</v>
      </c>
      <c r="BQ12">
        <v>1.8</v>
      </c>
      <c r="BR12" t="s">
        <v>4</v>
      </c>
      <c r="BS12" t="s">
        <v>4</v>
      </c>
      <c r="BT12" t="s">
        <v>4</v>
      </c>
      <c r="BU12" t="s">
        <v>4</v>
      </c>
      <c r="BV12" t="s">
        <v>4</v>
      </c>
      <c r="BW12" t="s">
        <v>4</v>
      </c>
      <c r="BX12" t="s">
        <v>4</v>
      </c>
      <c r="BY12" t="s">
        <v>4</v>
      </c>
      <c r="BZ12" t="s">
        <v>4</v>
      </c>
      <c r="CA12">
        <v>7.41</v>
      </c>
      <c r="CB12">
        <v>8.64</v>
      </c>
      <c r="CC12" t="s">
        <v>4</v>
      </c>
      <c r="CD12" t="s">
        <v>4</v>
      </c>
      <c r="CE12" t="s">
        <v>4</v>
      </c>
      <c r="CF12" t="s">
        <v>4</v>
      </c>
      <c r="CG12" t="s">
        <v>4</v>
      </c>
      <c r="CH12">
        <v>2</v>
      </c>
      <c r="CI12">
        <v>5</v>
      </c>
      <c r="CJ12">
        <v>311</v>
      </c>
      <c r="CK12" t="s">
        <v>348</v>
      </c>
      <c r="CL12">
        <f t="shared" si="0"/>
        <v>0.72999999999999954</v>
      </c>
      <c r="CM12">
        <f t="shared" si="1"/>
        <v>78676.92</v>
      </c>
      <c r="CN12" t="s">
        <v>262</v>
      </c>
      <c r="CO12" t="s">
        <v>262</v>
      </c>
    </row>
    <row r="13" spans="1:111" x14ac:dyDescent="0.25">
      <c r="A13" s="50">
        <v>44577</v>
      </c>
      <c r="B13" s="51" t="s">
        <v>721</v>
      </c>
      <c r="C13" s="51" t="s">
        <v>185</v>
      </c>
      <c r="D13">
        <v>44577</v>
      </c>
      <c r="E13" t="s">
        <v>4</v>
      </c>
      <c r="F13" t="s">
        <v>4</v>
      </c>
      <c r="G13" t="s">
        <v>4</v>
      </c>
      <c r="H13">
        <v>1.69</v>
      </c>
      <c r="I13" t="s">
        <v>4</v>
      </c>
      <c r="J13" t="s">
        <v>4</v>
      </c>
      <c r="K13">
        <v>2.2799999999999998</v>
      </c>
      <c r="L13" t="s">
        <v>4</v>
      </c>
      <c r="M13">
        <v>302.16000000000003</v>
      </c>
      <c r="N13" t="s">
        <v>4</v>
      </c>
      <c r="O13">
        <v>101.55</v>
      </c>
      <c r="P13">
        <v>14.3</v>
      </c>
      <c r="Q13" t="s">
        <v>4</v>
      </c>
      <c r="R13" t="s">
        <v>4</v>
      </c>
      <c r="S13">
        <v>4.1900000000000004</v>
      </c>
      <c r="T13">
        <v>1.81</v>
      </c>
      <c r="U13" t="s">
        <v>4</v>
      </c>
      <c r="V13">
        <v>8.59</v>
      </c>
      <c r="W13">
        <v>31.17</v>
      </c>
      <c r="X13" t="s">
        <v>4</v>
      </c>
      <c r="Y13" t="s">
        <v>4</v>
      </c>
      <c r="Z13">
        <v>3.05</v>
      </c>
      <c r="AA13">
        <v>6.2600000000000007</v>
      </c>
      <c r="AB13">
        <v>6.17</v>
      </c>
      <c r="AC13">
        <v>75575.850000000006</v>
      </c>
      <c r="AD13">
        <v>21.31</v>
      </c>
      <c r="AE13" t="s">
        <v>4</v>
      </c>
      <c r="AF13" t="s">
        <v>4</v>
      </c>
      <c r="AG13">
        <v>11.18</v>
      </c>
      <c r="AH13" t="s">
        <v>4</v>
      </c>
      <c r="AI13" t="s">
        <v>4</v>
      </c>
      <c r="AJ13">
        <v>54.67</v>
      </c>
      <c r="AK13" t="s">
        <v>4</v>
      </c>
      <c r="AL13">
        <v>5.98</v>
      </c>
      <c r="AM13" t="s">
        <v>4</v>
      </c>
      <c r="AN13">
        <v>36.979999999999997</v>
      </c>
      <c r="AO13" t="s">
        <v>4</v>
      </c>
      <c r="AP13" t="s">
        <v>4</v>
      </c>
      <c r="AQ13">
        <v>13.07</v>
      </c>
      <c r="AR13">
        <v>13.99</v>
      </c>
      <c r="AS13" t="s">
        <v>4</v>
      </c>
      <c r="AT13" t="s">
        <v>4</v>
      </c>
      <c r="AU13">
        <v>56.23</v>
      </c>
      <c r="AV13" t="s">
        <v>4</v>
      </c>
      <c r="AW13">
        <v>5.81</v>
      </c>
      <c r="AX13">
        <v>2.4</v>
      </c>
      <c r="AY13" t="s">
        <v>4</v>
      </c>
      <c r="AZ13" t="s">
        <v>4</v>
      </c>
      <c r="BA13" t="s">
        <v>4</v>
      </c>
      <c r="BB13" t="s">
        <v>4</v>
      </c>
      <c r="BC13" t="s">
        <v>4</v>
      </c>
      <c r="BD13">
        <v>1.5</v>
      </c>
      <c r="BE13" t="s">
        <v>4</v>
      </c>
      <c r="BF13" t="s">
        <v>4</v>
      </c>
      <c r="BG13" t="s">
        <v>4</v>
      </c>
      <c r="BH13">
        <v>93.59</v>
      </c>
      <c r="BI13" t="s">
        <v>4</v>
      </c>
      <c r="BJ13" t="s">
        <v>4</v>
      </c>
      <c r="BK13" t="s">
        <v>4</v>
      </c>
      <c r="BL13" t="s">
        <v>4</v>
      </c>
      <c r="BM13" t="s">
        <v>4</v>
      </c>
      <c r="BN13" t="s">
        <v>4</v>
      </c>
      <c r="BO13">
        <v>42.46</v>
      </c>
      <c r="BP13" t="s">
        <v>4</v>
      </c>
      <c r="BQ13">
        <v>3.25</v>
      </c>
      <c r="BR13" t="s">
        <v>4</v>
      </c>
      <c r="BS13" t="s">
        <v>4</v>
      </c>
      <c r="BT13" t="s">
        <v>4</v>
      </c>
      <c r="BU13" t="s">
        <v>4</v>
      </c>
      <c r="BV13" t="s">
        <v>4</v>
      </c>
      <c r="BW13" t="s">
        <v>4</v>
      </c>
      <c r="BX13" t="s">
        <v>4</v>
      </c>
      <c r="BY13" t="s">
        <v>4</v>
      </c>
      <c r="BZ13" t="s">
        <v>4</v>
      </c>
      <c r="CA13">
        <v>2.9699999999999998</v>
      </c>
      <c r="CB13">
        <v>5.84</v>
      </c>
      <c r="CC13" t="s">
        <v>4</v>
      </c>
      <c r="CD13" t="s">
        <v>4</v>
      </c>
      <c r="CE13" t="s">
        <v>4</v>
      </c>
      <c r="CF13" t="s">
        <v>4</v>
      </c>
      <c r="CG13" t="s">
        <v>4</v>
      </c>
      <c r="CH13">
        <v>2</v>
      </c>
      <c r="CI13">
        <v>6</v>
      </c>
      <c r="CJ13">
        <v>311</v>
      </c>
      <c r="CK13" t="s">
        <v>348</v>
      </c>
      <c r="CL13">
        <f t="shared" si="0"/>
        <v>1.5</v>
      </c>
      <c r="CM13">
        <f t="shared" si="1"/>
        <v>75575.850000000006</v>
      </c>
      <c r="CN13" t="s">
        <v>263</v>
      </c>
      <c r="CO13" t="s">
        <v>263</v>
      </c>
    </row>
    <row r="14" spans="1:111" x14ac:dyDescent="0.25">
      <c r="A14" s="50">
        <v>44577</v>
      </c>
      <c r="B14" s="51" t="s">
        <v>722</v>
      </c>
      <c r="C14" s="51" t="s">
        <v>186</v>
      </c>
      <c r="D14">
        <v>44577</v>
      </c>
      <c r="E14" t="s">
        <v>4</v>
      </c>
      <c r="F14" t="s">
        <v>4</v>
      </c>
      <c r="G14" t="s">
        <v>4</v>
      </c>
      <c r="H14">
        <v>1.99</v>
      </c>
      <c r="I14" t="s">
        <v>4</v>
      </c>
      <c r="J14" t="s">
        <v>4</v>
      </c>
      <c r="K14">
        <v>4.26</v>
      </c>
      <c r="L14" t="s">
        <v>4</v>
      </c>
      <c r="M14">
        <v>137.02000000000001</v>
      </c>
      <c r="N14" t="s">
        <v>4</v>
      </c>
      <c r="O14">
        <v>101.71</v>
      </c>
      <c r="P14">
        <v>24.59</v>
      </c>
      <c r="Q14">
        <v>4.8</v>
      </c>
      <c r="R14" t="s">
        <v>4</v>
      </c>
      <c r="S14">
        <v>4.33</v>
      </c>
      <c r="T14">
        <v>1.1299999999999999</v>
      </c>
      <c r="U14" t="s">
        <v>4</v>
      </c>
      <c r="V14">
        <v>21.23</v>
      </c>
      <c r="W14">
        <v>12.49</v>
      </c>
      <c r="X14" t="s">
        <v>4</v>
      </c>
      <c r="Y14" t="s">
        <v>4</v>
      </c>
      <c r="Z14">
        <v>1.9299999999999997</v>
      </c>
      <c r="AA14">
        <v>7.09</v>
      </c>
      <c r="AB14">
        <v>4.07</v>
      </c>
      <c r="AC14">
        <v>45957.55</v>
      </c>
      <c r="AD14">
        <v>16.72</v>
      </c>
      <c r="AE14" t="s">
        <v>4</v>
      </c>
      <c r="AF14" t="s">
        <v>4</v>
      </c>
      <c r="AG14">
        <v>6.08</v>
      </c>
      <c r="AH14" t="s">
        <v>4</v>
      </c>
      <c r="AI14" t="s">
        <v>4</v>
      </c>
      <c r="AJ14">
        <v>45.66</v>
      </c>
      <c r="AK14">
        <v>1.21</v>
      </c>
      <c r="AL14">
        <v>6.49</v>
      </c>
      <c r="AM14" t="s">
        <v>4</v>
      </c>
      <c r="AN14">
        <v>27.73</v>
      </c>
      <c r="AO14" t="s">
        <v>4</v>
      </c>
      <c r="AP14" t="s">
        <v>4</v>
      </c>
      <c r="AQ14">
        <v>19.309999999999999</v>
      </c>
      <c r="AR14">
        <v>14.290000000000001</v>
      </c>
      <c r="AS14" t="s">
        <v>4</v>
      </c>
      <c r="AT14" t="s">
        <v>4</v>
      </c>
      <c r="AU14">
        <v>23.34</v>
      </c>
      <c r="AV14" t="s">
        <v>4</v>
      </c>
      <c r="AW14">
        <v>4.04</v>
      </c>
      <c r="AX14">
        <v>1.1100000000000001</v>
      </c>
      <c r="AY14" t="s">
        <v>4</v>
      </c>
      <c r="AZ14" t="s">
        <v>4</v>
      </c>
      <c r="BA14" t="s">
        <v>4</v>
      </c>
      <c r="BB14" t="s">
        <v>4</v>
      </c>
      <c r="BC14" t="s">
        <v>4</v>
      </c>
      <c r="BD14">
        <v>0.82000000000000006</v>
      </c>
      <c r="BE14" t="s">
        <v>4</v>
      </c>
      <c r="BF14" t="s">
        <v>4</v>
      </c>
      <c r="BG14">
        <v>7.46</v>
      </c>
      <c r="BH14">
        <v>36.549999999999997</v>
      </c>
      <c r="BI14" t="s">
        <v>4</v>
      </c>
      <c r="BJ14" t="s">
        <v>4</v>
      </c>
      <c r="BK14" t="s">
        <v>4</v>
      </c>
      <c r="BL14" t="s">
        <v>4</v>
      </c>
      <c r="BM14" t="s">
        <v>4</v>
      </c>
      <c r="BN14" t="s">
        <v>4</v>
      </c>
      <c r="BO14">
        <v>38.26</v>
      </c>
      <c r="BP14" t="s">
        <v>4</v>
      </c>
      <c r="BQ14">
        <v>1.81</v>
      </c>
      <c r="BR14" t="s">
        <v>4</v>
      </c>
      <c r="BS14" t="s">
        <v>4</v>
      </c>
      <c r="BT14" t="s">
        <v>4</v>
      </c>
      <c r="BU14" t="s">
        <v>4</v>
      </c>
      <c r="BV14" t="s">
        <v>4</v>
      </c>
      <c r="BW14" t="s">
        <v>4</v>
      </c>
      <c r="BX14" t="s">
        <v>4</v>
      </c>
      <c r="BY14" t="s">
        <v>4</v>
      </c>
      <c r="BZ14" t="s">
        <v>4</v>
      </c>
      <c r="CA14">
        <v>6.82</v>
      </c>
      <c r="CB14">
        <v>7.34</v>
      </c>
      <c r="CC14" t="s">
        <v>4</v>
      </c>
      <c r="CD14" t="s">
        <v>4</v>
      </c>
      <c r="CE14" t="s">
        <v>4</v>
      </c>
      <c r="CF14" t="s">
        <v>4</v>
      </c>
      <c r="CG14" t="s">
        <v>4</v>
      </c>
      <c r="CH14">
        <v>2</v>
      </c>
      <c r="CI14">
        <v>7</v>
      </c>
      <c r="CJ14">
        <v>311</v>
      </c>
      <c r="CK14" t="s">
        <v>348</v>
      </c>
      <c r="CL14">
        <f t="shared" si="0"/>
        <v>0.82000000000000006</v>
      </c>
      <c r="CM14">
        <f t="shared" si="1"/>
        <v>45957.55</v>
      </c>
      <c r="CN14" t="s">
        <v>264</v>
      </c>
      <c r="CO14" t="s">
        <v>264</v>
      </c>
    </row>
    <row r="15" spans="1:111" x14ac:dyDescent="0.25">
      <c r="A15" s="50">
        <v>44577</v>
      </c>
      <c r="B15" s="51" t="s">
        <v>723</v>
      </c>
      <c r="C15" s="51" t="s">
        <v>187</v>
      </c>
      <c r="D15">
        <v>44577</v>
      </c>
      <c r="E15" t="s">
        <v>4</v>
      </c>
      <c r="F15" t="s">
        <v>4</v>
      </c>
      <c r="G15" t="s">
        <v>4</v>
      </c>
      <c r="H15">
        <v>1.08</v>
      </c>
      <c r="I15" t="s">
        <v>4</v>
      </c>
      <c r="J15" t="s">
        <v>4</v>
      </c>
      <c r="K15">
        <v>2.5099999999999998</v>
      </c>
      <c r="L15" t="s">
        <v>4</v>
      </c>
      <c r="M15">
        <v>120.44</v>
      </c>
      <c r="N15" t="s">
        <v>4</v>
      </c>
      <c r="O15">
        <v>62.84</v>
      </c>
      <c r="P15">
        <v>11.63</v>
      </c>
      <c r="Q15" t="s">
        <v>4</v>
      </c>
      <c r="R15" t="s">
        <v>4</v>
      </c>
      <c r="S15" t="s">
        <v>4</v>
      </c>
      <c r="T15">
        <v>1.06</v>
      </c>
      <c r="U15" t="s">
        <v>4</v>
      </c>
      <c r="V15">
        <v>10.029999999999999</v>
      </c>
      <c r="W15">
        <v>14.45</v>
      </c>
      <c r="X15" t="s">
        <v>4</v>
      </c>
      <c r="Y15" t="s">
        <v>4</v>
      </c>
      <c r="Z15">
        <v>1</v>
      </c>
      <c r="AA15">
        <v>4.0100000000000007</v>
      </c>
      <c r="AB15">
        <v>4.29</v>
      </c>
      <c r="AC15">
        <v>78710.61</v>
      </c>
      <c r="AD15">
        <v>20.03</v>
      </c>
      <c r="AE15" t="s">
        <v>4</v>
      </c>
      <c r="AF15" t="s">
        <v>4</v>
      </c>
      <c r="AG15">
        <v>6.35</v>
      </c>
      <c r="AH15" t="s">
        <v>4</v>
      </c>
      <c r="AI15" t="s">
        <v>4</v>
      </c>
      <c r="AJ15">
        <v>38.299999999999997</v>
      </c>
      <c r="AK15" t="s">
        <v>4</v>
      </c>
      <c r="AL15">
        <v>5.89</v>
      </c>
      <c r="AM15" t="s">
        <v>4</v>
      </c>
      <c r="AN15">
        <v>27.270000000000003</v>
      </c>
      <c r="AO15" t="s">
        <v>4</v>
      </c>
      <c r="AP15" t="s">
        <v>4</v>
      </c>
      <c r="AQ15">
        <v>11.83</v>
      </c>
      <c r="AR15">
        <v>8.06</v>
      </c>
      <c r="AS15" t="s">
        <v>4</v>
      </c>
      <c r="AT15" t="s">
        <v>4</v>
      </c>
      <c r="AU15">
        <v>20.98</v>
      </c>
      <c r="AV15" t="s">
        <v>4</v>
      </c>
      <c r="AW15" t="s">
        <v>4</v>
      </c>
      <c r="AX15">
        <v>1.22</v>
      </c>
      <c r="AY15" t="s">
        <v>4</v>
      </c>
      <c r="AZ15" t="s">
        <v>4</v>
      </c>
      <c r="BA15" t="s">
        <v>4</v>
      </c>
      <c r="BB15" t="s">
        <v>4</v>
      </c>
      <c r="BC15" t="s">
        <v>4</v>
      </c>
      <c r="BD15">
        <v>1.48</v>
      </c>
      <c r="BE15" t="s">
        <v>4</v>
      </c>
      <c r="BF15" t="s">
        <v>4</v>
      </c>
      <c r="BG15">
        <v>3.02</v>
      </c>
      <c r="BH15">
        <v>54.72</v>
      </c>
      <c r="BI15" t="s">
        <v>4</v>
      </c>
      <c r="BJ15" t="s">
        <v>4</v>
      </c>
      <c r="BK15" t="s">
        <v>4</v>
      </c>
      <c r="BL15" t="s">
        <v>4</v>
      </c>
      <c r="BM15" t="s">
        <v>4</v>
      </c>
      <c r="BN15" t="s">
        <v>4</v>
      </c>
      <c r="BO15">
        <v>22.05</v>
      </c>
      <c r="BP15" t="s">
        <v>4</v>
      </c>
      <c r="BQ15">
        <v>2.5299999999999998</v>
      </c>
      <c r="BR15" t="s">
        <v>4</v>
      </c>
      <c r="BS15" t="s">
        <v>4</v>
      </c>
      <c r="BT15" t="s">
        <v>4</v>
      </c>
      <c r="BU15" t="s">
        <v>4</v>
      </c>
      <c r="BV15" t="s">
        <v>4</v>
      </c>
      <c r="BW15" t="s">
        <v>4</v>
      </c>
      <c r="BX15" t="s">
        <v>4</v>
      </c>
      <c r="BY15" t="s">
        <v>4</v>
      </c>
      <c r="BZ15" t="s">
        <v>4</v>
      </c>
      <c r="CA15">
        <v>5.35</v>
      </c>
      <c r="CB15">
        <v>3.99</v>
      </c>
      <c r="CC15" t="s">
        <v>4</v>
      </c>
      <c r="CD15" t="s">
        <v>4</v>
      </c>
      <c r="CE15" t="s">
        <v>4</v>
      </c>
      <c r="CF15" t="s">
        <v>4</v>
      </c>
      <c r="CG15" t="s">
        <v>4</v>
      </c>
      <c r="CH15">
        <v>2</v>
      </c>
      <c r="CI15">
        <v>7</v>
      </c>
      <c r="CJ15">
        <v>311</v>
      </c>
      <c r="CK15" t="s">
        <v>348</v>
      </c>
      <c r="CL15">
        <f t="shared" si="0"/>
        <v>1</v>
      </c>
      <c r="CM15">
        <f t="shared" si="1"/>
        <v>78710.61</v>
      </c>
      <c r="CN15" t="s">
        <v>265</v>
      </c>
      <c r="CO15" t="s">
        <v>265</v>
      </c>
    </row>
    <row r="16" spans="1:111" s="136" customFormat="1" ht="15" customHeight="1" x14ac:dyDescent="0.25">
      <c r="A16" s="50">
        <v>44577</v>
      </c>
      <c r="B16" s="51" t="s">
        <v>724</v>
      </c>
      <c r="C16" s="51" t="s">
        <v>241</v>
      </c>
      <c r="D16">
        <v>44577</v>
      </c>
      <c r="E16" t="s">
        <v>4</v>
      </c>
      <c r="F16" t="s">
        <v>4</v>
      </c>
      <c r="G16" t="s">
        <v>4</v>
      </c>
      <c r="H16">
        <v>1.91</v>
      </c>
      <c r="I16" t="s">
        <v>4</v>
      </c>
      <c r="J16" t="s">
        <v>4</v>
      </c>
      <c r="K16">
        <v>1.7</v>
      </c>
      <c r="L16" t="s">
        <v>4</v>
      </c>
      <c r="M16">
        <v>30.29</v>
      </c>
      <c r="N16">
        <v>49.410000000000004</v>
      </c>
      <c r="O16">
        <v>80.16</v>
      </c>
      <c r="P16">
        <v>8.8699999999999992</v>
      </c>
      <c r="Q16" t="s">
        <v>4</v>
      </c>
      <c r="R16" t="s">
        <v>4</v>
      </c>
      <c r="S16" t="s">
        <v>4</v>
      </c>
      <c r="T16">
        <v>1.08</v>
      </c>
      <c r="U16" t="s">
        <v>4</v>
      </c>
      <c r="V16" t="s">
        <v>4</v>
      </c>
      <c r="W16" t="s">
        <v>4</v>
      </c>
      <c r="X16" t="s">
        <v>4</v>
      </c>
      <c r="Y16" t="s">
        <v>4</v>
      </c>
      <c r="Z16">
        <v>4.95</v>
      </c>
      <c r="AA16">
        <v>0.83000000000000007</v>
      </c>
      <c r="AB16" t="s">
        <v>4</v>
      </c>
      <c r="AC16">
        <v>242.88</v>
      </c>
      <c r="AD16">
        <v>12.31</v>
      </c>
      <c r="AE16">
        <v>5.8</v>
      </c>
      <c r="AF16" t="s">
        <v>4</v>
      </c>
      <c r="AG16" t="s">
        <v>4</v>
      </c>
      <c r="AH16" t="s">
        <v>4</v>
      </c>
      <c r="AI16" t="s">
        <v>4</v>
      </c>
      <c r="AJ16">
        <v>157.19</v>
      </c>
      <c r="AK16" t="s">
        <v>4</v>
      </c>
      <c r="AL16">
        <v>16.559999999999999</v>
      </c>
      <c r="AM16" t="s">
        <v>4</v>
      </c>
      <c r="AN16">
        <v>5.59</v>
      </c>
      <c r="AO16" t="s">
        <v>4</v>
      </c>
      <c r="AP16" t="s">
        <v>4</v>
      </c>
      <c r="AQ16">
        <v>0.61</v>
      </c>
      <c r="AR16">
        <v>4.63</v>
      </c>
      <c r="AS16" t="s">
        <v>4</v>
      </c>
      <c r="AT16" t="s">
        <v>4</v>
      </c>
      <c r="AU16" t="s">
        <v>4</v>
      </c>
      <c r="AV16" t="s">
        <v>4</v>
      </c>
      <c r="AW16" t="s">
        <v>4</v>
      </c>
      <c r="AX16">
        <v>4.57</v>
      </c>
      <c r="AY16" t="s">
        <v>4</v>
      </c>
      <c r="AZ16" t="s">
        <v>4</v>
      </c>
      <c r="BA16" t="s">
        <v>4</v>
      </c>
      <c r="BB16" t="s">
        <v>4</v>
      </c>
      <c r="BC16" t="s">
        <v>4</v>
      </c>
      <c r="BD16">
        <v>1.5099999999999998</v>
      </c>
      <c r="BE16" t="s">
        <v>4</v>
      </c>
      <c r="BF16" t="s">
        <v>4</v>
      </c>
      <c r="BG16">
        <v>33.520000000000003</v>
      </c>
      <c r="BH16" t="s">
        <v>4</v>
      </c>
      <c r="BI16" t="s">
        <v>4</v>
      </c>
      <c r="BJ16" t="s">
        <v>4</v>
      </c>
      <c r="BK16" t="s">
        <v>4</v>
      </c>
      <c r="BL16" t="s">
        <v>4</v>
      </c>
      <c r="BM16" t="s">
        <v>4</v>
      </c>
      <c r="BN16" t="s">
        <v>4</v>
      </c>
      <c r="BO16">
        <v>14.46</v>
      </c>
      <c r="BP16" t="s">
        <v>4</v>
      </c>
      <c r="BQ16">
        <v>4.07</v>
      </c>
      <c r="BR16" t="s">
        <v>4</v>
      </c>
      <c r="BS16" t="s">
        <v>4</v>
      </c>
      <c r="BT16" t="s">
        <v>4</v>
      </c>
      <c r="BU16" t="s">
        <v>4</v>
      </c>
      <c r="BV16" t="s">
        <v>4</v>
      </c>
      <c r="BW16" t="s">
        <v>4</v>
      </c>
      <c r="BX16" t="s">
        <v>4</v>
      </c>
      <c r="BY16" t="s">
        <v>4</v>
      </c>
      <c r="BZ16" t="s">
        <v>4</v>
      </c>
      <c r="CA16">
        <v>0.54</v>
      </c>
      <c r="CB16">
        <v>4.91</v>
      </c>
      <c r="CC16" t="s">
        <v>4</v>
      </c>
      <c r="CD16" t="s">
        <v>4</v>
      </c>
      <c r="CE16" t="s">
        <v>4</v>
      </c>
      <c r="CF16" t="s">
        <v>4</v>
      </c>
      <c r="CG16" t="s">
        <v>4</v>
      </c>
      <c r="CH16">
        <v>1</v>
      </c>
      <c r="CI16">
        <v>5</v>
      </c>
      <c r="CJ16">
        <v>312</v>
      </c>
      <c r="CK16">
        <v>2</v>
      </c>
      <c r="CL16">
        <f t="shared" si="0"/>
        <v>0.54</v>
      </c>
      <c r="CM16">
        <f t="shared" si="1"/>
        <v>242.88</v>
      </c>
      <c r="CN16" t="s">
        <v>163</v>
      </c>
      <c r="CO16" t="s">
        <v>163</v>
      </c>
      <c r="CP16"/>
      <c r="CQ16"/>
      <c r="CR16"/>
      <c r="CS16"/>
      <c r="CT16"/>
      <c r="CU16"/>
      <c r="CV16"/>
      <c r="CW16"/>
      <c r="CX16"/>
      <c r="CY16"/>
      <c r="CZ16"/>
      <c r="DA16"/>
      <c r="DB16"/>
      <c r="DC16"/>
      <c r="DD16"/>
      <c r="DE16"/>
      <c r="DF16"/>
      <c r="DG16"/>
    </row>
    <row r="17" spans="1:93" x14ac:dyDescent="0.25">
      <c r="A17" s="50">
        <v>44577</v>
      </c>
      <c r="B17" s="51" t="s">
        <v>725</v>
      </c>
      <c r="C17" s="51" t="s">
        <v>244</v>
      </c>
      <c r="D17">
        <v>44577</v>
      </c>
      <c r="E17" t="s">
        <v>4</v>
      </c>
      <c r="F17" t="s">
        <v>4</v>
      </c>
      <c r="G17" t="s">
        <v>4</v>
      </c>
      <c r="H17" t="s">
        <v>4</v>
      </c>
      <c r="I17" t="s">
        <v>4</v>
      </c>
      <c r="J17" t="s">
        <v>4</v>
      </c>
      <c r="K17">
        <v>0.66</v>
      </c>
      <c r="L17" t="s">
        <v>4</v>
      </c>
      <c r="M17">
        <v>151.62</v>
      </c>
      <c r="N17" t="s">
        <v>4</v>
      </c>
      <c r="O17">
        <v>217.58</v>
      </c>
      <c r="P17">
        <v>48.21</v>
      </c>
      <c r="Q17" t="s">
        <v>4</v>
      </c>
      <c r="R17" t="s">
        <v>4</v>
      </c>
      <c r="S17">
        <v>12.75</v>
      </c>
      <c r="T17">
        <v>0.63</v>
      </c>
      <c r="U17" t="s">
        <v>4</v>
      </c>
      <c r="V17">
        <v>710.89</v>
      </c>
      <c r="W17" t="s">
        <v>4</v>
      </c>
      <c r="X17" t="s">
        <v>4</v>
      </c>
      <c r="Y17" t="s">
        <v>4</v>
      </c>
      <c r="Z17">
        <v>11.93</v>
      </c>
      <c r="AA17">
        <v>6585.84</v>
      </c>
      <c r="AB17" t="s">
        <v>4</v>
      </c>
      <c r="AC17">
        <v>109.22</v>
      </c>
      <c r="AD17">
        <v>9.86</v>
      </c>
      <c r="AE17" t="s">
        <v>4</v>
      </c>
      <c r="AF17" t="s">
        <v>4</v>
      </c>
      <c r="AG17" t="s">
        <v>4</v>
      </c>
      <c r="AH17" t="s">
        <v>4</v>
      </c>
      <c r="AI17" t="s">
        <v>4</v>
      </c>
      <c r="AJ17">
        <v>4918.03</v>
      </c>
      <c r="AK17" t="s">
        <v>4</v>
      </c>
      <c r="AL17">
        <v>23.15</v>
      </c>
      <c r="AM17" t="s">
        <v>4</v>
      </c>
      <c r="AN17">
        <v>9.94</v>
      </c>
      <c r="AO17" t="s">
        <v>4</v>
      </c>
      <c r="AP17" t="s">
        <v>4</v>
      </c>
      <c r="AQ17">
        <v>239.88</v>
      </c>
      <c r="AR17">
        <v>3.17</v>
      </c>
      <c r="AS17" t="s">
        <v>4</v>
      </c>
      <c r="AT17" t="s">
        <v>4</v>
      </c>
      <c r="AU17">
        <v>10808.87</v>
      </c>
      <c r="AV17" t="s">
        <v>4</v>
      </c>
      <c r="AW17" t="s">
        <v>4</v>
      </c>
      <c r="AX17">
        <v>11574.01</v>
      </c>
      <c r="AY17" t="s">
        <v>4</v>
      </c>
      <c r="AZ17" t="s">
        <v>4</v>
      </c>
      <c r="BA17" t="s">
        <v>4</v>
      </c>
      <c r="BB17" t="s">
        <v>4</v>
      </c>
      <c r="BC17" t="s">
        <v>4</v>
      </c>
      <c r="BD17">
        <v>1.23</v>
      </c>
      <c r="BE17" t="s">
        <v>4</v>
      </c>
      <c r="BF17" t="s">
        <v>4</v>
      </c>
      <c r="BG17">
        <v>5.67</v>
      </c>
      <c r="BH17" t="s">
        <v>4</v>
      </c>
      <c r="BI17" t="s">
        <v>4</v>
      </c>
      <c r="BJ17" t="s">
        <v>4</v>
      </c>
      <c r="BK17" t="s">
        <v>4</v>
      </c>
      <c r="BL17" t="s">
        <v>4</v>
      </c>
      <c r="BM17" t="s">
        <v>4</v>
      </c>
      <c r="BN17" t="s">
        <v>4</v>
      </c>
      <c r="BO17">
        <v>12.21</v>
      </c>
      <c r="BP17" t="s">
        <v>4</v>
      </c>
      <c r="BQ17">
        <v>4.13</v>
      </c>
      <c r="BR17" t="s">
        <v>4</v>
      </c>
      <c r="BS17" t="s">
        <v>4</v>
      </c>
      <c r="BT17" t="s">
        <v>4</v>
      </c>
      <c r="BU17" t="s">
        <v>4</v>
      </c>
      <c r="BV17" t="s">
        <v>4</v>
      </c>
      <c r="BW17" t="s">
        <v>4</v>
      </c>
      <c r="BX17" t="s">
        <v>4</v>
      </c>
      <c r="BY17" t="s">
        <v>4</v>
      </c>
      <c r="BZ17" t="s">
        <v>4</v>
      </c>
      <c r="CA17" t="s">
        <v>4</v>
      </c>
      <c r="CB17">
        <v>6.8000000000000007</v>
      </c>
      <c r="CC17" t="s">
        <v>4</v>
      </c>
      <c r="CD17" t="s">
        <v>4</v>
      </c>
      <c r="CE17" t="s">
        <v>4</v>
      </c>
      <c r="CF17" t="s">
        <v>4</v>
      </c>
      <c r="CG17" t="s">
        <v>4</v>
      </c>
      <c r="CH17">
        <v>1</v>
      </c>
      <c r="CI17">
        <v>5</v>
      </c>
      <c r="CJ17">
        <v>312</v>
      </c>
      <c r="CK17" t="s">
        <v>348</v>
      </c>
      <c r="CL17">
        <f t="shared" si="0"/>
        <v>0.63</v>
      </c>
      <c r="CM17">
        <f t="shared" si="1"/>
        <v>11574.01</v>
      </c>
      <c r="CN17" t="s">
        <v>164</v>
      </c>
      <c r="CO17" t="s">
        <v>164</v>
      </c>
    </row>
    <row r="18" spans="1:93" x14ac:dyDescent="0.25">
      <c r="A18" s="50">
        <v>44577</v>
      </c>
      <c r="B18" s="51" t="s">
        <v>726</v>
      </c>
      <c r="C18" s="51" t="s">
        <v>188</v>
      </c>
      <c r="D18">
        <v>44577</v>
      </c>
      <c r="E18" t="s">
        <v>4</v>
      </c>
      <c r="F18" t="s">
        <v>4</v>
      </c>
      <c r="G18" t="s">
        <v>4</v>
      </c>
      <c r="H18">
        <v>11.84</v>
      </c>
      <c r="I18">
        <v>14.87</v>
      </c>
      <c r="J18" t="s">
        <v>4</v>
      </c>
      <c r="K18">
        <v>3.68</v>
      </c>
      <c r="L18" t="s">
        <v>4</v>
      </c>
      <c r="M18">
        <v>302.27999999999997</v>
      </c>
      <c r="N18" t="s">
        <v>4</v>
      </c>
      <c r="O18">
        <v>721.16</v>
      </c>
      <c r="P18">
        <v>145.86000000000001</v>
      </c>
      <c r="Q18" t="s">
        <v>4</v>
      </c>
      <c r="R18" t="s">
        <v>4</v>
      </c>
      <c r="S18">
        <v>59.97</v>
      </c>
      <c r="T18">
        <v>0.57999999999999996</v>
      </c>
      <c r="U18" t="s">
        <v>4</v>
      </c>
      <c r="V18">
        <v>1475.69</v>
      </c>
      <c r="W18" t="s">
        <v>4</v>
      </c>
      <c r="X18" t="s">
        <v>4</v>
      </c>
      <c r="Y18" t="s">
        <v>4</v>
      </c>
      <c r="Z18">
        <v>9.1499999999999986</v>
      </c>
      <c r="AA18">
        <v>6032.19</v>
      </c>
      <c r="AB18" t="s">
        <v>4</v>
      </c>
      <c r="AC18">
        <v>28.59</v>
      </c>
      <c r="AD18">
        <v>7.72</v>
      </c>
      <c r="AE18" t="s">
        <v>4</v>
      </c>
      <c r="AF18" t="s">
        <v>4</v>
      </c>
      <c r="AG18">
        <v>0.33</v>
      </c>
      <c r="AH18" t="s">
        <v>4</v>
      </c>
      <c r="AI18" t="s">
        <v>4</v>
      </c>
      <c r="AJ18">
        <v>10621.34</v>
      </c>
      <c r="AK18" t="s">
        <v>4</v>
      </c>
      <c r="AL18">
        <v>54.87</v>
      </c>
      <c r="AM18" t="s">
        <v>4</v>
      </c>
      <c r="AN18">
        <v>21.76</v>
      </c>
      <c r="AO18" t="s">
        <v>4</v>
      </c>
      <c r="AP18" t="s">
        <v>4</v>
      </c>
      <c r="AQ18">
        <v>116.07</v>
      </c>
      <c r="AR18">
        <v>16.669999999999998</v>
      </c>
      <c r="AS18" t="s">
        <v>4</v>
      </c>
      <c r="AT18">
        <v>5.25</v>
      </c>
      <c r="AU18">
        <v>3992</v>
      </c>
      <c r="AV18" t="s">
        <v>4</v>
      </c>
      <c r="AW18" t="s">
        <v>4</v>
      </c>
      <c r="AX18">
        <v>4125.6899999999996</v>
      </c>
      <c r="AY18" t="s">
        <v>4</v>
      </c>
      <c r="AZ18" t="s">
        <v>4</v>
      </c>
      <c r="BA18" t="s">
        <v>4</v>
      </c>
      <c r="BB18" t="s">
        <v>4</v>
      </c>
      <c r="BC18" t="s">
        <v>4</v>
      </c>
      <c r="BD18">
        <v>0.79</v>
      </c>
      <c r="BE18" t="s">
        <v>4</v>
      </c>
      <c r="BF18" t="s">
        <v>4</v>
      </c>
      <c r="BG18" t="s">
        <v>4</v>
      </c>
      <c r="BH18" t="s">
        <v>4</v>
      </c>
      <c r="BI18" t="s">
        <v>4</v>
      </c>
      <c r="BJ18" t="s">
        <v>4</v>
      </c>
      <c r="BK18" t="s">
        <v>4</v>
      </c>
      <c r="BL18" t="s">
        <v>4</v>
      </c>
      <c r="BM18" t="s">
        <v>4</v>
      </c>
      <c r="BN18" t="s">
        <v>4</v>
      </c>
      <c r="BO18">
        <v>12.8</v>
      </c>
      <c r="BP18" t="s">
        <v>4</v>
      </c>
      <c r="BQ18">
        <v>4.1100000000000003</v>
      </c>
      <c r="BR18">
        <v>0.82</v>
      </c>
      <c r="BS18" t="s">
        <v>4</v>
      </c>
      <c r="BT18" t="s">
        <v>4</v>
      </c>
      <c r="BU18" t="s">
        <v>4</v>
      </c>
      <c r="BV18" t="s">
        <v>4</v>
      </c>
      <c r="BW18" t="s">
        <v>4</v>
      </c>
      <c r="BX18" t="s">
        <v>4</v>
      </c>
      <c r="BY18" t="s">
        <v>4</v>
      </c>
      <c r="BZ18" t="s">
        <v>4</v>
      </c>
      <c r="CA18">
        <v>10.77</v>
      </c>
      <c r="CB18">
        <v>130.96</v>
      </c>
      <c r="CC18" t="s">
        <v>4</v>
      </c>
      <c r="CD18" t="s">
        <v>4</v>
      </c>
      <c r="CE18" t="s">
        <v>4</v>
      </c>
      <c r="CF18" t="s">
        <v>4</v>
      </c>
      <c r="CG18" t="s">
        <v>4</v>
      </c>
      <c r="CH18">
        <v>1</v>
      </c>
      <c r="CI18">
        <v>5</v>
      </c>
      <c r="CJ18">
        <v>312</v>
      </c>
      <c r="CK18" t="s">
        <v>348</v>
      </c>
      <c r="CL18">
        <f t="shared" si="0"/>
        <v>0.33</v>
      </c>
      <c r="CM18">
        <f t="shared" si="1"/>
        <v>10621.34</v>
      </c>
      <c r="CN18" s="30" t="s">
        <v>165</v>
      </c>
      <c r="CO18" t="s">
        <v>165</v>
      </c>
    </row>
    <row r="19" spans="1:93" x14ac:dyDescent="0.25">
      <c r="A19" s="50">
        <v>44577</v>
      </c>
      <c r="B19" s="51" t="s">
        <v>727</v>
      </c>
      <c r="C19" s="51" t="s">
        <v>179</v>
      </c>
      <c r="D19">
        <v>44577</v>
      </c>
      <c r="E19" t="s">
        <v>4</v>
      </c>
      <c r="F19" t="s">
        <v>4</v>
      </c>
      <c r="G19" t="s">
        <v>4</v>
      </c>
      <c r="H19">
        <v>3.62</v>
      </c>
      <c r="I19">
        <v>13.65</v>
      </c>
      <c r="J19">
        <v>19.899999999999999</v>
      </c>
      <c r="K19">
        <v>9.5</v>
      </c>
      <c r="L19" t="s">
        <v>4</v>
      </c>
      <c r="M19">
        <v>134.44</v>
      </c>
      <c r="N19">
        <v>2799.52</v>
      </c>
      <c r="O19">
        <v>303.01</v>
      </c>
      <c r="P19">
        <v>61.96</v>
      </c>
      <c r="Q19" t="s">
        <v>4</v>
      </c>
      <c r="R19" t="s">
        <v>4</v>
      </c>
      <c r="S19">
        <v>16.66</v>
      </c>
      <c r="T19">
        <v>0.62</v>
      </c>
      <c r="U19" t="s">
        <v>4</v>
      </c>
      <c r="V19">
        <v>100.02</v>
      </c>
      <c r="W19" t="s">
        <v>4</v>
      </c>
      <c r="X19" t="s">
        <v>4</v>
      </c>
      <c r="Y19" t="s">
        <v>4</v>
      </c>
      <c r="Z19">
        <v>10.82</v>
      </c>
      <c r="AA19">
        <v>1773.94</v>
      </c>
      <c r="AB19" t="s">
        <v>4</v>
      </c>
      <c r="AC19">
        <v>106.66</v>
      </c>
      <c r="AD19">
        <v>6.93</v>
      </c>
      <c r="AE19" t="s">
        <v>4</v>
      </c>
      <c r="AF19" t="s">
        <v>4</v>
      </c>
      <c r="AG19" t="s">
        <v>4</v>
      </c>
      <c r="AH19" t="s">
        <v>4</v>
      </c>
      <c r="AI19" t="s">
        <v>4</v>
      </c>
      <c r="AJ19">
        <v>6088.54</v>
      </c>
      <c r="AK19" t="s">
        <v>4</v>
      </c>
      <c r="AL19">
        <v>47.19</v>
      </c>
      <c r="AM19" t="s">
        <v>4</v>
      </c>
      <c r="AN19">
        <v>14.879999999999999</v>
      </c>
      <c r="AO19" t="s">
        <v>4</v>
      </c>
      <c r="AP19" t="s">
        <v>4</v>
      </c>
      <c r="AQ19">
        <v>199.22</v>
      </c>
      <c r="AR19">
        <v>20.049999999999997</v>
      </c>
      <c r="AS19" t="s">
        <v>4</v>
      </c>
      <c r="AT19" t="s">
        <v>4</v>
      </c>
      <c r="AU19">
        <v>3870.35</v>
      </c>
      <c r="AV19" t="s">
        <v>4</v>
      </c>
      <c r="AW19" t="s">
        <v>4</v>
      </c>
      <c r="AX19">
        <v>993.72</v>
      </c>
      <c r="AY19" t="s">
        <v>4</v>
      </c>
      <c r="AZ19" t="s">
        <v>4</v>
      </c>
      <c r="BA19" t="s">
        <v>4</v>
      </c>
      <c r="BB19" t="s">
        <v>4</v>
      </c>
      <c r="BC19" t="s">
        <v>4</v>
      </c>
      <c r="BD19">
        <v>3.19</v>
      </c>
      <c r="BE19" t="s">
        <v>4</v>
      </c>
      <c r="BF19" t="s">
        <v>4</v>
      </c>
      <c r="BG19">
        <v>26.8</v>
      </c>
      <c r="BH19" t="s">
        <v>4</v>
      </c>
      <c r="BI19" t="s">
        <v>4</v>
      </c>
      <c r="BJ19" t="s">
        <v>4</v>
      </c>
      <c r="BK19" t="s">
        <v>4</v>
      </c>
      <c r="BL19" t="s">
        <v>4</v>
      </c>
      <c r="BM19" t="s">
        <v>4</v>
      </c>
      <c r="BN19" t="s">
        <v>4</v>
      </c>
      <c r="BO19">
        <v>41.29</v>
      </c>
      <c r="BP19" t="s">
        <v>4</v>
      </c>
      <c r="BQ19">
        <v>2.84</v>
      </c>
      <c r="BR19" t="s">
        <v>4</v>
      </c>
      <c r="BS19" t="s">
        <v>4</v>
      </c>
      <c r="BT19" t="s">
        <v>4</v>
      </c>
      <c r="BU19" t="s">
        <v>4</v>
      </c>
      <c r="BV19" t="s">
        <v>4</v>
      </c>
      <c r="BW19" t="s">
        <v>4</v>
      </c>
      <c r="BX19" t="s">
        <v>4</v>
      </c>
      <c r="BY19" t="s">
        <v>4</v>
      </c>
      <c r="BZ19" t="s">
        <v>4</v>
      </c>
      <c r="CA19">
        <v>9.39</v>
      </c>
      <c r="CB19">
        <v>16.479999999999997</v>
      </c>
      <c r="CC19" t="s">
        <v>4</v>
      </c>
      <c r="CD19" t="s">
        <v>4</v>
      </c>
      <c r="CE19" t="s">
        <v>4</v>
      </c>
      <c r="CF19" t="s">
        <v>4</v>
      </c>
      <c r="CG19" t="s">
        <v>4</v>
      </c>
      <c r="CH19">
        <v>1</v>
      </c>
      <c r="CI19">
        <v>5</v>
      </c>
      <c r="CJ19">
        <v>312</v>
      </c>
      <c r="CK19">
        <v>1</v>
      </c>
      <c r="CL19">
        <f t="shared" si="0"/>
        <v>0.62</v>
      </c>
      <c r="CM19">
        <f t="shared" si="1"/>
        <v>6088.54</v>
      </c>
      <c r="CN19" t="s">
        <v>267</v>
      </c>
      <c r="CO19" t="s">
        <v>267</v>
      </c>
    </row>
    <row r="20" spans="1:93" ht="14.4" thickBot="1" x14ac:dyDescent="0.3">
      <c r="A20" s="50">
        <v>44577</v>
      </c>
      <c r="B20" s="51" t="s">
        <v>728</v>
      </c>
      <c r="C20" s="51" t="s">
        <v>329</v>
      </c>
      <c r="D20">
        <v>44577</v>
      </c>
      <c r="E20" t="s">
        <v>4</v>
      </c>
      <c r="F20" t="s">
        <v>4</v>
      </c>
      <c r="G20" t="s">
        <v>4</v>
      </c>
      <c r="H20">
        <v>4.37</v>
      </c>
      <c r="I20">
        <v>6.09</v>
      </c>
      <c r="J20">
        <v>13.59</v>
      </c>
      <c r="K20">
        <v>2.79</v>
      </c>
      <c r="L20" t="s">
        <v>4</v>
      </c>
      <c r="M20">
        <v>29.23</v>
      </c>
      <c r="N20" t="s">
        <v>4</v>
      </c>
      <c r="O20">
        <v>20.45</v>
      </c>
      <c r="P20">
        <v>3.21</v>
      </c>
      <c r="Q20" t="s">
        <v>4</v>
      </c>
      <c r="R20" t="s">
        <v>4</v>
      </c>
      <c r="S20" t="s">
        <v>4</v>
      </c>
      <c r="T20">
        <v>0.59</v>
      </c>
      <c r="U20" t="s">
        <v>4</v>
      </c>
      <c r="V20">
        <v>5.73</v>
      </c>
      <c r="W20" t="s">
        <v>4</v>
      </c>
      <c r="X20" t="s">
        <v>4</v>
      </c>
      <c r="Y20" t="s">
        <v>4</v>
      </c>
      <c r="Z20">
        <v>2.4500000000000002</v>
      </c>
      <c r="AA20">
        <v>5.24</v>
      </c>
      <c r="AB20" t="s">
        <v>4</v>
      </c>
      <c r="AC20">
        <v>203.14</v>
      </c>
      <c r="AD20">
        <v>3.82</v>
      </c>
      <c r="AE20" t="s">
        <v>4</v>
      </c>
      <c r="AF20" t="s">
        <v>4</v>
      </c>
      <c r="AG20" t="s">
        <v>4</v>
      </c>
      <c r="AH20" t="s">
        <v>4</v>
      </c>
      <c r="AI20" t="s">
        <v>4</v>
      </c>
      <c r="AJ20">
        <v>69.349999999999994</v>
      </c>
      <c r="AK20" t="s">
        <v>4</v>
      </c>
      <c r="AL20" t="s">
        <v>4</v>
      </c>
      <c r="AM20" t="s">
        <v>4</v>
      </c>
      <c r="AN20">
        <v>9.2200000000000006</v>
      </c>
      <c r="AO20" t="s">
        <v>4</v>
      </c>
      <c r="AP20" t="s">
        <v>4</v>
      </c>
      <c r="AQ20">
        <v>6.26</v>
      </c>
      <c r="AR20">
        <v>5.13</v>
      </c>
      <c r="AS20" t="s">
        <v>4</v>
      </c>
      <c r="AT20" t="s">
        <v>4</v>
      </c>
      <c r="AU20" t="s">
        <v>4</v>
      </c>
      <c r="AV20" t="s">
        <v>4</v>
      </c>
      <c r="AW20" t="s">
        <v>4</v>
      </c>
      <c r="AX20">
        <v>1.43</v>
      </c>
      <c r="AY20" t="s">
        <v>4</v>
      </c>
      <c r="AZ20" t="s">
        <v>4</v>
      </c>
      <c r="BA20" t="s">
        <v>4</v>
      </c>
      <c r="BB20" t="s">
        <v>4</v>
      </c>
      <c r="BC20" t="s">
        <v>4</v>
      </c>
      <c r="BD20">
        <v>0.44999999999999996</v>
      </c>
      <c r="BE20" t="s">
        <v>4</v>
      </c>
      <c r="BF20" t="s">
        <v>4</v>
      </c>
      <c r="BG20" t="s">
        <v>4</v>
      </c>
      <c r="BH20">
        <v>4.5</v>
      </c>
      <c r="BI20" t="s">
        <v>4</v>
      </c>
      <c r="BJ20" t="s">
        <v>4</v>
      </c>
      <c r="BK20" t="s">
        <v>4</v>
      </c>
      <c r="BL20" t="s">
        <v>4</v>
      </c>
      <c r="BM20" t="s">
        <v>4</v>
      </c>
      <c r="BN20" t="s">
        <v>4</v>
      </c>
      <c r="BO20">
        <v>5.85</v>
      </c>
      <c r="BP20" t="s">
        <v>4</v>
      </c>
      <c r="BQ20" s="26">
        <v>1.34</v>
      </c>
      <c r="BR20" s="26" t="s">
        <v>4</v>
      </c>
      <c r="BS20" s="26" t="s">
        <v>4</v>
      </c>
      <c r="BT20" s="26" t="s">
        <v>4</v>
      </c>
      <c r="BU20" s="26" t="s">
        <v>4</v>
      </c>
      <c r="BV20" s="26" t="s">
        <v>4</v>
      </c>
      <c r="BW20" s="26" t="s">
        <v>4</v>
      </c>
      <c r="BX20" s="26" t="s">
        <v>4</v>
      </c>
      <c r="BY20" s="26" t="s">
        <v>4</v>
      </c>
      <c r="BZ20" s="26" t="s">
        <v>4</v>
      </c>
      <c r="CA20" s="26">
        <v>4.9800000000000004</v>
      </c>
      <c r="CB20" s="26">
        <v>7.2000000000000011</v>
      </c>
      <c r="CC20" s="26" t="s">
        <v>4</v>
      </c>
      <c r="CD20" s="26" t="s">
        <v>4</v>
      </c>
      <c r="CE20" t="s">
        <v>4</v>
      </c>
      <c r="CF20" t="s">
        <v>4</v>
      </c>
      <c r="CG20" t="s">
        <v>4</v>
      </c>
      <c r="CH20">
        <v>1</v>
      </c>
      <c r="CI20">
        <v>7</v>
      </c>
      <c r="CJ20">
        <v>312</v>
      </c>
      <c r="CK20" t="s">
        <v>348</v>
      </c>
      <c r="CL20">
        <f t="shared" si="0"/>
        <v>0.44999999999999996</v>
      </c>
      <c r="CM20">
        <f t="shared" si="1"/>
        <v>203.14</v>
      </c>
      <c r="CN20" t="s">
        <v>268</v>
      </c>
      <c r="CO20" t="s">
        <v>268</v>
      </c>
    </row>
    <row r="21" spans="1:93" x14ac:dyDescent="0.25">
      <c r="A21" s="50">
        <v>44588.694444444445</v>
      </c>
      <c r="B21" s="51" t="s">
        <v>729</v>
      </c>
      <c r="C21" s="51" t="s">
        <v>229</v>
      </c>
      <c r="D21">
        <v>44577.694444444445</v>
      </c>
      <c r="E21">
        <v>271.60000000000002</v>
      </c>
      <c r="F21">
        <v>0.81</v>
      </c>
      <c r="G21">
        <v>0.38</v>
      </c>
      <c r="H21">
        <v>0.95</v>
      </c>
      <c r="I21" t="s">
        <v>4</v>
      </c>
      <c r="J21" t="s">
        <v>4</v>
      </c>
      <c r="K21">
        <v>5.92</v>
      </c>
      <c r="L21">
        <v>8.93</v>
      </c>
      <c r="M21">
        <v>22.79</v>
      </c>
      <c r="N21">
        <v>801.39</v>
      </c>
      <c r="O21">
        <v>22.74</v>
      </c>
      <c r="P21">
        <v>2.78</v>
      </c>
      <c r="Q21">
        <v>0.79</v>
      </c>
      <c r="R21">
        <v>1.52</v>
      </c>
      <c r="S21">
        <v>21.76</v>
      </c>
      <c r="T21">
        <v>4.45</v>
      </c>
      <c r="U21" t="s">
        <v>4</v>
      </c>
      <c r="V21">
        <v>15.14</v>
      </c>
      <c r="W21" t="s">
        <v>4</v>
      </c>
      <c r="X21" t="s">
        <v>4</v>
      </c>
      <c r="Y21">
        <v>12.72</v>
      </c>
      <c r="Z21">
        <v>3.7499999999999991</v>
      </c>
      <c r="AA21">
        <v>9.2299999999999986</v>
      </c>
      <c r="AB21">
        <v>8.8000000000000007</v>
      </c>
      <c r="AC21">
        <v>268.5</v>
      </c>
      <c r="AD21">
        <v>56.99</v>
      </c>
      <c r="AE21">
        <v>10.25</v>
      </c>
      <c r="AF21" t="s">
        <v>4</v>
      </c>
      <c r="AG21" t="s">
        <v>4</v>
      </c>
      <c r="AH21">
        <v>8.73</v>
      </c>
      <c r="AI21" t="s">
        <v>4</v>
      </c>
      <c r="AJ21">
        <v>136.94</v>
      </c>
      <c r="AK21">
        <v>2.2799999999999998</v>
      </c>
      <c r="AL21">
        <v>5.53</v>
      </c>
      <c r="AM21" t="s">
        <v>4</v>
      </c>
      <c r="AN21">
        <v>14.15</v>
      </c>
      <c r="AO21" t="s">
        <v>4</v>
      </c>
      <c r="AP21" t="s">
        <v>4</v>
      </c>
      <c r="AQ21">
        <v>24.59</v>
      </c>
      <c r="AR21">
        <v>78.149999999999991</v>
      </c>
      <c r="AS21" t="s">
        <v>4</v>
      </c>
      <c r="AT21" t="s">
        <v>4</v>
      </c>
      <c r="AU21">
        <v>9.48</v>
      </c>
      <c r="AV21" t="s">
        <v>4</v>
      </c>
      <c r="AW21">
        <v>12.19</v>
      </c>
      <c r="AX21">
        <v>0.13</v>
      </c>
      <c r="AY21" t="s">
        <v>4</v>
      </c>
      <c r="AZ21" t="s">
        <v>4</v>
      </c>
      <c r="BA21" t="s">
        <v>4</v>
      </c>
      <c r="BB21">
        <v>13.52</v>
      </c>
      <c r="BC21" t="s">
        <v>4</v>
      </c>
      <c r="BD21">
        <v>7.1999999999999993</v>
      </c>
      <c r="BE21" t="s">
        <v>4</v>
      </c>
      <c r="BF21" t="s">
        <v>4</v>
      </c>
      <c r="BG21">
        <v>2.2799999999999998</v>
      </c>
      <c r="BH21" t="s">
        <v>4</v>
      </c>
      <c r="BI21" t="s">
        <v>4</v>
      </c>
      <c r="BJ21" t="s">
        <v>4</v>
      </c>
      <c r="BK21" t="s">
        <v>4</v>
      </c>
      <c r="BL21">
        <v>2.23</v>
      </c>
      <c r="BM21">
        <v>1.52</v>
      </c>
      <c r="BN21" t="s">
        <v>4</v>
      </c>
      <c r="BO21">
        <v>8.09</v>
      </c>
      <c r="BP21" t="s">
        <v>4</v>
      </c>
      <c r="BQ21">
        <v>48.23</v>
      </c>
      <c r="BR21" t="s">
        <v>4</v>
      </c>
      <c r="BS21">
        <v>8.5299999999999994</v>
      </c>
      <c r="BT21" t="s">
        <v>4</v>
      </c>
      <c r="BU21" t="s">
        <v>4</v>
      </c>
      <c r="BV21" t="s">
        <v>4</v>
      </c>
      <c r="BW21" t="s">
        <v>4</v>
      </c>
      <c r="BX21">
        <v>0.57999999999999996</v>
      </c>
      <c r="BY21">
        <v>63.61</v>
      </c>
      <c r="BZ21">
        <v>17.010000000000002</v>
      </c>
      <c r="CA21" t="s">
        <v>4</v>
      </c>
      <c r="CB21">
        <v>8.7200000000000006</v>
      </c>
      <c r="CC21" t="s">
        <v>4</v>
      </c>
      <c r="CD21" t="s">
        <v>4</v>
      </c>
      <c r="CE21" t="s">
        <v>4</v>
      </c>
      <c r="CF21">
        <v>2.21</v>
      </c>
      <c r="CG21" t="s">
        <v>4</v>
      </c>
      <c r="CH21">
        <v>3</v>
      </c>
      <c r="CI21">
        <v>8</v>
      </c>
      <c r="CJ21">
        <v>4</v>
      </c>
      <c r="CK21">
        <v>1</v>
      </c>
      <c r="CL21">
        <f t="shared" si="0"/>
        <v>0.13</v>
      </c>
      <c r="CM21">
        <f t="shared" si="1"/>
        <v>801.39</v>
      </c>
      <c r="CN21" t="s">
        <v>271</v>
      </c>
      <c r="CO21" t="s">
        <v>271</v>
      </c>
    </row>
    <row r="22" spans="1:93" x14ac:dyDescent="0.25">
      <c r="A22" s="50">
        <v>44586.729166666664</v>
      </c>
      <c r="B22" s="51" t="s">
        <v>730</v>
      </c>
      <c r="C22" s="51" t="s">
        <v>232</v>
      </c>
      <c r="D22">
        <v>44586.729166666664</v>
      </c>
      <c r="E22">
        <v>44.91</v>
      </c>
      <c r="F22" t="s">
        <v>4</v>
      </c>
      <c r="G22" t="s">
        <v>4</v>
      </c>
      <c r="H22" t="s">
        <v>4</v>
      </c>
      <c r="I22" t="s">
        <v>4</v>
      </c>
      <c r="J22" t="s">
        <v>4</v>
      </c>
      <c r="K22" t="s">
        <v>4</v>
      </c>
      <c r="L22" t="s">
        <v>4</v>
      </c>
      <c r="M22" t="s">
        <v>4</v>
      </c>
      <c r="N22" t="s">
        <v>4</v>
      </c>
      <c r="O22">
        <v>10.47</v>
      </c>
      <c r="P22">
        <v>2.1</v>
      </c>
      <c r="Q22" t="s">
        <v>4</v>
      </c>
      <c r="R22" t="s">
        <v>4</v>
      </c>
      <c r="S22" t="s">
        <v>4</v>
      </c>
      <c r="T22">
        <v>0.36</v>
      </c>
      <c r="U22" t="s">
        <v>4</v>
      </c>
      <c r="V22" t="s">
        <v>4</v>
      </c>
      <c r="W22" t="s">
        <v>4</v>
      </c>
      <c r="X22" t="s">
        <v>4</v>
      </c>
      <c r="Y22" t="s">
        <v>4</v>
      </c>
      <c r="Z22" t="s">
        <v>4</v>
      </c>
      <c r="AA22" t="s">
        <v>4</v>
      </c>
      <c r="AB22" t="s">
        <v>4</v>
      </c>
      <c r="AC22">
        <v>523.9</v>
      </c>
      <c r="AD22" t="s">
        <v>4</v>
      </c>
      <c r="AE22" t="s">
        <v>4</v>
      </c>
      <c r="AF22" t="s">
        <v>4</v>
      </c>
      <c r="AG22" t="s">
        <v>4</v>
      </c>
      <c r="AH22" t="s">
        <v>4</v>
      </c>
      <c r="AI22" t="s">
        <v>4</v>
      </c>
      <c r="AJ22">
        <v>6</v>
      </c>
      <c r="AK22" t="s">
        <v>4</v>
      </c>
      <c r="AL22" t="s">
        <v>4</v>
      </c>
      <c r="AM22" t="s">
        <v>4</v>
      </c>
      <c r="AN22">
        <v>0.12</v>
      </c>
      <c r="AO22" t="s">
        <v>4</v>
      </c>
      <c r="AP22" t="s">
        <v>4</v>
      </c>
      <c r="AQ22">
        <v>3.59</v>
      </c>
      <c r="AR22">
        <v>0.81</v>
      </c>
      <c r="AS22" t="s">
        <v>4</v>
      </c>
      <c r="AT22" t="s">
        <v>4</v>
      </c>
      <c r="AU22" t="s">
        <v>4</v>
      </c>
      <c r="AV22" t="s">
        <v>4</v>
      </c>
      <c r="AW22" t="s">
        <v>4</v>
      </c>
      <c r="AX22" t="s">
        <v>4</v>
      </c>
      <c r="AY22" t="s">
        <v>4</v>
      </c>
      <c r="AZ22" t="s">
        <v>4</v>
      </c>
      <c r="BA22" t="s">
        <v>4</v>
      </c>
      <c r="BB22" t="s">
        <v>4</v>
      </c>
      <c r="BC22" t="s">
        <v>4</v>
      </c>
      <c r="BD22">
        <v>1.1000000000000001</v>
      </c>
      <c r="BE22" t="s">
        <v>4</v>
      </c>
      <c r="BF22" t="s">
        <v>4</v>
      </c>
      <c r="BG22">
        <v>91.97</v>
      </c>
      <c r="BH22" t="s">
        <v>4</v>
      </c>
      <c r="BI22" t="s">
        <v>4</v>
      </c>
      <c r="BJ22" t="s">
        <v>4</v>
      </c>
      <c r="BK22" t="s">
        <v>4</v>
      </c>
      <c r="BL22" t="s">
        <v>4</v>
      </c>
      <c r="BM22" t="s">
        <v>4</v>
      </c>
      <c r="BN22" t="s">
        <v>4</v>
      </c>
      <c r="BO22" t="s">
        <v>4</v>
      </c>
      <c r="BP22" t="s">
        <v>4</v>
      </c>
      <c r="BQ22" t="s">
        <v>4</v>
      </c>
      <c r="BR22" t="s">
        <v>4</v>
      </c>
      <c r="BS22" t="s">
        <v>4</v>
      </c>
      <c r="BT22" t="s">
        <v>4</v>
      </c>
      <c r="BU22" t="s">
        <v>4</v>
      </c>
      <c r="BV22" t="s">
        <v>4</v>
      </c>
      <c r="BW22" t="s">
        <v>4</v>
      </c>
      <c r="BX22" t="s">
        <v>4</v>
      </c>
      <c r="BY22">
        <v>11.13</v>
      </c>
      <c r="BZ22" t="s">
        <v>4</v>
      </c>
      <c r="CA22" t="s">
        <v>4</v>
      </c>
      <c r="CB22">
        <v>10.01</v>
      </c>
      <c r="CC22" t="s">
        <v>4</v>
      </c>
      <c r="CD22" t="s">
        <v>4</v>
      </c>
      <c r="CE22" t="s">
        <v>4</v>
      </c>
      <c r="CF22" t="s">
        <v>4</v>
      </c>
      <c r="CG22" t="s">
        <v>4</v>
      </c>
      <c r="CH22">
        <v>2</v>
      </c>
      <c r="CI22">
        <v>2</v>
      </c>
      <c r="CJ22">
        <v>21</v>
      </c>
      <c r="CK22" t="s">
        <v>348</v>
      </c>
      <c r="CL22">
        <f t="shared" si="0"/>
        <v>0.12</v>
      </c>
      <c r="CM22">
        <f t="shared" si="1"/>
        <v>523.9</v>
      </c>
      <c r="CN22" s="30" t="s">
        <v>270</v>
      </c>
      <c r="CO22" t="s">
        <v>270</v>
      </c>
    </row>
    <row r="23" spans="1:93" ht="15" customHeight="1" x14ac:dyDescent="0.25">
      <c r="A23" s="50">
        <v>44595.65625</v>
      </c>
      <c r="B23" s="51" t="s">
        <v>731</v>
      </c>
      <c r="C23" s="51" t="s">
        <v>415</v>
      </c>
      <c r="D23">
        <v>44595.65625</v>
      </c>
      <c r="E23">
        <v>7.02</v>
      </c>
      <c r="F23" t="s">
        <v>4</v>
      </c>
      <c r="G23" t="s">
        <v>4</v>
      </c>
      <c r="H23">
        <v>30.95</v>
      </c>
      <c r="I23">
        <v>127.1</v>
      </c>
      <c r="J23">
        <v>86.47</v>
      </c>
      <c r="K23">
        <v>0.63</v>
      </c>
      <c r="L23" t="s">
        <v>4</v>
      </c>
      <c r="M23">
        <v>64.05</v>
      </c>
      <c r="N23">
        <v>39.300000000000004</v>
      </c>
      <c r="O23">
        <v>1278.8900000000001</v>
      </c>
      <c r="P23">
        <v>305.54000000000002</v>
      </c>
      <c r="Q23" t="s">
        <v>4</v>
      </c>
      <c r="R23" t="s">
        <v>4</v>
      </c>
      <c r="S23">
        <v>58.04</v>
      </c>
      <c r="T23" t="s">
        <v>4</v>
      </c>
      <c r="U23" t="s">
        <v>4</v>
      </c>
      <c r="V23">
        <v>468.36</v>
      </c>
      <c r="W23" t="s">
        <v>4</v>
      </c>
      <c r="X23" t="s">
        <v>4</v>
      </c>
      <c r="Y23" t="s">
        <v>4</v>
      </c>
      <c r="Z23">
        <v>5.9300000000000006</v>
      </c>
      <c r="AA23">
        <v>2.71</v>
      </c>
      <c r="AB23" t="s">
        <v>4</v>
      </c>
      <c r="AC23">
        <v>736.87</v>
      </c>
      <c r="AD23" t="s">
        <v>4</v>
      </c>
      <c r="AE23" t="s">
        <v>4</v>
      </c>
      <c r="AF23">
        <v>19.79</v>
      </c>
      <c r="AG23" t="s">
        <v>4</v>
      </c>
      <c r="AH23" t="s">
        <v>4</v>
      </c>
      <c r="AI23">
        <v>1.2</v>
      </c>
      <c r="AJ23">
        <v>1016.73</v>
      </c>
      <c r="AK23" t="s">
        <v>4</v>
      </c>
      <c r="AL23">
        <v>130.97</v>
      </c>
      <c r="AM23" t="s">
        <v>4</v>
      </c>
      <c r="AN23">
        <v>7.82</v>
      </c>
      <c r="AO23" t="s">
        <v>4</v>
      </c>
      <c r="AP23" t="s">
        <v>4</v>
      </c>
      <c r="AQ23">
        <v>747.32</v>
      </c>
      <c r="AR23">
        <v>15.9</v>
      </c>
      <c r="AS23" t="s">
        <v>4</v>
      </c>
      <c r="AT23" t="s">
        <v>4</v>
      </c>
      <c r="AU23">
        <v>13.8</v>
      </c>
      <c r="AV23" t="s">
        <v>4</v>
      </c>
      <c r="AW23" t="s">
        <v>4</v>
      </c>
      <c r="AX23">
        <v>0.94</v>
      </c>
      <c r="AY23" t="s">
        <v>4</v>
      </c>
      <c r="AZ23" t="s">
        <v>4</v>
      </c>
      <c r="BA23">
        <v>0.4</v>
      </c>
      <c r="BB23" t="s">
        <v>4</v>
      </c>
      <c r="BC23" t="s">
        <v>4</v>
      </c>
      <c r="BD23">
        <v>2.65</v>
      </c>
      <c r="BE23" t="s">
        <v>4</v>
      </c>
      <c r="BF23" t="s">
        <v>4</v>
      </c>
      <c r="BG23" t="s">
        <v>4</v>
      </c>
      <c r="BH23" t="s">
        <v>4</v>
      </c>
      <c r="BI23" t="s">
        <v>4</v>
      </c>
      <c r="BJ23" t="s">
        <v>4</v>
      </c>
      <c r="BK23" t="s">
        <v>4</v>
      </c>
      <c r="BL23">
        <v>1.85</v>
      </c>
      <c r="BM23" t="s">
        <v>4</v>
      </c>
      <c r="BN23" t="s">
        <v>4</v>
      </c>
      <c r="BO23">
        <v>4.5</v>
      </c>
      <c r="BP23">
        <v>1.1299999999999999</v>
      </c>
      <c r="BQ23">
        <v>1.81</v>
      </c>
      <c r="BR23" t="s">
        <v>4</v>
      </c>
      <c r="BS23" t="s">
        <v>4</v>
      </c>
      <c r="BT23" t="s">
        <v>4</v>
      </c>
      <c r="BU23" t="s">
        <v>4</v>
      </c>
      <c r="BV23" t="s">
        <v>4</v>
      </c>
      <c r="BW23" t="s">
        <v>4</v>
      </c>
      <c r="BX23" t="s">
        <v>4</v>
      </c>
      <c r="BY23" t="s">
        <v>4</v>
      </c>
      <c r="BZ23" t="s">
        <v>4</v>
      </c>
      <c r="CA23" t="s">
        <v>4</v>
      </c>
      <c r="CB23">
        <v>4.59</v>
      </c>
      <c r="CC23" t="s">
        <v>4</v>
      </c>
      <c r="CD23" t="s">
        <v>4</v>
      </c>
      <c r="CE23" t="s">
        <v>4</v>
      </c>
      <c r="CF23" t="s">
        <v>4</v>
      </c>
      <c r="CG23" t="s">
        <v>4</v>
      </c>
      <c r="CH23">
        <v>1</v>
      </c>
      <c r="CI23">
        <v>2</v>
      </c>
      <c r="CJ23">
        <v>22</v>
      </c>
      <c r="CK23">
        <v>4</v>
      </c>
      <c r="CL23">
        <f t="shared" si="0"/>
        <v>0.4</v>
      </c>
      <c r="CM23">
        <f t="shared" si="1"/>
        <v>1278.8900000000001</v>
      </c>
      <c r="CN23" t="s">
        <v>297</v>
      </c>
      <c r="CO23" t="s">
        <v>297</v>
      </c>
    </row>
    <row r="24" spans="1:93" x14ac:dyDescent="0.25">
      <c r="A24" s="50">
        <v>44588</v>
      </c>
      <c r="B24" s="51" t="s">
        <v>732</v>
      </c>
      <c r="C24" s="51" t="s">
        <v>191</v>
      </c>
      <c r="D24">
        <v>44588</v>
      </c>
      <c r="E24" t="s">
        <v>4</v>
      </c>
      <c r="F24">
        <v>1.34</v>
      </c>
      <c r="G24" t="s">
        <v>4</v>
      </c>
      <c r="H24" t="s">
        <v>4</v>
      </c>
      <c r="I24" t="s">
        <v>4</v>
      </c>
      <c r="J24" t="s">
        <v>4</v>
      </c>
      <c r="K24">
        <v>1.21</v>
      </c>
      <c r="L24">
        <v>21.61</v>
      </c>
      <c r="M24">
        <v>45.65</v>
      </c>
      <c r="N24" t="s">
        <v>4</v>
      </c>
      <c r="O24">
        <v>21.31</v>
      </c>
      <c r="P24">
        <v>2.57</v>
      </c>
      <c r="Q24" t="s">
        <v>4</v>
      </c>
      <c r="R24" t="s">
        <v>4</v>
      </c>
      <c r="S24" t="s">
        <v>4</v>
      </c>
      <c r="T24">
        <v>10.19</v>
      </c>
      <c r="U24" t="s">
        <v>4</v>
      </c>
      <c r="V24">
        <v>5.24</v>
      </c>
      <c r="W24" t="s">
        <v>4</v>
      </c>
      <c r="X24" t="s">
        <v>4</v>
      </c>
      <c r="Y24" t="s">
        <v>4</v>
      </c>
      <c r="Z24">
        <v>1.2400000000000002</v>
      </c>
      <c r="AA24">
        <v>0.38000000000000012</v>
      </c>
      <c r="AB24" t="s">
        <v>4</v>
      </c>
      <c r="AC24">
        <v>6908.82</v>
      </c>
      <c r="AD24" t="s">
        <v>4</v>
      </c>
      <c r="AE24" t="s">
        <v>4</v>
      </c>
      <c r="AF24" t="s">
        <v>4</v>
      </c>
      <c r="AG24" t="s">
        <v>4</v>
      </c>
      <c r="AH24" t="s">
        <v>4</v>
      </c>
      <c r="AI24" t="s">
        <v>4</v>
      </c>
      <c r="AJ24">
        <v>10.7</v>
      </c>
      <c r="AK24" t="s">
        <v>4</v>
      </c>
      <c r="AL24">
        <v>7.71</v>
      </c>
      <c r="AM24" t="s">
        <v>4</v>
      </c>
      <c r="AN24">
        <v>1.1200000000000001</v>
      </c>
      <c r="AO24" t="s">
        <v>4</v>
      </c>
      <c r="AP24" t="s">
        <v>4</v>
      </c>
      <c r="AQ24">
        <v>1.35</v>
      </c>
      <c r="AR24">
        <v>1.51</v>
      </c>
      <c r="AS24" t="s">
        <v>4</v>
      </c>
      <c r="AT24" t="s">
        <v>4</v>
      </c>
      <c r="AU24" t="s">
        <v>4</v>
      </c>
      <c r="AV24" t="s">
        <v>4</v>
      </c>
      <c r="AW24" t="s">
        <v>4</v>
      </c>
      <c r="AX24">
        <v>2.0299999999999998</v>
      </c>
      <c r="AY24" t="s">
        <v>4</v>
      </c>
      <c r="AZ24" t="s">
        <v>4</v>
      </c>
      <c r="BA24" t="s">
        <v>4</v>
      </c>
      <c r="BB24" t="s">
        <v>4</v>
      </c>
      <c r="BC24" t="s">
        <v>4</v>
      </c>
      <c r="BD24">
        <v>2.77</v>
      </c>
      <c r="BE24" t="s">
        <v>4</v>
      </c>
      <c r="BF24">
        <v>7.3</v>
      </c>
      <c r="BG24">
        <v>2.2799999999999998</v>
      </c>
      <c r="BH24">
        <v>2.5</v>
      </c>
      <c r="BI24" t="s">
        <v>4</v>
      </c>
      <c r="BJ24" t="s">
        <v>4</v>
      </c>
      <c r="BK24" t="s">
        <v>4</v>
      </c>
      <c r="BL24" t="s">
        <v>4</v>
      </c>
      <c r="BM24" t="s">
        <v>4</v>
      </c>
      <c r="BN24" t="s">
        <v>4</v>
      </c>
      <c r="BO24">
        <v>6.34</v>
      </c>
      <c r="BP24" t="s">
        <v>4</v>
      </c>
      <c r="BQ24" t="s">
        <v>4</v>
      </c>
      <c r="BR24" t="s">
        <v>4</v>
      </c>
      <c r="BS24" t="s">
        <v>4</v>
      </c>
      <c r="BT24" t="s">
        <v>4</v>
      </c>
      <c r="BU24">
        <v>4.99</v>
      </c>
      <c r="BV24" t="s">
        <v>4</v>
      </c>
      <c r="BW24" t="s">
        <v>4</v>
      </c>
      <c r="BX24" t="s">
        <v>4</v>
      </c>
      <c r="BY24" t="s">
        <v>4</v>
      </c>
      <c r="BZ24" t="s">
        <v>4</v>
      </c>
      <c r="CA24" t="s">
        <v>4</v>
      </c>
      <c r="CB24">
        <v>5.65</v>
      </c>
      <c r="CC24" t="s">
        <v>4</v>
      </c>
      <c r="CD24" t="s">
        <v>4</v>
      </c>
      <c r="CE24" t="s">
        <v>4</v>
      </c>
      <c r="CF24" t="s">
        <v>4</v>
      </c>
      <c r="CG24" t="s">
        <v>4</v>
      </c>
      <c r="CH24">
        <v>2</v>
      </c>
      <c r="CI24">
        <v>5</v>
      </c>
      <c r="CJ24">
        <v>321</v>
      </c>
      <c r="CK24" t="s">
        <v>348</v>
      </c>
      <c r="CL24">
        <f t="shared" si="0"/>
        <v>0.38000000000000012</v>
      </c>
      <c r="CM24">
        <f t="shared" si="1"/>
        <v>6908.82</v>
      </c>
      <c r="CN24" t="s">
        <v>273</v>
      </c>
      <c r="CO24" t="s">
        <v>273</v>
      </c>
    </row>
    <row r="25" spans="1:93" x14ac:dyDescent="0.25">
      <c r="A25" s="50">
        <v>44588</v>
      </c>
      <c r="B25" s="51" t="s">
        <v>733</v>
      </c>
      <c r="C25" s="51" t="s">
        <v>189</v>
      </c>
      <c r="D25">
        <v>44588</v>
      </c>
      <c r="E25" t="s">
        <v>4</v>
      </c>
      <c r="F25">
        <v>1.1200000000000001</v>
      </c>
      <c r="G25" t="s">
        <v>4</v>
      </c>
      <c r="H25" t="s">
        <v>4</v>
      </c>
      <c r="I25" t="s">
        <v>4</v>
      </c>
      <c r="J25" t="s">
        <v>4</v>
      </c>
      <c r="K25">
        <v>1.73</v>
      </c>
      <c r="L25">
        <v>7.8</v>
      </c>
      <c r="M25">
        <v>72.44</v>
      </c>
      <c r="N25" t="s">
        <v>4</v>
      </c>
      <c r="O25">
        <v>28.73</v>
      </c>
      <c r="P25">
        <v>4.1100000000000003</v>
      </c>
      <c r="Q25" t="s">
        <v>4</v>
      </c>
      <c r="R25" t="s">
        <v>4</v>
      </c>
      <c r="S25" t="s">
        <v>4</v>
      </c>
      <c r="T25">
        <v>2.35</v>
      </c>
      <c r="U25" t="s">
        <v>4</v>
      </c>
      <c r="V25">
        <v>5.95</v>
      </c>
      <c r="W25" t="s">
        <v>4</v>
      </c>
      <c r="X25" t="s">
        <v>4</v>
      </c>
      <c r="Y25" t="s">
        <v>4</v>
      </c>
      <c r="Z25">
        <v>1.42</v>
      </c>
      <c r="AA25">
        <v>2.12</v>
      </c>
      <c r="AB25" t="s">
        <v>4</v>
      </c>
      <c r="AC25">
        <v>33700.01</v>
      </c>
      <c r="AD25" t="s">
        <v>4</v>
      </c>
      <c r="AE25" t="s">
        <v>4</v>
      </c>
      <c r="AF25" t="s">
        <v>4</v>
      </c>
      <c r="AG25" t="s">
        <v>4</v>
      </c>
      <c r="AH25" t="s">
        <v>4</v>
      </c>
      <c r="AI25" t="s">
        <v>4</v>
      </c>
      <c r="AJ25">
        <v>15.55</v>
      </c>
      <c r="AK25" t="s">
        <v>4</v>
      </c>
      <c r="AL25">
        <v>7.13</v>
      </c>
      <c r="AM25" t="s">
        <v>4</v>
      </c>
      <c r="AN25">
        <v>1.74</v>
      </c>
      <c r="AO25" t="s">
        <v>4</v>
      </c>
      <c r="AP25" t="s">
        <v>4</v>
      </c>
      <c r="AQ25" t="s">
        <v>4</v>
      </c>
      <c r="AR25">
        <v>1.1600000000000001</v>
      </c>
      <c r="AS25" t="s">
        <v>4</v>
      </c>
      <c r="AT25" t="s">
        <v>4</v>
      </c>
      <c r="AU25">
        <v>7.11</v>
      </c>
      <c r="AV25" t="s">
        <v>4</v>
      </c>
      <c r="AW25" t="s">
        <v>4</v>
      </c>
      <c r="AX25">
        <v>3.14</v>
      </c>
      <c r="AY25" t="s">
        <v>4</v>
      </c>
      <c r="AZ25" t="s">
        <v>4</v>
      </c>
      <c r="BA25" t="s">
        <v>4</v>
      </c>
      <c r="BB25" t="s">
        <v>4</v>
      </c>
      <c r="BC25" t="s">
        <v>4</v>
      </c>
      <c r="BD25">
        <v>2.29</v>
      </c>
      <c r="BE25" t="s">
        <v>4</v>
      </c>
      <c r="BF25" t="s">
        <v>4</v>
      </c>
      <c r="BG25">
        <v>7.07</v>
      </c>
      <c r="BH25">
        <v>9.9499999999999993</v>
      </c>
      <c r="BI25" t="s">
        <v>4</v>
      </c>
      <c r="BJ25" t="s">
        <v>4</v>
      </c>
      <c r="BK25" t="s">
        <v>4</v>
      </c>
      <c r="BL25" t="s">
        <v>4</v>
      </c>
      <c r="BM25" t="s">
        <v>4</v>
      </c>
      <c r="BN25" t="s">
        <v>4</v>
      </c>
      <c r="BO25">
        <v>7.24</v>
      </c>
      <c r="BP25" t="s">
        <v>4</v>
      </c>
      <c r="BQ25" t="s">
        <v>4</v>
      </c>
      <c r="BR25">
        <v>0.59</v>
      </c>
      <c r="BS25" t="s">
        <v>4</v>
      </c>
      <c r="BT25" t="s">
        <v>4</v>
      </c>
      <c r="BU25" t="s">
        <v>4</v>
      </c>
      <c r="BV25" t="s">
        <v>4</v>
      </c>
      <c r="BW25" t="s">
        <v>4</v>
      </c>
      <c r="BX25" t="s">
        <v>4</v>
      </c>
      <c r="BY25" t="s">
        <v>4</v>
      </c>
      <c r="BZ25" t="s">
        <v>4</v>
      </c>
      <c r="CA25">
        <v>4.9600000000000009</v>
      </c>
      <c r="CB25">
        <v>2.7900000000000009</v>
      </c>
      <c r="CC25" t="s">
        <v>4</v>
      </c>
      <c r="CD25" t="s">
        <v>4</v>
      </c>
      <c r="CE25" t="s">
        <v>4</v>
      </c>
      <c r="CF25" t="s">
        <v>4</v>
      </c>
      <c r="CG25" t="s">
        <v>4</v>
      </c>
      <c r="CH25">
        <v>2</v>
      </c>
      <c r="CI25">
        <v>5</v>
      </c>
      <c r="CJ25">
        <v>321</v>
      </c>
      <c r="CK25" t="s">
        <v>348</v>
      </c>
      <c r="CL25">
        <f t="shared" si="0"/>
        <v>0.59</v>
      </c>
      <c r="CM25">
        <f t="shared" si="1"/>
        <v>33700.01</v>
      </c>
      <c r="CN25" s="30" t="s">
        <v>274</v>
      </c>
      <c r="CO25" t="s">
        <v>274</v>
      </c>
    </row>
    <row r="26" spans="1:93" x14ac:dyDescent="0.25">
      <c r="A26" s="50">
        <v>44588</v>
      </c>
      <c r="B26" s="51" t="s">
        <v>734</v>
      </c>
      <c r="C26" s="51" t="s">
        <v>190</v>
      </c>
      <c r="D26">
        <v>44588</v>
      </c>
      <c r="E26" t="s">
        <v>4</v>
      </c>
      <c r="F26" t="s">
        <v>4</v>
      </c>
      <c r="G26" t="s">
        <v>4</v>
      </c>
      <c r="H26" t="s">
        <v>4</v>
      </c>
      <c r="I26" t="s">
        <v>4</v>
      </c>
      <c r="J26" t="s">
        <v>4</v>
      </c>
      <c r="K26">
        <v>0.74</v>
      </c>
      <c r="L26" t="s">
        <v>4</v>
      </c>
      <c r="M26">
        <v>27.71</v>
      </c>
      <c r="N26" t="s">
        <v>4</v>
      </c>
      <c r="O26">
        <v>13.54</v>
      </c>
      <c r="P26">
        <v>1.88</v>
      </c>
      <c r="Q26" t="s">
        <v>4</v>
      </c>
      <c r="R26" t="s">
        <v>4</v>
      </c>
      <c r="S26" t="s">
        <v>4</v>
      </c>
      <c r="T26">
        <v>0.84</v>
      </c>
      <c r="U26" t="s">
        <v>4</v>
      </c>
      <c r="V26" t="s">
        <v>4</v>
      </c>
      <c r="W26" t="s">
        <v>4</v>
      </c>
      <c r="X26" t="s">
        <v>4</v>
      </c>
      <c r="Y26" t="s">
        <v>4</v>
      </c>
      <c r="Z26">
        <v>0.79999999999999982</v>
      </c>
      <c r="AA26">
        <v>0.57000000000000006</v>
      </c>
      <c r="AB26" t="s">
        <v>4</v>
      </c>
      <c r="AC26">
        <v>19313.98</v>
      </c>
      <c r="AD26" t="s">
        <v>4</v>
      </c>
      <c r="AE26" t="s">
        <v>4</v>
      </c>
      <c r="AF26" t="s">
        <v>4</v>
      </c>
      <c r="AG26" t="s">
        <v>4</v>
      </c>
      <c r="AH26" t="s">
        <v>4</v>
      </c>
      <c r="AI26" t="s">
        <v>4</v>
      </c>
      <c r="AJ26">
        <v>8.16</v>
      </c>
      <c r="AK26" t="s">
        <v>4</v>
      </c>
      <c r="AL26" t="s">
        <v>4</v>
      </c>
      <c r="AM26" t="s">
        <v>4</v>
      </c>
      <c r="AN26">
        <v>1.8499999999999999</v>
      </c>
      <c r="AO26" t="s">
        <v>4</v>
      </c>
      <c r="AP26" t="s">
        <v>4</v>
      </c>
      <c r="AQ26" t="s">
        <v>4</v>
      </c>
      <c r="AR26">
        <v>1.1300000000000001</v>
      </c>
      <c r="AS26" t="s">
        <v>4</v>
      </c>
      <c r="AT26" t="s">
        <v>4</v>
      </c>
      <c r="AU26" t="s">
        <v>4</v>
      </c>
      <c r="AV26" t="s">
        <v>4</v>
      </c>
      <c r="AW26" t="s">
        <v>4</v>
      </c>
      <c r="AX26">
        <v>2.27</v>
      </c>
      <c r="AY26" t="s">
        <v>4</v>
      </c>
      <c r="AZ26" t="s">
        <v>4</v>
      </c>
      <c r="BA26" t="s">
        <v>4</v>
      </c>
      <c r="BB26" t="s">
        <v>4</v>
      </c>
      <c r="BC26" t="s">
        <v>4</v>
      </c>
      <c r="BD26">
        <v>2.06</v>
      </c>
      <c r="BE26" t="s">
        <v>4</v>
      </c>
      <c r="BF26" t="s">
        <v>4</v>
      </c>
      <c r="BG26" t="s">
        <v>4</v>
      </c>
      <c r="BH26">
        <v>5.65</v>
      </c>
      <c r="BI26" t="s">
        <v>4</v>
      </c>
      <c r="BJ26" t="s">
        <v>4</v>
      </c>
      <c r="BK26" t="s">
        <v>4</v>
      </c>
      <c r="BL26" t="s">
        <v>4</v>
      </c>
      <c r="BM26" t="s">
        <v>4</v>
      </c>
      <c r="BN26" t="s">
        <v>4</v>
      </c>
      <c r="BO26">
        <v>4.66</v>
      </c>
      <c r="BP26" t="s">
        <v>4</v>
      </c>
      <c r="BQ26" t="s">
        <v>4</v>
      </c>
      <c r="BR26" t="s">
        <v>4</v>
      </c>
      <c r="BS26" t="s">
        <v>4</v>
      </c>
      <c r="BT26" t="s">
        <v>4</v>
      </c>
      <c r="BU26" t="s">
        <v>4</v>
      </c>
      <c r="BV26" t="s">
        <v>4</v>
      </c>
      <c r="BW26" t="s">
        <v>4</v>
      </c>
      <c r="BX26" t="s">
        <v>4</v>
      </c>
      <c r="BY26" t="s">
        <v>4</v>
      </c>
      <c r="BZ26" t="s">
        <v>4</v>
      </c>
      <c r="CA26">
        <v>5.0199999999999996</v>
      </c>
      <c r="CB26">
        <v>3.4299999999999997</v>
      </c>
      <c r="CC26" t="s">
        <v>4</v>
      </c>
      <c r="CD26" t="s">
        <v>4</v>
      </c>
      <c r="CE26" t="s">
        <v>4</v>
      </c>
      <c r="CF26" t="s">
        <v>4</v>
      </c>
      <c r="CG26" t="s">
        <v>4</v>
      </c>
      <c r="CH26">
        <v>2</v>
      </c>
      <c r="CI26">
        <v>5</v>
      </c>
      <c r="CJ26">
        <v>321</v>
      </c>
      <c r="CK26" t="s">
        <v>348</v>
      </c>
      <c r="CL26">
        <f t="shared" si="0"/>
        <v>0.57000000000000006</v>
      </c>
      <c r="CM26">
        <f t="shared" si="1"/>
        <v>19313.98</v>
      </c>
      <c r="CN26" s="31" t="s">
        <v>276</v>
      </c>
      <c r="CO26" t="s">
        <v>276</v>
      </c>
    </row>
    <row r="27" spans="1:93" x14ac:dyDescent="0.25">
      <c r="A27" s="50">
        <v>44588</v>
      </c>
      <c r="B27" s="51" t="s">
        <v>735</v>
      </c>
      <c r="C27" s="51" t="s">
        <v>192</v>
      </c>
      <c r="D27">
        <v>44588</v>
      </c>
      <c r="E27">
        <v>4.25</v>
      </c>
      <c r="F27" t="s">
        <v>4</v>
      </c>
      <c r="G27" t="s">
        <v>4</v>
      </c>
      <c r="H27" t="s">
        <v>4</v>
      </c>
      <c r="I27">
        <v>23.88</v>
      </c>
      <c r="J27" t="s">
        <v>4</v>
      </c>
      <c r="K27">
        <v>1.55</v>
      </c>
      <c r="L27" t="s">
        <v>4</v>
      </c>
      <c r="M27">
        <v>54.8</v>
      </c>
      <c r="N27" t="s">
        <v>4</v>
      </c>
      <c r="O27">
        <v>28.48</v>
      </c>
      <c r="P27">
        <v>4.0199999999999996</v>
      </c>
      <c r="Q27" t="s">
        <v>4</v>
      </c>
      <c r="R27" t="s">
        <v>4</v>
      </c>
      <c r="S27" t="s">
        <v>4</v>
      </c>
      <c r="T27">
        <v>4.3899999999999997</v>
      </c>
      <c r="U27" t="s">
        <v>4</v>
      </c>
      <c r="V27" t="s">
        <v>4</v>
      </c>
      <c r="W27" t="s">
        <v>4</v>
      </c>
      <c r="X27" t="s">
        <v>4</v>
      </c>
      <c r="Y27" t="s">
        <v>4</v>
      </c>
      <c r="Z27">
        <v>2.6500000000000004</v>
      </c>
      <c r="AA27">
        <v>0.8600000000000001</v>
      </c>
      <c r="AB27" t="s">
        <v>4</v>
      </c>
      <c r="AC27">
        <v>38331.160000000003</v>
      </c>
      <c r="AD27" t="s">
        <v>4</v>
      </c>
      <c r="AE27" t="s">
        <v>4</v>
      </c>
      <c r="AF27" t="s">
        <v>4</v>
      </c>
      <c r="AG27" t="s">
        <v>4</v>
      </c>
      <c r="AH27" t="s">
        <v>4</v>
      </c>
      <c r="AI27" t="s">
        <v>4</v>
      </c>
      <c r="AJ27">
        <v>16.18</v>
      </c>
      <c r="AK27" t="s">
        <v>4</v>
      </c>
      <c r="AL27" t="s">
        <v>4</v>
      </c>
      <c r="AM27" t="s">
        <v>4</v>
      </c>
      <c r="AN27">
        <v>4.34</v>
      </c>
      <c r="AO27" t="s">
        <v>4</v>
      </c>
      <c r="AP27" t="s">
        <v>4</v>
      </c>
      <c r="AQ27">
        <v>2.5</v>
      </c>
      <c r="AR27">
        <v>1.7200000000000002</v>
      </c>
      <c r="AS27" t="s">
        <v>4</v>
      </c>
      <c r="AT27" t="s">
        <v>4</v>
      </c>
      <c r="AU27">
        <v>13.75</v>
      </c>
      <c r="AV27" t="s">
        <v>4</v>
      </c>
      <c r="AW27" t="s">
        <v>4</v>
      </c>
      <c r="AX27">
        <v>2.0499999999999998</v>
      </c>
      <c r="AY27" t="s">
        <v>4</v>
      </c>
      <c r="AZ27" t="s">
        <v>4</v>
      </c>
      <c r="BA27" t="s">
        <v>4</v>
      </c>
      <c r="BB27" t="s">
        <v>4</v>
      </c>
      <c r="BC27" t="s">
        <v>4</v>
      </c>
      <c r="BD27">
        <v>3.46</v>
      </c>
      <c r="BE27" t="s">
        <v>4</v>
      </c>
      <c r="BF27" t="s">
        <v>4</v>
      </c>
      <c r="BG27" t="s">
        <v>4</v>
      </c>
      <c r="BH27">
        <v>18.309999999999999</v>
      </c>
      <c r="BI27" t="s">
        <v>4</v>
      </c>
      <c r="BJ27" t="s">
        <v>4</v>
      </c>
      <c r="BK27" t="s">
        <v>4</v>
      </c>
      <c r="BL27" t="s">
        <v>4</v>
      </c>
      <c r="BM27" t="s">
        <v>4</v>
      </c>
      <c r="BN27" t="s">
        <v>4</v>
      </c>
      <c r="BO27">
        <v>9.83</v>
      </c>
      <c r="BP27" t="s">
        <v>4</v>
      </c>
      <c r="BQ27" t="s">
        <v>4</v>
      </c>
      <c r="BR27" t="s">
        <v>4</v>
      </c>
      <c r="BS27" t="s">
        <v>4</v>
      </c>
      <c r="BT27" t="s">
        <v>4</v>
      </c>
      <c r="BU27" t="s">
        <v>4</v>
      </c>
      <c r="BV27">
        <v>2.81</v>
      </c>
      <c r="BW27" t="s">
        <v>4</v>
      </c>
      <c r="BX27" t="s">
        <v>4</v>
      </c>
      <c r="BY27" t="s">
        <v>4</v>
      </c>
      <c r="BZ27" t="s">
        <v>4</v>
      </c>
      <c r="CA27" t="s">
        <v>4</v>
      </c>
      <c r="CB27">
        <v>55.4</v>
      </c>
      <c r="CC27" t="s">
        <v>4</v>
      </c>
      <c r="CD27" t="s">
        <v>4</v>
      </c>
      <c r="CE27" t="s">
        <v>4</v>
      </c>
      <c r="CF27" t="s">
        <v>4</v>
      </c>
      <c r="CG27" t="s">
        <v>4</v>
      </c>
      <c r="CH27">
        <v>2</v>
      </c>
      <c r="CI27">
        <v>5</v>
      </c>
      <c r="CJ27">
        <v>321</v>
      </c>
      <c r="CK27" t="s">
        <v>348</v>
      </c>
      <c r="CL27">
        <f t="shared" si="0"/>
        <v>0.8600000000000001</v>
      </c>
      <c r="CM27">
        <f t="shared" si="1"/>
        <v>38331.160000000003</v>
      </c>
      <c r="CN27" s="30" t="s">
        <v>277</v>
      </c>
      <c r="CO27" t="s">
        <v>277</v>
      </c>
    </row>
    <row r="28" spans="1:93" x14ac:dyDescent="0.25">
      <c r="A28" s="50">
        <v>44588</v>
      </c>
      <c r="B28" s="51" t="s">
        <v>736</v>
      </c>
      <c r="C28" s="51" t="s">
        <v>193</v>
      </c>
      <c r="D28">
        <v>44588</v>
      </c>
      <c r="E28" t="s">
        <v>4</v>
      </c>
      <c r="F28">
        <v>0.38</v>
      </c>
      <c r="G28" t="s">
        <v>4</v>
      </c>
      <c r="H28" t="s">
        <v>4</v>
      </c>
      <c r="I28" t="s">
        <v>4</v>
      </c>
      <c r="J28" t="s">
        <v>4</v>
      </c>
      <c r="K28">
        <v>1.53</v>
      </c>
      <c r="L28" t="s">
        <v>4</v>
      </c>
      <c r="M28">
        <v>46.64</v>
      </c>
      <c r="N28" t="s">
        <v>4</v>
      </c>
      <c r="O28">
        <v>24.44</v>
      </c>
      <c r="P28">
        <v>3.89</v>
      </c>
      <c r="Q28">
        <v>1.23</v>
      </c>
      <c r="R28" t="s">
        <v>4</v>
      </c>
      <c r="S28" t="s">
        <v>4</v>
      </c>
      <c r="T28">
        <v>3.23</v>
      </c>
      <c r="U28" t="s">
        <v>4</v>
      </c>
      <c r="V28" t="s">
        <v>4</v>
      </c>
      <c r="W28" t="s">
        <v>4</v>
      </c>
      <c r="X28" t="s">
        <v>4</v>
      </c>
      <c r="Y28" t="s">
        <v>4</v>
      </c>
      <c r="Z28">
        <v>2.1900000000000004</v>
      </c>
      <c r="AA28">
        <v>2.2300000000000004</v>
      </c>
      <c r="AB28" t="s">
        <v>4</v>
      </c>
      <c r="AC28">
        <v>30793.119999999999</v>
      </c>
      <c r="AD28">
        <v>2.16</v>
      </c>
      <c r="AE28" t="s">
        <v>4</v>
      </c>
      <c r="AF28" t="s">
        <v>4</v>
      </c>
      <c r="AG28" t="s">
        <v>4</v>
      </c>
      <c r="AH28" t="s">
        <v>4</v>
      </c>
      <c r="AI28" t="s">
        <v>4</v>
      </c>
      <c r="AJ28">
        <v>14.57</v>
      </c>
      <c r="AK28" t="s">
        <v>4</v>
      </c>
      <c r="AL28" t="s">
        <v>4</v>
      </c>
      <c r="AM28" t="s">
        <v>4</v>
      </c>
      <c r="AN28">
        <v>3.63</v>
      </c>
      <c r="AO28" t="s">
        <v>4</v>
      </c>
      <c r="AP28" t="s">
        <v>4</v>
      </c>
      <c r="AQ28">
        <v>2.58</v>
      </c>
      <c r="AR28">
        <v>2.16</v>
      </c>
      <c r="AS28" t="s">
        <v>4</v>
      </c>
      <c r="AT28" t="s">
        <v>4</v>
      </c>
      <c r="AU28">
        <v>13.84</v>
      </c>
      <c r="AV28" t="s">
        <v>4</v>
      </c>
      <c r="AW28" t="s">
        <v>4</v>
      </c>
      <c r="AX28">
        <v>3.28</v>
      </c>
      <c r="AY28" t="s">
        <v>4</v>
      </c>
      <c r="AZ28" t="s">
        <v>4</v>
      </c>
      <c r="BA28" t="s">
        <v>4</v>
      </c>
      <c r="BB28" t="s">
        <v>4</v>
      </c>
      <c r="BC28" t="s">
        <v>4</v>
      </c>
      <c r="BD28">
        <v>3.7100000000000004</v>
      </c>
      <c r="BE28" t="s">
        <v>4</v>
      </c>
      <c r="BF28" t="s">
        <v>4</v>
      </c>
      <c r="BG28" t="s">
        <v>4</v>
      </c>
      <c r="BH28">
        <v>9.94</v>
      </c>
      <c r="BI28" t="s">
        <v>4</v>
      </c>
      <c r="BJ28" t="s">
        <v>4</v>
      </c>
      <c r="BK28" t="s">
        <v>4</v>
      </c>
      <c r="BL28" t="s">
        <v>4</v>
      </c>
      <c r="BM28" t="s">
        <v>4</v>
      </c>
      <c r="BN28" t="s">
        <v>4</v>
      </c>
      <c r="BO28">
        <v>8.06</v>
      </c>
      <c r="BP28" t="s">
        <v>4</v>
      </c>
      <c r="BQ28">
        <v>0.56000000000000005</v>
      </c>
      <c r="BR28" t="s">
        <v>4</v>
      </c>
      <c r="BS28" t="s">
        <v>4</v>
      </c>
      <c r="BT28" t="s">
        <v>4</v>
      </c>
      <c r="BU28" t="s">
        <v>4</v>
      </c>
      <c r="BV28" t="s">
        <v>4</v>
      </c>
      <c r="BW28" t="s">
        <v>4</v>
      </c>
      <c r="BX28" t="s">
        <v>4</v>
      </c>
      <c r="BY28" t="s">
        <v>4</v>
      </c>
      <c r="BZ28" t="s">
        <v>4</v>
      </c>
      <c r="CA28">
        <v>2.1799999999999997</v>
      </c>
      <c r="CB28">
        <v>12.69</v>
      </c>
      <c r="CC28" t="s">
        <v>4</v>
      </c>
      <c r="CD28" t="s">
        <v>4</v>
      </c>
      <c r="CE28" t="s">
        <v>4</v>
      </c>
      <c r="CF28" t="s">
        <v>4</v>
      </c>
      <c r="CG28" t="s">
        <v>4</v>
      </c>
      <c r="CH28">
        <v>2</v>
      </c>
      <c r="CI28">
        <v>6</v>
      </c>
      <c r="CJ28">
        <v>321</v>
      </c>
      <c r="CK28" t="s">
        <v>348</v>
      </c>
      <c r="CL28">
        <f t="shared" si="0"/>
        <v>0.38</v>
      </c>
      <c r="CM28">
        <f t="shared" si="1"/>
        <v>30793.119999999999</v>
      </c>
      <c r="CN28" s="30" t="s">
        <v>278</v>
      </c>
      <c r="CO28" t="s">
        <v>278</v>
      </c>
    </row>
    <row r="29" spans="1:93" x14ac:dyDescent="0.25">
      <c r="A29" s="50">
        <v>44588</v>
      </c>
      <c r="B29" s="51" t="s">
        <v>737</v>
      </c>
      <c r="C29" s="51" t="s">
        <v>194</v>
      </c>
      <c r="D29">
        <v>44588</v>
      </c>
      <c r="E29" t="s">
        <v>4</v>
      </c>
      <c r="F29">
        <v>0.61</v>
      </c>
      <c r="G29" t="s">
        <v>4</v>
      </c>
      <c r="H29" t="s">
        <v>4</v>
      </c>
      <c r="I29" t="s">
        <v>4</v>
      </c>
      <c r="J29" t="s">
        <v>4</v>
      </c>
      <c r="K29">
        <v>1.81</v>
      </c>
      <c r="L29" t="s">
        <v>4</v>
      </c>
      <c r="M29">
        <v>58.1</v>
      </c>
      <c r="N29" t="s">
        <v>4</v>
      </c>
      <c r="O29">
        <v>25.71</v>
      </c>
      <c r="P29">
        <v>4.5199999999999996</v>
      </c>
      <c r="Q29" t="s">
        <v>4</v>
      </c>
      <c r="R29" t="s">
        <v>4</v>
      </c>
      <c r="S29" t="s">
        <v>4</v>
      </c>
      <c r="T29">
        <v>1.63</v>
      </c>
      <c r="U29" t="s">
        <v>4</v>
      </c>
      <c r="V29">
        <v>4.26</v>
      </c>
      <c r="W29" t="s">
        <v>4</v>
      </c>
      <c r="X29" t="s">
        <v>4</v>
      </c>
      <c r="Y29" t="s">
        <v>4</v>
      </c>
      <c r="Z29">
        <v>1.6799999999999997</v>
      </c>
      <c r="AA29">
        <v>1.74</v>
      </c>
      <c r="AB29">
        <v>2.48</v>
      </c>
      <c r="AC29">
        <v>32982.33</v>
      </c>
      <c r="AD29">
        <v>4.3600000000000003</v>
      </c>
      <c r="AE29" t="s">
        <v>4</v>
      </c>
      <c r="AF29" t="s">
        <v>4</v>
      </c>
      <c r="AG29">
        <v>0.93</v>
      </c>
      <c r="AH29" t="s">
        <v>4</v>
      </c>
      <c r="AI29" t="s">
        <v>4</v>
      </c>
      <c r="AJ29">
        <v>16.34</v>
      </c>
      <c r="AK29" t="s">
        <v>4</v>
      </c>
      <c r="AL29">
        <v>4.57</v>
      </c>
      <c r="AM29" t="s">
        <v>4</v>
      </c>
      <c r="AN29">
        <v>6.26</v>
      </c>
      <c r="AO29" t="s">
        <v>4</v>
      </c>
      <c r="AP29" t="s">
        <v>4</v>
      </c>
      <c r="AQ29">
        <v>3.46</v>
      </c>
      <c r="AR29">
        <v>2.71</v>
      </c>
      <c r="AS29" t="s">
        <v>4</v>
      </c>
      <c r="AT29" t="s">
        <v>4</v>
      </c>
      <c r="AU29">
        <v>13.07</v>
      </c>
      <c r="AV29" t="s">
        <v>4</v>
      </c>
      <c r="AW29" t="s">
        <v>4</v>
      </c>
      <c r="AX29">
        <v>1.43</v>
      </c>
      <c r="AY29" t="s">
        <v>4</v>
      </c>
      <c r="AZ29" t="s">
        <v>4</v>
      </c>
      <c r="BA29" t="s">
        <v>4</v>
      </c>
      <c r="BB29" t="s">
        <v>4</v>
      </c>
      <c r="BC29" t="s">
        <v>4</v>
      </c>
      <c r="BD29">
        <v>4.5</v>
      </c>
      <c r="BE29" t="s">
        <v>4</v>
      </c>
      <c r="BF29" t="s">
        <v>4</v>
      </c>
      <c r="BG29" t="s">
        <v>4</v>
      </c>
      <c r="BH29">
        <v>13.8</v>
      </c>
      <c r="BI29" t="s">
        <v>4</v>
      </c>
      <c r="BJ29" t="s">
        <v>4</v>
      </c>
      <c r="BK29" t="s">
        <v>4</v>
      </c>
      <c r="BL29" t="s">
        <v>4</v>
      </c>
      <c r="BM29" t="s">
        <v>4</v>
      </c>
      <c r="BN29" t="s">
        <v>4</v>
      </c>
      <c r="BO29">
        <v>13.3</v>
      </c>
      <c r="BP29" t="s">
        <v>4</v>
      </c>
      <c r="BQ29">
        <v>4.21</v>
      </c>
      <c r="BR29" t="s">
        <v>4</v>
      </c>
      <c r="BS29" t="s">
        <v>4</v>
      </c>
      <c r="BT29" t="s">
        <v>4</v>
      </c>
      <c r="BU29" t="s">
        <v>4</v>
      </c>
      <c r="BV29" t="s">
        <v>4</v>
      </c>
      <c r="BW29" t="s">
        <v>4</v>
      </c>
      <c r="BX29" t="s">
        <v>4</v>
      </c>
      <c r="BY29" t="s">
        <v>4</v>
      </c>
      <c r="BZ29" t="s">
        <v>4</v>
      </c>
      <c r="CA29">
        <v>5.1999999999999993</v>
      </c>
      <c r="CB29">
        <v>3.5600000000000005</v>
      </c>
      <c r="CC29" t="s">
        <v>4</v>
      </c>
      <c r="CD29" t="s">
        <v>4</v>
      </c>
      <c r="CE29" t="s">
        <v>4</v>
      </c>
      <c r="CF29" t="s">
        <v>4</v>
      </c>
      <c r="CG29" t="s">
        <v>4</v>
      </c>
      <c r="CH29">
        <v>2</v>
      </c>
      <c r="CI29">
        <v>7</v>
      </c>
      <c r="CJ29">
        <v>321</v>
      </c>
      <c r="CK29" t="s">
        <v>348</v>
      </c>
      <c r="CL29">
        <f t="shared" si="0"/>
        <v>0.61</v>
      </c>
      <c r="CM29">
        <f t="shared" si="1"/>
        <v>32982.33</v>
      </c>
      <c r="CN29" t="s">
        <v>279</v>
      </c>
      <c r="CO29" t="s">
        <v>279</v>
      </c>
    </row>
    <row r="30" spans="1:93" x14ac:dyDescent="0.25">
      <c r="A30" s="50">
        <v>44588.395833333336</v>
      </c>
      <c r="B30" s="51" t="s">
        <v>738</v>
      </c>
      <c r="C30" s="51" t="s">
        <v>240</v>
      </c>
      <c r="D30">
        <v>44588.395833333336</v>
      </c>
      <c r="E30" t="s">
        <v>4</v>
      </c>
      <c r="F30">
        <v>0.48</v>
      </c>
      <c r="G30" t="s">
        <v>4</v>
      </c>
      <c r="H30">
        <v>1.04</v>
      </c>
      <c r="I30" t="s">
        <v>4</v>
      </c>
      <c r="J30" t="s">
        <v>4</v>
      </c>
      <c r="K30">
        <v>4.55</v>
      </c>
      <c r="L30" t="s">
        <v>4</v>
      </c>
      <c r="M30">
        <v>100.61</v>
      </c>
      <c r="N30" t="s">
        <v>4</v>
      </c>
      <c r="O30">
        <v>40.69</v>
      </c>
      <c r="P30">
        <v>5.43</v>
      </c>
      <c r="Q30" t="s">
        <v>4</v>
      </c>
      <c r="R30" t="s">
        <v>4</v>
      </c>
      <c r="S30" t="s">
        <v>4</v>
      </c>
      <c r="T30">
        <v>5.22</v>
      </c>
      <c r="U30" t="s">
        <v>4</v>
      </c>
      <c r="V30">
        <v>12.11</v>
      </c>
      <c r="W30" t="s">
        <v>4</v>
      </c>
      <c r="X30" t="s">
        <v>4</v>
      </c>
      <c r="Y30" t="s">
        <v>4</v>
      </c>
      <c r="Z30">
        <v>3.9899999999999993</v>
      </c>
      <c r="AA30">
        <v>5.44</v>
      </c>
      <c r="AB30">
        <v>5.37</v>
      </c>
      <c r="AC30">
        <v>43988.93</v>
      </c>
      <c r="AD30">
        <v>10.25</v>
      </c>
      <c r="AE30">
        <v>28.24</v>
      </c>
      <c r="AF30" t="s">
        <v>4</v>
      </c>
      <c r="AG30">
        <v>3.34</v>
      </c>
      <c r="AH30" t="s">
        <v>4</v>
      </c>
      <c r="AI30" t="s">
        <v>4</v>
      </c>
      <c r="AJ30">
        <v>31.84</v>
      </c>
      <c r="AK30">
        <v>0.9</v>
      </c>
      <c r="AL30">
        <v>6.22</v>
      </c>
      <c r="AM30" t="s">
        <v>4</v>
      </c>
      <c r="AN30">
        <v>11.709999999999999</v>
      </c>
      <c r="AO30" t="s">
        <v>4</v>
      </c>
      <c r="AP30" t="s">
        <v>4</v>
      </c>
      <c r="AQ30">
        <v>9.48</v>
      </c>
      <c r="AR30">
        <v>8.91</v>
      </c>
      <c r="AS30" t="s">
        <v>4</v>
      </c>
      <c r="AT30" t="s">
        <v>4</v>
      </c>
      <c r="AU30">
        <v>20.46</v>
      </c>
      <c r="AV30" t="s">
        <v>4</v>
      </c>
      <c r="AW30">
        <v>2.17</v>
      </c>
      <c r="AX30">
        <v>2.8</v>
      </c>
      <c r="AY30" t="s">
        <v>4</v>
      </c>
      <c r="AZ30" t="s">
        <v>4</v>
      </c>
      <c r="BA30" t="s">
        <v>4</v>
      </c>
      <c r="BB30">
        <v>0.3</v>
      </c>
      <c r="BC30" t="s">
        <v>4</v>
      </c>
      <c r="BD30">
        <v>2.8</v>
      </c>
      <c r="BE30" t="s">
        <v>4</v>
      </c>
      <c r="BF30" t="s">
        <v>4</v>
      </c>
      <c r="BG30">
        <v>3.14</v>
      </c>
      <c r="BH30">
        <v>22.39</v>
      </c>
      <c r="BI30" t="s">
        <v>4</v>
      </c>
      <c r="BJ30" t="s">
        <v>4</v>
      </c>
      <c r="BK30" t="s">
        <v>4</v>
      </c>
      <c r="BL30" t="s">
        <v>4</v>
      </c>
      <c r="BM30" t="s">
        <v>4</v>
      </c>
      <c r="BN30" t="s">
        <v>4</v>
      </c>
      <c r="BO30">
        <v>39.700000000000003</v>
      </c>
      <c r="BP30" t="s">
        <v>4</v>
      </c>
      <c r="BQ30">
        <v>2.88</v>
      </c>
      <c r="BR30" t="s">
        <v>4</v>
      </c>
      <c r="BS30" t="s">
        <v>4</v>
      </c>
      <c r="BT30" t="s">
        <v>4</v>
      </c>
      <c r="BU30" t="s">
        <v>4</v>
      </c>
      <c r="BV30" t="s">
        <v>4</v>
      </c>
      <c r="BW30" t="s">
        <v>4</v>
      </c>
      <c r="BX30" t="s">
        <v>4</v>
      </c>
      <c r="BY30" t="s">
        <v>4</v>
      </c>
      <c r="BZ30" t="s">
        <v>4</v>
      </c>
      <c r="CA30" t="s">
        <v>4</v>
      </c>
      <c r="CB30">
        <v>3.66</v>
      </c>
      <c r="CC30" t="s">
        <v>4</v>
      </c>
      <c r="CD30" t="s">
        <v>4</v>
      </c>
      <c r="CE30" t="s">
        <v>4</v>
      </c>
      <c r="CF30" t="s">
        <v>4</v>
      </c>
      <c r="CG30" t="s">
        <v>4</v>
      </c>
      <c r="CH30">
        <v>2</v>
      </c>
      <c r="CI30">
        <v>7</v>
      </c>
      <c r="CJ30">
        <v>321</v>
      </c>
      <c r="CK30" t="s">
        <v>348</v>
      </c>
      <c r="CL30">
        <f t="shared" si="0"/>
        <v>0.3</v>
      </c>
      <c r="CM30">
        <f t="shared" si="1"/>
        <v>43988.93</v>
      </c>
      <c r="CN30" t="s">
        <v>281</v>
      </c>
      <c r="CO30" t="s">
        <v>281</v>
      </c>
    </row>
    <row r="31" spans="1:93" x14ac:dyDescent="0.25">
      <c r="A31" s="50">
        <v>44588.583333333336</v>
      </c>
      <c r="B31" s="51" t="s">
        <v>739</v>
      </c>
      <c r="C31" s="51" t="s">
        <v>248</v>
      </c>
      <c r="D31">
        <v>44588.583333333336</v>
      </c>
      <c r="E31" t="s">
        <v>4</v>
      </c>
      <c r="F31">
        <v>0.78</v>
      </c>
      <c r="G31" t="s">
        <v>4</v>
      </c>
      <c r="H31" t="s">
        <v>4</v>
      </c>
      <c r="I31" t="s">
        <v>4</v>
      </c>
      <c r="J31" t="s">
        <v>4</v>
      </c>
      <c r="K31">
        <v>0.9</v>
      </c>
      <c r="L31">
        <v>3.69</v>
      </c>
      <c r="M31">
        <v>34.24</v>
      </c>
      <c r="N31" t="s">
        <v>4</v>
      </c>
      <c r="O31">
        <v>17.489999999999998</v>
      </c>
      <c r="P31">
        <v>2.44</v>
      </c>
      <c r="Q31" t="s">
        <v>4</v>
      </c>
      <c r="R31" t="s">
        <v>4</v>
      </c>
      <c r="S31" t="s">
        <v>4</v>
      </c>
      <c r="T31">
        <v>1.57</v>
      </c>
      <c r="U31" t="s">
        <v>4</v>
      </c>
      <c r="V31" t="s">
        <v>4</v>
      </c>
      <c r="W31" t="s">
        <v>4</v>
      </c>
      <c r="X31" t="s">
        <v>4</v>
      </c>
      <c r="Y31" t="s">
        <v>4</v>
      </c>
      <c r="Z31">
        <v>1.6900000000000004</v>
      </c>
      <c r="AA31">
        <v>0.62000000000000011</v>
      </c>
      <c r="AB31" t="s">
        <v>4</v>
      </c>
      <c r="AC31">
        <v>25395.59</v>
      </c>
      <c r="AD31">
        <v>2.8</v>
      </c>
      <c r="AE31" t="s">
        <v>4</v>
      </c>
      <c r="AF31" t="s">
        <v>4</v>
      </c>
      <c r="AG31" t="s">
        <v>4</v>
      </c>
      <c r="AH31" t="s">
        <v>4</v>
      </c>
      <c r="AI31" t="s">
        <v>4</v>
      </c>
      <c r="AJ31">
        <v>12.71</v>
      </c>
      <c r="AK31" t="s">
        <v>4</v>
      </c>
      <c r="AL31" t="s">
        <v>4</v>
      </c>
      <c r="AM31" t="s">
        <v>4</v>
      </c>
      <c r="AN31">
        <v>3.75</v>
      </c>
      <c r="AO31" t="s">
        <v>4</v>
      </c>
      <c r="AP31" t="s">
        <v>4</v>
      </c>
      <c r="AQ31">
        <v>2.93</v>
      </c>
      <c r="AR31">
        <v>1.2000000000000002</v>
      </c>
      <c r="AS31" t="s">
        <v>4</v>
      </c>
      <c r="AT31" t="s">
        <v>4</v>
      </c>
      <c r="AU31" t="s">
        <v>4</v>
      </c>
      <c r="AV31" t="s">
        <v>4</v>
      </c>
      <c r="AW31" t="s">
        <v>4</v>
      </c>
      <c r="AX31">
        <v>2.12</v>
      </c>
      <c r="AY31" t="s">
        <v>4</v>
      </c>
      <c r="AZ31" t="s">
        <v>4</v>
      </c>
      <c r="BA31" t="s">
        <v>4</v>
      </c>
      <c r="BB31" t="s">
        <v>4</v>
      </c>
      <c r="BC31" t="s">
        <v>4</v>
      </c>
      <c r="BD31">
        <v>2.37</v>
      </c>
      <c r="BE31" t="s">
        <v>4</v>
      </c>
      <c r="BF31" t="s">
        <v>4</v>
      </c>
      <c r="BG31" t="s">
        <v>4</v>
      </c>
      <c r="BH31">
        <v>6.88</v>
      </c>
      <c r="BI31" t="s">
        <v>4</v>
      </c>
      <c r="BJ31">
        <v>7.52</v>
      </c>
      <c r="BK31" t="s">
        <v>4</v>
      </c>
      <c r="BL31" t="s">
        <v>4</v>
      </c>
      <c r="BM31" t="s">
        <v>4</v>
      </c>
      <c r="BN31" t="s">
        <v>4</v>
      </c>
      <c r="BO31">
        <v>8.92</v>
      </c>
      <c r="BP31" t="s">
        <v>4</v>
      </c>
      <c r="BQ31">
        <v>1.01</v>
      </c>
      <c r="BR31" t="s">
        <v>4</v>
      </c>
      <c r="BS31" t="s">
        <v>4</v>
      </c>
      <c r="BT31" t="s">
        <v>4</v>
      </c>
      <c r="BU31">
        <v>1.19</v>
      </c>
      <c r="BV31" t="s">
        <v>4</v>
      </c>
      <c r="BW31" t="s">
        <v>4</v>
      </c>
      <c r="BX31" t="s">
        <v>4</v>
      </c>
      <c r="BY31" t="s">
        <v>4</v>
      </c>
      <c r="BZ31" t="s">
        <v>4</v>
      </c>
      <c r="CA31" t="s">
        <v>4</v>
      </c>
      <c r="CB31">
        <v>1.6400000000000006</v>
      </c>
      <c r="CC31" t="s">
        <v>4</v>
      </c>
      <c r="CD31" t="s">
        <v>4</v>
      </c>
      <c r="CE31" t="s">
        <v>4</v>
      </c>
      <c r="CF31" t="s">
        <v>4</v>
      </c>
      <c r="CG31" t="s">
        <v>4</v>
      </c>
      <c r="CH31">
        <v>2</v>
      </c>
      <c r="CI31">
        <v>7</v>
      </c>
      <c r="CJ31">
        <v>321</v>
      </c>
      <c r="CK31" t="s">
        <v>348</v>
      </c>
      <c r="CL31">
        <f t="shared" si="0"/>
        <v>0.62000000000000011</v>
      </c>
      <c r="CM31">
        <f t="shared" si="1"/>
        <v>25395.59</v>
      </c>
      <c r="CN31" t="s">
        <v>282</v>
      </c>
      <c r="CO31" t="s">
        <v>282</v>
      </c>
    </row>
    <row r="32" spans="1:93" x14ac:dyDescent="0.25">
      <c r="A32" s="50">
        <v>44588</v>
      </c>
      <c r="B32" s="51" t="s">
        <v>740</v>
      </c>
      <c r="C32" s="51" t="s">
        <v>195</v>
      </c>
      <c r="D32">
        <v>44588</v>
      </c>
      <c r="E32" t="s">
        <v>4</v>
      </c>
      <c r="F32">
        <v>0.5</v>
      </c>
      <c r="G32" t="s">
        <v>4</v>
      </c>
      <c r="H32" t="s">
        <v>4</v>
      </c>
      <c r="I32" t="s">
        <v>4</v>
      </c>
      <c r="J32" t="s">
        <v>4</v>
      </c>
      <c r="K32">
        <v>1.26</v>
      </c>
      <c r="L32" t="s">
        <v>4</v>
      </c>
      <c r="M32">
        <v>42.57</v>
      </c>
      <c r="N32" t="s">
        <v>4</v>
      </c>
      <c r="O32">
        <v>14.72</v>
      </c>
      <c r="P32">
        <v>2.4</v>
      </c>
      <c r="Q32" t="s">
        <v>4</v>
      </c>
      <c r="R32" t="s">
        <v>4</v>
      </c>
      <c r="S32" t="s">
        <v>4</v>
      </c>
      <c r="T32">
        <v>1.26</v>
      </c>
      <c r="U32" t="s">
        <v>4</v>
      </c>
      <c r="V32">
        <v>4.84</v>
      </c>
      <c r="W32" t="s">
        <v>4</v>
      </c>
      <c r="X32" t="s">
        <v>4</v>
      </c>
      <c r="Y32">
        <v>3.48</v>
      </c>
      <c r="Z32">
        <v>1.63</v>
      </c>
      <c r="AA32">
        <v>1.99</v>
      </c>
      <c r="AB32">
        <v>1.87</v>
      </c>
      <c r="AC32">
        <v>19526.45</v>
      </c>
      <c r="AD32">
        <v>2.3199999999999998</v>
      </c>
      <c r="AE32" t="s">
        <v>4</v>
      </c>
      <c r="AF32" t="s">
        <v>4</v>
      </c>
      <c r="AG32" t="s">
        <v>4</v>
      </c>
      <c r="AH32" t="s">
        <v>4</v>
      </c>
      <c r="AI32" t="s">
        <v>4</v>
      </c>
      <c r="AJ32">
        <v>11.97</v>
      </c>
      <c r="AK32" t="s">
        <v>4</v>
      </c>
      <c r="AL32" t="s">
        <v>4</v>
      </c>
      <c r="AM32" t="s">
        <v>4</v>
      </c>
      <c r="AN32">
        <v>3.9399999999999995</v>
      </c>
      <c r="AO32" t="s">
        <v>4</v>
      </c>
      <c r="AP32" t="s">
        <v>4</v>
      </c>
      <c r="AQ32">
        <v>3.48</v>
      </c>
      <c r="AR32">
        <v>4.66</v>
      </c>
      <c r="AS32" t="s">
        <v>4</v>
      </c>
      <c r="AT32" t="s">
        <v>4</v>
      </c>
      <c r="AU32">
        <v>13.4</v>
      </c>
      <c r="AV32" t="s">
        <v>4</v>
      </c>
      <c r="AW32" t="s">
        <v>4</v>
      </c>
      <c r="AX32">
        <v>1.28</v>
      </c>
      <c r="AY32" t="s">
        <v>4</v>
      </c>
      <c r="AZ32" t="s">
        <v>4</v>
      </c>
      <c r="BA32" t="s">
        <v>4</v>
      </c>
      <c r="BB32" t="s">
        <v>4</v>
      </c>
      <c r="BC32" t="s">
        <v>4</v>
      </c>
      <c r="BD32">
        <v>2.0099999999999998</v>
      </c>
      <c r="BE32" t="s">
        <v>4</v>
      </c>
      <c r="BF32" t="s">
        <v>4</v>
      </c>
      <c r="BG32" t="s">
        <v>4</v>
      </c>
      <c r="BH32" t="s">
        <v>4</v>
      </c>
      <c r="BI32" t="s">
        <v>4</v>
      </c>
      <c r="BJ32" t="s">
        <v>4</v>
      </c>
      <c r="BK32" t="s">
        <v>4</v>
      </c>
      <c r="BL32" t="s">
        <v>4</v>
      </c>
      <c r="BM32" t="s">
        <v>4</v>
      </c>
      <c r="BN32" t="s">
        <v>4</v>
      </c>
      <c r="BO32">
        <v>17.66</v>
      </c>
      <c r="BP32" t="s">
        <v>4</v>
      </c>
      <c r="BQ32">
        <v>1.1200000000000001</v>
      </c>
      <c r="BR32" t="s">
        <v>4</v>
      </c>
      <c r="BS32" t="s">
        <v>4</v>
      </c>
      <c r="BT32" t="s">
        <v>4</v>
      </c>
      <c r="BU32" t="s">
        <v>4</v>
      </c>
      <c r="BV32">
        <v>3.76</v>
      </c>
      <c r="BW32" t="s">
        <v>4</v>
      </c>
      <c r="BX32" t="s">
        <v>4</v>
      </c>
      <c r="BY32" t="s">
        <v>4</v>
      </c>
      <c r="BZ32" t="s">
        <v>4</v>
      </c>
      <c r="CA32">
        <v>3.05</v>
      </c>
      <c r="CB32">
        <v>4.3499999999999996</v>
      </c>
      <c r="CC32" t="s">
        <v>4</v>
      </c>
      <c r="CD32" t="s">
        <v>4</v>
      </c>
      <c r="CE32" t="s">
        <v>4</v>
      </c>
      <c r="CF32" t="s">
        <v>4</v>
      </c>
      <c r="CG32" t="s">
        <v>4</v>
      </c>
      <c r="CH32">
        <v>2</v>
      </c>
      <c r="CI32">
        <v>7</v>
      </c>
      <c r="CJ32">
        <v>321</v>
      </c>
      <c r="CK32" t="s">
        <v>348</v>
      </c>
      <c r="CL32">
        <f t="shared" si="0"/>
        <v>0.5</v>
      </c>
      <c r="CM32">
        <f t="shared" si="1"/>
        <v>19526.45</v>
      </c>
      <c r="CN32" s="29" t="s">
        <v>283</v>
      </c>
      <c r="CO32" t="s">
        <v>283</v>
      </c>
    </row>
    <row r="33" spans="1:93" s="121" customFormat="1" x14ac:dyDescent="0.25">
      <c r="A33" s="50">
        <v>44588</v>
      </c>
      <c r="B33" s="51" t="s">
        <v>741</v>
      </c>
      <c r="C33" s="51" t="s">
        <v>196</v>
      </c>
      <c r="D33" s="121">
        <v>44588</v>
      </c>
      <c r="E33" s="121" t="s">
        <v>4</v>
      </c>
      <c r="F33" s="121" t="s">
        <v>4</v>
      </c>
      <c r="G33" s="121" t="s">
        <v>4</v>
      </c>
      <c r="H33" s="121">
        <v>14.01</v>
      </c>
      <c r="I33" s="121">
        <v>19.52</v>
      </c>
      <c r="J33" s="121">
        <v>27.13</v>
      </c>
      <c r="K33" s="121">
        <v>1.57</v>
      </c>
      <c r="L33" s="121" t="s">
        <v>4</v>
      </c>
      <c r="M33" s="121">
        <v>24.95</v>
      </c>
      <c r="N33" s="121" t="s">
        <v>4</v>
      </c>
      <c r="O33" s="121">
        <v>115.3</v>
      </c>
      <c r="P33" s="121">
        <v>14.56</v>
      </c>
      <c r="Q33" s="121" t="s">
        <v>4</v>
      </c>
      <c r="R33" s="121" t="s">
        <v>4</v>
      </c>
      <c r="S33" s="121">
        <v>3.28</v>
      </c>
      <c r="T33" s="121">
        <v>1.58</v>
      </c>
      <c r="U33" s="121" t="s">
        <v>4</v>
      </c>
      <c r="V33" s="121">
        <v>10.35</v>
      </c>
      <c r="W33" s="121" t="s">
        <v>4</v>
      </c>
      <c r="X33" s="121" t="s">
        <v>4</v>
      </c>
      <c r="Y33" s="121" t="s">
        <v>4</v>
      </c>
      <c r="Z33" s="121">
        <v>6.44</v>
      </c>
      <c r="AA33" s="121">
        <v>0.90999999999999992</v>
      </c>
      <c r="AB33" s="121" t="s">
        <v>4</v>
      </c>
      <c r="AC33" s="121">
        <v>2554.81</v>
      </c>
      <c r="AD33" s="121">
        <v>5.94</v>
      </c>
      <c r="AE33" s="121" t="s">
        <v>4</v>
      </c>
      <c r="AF33" s="121" t="s">
        <v>4</v>
      </c>
      <c r="AG33" s="121" t="s">
        <v>4</v>
      </c>
      <c r="AH33" s="121" t="s">
        <v>4</v>
      </c>
      <c r="AI33" s="121" t="s">
        <v>4</v>
      </c>
      <c r="AJ33" s="121">
        <v>38.549999999999997</v>
      </c>
      <c r="AK33" s="121" t="s">
        <v>4</v>
      </c>
      <c r="AL33" s="121">
        <v>7.49</v>
      </c>
      <c r="AM33" s="121" t="s">
        <v>4</v>
      </c>
      <c r="AN33" s="121">
        <v>19.580000000000002</v>
      </c>
      <c r="AO33" s="121" t="s">
        <v>4</v>
      </c>
      <c r="AP33" s="121" t="s">
        <v>4</v>
      </c>
      <c r="AQ33" s="121">
        <v>15.83</v>
      </c>
      <c r="AR33" s="121">
        <v>6.5</v>
      </c>
      <c r="AS33" s="121" t="s">
        <v>4</v>
      </c>
      <c r="AT33" s="121" t="s">
        <v>4</v>
      </c>
      <c r="AU33" s="121" t="s">
        <v>4</v>
      </c>
      <c r="AV33" s="121" t="s">
        <v>4</v>
      </c>
      <c r="AW33" s="121" t="s">
        <v>4</v>
      </c>
      <c r="AX33" s="121">
        <v>1.1200000000000001</v>
      </c>
      <c r="AY33" s="121" t="s">
        <v>4</v>
      </c>
      <c r="AZ33" s="121" t="s">
        <v>4</v>
      </c>
      <c r="BA33" s="121" t="s">
        <v>4</v>
      </c>
      <c r="BB33" s="121" t="s">
        <v>4</v>
      </c>
      <c r="BC33" s="121" t="s">
        <v>4</v>
      </c>
      <c r="BD33" s="121">
        <v>0.8</v>
      </c>
      <c r="BE33" s="121" t="s">
        <v>4</v>
      </c>
      <c r="BF33" s="121" t="s">
        <v>4</v>
      </c>
      <c r="BG33" s="121">
        <v>8.01</v>
      </c>
      <c r="BH33" s="121">
        <v>4.71</v>
      </c>
      <c r="BI33" s="121" t="s">
        <v>4</v>
      </c>
      <c r="BJ33" s="121" t="s">
        <v>4</v>
      </c>
      <c r="BK33" s="121" t="s">
        <v>4</v>
      </c>
      <c r="BL33" s="121" t="s">
        <v>4</v>
      </c>
      <c r="BM33" s="121" t="s">
        <v>4</v>
      </c>
      <c r="BN33" s="121" t="s">
        <v>4</v>
      </c>
      <c r="BO33" s="121">
        <v>8.1999999999999993</v>
      </c>
      <c r="BP33" s="121" t="s">
        <v>4</v>
      </c>
      <c r="BQ33" s="121">
        <v>0.89</v>
      </c>
      <c r="BR33" s="121" t="s">
        <v>4</v>
      </c>
      <c r="BS33" s="121" t="s">
        <v>4</v>
      </c>
      <c r="BT33" s="121" t="s">
        <v>4</v>
      </c>
      <c r="BU33" s="121" t="s">
        <v>4</v>
      </c>
      <c r="BV33" s="121" t="s">
        <v>4</v>
      </c>
      <c r="BW33" s="121" t="s">
        <v>4</v>
      </c>
      <c r="BX33" s="121" t="s">
        <v>4</v>
      </c>
      <c r="BY33" s="121" t="s">
        <v>4</v>
      </c>
      <c r="BZ33" s="121" t="s">
        <v>4</v>
      </c>
      <c r="CA33" s="121">
        <v>10.75</v>
      </c>
      <c r="CB33" s="121">
        <v>2.2300000000000004</v>
      </c>
      <c r="CC33" s="121" t="s">
        <v>4</v>
      </c>
      <c r="CD33" s="121" t="s">
        <v>4</v>
      </c>
      <c r="CE33" s="121" t="s">
        <v>4</v>
      </c>
      <c r="CF33" s="121" t="s">
        <v>4</v>
      </c>
      <c r="CG33" s="121" t="s">
        <v>4</v>
      </c>
      <c r="CH33" s="121">
        <v>1</v>
      </c>
      <c r="CI33" s="121">
        <v>5</v>
      </c>
      <c r="CJ33" s="121">
        <v>322</v>
      </c>
      <c r="CK33" s="121" t="s">
        <v>348</v>
      </c>
      <c r="CL33">
        <f t="shared" si="0"/>
        <v>0.8</v>
      </c>
      <c r="CM33">
        <f t="shared" si="1"/>
        <v>2554.81</v>
      </c>
      <c r="CN33" s="121" t="s">
        <v>284</v>
      </c>
      <c r="CO33" s="121" t="s">
        <v>284</v>
      </c>
    </row>
    <row r="34" spans="1:93" s="121" customFormat="1" x14ac:dyDescent="0.25">
      <c r="A34" s="50">
        <v>44588</v>
      </c>
      <c r="B34" s="51" t="s">
        <v>742</v>
      </c>
      <c r="C34" s="51" t="s">
        <v>197</v>
      </c>
      <c r="D34" s="121">
        <v>44588</v>
      </c>
      <c r="E34" s="121" t="s">
        <v>4</v>
      </c>
      <c r="F34" s="121">
        <v>0.47</v>
      </c>
      <c r="G34" s="121">
        <v>0.51</v>
      </c>
      <c r="H34" s="121">
        <v>24.12</v>
      </c>
      <c r="I34" s="121">
        <v>36.799999999999997</v>
      </c>
      <c r="J34" s="121">
        <v>54.15</v>
      </c>
      <c r="K34" s="121">
        <v>2.86</v>
      </c>
      <c r="L34" s="121" t="s">
        <v>4</v>
      </c>
      <c r="M34" s="121">
        <v>150.19</v>
      </c>
      <c r="N34" s="121" t="s">
        <v>4</v>
      </c>
      <c r="O34" s="121">
        <v>208.27</v>
      </c>
      <c r="P34" s="121">
        <v>32.03</v>
      </c>
      <c r="Q34" s="121" t="s">
        <v>4</v>
      </c>
      <c r="R34" s="121" t="s">
        <v>4</v>
      </c>
      <c r="S34" s="121">
        <v>9.9700000000000006</v>
      </c>
      <c r="T34" s="121">
        <v>1.48</v>
      </c>
      <c r="U34" s="121" t="s">
        <v>4</v>
      </c>
      <c r="V34" s="121">
        <v>30.68</v>
      </c>
      <c r="W34" s="121" t="s">
        <v>4</v>
      </c>
      <c r="X34" s="121" t="s">
        <v>4</v>
      </c>
      <c r="Y34" s="121" t="s">
        <v>4</v>
      </c>
      <c r="Z34" s="121">
        <v>17.12</v>
      </c>
      <c r="AA34" s="121">
        <v>1.55</v>
      </c>
      <c r="AB34" s="121" t="s">
        <v>4</v>
      </c>
      <c r="AC34" s="121">
        <v>194.05</v>
      </c>
      <c r="AD34" s="121">
        <v>3.61</v>
      </c>
      <c r="AE34" s="121" t="s">
        <v>4</v>
      </c>
      <c r="AF34" s="121" t="s">
        <v>4</v>
      </c>
      <c r="AG34" s="121" t="s">
        <v>4</v>
      </c>
      <c r="AH34" s="121" t="s">
        <v>4</v>
      </c>
      <c r="AI34" s="121" t="s">
        <v>4</v>
      </c>
      <c r="AJ34" s="121">
        <v>84.26</v>
      </c>
      <c r="AK34" s="121" t="s">
        <v>4</v>
      </c>
      <c r="AL34" s="121">
        <v>17.53</v>
      </c>
      <c r="AM34" s="121" t="s">
        <v>4</v>
      </c>
      <c r="AN34" s="121">
        <v>20.94</v>
      </c>
      <c r="AO34" s="121" t="s">
        <v>4</v>
      </c>
      <c r="AP34" s="121" t="s">
        <v>4</v>
      </c>
      <c r="AQ34" s="121">
        <v>55.11</v>
      </c>
      <c r="AR34" s="121">
        <v>10.02</v>
      </c>
      <c r="AS34" s="121" t="s">
        <v>4</v>
      </c>
      <c r="AT34" s="121" t="s">
        <v>4</v>
      </c>
      <c r="AU34" s="121" t="s">
        <v>4</v>
      </c>
      <c r="AV34" s="121" t="s">
        <v>4</v>
      </c>
      <c r="AW34" s="121" t="s">
        <v>4</v>
      </c>
      <c r="AX34" s="121">
        <v>1.1599999999999999</v>
      </c>
      <c r="AY34" s="121" t="s">
        <v>4</v>
      </c>
      <c r="AZ34" s="121" t="s">
        <v>4</v>
      </c>
      <c r="BA34" s="121" t="s">
        <v>4</v>
      </c>
      <c r="BB34" s="121" t="s">
        <v>4</v>
      </c>
      <c r="BC34" s="121" t="s">
        <v>4</v>
      </c>
      <c r="BD34" s="121">
        <v>1.39</v>
      </c>
      <c r="BE34" s="121" t="s">
        <v>4</v>
      </c>
      <c r="BF34" s="121" t="s">
        <v>4</v>
      </c>
      <c r="BG34" s="121">
        <v>10.89</v>
      </c>
      <c r="BH34" s="121" t="s">
        <v>4</v>
      </c>
      <c r="BI34" s="121" t="s">
        <v>4</v>
      </c>
      <c r="BJ34" s="121" t="s">
        <v>4</v>
      </c>
      <c r="BK34" s="121" t="s">
        <v>4</v>
      </c>
      <c r="BL34" s="121" t="s">
        <v>4</v>
      </c>
      <c r="BM34" s="121" t="s">
        <v>4</v>
      </c>
      <c r="BN34" s="121" t="s">
        <v>4</v>
      </c>
      <c r="BO34" s="121">
        <v>7.66</v>
      </c>
      <c r="BP34" s="121" t="s">
        <v>4</v>
      </c>
      <c r="BQ34" s="121">
        <v>1.1200000000000001</v>
      </c>
      <c r="BR34" s="121" t="s">
        <v>4</v>
      </c>
      <c r="BS34" s="121" t="s">
        <v>4</v>
      </c>
      <c r="BT34" s="121" t="s">
        <v>4</v>
      </c>
      <c r="BU34" s="121" t="s">
        <v>4</v>
      </c>
      <c r="BV34" s="121" t="s">
        <v>4</v>
      </c>
      <c r="BW34" s="121" t="s">
        <v>4</v>
      </c>
      <c r="BX34" s="121" t="s">
        <v>4</v>
      </c>
      <c r="BY34" s="121" t="s">
        <v>4</v>
      </c>
      <c r="BZ34" s="121" t="s">
        <v>4</v>
      </c>
      <c r="CA34" s="121">
        <v>6.5299999999999994</v>
      </c>
      <c r="CB34" s="121">
        <v>2.4299999999999997</v>
      </c>
      <c r="CC34" s="121" t="s">
        <v>4</v>
      </c>
      <c r="CD34" s="121" t="s">
        <v>4</v>
      </c>
      <c r="CE34" s="121" t="s">
        <v>4</v>
      </c>
      <c r="CF34" s="121" t="s">
        <v>4</v>
      </c>
      <c r="CG34" s="121" t="s">
        <v>4</v>
      </c>
      <c r="CH34" s="121">
        <v>1</v>
      </c>
      <c r="CI34" s="121">
        <v>5</v>
      </c>
      <c r="CJ34" s="121">
        <v>322</v>
      </c>
      <c r="CK34" s="121" t="s">
        <v>348</v>
      </c>
      <c r="CL34">
        <f t="shared" si="0"/>
        <v>0.47</v>
      </c>
      <c r="CM34">
        <f t="shared" si="1"/>
        <v>208.27</v>
      </c>
      <c r="CN34" s="121" t="s">
        <v>285</v>
      </c>
      <c r="CO34" s="121" t="s">
        <v>285</v>
      </c>
    </row>
    <row r="35" spans="1:93" x14ac:dyDescent="0.25">
      <c r="A35" s="50">
        <v>44588</v>
      </c>
      <c r="B35" s="51" t="s">
        <v>743</v>
      </c>
      <c r="C35" s="51" t="s">
        <v>198</v>
      </c>
      <c r="D35">
        <v>44588</v>
      </c>
      <c r="E35" t="s">
        <v>4</v>
      </c>
      <c r="F35" t="s">
        <v>4</v>
      </c>
      <c r="G35" t="s">
        <v>4</v>
      </c>
      <c r="H35">
        <v>2.4500000000000002</v>
      </c>
      <c r="I35">
        <v>5.12</v>
      </c>
      <c r="J35">
        <v>11.33</v>
      </c>
      <c r="K35">
        <v>2.4300000000000002</v>
      </c>
      <c r="L35" t="s">
        <v>4</v>
      </c>
      <c r="M35">
        <v>22.67</v>
      </c>
      <c r="N35" t="s">
        <v>4</v>
      </c>
      <c r="O35">
        <v>14.11</v>
      </c>
      <c r="P35">
        <v>2.0499999999999998</v>
      </c>
      <c r="Q35" t="s">
        <v>4</v>
      </c>
      <c r="R35" t="s">
        <v>4</v>
      </c>
      <c r="S35" t="s">
        <v>4</v>
      </c>
      <c r="T35">
        <v>0.83</v>
      </c>
      <c r="U35" t="s">
        <v>4</v>
      </c>
      <c r="V35">
        <v>5.57</v>
      </c>
      <c r="W35" t="s">
        <v>4</v>
      </c>
      <c r="X35" t="s">
        <v>4</v>
      </c>
      <c r="Y35">
        <v>10.32</v>
      </c>
      <c r="Z35">
        <v>2.71</v>
      </c>
      <c r="AA35">
        <v>1.5000000000000002</v>
      </c>
      <c r="AB35" t="s">
        <v>4</v>
      </c>
      <c r="AC35">
        <v>156.33000000000001</v>
      </c>
      <c r="AD35">
        <v>2.71</v>
      </c>
      <c r="AE35" t="s">
        <v>4</v>
      </c>
      <c r="AF35" t="s">
        <v>4</v>
      </c>
      <c r="AG35" t="s">
        <v>4</v>
      </c>
      <c r="AH35" t="s">
        <v>4</v>
      </c>
      <c r="AI35" t="s">
        <v>4</v>
      </c>
      <c r="AJ35">
        <v>47.96</v>
      </c>
      <c r="AK35" t="s">
        <v>4</v>
      </c>
      <c r="AL35" t="s">
        <v>4</v>
      </c>
      <c r="AM35" t="s">
        <v>4</v>
      </c>
      <c r="AN35">
        <v>4.42</v>
      </c>
      <c r="AO35" t="s">
        <v>4</v>
      </c>
      <c r="AP35" t="s">
        <v>4</v>
      </c>
      <c r="AQ35">
        <v>6.11</v>
      </c>
      <c r="AR35">
        <v>3.43</v>
      </c>
      <c r="AS35" t="s">
        <v>4</v>
      </c>
      <c r="AT35" t="s">
        <v>4</v>
      </c>
      <c r="AU35" t="s">
        <v>4</v>
      </c>
      <c r="AV35" t="s">
        <v>4</v>
      </c>
      <c r="AW35" t="s">
        <v>4</v>
      </c>
      <c r="AX35">
        <v>2.04</v>
      </c>
      <c r="AY35" t="s">
        <v>4</v>
      </c>
      <c r="AZ35" t="s">
        <v>4</v>
      </c>
      <c r="BA35" t="s">
        <v>4</v>
      </c>
      <c r="BB35" t="s">
        <v>4</v>
      </c>
      <c r="BC35" t="s">
        <v>4</v>
      </c>
      <c r="BD35">
        <v>1.52</v>
      </c>
      <c r="BE35" t="s">
        <v>4</v>
      </c>
      <c r="BF35" t="s">
        <v>4</v>
      </c>
      <c r="BG35" t="s">
        <v>4</v>
      </c>
      <c r="BH35" t="s">
        <v>4</v>
      </c>
      <c r="BI35" t="s">
        <v>4</v>
      </c>
      <c r="BJ35" t="s">
        <v>4</v>
      </c>
      <c r="BK35" t="s">
        <v>4</v>
      </c>
      <c r="BL35" t="s">
        <v>4</v>
      </c>
      <c r="BM35" t="s">
        <v>4</v>
      </c>
      <c r="BN35" t="s">
        <v>4</v>
      </c>
      <c r="BO35">
        <v>7.2</v>
      </c>
      <c r="BP35" t="s">
        <v>4</v>
      </c>
      <c r="BQ35">
        <v>1.1100000000000001</v>
      </c>
      <c r="BR35" t="s">
        <v>4</v>
      </c>
      <c r="BS35" t="s">
        <v>4</v>
      </c>
      <c r="BT35" t="s">
        <v>4</v>
      </c>
      <c r="BU35" t="s">
        <v>4</v>
      </c>
      <c r="BV35" t="s">
        <v>4</v>
      </c>
      <c r="BW35" t="s">
        <v>4</v>
      </c>
      <c r="BX35" t="s">
        <v>4</v>
      </c>
      <c r="BY35" t="s">
        <v>4</v>
      </c>
      <c r="BZ35" t="s">
        <v>4</v>
      </c>
      <c r="CA35">
        <v>5.0999999999999996</v>
      </c>
      <c r="CB35">
        <v>11.209999999999999</v>
      </c>
      <c r="CC35" t="s">
        <v>4</v>
      </c>
      <c r="CD35" t="s">
        <v>4</v>
      </c>
      <c r="CE35" t="s">
        <v>4</v>
      </c>
      <c r="CF35" t="s">
        <v>4</v>
      </c>
      <c r="CG35" t="s">
        <v>4</v>
      </c>
      <c r="CH35">
        <v>1</v>
      </c>
      <c r="CI35">
        <v>7</v>
      </c>
      <c r="CJ35">
        <v>322</v>
      </c>
      <c r="CK35" t="s">
        <v>348</v>
      </c>
      <c r="CL35">
        <f t="shared" si="0"/>
        <v>0.83</v>
      </c>
      <c r="CM35">
        <f t="shared" si="1"/>
        <v>156.33000000000001</v>
      </c>
      <c r="CN35" s="32" t="s">
        <v>286</v>
      </c>
      <c r="CO35" t="s">
        <v>286</v>
      </c>
    </row>
    <row r="36" spans="1:93" x14ac:dyDescent="0.25">
      <c r="A36" s="50">
        <v>44588</v>
      </c>
      <c r="B36" s="51" t="s">
        <v>744</v>
      </c>
      <c r="C36" s="51" t="s">
        <v>199</v>
      </c>
      <c r="D36">
        <v>44588</v>
      </c>
      <c r="E36" t="s">
        <v>4</v>
      </c>
      <c r="F36" t="s">
        <v>4</v>
      </c>
      <c r="G36" t="s">
        <v>4</v>
      </c>
      <c r="H36">
        <v>8.02</v>
      </c>
      <c r="I36">
        <v>7.76</v>
      </c>
      <c r="J36">
        <v>22.53</v>
      </c>
      <c r="K36">
        <v>3.63</v>
      </c>
      <c r="L36" t="s">
        <v>4</v>
      </c>
      <c r="M36">
        <v>30.23</v>
      </c>
      <c r="N36" t="s">
        <v>4</v>
      </c>
      <c r="O36">
        <v>29.01</v>
      </c>
      <c r="P36">
        <v>3.62</v>
      </c>
      <c r="Q36" t="s">
        <v>4</v>
      </c>
      <c r="R36" t="s">
        <v>4</v>
      </c>
      <c r="S36" t="s">
        <v>4</v>
      </c>
      <c r="T36">
        <v>0.89</v>
      </c>
      <c r="U36" t="s">
        <v>4</v>
      </c>
      <c r="V36">
        <v>5.21</v>
      </c>
      <c r="W36" t="s">
        <v>4</v>
      </c>
      <c r="X36" t="s">
        <v>4</v>
      </c>
      <c r="Y36">
        <v>2.25</v>
      </c>
      <c r="Z36">
        <v>2.16</v>
      </c>
      <c r="AA36">
        <v>1.3099999999999998</v>
      </c>
      <c r="AB36" t="s">
        <v>4</v>
      </c>
      <c r="AC36">
        <v>176.2</v>
      </c>
      <c r="AD36">
        <v>636.04999999999995</v>
      </c>
      <c r="AE36">
        <v>1.29</v>
      </c>
      <c r="AF36" t="s">
        <v>4</v>
      </c>
      <c r="AG36" t="s">
        <v>4</v>
      </c>
      <c r="AH36" t="s">
        <v>4</v>
      </c>
      <c r="AI36" t="s">
        <v>4</v>
      </c>
      <c r="AJ36">
        <v>68.62</v>
      </c>
      <c r="AK36" t="s">
        <v>4</v>
      </c>
      <c r="AL36" t="s">
        <v>4</v>
      </c>
      <c r="AM36" t="s">
        <v>4</v>
      </c>
      <c r="AN36">
        <v>4.63</v>
      </c>
      <c r="AO36" t="s">
        <v>4</v>
      </c>
      <c r="AP36" t="s">
        <v>4</v>
      </c>
      <c r="AQ36">
        <v>10.06</v>
      </c>
      <c r="AR36">
        <v>4.2</v>
      </c>
      <c r="AS36" t="s">
        <v>4</v>
      </c>
      <c r="AT36" t="s">
        <v>4</v>
      </c>
      <c r="AU36" t="s">
        <v>4</v>
      </c>
      <c r="AV36" t="s">
        <v>4</v>
      </c>
      <c r="AW36">
        <v>0.71</v>
      </c>
      <c r="AX36">
        <v>0.96</v>
      </c>
      <c r="AY36" t="s">
        <v>4</v>
      </c>
      <c r="AZ36" t="s">
        <v>4</v>
      </c>
      <c r="BA36" t="s">
        <v>4</v>
      </c>
      <c r="BB36" t="s">
        <v>4</v>
      </c>
      <c r="BC36" t="s">
        <v>4</v>
      </c>
      <c r="BD36">
        <v>0.84000000000000008</v>
      </c>
      <c r="BE36" t="s">
        <v>4</v>
      </c>
      <c r="BF36" t="s">
        <v>4</v>
      </c>
      <c r="BG36" t="s">
        <v>4</v>
      </c>
      <c r="BH36" t="s">
        <v>4</v>
      </c>
      <c r="BI36" t="s">
        <v>4</v>
      </c>
      <c r="BJ36" t="s">
        <v>4</v>
      </c>
      <c r="BK36" t="s">
        <v>4</v>
      </c>
      <c r="BL36" t="s">
        <v>4</v>
      </c>
      <c r="BM36" t="s">
        <v>4</v>
      </c>
      <c r="BN36" t="s">
        <v>4</v>
      </c>
      <c r="BO36">
        <v>8.7100000000000009</v>
      </c>
      <c r="BP36" t="s">
        <v>4</v>
      </c>
      <c r="BQ36">
        <v>1.1100000000000001</v>
      </c>
      <c r="BR36" t="s">
        <v>4</v>
      </c>
      <c r="BS36" t="s">
        <v>4</v>
      </c>
      <c r="BT36" t="s">
        <v>4</v>
      </c>
      <c r="BU36" t="s">
        <v>4</v>
      </c>
      <c r="BV36" t="s">
        <v>4</v>
      </c>
      <c r="BW36" t="s">
        <v>4</v>
      </c>
      <c r="BX36" t="s">
        <v>4</v>
      </c>
      <c r="BY36" t="s">
        <v>4</v>
      </c>
      <c r="BZ36" t="s">
        <v>4</v>
      </c>
      <c r="CA36">
        <v>7.99</v>
      </c>
      <c r="CB36">
        <v>4.01</v>
      </c>
      <c r="CC36" t="s">
        <v>4</v>
      </c>
      <c r="CD36" t="s">
        <v>4</v>
      </c>
      <c r="CE36" t="s">
        <v>4</v>
      </c>
      <c r="CF36" t="s">
        <v>4</v>
      </c>
      <c r="CG36" t="s">
        <v>4</v>
      </c>
      <c r="CH36">
        <v>1</v>
      </c>
      <c r="CI36">
        <v>7</v>
      </c>
      <c r="CJ36">
        <v>322</v>
      </c>
      <c r="CK36" t="s">
        <v>348</v>
      </c>
      <c r="CL36">
        <f t="shared" si="0"/>
        <v>0.71</v>
      </c>
      <c r="CM36">
        <f t="shared" si="1"/>
        <v>636.04999999999995</v>
      </c>
      <c r="CN36" t="s">
        <v>288</v>
      </c>
      <c r="CO36" t="s">
        <v>288</v>
      </c>
    </row>
    <row r="37" spans="1:93" s="44" customFormat="1" x14ac:dyDescent="0.25">
      <c r="A37" s="50">
        <v>44588</v>
      </c>
      <c r="B37" s="51" t="s">
        <v>745</v>
      </c>
      <c r="C37" s="51" t="s">
        <v>331</v>
      </c>
      <c r="D37" s="44">
        <v>44588</v>
      </c>
      <c r="E37" s="44" t="s">
        <v>4</v>
      </c>
      <c r="F37" s="44" t="s">
        <v>4</v>
      </c>
      <c r="G37" s="44" t="s">
        <v>4</v>
      </c>
      <c r="H37" s="44">
        <v>2.95</v>
      </c>
      <c r="I37" s="44" t="s">
        <v>4</v>
      </c>
      <c r="J37" s="44" t="s">
        <v>4</v>
      </c>
      <c r="K37" s="44">
        <v>7.87</v>
      </c>
      <c r="L37" s="44" t="s">
        <v>4</v>
      </c>
      <c r="M37" s="44">
        <v>184.87</v>
      </c>
      <c r="N37" s="44" t="s">
        <v>4</v>
      </c>
      <c r="O37" s="44">
        <v>342.74</v>
      </c>
      <c r="P37" s="44">
        <v>68.3</v>
      </c>
      <c r="Q37" s="44" t="s">
        <v>4</v>
      </c>
      <c r="R37" s="44" t="s">
        <v>4</v>
      </c>
      <c r="S37" s="44">
        <v>20.72</v>
      </c>
      <c r="T37" s="44">
        <v>1.24</v>
      </c>
      <c r="U37" s="44" t="s">
        <v>4</v>
      </c>
      <c r="V37" s="44">
        <v>815.72</v>
      </c>
      <c r="W37" s="44" t="s">
        <v>4</v>
      </c>
      <c r="X37" s="44" t="s">
        <v>4</v>
      </c>
      <c r="Y37" s="44" t="s">
        <v>4</v>
      </c>
      <c r="Z37" s="44">
        <v>9.34</v>
      </c>
      <c r="AA37" s="44">
        <v>2888.8300000000004</v>
      </c>
      <c r="AB37" s="44" t="s">
        <v>4</v>
      </c>
      <c r="AC37" s="44">
        <v>76.56</v>
      </c>
      <c r="AD37" s="44">
        <v>10.97</v>
      </c>
      <c r="AE37" s="44">
        <v>3.24</v>
      </c>
      <c r="AF37" s="44" t="s">
        <v>4</v>
      </c>
      <c r="AG37" s="44" t="s">
        <v>4</v>
      </c>
      <c r="AH37" s="44" t="s">
        <v>4</v>
      </c>
      <c r="AI37" s="44" t="s">
        <v>4</v>
      </c>
      <c r="AJ37" s="44">
        <v>9544.66</v>
      </c>
      <c r="AK37" s="44" t="s">
        <v>4</v>
      </c>
      <c r="AL37" s="44">
        <v>24.46</v>
      </c>
      <c r="AM37" s="44" t="s">
        <v>4</v>
      </c>
      <c r="AN37" s="44">
        <v>13.709999999999999</v>
      </c>
      <c r="AO37" s="44" t="s">
        <v>4</v>
      </c>
      <c r="AP37" s="44">
        <v>3.91</v>
      </c>
      <c r="AQ37" s="44">
        <v>258.23</v>
      </c>
      <c r="AR37" s="44">
        <v>33.85</v>
      </c>
      <c r="AS37" s="44" t="s">
        <v>4</v>
      </c>
      <c r="AT37" s="44">
        <v>8</v>
      </c>
      <c r="AU37" s="44">
        <v>4781.66</v>
      </c>
      <c r="AV37" s="44" t="s">
        <v>4</v>
      </c>
      <c r="AW37" s="44" t="s">
        <v>4</v>
      </c>
      <c r="AX37" s="44">
        <v>2062.52</v>
      </c>
      <c r="AY37" s="44" t="s">
        <v>4</v>
      </c>
      <c r="AZ37" s="44" t="s">
        <v>4</v>
      </c>
      <c r="BA37" s="44" t="s">
        <v>4</v>
      </c>
      <c r="BB37" s="44" t="s">
        <v>4</v>
      </c>
      <c r="BC37" s="44" t="s">
        <v>4</v>
      </c>
      <c r="BD37" s="44">
        <v>2</v>
      </c>
      <c r="BE37" s="44" t="s">
        <v>4</v>
      </c>
      <c r="BF37" s="44" t="s">
        <v>4</v>
      </c>
      <c r="BG37" s="44" t="s">
        <v>4</v>
      </c>
      <c r="BH37" s="44" t="s">
        <v>4</v>
      </c>
      <c r="BI37" s="44" t="s">
        <v>4</v>
      </c>
      <c r="BJ37" s="44" t="s">
        <v>4</v>
      </c>
      <c r="BK37" s="44" t="s">
        <v>4</v>
      </c>
      <c r="BL37" s="44" t="s">
        <v>4</v>
      </c>
      <c r="BM37" s="44" t="s">
        <v>4</v>
      </c>
      <c r="BN37" s="44" t="s">
        <v>4</v>
      </c>
      <c r="BO37" s="44">
        <v>42.51</v>
      </c>
      <c r="BP37" s="44" t="s">
        <v>4</v>
      </c>
      <c r="BQ37" s="44">
        <v>20.68</v>
      </c>
      <c r="BR37" s="44" t="s">
        <v>4</v>
      </c>
      <c r="BS37" s="44" t="s">
        <v>4</v>
      </c>
      <c r="BT37" s="44" t="s">
        <v>4</v>
      </c>
      <c r="BU37" s="44" t="s">
        <v>4</v>
      </c>
      <c r="BV37" s="44" t="s">
        <v>4</v>
      </c>
      <c r="BW37" s="44" t="s">
        <v>4</v>
      </c>
      <c r="BX37" s="44" t="s">
        <v>4</v>
      </c>
      <c r="BY37" s="44" t="s">
        <v>4</v>
      </c>
      <c r="BZ37" s="44" t="s">
        <v>4</v>
      </c>
      <c r="CA37" s="44" t="s">
        <v>4</v>
      </c>
      <c r="CB37" s="44">
        <v>13.000000000000002</v>
      </c>
      <c r="CC37" s="44" t="s">
        <v>4</v>
      </c>
      <c r="CD37" s="44" t="s">
        <v>4</v>
      </c>
      <c r="CE37" s="44" t="s">
        <v>4</v>
      </c>
      <c r="CF37" s="44" t="s">
        <v>4</v>
      </c>
      <c r="CG37" s="44" t="s">
        <v>4</v>
      </c>
      <c r="CH37" s="44">
        <v>1</v>
      </c>
      <c r="CI37" s="44">
        <v>5</v>
      </c>
      <c r="CJ37" s="44">
        <v>322</v>
      </c>
      <c r="CK37" s="44" t="s">
        <v>348</v>
      </c>
      <c r="CL37">
        <f t="shared" si="0"/>
        <v>1.24</v>
      </c>
      <c r="CM37">
        <f t="shared" si="1"/>
        <v>9544.66</v>
      </c>
      <c r="CN37" s="44" t="s">
        <v>289</v>
      </c>
      <c r="CO37" s="44" t="s">
        <v>289</v>
      </c>
    </row>
    <row r="38" spans="1:93" s="121" customFormat="1" x14ac:dyDescent="0.25">
      <c r="A38" s="50">
        <v>44588</v>
      </c>
      <c r="B38" s="51" t="s">
        <v>746</v>
      </c>
      <c r="C38" s="51" t="s">
        <v>203</v>
      </c>
      <c r="D38" s="121">
        <v>44588</v>
      </c>
      <c r="E38" s="121" t="s">
        <v>4</v>
      </c>
      <c r="F38" s="121" t="s">
        <v>4</v>
      </c>
      <c r="G38" s="121" t="s">
        <v>4</v>
      </c>
      <c r="H38" s="121" t="s">
        <v>4</v>
      </c>
      <c r="I38" s="121" t="s">
        <v>4</v>
      </c>
      <c r="J38" s="121" t="s">
        <v>4</v>
      </c>
      <c r="K38" s="121">
        <v>0.36</v>
      </c>
      <c r="L38" s="121" t="s">
        <v>4</v>
      </c>
      <c r="M38" s="121">
        <v>10.89</v>
      </c>
      <c r="N38" s="121" t="s">
        <v>4</v>
      </c>
      <c r="O38" s="121">
        <v>7.31</v>
      </c>
      <c r="P38" s="121">
        <v>0.68</v>
      </c>
      <c r="Q38" s="121" t="s">
        <v>4</v>
      </c>
      <c r="R38" s="121" t="s">
        <v>4</v>
      </c>
      <c r="S38" s="121" t="s">
        <v>4</v>
      </c>
      <c r="T38" s="121">
        <v>0.89</v>
      </c>
      <c r="U38" s="121" t="s">
        <v>4</v>
      </c>
      <c r="V38" s="121" t="s">
        <v>4</v>
      </c>
      <c r="W38" s="121" t="s">
        <v>4</v>
      </c>
      <c r="X38" s="121" t="s">
        <v>4</v>
      </c>
      <c r="Y38" s="121" t="s">
        <v>4</v>
      </c>
      <c r="Z38" s="121">
        <v>5.38</v>
      </c>
      <c r="AA38" s="121">
        <v>0.66999999999999993</v>
      </c>
      <c r="AB38" s="121" t="s">
        <v>4</v>
      </c>
      <c r="AC38" s="121">
        <v>34.5</v>
      </c>
      <c r="AD38" s="121" t="s">
        <v>4</v>
      </c>
      <c r="AE38" s="121" t="s">
        <v>4</v>
      </c>
      <c r="AF38" s="121" t="s">
        <v>4</v>
      </c>
      <c r="AG38" s="121" t="s">
        <v>4</v>
      </c>
      <c r="AH38" s="121" t="s">
        <v>4</v>
      </c>
      <c r="AI38" s="121" t="s">
        <v>4</v>
      </c>
      <c r="AJ38" s="121">
        <v>19.829999999999998</v>
      </c>
      <c r="AK38" s="121" t="s">
        <v>4</v>
      </c>
      <c r="AL38" s="121">
        <v>4.3899999999999997</v>
      </c>
      <c r="AM38" s="121" t="s">
        <v>4</v>
      </c>
      <c r="AN38" s="121">
        <v>0.55000000000000004</v>
      </c>
      <c r="AO38" s="121" t="s">
        <v>4</v>
      </c>
      <c r="AP38" s="121" t="s">
        <v>4</v>
      </c>
      <c r="AQ38" s="121" t="s">
        <v>4</v>
      </c>
      <c r="AR38" s="121">
        <v>1.23</v>
      </c>
      <c r="AS38" s="121" t="s">
        <v>4</v>
      </c>
      <c r="AT38" s="121" t="s">
        <v>4</v>
      </c>
      <c r="AU38" s="121" t="s">
        <v>4</v>
      </c>
      <c r="AV38" s="121" t="s">
        <v>4</v>
      </c>
      <c r="AW38" s="121" t="s">
        <v>4</v>
      </c>
      <c r="AX38" s="121">
        <v>5.47</v>
      </c>
      <c r="AY38" s="121" t="s">
        <v>4</v>
      </c>
      <c r="AZ38" s="121" t="s">
        <v>4</v>
      </c>
      <c r="BA38" s="121" t="s">
        <v>4</v>
      </c>
      <c r="BB38" s="121" t="s">
        <v>4</v>
      </c>
      <c r="BC38" s="121" t="s">
        <v>4</v>
      </c>
      <c r="BD38" s="121">
        <v>3.11</v>
      </c>
      <c r="BE38" s="121" t="s">
        <v>4</v>
      </c>
      <c r="BF38" s="121" t="s">
        <v>4</v>
      </c>
      <c r="BG38" s="121" t="s">
        <v>4</v>
      </c>
      <c r="BH38" s="121" t="s">
        <v>4</v>
      </c>
      <c r="BI38" s="121" t="s">
        <v>4</v>
      </c>
      <c r="BJ38" s="121" t="s">
        <v>4</v>
      </c>
      <c r="BK38" s="121" t="s">
        <v>4</v>
      </c>
      <c r="BL38" s="121" t="s">
        <v>4</v>
      </c>
      <c r="BM38" s="121" t="s">
        <v>4</v>
      </c>
      <c r="BN38" s="121" t="s">
        <v>4</v>
      </c>
      <c r="BO38" s="121">
        <v>3.52</v>
      </c>
      <c r="BP38" s="121" t="s">
        <v>4</v>
      </c>
      <c r="BQ38" s="121" t="s">
        <v>4</v>
      </c>
      <c r="BR38" s="121" t="s">
        <v>4</v>
      </c>
      <c r="BS38" s="121" t="s">
        <v>4</v>
      </c>
      <c r="BT38" s="121" t="s">
        <v>4</v>
      </c>
      <c r="BU38" s="121" t="s">
        <v>4</v>
      </c>
      <c r="BV38" s="121" t="s">
        <v>4</v>
      </c>
      <c r="BW38" s="121" t="s">
        <v>4</v>
      </c>
      <c r="BX38" s="121" t="s">
        <v>4</v>
      </c>
      <c r="BY38" s="121" t="s">
        <v>4</v>
      </c>
      <c r="BZ38" s="121" t="s">
        <v>4</v>
      </c>
      <c r="CA38" s="121" t="s">
        <v>4</v>
      </c>
      <c r="CB38" s="121">
        <v>2.0600000000000005</v>
      </c>
      <c r="CC38" s="121" t="s">
        <v>4</v>
      </c>
      <c r="CD38" s="121" t="s">
        <v>4</v>
      </c>
      <c r="CE38" s="121" t="s">
        <v>4</v>
      </c>
      <c r="CF38" s="121" t="s">
        <v>4</v>
      </c>
      <c r="CG38" s="121" t="s">
        <v>4</v>
      </c>
      <c r="CH38" s="121">
        <v>1</v>
      </c>
      <c r="CI38" s="121">
        <v>5</v>
      </c>
      <c r="CJ38" s="121">
        <v>322</v>
      </c>
      <c r="CK38" s="121" t="s">
        <v>348</v>
      </c>
      <c r="CL38">
        <f t="shared" si="0"/>
        <v>0.36</v>
      </c>
      <c r="CM38">
        <f t="shared" si="1"/>
        <v>34.5</v>
      </c>
      <c r="CN38" s="121" t="s">
        <v>290</v>
      </c>
      <c r="CO38" s="121" t="s">
        <v>290</v>
      </c>
    </row>
    <row r="39" spans="1:93" s="1" customFormat="1" x14ac:dyDescent="0.25">
      <c r="A39" s="50">
        <v>44588</v>
      </c>
      <c r="B39" s="51" t="s">
        <v>747</v>
      </c>
      <c r="C39" s="51" t="s">
        <v>202</v>
      </c>
      <c r="D39" s="1">
        <v>44588</v>
      </c>
      <c r="E39" s="1">
        <v>6.66</v>
      </c>
      <c r="F39" s="1">
        <v>1.64</v>
      </c>
      <c r="G39" s="1" t="s">
        <v>4</v>
      </c>
      <c r="H39" s="1">
        <v>7.8</v>
      </c>
      <c r="I39" s="1">
        <v>14.68</v>
      </c>
      <c r="J39" s="1">
        <v>18.489999999999998</v>
      </c>
      <c r="K39" s="1">
        <v>2.2799999999999998</v>
      </c>
      <c r="L39" s="1">
        <v>14.06</v>
      </c>
      <c r="M39" s="1">
        <v>99.32</v>
      </c>
      <c r="N39" s="1">
        <v>52.949999999999996</v>
      </c>
      <c r="O39" s="1">
        <v>490.85</v>
      </c>
      <c r="P39" s="1">
        <v>92.02</v>
      </c>
      <c r="Q39" s="1" t="s">
        <v>4</v>
      </c>
      <c r="R39" s="1" t="s">
        <v>4</v>
      </c>
      <c r="S39" s="1">
        <v>20.07</v>
      </c>
      <c r="T39" s="1">
        <v>1.68</v>
      </c>
      <c r="U39" s="1" t="s">
        <v>4</v>
      </c>
      <c r="V39" s="1">
        <v>212.87</v>
      </c>
      <c r="W39" s="1" t="s">
        <v>4</v>
      </c>
      <c r="X39" s="1" t="s">
        <v>4</v>
      </c>
      <c r="Y39" s="1" t="s">
        <v>4</v>
      </c>
      <c r="Z39" s="1">
        <v>9.3000000000000007</v>
      </c>
      <c r="AA39" s="1">
        <v>138.38</v>
      </c>
      <c r="AB39" s="1" t="s">
        <v>4</v>
      </c>
      <c r="AC39" s="1">
        <v>600.87</v>
      </c>
      <c r="AD39" s="1">
        <v>3.44</v>
      </c>
      <c r="AE39" s="1" t="s">
        <v>4</v>
      </c>
      <c r="AF39" s="1" t="s">
        <v>4</v>
      </c>
      <c r="AG39" s="1" t="s">
        <v>4</v>
      </c>
      <c r="AH39" s="1" t="s">
        <v>4</v>
      </c>
      <c r="AI39" s="1">
        <v>0.28999999999999998</v>
      </c>
      <c r="AJ39" s="1">
        <v>1927.36</v>
      </c>
      <c r="AK39" s="1" t="s">
        <v>4</v>
      </c>
      <c r="AL39" s="1">
        <v>71.06</v>
      </c>
      <c r="AM39" s="1" t="s">
        <v>4</v>
      </c>
      <c r="AN39" s="1">
        <v>6.83</v>
      </c>
      <c r="AO39" s="1" t="s">
        <v>4</v>
      </c>
      <c r="AP39" s="1" t="s">
        <v>4</v>
      </c>
      <c r="AQ39" s="1">
        <v>511.53</v>
      </c>
      <c r="AR39" s="1">
        <v>7.03</v>
      </c>
      <c r="AS39" s="1" t="s">
        <v>4</v>
      </c>
      <c r="AT39" s="1" t="s">
        <v>4</v>
      </c>
      <c r="AU39" s="1">
        <v>267.87</v>
      </c>
      <c r="AV39" s="1" t="s">
        <v>4</v>
      </c>
      <c r="AW39" s="1">
        <v>0.86</v>
      </c>
      <c r="AX39" s="1">
        <v>41.17</v>
      </c>
      <c r="AY39" s="1" t="s">
        <v>4</v>
      </c>
      <c r="AZ39" s="1" t="s">
        <v>4</v>
      </c>
      <c r="BA39" s="1" t="s">
        <v>4</v>
      </c>
      <c r="BB39" s="1" t="s">
        <v>4</v>
      </c>
      <c r="BC39" s="1" t="s">
        <v>4</v>
      </c>
      <c r="BD39" s="1">
        <v>2.61</v>
      </c>
      <c r="BE39" s="1" t="s">
        <v>4</v>
      </c>
      <c r="BF39" s="1">
        <v>3.53</v>
      </c>
      <c r="BG39" s="1" t="s">
        <v>4</v>
      </c>
      <c r="BH39" s="1" t="s">
        <v>4</v>
      </c>
      <c r="BI39" s="1" t="s">
        <v>4</v>
      </c>
      <c r="BJ39" s="1" t="s">
        <v>4</v>
      </c>
      <c r="BK39" s="1" t="s">
        <v>4</v>
      </c>
      <c r="BL39" s="1" t="s">
        <v>4</v>
      </c>
      <c r="BM39" s="1" t="s">
        <v>4</v>
      </c>
      <c r="BN39" s="1" t="s">
        <v>4</v>
      </c>
      <c r="BO39" s="1">
        <v>7.32</v>
      </c>
      <c r="BP39" s="1" t="s">
        <v>4</v>
      </c>
      <c r="BQ39" s="1">
        <v>0.51</v>
      </c>
      <c r="BR39" s="1" t="s">
        <v>4</v>
      </c>
      <c r="BS39" s="1" t="s">
        <v>4</v>
      </c>
      <c r="BT39" s="1">
        <v>0.73</v>
      </c>
      <c r="BU39" s="1" t="s">
        <v>4</v>
      </c>
      <c r="BV39" s="1">
        <v>1.1499999999999999</v>
      </c>
      <c r="BW39" s="1" t="s">
        <v>4</v>
      </c>
      <c r="BX39" s="1" t="s">
        <v>4</v>
      </c>
      <c r="BY39" s="1" t="s">
        <v>4</v>
      </c>
      <c r="BZ39" s="1" t="s">
        <v>4</v>
      </c>
      <c r="CA39" s="1" t="s">
        <v>4</v>
      </c>
      <c r="CB39" s="1">
        <v>6.33</v>
      </c>
      <c r="CC39" s="1" t="s">
        <v>4</v>
      </c>
      <c r="CD39" s="1" t="s">
        <v>4</v>
      </c>
      <c r="CE39" s="1" t="s">
        <v>4</v>
      </c>
      <c r="CF39" s="1" t="s">
        <v>4</v>
      </c>
      <c r="CG39" s="1" t="s">
        <v>4</v>
      </c>
      <c r="CH39" s="1">
        <v>1</v>
      </c>
      <c r="CI39" s="1">
        <v>6</v>
      </c>
      <c r="CJ39" s="1">
        <v>322</v>
      </c>
      <c r="CK39" s="1">
        <v>2</v>
      </c>
      <c r="CL39">
        <f t="shared" si="0"/>
        <v>0.28999999999999998</v>
      </c>
      <c r="CM39">
        <f t="shared" si="1"/>
        <v>1927.36</v>
      </c>
      <c r="CN39" s="1" t="s">
        <v>291</v>
      </c>
      <c r="CO39" s="1" t="s">
        <v>291</v>
      </c>
    </row>
    <row r="40" spans="1:93" s="1" customFormat="1" x14ac:dyDescent="0.25">
      <c r="A40" s="50">
        <v>44588</v>
      </c>
      <c r="B40" s="51" t="s">
        <v>748</v>
      </c>
      <c r="C40" s="51" t="s">
        <v>201</v>
      </c>
      <c r="D40" s="1">
        <v>44588</v>
      </c>
      <c r="E40" s="1" t="s">
        <v>4</v>
      </c>
      <c r="F40" s="1" t="s">
        <v>4</v>
      </c>
      <c r="G40" s="1" t="s">
        <v>4</v>
      </c>
      <c r="H40" s="1">
        <v>6.88</v>
      </c>
      <c r="I40" s="1">
        <v>18.579999999999998</v>
      </c>
      <c r="J40" s="1">
        <v>30</v>
      </c>
      <c r="K40" s="1">
        <v>1.5</v>
      </c>
      <c r="L40" s="1" t="s">
        <v>4</v>
      </c>
      <c r="M40" s="1">
        <v>111.21</v>
      </c>
      <c r="N40" s="1" t="s">
        <v>4</v>
      </c>
      <c r="O40" s="1">
        <v>661.81</v>
      </c>
      <c r="P40" s="1">
        <v>126.4</v>
      </c>
      <c r="Q40" s="1" t="s">
        <v>4</v>
      </c>
      <c r="R40" s="1" t="s">
        <v>4</v>
      </c>
      <c r="S40" s="1">
        <v>29.14</v>
      </c>
      <c r="T40" s="1">
        <v>0.85</v>
      </c>
      <c r="U40" s="1" t="s">
        <v>4</v>
      </c>
      <c r="V40" s="1">
        <v>290.63</v>
      </c>
      <c r="W40" s="1" t="s">
        <v>4</v>
      </c>
      <c r="X40" s="1" t="s">
        <v>4</v>
      </c>
      <c r="Y40" s="1" t="s">
        <v>4</v>
      </c>
      <c r="Z40" s="1">
        <v>9.0799999999999983</v>
      </c>
      <c r="AA40" s="1">
        <v>55.050000000000004</v>
      </c>
      <c r="AB40" s="1" t="s">
        <v>4</v>
      </c>
      <c r="AC40" s="1">
        <v>258.56</v>
      </c>
      <c r="AD40" s="1">
        <v>3.59</v>
      </c>
      <c r="AE40" s="1" t="s">
        <v>4</v>
      </c>
      <c r="AF40" s="1" t="s">
        <v>4</v>
      </c>
      <c r="AG40" s="1" t="s">
        <v>4</v>
      </c>
      <c r="AH40" s="1" t="s">
        <v>4</v>
      </c>
      <c r="AI40" s="1">
        <v>0.38</v>
      </c>
      <c r="AJ40" s="1">
        <v>1981.27</v>
      </c>
      <c r="AK40" s="1" t="s">
        <v>4</v>
      </c>
      <c r="AL40" s="1">
        <v>76.62</v>
      </c>
      <c r="AM40" s="1" t="s">
        <v>4</v>
      </c>
      <c r="AN40" s="1">
        <v>8.9</v>
      </c>
      <c r="AO40" s="1" t="s">
        <v>4</v>
      </c>
      <c r="AP40" s="1" t="s">
        <v>4</v>
      </c>
      <c r="AQ40" s="1">
        <v>677.86</v>
      </c>
      <c r="AR40" s="1">
        <v>7.11</v>
      </c>
      <c r="AS40" s="1" t="s">
        <v>4</v>
      </c>
      <c r="AT40" s="1" t="s">
        <v>4</v>
      </c>
      <c r="AU40" s="1">
        <v>124.38</v>
      </c>
      <c r="AV40" s="1" t="s">
        <v>4</v>
      </c>
      <c r="AW40" s="1" t="s">
        <v>4</v>
      </c>
      <c r="AX40" s="1">
        <v>26.45</v>
      </c>
      <c r="AY40" s="1" t="s">
        <v>4</v>
      </c>
      <c r="AZ40" s="1" t="s">
        <v>4</v>
      </c>
      <c r="BA40" s="1" t="s">
        <v>4</v>
      </c>
      <c r="BB40" s="1" t="s">
        <v>4</v>
      </c>
      <c r="BC40" s="1" t="s">
        <v>4</v>
      </c>
      <c r="BD40" s="1">
        <v>1.4</v>
      </c>
      <c r="BE40" s="1" t="s">
        <v>4</v>
      </c>
      <c r="BF40" s="1" t="s">
        <v>4</v>
      </c>
      <c r="BG40" s="1" t="s">
        <v>4</v>
      </c>
      <c r="BH40" s="1" t="s">
        <v>4</v>
      </c>
      <c r="BI40" s="1" t="s">
        <v>4</v>
      </c>
      <c r="BJ40" s="1" t="s">
        <v>4</v>
      </c>
      <c r="BK40" s="1" t="s">
        <v>4</v>
      </c>
      <c r="BL40" s="1" t="s">
        <v>4</v>
      </c>
      <c r="BM40" s="1" t="s">
        <v>4</v>
      </c>
      <c r="BN40" s="1" t="s">
        <v>4</v>
      </c>
      <c r="BO40" s="1">
        <v>7.68</v>
      </c>
      <c r="BP40" s="1" t="s">
        <v>4</v>
      </c>
      <c r="BQ40" s="1" t="s">
        <v>4</v>
      </c>
      <c r="BR40" s="1" t="s">
        <v>4</v>
      </c>
      <c r="BS40" s="1" t="s">
        <v>4</v>
      </c>
      <c r="BT40" s="1" t="s">
        <v>4</v>
      </c>
      <c r="BU40" s="1" t="s">
        <v>4</v>
      </c>
      <c r="BV40" s="1" t="s">
        <v>4</v>
      </c>
      <c r="BW40" s="1" t="s">
        <v>4</v>
      </c>
      <c r="BX40" s="1" t="s">
        <v>4</v>
      </c>
      <c r="BY40" s="1" t="s">
        <v>4</v>
      </c>
      <c r="BZ40" s="1" t="s">
        <v>4</v>
      </c>
      <c r="CA40" s="1">
        <v>8.7200000000000006</v>
      </c>
      <c r="CB40" s="1">
        <v>4.7699999999999996</v>
      </c>
      <c r="CC40" s="1" t="s">
        <v>4</v>
      </c>
      <c r="CD40" s="1" t="s">
        <v>4</v>
      </c>
      <c r="CE40" s="1" t="s">
        <v>4</v>
      </c>
      <c r="CF40" s="1" t="s">
        <v>4</v>
      </c>
      <c r="CG40" s="1" t="s">
        <v>4</v>
      </c>
      <c r="CH40" s="1">
        <v>1</v>
      </c>
      <c r="CI40" s="1">
        <v>6</v>
      </c>
      <c r="CJ40" s="1">
        <v>322</v>
      </c>
      <c r="CK40" s="1" t="s">
        <v>348</v>
      </c>
      <c r="CL40">
        <f t="shared" si="0"/>
        <v>0.38</v>
      </c>
      <c r="CM40">
        <f t="shared" si="1"/>
        <v>1981.27</v>
      </c>
      <c r="CN40" s="1" t="s">
        <v>293</v>
      </c>
      <c r="CO40" s="1" t="s">
        <v>293</v>
      </c>
    </row>
    <row r="41" spans="1:93" s="1" customFormat="1" ht="14.4" thickBot="1" x14ac:dyDescent="0.3">
      <c r="A41" s="50">
        <v>44588</v>
      </c>
      <c r="B41" s="51" t="s">
        <v>749</v>
      </c>
      <c r="C41" s="51" t="s">
        <v>200</v>
      </c>
      <c r="D41" s="1">
        <v>44588</v>
      </c>
      <c r="E41" s="1" t="s">
        <v>4</v>
      </c>
      <c r="F41" s="1" t="s">
        <v>4</v>
      </c>
      <c r="G41" s="1" t="s">
        <v>4</v>
      </c>
      <c r="H41" s="1">
        <v>6.58</v>
      </c>
      <c r="I41" s="1">
        <v>20.68</v>
      </c>
      <c r="J41" s="1">
        <v>23.8</v>
      </c>
      <c r="K41" s="1">
        <v>5.04</v>
      </c>
      <c r="L41" s="1" t="s">
        <v>4</v>
      </c>
      <c r="M41" s="1">
        <v>107.5</v>
      </c>
      <c r="N41" s="1" t="s">
        <v>4</v>
      </c>
      <c r="O41" s="1">
        <v>328.71</v>
      </c>
      <c r="P41" s="1">
        <v>73.78</v>
      </c>
      <c r="Q41" s="1" t="s">
        <v>4</v>
      </c>
      <c r="R41" s="1" t="s">
        <v>4</v>
      </c>
      <c r="S41" s="1">
        <v>20.149999999999999</v>
      </c>
      <c r="T41" s="1">
        <v>1.26</v>
      </c>
      <c r="U41" s="1" t="s">
        <v>4</v>
      </c>
      <c r="V41" s="1">
        <v>378.66</v>
      </c>
      <c r="W41" s="1" t="s">
        <v>4</v>
      </c>
      <c r="X41" s="1" t="s">
        <v>4</v>
      </c>
      <c r="Y41" s="1" t="s">
        <v>4</v>
      </c>
      <c r="Z41" s="1">
        <v>7.61</v>
      </c>
      <c r="AA41" s="1">
        <v>907.04</v>
      </c>
      <c r="AB41" s="1" t="s">
        <v>4</v>
      </c>
      <c r="AC41" s="1">
        <v>433.69</v>
      </c>
      <c r="AD41" s="1">
        <v>13.44</v>
      </c>
      <c r="AE41" s="1" t="s">
        <v>4</v>
      </c>
      <c r="AF41" s="1" t="s">
        <v>4</v>
      </c>
      <c r="AG41" s="1">
        <v>6.64</v>
      </c>
      <c r="AH41" s="1" t="s">
        <v>4</v>
      </c>
      <c r="AI41" s="1" t="s">
        <v>4</v>
      </c>
      <c r="AJ41" s="1">
        <v>3028.99</v>
      </c>
      <c r="AK41" s="1" t="s">
        <v>4</v>
      </c>
      <c r="AL41" s="1">
        <v>36.11</v>
      </c>
      <c r="AM41" s="1" t="s">
        <v>4</v>
      </c>
      <c r="AN41" s="1">
        <v>13.36</v>
      </c>
      <c r="AO41" s="1" t="s">
        <v>4</v>
      </c>
      <c r="AP41" s="1" t="s">
        <v>4</v>
      </c>
      <c r="AQ41" s="1">
        <v>546.09</v>
      </c>
      <c r="AR41" s="1">
        <v>33.379999999999995</v>
      </c>
      <c r="AS41" s="1" t="s">
        <v>4</v>
      </c>
      <c r="AT41" s="1" t="s">
        <v>4</v>
      </c>
      <c r="AU41" s="1">
        <v>1558.16</v>
      </c>
      <c r="AV41" s="1" t="s">
        <v>4</v>
      </c>
      <c r="AW41" s="1">
        <v>4.21</v>
      </c>
      <c r="AX41" s="1">
        <v>509.42</v>
      </c>
      <c r="AY41" s="1" t="s">
        <v>4</v>
      </c>
      <c r="AZ41" s="1" t="s">
        <v>4</v>
      </c>
      <c r="BA41" s="1" t="s">
        <v>4</v>
      </c>
      <c r="BB41" s="1" t="s">
        <v>4</v>
      </c>
      <c r="BC41" s="1" t="s">
        <v>4</v>
      </c>
      <c r="BD41" s="1">
        <v>7.5</v>
      </c>
      <c r="BE41" s="1" t="s">
        <v>4</v>
      </c>
      <c r="BF41" s="1" t="s">
        <v>4</v>
      </c>
      <c r="BG41" s="1" t="s">
        <v>4</v>
      </c>
      <c r="BH41" s="1" t="s">
        <v>4</v>
      </c>
      <c r="BI41" s="1" t="s">
        <v>4</v>
      </c>
      <c r="BJ41" s="1">
        <v>139.66</v>
      </c>
      <c r="BK41" s="1" t="s">
        <v>4</v>
      </c>
      <c r="BL41" s="1" t="s">
        <v>4</v>
      </c>
      <c r="BM41" s="1" t="s">
        <v>4</v>
      </c>
      <c r="BN41" s="1" t="s">
        <v>4</v>
      </c>
      <c r="BO41" s="1">
        <v>34.33</v>
      </c>
      <c r="BP41" s="1" t="s">
        <v>4</v>
      </c>
      <c r="BQ41" s="135">
        <v>5.82</v>
      </c>
      <c r="BR41" s="135" t="s">
        <v>4</v>
      </c>
      <c r="BS41" s="135" t="s">
        <v>4</v>
      </c>
      <c r="BT41" s="135" t="s">
        <v>4</v>
      </c>
      <c r="BU41" s="135" t="s">
        <v>4</v>
      </c>
      <c r="BV41" s="135" t="s">
        <v>4</v>
      </c>
      <c r="BW41" s="135" t="s">
        <v>4</v>
      </c>
      <c r="BX41" s="135" t="s">
        <v>4</v>
      </c>
      <c r="BY41" s="135" t="s">
        <v>4</v>
      </c>
      <c r="BZ41" s="135" t="s">
        <v>4</v>
      </c>
      <c r="CA41" s="135">
        <v>10.97</v>
      </c>
      <c r="CB41" s="135">
        <v>8.2799999999999994</v>
      </c>
      <c r="CC41" s="135" t="s">
        <v>4</v>
      </c>
      <c r="CD41" s="135" t="s">
        <v>4</v>
      </c>
      <c r="CE41" s="1" t="s">
        <v>4</v>
      </c>
      <c r="CF41" s="1" t="s">
        <v>4</v>
      </c>
      <c r="CG41" s="1" t="s">
        <v>4</v>
      </c>
      <c r="CH41" s="1">
        <v>1</v>
      </c>
      <c r="CI41" s="1">
        <v>7</v>
      </c>
      <c r="CJ41" s="1">
        <v>322</v>
      </c>
      <c r="CK41" s="1" t="s">
        <v>348</v>
      </c>
      <c r="CL41">
        <f t="shared" si="0"/>
        <v>1.26</v>
      </c>
      <c r="CM41">
        <f t="shared" si="1"/>
        <v>3028.99</v>
      </c>
      <c r="CN41" s="1" t="s">
        <v>294</v>
      </c>
      <c r="CO41" s="1" t="s">
        <v>294</v>
      </c>
    </row>
    <row r="42" spans="1:93" x14ac:dyDescent="0.25">
      <c r="A42" s="50">
        <v>44595.583333333336</v>
      </c>
      <c r="B42" s="51" t="s">
        <v>750</v>
      </c>
      <c r="C42" s="51" t="s">
        <v>333</v>
      </c>
      <c r="D42">
        <v>44595.583333333336</v>
      </c>
      <c r="E42">
        <v>1211.56</v>
      </c>
      <c r="F42">
        <v>3.69</v>
      </c>
      <c r="G42">
        <v>0.79</v>
      </c>
      <c r="H42">
        <v>3.57</v>
      </c>
      <c r="I42" t="s">
        <v>4</v>
      </c>
      <c r="J42" t="s">
        <v>4</v>
      </c>
      <c r="K42">
        <v>7.68</v>
      </c>
      <c r="L42">
        <v>284.19</v>
      </c>
      <c r="M42">
        <v>44.79</v>
      </c>
      <c r="N42">
        <v>18979.27</v>
      </c>
      <c r="O42">
        <v>322.55</v>
      </c>
      <c r="P42">
        <v>31.2</v>
      </c>
      <c r="Q42">
        <v>19.86</v>
      </c>
      <c r="R42">
        <v>46.34</v>
      </c>
      <c r="S42">
        <v>991.19</v>
      </c>
      <c r="T42">
        <v>11.12</v>
      </c>
      <c r="U42">
        <v>1.1599999999999999</v>
      </c>
      <c r="V42">
        <v>52.52</v>
      </c>
      <c r="W42" t="s">
        <v>4</v>
      </c>
      <c r="X42" t="s">
        <v>4</v>
      </c>
      <c r="Y42">
        <v>239.97</v>
      </c>
      <c r="Z42">
        <v>6.0900000000000007</v>
      </c>
      <c r="AA42">
        <v>5.71</v>
      </c>
      <c r="AB42">
        <v>7.45</v>
      </c>
      <c r="AC42">
        <v>426.45</v>
      </c>
      <c r="AD42">
        <v>28.98</v>
      </c>
      <c r="AE42">
        <v>15.27</v>
      </c>
      <c r="AF42" t="s">
        <v>4</v>
      </c>
      <c r="AG42">
        <v>1.62</v>
      </c>
      <c r="AH42">
        <v>12.09</v>
      </c>
      <c r="AI42">
        <v>0.47</v>
      </c>
      <c r="AJ42">
        <v>180.68</v>
      </c>
      <c r="AK42">
        <v>1.23</v>
      </c>
      <c r="AL42">
        <v>156.07</v>
      </c>
      <c r="AM42" t="s">
        <v>4</v>
      </c>
      <c r="AN42">
        <v>21.32</v>
      </c>
      <c r="AO42" t="s">
        <v>4</v>
      </c>
      <c r="AP42" t="s">
        <v>4</v>
      </c>
      <c r="AQ42">
        <v>123.99</v>
      </c>
      <c r="AR42">
        <v>456.65</v>
      </c>
      <c r="AS42">
        <v>19.53</v>
      </c>
      <c r="AT42">
        <v>7.21</v>
      </c>
      <c r="AU42">
        <v>12.72</v>
      </c>
      <c r="AV42" t="s">
        <v>4</v>
      </c>
      <c r="AW42">
        <v>66.34</v>
      </c>
      <c r="AX42" t="s">
        <v>4</v>
      </c>
      <c r="AY42" t="s">
        <v>4</v>
      </c>
      <c r="AZ42" t="s">
        <v>4</v>
      </c>
      <c r="BA42" t="s">
        <v>4</v>
      </c>
      <c r="BB42">
        <v>43.91</v>
      </c>
      <c r="BC42" t="s">
        <v>4</v>
      </c>
      <c r="BD42">
        <v>31.87</v>
      </c>
      <c r="BE42" t="s">
        <v>4</v>
      </c>
      <c r="BF42">
        <v>4.68</v>
      </c>
      <c r="BG42">
        <v>12.81</v>
      </c>
      <c r="BH42" t="s">
        <v>4</v>
      </c>
      <c r="BI42" t="s">
        <v>4</v>
      </c>
      <c r="BJ42">
        <v>16</v>
      </c>
      <c r="BK42" t="s">
        <v>4</v>
      </c>
      <c r="BL42">
        <v>70.77</v>
      </c>
      <c r="BM42">
        <v>69.06</v>
      </c>
      <c r="BN42" t="s">
        <v>4</v>
      </c>
      <c r="BO42">
        <v>12.07</v>
      </c>
      <c r="BP42" t="s">
        <v>4</v>
      </c>
      <c r="BQ42">
        <v>21.47</v>
      </c>
      <c r="BR42">
        <v>0.84</v>
      </c>
      <c r="BS42">
        <v>23.21</v>
      </c>
      <c r="BT42" t="s">
        <v>4</v>
      </c>
      <c r="BU42" t="s">
        <v>4</v>
      </c>
      <c r="BV42">
        <v>3.25</v>
      </c>
      <c r="BW42" t="s">
        <v>4</v>
      </c>
      <c r="BX42">
        <v>10.51</v>
      </c>
      <c r="BY42">
        <v>2419.17</v>
      </c>
      <c r="BZ42">
        <v>398.07</v>
      </c>
      <c r="CA42" t="s">
        <v>4</v>
      </c>
      <c r="CB42">
        <v>11.13</v>
      </c>
      <c r="CC42" t="s">
        <v>4</v>
      </c>
      <c r="CD42" t="s">
        <v>4</v>
      </c>
      <c r="CE42" t="s">
        <v>4</v>
      </c>
      <c r="CF42">
        <v>10.61</v>
      </c>
      <c r="CG42" t="s">
        <v>4</v>
      </c>
      <c r="CH42">
        <v>3</v>
      </c>
      <c r="CI42">
        <v>8</v>
      </c>
      <c r="CJ42">
        <v>4</v>
      </c>
      <c r="CK42">
        <v>3</v>
      </c>
      <c r="CL42">
        <f t="shared" si="0"/>
        <v>0.47</v>
      </c>
      <c r="CM42">
        <f t="shared" si="1"/>
        <v>18979.27</v>
      </c>
      <c r="CN42" t="s">
        <v>296</v>
      </c>
      <c r="CO42" t="s">
        <v>296</v>
      </c>
    </row>
    <row r="43" spans="1:93" x14ac:dyDescent="0.25">
      <c r="A43" s="50">
        <v>44584.486111111109</v>
      </c>
      <c r="B43" s="51" t="s">
        <v>751</v>
      </c>
      <c r="C43" s="51" t="s">
        <v>204</v>
      </c>
      <c r="D43" s="55">
        <v>44584.486111111109</v>
      </c>
      <c r="E43" s="55" t="s">
        <v>4</v>
      </c>
      <c r="F43" s="55" t="s">
        <v>4</v>
      </c>
      <c r="G43" s="55" t="s">
        <v>4</v>
      </c>
      <c r="H43" s="55" t="s">
        <v>4</v>
      </c>
      <c r="I43" s="55" t="s">
        <v>4</v>
      </c>
      <c r="J43" s="55" t="s">
        <v>4</v>
      </c>
      <c r="K43" s="55">
        <v>1.04</v>
      </c>
      <c r="L43" s="55" t="s">
        <v>4</v>
      </c>
      <c r="M43" s="55" t="s">
        <v>4</v>
      </c>
      <c r="N43" s="55">
        <v>121.67000000000002</v>
      </c>
      <c r="O43" s="55">
        <v>5.91</v>
      </c>
      <c r="P43" s="55">
        <v>0.51</v>
      </c>
      <c r="Q43" s="55" t="s">
        <v>4</v>
      </c>
      <c r="R43" s="55" t="s">
        <v>4</v>
      </c>
      <c r="S43" s="55" t="s">
        <v>4</v>
      </c>
      <c r="T43" s="55">
        <v>0.69</v>
      </c>
      <c r="U43" s="55" t="s">
        <v>4</v>
      </c>
      <c r="V43" s="55" t="s">
        <v>4</v>
      </c>
      <c r="W43" s="55" t="s">
        <v>4</v>
      </c>
      <c r="X43" s="55">
        <v>0.37</v>
      </c>
      <c r="Y43" s="55" t="s">
        <v>4</v>
      </c>
      <c r="Z43" s="55">
        <v>1.6900000000000004</v>
      </c>
      <c r="AA43" s="55">
        <v>0.17000000000000004</v>
      </c>
      <c r="AB43" s="55" t="s">
        <v>4</v>
      </c>
      <c r="AC43" s="55">
        <v>17.87</v>
      </c>
      <c r="AD43" s="55" t="s">
        <v>4</v>
      </c>
      <c r="AE43" s="55" t="s">
        <v>4</v>
      </c>
      <c r="AF43" s="55" t="s">
        <v>4</v>
      </c>
      <c r="AG43" s="55">
        <v>1.76</v>
      </c>
      <c r="AH43" s="55" t="s">
        <v>4</v>
      </c>
      <c r="AI43" s="55" t="s">
        <v>4</v>
      </c>
      <c r="AJ43" s="55">
        <v>4.78</v>
      </c>
      <c r="AK43" s="55" t="s">
        <v>4</v>
      </c>
      <c r="AL43" s="55" t="s">
        <v>4</v>
      </c>
      <c r="AM43" s="55" t="s">
        <v>4</v>
      </c>
      <c r="AN43" s="55">
        <v>1.44</v>
      </c>
      <c r="AO43" s="55" t="s">
        <v>4</v>
      </c>
      <c r="AP43" s="55" t="s">
        <v>4</v>
      </c>
      <c r="AQ43" s="55">
        <v>2.12</v>
      </c>
      <c r="AR43" s="55">
        <v>6.66</v>
      </c>
      <c r="AS43" s="55" t="s">
        <v>4</v>
      </c>
      <c r="AT43" s="55" t="s">
        <v>4</v>
      </c>
      <c r="AU43" s="55" t="s">
        <v>4</v>
      </c>
      <c r="AV43" s="55" t="s">
        <v>4</v>
      </c>
      <c r="AW43" s="55" t="s">
        <v>4</v>
      </c>
      <c r="AX43" s="55">
        <v>0.98</v>
      </c>
      <c r="AY43" s="55" t="s">
        <v>4</v>
      </c>
      <c r="AZ43" s="55" t="s">
        <v>4</v>
      </c>
      <c r="BA43" s="55" t="s">
        <v>4</v>
      </c>
      <c r="BB43" s="55" t="s">
        <v>4</v>
      </c>
      <c r="BC43" s="55" t="s">
        <v>4</v>
      </c>
      <c r="BD43" s="55">
        <v>12.77</v>
      </c>
      <c r="BE43" s="55" t="s">
        <v>4</v>
      </c>
      <c r="BF43" s="55" t="s">
        <v>4</v>
      </c>
      <c r="BG43" s="55">
        <v>8.18</v>
      </c>
      <c r="BH43" s="55">
        <v>4.03</v>
      </c>
      <c r="BI43" s="55" t="s">
        <v>4</v>
      </c>
      <c r="BJ43" s="55" t="s">
        <v>4</v>
      </c>
      <c r="BK43" s="55">
        <v>2.16</v>
      </c>
      <c r="BL43" s="55" t="s">
        <v>4</v>
      </c>
      <c r="BM43" s="55" t="s">
        <v>4</v>
      </c>
      <c r="BN43" s="55" t="s">
        <v>4</v>
      </c>
      <c r="BO43" s="55">
        <v>4.67</v>
      </c>
      <c r="BP43" s="55" t="s">
        <v>4</v>
      </c>
      <c r="BQ43" s="55">
        <v>4.1500000000000004</v>
      </c>
      <c r="BR43" s="55" t="s">
        <v>4</v>
      </c>
      <c r="BS43" s="55" t="s">
        <v>4</v>
      </c>
      <c r="BT43" s="55" t="s">
        <v>4</v>
      </c>
      <c r="BU43" s="55" t="s">
        <v>4</v>
      </c>
      <c r="BV43" s="55" t="s">
        <v>4</v>
      </c>
      <c r="BW43" s="55" t="s">
        <v>4</v>
      </c>
      <c r="BX43" s="55" t="s">
        <v>4</v>
      </c>
      <c r="BY43" s="55" t="s">
        <v>4</v>
      </c>
      <c r="BZ43" s="55" t="s">
        <v>4</v>
      </c>
      <c r="CA43" s="55">
        <v>2.0099999999999998</v>
      </c>
      <c r="CB43" s="55">
        <v>1.4500000000000002</v>
      </c>
      <c r="CC43" s="55" t="s">
        <v>4</v>
      </c>
      <c r="CD43" s="55" t="s">
        <v>4</v>
      </c>
      <c r="CE43" s="55" t="s">
        <v>4</v>
      </c>
      <c r="CF43" s="55" t="s">
        <v>4</v>
      </c>
      <c r="CG43" s="55" t="s">
        <v>4</v>
      </c>
      <c r="CH43" s="55">
        <v>1</v>
      </c>
      <c r="CI43" s="55">
        <v>1</v>
      </c>
      <c r="CJ43">
        <v>111</v>
      </c>
      <c r="CK43" s="55">
        <v>2</v>
      </c>
      <c r="CL43">
        <f t="shared" si="0"/>
        <v>0.17000000000000004</v>
      </c>
      <c r="CM43">
        <f t="shared" si="1"/>
        <v>121.67000000000002</v>
      </c>
      <c r="CN43" s="30" t="s">
        <v>298</v>
      </c>
      <c r="CO43" t="s">
        <v>298</v>
      </c>
    </row>
    <row r="44" spans="1:93" x14ac:dyDescent="0.25">
      <c r="A44" s="50">
        <v>44584.472222222219</v>
      </c>
      <c r="B44" s="51" t="s">
        <v>752</v>
      </c>
      <c r="C44" s="51" t="s">
        <v>205</v>
      </c>
      <c r="D44" s="55">
        <v>44584.472222222219</v>
      </c>
      <c r="E44" s="55" t="s">
        <v>4</v>
      </c>
      <c r="F44" s="55" t="s">
        <v>4</v>
      </c>
      <c r="G44" s="55">
        <v>0.61</v>
      </c>
      <c r="H44" s="55">
        <v>1.88</v>
      </c>
      <c r="I44" s="55" t="s">
        <v>4</v>
      </c>
      <c r="J44" s="55" t="s">
        <v>4</v>
      </c>
      <c r="K44" s="55">
        <v>1.32</v>
      </c>
      <c r="L44" s="55" t="s">
        <v>4</v>
      </c>
      <c r="M44" s="55">
        <v>15.41</v>
      </c>
      <c r="N44" s="55">
        <v>89.09</v>
      </c>
      <c r="O44" s="55">
        <v>52.24</v>
      </c>
      <c r="P44" s="55" t="s">
        <v>4</v>
      </c>
      <c r="Q44" s="55" t="s">
        <v>4</v>
      </c>
      <c r="R44" s="55" t="s">
        <v>4</v>
      </c>
      <c r="S44" s="55" t="s">
        <v>4</v>
      </c>
      <c r="T44" s="55">
        <v>0.28000000000000003</v>
      </c>
      <c r="U44" s="55" t="s">
        <v>4</v>
      </c>
      <c r="V44" s="55" t="s">
        <v>4</v>
      </c>
      <c r="W44" s="55" t="s">
        <v>4</v>
      </c>
      <c r="X44" s="55">
        <v>0.26</v>
      </c>
      <c r="Y44" s="55" t="s">
        <v>4</v>
      </c>
      <c r="Z44" s="55">
        <v>2.4799999999999995</v>
      </c>
      <c r="AA44" s="55" t="s">
        <v>4</v>
      </c>
      <c r="AB44" s="55" t="s">
        <v>4</v>
      </c>
      <c r="AC44" s="55">
        <v>26.54</v>
      </c>
      <c r="AD44" s="55" t="s">
        <v>4</v>
      </c>
      <c r="AE44" s="55" t="s">
        <v>4</v>
      </c>
      <c r="AF44" s="55" t="s">
        <v>4</v>
      </c>
      <c r="AG44" s="55" t="s">
        <v>4</v>
      </c>
      <c r="AH44" s="55">
        <v>0.45</v>
      </c>
      <c r="AI44" s="55" t="s">
        <v>4</v>
      </c>
      <c r="AJ44" s="55">
        <v>6.19</v>
      </c>
      <c r="AK44" s="55" t="s">
        <v>4</v>
      </c>
      <c r="AL44" s="55">
        <v>5.48</v>
      </c>
      <c r="AM44" s="55" t="s">
        <v>4</v>
      </c>
      <c r="AN44" s="55">
        <v>1.4</v>
      </c>
      <c r="AO44" s="55" t="s">
        <v>4</v>
      </c>
      <c r="AP44" s="55" t="s">
        <v>4</v>
      </c>
      <c r="AQ44" s="55">
        <v>2.38</v>
      </c>
      <c r="AR44" s="55">
        <v>92.72</v>
      </c>
      <c r="AS44" s="55" t="s">
        <v>4</v>
      </c>
      <c r="AT44" s="55" t="s">
        <v>4</v>
      </c>
      <c r="AU44" s="55" t="s">
        <v>4</v>
      </c>
      <c r="AV44" s="55" t="s">
        <v>4</v>
      </c>
      <c r="AW44" s="55" t="s">
        <v>4</v>
      </c>
      <c r="AX44" s="55">
        <v>0.35</v>
      </c>
      <c r="AY44" s="55" t="s">
        <v>4</v>
      </c>
      <c r="AZ44" s="55" t="s">
        <v>4</v>
      </c>
      <c r="BA44" s="55" t="s">
        <v>4</v>
      </c>
      <c r="BB44" s="55" t="s">
        <v>4</v>
      </c>
      <c r="BC44" s="55" t="s">
        <v>4</v>
      </c>
      <c r="BD44" s="55">
        <v>4.8100000000000005</v>
      </c>
      <c r="BE44" s="55" t="s">
        <v>4</v>
      </c>
      <c r="BF44" s="55">
        <v>1.85</v>
      </c>
      <c r="BG44" s="55">
        <v>4</v>
      </c>
      <c r="BH44" s="55">
        <v>15.24</v>
      </c>
      <c r="BI44" s="55" t="s">
        <v>4</v>
      </c>
      <c r="BJ44" s="55" t="s">
        <v>4</v>
      </c>
      <c r="BK44" s="55" t="s">
        <v>4</v>
      </c>
      <c r="BL44" s="55" t="s">
        <v>4</v>
      </c>
      <c r="BM44" s="55" t="s">
        <v>4</v>
      </c>
      <c r="BN44" s="55" t="s">
        <v>4</v>
      </c>
      <c r="BO44" s="55">
        <v>9.2799999999999994</v>
      </c>
      <c r="BP44" s="55" t="s">
        <v>4</v>
      </c>
      <c r="BQ44" s="55">
        <v>79.150000000000006</v>
      </c>
      <c r="BR44" s="55" t="s">
        <v>4</v>
      </c>
      <c r="BS44" s="55" t="s">
        <v>4</v>
      </c>
      <c r="BT44" s="55" t="s">
        <v>4</v>
      </c>
      <c r="BU44" s="55" t="s">
        <v>4</v>
      </c>
      <c r="BV44" s="55" t="s">
        <v>4</v>
      </c>
      <c r="BW44" s="55" t="s">
        <v>4</v>
      </c>
      <c r="BX44" s="55" t="s">
        <v>4</v>
      </c>
      <c r="BY44" s="55" t="s">
        <v>4</v>
      </c>
      <c r="BZ44" s="55" t="s">
        <v>4</v>
      </c>
      <c r="CA44" s="55">
        <v>1.8399999999999999</v>
      </c>
      <c r="CB44" s="55">
        <v>0.89000000000000057</v>
      </c>
      <c r="CC44" s="55" t="s">
        <v>4</v>
      </c>
      <c r="CD44" s="55" t="s">
        <v>4</v>
      </c>
      <c r="CE44" s="55" t="s">
        <v>4</v>
      </c>
      <c r="CF44" s="55" t="s">
        <v>4</v>
      </c>
      <c r="CG44" s="55" t="s">
        <v>4</v>
      </c>
      <c r="CH44" s="55">
        <v>1</v>
      </c>
      <c r="CI44" s="55">
        <v>1</v>
      </c>
      <c r="CJ44">
        <v>11</v>
      </c>
      <c r="CK44" s="55">
        <v>2</v>
      </c>
      <c r="CL44">
        <f t="shared" si="0"/>
        <v>0.26</v>
      </c>
      <c r="CM44">
        <f t="shared" si="1"/>
        <v>92.72</v>
      </c>
      <c r="CN44" t="s">
        <v>299</v>
      </c>
      <c r="CO44" t="s">
        <v>299</v>
      </c>
    </row>
    <row r="45" spans="1:93" x14ac:dyDescent="0.25">
      <c r="A45" s="50">
        <v>44584.4375</v>
      </c>
      <c r="B45" s="51" t="s">
        <v>753</v>
      </c>
      <c r="C45" s="51" t="s">
        <v>206</v>
      </c>
      <c r="D45" s="55">
        <v>44584.4375</v>
      </c>
      <c r="E45" s="55" t="s">
        <v>4</v>
      </c>
      <c r="F45" s="55" t="s">
        <v>4</v>
      </c>
      <c r="G45" s="55" t="s">
        <v>4</v>
      </c>
      <c r="H45" s="55" t="s">
        <v>4</v>
      </c>
      <c r="I45" s="55" t="s">
        <v>4</v>
      </c>
      <c r="J45" s="55" t="s">
        <v>4</v>
      </c>
      <c r="K45" s="55" t="s">
        <v>4</v>
      </c>
      <c r="L45" s="55" t="s">
        <v>4</v>
      </c>
      <c r="M45" s="55" t="s">
        <v>4</v>
      </c>
      <c r="N45" s="55">
        <v>70.990000000000009</v>
      </c>
      <c r="O45" s="55">
        <v>3.31</v>
      </c>
      <c r="P45" s="55" t="s">
        <v>4</v>
      </c>
      <c r="Q45" s="55" t="s">
        <v>4</v>
      </c>
      <c r="R45" s="55" t="s">
        <v>4</v>
      </c>
      <c r="S45" s="55" t="s">
        <v>4</v>
      </c>
      <c r="T45" s="55">
        <v>0.34</v>
      </c>
      <c r="U45" s="55" t="s">
        <v>4</v>
      </c>
      <c r="V45" s="55" t="s">
        <v>4</v>
      </c>
      <c r="W45" s="55" t="s">
        <v>4</v>
      </c>
      <c r="X45" s="55" t="s">
        <v>4</v>
      </c>
      <c r="Y45" s="55" t="s">
        <v>4</v>
      </c>
      <c r="Z45" s="55" t="s">
        <v>4</v>
      </c>
      <c r="AA45" s="55" t="s">
        <v>4</v>
      </c>
      <c r="AB45" s="55" t="s">
        <v>4</v>
      </c>
      <c r="AC45" s="55">
        <v>123.87</v>
      </c>
      <c r="AD45" s="55" t="s">
        <v>4</v>
      </c>
      <c r="AE45" s="55" t="s">
        <v>4</v>
      </c>
      <c r="AF45" s="55" t="s">
        <v>4</v>
      </c>
      <c r="AG45" s="55" t="s">
        <v>4</v>
      </c>
      <c r="AH45" s="55" t="s">
        <v>4</v>
      </c>
      <c r="AI45" s="55" t="s">
        <v>4</v>
      </c>
      <c r="AJ45" s="55">
        <v>4.41</v>
      </c>
      <c r="AK45" s="55" t="s">
        <v>4</v>
      </c>
      <c r="AL45" s="55" t="s">
        <v>4</v>
      </c>
      <c r="AM45" s="55" t="s">
        <v>4</v>
      </c>
      <c r="AN45" s="55">
        <v>0.17000000000000004</v>
      </c>
      <c r="AO45" s="55" t="s">
        <v>4</v>
      </c>
      <c r="AP45" s="55" t="s">
        <v>4</v>
      </c>
      <c r="AQ45" s="55">
        <v>1.93</v>
      </c>
      <c r="AR45" s="55">
        <v>0.58000000000000007</v>
      </c>
      <c r="AS45" s="55" t="s">
        <v>4</v>
      </c>
      <c r="AT45" s="55" t="s">
        <v>4</v>
      </c>
      <c r="AU45" s="55" t="s">
        <v>4</v>
      </c>
      <c r="AV45" s="55" t="s">
        <v>4</v>
      </c>
      <c r="AW45" s="55" t="s">
        <v>4</v>
      </c>
      <c r="AX45" s="55">
        <v>0.25</v>
      </c>
      <c r="AY45" s="55" t="s">
        <v>4</v>
      </c>
      <c r="AZ45" s="55" t="s">
        <v>4</v>
      </c>
      <c r="BA45" s="55" t="s">
        <v>4</v>
      </c>
      <c r="BB45" s="55" t="s">
        <v>4</v>
      </c>
      <c r="BC45" s="55" t="s">
        <v>4</v>
      </c>
      <c r="BD45" s="55">
        <v>2.34</v>
      </c>
      <c r="BE45" s="55" t="s">
        <v>4</v>
      </c>
      <c r="BF45" s="55" t="s">
        <v>4</v>
      </c>
      <c r="BG45" s="55">
        <v>5.49</v>
      </c>
      <c r="BH45" s="55" t="s">
        <v>4</v>
      </c>
      <c r="BI45" s="55" t="s">
        <v>4</v>
      </c>
      <c r="BJ45" s="55" t="s">
        <v>4</v>
      </c>
      <c r="BK45" s="55">
        <v>2.34</v>
      </c>
      <c r="BL45" s="55" t="s">
        <v>4</v>
      </c>
      <c r="BM45" s="55" t="s">
        <v>4</v>
      </c>
      <c r="BN45" s="55" t="s">
        <v>4</v>
      </c>
      <c r="BO45" s="55" t="s">
        <v>4</v>
      </c>
      <c r="BP45" s="55" t="s">
        <v>4</v>
      </c>
      <c r="BQ45" s="55" t="s">
        <v>4</v>
      </c>
      <c r="BR45" s="55" t="s">
        <v>4</v>
      </c>
      <c r="BS45" s="55" t="s">
        <v>4</v>
      </c>
      <c r="BT45" s="55" t="s">
        <v>4</v>
      </c>
      <c r="BU45" s="55" t="s">
        <v>4</v>
      </c>
      <c r="BV45" s="55" t="s">
        <v>4</v>
      </c>
      <c r="BW45" s="55" t="s">
        <v>4</v>
      </c>
      <c r="BX45" s="55" t="s">
        <v>4</v>
      </c>
      <c r="BY45" s="55" t="s">
        <v>4</v>
      </c>
      <c r="BZ45" s="55">
        <v>4.97</v>
      </c>
      <c r="CA45" s="55">
        <v>2.09</v>
      </c>
      <c r="CB45" s="55">
        <v>3.9800000000000004</v>
      </c>
      <c r="CC45" s="55" t="s">
        <v>4</v>
      </c>
      <c r="CD45" s="55" t="s">
        <v>4</v>
      </c>
      <c r="CE45" s="55" t="s">
        <v>4</v>
      </c>
      <c r="CF45" s="55" t="s">
        <v>4</v>
      </c>
      <c r="CG45" s="55" t="s">
        <v>4</v>
      </c>
      <c r="CH45" s="55">
        <v>2</v>
      </c>
      <c r="CI45" s="55">
        <v>1</v>
      </c>
      <c r="CJ45">
        <v>112</v>
      </c>
      <c r="CK45" s="55">
        <v>2</v>
      </c>
      <c r="CL45">
        <f t="shared" si="0"/>
        <v>0.17000000000000004</v>
      </c>
      <c r="CM45">
        <f t="shared" si="1"/>
        <v>123.87</v>
      </c>
      <c r="CN45" t="s">
        <v>302</v>
      </c>
      <c r="CO45" t="s">
        <v>302</v>
      </c>
    </row>
    <row r="46" spans="1:93" s="61" customFormat="1" x14ac:dyDescent="0.25">
      <c r="A46" s="57">
        <v>44584.427083333336</v>
      </c>
      <c r="B46" s="58" t="s">
        <v>754</v>
      </c>
      <c r="C46" s="58" t="s">
        <v>207</v>
      </c>
      <c r="D46" s="59">
        <v>44584.427083333336</v>
      </c>
      <c r="E46" s="59" t="s">
        <v>4</v>
      </c>
      <c r="F46" s="59" t="s">
        <v>4</v>
      </c>
      <c r="G46" s="59">
        <v>0.56999999999999995</v>
      </c>
      <c r="H46" s="59" t="s">
        <v>4</v>
      </c>
      <c r="I46" s="59" t="s">
        <v>4</v>
      </c>
      <c r="J46" s="59" t="s">
        <v>4</v>
      </c>
      <c r="K46" s="59" t="s">
        <v>4</v>
      </c>
      <c r="L46" s="59" t="s">
        <v>4</v>
      </c>
      <c r="M46" s="59" t="s">
        <v>4</v>
      </c>
      <c r="N46" s="59">
        <v>36.449999999999996</v>
      </c>
      <c r="O46" s="59">
        <v>119.56</v>
      </c>
      <c r="P46" s="59">
        <v>4.25</v>
      </c>
      <c r="Q46" s="59" t="s">
        <v>4</v>
      </c>
      <c r="R46" s="59" t="s">
        <v>4</v>
      </c>
      <c r="S46" s="59">
        <v>7.55</v>
      </c>
      <c r="T46" s="59" t="s">
        <v>4</v>
      </c>
      <c r="U46" s="59" t="s">
        <v>4</v>
      </c>
      <c r="V46" s="59" t="s">
        <v>4</v>
      </c>
      <c r="W46" s="59" t="s">
        <v>4</v>
      </c>
      <c r="X46" s="59" t="s">
        <v>4</v>
      </c>
      <c r="Y46" s="59" t="s">
        <v>4</v>
      </c>
      <c r="Z46" s="59" t="s">
        <v>4</v>
      </c>
      <c r="AA46" s="59" t="s">
        <v>4</v>
      </c>
      <c r="AB46" s="59" t="s">
        <v>4</v>
      </c>
      <c r="AC46" s="59">
        <v>31.49</v>
      </c>
      <c r="AD46" s="59" t="s">
        <v>4</v>
      </c>
      <c r="AE46" s="59" t="s">
        <v>4</v>
      </c>
      <c r="AF46" s="59" t="s">
        <v>4</v>
      </c>
      <c r="AG46" s="59">
        <v>0.68</v>
      </c>
      <c r="AH46" s="59" t="s">
        <v>4</v>
      </c>
      <c r="AI46" s="59" t="s">
        <v>4</v>
      </c>
      <c r="AJ46" s="59">
        <v>14.81</v>
      </c>
      <c r="AK46" s="59" t="s">
        <v>4</v>
      </c>
      <c r="AL46" s="59">
        <v>8.7799999999999994</v>
      </c>
      <c r="AM46" s="59" t="s">
        <v>4</v>
      </c>
      <c r="AN46" s="59">
        <v>1.1000000000000001</v>
      </c>
      <c r="AO46" s="59" t="s">
        <v>4</v>
      </c>
      <c r="AP46" s="59" t="s">
        <v>4</v>
      </c>
      <c r="AQ46" s="59">
        <v>3.51</v>
      </c>
      <c r="AR46" s="59">
        <v>0.41</v>
      </c>
      <c r="AS46" s="59" t="s">
        <v>4</v>
      </c>
      <c r="AT46" s="59" t="s">
        <v>4</v>
      </c>
      <c r="AU46" s="59" t="s">
        <v>4</v>
      </c>
      <c r="AV46" s="59" t="s">
        <v>4</v>
      </c>
      <c r="AW46" s="59" t="s">
        <v>4</v>
      </c>
      <c r="AX46" s="59">
        <v>0.41</v>
      </c>
      <c r="AY46" s="59" t="s">
        <v>4</v>
      </c>
      <c r="AZ46" s="59" t="s">
        <v>4</v>
      </c>
      <c r="BA46" s="59" t="s">
        <v>4</v>
      </c>
      <c r="BB46" s="59" t="s">
        <v>4</v>
      </c>
      <c r="BC46" s="59" t="s">
        <v>4</v>
      </c>
      <c r="BD46" s="59">
        <v>0.74</v>
      </c>
      <c r="BE46" s="59" t="s">
        <v>4</v>
      </c>
      <c r="BF46" s="59" t="s">
        <v>4</v>
      </c>
      <c r="BG46" s="59">
        <v>3.69</v>
      </c>
      <c r="BH46" s="59" t="s">
        <v>4</v>
      </c>
      <c r="BI46" s="59" t="s">
        <v>4</v>
      </c>
      <c r="BJ46" s="59" t="s">
        <v>4</v>
      </c>
      <c r="BK46" s="59" t="s">
        <v>4</v>
      </c>
      <c r="BL46" s="59" t="s">
        <v>4</v>
      </c>
      <c r="BM46" s="59" t="s">
        <v>4</v>
      </c>
      <c r="BN46" s="59" t="s">
        <v>4</v>
      </c>
      <c r="BO46" s="59">
        <v>8.27</v>
      </c>
      <c r="BP46" s="59" t="s">
        <v>4</v>
      </c>
      <c r="BQ46" s="59" t="s">
        <v>4</v>
      </c>
      <c r="BR46" s="59" t="s">
        <v>4</v>
      </c>
      <c r="BS46" s="59" t="s">
        <v>4</v>
      </c>
      <c r="BT46" s="59" t="s">
        <v>4</v>
      </c>
      <c r="BU46" s="59" t="s">
        <v>4</v>
      </c>
      <c r="BV46" s="59" t="s">
        <v>4</v>
      </c>
      <c r="BW46" s="59" t="s">
        <v>4</v>
      </c>
      <c r="BX46" s="59" t="s">
        <v>4</v>
      </c>
      <c r="BY46" s="59" t="s">
        <v>4</v>
      </c>
      <c r="BZ46" s="59" t="s">
        <v>4</v>
      </c>
      <c r="CA46" s="59" t="s">
        <v>4</v>
      </c>
      <c r="CB46" s="59" t="s">
        <v>4</v>
      </c>
      <c r="CC46" s="59" t="s">
        <v>4</v>
      </c>
      <c r="CD46" s="59" t="s">
        <v>4</v>
      </c>
      <c r="CE46" s="59" t="s">
        <v>4</v>
      </c>
      <c r="CF46" s="59" t="s">
        <v>4</v>
      </c>
      <c r="CG46" s="59" t="s">
        <v>4</v>
      </c>
      <c r="CH46" s="59">
        <v>2</v>
      </c>
      <c r="CI46" s="59">
        <v>1</v>
      </c>
      <c r="CJ46">
        <v>12</v>
      </c>
      <c r="CK46" s="59">
        <v>2</v>
      </c>
      <c r="CL46">
        <f t="shared" si="0"/>
        <v>0.41</v>
      </c>
      <c r="CM46">
        <f t="shared" si="1"/>
        <v>119.56</v>
      </c>
      <c r="CN46" s="60" t="s">
        <v>171</v>
      </c>
      <c r="CO46" s="61" t="s">
        <v>171</v>
      </c>
    </row>
    <row r="47" spans="1:93" x14ac:dyDescent="0.25">
      <c r="A47" s="50">
        <v>44586.442361111112</v>
      </c>
      <c r="B47" s="51" t="s">
        <v>755</v>
      </c>
      <c r="C47" s="51" t="s">
        <v>208</v>
      </c>
      <c r="D47" s="55">
        <v>44586.442361111112</v>
      </c>
      <c r="E47" s="55">
        <v>7.56</v>
      </c>
      <c r="F47" s="55">
        <v>0.39</v>
      </c>
      <c r="G47" s="55" t="s">
        <v>4</v>
      </c>
      <c r="H47" s="55" t="s">
        <v>4</v>
      </c>
      <c r="I47" s="55" t="s">
        <v>4</v>
      </c>
      <c r="J47" s="55" t="s">
        <v>4</v>
      </c>
      <c r="K47" s="55">
        <v>1.52</v>
      </c>
      <c r="L47" s="55" t="s">
        <v>4</v>
      </c>
      <c r="M47" s="55">
        <v>7.79</v>
      </c>
      <c r="N47" s="55">
        <v>499.09000000000003</v>
      </c>
      <c r="O47" s="55">
        <v>5.37</v>
      </c>
      <c r="P47" s="55">
        <v>0.52</v>
      </c>
      <c r="Q47" s="55" t="s">
        <v>4</v>
      </c>
      <c r="R47" s="55" t="s">
        <v>4</v>
      </c>
      <c r="S47" s="55" t="s">
        <v>4</v>
      </c>
      <c r="T47" s="55">
        <v>13.95</v>
      </c>
      <c r="U47" s="55">
        <v>0.51</v>
      </c>
      <c r="V47" s="55">
        <v>8.94</v>
      </c>
      <c r="W47" s="55" t="s">
        <v>4</v>
      </c>
      <c r="X47" s="55">
        <v>0.35</v>
      </c>
      <c r="Y47" s="55" t="s">
        <v>4</v>
      </c>
      <c r="Z47" s="55">
        <v>3.5999999999999996</v>
      </c>
      <c r="AA47" s="55" t="s">
        <v>4</v>
      </c>
      <c r="AB47" s="55">
        <v>6.17</v>
      </c>
      <c r="AC47" s="55">
        <v>18.79</v>
      </c>
      <c r="AD47" s="55" t="s">
        <v>4</v>
      </c>
      <c r="AE47" s="55" t="s">
        <v>4</v>
      </c>
      <c r="AF47" s="55" t="s">
        <v>4</v>
      </c>
      <c r="AG47" s="55">
        <v>2.63</v>
      </c>
      <c r="AH47" s="55" t="s">
        <v>4</v>
      </c>
      <c r="AI47" s="55" t="s">
        <v>4</v>
      </c>
      <c r="AJ47" s="55">
        <v>15.28</v>
      </c>
      <c r="AK47" s="55" t="s">
        <v>4</v>
      </c>
      <c r="AL47" s="55" t="s">
        <v>4</v>
      </c>
      <c r="AM47" s="55" t="s">
        <v>4</v>
      </c>
      <c r="AN47" s="55">
        <v>1.01</v>
      </c>
      <c r="AO47" s="55" t="s">
        <v>4</v>
      </c>
      <c r="AP47" s="55" t="s">
        <v>4</v>
      </c>
      <c r="AQ47" s="55">
        <v>4.32</v>
      </c>
      <c r="AR47" s="55">
        <v>16.799999999999997</v>
      </c>
      <c r="AS47" s="55" t="s">
        <v>4</v>
      </c>
      <c r="AT47" s="55">
        <v>2.48</v>
      </c>
      <c r="AU47" s="55" t="s">
        <v>4</v>
      </c>
      <c r="AV47" s="55" t="s">
        <v>4</v>
      </c>
      <c r="AW47" s="55">
        <v>2.92</v>
      </c>
      <c r="AX47" s="55">
        <v>1.1000000000000001</v>
      </c>
      <c r="AY47" s="55" t="s">
        <v>4</v>
      </c>
      <c r="AZ47" s="55" t="s">
        <v>4</v>
      </c>
      <c r="BA47" s="55" t="s">
        <v>4</v>
      </c>
      <c r="BB47" s="55" t="s">
        <v>4</v>
      </c>
      <c r="BC47" s="55" t="s">
        <v>4</v>
      </c>
      <c r="BD47" s="55">
        <v>51.959999999999994</v>
      </c>
      <c r="BE47" s="55" t="s">
        <v>4</v>
      </c>
      <c r="BF47" s="55" t="s">
        <v>4</v>
      </c>
      <c r="BG47" s="55">
        <v>10.050000000000001</v>
      </c>
      <c r="BH47" s="55" t="s">
        <v>4</v>
      </c>
      <c r="BI47" s="55" t="s">
        <v>4</v>
      </c>
      <c r="BJ47" s="55" t="s">
        <v>4</v>
      </c>
      <c r="BK47" s="55">
        <v>7.38</v>
      </c>
      <c r="BL47" s="55" t="s">
        <v>4</v>
      </c>
      <c r="BM47" s="55" t="s">
        <v>4</v>
      </c>
      <c r="BN47" s="55" t="s">
        <v>4</v>
      </c>
      <c r="BO47" s="55">
        <v>14.6</v>
      </c>
      <c r="BP47" s="55" t="s">
        <v>4</v>
      </c>
      <c r="BQ47" s="55">
        <v>3.79</v>
      </c>
      <c r="BR47" s="55" t="s">
        <v>4</v>
      </c>
      <c r="BS47" s="55" t="s">
        <v>4</v>
      </c>
      <c r="BT47" s="55" t="s">
        <v>4</v>
      </c>
      <c r="BU47" s="55" t="s">
        <v>4</v>
      </c>
      <c r="BV47" s="55" t="s">
        <v>4</v>
      </c>
      <c r="BW47" s="55" t="s">
        <v>4</v>
      </c>
      <c r="BX47" s="55" t="s">
        <v>4</v>
      </c>
      <c r="BY47" s="55" t="s">
        <v>4</v>
      </c>
      <c r="BZ47" s="55" t="s">
        <v>4</v>
      </c>
      <c r="CA47" s="55" t="s">
        <v>4</v>
      </c>
      <c r="CB47" s="55">
        <v>4.1099999999999994</v>
      </c>
      <c r="CC47" s="55" t="s">
        <v>4</v>
      </c>
      <c r="CD47" s="55" t="s">
        <v>4</v>
      </c>
      <c r="CE47" s="55" t="s">
        <v>4</v>
      </c>
      <c r="CF47" s="55" t="s">
        <v>4</v>
      </c>
      <c r="CG47" s="55" t="s">
        <v>4</v>
      </c>
      <c r="CH47" s="55">
        <v>1</v>
      </c>
      <c r="CI47" s="55">
        <v>1</v>
      </c>
      <c r="CJ47">
        <v>111</v>
      </c>
      <c r="CK47" s="55">
        <v>2</v>
      </c>
      <c r="CL47">
        <f t="shared" si="0"/>
        <v>0.35</v>
      </c>
      <c r="CM47">
        <f t="shared" si="1"/>
        <v>499.09000000000003</v>
      </c>
      <c r="CN47" t="s">
        <v>304</v>
      </c>
      <c r="CO47" t="s">
        <v>304</v>
      </c>
    </row>
    <row r="48" spans="1:93" x14ac:dyDescent="0.25">
      <c r="A48" s="50">
        <v>44586.451388888891</v>
      </c>
      <c r="B48" s="51" t="s">
        <v>756</v>
      </c>
      <c r="C48" s="51" t="s">
        <v>209</v>
      </c>
      <c r="D48" s="55">
        <v>44586.451388888891</v>
      </c>
      <c r="E48" s="55">
        <v>17.34</v>
      </c>
      <c r="F48" s="55" t="s">
        <v>4</v>
      </c>
      <c r="G48" s="55">
        <v>1.25</v>
      </c>
      <c r="H48" s="55">
        <v>3.79</v>
      </c>
      <c r="I48" s="55" t="s">
        <v>4</v>
      </c>
      <c r="J48" s="55" t="s">
        <v>4</v>
      </c>
      <c r="K48" s="55">
        <v>1.1299999999999999</v>
      </c>
      <c r="L48" s="55" t="s">
        <v>4</v>
      </c>
      <c r="M48" s="55">
        <v>13.45</v>
      </c>
      <c r="N48" s="55">
        <v>117.36000000000001</v>
      </c>
      <c r="O48" s="55">
        <v>77.55</v>
      </c>
      <c r="P48" s="55" t="s">
        <v>4</v>
      </c>
      <c r="Q48" s="55" t="s">
        <v>4</v>
      </c>
      <c r="R48" s="55" t="s">
        <v>4</v>
      </c>
      <c r="S48" s="55" t="s">
        <v>4</v>
      </c>
      <c r="T48" s="55">
        <v>0.73</v>
      </c>
      <c r="U48" s="55" t="s">
        <v>4</v>
      </c>
      <c r="V48" s="55" t="s">
        <v>4</v>
      </c>
      <c r="W48" s="55" t="s">
        <v>4</v>
      </c>
      <c r="X48" s="55" t="s">
        <v>4</v>
      </c>
      <c r="Y48" s="55">
        <v>3.58</v>
      </c>
      <c r="Z48" s="55">
        <v>4.1800000000000006</v>
      </c>
      <c r="AA48" s="55" t="s">
        <v>4</v>
      </c>
      <c r="AB48" s="55" t="s">
        <v>4</v>
      </c>
      <c r="AC48" s="55">
        <v>12.64</v>
      </c>
      <c r="AD48" s="55" t="s">
        <v>4</v>
      </c>
      <c r="AE48" s="55" t="s">
        <v>4</v>
      </c>
      <c r="AF48" s="55" t="s">
        <v>4</v>
      </c>
      <c r="AG48" s="55" t="s">
        <v>4</v>
      </c>
      <c r="AH48" s="55" t="s">
        <v>4</v>
      </c>
      <c r="AI48" s="55" t="s">
        <v>4</v>
      </c>
      <c r="AJ48" s="55">
        <v>3.15</v>
      </c>
      <c r="AK48" s="55" t="s">
        <v>4</v>
      </c>
      <c r="AL48" s="55">
        <v>6.92</v>
      </c>
      <c r="AM48" s="55" t="s">
        <v>4</v>
      </c>
      <c r="AN48" s="55">
        <v>0.64999999999999991</v>
      </c>
      <c r="AO48" s="55" t="s">
        <v>4</v>
      </c>
      <c r="AP48" s="55" t="s">
        <v>4</v>
      </c>
      <c r="AQ48" s="55">
        <v>1.17</v>
      </c>
      <c r="AR48" s="55">
        <v>12.61</v>
      </c>
      <c r="AS48" s="55" t="s">
        <v>4</v>
      </c>
      <c r="AT48" s="55" t="s">
        <v>4</v>
      </c>
      <c r="AU48" s="55" t="s">
        <v>4</v>
      </c>
      <c r="AV48" s="55" t="s">
        <v>4</v>
      </c>
      <c r="AW48" s="55" t="s">
        <v>4</v>
      </c>
      <c r="AX48" s="55">
        <v>1.1499999999999999</v>
      </c>
      <c r="AY48" s="55" t="s">
        <v>4</v>
      </c>
      <c r="AZ48" s="55" t="s">
        <v>4</v>
      </c>
      <c r="BA48" s="55" t="s">
        <v>4</v>
      </c>
      <c r="BB48" s="55">
        <v>0.73</v>
      </c>
      <c r="BC48" s="55" t="s">
        <v>4</v>
      </c>
      <c r="BD48" s="55">
        <v>8.870000000000001</v>
      </c>
      <c r="BE48" s="55" t="s">
        <v>4</v>
      </c>
      <c r="BF48" s="55" t="s">
        <v>4</v>
      </c>
      <c r="BG48" s="55">
        <v>2.15</v>
      </c>
      <c r="BH48" s="55" t="s">
        <v>4</v>
      </c>
      <c r="BI48" s="55" t="s">
        <v>4</v>
      </c>
      <c r="BJ48" s="55" t="s">
        <v>4</v>
      </c>
      <c r="BK48" s="55" t="s">
        <v>4</v>
      </c>
      <c r="BL48" s="55" t="s">
        <v>4</v>
      </c>
      <c r="BM48" s="55" t="s">
        <v>4</v>
      </c>
      <c r="BN48" s="55" t="s">
        <v>4</v>
      </c>
      <c r="BO48" s="55">
        <v>13.8</v>
      </c>
      <c r="BP48" s="55" t="s">
        <v>4</v>
      </c>
      <c r="BQ48" s="55">
        <v>8.59</v>
      </c>
      <c r="BR48" s="55" t="s">
        <v>4</v>
      </c>
      <c r="BS48" s="55" t="s">
        <v>4</v>
      </c>
      <c r="BT48" s="55" t="s">
        <v>4</v>
      </c>
      <c r="BU48" s="55" t="s">
        <v>4</v>
      </c>
      <c r="BV48" s="55" t="s">
        <v>4</v>
      </c>
      <c r="BW48" s="55" t="s">
        <v>4</v>
      </c>
      <c r="BX48" s="55" t="s">
        <v>4</v>
      </c>
      <c r="BY48" s="55" t="s">
        <v>4</v>
      </c>
      <c r="BZ48" s="55" t="s">
        <v>4</v>
      </c>
      <c r="CA48" s="55">
        <v>4.5199999999999996</v>
      </c>
      <c r="CB48" s="55">
        <v>3.620000000000001</v>
      </c>
      <c r="CC48" s="55" t="s">
        <v>4</v>
      </c>
      <c r="CD48" s="55" t="s">
        <v>4</v>
      </c>
      <c r="CE48" s="55" t="s">
        <v>4</v>
      </c>
      <c r="CF48" s="55" t="s">
        <v>4</v>
      </c>
      <c r="CG48" s="55" t="s">
        <v>4</v>
      </c>
      <c r="CH48" s="55">
        <v>1</v>
      </c>
      <c r="CI48" s="55">
        <v>1</v>
      </c>
      <c r="CJ48">
        <v>11</v>
      </c>
      <c r="CK48" s="55">
        <v>2</v>
      </c>
      <c r="CL48">
        <f t="shared" si="0"/>
        <v>0.64999999999999991</v>
      </c>
      <c r="CM48">
        <f t="shared" si="1"/>
        <v>117.36000000000001</v>
      </c>
      <c r="CN48" t="s">
        <v>305</v>
      </c>
      <c r="CO48" t="s">
        <v>305</v>
      </c>
    </row>
    <row r="49" spans="1:93" x14ac:dyDescent="0.25">
      <c r="A49" s="50">
        <v>44586.506944444445</v>
      </c>
      <c r="B49" s="51" t="s">
        <v>757</v>
      </c>
      <c r="C49" s="51" t="s">
        <v>210</v>
      </c>
      <c r="D49" s="55">
        <v>44586.506944444445</v>
      </c>
      <c r="E49" s="55" t="s">
        <v>4</v>
      </c>
      <c r="F49" s="55" t="s">
        <v>4</v>
      </c>
      <c r="G49" s="55" t="s">
        <v>4</v>
      </c>
      <c r="H49" s="55" t="s">
        <v>4</v>
      </c>
      <c r="I49" s="55" t="s">
        <v>4</v>
      </c>
      <c r="J49" s="55" t="s">
        <v>4</v>
      </c>
      <c r="K49" s="55" t="s">
        <v>4</v>
      </c>
      <c r="L49" s="55" t="s">
        <v>4</v>
      </c>
      <c r="M49" s="55">
        <v>6.73</v>
      </c>
      <c r="N49" s="55">
        <v>202.35000000000002</v>
      </c>
      <c r="O49" s="55">
        <v>10.85</v>
      </c>
      <c r="P49" s="55" t="s">
        <v>4</v>
      </c>
      <c r="Q49" s="55" t="s">
        <v>4</v>
      </c>
      <c r="R49" s="55" t="s">
        <v>4</v>
      </c>
      <c r="S49" s="55" t="s">
        <v>4</v>
      </c>
      <c r="T49" s="55">
        <v>3.7</v>
      </c>
      <c r="U49" s="55" t="s">
        <v>4</v>
      </c>
      <c r="V49" s="55" t="s">
        <v>4</v>
      </c>
      <c r="W49" s="55" t="s">
        <v>4</v>
      </c>
      <c r="X49" s="55">
        <v>0.51</v>
      </c>
      <c r="Y49" s="55" t="s">
        <v>4</v>
      </c>
      <c r="Z49" s="55">
        <v>0.91999999999999993</v>
      </c>
      <c r="AA49" s="55" t="s">
        <v>4</v>
      </c>
      <c r="AB49" s="55" t="s">
        <v>4</v>
      </c>
      <c r="AC49" s="55">
        <v>27.55</v>
      </c>
      <c r="AD49" s="55" t="s">
        <v>4</v>
      </c>
      <c r="AE49" s="55" t="s">
        <v>4</v>
      </c>
      <c r="AF49" s="55" t="s">
        <v>4</v>
      </c>
      <c r="AG49" s="55" t="s">
        <v>4</v>
      </c>
      <c r="AH49" s="55" t="s">
        <v>4</v>
      </c>
      <c r="AI49" s="55" t="s">
        <v>4</v>
      </c>
      <c r="AJ49" s="55">
        <v>8.89</v>
      </c>
      <c r="AK49" s="55" t="s">
        <v>4</v>
      </c>
      <c r="AL49" s="55" t="s">
        <v>4</v>
      </c>
      <c r="AM49" s="55" t="s">
        <v>4</v>
      </c>
      <c r="AN49" s="55">
        <v>0.33999999999999997</v>
      </c>
      <c r="AO49" s="55" t="s">
        <v>4</v>
      </c>
      <c r="AP49" s="55" t="s">
        <v>4</v>
      </c>
      <c r="AQ49" s="55">
        <v>2.2799999999999998</v>
      </c>
      <c r="AR49" s="55">
        <v>2.44</v>
      </c>
      <c r="AS49" s="55" t="s">
        <v>4</v>
      </c>
      <c r="AT49" s="55" t="s">
        <v>4</v>
      </c>
      <c r="AU49" s="55" t="s">
        <v>4</v>
      </c>
      <c r="AV49" s="55" t="s">
        <v>4</v>
      </c>
      <c r="AW49" s="55" t="s">
        <v>4</v>
      </c>
      <c r="AX49" s="55">
        <v>0.35</v>
      </c>
      <c r="AY49" s="55" t="s">
        <v>4</v>
      </c>
      <c r="AZ49" s="55" t="s">
        <v>4</v>
      </c>
      <c r="BA49" s="55" t="s">
        <v>4</v>
      </c>
      <c r="BB49" s="55" t="s">
        <v>4</v>
      </c>
      <c r="BC49" s="55" t="s">
        <v>4</v>
      </c>
      <c r="BD49" s="55">
        <v>12.6</v>
      </c>
      <c r="BE49" s="55" t="s">
        <v>4</v>
      </c>
      <c r="BF49" s="55" t="s">
        <v>4</v>
      </c>
      <c r="BG49" s="55">
        <v>6.69</v>
      </c>
      <c r="BH49" s="55" t="s">
        <v>4</v>
      </c>
      <c r="BI49" s="55" t="s">
        <v>4</v>
      </c>
      <c r="BJ49" s="55" t="s">
        <v>4</v>
      </c>
      <c r="BK49" s="55">
        <v>5.0599999999999996</v>
      </c>
      <c r="BL49" s="55" t="s">
        <v>4</v>
      </c>
      <c r="BM49" s="55" t="s">
        <v>4</v>
      </c>
      <c r="BN49" s="55" t="s">
        <v>4</v>
      </c>
      <c r="BO49" s="55">
        <v>3.51</v>
      </c>
      <c r="BP49" s="55" t="s">
        <v>4</v>
      </c>
      <c r="BQ49" s="55">
        <v>1.29</v>
      </c>
      <c r="BR49" s="55" t="s">
        <v>4</v>
      </c>
      <c r="BS49" s="55" t="s">
        <v>4</v>
      </c>
      <c r="BT49" s="55" t="s">
        <v>4</v>
      </c>
      <c r="BU49" s="55" t="s">
        <v>4</v>
      </c>
      <c r="BV49" s="55" t="s">
        <v>4</v>
      </c>
      <c r="BW49" s="55" t="s">
        <v>4</v>
      </c>
      <c r="BX49" s="55" t="s">
        <v>4</v>
      </c>
      <c r="BY49" s="55" t="s">
        <v>4</v>
      </c>
      <c r="BZ49" s="55" t="s">
        <v>4</v>
      </c>
      <c r="CA49" s="55" t="s">
        <v>4</v>
      </c>
      <c r="CB49" s="55">
        <v>5.8100000000000005</v>
      </c>
      <c r="CC49" s="55" t="s">
        <v>4</v>
      </c>
      <c r="CD49" s="55" t="s">
        <v>4</v>
      </c>
      <c r="CE49" s="55" t="s">
        <v>4</v>
      </c>
      <c r="CF49" s="55" t="s">
        <v>4</v>
      </c>
      <c r="CG49" s="55" t="s">
        <v>4</v>
      </c>
      <c r="CH49" s="55">
        <v>2</v>
      </c>
      <c r="CI49" s="55">
        <v>1</v>
      </c>
      <c r="CJ49">
        <v>112</v>
      </c>
      <c r="CK49" s="55">
        <v>2</v>
      </c>
      <c r="CL49">
        <f t="shared" si="0"/>
        <v>0.33999999999999997</v>
      </c>
      <c r="CM49">
        <f t="shared" si="1"/>
        <v>202.35000000000002</v>
      </c>
      <c r="CN49" t="s">
        <v>306</v>
      </c>
      <c r="CO49" t="s">
        <v>306</v>
      </c>
    </row>
    <row r="50" spans="1:93" s="61" customFormat="1" x14ac:dyDescent="0.25">
      <c r="A50" s="57">
        <v>44586.5</v>
      </c>
      <c r="B50" s="58" t="s">
        <v>758</v>
      </c>
      <c r="C50" s="58" t="s">
        <v>211</v>
      </c>
      <c r="D50" s="59">
        <v>44586.5</v>
      </c>
      <c r="E50" s="59" t="s">
        <v>4</v>
      </c>
      <c r="F50" s="59" t="s">
        <v>4</v>
      </c>
      <c r="G50" s="59">
        <v>0.47</v>
      </c>
      <c r="H50" s="59" t="s">
        <v>4</v>
      </c>
      <c r="I50" s="59" t="s">
        <v>4</v>
      </c>
      <c r="J50" s="59" t="s">
        <v>4</v>
      </c>
      <c r="K50" s="59" t="s">
        <v>4</v>
      </c>
      <c r="L50" s="59" t="s">
        <v>4</v>
      </c>
      <c r="M50" s="59">
        <v>4.9000000000000004</v>
      </c>
      <c r="N50" s="59">
        <v>34.670000000000009</v>
      </c>
      <c r="O50" s="59">
        <v>78.83</v>
      </c>
      <c r="P50" s="59">
        <v>2.33</v>
      </c>
      <c r="Q50" s="59" t="s">
        <v>4</v>
      </c>
      <c r="R50" s="59" t="s">
        <v>4</v>
      </c>
      <c r="S50" s="59">
        <v>5.8</v>
      </c>
      <c r="T50" s="59">
        <v>0.26</v>
      </c>
      <c r="U50" s="59" t="s">
        <v>4</v>
      </c>
      <c r="V50" s="59" t="s">
        <v>4</v>
      </c>
      <c r="W50" s="59" t="s">
        <v>4</v>
      </c>
      <c r="X50" s="59" t="s">
        <v>4</v>
      </c>
      <c r="Y50" s="59" t="s">
        <v>4</v>
      </c>
      <c r="Z50" s="59">
        <v>0.53000000000000025</v>
      </c>
      <c r="AA50" s="59" t="s">
        <v>4</v>
      </c>
      <c r="AB50" s="59" t="s">
        <v>4</v>
      </c>
      <c r="AC50" s="59">
        <v>18.010000000000002</v>
      </c>
      <c r="AD50" s="59" t="s">
        <v>4</v>
      </c>
      <c r="AE50" s="59" t="s">
        <v>4</v>
      </c>
      <c r="AF50" s="59" t="s">
        <v>4</v>
      </c>
      <c r="AG50" s="59" t="s">
        <v>4</v>
      </c>
      <c r="AH50" s="59" t="s">
        <v>4</v>
      </c>
      <c r="AI50" s="59" t="s">
        <v>4</v>
      </c>
      <c r="AJ50" s="59">
        <v>10.33</v>
      </c>
      <c r="AK50" s="59" t="s">
        <v>4</v>
      </c>
      <c r="AL50" s="59">
        <v>5.34</v>
      </c>
      <c r="AM50" s="59" t="s">
        <v>4</v>
      </c>
      <c r="AN50" s="59">
        <v>0.79</v>
      </c>
      <c r="AO50" s="59" t="s">
        <v>4</v>
      </c>
      <c r="AP50" s="59" t="s">
        <v>4</v>
      </c>
      <c r="AQ50" s="59">
        <v>1.97</v>
      </c>
      <c r="AR50" s="59">
        <v>0.58000000000000007</v>
      </c>
      <c r="AS50" s="59" t="s">
        <v>4</v>
      </c>
      <c r="AT50" s="59" t="s">
        <v>4</v>
      </c>
      <c r="AU50" s="59" t="s">
        <v>4</v>
      </c>
      <c r="AV50" s="59" t="s">
        <v>4</v>
      </c>
      <c r="AW50" s="59" t="s">
        <v>4</v>
      </c>
      <c r="AX50" s="59">
        <v>0.34</v>
      </c>
      <c r="AY50" s="59" t="s">
        <v>4</v>
      </c>
      <c r="AZ50" s="59" t="s">
        <v>4</v>
      </c>
      <c r="BA50" s="59" t="s">
        <v>4</v>
      </c>
      <c r="BB50" s="59" t="s">
        <v>4</v>
      </c>
      <c r="BC50" s="59" t="s">
        <v>4</v>
      </c>
      <c r="BD50" s="59">
        <v>2.57</v>
      </c>
      <c r="BE50" s="59" t="s">
        <v>4</v>
      </c>
      <c r="BF50" s="59" t="s">
        <v>4</v>
      </c>
      <c r="BG50" s="59">
        <v>1.84</v>
      </c>
      <c r="BH50" s="59" t="s">
        <v>4</v>
      </c>
      <c r="BI50" s="59" t="s">
        <v>4</v>
      </c>
      <c r="BJ50" s="59" t="s">
        <v>4</v>
      </c>
      <c r="BK50" s="59" t="s">
        <v>4</v>
      </c>
      <c r="BL50" s="59" t="s">
        <v>4</v>
      </c>
      <c r="BM50" s="59" t="s">
        <v>4</v>
      </c>
      <c r="BN50" s="59" t="s">
        <v>4</v>
      </c>
      <c r="BO50" s="59">
        <v>6.43</v>
      </c>
      <c r="BP50" s="59" t="s">
        <v>4</v>
      </c>
      <c r="BQ50" s="59" t="s">
        <v>4</v>
      </c>
      <c r="BR50" s="59" t="s">
        <v>4</v>
      </c>
      <c r="BS50" s="59" t="s">
        <v>4</v>
      </c>
      <c r="BT50" s="59" t="s">
        <v>4</v>
      </c>
      <c r="BU50" s="59" t="s">
        <v>4</v>
      </c>
      <c r="BV50" s="59" t="s">
        <v>4</v>
      </c>
      <c r="BW50" s="59" t="s">
        <v>4</v>
      </c>
      <c r="BX50" s="59" t="s">
        <v>4</v>
      </c>
      <c r="BY50" s="59" t="s">
        <v>4</v>
      </c>
      <c r="BZ50" s="59" t="s">
        <v>4</v>
      </c>
      <c r="CA50" s="59" t="s">
        <v>4</v>
      </c>
      <c r="CB50" s="59" t="s">
        <v>4</v>
      </c>
      <c r="CC50" s="59" t="s">
        <v>4</v>
      </c>
      <c r="CD50" s="59" t="s">
        <v>4</v>
      </c>
      <c r="CE50" s="59" t="s">
        <v>4</v>
      </c>
      <c r="CF50" s="59" t="s">
        <v>4</v>
      </c>
      <c r="CG50" s="59" t="s">
        <v>4</v>
      </c>
      <c r="CH50" s="59">
        <v>2</v>
      </c>
      <c r="CI50" s="59">
        <v>1</v>
      </c>
      <c r="CJ50">
        <v>12</v>
      </c>
      <c r="CK50" s="59">
        <v>2</v>
      </c>
      <c r="CL50">
        <f t="shared" si="0"/>
        <v>0.26</v>
      </c>
      <c r="CM50">
        <f t="shared" si="1"/>
        <v>78.83</v>
      </c>
      <c r="CN50" s="61" t="s">
        <v>307</v>
      </c>
      <c r="CO50" s="61" t="s">
        <v>307</v>
      </c>
    </row>
    <row r="51" spans="1:93" x14ac:dyDescent="0.25">
      <c r="A51" s="50">
        <v>44588.645833333336</v>
      </c>
      <c r="B51" s="51" t="s">
        <v>759</v>
      </c>
      <c r="C51" s="51" t="s">
        <v>212</v>
      </c>
      <c r="D51" s="55">
        <v>44588.645833333336</v>
      </c>
      <c r="E51" s="55">
        <v>3.85</v>
      </c>
      <c r="F51" s="55" t="s">
        <v>4</v>
      </c>
      <c r="G51" s="55" t="s">
        <v>4</v>
      </c>
      <c r="H51" s="55">
        <v>1.26</v>
      </c>
      <c r="I51" s="55" t="s">
        <v>4</v>
      </c>
      <c r="J51" s="55" t="s">
        <v>4</v>
      </c>
      <c r="K51" s="55">
        <v>1.85</v>
      </c>
      <c r="L51" s="55" t="s">
        <v>4</v>
      </c>
      <c r="M51" s="55" t="s">
        <v>4</v>
      </c>
      <c r="N51" s="55">
        <v>428.56</v>
      </c>
      <c r="O51" s="55">
        <v>6.44</v>
      </c>
      <c r="P51" s="55" t="s">
        <v>4</v>
      </c>
      <c r="Q51" s="55" t="s">
        <v>4</v>
      </c>
      <c r="R51" s="55" t="s">
        <v>4</v>
      </c>
      <c r="S51" s="55" t="s">
        <v>4</v>
      </c>
      <c r="T51" s="55">
        <v>8.93</v>
      </c>
      <c r="U51" s="55" t="s">
        <v>4</v>
      </c>
      <c r="V51" s="55" t="s">
        <v>4</v>
      </c>
      <c r="W51" s="55" t="s">
        <v>4</v>
      </c>
      <c r="X51" s="55">
        <v>0.42</v>
      </c>
      <c r="Y51" s="55" t="s">
        <v>4</v>
      </c>
      <c r="Z51" s="55">
        <v>4.2299999999999995</v>
      </c>
      <c r="AA51" s="55">
        <v>0.63000000000000012</v>
      </c>
      <c r="AB51" s="55" t="s">
        <v>4</v>
      </c>
      <c r="AC51" s="55">
        <v>50.04</v>
      </c>
      <c r="AD51" s="55" t="s">
        <v>4</v>
      </c>
      <c r="AE51" s="55" t="s">
        <v>4</v>
      </c>
      <c r="AF51" s="55" t="s">
        <v>4</v>
      </c>
      <c r="AG51" s="55">
        <v>3.16</v>
      </c>
      <c r="AH51" s="55" t="s">
        <v>4</v>
      </c>
      <c r="AI51" s="55" t="s">
        <v>4</v>
      </c>
      <c r="AJ51" s="55">
        <v>14.59</v>
      </c>
      <c r="AK51" s="55" t="s">
        <v>4</v>
      </c>
      <c r="AL51" s="55" t="s">
        <v>4</v>
      </c>
      <c r="AM51" s="55" t="s">
        <v>4</v>
      </c>
      <c r="AN51" s="55">
        <v>0.97</v>
      </c>
      <c r="AO51" s="55" t="s">
        <v>4</v>
      </c>
      <c r="AP51" s="55" t="s">
        <v>4</v>
      </c>
      <c r="AQ51" s="55">
        <v>3.72</v>
      </c>
      <c r="AR51" s="55">
        <v>6.14</v>
      </c>
      <c r="AS51" s="55" t="s">
        <v>4</v>
      </c>
      <c r="AT51" s="55" t="s">
        <v>4</v>
      </c>
      <c r="AU51" s="55" t="s">
        <v>4</v>
      </c>
      <c r="AV51" s="55" t="s">
        <v>4</v>
      </c>
      <c r="AW51" s="55">
        <v>2.0699999999999998</v>
      </c>
      <c r="AX51" s="55">
        <v>0.96</v>
      </c>
      <c r="AY51" s="55" t="s">
        <v>4</v>
      </c>
      <c r="AZ51" s="55" t="s">
        <v>4</v>
      </c>
      <c r="BA51" s="55" t="s">
        <v>4</v>
      </c>
      <c r="BB51" s="55" t="s">
        <v>4</v>
      </c>
      <c r="BC51" s="55" t="s">
        <v>4</v>
      </c>
      <c r="BD51" s="55">
        <v>57.91</v>
      </c>
      <c r="BE51" s="55" t="s">
        <v>4</v>
      </c>
      <c r="BF51" s="55" t="s">
        <v>4</v>
      </c>
      <c r="BG51" s="55">
        <v>14.94</v>
      </c>
      <c r="BH51" s="55" t="s">
        <v>4</v>
      </c>
      <c r="BI51" s="55" t="s">
        <v>4</v>
      </c>
      <c r="BJ51" s="55" t="s">
        <v>4</v>
      </c>
      <c r="BK51" s="55">
        <v>5.36</v>
      </c>
      <c r="BL51" s="55" t="s">
        <v>4</v>
      </c>
      <c r="BM51" s="55" t="s">
        <v>4</v>
      </c>
      <c r="BN51" s="55" t="s">
        <v>4</v>
      </c>
      <c r="BO51" s="55">
        <v>18.54</v>
      </c>
      <c r="BP51" s="55" t="s">
        <v>4</v>
      </c>
      <c r="BQ51" s="55">
        <v>2.96</v>
      </c>
      <c r="BR51" s="55" t="s">
        <v>4</v>
      </c>
      <c r="BS51" s="55" t="s">
        <v>4</v>
      </c>
      <c r="BT51" s="55" t="s">
        <v>4</v>
      </c>
      <c r="BU51" s="55" t="s">
        <v>4</v>
      </c>
      <c r="BV51" s="55" t="s">
        <v>4</v>
      </c>
      <c r="BW51" s="55" t="s">
        <v>4</v>
      </c>
      <c r="BX51" s="55" t="s">
        <v>4</v>
      </c>
      <c r="BY51" s="55" t="s">
        <v>4</v>
      </c>
      <c r="BZ51" s="55" t="s">
        <v>4</v>
      </c>
      <c r="CA51" s="55" t="s">
        <v>4</v>
      </c>
      <c r="CB51" s="55">
        <v>5.68</v>
      </c>
      <c r="CC51" s="55" t="s">
        <v>4</v>
      </c>
      <c r="CD51" s="55" t="s">
        <v>4</v>
      </c>
      <c r="CE51" s="55" t="s">
        <v>4</v>
      </c>
      <c r="CF51" s="55" t="s">
        <v>4</v>
      </c>
      <c r="CG51" s="55" t="s">
        <v>4</v>
      </c>
      <c r="CH51" s="55">
        <v>1</v>
      </c>
      <c r="CI51" s="55">
        <v>1</v>
      </c>
      <c r="CJ51">
        <v>111</v>
      </c>
      <c r="CK51" s="55">
        <v>2</v>
      </c>
      <c r="CL51">
        <f t="shared" si="0"/>
        <v>0.42</v>
      </c>
      <c r="CM51">
        <f t="shared" si="1"/>
        <v>428.56</v>
      </c>
      <c r="CN51" s="29" t="s">
        <v>308</v>
      </c>
      <c r="CO51" t="s">
        <v>308</v>
      </c>
    </row>
    <row r="52" spans="1:93" x14ac:dyDescent="0.25">
      <c r="A52" s="50">
        <v>44588.645833333336</v>
      </c>
      <c r="B52" s="51" t="s">
        <v>760</v>
      </c>
      <c r="C52" s="51" t="s">
        <v>213</v>
      </c>
      <c r="D52" s="55">
        <v>44588.645833333336</v>
      </c>
      <c r="E52" s="55" t="s">
        <v>4</v>
      </c>
      <c r="F52" s="55" t="s">
        <v>4</v>
      </c>
      <c r="G52" s="55">
        <v>0.75</v>
      </c>
      <c r="H52" s="55">
        <v>2.44</v>
      </c>
      <c r="I52" s="55" t="s">
        <v>4</v>
      </c>
      <c r="J52" s="55" t="s">
        <v>4</v>
      </c>
      <c r="K52" s="55">
        <v>0.76</v>
      </c>
      <c r="L52" s="55" t="s">
        <v>4</v>
      </c>
      <c r="M52" s="55">
        <v>9.76</v>
      </c>
      <c r="N52" s="55">
        <v>26.580000000000005</v>
      </c>
      <c r="O52" s="55">
        <v>58.31</v>
      </c>
      <c r="P52" s="55" t="s">
        <v>4</v>
      </c>
      <c r="Q52" s="55" t="s">
        <v>4</v>
      </c>
      <c r="R52" s="55" t="s">
        <v>4</v>
      </c>
      <c r="S52" s="55" t="s">
        <v>4</v>
      </c>
      <c r="T52" s="55" t="s">
        <v>4</v>
      </c>
      <c r="U52" s="55" t="s">
        <v>4</v>
      </c>
      <c r="V52" s="55" t="s">
        <v>4</v>
      </c>
      <c r="W52" s="55" t="s">
        <v>4</v>
      </c>
      <c r="X52" s="55" t="s">
        <v>4</v>
      </c>
      <c r="Y52" s="55" t="s">
        <v>4</v>
      </c>
      <c r="Z52" s="55">
        <v>2.59</v>
      </c>
      <c r="AA52" s="55">
        <v>0.65000000000000013</v>
      </c>
      <c r="AB52" s="55" t="s">
        <v>4</v>
      </c>
      <c r="AC52" s="55">
        <v>12.93</v>
      </c>
      <c r="AD52" s="55" t="s">
        <v>4</v>
      </c>
      <c r="AE52" s="55" t="s">
        <v>4</v>
      </c>
      <c r="AF52" s="55" t="s">
        <v>4</v>
      </c>
      <c r="AG52" s="55" t="s">
        <v>4</v>
      </c>
      <c r="AH52" s="55" t="s">
        <v>4</v>
      </c>
      <c r="AI52" s="55" t="s">
        <v>4</v>
      </c>
      <c r="AJ52" s="55">
        <v>3.83</v>
      </c>
      <c r="AK52" s="55" t="s">
        <v>4</v>
      </c>
      <c r="AL52" s="55">
        <v>6.42</v>
      </c>
      <c r="AM52" s="55" t="s">
        <v>4</v>
      </c>
      <c r="AN52" s="55">
        <v>0.15000000000000002</v>
      </c>
      <c r="AO52" s="55" t="s">
        <v>4</v>
      </c>
      <c r="AP52" s="55" t="s">
        <v>4</v>
      </c>
      <c r="AQ52" s="55">
        <v>0.67</v>
      </c>
      <c r="AR52" s="55">
        <v>12.5</v>
      </c>
      <c r="AS52" s="55" t="s">
        <v>4</v>
      </c>
      <c r="AT52" s="55" t="s">
        <v>4</v>
      </c>
      <c r="AU52" s="55" t="s">
        <v>4</v>
      </c>
      <c r="AV52" s="55" t="s">
        <v>4</v>
      </c>
      <c r="AW52" s="55" t="s">
        <v>4</v>
      </c>
      <c r="AX52" s="55">
        <v>0.54</v>
      </c>
      <c r="AY52" s="55" t="s">
        <v>4</v>
      </c>
      <c r="AZ52" s="55" t="s">
        <v>4</v>
      </c>
      <c r="BA52" s="55" t="s">
        <v>4</v>
      </c>
      <c r="BB52" s="55">
        <v>0.42</v>
      </c>
      <c r="BC52" s="55" t="s">
        <v>4</v>
      </c>
      <c r="BD52" s="55">
        <v>5.18</v>
      </c>
      <c r="BE52" s="55" t="s">
        <v>4</v>
      </c>
      <c r="BF52" s="55" t="s">
        <v>4</v>
      </c>
      <c r="BG52" s="55">
        <v>1.78</v>
      </c>
      <c r="BH52" s="55" t="s">
        <v>4</v>
      </c>
      <c r="BI52" s="55" t="s">
        <v>4</v>
      </c>
      <c r="BJ52" s="55" t="s">
        <v>4</v>
      </c>
      <c r="BK52" s="55" t="s">
        <v>4</v>
      </c>
      <c r="BL52" s="55" t="s">
        <v>4</v>
      </c>
      <c r="BM52" s="55" t="s">
        <v>4</v>
      </c>
      <c r="BN52" s="55" t="s">
        <v>4</v>
      </c>
      <c r="BO52" s="55">
        <v>6.04</v>
      </c>
      <c r="BP52" s="55" t="s">
        <v>4</v>
      </c>
      <c r="BQ52" s="55">
        <v>8.4499999999999993</v>
      </c>
      <c r="BR52" s="55" t="s">
        <v>4</v>
      </c>
      <c r="BS52" s="55" t="s">
        <v>4</v>
      </c>
      <c r="BT52" s="55" t="s">
        <v>4</v>
      </c>
      <c r="BU52" s="55" t="s">
        <v>4</v>
      </c>
      <c r="BV52" s="55" t="s">
        <v>4</v>
      </c>
      <c r="BW52" s="55" t="s">
        <v>4</v>
      </c>
      <c r="BX52" s="55" t="s">
        <v>4</v>
      </c>
      <c r="BY52" s="55" t="s">
        <v>4</v>
      </c>
      <c r="BZ52" s="55" t="s">
        <v>4</v>
      </c>
      <c r="CA52" s="55" t="s">
        <v>4</v>
      </c>
      <c r="CB52" s="55">
        <v>2.9600000000000009</v>
      </c>
      <c r="CC52" s="55" t="s">
        <v>4</v>
      </c>
      <c r="CD52" s="55" t="s">
        <v>4</v>
      </c>
      <c r="CE52" s="55" t="s">
        <v>4</v>
      </c>
      <c r="CF52" s="55" t="s">
        <v>4</v>
      </c>
      <c r="CG52" s="55" t="s">
        <v>4</v>
      </c>
      <c r="CH52" s="55">
        <v>1</v>
      </c>
      <c r="CI52" s="55">
        <v>1</v>
      </c>
      <c r="CJ52">
        <v>11</v>
      </c>
      <c r="CK52" s="55">
        <v>2</v>
      </c>
      <c r="CL52">
        <f t="shared" si="0"/>
        <v>0.15000000000000002</v>
      </c>
      <c r="CM52">
        <f t="shared" si="1"/>
        <v>58.31</v>
      </c>
      <c r="CN52" t="s">
        <v>309</v>
      </c>
      <c r="CO52" t="s">
        <v>309</v>
      </c>
    </row>
    <row r="53" spans="1:93" x14ac:dyDescent="0.25">
      <c r="A53" s="50">
        <v>44588.725694444445</v>
      </c>
      <c r="B53" s="51" t="s">
        <v>761</v>
      </c>
      <c r="C53" s="51" t="s">
        <v>214</v>
      </c>
      <c r="D53" s="55">
        <v>44588.725694444445</v>
      </c>
      <c r="E53" s="55" t="s">
        <v>4</v>
      </c>
      <c r="F53" s="55" t="s">
        <v>4</v>
      </c>
      <c r="G53" s="55">
        <v>0.3</v>
      </c>
      <c r="H53" s="55">
        <v>7.25</v>
      </c>
      <c r="I53" s="55" t="s">
        <v>4</v>
      </c>
      <c r="J53" s="55" t="s">
        <v>4</v>
      </c>
      <c r="K53" s="55" t="s">
        <v>4</v>
      </c>
      <c r="L53" s="55" t="s">
        <v>4</v>
      </c>
      <c r="M53" s="55">
        <v>5.97</v>
      </c>
      <c r="N53" s="55">
        <v>620.94000000000005</v>
      </c>
      <c r="O53" s="55">
        <v>12.12</v>
      </c>
      <c r="P53" s="55" t="s">
        <v>4</v>
      </c>
      <c r="Q53" s="55" t="s">
        <v>4</v>
      </c>
      <c r="R53" s="55" t="s">
        <v>4</v>
      </c>
      <c r="S53" s="55" t="s">
        <v>4</v>
      </c>
      <c r="T53" s="55">
        <v>3.3</v>
      </c>
      <c r="U53" s="55" t="s">
        <v>4</v>
      </c>
      <c r="V53" s="55" t="s">
        <v>4</v>
      </c>
      <c r="W53" s="55" t="s">
        <v>4</v>
      </c>
      <c r="X53" s="55">
        <v>0.55000000000000004</v>
      </c>
      <c r="Y53" s="55" t="s">
        <v>4</v>
      </c>
      <c r="Z53" s="55">
        <v>0.61000000000000032</v>
      </c>
      <c r="AA53" s="55">
        <v>0.24</v>
      </c>
      <c r="AB53" s="55" t="s">
        <v>4</v>
      </c>
      <c r="AC53" s="55">
        <v>108.67</v>
      </c>
      <c r="AD53" s="55" t="s">
        <v>4</v>
      </c>
      <c r="AE53" s="55" t="s">
        <v>4</v>
      </c>
      <c r="AF53" s="55" t="s">
        <v>4</v>
      </c>
      <c r="AG53" s="55" t="s">
        <v>4</v>
      </c>
      <c r="AH53" s="55" t="s">
        <v>4</v>
      </c>
      <c r="AI53" s="55" t="s">
        <v>4</v>
      </c>
      <c r="AJ53" s="55">
        <v>15.22</v>
      </c>
      <c r="AK53" s="55" t="s">
        <v>4</v>
      </c>
      <c r="AL53" s="55" t="s">
        <v>4</v>
      </c>
      <c r="AM53" s="55" t="s">
        <v>4</v>
      </c>
      <c r="AN53" s="55">
        <v>0.55000000000000004</v>
      </c>
      <c r="AO53" s="55" t="s">
        <v>4</v>
      </c>
      <c r="AP53" s="55" t="s">
        <v>4</v>
      </c>
      <c r="AQ53" s="55">
        <v>2.58</v>
      </c>
      <c r="AR53" s="55">
        <v>2.6</v>
      </c>
      <c r="AS53" s="55" t="s">
        <v>4</v>
      </c>
      <c r="AT53" s="55" t="s">
        <v>4</v>
      </c>
      <c r="AU53" s="55" t="s">
        <v>4</v>
      </c>
      <c r="AV53" s="55" t="s">
        <v>4</v>
      </c>
      <c r="AW53" s="55" t="s">
        <v>4</v>
      </c>
      <c r="AX53" s="55" t="s">
        <v>4</v>
      </c>
      <c r="AY53" s="55" t="s">
        <v>4</v>
      </c>
      <c r="AZ53" s="55" t="s">
        <v>4</v>
      </c>
      <c r="BA53" s="55" t="s">
        <v>4</v>
      </c>
      <c r="BB53" s="55" t="s">
        <v>4</v>
      </c>
      <c r="BC53" s="55" t="s">
        <v>4</v>
      </c>
      <c r="BD53" s="55">
        <v>5.18</v>
      </c>
      <c r="BE53" s="55" t="s">
        <v>4</v>
      </c>
      <c r="BF53" s="55" t="s">
        <v>4</v>
      </c>
      <c r="BG53" s="55">
        <v>22.59</v>
      </c>
      <c r="BH53" s="55" t="s">
        <v>4</v>
      </c>
      <c r="BI53" s="55" t="s">
        <v>4</v>
      </c>
      <c r="BJ53" s="55" t="s">
        <v>4</v>
      </c>
      <c r="BK53" s="55">
        <v>7.21</v>
      </c>
      <c r="BL53" s="55" t="s">
        <v>4</v>
      </c>
      <c r="BM53" s="55" t="s">
        <v>4</v>
      </c>
      <c r="BN53" s="55" t="s">
        <v>4</v>
      </c>
      <c r="BO53" s="55">
        <v>3.83</v>
      </c>
      <c r="BP53" s="55" t="s">
        <v>4</v>
      </c>
      <c r="BQ53" s="55">
        <v>1.0900000000000001</v>
      </c>
      <c r="BR53" s="55" t="s">
        <v>4</v>
      </c>
      <c r="BS53" s="55" t="s">
        <v>4</v>
      </c>
      <c r="BT53" s="55" t="s">
        <v>4</v>
      </c>
      <c r="BU53" s="55" t="s">
        <v>4</v>
      </c>
      <c r="BV53" s="55" t="s">
        <v>4</v>
      </c>
      <c r="BW53" s="55" t="s">
        <v>4</v>
      </c>
      <c r="BX53" s="55" t="s">
        <v>4</v>
      </c>
      <c r="BY53" s="55" t="s">
        <v>4</v>
      </c>
      <c r="BZ53" s="55" t="s">
        <v>4</v>
      </c>
      <c r="CA53" s="55" t="s">
        <v>4</v>
      </c>
      <c r="CB53" s="55">
        <v>11.389999999999999</v>
      </c>
      <c r="CC53" s="55" t="s">
        <v>4</v>
      </c>
      <c r="CD53" s="55" t="s">
        <v>4</v>
      </c>
      <c r="CE53" s="55" t="s">
        <v>4</v>
      </c>
      <c r="CF53" s="55" t="s">
        <v>4</v>
      </c>
      <c r="CG53" s="55" t="s">
        <v>4</v>
      </c>
      <c r="CH53" s="55">
        <v>2</v>
      </c>
      <c r="CI53" s="55">
        <v>1</v>
      </c>
      <c r="CJ53">
        <v>112</v>
      </c>
      <c r="CK53" s="55">
        <v>1</v>
      </c>
      <c r="CL53">
        <f t="shared" si="0"/>
        <v>0.24</v>
      </c>
      <c r="CM53">
        <f t="shared" si="1"/>
        <v>620.94000000000005</v>
      </c>
      <c r="CN53" t="s">
        <v>310</v>
      </c>
      <c r="CO53" t="s">
        <v>310</v>
      </c>
    </row>
    <row r="54" spans="1:93" s="61" customFormat="1" x14ac:dyDescent="0.25">
      <c r="A54" s="57">
        <v>44588.725694444445</v>
      </c>
      <c r="B54" s="58" t="s">
        <v>762</v>
      </c>
      <c r="C54" s="58" t="s">
        <v>215</v>
      </c>
      <c r="D54" s="59">
        <v>44588.725694444445</v>
      </c>
      <c r="E54" s="59" t="s">
        <v>4</v>
      </c>
      <c r="F54" s="59" t="s">
        <v>4</v>
      </c>
      <c r="G54" s="59">
        <v>0.55000000000000004</v>
      </c>
      <c r="H54" s="59">
        <v>1.18</v>
      </c>
      <c r="I54" s="59" t="s">
        <v>4</v>
      </c>
      <c r="J54" s="59" t="s">
        <v>4</v>
      </c>
      <c r="K54" s="59" t="s">
        <v>4</v>
      </c>
      <c r="L54" s="59" t="s">
        <v>4</v>
      </c>
      <c r="M54" s="59" t="s">
        <v>4</v>
      </c>
      <c r="N54" s="59">
        <v>53.98</v>
      </c>
      <c r="O54" s="59">
        <v>89.06</v>
      </c>
      <c r="P54" s="59">
        <v>2.75</v>
      </c>
      <c r="Q54" s="59" t="s">
        <v>4</v>
      </c>
      <c r="R54" s="59" t="s">
        <v>4</v>
      </c>
      <c r="S54" s="59">
        <v>7.92</v>
      </c>
      <c r="T54" s="59">
        <v>0.48</v>
      </c>
      <c r="U54" s="59" t="s">
        <v>4</v>
      </c>
      <c r="V54" s="59" t="s">
        <v>4</v>
      </c>
      <c r="W54" s="59" t="s">
        <v>4</v>
      </c>
      <c r="X54" s="59" t="s">
        <v>4</v>
      </c>
      <c r="Y54" s="59">
        <v>3.25</v>
      </c>
      <c r="Z54" s="59" t="s">
        <v>4</v>
      </c>
      <c r="AA54" s="59">
        <v>0.65000000000000013</v>
      </c>
      <c r="AB54" s="59" t="s">
        <v>4</v>
      </c>
      <c r="AC54" s="59">
        <v>37.42</v>
      </c>
      <c r="AD54" s="59" t="s">
        <v>4</v>
      </c>
      <c r="AE54" s="59" t="s">
        <v>4</v>
      </c>
      <c r="AF54" s="59" t="s">
        <v>4</v>
      </c>
      <c r="AG54" s="59" t="s">
        <v>4</v>
      </c>
      <c r="AH54" s="59" t="s">
        <v>4</v>
      </c>
      <c r="AI54" s="59" t="s">
        <v>4</v>
      </c>
      <c r="AJ54" s="59">
        <v>13.31</v>
      </c>
      <c r="AK54" s="59" t="s">
        <v>4</v>
      </c>
      <c r="AL54" s="59" t="s">
        <v>4</v>
      </c>
      <c r="AM54" s="59" t="s">
        <v>4</v>
      </c>
      <c r="AN54" s="59">
        <v>0.82000000000000006</v>
      </c>
      <c r="AO54" s="59" t="s">
        <v>4</v>
      </c>
      <c r="AP54" s="59" t="s">
        <v>4</v>
      </c>
      <c r="AQ54" s="59">
        <v>2.77</v>
      </c>
      <c r="AR54" s="59">
        <v>1.02</v>
      </c>
      <c r="AS54" s="59" t="s">
        <v>4</v>
      </c>
      <c r="AT54" s="59" t="s">
        <v>4</v>
      </c>
      <c r="AU54" s="59" t="s">
        <v>4</v>
      </c>
      <c r="AV54" s="59" t="s">
        <v>4</v>
      </c>
      <c r="AW54" s="59">
        <v>1.54</v>
      </c>
      <c r="AX54" s="59" t="s">
        <v>4</v>
      </c>
      <c r="AY54" s="59" t="s">
        <v>4</v>
      </c>
      <c r="AZ54" s="59" t="s">
        <v>4</v>
      </c>
      <c r="BA54" s="59" t="s">
        <v>4</v>
      </c>
      <c r="BB54" s="59" t="s">
        <v>4</v>
      </c>
      <c r="BC54" s="59" t="s">
        <v>4</v>
      </c>
      <c r="BD54" s="59">
        <v>1.71</v>
      </c>
      <c r="BE54" s="59" t="s">
        <v>4</v>
      </c>
      <c r="BF54" s="59" t="s">
        <v>4</v>
      </c>
      <c r="BG54" s="59">
        <v>3.18</v>
      </c>
      <c r="BH54" s="59" t="s">
        <v>4</v>
      </c>
      <c r="BI54" s="59" t="s">
        <v>4</v>
      </c>
      <c r="BJ54" s="59" t="s">
        <v>4</v>
      </c>
      <c r="BK54" s="59" t="s">
        <v>4</v>
      </c>
      <c r="BL54" s="59" t="s">
        <v>4</v>
      </c>
      <c r="BM54" s="59" t="s">
        <v>4</v>
      </c>
      <c r="BN54" s="59" t="s">
        <v>4</v>
      </c>
      <c r="BO54" s="59">
        <v>6.18</v>
      </c>
      <c r="BP54" s="59" t="s">
        <v>4</v>
      </c>
      <c r="BQ54" s="59" t="s">
        <v>4</v>
      </c>
      <c r="BR54" s="59" t="s">
        <v>4</v>
      </c>
      <c r="BS54" s="59" t="s">
        <v>4</v>
      </c>
      <c r="BT54" s="59" t="s">
        <v>4</v>
      </c>
      <c r="BU54" s="59" t="s">
        <v>4</v>
      </c>
      <c r="BV54" s="59" t="s">
        <v>4</v>
      </c>
      <c r="BW54" s="59" t="s">
        <v>4</v>
      </c>
      <c r="BX54" s="59" t="s">
        <v>4</v>
      </c>
      <c r="BY54" s="59" t="s">
        <v>4</v>
      </c>
      <c r="BZ54" s="59" t="s">
        <v>4</v>
      </c>
      <c r="CA54" s="59" t="s">
        <v>4</v>
      </c>
      <c r="CB54" s="59" t="s">
        <v>4</v>
      </c>
      <c r="CC54" s="59" t="s">
        <v>4</v>
      </c>
      <c r="CD54" s="59" t="s">
        <v>4</v>
      </c>
      <c r="CE54" s="59" t="s">
        <v>4</v>
      </c>
      <c r="CF54" s="59" t="s">
        <v>4</v>
      </c>
      <c r="CG54" s="59" t="s">
        <v>4</v>
      </c>
      <c r="CH54" s="59">
        <v>2</v>
      </c>
      <c r="CI54" s="59">
        <v>1</v>
      </c>
      <c r="CJ54">
        <v>12</v>
      </c>
      <c r="CK54" s="59">
        <v>2</v>
      </c>
      <c r="CL54">
        <f t="shared" si="0"/>
        <v>0.48</v>
      </c>
      <c r="CM54">
        <f t="shared" si="1"/>
        <v>89.06</v>
      </c>
      <c r="CN54" s="62" t="s">
        <v>311</v>
      </c>
      <c r="CO54" s="61" t="s">
        <v>311</v>
      </c>
    </row>
    <row r="55" spans="1:93" x14ac:dyDescent="0.25">
      <c r="A55" s="50">
        <v>44591.4375</v>
      </c>
      <c r="B55" s="51" t="s">
        <v>763</v>
      </c>
      <c r="C55" s="51" t="s">
        <v>216</v>
      </c>
      <c r="D55" s="55">
        <v>44591.4375</v>
      </c>
      <c r="E55" s="55" t="s">
        <v>4</v>
      </c>
      <c r="F55" s="55" t="s">
        <v>4</v>
      </c>
      <c r="G55" s="55" t="s">
        <v>4</v>
      </c>
      <c r="H55" s="55" t="s">
        <v>4</v>
      </c>
      <c r="I55" s="55" t="s">
        <v>4</v>
      </c>
      <c r="J55" s="55" t="s">
        <v>4</v>
      </c>
      <c r="K55" s="55">
        <v>1.33</v>
      </c>
      <c r="L55" s="55" t="s">
        <v>4</v>
      </c>
      <c r="M55" s="55" t="s">
        <v>4</v>
      </c>
      <c r="N55" s="55">
        <v>48.01</v>
      </c>
      <c r="O55" s="55">
        <v>3.37</v>
      </c>
      <c r="P55" s="55" t="s">
        <v>4</v>
      </c>
      <c r="Q55" s="55" t="s">
        <v>4</v>
      </c>
      <c r="R55" s="55" t="s">
        <v>4</v>
      </c>
      <c r="S55" s="55" t="s">
        <v>4</v>
      </c>
      <c r="T55" s="55">
        <v>1.3</v>
      </c>
      <c r="U55" s="55" t="s">
        <v>4</v>
      </c>
      <c r="V55" s="55" t="s">
        <v>4</v>
      </c>
      <c r="W55" s="55" t="s">
        <v>4</v>
      </c>
      <c r="X55" s="55" t="s">
        <v>4</v>
      </c>
      <c r="Y55" s="55" t="s">
        <v>4</v>
      </c>
      <c r="Z55" s="55">
        <v>3.62</v>
      </c>
      <c r="AA55" s="55">
        <v>0.62000000000000011</v>
      </c>
      <c r="AB55" s="55" t="s">
        <v>4</v>
      </c>
      <c r="AC55" s="55">
        <v>31.99</v>
      </c>
      <c r="AD55" s="55" t="s">
        <v>4</v>
      </c>
      <c r="AE55" s="55" t="s">
        <v>4</v>
      </c>
      <c r="AF55" s="55" t="s">
        <v>4</v>
      </c>
      <c r="AG55" s="55" t="s">
        <v>4</v>
      </c>
      <c r="AH55" s="55" t="s">
        <v>4</v>
      </c>
      <c r="AI55" s="55" t="s">
        <v>4</v>
      </c>
      <c r="AJ55" s="55">
        <v>3.04</v>
      </c>
      <c r="AK55" s="55" t="s">
        <v>4</v>
      </c>
      <c r="AL55" s="55" t="s">
        <v>4</v>
      </c>
      <c r="AM55" s="55" t="s">
        <v>4</v>
      </c>
      <c r="AN55" s="55">
        <v>0.44000000000000006</v>
      </c>
      <c r="AO55" s="55" t="s">
        <v>4</v>
      </c>
      <c r="AP55" s="55" t="s">
        <v>4</v>
      </c>
      <c r="AQ55" s="55">
        <v>1.22</v>
      </c>
      <c r="AR55" s="55">
        <v>2.34</v>
      </c>
      <c r="AS55" s="55" t="s">
        <v>4</v>
      </c>
      <c r="AT55" s="55" t="s">
        <v>4</v>
      </c>
      <c r="AU55" s="55" t="s">
        <v>4</v>
      </c>
      <c r="AV55" s="55" t="s">
        <v>4</v>
      </c>
      <c r="AW55" s="55" t="s">
        <v>4</v>
      </c>
      <c r="AX55" s="55">
        <v>0.68</v>
      </c>
      <c r="AY55" s="55" t="s">
        <v>4</v>
      </c>
      <c r="AZ55" s="55" t="s">
        <v>4</v>
      </c>
      <c r="BA55" s="55" t="s">
        <v>4</v>
      </c>
      <c r="BB55" s="55" t="s">
        <v>4</v>
      </c>
      <c r="BC55" s="55" t="s">
        <v>4</v>
      </c>
      <c r="BD55" s="55">
        <v>27.19</v>
      </c>
      <c r="BE55" s="55" t="s">
        <v>4</v>
      </c>
      <c r="BF55" s="55" t="s">
        <v>4</v>
      </c>
      <c r="BG55" s="55">
        <v>5.52</v>
      </c>
      <c r="BH55" s="55" t="s">
        <v>4</v>
      </c>
      <c r="BI55" s="55" t="s">
        <v>4</v>
      </c>
      <c r="BJ55" s="55" t="s">
        <v>4</v>
      </c>
      <c r="BK55" s="55">
        <v>1.59</v>
      </c>
      <c r="BL55" s="55" t="s">
        <v>4</v>
      </c>
      <c r="BM55" s="55" t="s">
        <v>4</v>
      </c>
      <c r="BN55" s="55" t="s">
        <v>4</v>
      </c>
      <c r="BO55" s="55">
        <v>17.64</v>
      </c>
      <c r="BP55" s="55" t="s">
        <v>4</v>
      </c>
      <c r="BQ55" s="55">
        <v>1.96</v>
      </c>
      <c r="BR55" s="55" t="s">
        <v>4</v>
      </c>
      <c r="BS55" s="55" t="s">
        <v>4</v>
      </c>
      <c r="BT55" s="55" t="s">
        <v>4</v>
      </c>
      <c r="BU55" s="55" t="s">
        <v>4</v>
      </c>
      <c r="BV55" s="55" t="s">
        <v>4</v>
      </c>
      <c r="BW55" s="55" t="s">
        <v>4</v>
      </c>
      <c r="BX55" s="55" t="s">
        <v>4</v>
      </c>
      <c r="BY55" s="55" t="s">
        <v>4</v>
      </c>
      <c r="BZ55" s="55" t="s">
        <v>4</v>
      </c>
      <c r="CA55" s="55" t="s">
        <v>4</v>
      </c>
      <c r="CB55" s="55">
        <v>4.4700000000000006</v>
      </c>
      <c r="CC55" s="55" t="s">
        <v>4</v>
      </c>
      <c r="CD55" s="55" t="s">
        <v>4</v>
      </c>
      <c r="CE55" s="55" t="s">
        <v>4</v>
      </c>
      <c r="CF55" s="55" t="s">
        <v>4</v>
      </c>
      <c r="CG55" s="55" t="s">
        <v>4</v>
      </c>
      <c r="CH55" s="55">
        <v>1</v>
      </c>
      <c r="CI55" s="55">
        <v>1</v>
      </c>
      <c r="CJ55">
        <v>111</v>
      </c>
      <c r="CK55" s="55">
        <v>2</v>
      </c>
      <c r="CL55">
        <f t="shared" si="0"/>
        <v>0.44000000000000006</v>
      </c>
      <c r="CM55">
        <f t="shared" si="1"/>
        <v>48.01</v>
      </c>
      <c r="CN55" t="s">
        <v>312</v>
      </c>
      <c r="CO55" t="s">
        <v>312</v>
      </c>
    </row>
    <row r="56" spans="1:93" x14ac:dyDescent="0.25">
      <c r="A56" s="50">
        <v>44591.447916666664</v>
      </c>
      <c r="B56" s="51" t="s">
        <v>764</v>
      </c>
      <c r="C56" s="51" t="s">
        <v>217</v>
      </c>
      <c r="D56" s="55">
        <v>44591.447916666664</v>
      </c>
      <c r="E56" s="55" t="s">
        <v>4</v>
      </c>
      <c r="F56" s="55" t="s">
        <v>4</v>
      </c>
      <c r="G56" s="55">
        <v>1.27</v>
      </c>
      <c r="H56" s="55">
        <v>3.63</v>
      </c>
      <c r="I56" s="55" t="s">
        <v>4</v>
      </c>
      <c r="J56" s="55" t="s">
        <v>4</v>
      </c>
      <c r="K56" s="55">
        <v>1.26</v>
      </c>
      <c r="L56" s="55" t="s">
        <v>4</v>
      </c>
      <c r="M56" s="55">
        <v>13.85</v>
      </c>
      <c r="N56" s="55" t="s">
        <v>4</v>
      </c>
      <c r="O56" s="55">
        <v>103.84</v>
      </c>
      <c r="P56" s="55" t="s">
        <v>4</v>
      </c>
      <c r="Q56" s="55" t="s">
        <v>4</v>
      </c>
      <c r="R56" s="55" t="s">
        <v>4</v>
      </c>
      <c r="S56" s="55" t="s">
        <v>4</v>
      </c>
      <c r="T56" s="55">
        <v>0.39</v>
      </c>
      <c r="U56" s="55" t="s">
        <v>4</v>
      </c>
      <c r="V56" s="55" t="s">
        <v>4</v>
      </c>
      <c r="W56" s="55" t="s">
        <v>4</v>
      </c>
      <c r="X56" s="55" t="s">
        <v>4</v>
      </c>
      <c r="Y56" s="55" t="s">
        <v>4</v>
      </c>
      <c r="Z56" s="55">
        <v>6.0799999999999992</v>
      </c>
      <c r="AA56" s="55">
        <v>0.56000000000000005</v>
      </c>
      <c r="AB56" s="55" t="s">
        <v>4</v>
      </c>
      <c r="AC56" s="55">
        <v>12.23</v>
      </c>
      <c r="AD56" s="55" t="s">
        <v>4</v>
      </c>
      <c r="AE56" s="55" t="s">
        <v>4</v>
      </c>
      <c r="AF56" s="55" t="s">
        <v>4</v>
      </c>
      <c r="AG56" s="55" t="s">
        <v>4</v>
      </c>
      <c r="AH56" s="55" t="s">
        <v>4</v>
      </c>
      <c r="AI56" s="55" t="s">
        <v>4</v>
      </c>
      <c r="AJ56" s="55">
        <v>2.79</v>
      </c>
      <c r="AK56" s="55" t="s">
        <v>4</v>
      </c>
      <c r="AL56" s="55">
        <v>11.11</v>
      </c>
      <c r="AM56" s="55" t="s">
        <v>4</v>
      </c>
      <c r="AN56" s="55">
        <v>0.21999999999999997</v>
      </c>
      <c r="AO56" s="55" t="s">
        <v>4</v>
      </c>
      <c r="AP56" s="55" t="s">
        <v>4</v>
      </c>
      <c r="AQ56" s="55">
        <v>1.27</v>
      </c>
      <c r="AR56" s="55">
        <v>13.12</v>
      </c>
      <c r="AS56" s="55" t="s">
        <v>4</v>
      </c>
      <c r="AT56" s="55" t="s">
        <v>4</v>
      </c>
      <c r="AU56" s="55" t="s">
        <v>4</v>
      </c>
      <c r="AV56" s="55" t="s">
        <v>4</v>
      </c>
      <c r="AW56" s="55" t="s">
        <v>4</v>
      </c>
      <c r="AX56" s="55">
        <v>1.04</v>
      </c>
      <c r="AY56" s="55" t="s">
        <v>4</v>
      </c>
      <c r="AZ56" s="55" t="s">
        <v>4</v>
      </c>
      <c r="BA56" s="55" t="s">
        <v>4</v>
      </c>
      <c r="BB56" s="55">
        <v>0.82</v>
      </c>
      <c r="BC56" s="55" t="s">
        <v>4</v>
      </c>
      <c r="BD56" s="55">
        <v>15.280000000000001</v>
      </c>
      <c r="BE56" s="55" t="s">
        <v>4</v>
      </c>
      <c r="BF56" s="55" t="s">
        <v>4</v>
      </c>
      <c r="BG56" s="55">
        <v>2.21</v>
      </c>
      <c r="BH56" s="55" t="s">
        <v>4</v>
      </c>
      <c r="BI56" s="55" t="s">
        <v>4</v>
      </c>
      <c r="BJ56" s="55" t="s">
        <v>4</v>
      </c>
      <c r="BK56" s="55" t="s">
        <v>4</v>
      </c>
      <c r="BL56" s="55" t="s">
        <v>4</v>
      </c>
      <c r="BM56" s="55" t="s">
        <v>4</v>
      </c>
      <c r="BN56" s="55" t="s">
        <v>4</v>
      </c>
      <c r="BO56" s="55">
        <v>18.8</v>
      </c>
      <c r="BP56" s="55" t="s">
        <v>4</v>
      </c>
      <c r="BQ56" s="55">
        <v>9.27</v>
      </c>
      <c r="BR56" s="55" t="s">
        <v>4</v>
      </c>
      <c r="BS56" s="55" t="s">
        <v>4</v>
      </c>
      <c r="BT56" s="55" t="s">
        <v>4</v>
      </c>
      <c r="BU56" s="55" t="s">
        <v>4</v>
      </c>
      <c r="BV56" s="55" t="s">
        <v>4</v>
      </c>
      <c r="BW56" s="55" t="s">
        <v>4</v>
      </c>
      <c r="BX56" s="55" t="s">
        <v>4</v>
      </c>
      <c r="BY56" s="55" t="s">
        <v>4</v>
      </c>
      <c r="BZ56" s="55" t="s">
        <v>4</v>
      </c>
      <c r="CA56" s="55" t="s">
        <v>4</v>
      </c>
      <c r="CB56" s="55">
        <v>2.0199999999999996</v>
      </c>
      <c r="CC56" s="55" t="s">
        <v>4</v>
      </c>
      <c r="CD56" s="55" t="s">
        <v>4</v>
      </c>
      <c r="CE56" s="55" t="s">
        <v>4</v>
      </c>
      <c r="CF56" s="55" t="s">
        <v>4</v>
      </c>
      <c r="CG56" s="55" t="s">
        <v>4</v>
      </c>
      <c r="CH56" s="55">
        <v>1</v>
      </c>
      <c r="CI56" s="55">
        <v>1</v>
      </c>
      <c r="CJ56">
        <v>11</v>
      </c>
      <c r="CK56" s="55" t="s">
        <v>348</v>
      </c>
      <c r="CL56">
        <f t="shared" si="0"/>
        <v>0.21999999999999997</v>
      </c>
      <c r="CM56">
        <f t="shared" si="1"/>
        <v>103.84</v>
      </c>
      <c r="CN56" t="s">
        <v>313</v>
      </c>
      <c r="CO56" t="s">
        <v>313</v>
      </c>
    </row>
    <row r="57" spans="1:93" x14ac:dyDescent="0.25">
      <c r="A57" s="50">
        <v>44591.506944444445</v>
      </c>
      <c r="B57" s="51" t="s">
        <v>765</v>
      </c>
      <c r="C57" s="51" t="s">
        <v>218</v>
      </c>
      <c r="D57" s="55">
        <v>44591.506944444445</v>
      </c>
      <c r="E57" s="55" t="s">
        <v>4</v>
      </c>
      <c r="F57" s="55" t="s">
        <v>4</v>
      </c>
      <c r="G57" s="55" t="s">
        <v>4</v>
      </c>
      <c r="H57" s="55">
        <v>3.78</v>
      </c>
      <c r="I57" s="55" t="s">
        <v>4</v>
      </c>
      <c r="J57" s="55" t="s">
        <v>4</v>
      </c>
      <c r="K57" s="55">
        <v>0.74</v>
      </c>
      <c r="L57" s="55" t="s">
        <v>4</v>
      </c>
      <c r="M57" s="55" t="s">
        <v>4</v>
      </c>
      <c r="N57" s="55">
        <v>143.77000000000001</v>
      </c>
      <c r="O57" s="55">
        <v>8.27</v>
      </c>
      <c r="P57" s="55" t="s">
        <v>4</v>
      </c>
      <c r="Q57" s="55" t="s">
        <v>4</v>
      </c>
      <c r="R57" s="55" t="s">
        <v>4</v>
      </c>
      <c r="S57" s="55" t="s">
        <v>4</v>
      </c>
      <c r="T57" s="55">
        <v>1.92</v>
      </c>
      <c r="U57" s="55" t="s">
        <v>4</v>
      </c>
      <c r="V57" s="55" t="s">
        <v>4</v>
      </c>
      <c r="W57" s="55" t="s">
        <v>4</v>
      </c>
      <c r="X57" s="55">
        <v>0.64</v>
      </c>
      <c r="Y57" s="55" t="s">
        <v>4</v>
      </c>
      <c r="Z57" s="55">
        <v>1.0700000000000003</v>
      </c>
      <c r="AA57" s="55">
        <v>0.13</v>
      </c>
      <c r="AB57" s="55" t="s">
        <v>4</v>
      </c>
      <c r="AC57" s="55">
        <v>114.85</v>
      </c>
      <c r="AD57" s="55" t="s">
        <v>4</v>
      </c>
      <c r="AE57" s="55" t="s">
        <v>4</v>
      </c>
      <c r="AF57" s="55" t="s">
        <v>4</v>
      </c>
      <c r="AG57" s="55" t="s">
        <v>4</v>
      </c>
      <c r="AH57" s="55" t="s">
        <v>4</v>
      </c>
      <c r="AI57" s="55" t="s">
        <v>4</v>
      </c>
      <c r="AJ57" s="55">
        <v>8.91</v>
      </c>
      <c r="AK57" s="55" t="s">
        <v>4</v>
      </c>
      <c r="AL57" s="55" t="s">
        <v>4</v>
      </c>
      <c r="AM57" s="55" t="s">
        <v>4</v>
      </c>
      <c r="AN57" s="55">
        <v>0.26</v>
      </c>
      <c r="AO57" s="55" t="s">
        <v>4</v>
      </c>
      <c r="AP57" s="55" t="s">
        <v>4</v>
      </c>
      <c r="AQ57" s="55">
        <v>2.68</v>
      </c>
      <c r="AR57" s="55">
        <v>2.04</v>
      </c>
      <c r="AS57" s="55" t="s">
        <v>4</v>
      </c>
      <c r="AT57" s="55" t="s">
        <v>4</v>
      </c>
      <c r="AU57" s="55" t="s">
        <v>4</v>
      </c>
      <c r="AV57" s="55" t="s">
        <v>4</v>
      </c>
      <c r="AW57" s="55" t="s">
        <v>4</v>
      </c>
      <c r="AX57" s="55">
        <v>0.31</v>
      </c>
      <c r="AY57" s="55" t="s">
        <v>4</v>
      </c>
      <c r="AZ57" s="55" t="s">
        <v>4</v>
      </c>
      <c r="BA57" s="55" t="s">
        <v>4</v>
      </c>
      <c r="BB57" s="55" t="s">
        <v>4</v>
      </c>
      <c r="BC57" s="55" t="s">
        <v>4</v>
      </c>
      <c r="BD57" s="55">
        <v>21.54</v>
      </c>
      <c r="BE57" s="55" t="s">
        <v>4</v>
      </c>
      <c r="BF57" s="55" t="s">
        <v>4</v>
      </c>
      <c r="BG57" s="55">
        <v>10.27</v>
      </c>
      <c r="BH57" s="55" t="s">
        <v>4</v>
      </c>
      <c r="BI57" s="55" t="s">
        <v>4</v>
      </c>
      <c r="BJ57" s="55" t="s">
        <v>4</v>
      </c>
      <c r="BK57" s="55">
        <v>4.67</v>
      </c>
      <c r="BL57" s="55" t="s">
        <v>4</v>
      </c>
      <c r="BM57" s="55" t="s">
        <v>4</v>
      </c>
      <c r="BN57" s="55" t="s">
        <v>4</v>
      </c>
      <c r="BO57" s="55">
        <v>10.8</v>
      </c>
      <c r="BP57" s="55" t="s">
        <v>4</v>
      </c>
      <c r="BQ57" s="55">
        <v>1.5</v>
      </c>
      <c r="BR57" s="55" t="s">
        <v>4</v>
      </c>
      <c r="BS57" s="55" t="s">
        <v>4</v>
      </c>
      <c r="BT57" s="55" t="s">
        <v>4</v>
      </c>
      <c r="BU57" s="55" t="s">
        <v>4</v>
      </c>
      <c r="BV57" s="55" t="s">
        <v>4</v>
      </c>
      <c r="BW57" s="55" t="s">
        <v>4</v>
      </c>
      <c r="BX57" s="55" t="s">
        <v>4</v>
      </c>
      <c r="BY57" s="55" t="s">
        <v>4</v>
      </c>
      <c r="BZ57" s="55" t="s">
        <v>4</v>
      </c>
      <c r="CA57" s="55" t="s">
        <v>4</v>
      </c>
      <c r="CB57" s="55">
        <v>5.4600000000000009</v>
      </c>
      <c r="CC57" s="55" t="s">
        <v>4</v>
      </c>
      <c r="CD57" s="55" t="s">
        <v>4</v>
      </c>
      <c r="CE57" s="55" t="s">
        <v>4</v>
      </c>
      <c r="CF57" s="55" t="s">
        <v>4</v>
      </c>
      <c r="CG57" s="55" t="s">
        <v>4</v>
      </c>
      <c r="CH57" s="55">
        <v>2</v>
      </c>
      <c r="CI57" s="55">
        <v>1</v>
      </c>
      <c r="CJ57">
        <v>112</v>
      </c>
      <c r="CK57" s="55">
        <v>2</v>
      </c>
      <c r="CL57">
        <f t="shared" si="0"/>
        <v>0.13</v>
      </c>
      <c r="CM57">
        <f t="shared" si="1"/>
        <v>143.77000000000001</v>
      </c>
      <c r="CN57" t="s">
        <v>314</v>
      </c>
      <c r="CO57" t="s">
        <v>314</v>
      </c>
    </row>
    <row r="58" spans="1:93" s="61" customFormat="1" x14ac:dyDescent="0.25">
      <c r="A58" s="57">
        <v>44591.503472222219</v>
      </c>
      <c r="B58" s="58" t="s">
        <v>766</v>
      </c>
      <c r="C58" s="58" t="s">
        <v>219</v>
      </c>
      <c r="D58" s="59">
        <v>44591.503472222219</v>
      </c>
      <c r="E58" s="59" t="s">
        <v>4</v>
      </c>
      <c r="F58" s="59" t="s">
        <v>4</v>
      </c>
      <c r="G58" s="59">
        <v>0.61</v>
      </c>
      <c r="H58" s="59">
        <v>0.9</v>
      </c>
      <c r="I58" s="59" t="s">
        <v>4</v>
      </c>
      <c r="J58" s="59" t="s">
        <v>4</v>
      </c>
      <c r="K58" s="59" t="s">
        <v>4</v>
      </c>
      <c r="L58" s="59" t="s">
        <v>4</v>
      </c>
      <c r="M58" s="59">
        <v>6.65</v>
      </c>
      <c r="N58" s="59" t="s">
        <v>4</v>
      </c>
      <c r="O58" s="59">
        <v>114.8</v>
      </c>
      <c r="P58" s="59">
        <v>4.03</v>
      </c>
      <c r="Q58" s="59" t="s">
        <v>4</v>
      </c>
      <c r="R58" s="59" t="s">
        <v>4</v>
      </c>
      <c r="S58" s="59">
        <v>7.8</v>
      </c>
      <c r="T58" s="59" t="s">
        <v>4</v>
      </c>
      <c r="U58" s="59" t="s">
        <v>4</v>
      </c>
      <c r="V58" s="59" t="s">
        <v>4</v>
      </c>
      <c r="W58" s="59" t="s">
        <v>4</v>
      </c>
      <c r="X58" s="59" t="s">
        <v>4</v>
      </c>
      <c r="Y58" s="59" t="s">
        <v>4</v>
      </c>
      <c r="Z58" s="59">
        <v>1.7800000000000002</v>
      </c>
      <c r="AA58" s="59" t="s">
        <v>4</v>
      </c>
      <c r="AB58" s="59" t="s">
        <v>4</v>
      </c>
      <c r="AC58" s="59">
        <v>27.07</v>
      </c>
      <c r="AD58" s="59" t="s">
        <v>4</v>
      </c>
      <c r="AE58" s="59" t="s">
        <v>4</v>
      </c>
      <c r="AF58" s="59" t="s">
        <v>4</v>
      </c>
      <c r="AG58" s="59" t="s">
        <v>4</v>
      </c>
      <c r="AH58" s="59" t="s">
        <v>4</v>
      </c>
      <c r="AI58" s="59" t="s">
        <v>4</v>
      </c>
      <c r="AJ58" s="59">
        <v>12.21</v>
      </c>
      <c r="AK58" s="59" t="s">
        <v>4</v>
      </c>
      <c r="AL58" s="59">
        <v>6.53</v>
      </c>
      <c r="AM58" s="59" t="s">
        <v>4</v>
      </c>
      <c r="AN58" s="59">
        <v>0.74</v>
      </c>
      <c r="AO58" s="59" t="s">
        <v>4</v>
      </c>
      <c r="AP58" s="59" t="s">
        <v>4</v>
      </c>
      <c r="AQ58" s="59">
        <v>2.95</v>
      </c>
      <c r="AR58" s="59">
        <v>1.26</v>
      </c>
      <c r="AS58" s="59" t="s">
        <v>4</v>
      </c>
      <c r="AT58" s="59" t="s">
        <v>4</v>
      </c>
      <c r="AU58" s="59" t="s">
        <v>4</v>
      </c>
      <c r="AV58" s="59" t="s">
        <v>4</v>
      </c>
      <c r="AW58" s="59">
        <v>2.6</v>
      </c>
      <c r="AX58" s="59">
        <v>0.43</v>
      </c>
      <c r="AY58" s="59" t="s">
        <v>4</v>
      </c>
      <c r="AZ58" s="59" t="s">
        <v>4</v>
      </c>
      <c r="BA58" s="59" t="s">
        <v>4</v>
      </c>
      <c r="BB58" s="59" t="s">
        <v>4</v>
      </c>
      <c r="BC58" s="59">
        <v>0.06</v>
      </c>
      <c r="BD58" s="59">
        <v>6.6099999999999994</v>
      </c>
      <c r="BE58" s="59" t="s">
        <v>4</v>
      </c>
      <c r="BF58" s="59" t="s">
        <v>4</v>
      </c>
      <c r="BG58" s="59" t="s">
        <v>4</v>
      </c>
      <c r="BH58" s="59" t="s">
        <v>4</v>
      </c>
      <c r="BI58" s="59" t="s">
        <v>4</v>
      </c>
      <c r="BJ58" s="59" t="s">
        <v>4</v>
      </c>
      <c r="BK58" s="59" t="s">
        <v>4</v>
      </c>
      <c r="BL58" s="59" t="s">
        <v>4</v>
      </c>
      <c r="BM58" s="59" t="s">
        <v>4</v>
      </c>
      <c r="BN58" s="59" t="s">
        <v>4</v>
      </c>
      <c r="BO58" s="59">
        <v>14.86</v>
      </c>
      <c r="BP58" s="59" t="s">
        <v>4</v>
      </c>
      <c r="BQ58" s="59" t="s">
        <v>4</v>
      </c>
      <c r="BR58" s="59" t="s">
        <v>4</v>
      </c>
      <c r="BS58" s="59" t="s">
        <v>4</v>
      </c>
      <c r="BT58" s="59" t="s">
        <v>4</v>
      </c>
      <c r="BU58" s="59" t="s">
        <v>4</v>
      </c>
      <c r="BV58" s="59" t="s">
        <v>4</v>
      </c>
      <c r="BW58" s="59" t="s">
        <v>4</v>
      </c>
      <c r="BX58" s="59" t="s">
        <v>4</v>
      </c>
      <c r="BY58" s="59" t="s">
        <v>4</v>
      </c>
      <c r="BZ58" s="59" t="s">
        <v>4</v>
      </c>
      <c r="CA58" s="59" t="s">
        <v>4</v>
      </c>
      <c r="CB58" s="59">
        <v>2.1300000000000008</v>
      </c>
      <c r="CC58" s="59" t="s">
        <v>4</v>
      </c>
      <c r="CD58" s="59" t="s">
        <v>4</v>
      </c>
      <c r="CE58" s="59" t="s">
        <v>4</v>
      </c>
      <c r="CF58" s="59" t="s">
        <v>4</v>
      </c>
      <c r="CG58" s="59" t="s">
        <v>4</v>
      </c>
      <c r="CH58" s="59">
        <v>2</v>
      </c>
      <c r="CI58" s="59">
        <v>1</v>
      </c>
      <c r="CJ58">
        <v>12</v>
      </c>
      <c r="CK58" s="59" t="s">
        <v>348</v>
      </c>
      <c r="CL58">
        <f t="shared" si="0"/>
        <v>0.06</v>
      </c>
      <c r="CM58">
        <f t="shared" si="1"/>
        <v>114.8</v>
      </c>
      <c r="CN58" s="61" t="s">
        <v>315</v>
      </c>
      <c r="CO58" s="61" t="s">
        <v>315</v>
      </c>
    </row>
    <row r="59" spans="1:93" x14ac:dyDescent="0.25">
      <c r="A59" s="50">
        <v>44593.430555555555</v>
      </c>
      <c r="B59" s="51" t="s">
        <v>767</v>
      </c>
      <c r="C59" s="51" t="s">
        <v>220</v>
      </c>
      <c r="D59" s="55">
        <v>44593.430555555555</v>
      </c>
      <c r="E59" s="55" t="s">
        <v>4</v>
      </c>
      <c r="F59" s="55" t="s">
        <v>4</v>
      </c>
      <c r="G59" s="55" t="s">
        <v>4</v>
      </c>
      <c r="H59" s="55">
        <v>0.86</v>
      </c>
      <c r="I59" s="55" t="s">
        <v>4</v>
      </c>
      <c r="J59" s="55" t="s">
        <v>4</v>
      </c>
      <c r="K59" s="55">
        <v>1.46</v>
      </c>
      <c r="L59" s="55" t="s">
        <v>4</v>
      </c>
      <c r="M59" s="55" t="s">
        <v>4</v>
      </c>
      <c r="N59" s="55">
        <v>80.27000000000001</v>
      </c>
      <c r="O59" s="55">
        <v>4.3</v>
      </c>
      <c r="P59" s="55" t="s">
        <v>4</v>
      </c>
      <c r="Q59" s="55" t="s">
        <v>4</v>
      </c>
      <c r="R59" s="55" t="s">
        <v>4</v>
      </c>
      <c r="S59" s="55" t="s">
        <v>4</v>
      </c>
      <c r="T59" s="55">
        <v>1.26</v>
      </c>
      <c r="U59" s="55" t="s">
        <v>4</v>
      </c>
      <c r="V59" s="55" t="s">
        <v>4</v>
      </c>
      <c r="W59" s="55" t="s">
        <v>4</v>
      </c>
      <c r="X59" s="55" t="s">
        <v>4</v>
      </c>
      <c r="Y59" s="55" t="s">
        <v>4</v>
      </c>
      <c r="Z59" s="55">
        <v>2.0599999999999996</v>
      </c>
      <c r="AA59" s="55">
        <v>0.64000000000000012</v>
      </c>
      <c r="AB59" s="55" t="s">
        <v>4</v>
      </c>
      <c r="AC59" s="55">
        <v>34.74</v>
      </c>
      <c r="AD59" s="55" t="s">
        <v>4</v>
      </c>
      <c r="AE59" s="55" t="s">
        <v>4</v>
      </c>
      <c r="AF59" s="55" t="s">
        <v>4</v>
      </c>
      <c r="AG59" s="55" t="s">
        <v>4</v>
      </c>
      <c r="AH59" s="55" t="s">
        <v>4</v>
      </c>
      <c r="AI59" s="55" t="s">
        <v>4</v>
      </c>
      <c r="AJ59" s="55">
        <v>3.65</v>
      </c>
      <c r="AK59" s="55" t="s">
        <v>4</v>
      </c>
      <c r="AL59" s="55" t="s">
        <v>4</v>
      </c>
      <c r="AM59" s="55" t="s">
        <v>4</v>
      </c>
      <c r="AN59" s="55">
        <v>0.44999999999999996</v>
      </c>
      <c r="AO59" s="55" t="s">
        <v>4</v>
      </c>
      <c r="AP59" s="55" t="s">
        <v>4</v>
      </c>
      <c r="AQ59" s="55">
        <v>1.7</v>
      </c>
      <c r="AR59" s="55">
        <v>3.09</v>
      </c>
      <c r="AS59" s="55" t="s">
        <v>4</v>
      </c>
      <c r="AT59" s="55" t="s">
        <v>4</v>
      </c>
      <c r="AU59" s="55" t="s">
        <v>4</v>
      </c>
      <c r="AV59" s="55" t="s">
        <v>4</v>
      </c>
      <c r="AW59" s="55" t="s">
        <v>4</v>
      </c>
      <c r="AX59" s="55">
        <v>0.28999999999999998</v>
      </c>
      <c r="AY59" s="55" t="s">
        <v>4</v>
      </c>
      <c r="AZ59" s="55" t="s">
        <v>4</v>
      </c>
      <c r="BA59" s="55" t="s">
        <v>4</v>
      </c>
      <c r="BB59" s="55" t="s">
        <v>4</v>
      </c>
      <c r="BC59" s="55" t="s">
        <v>4</v>
      </c>
      <c r="BD59" s="55">
        <v>17.87</v>
      </c>
      <c r="BE59" s="55" t="s">
        <v>4</v>
      </c>
      <c r="BF59" s="55" t="s">
        <v>4</v>
      </c>
      <c r="BG59" s="55">
        <v>5.44</v>
      </c>
      <c r="BH59" s="55" t="s">
        <v>4</v>
      </c>
      <c r="BI59" s="55" t="s">
        <v>4</v>
      </c>
      <c r="BJ59" s="55" t="s">
        <v>4</v>
      </c>
      <c r="BK59" s="55">
        <v>2.95</v>
      </c>
      <c r="BL59" s="55" t="s">
        <v>4</v>
      </c>
      <c r="BM59" s="55" t="s">
        <v>4</v>
      </c>
      <c r="BN59" s="55" t="s">
        <v>4</v>
      </c>
      <c r="BO59" s="55">
        <v>9.07</v>
      </c>
      <c r="BP59" s="55" t="s">
        <v>4</v>
      </c>
      <c r="BQ59" s="55">
        <v>1.61</v>
      </c>
      <c r="BR59" s="55" t="s">
        <v>4</v>
      </c>
      <c r="BS59" s="55" t="s">
        <v>4</v>
      </c>
      <c r="BT59" s="55" t="s">
        <v>4</v>
      </c>
      <c r="BU59" s="55" t="s">
        <v>4</v>
      </c>
      <c r="BV59" s="55" t="s">
        <v>4</v>
      </c>
      <c r="BW59" s="55" t="s">
        <v>4</v>
      </c>
      <c r="BX59" s="55" t="s">
        <v>4</v>
      </c>
      <c r="BY59" s="55" t="s">
        <v>4</v>
      </c>
      <c r="BZ59" s="55" t="s">
        <v>4</v>
      </c>
      <c r="CA59" s="55">
        <v>0.41999999999999993</v>
      </c>
      <c r="CB59" s="55">
        <v>5.2799999999999994</v>
      </c>
      <c r="CC59" s="55" t="s">
        <v>4</v>
      </c>
      <c r="CD59" s="55" t="s">
        <v>4</v>
      </c>
      <c r="CE59" s="55" t="s">
        <v>4</v>
      </c>
      <c r="CF59" s="55" t="s">
        <v>4</v>
      </c>
      <c r="CG59" s="55" t="s">
        <v>4</v>
      </c>
      <c r="CH59" s="55">
        <v>1</v>
      </c>
      <c r="CI59" s="55">
        <v>1</v>
      </c>
      <c r="CJ59">
        <v>111</v>
      </c>
      <c r="CK59" s="55">
        <v>2</v>
      </c>
      <c r="CL59">
        <f t="shared" si="0"/>
        <v>0.28999999999999998</v>
      </c>
      <c r="CM59">
        <f t="shared" si="1"/>
        <v>80.27000000000001</v>
      </c>
      <c r="CN59" t="s">
        <v>316</v>
      </c>
      <c r="CO59" t="s">
        <v>316</v>
      </c>
    </row>
    <row r="60" spans="1:93" x14ac:dyDescent="0.25">
      <c r="A60" s="50">
        <v>44593.444444444445</v>
      </c>
      <c r="B60" s="51" t="s">
        <v>768</v>
      </c>
      <c r="C60" s="51" t="s">
        <v>221</v>
      </c>
      <c r="D60" s="55">
        <v>44593.444444444445</v>
      </c>
      <c r="E60" s="55" t="s">
        <v>4</v>
      </c>
      <c r="F60" s="55" t="s">
        <v>4</v>
      </c>
      <c r="G60" s="55">
        <v>1.37</v>
      </c>
      <c r="H60" s="55">
        <v>3.85</v>
      </c>
      <c r="I60" s="55" t="s">
        <v>4</v>
      </c>
      <c r="J60" s="55" t="s">
        <v>4</v>
      </c>
      <c r="K60" s="55">
        <v>1.46</v>
      </c>
      <c r="L60" s="55" t="s">
        <v>4</v>
      </c>
      <c r="M60" s="55">
        <v>17.309999999999999</v>
      </c>
      <c r="N60" s="55">
        <v>84.110000000000014</v>
      </c>
      <c r="O60" s="55">
        <v>119.67</v>
      </c>
      <c r="P60" s="55" t="s">
        <v>4</v>
      </c>
      <c r="Q60" s="55" t="s">
        <v>4</v>
      </c>
      <c r="R60" s="55" t="s">
        <v>4</v>
      </c>
      <c r="S60" s="55" t="s">
        <v>4</v>
      </c>
      <c r="T60" s="55">
        <v>0.47</v>
      </c>
      <c r="U60" s="55" t="s">
        <v>4</v>
      </c>
      <c r="V60" s="55" t="s">
        <v>4</v>
      </c>
      <c r="W60" s="55" t="s">
        <v>4</v>
      </c>
      <c r="X60" s="55" t="s">
        <v>4</v>
      </c>
      <c r="Y60" s="55" t="s">
        <v>4</v>
      </c>
      <c r="Z60" s="55">
        <v>5.71</v>
      </c>
      <c r="AA60" s="55" t="s">
        <v>4</v>
      </c>
      <c r="AB60" s="55" t="s">
        <v>4</v>
      </c>
      <c r="AC60" s="55">
        <v>13.46</v>
      </c>
      <c r="AD60" s="55" t="s">
        <v>4</v>
      </c>
      <c r="AE60" s="55" t="s">
        <v>4</v>
      </c>
      <c r="AF60" s="55" t="s">
        <v>4</v>
      </c>
      <c r="AG60" s="55" t="s">
        <v>4</v>
      </c>
      <c r="AH60" s="55" t="s">
        <v>4</v>
      </c>
      <c r="AI60" s="55" t="s">
        <v>4</v>
      </c>
      <c r="AJ60" s="55">
        <v>5.57</v>
      </c>
      <c r="AK60" s="55" t="s">
        <v>4</v>
      </c>
      <c r="AL60" s="55">
        <v>10.82</v>
      </c>
      <c r="AM60" s="55" t="s">
        <v>4</v>
      </c>
      <c r="AN60" s="55">
        <v>0.32000000000000006</v>
      </c>
      <c r="AO60" s="55" t="s">
        <v>4</v>
      </c>
      <c r="AP60" s="55" t="s">
        <v>4</v>
      </c>
      <c r="AQ60" s="55">
        <v>2.62</v>
      </c>
      <c r="AR60" s="55">
        <v>12.58</v>
      </c>
      <c r="AS60" s="55" t="s">
        <v>4</v>
      </c>
      <c r="AT60" s="55" t="s">
        <v>4</v>
      </c>
      <c r="AU60" s="55" t="s">
        <v>4</v>
      </c>
      <c r="AV60" s="55" t="s">
        <v>4</v>
      </c>
      <c r="AW60" s="55" t="s">
        <v>4</v>
      </c>
      <c r="AX60" s="55">
        <v>0.44</v>
      </c>
      <c r="AY60" s="55" t="s">
        <v>4</v>
      </c>
      <c r="AZ60" s="55" t="s">
        <v>4</v>
      </c>
      <c r="BA60" s="55" t="s">
        <v>4</v>
      </c>
      <c r="BB60" s="55">
        <v>0.92</v>
      </c>
      <c r="BC60" s="55" t="s">
        <v>4</v>
      </c>
      <c r="BD60" s="55">
        <v>9.26</v>
      </c>
      <c r="BE60" s="55" t="s">
        <v>4</v>
      </c>
      <c r="BF60" s="55" t="s">
        <v>4</v>
      </c>
      <c r="BG60" s="55">
        <v>5.39</v>
      </c>
      <c r="BH60" s="55" t="s">
        <v>4</v>
      </c>
      <c r="BI60" s="55" t="s">
        <v>4</v>
      </c>
      <c r="BJ60" s="55" t="s">
        <v>4</v>
      </c>
      <c r="BK60" s="55" t="s">
        <v>4</v>
      </c>
      <c r="BL60" s="55" t="s">
        <v>4</v>
      </c>
      <c r="BM60" s="55" t="s">
        <v>4</v>
      </c>
      <c r="BN60" s="55" t="s">
        <v>4</v>
      </c>
      <c r="BO60" s="55">
        <v>12.52</v>
      </c>
      <c r="BP60" s="55" t="s">
        <v>4</v>
      </c>
      <c r="BQ60" s="55">
        <v>7.78</v>
      </c>
      <c r="BR60" s="55" t="s">
        <v>4</v>
      </c>
      <c r="BS60" s="55" t="s">
        <v>4</v>
      </c>
      <c r="BT60" s="55" t="s">
        <v>4</v>
      </c>
      <c r="BU60" s="55" t="s">
        <v>4</v>
      </c>
      <c r="BV60" s="55" t="s">
        <v>4</v>
      </c>
      <c r="BW60" s="55" t="s">
        <v>4</v>
      </c>
      <c r="BX60" s="55" t="s">
        <v>4</v>
      </c>
      <c r="BY60" s="55" t="s">
        <v>4</v>
      </c>
      <c r="BZ60" s="55" t="s">
        <v>4</v>
      </c>
      <c r="CA60" s="55">
        <v>0.88999999999999968</v>
      </c>
      <c r="CB60" s="55">
        <v>4.75</v>
      </c>
      <c r="CC60" s="55" t="s">
        <v>4</v>
      </c>
      <c r="CD60" s="55" t="s">
        <v>4</v>
      </c>
      <c r="CE60" s="55" t="s">
        <v>4</v>
      </c>
      <c r="CF60" s="55" t="s">
        <v>4</v>
      </c>
      <c r="CG60" s="55" t="s">
        <v>4</v>
      </c>
      <c r="CH60" s="55">
        <v>1</v>
      </c>
      <c r="CI60" s="55">
        <v>1</v>
      </c>
      <c r="CJ60">
        <v>11</v>
      </c>
      <c r="CK60" s="55">
        <v>2</v>
      </c>
      <c r="CL60">
        <f t="shared" si="0"/>
        <v>0.32000000000000006</v>
      </c>
      <c r="CM60">
        <f t="shared" si="1"/>
        <v>119.67</v>
      </c>
      <c r="CN60" t="s">
        <v>318</v>
      </c>
      <c r="CO60" t="s">
        <v>318</v>
      </c>
    </row>
    <row r="61" spans="1:93" x14ac:dyDescent="0.25">
      <c r="A61" s="50">
        <v>44593.5</v>
      </c>
      <c r="B61" s="51" t="s">
        <v>769</v>
      </c>
      <c r="C61" s="51" t="s">
        <v>222</v>
      </c>
      <c r="D61" s="55">
        <v>44593.5</v>
      </c>
      <c r="E61" s="55" t="s">
        <v>4</v>
      </c>
      <c r="F61" s="55" t="s">
        <v>4</v>
      </c>
      <c r="G61" s="55" t="s">
        <v>4</v>
      </c>
      <c r="H61" s="55">
        <v>1.51</v>
      </c>
      <c r="I61" s="55" t="s">
        <v>4</v>
      </c>
      <c r="J61" s="55" t="s">
        <v>4</v>
      </c>
      <c r="K61" s="55">
        <v>1.56</v>
      </c>
      <c r="L61" s="55" t="s">
        <v>4</v>
      </c>
      <c r="M61" s="55" t="s">
        <v>4</v>
      </c>
      <c r="N61" s="55">
        <v>204.65000000000003</v>
      </c>
      <c r="O61" s="55">
        <v>5.28</v>
      </c>
      <c r="P61" s="55" t="s">
        <v>4</v>
      </c>
      <c r="Q61" s="55" t="s">
        <v>4</v>
      </c>
      <c r="R61" s="55" t="s">
        <v>4</v>
      </c>
      <c r="S61" s="55" t="s">
        <v>4</v>
      </c>
      <c r="T61" s="55">
        <v>1.41</v>
      </c>
      <c r="U61" s="55" t="s">
        <v>4</v>
      </c>
      <c r="V61" s="55" t="s">
        <v>4</v>
      </c>
      <c r="W61" s="55" t="s">
        <v>4</v>
      </c>
      <c r="X61" s="55">
        <v>0.46</v>
      </c>
      <c r="Y61" s="55" t="s">
        <v>4</v>
      </c>
      <c r="Z61" s="55">
        <v>2.3499999999999996</v>
      </c>
      <c r="AA61" s="55" t="s">
        <v>4</v>
      </c>
      <c r="AB61" s="55" t="s">
        <v>4</v>
      </c>
      <c r="AC61" s="55">
        <v>115.53</v>
      </c>
      <c r="AD61" s="55" t="s">
        <v>4</v>
      </c>
      <c r="AE61" s="55" t="s">
        <v>4</v>
      </c>
      <c r="AF61" s="55" t="s">
        <v>4</v>
      </c>
      <c r="AG61" s="55" t="s">
        <v>4</v>
      </c>
      <c r="AH61" s="55" t="s">
        <v>4</v>
      </c>
      <c r="AI61" s="55" t="s">
        <v>4</v>
      </c>
      <c r="AJ61" s="55">
        <v>11.92</v>
      </c>
      <c r="AK61" s="55" t="s">
        <v>4</v>
      </c>
      <c r="AL61" s="55" t="s">
        <v>4</v>
      </c>
      <c r="AM61" s="55" t="s">
        <v>4</v>
      </c>
      <c r="AN61" s="55">
        <v>0.26</v>
      </c>
      <c r="AO61" s="55" t="s">
        <v>4</v>
      </c>
      <c r="AP61" s="55" t="s">
        <v>4</v>
      </c>
      <c r="AQ61" s="55">
        <v>2.96</v>
      </c>
      <c r="AR61" s="55">
        <v>2.54</v>
      </c>
      <c r="AS61" s="55" t="s">
        <v>4</v>
      </c>
      <c r="AT61" s="55" t="s">
        <v>4</v>
      </c>
      <c r="AU61" s="55" t="s">
        <v>4</v>
      </c>
      <c r="AV61" s="55" t="s">
        <v>4</v>
      </c>
      <c r="AW61" s="55" t="s">
        <v>4</v>
      </c>
      <c r="AX61" s="55">
        <v>0.23</v>
      </c>
      <c r="AY61" s="55" t="s">
        <v>4</v>
      </c>
      <c r="AZ61" s="55" t="s">
        <v>4</v>
      </c>
      <c r="BA61" s="55" t="s">
        <v>4</v>
      </c>
      <c r="BB61" s="55" t="s">
        <v>4</v>
      </c>
      <c r="BC61" s="55" t="s">
        <v>4</v>
      </c>
      <c r="BD61" s="55">
        <v>25.51</v>
      </c>
      <c r="BE61" s="55" t="s">
        <v>4</v>
      </c>
      <c r="BF61" s="55" t="s">
        <v>4</v>
      </c>
      <c r="BG61" s="55">
        <v>16.95</v>
      </c>
      <c r="BH61" s="55" t="s">
        <v>4</v>
      </c>
      <c r="BI61" s="55" t="s">
        <v>4</v>
      </c>
      <c r="BJ61" s="55">
        <v>21.16</v>
      </c>
      <c r="BK61" s="55">
        <v>5.01</v>
      </c>
      <c r="BL61" s="55" t="s">
        <v>4</v>
      </c>
      <c r="BM61" s="55" t="s">
        <v>4</v>
      </c>
      <c r="BN61" s="55" t="s">
        <v>4</v>
      </c>
      <c r="BO61" s="55">
        <v>12.64</v>
      </c>
      <c r="BP61" s="55" t="s">
        <v>4</v>
      </c>
      <c r="BQ61" s="55">
        <v>1.86</v>
      </c>
      <c r="BR61" s="55" t="s">
        <v>4</v>
      </c>
      <c r="BS61" s="55" t="s">
        <v>4</v>
      </c>
      <c r="BT61" s="55" t="s">
        <v>4</v>
      </c>
      <c r="BU61" s="55" t="s">
        <v>4</v>
      </c>
      <c r="BV61" s="55" t="s">
        <v>4</v>
      </c>
      <c r="BW61" s="55" t="s">
        <v>4</v>
      </c>
      <c r="BX61" s="55" t="s">
        <v>4</v>
      </c>
      <c r="BY61" s="55" t="s">
        <v>4</v>
      </c>
      <c r="BZ61" s="55" t="s">
        <v>4</v>
      </c>
      <c r="CA61" s="55" t="s">
        <v>4</v>
      </c>
      <c r="CB61" s="55">
        <v>3.51</v>
      </c>
      <c r="CC61" s="55" t="s">
        <v>4</v>
      </c>
      <c r="CD61" s="55" t="s">
        <v>4</v>
      </c>
      <c r="CE61" s="55" t="s">
        <v>4</v>
      </c>
      <c r="CF61" s="55" t="s">
        <v>4</v>
      </c>
      <c r="CG61" s="55" t="s">
        <v>4</v>
      </c>
      <c r="CH61" s="55">
        <v>2</v>
      </c>
      <c r="CI61" s="55">
        <v>1</v>
      </c>
      <c r="CJ61">
        <v>112</v>
      </c>
      <c r="CK61" s="55">
        <v>2</v>
      </c>
      <c r="CL61">
        <f t="shared" si="0"/>
        <v>0.23</v>
      </c>
      <c r="CM61">
        <f t="shared" si="1"/>
        <v>204.65000000000003</v>
      </c>
      <c r="CN61" t="s">
        <v>319</v>
      </c>
      <c r="CO61" t="s">
        <v>319</v>
      </c>
    </row>
    <row r="62" spans="1:93" s="61" customFormat="1" x14ac:dyDescent="0.25">
      <c r="A62" s="57">
        <v>44593.493055555555</v>
      </c>
      <c r="B62" s="58" t="s">
        <v>770</v>
      </c>
      <c r="C62" s="58" t="s">
        <v>223</v>
      </c>
      <c r="D62" s="59">
        <v>44593.493055555555</v>
      </c>
      <c r="E62" s="59" t="s">
        <v>4</v>
      </c>
      <c r="F62" s="59" t="s">
        <v>4</v>
      </c>
      <c r="G62" s="59">
        <v>0.54</v>
      </c>
      <c r="H62" s="59" t="s">
        <v>4</v>
      </c>
      <c r="I62" s="59" t="s">
        <v>4</v>
      </c>
      <c r="J62" s="59" t="s">
        <v>4</v>
      </c>
      <c r="K62" s="59" t="s">
        <v>4</v>
      </c>
      <c r="L62" s="59" t="s">
        <v>4</v>
      </c>
      <c r="M62" s="59" t="s">
        <v>4</v>
      </c>
      <c r="N62" s="59">
        <v>34.07</v>
      </c>
      <c r="O62" s="59">
        <v>117.05</v>
      </c>
      <c r="P62" s="59">
        <v>8.8699999999999992</v>
      </c>
      <c r="Q62" s="59" t="s">
        <v>4</v>
      </c>
      <c r="R62" s="59" t="s">
        <v>4</v>
      </c>
      <c r="S62" s="59">
        <v>12.34</v>
      </c>
      <c r="T62" s="59">
        <v>0.33</v>
      </c>
      <c r="U62" s="59" t="s">
        <v>4</v>
      </c>
      <c r="V62" s="59" t="s">
        <v>4</v>
      </c>
      <c r="W62" s="59" t="s">
        <v>4</v>
      </c>
      <c r="X62" s="59" t="s">
        <v>4</v>
      </c>
      <c r="Y62" s="59" t="s">
        <v>4</v>
      </c>
      <c r="Z62" s="59">
        <v>2.0199999999999996</v>
      </c>
      <c r="AA62" s="59" t="s">
        <v>4</v>
      </c>
      <c r="AB62" s="59" t="s">
        <v>4</v>
      </c>
      <c r="AC62" s="59">
        <v>42.84</v>
      </c>
      <c r="AD62" s="59" t="s">
        <v>4</v>
      </c>
      <c r="AE62" s="59" t="s">
        <v>4</v>
      </c>
      <c r="AF62" s="59" t="s">
        <v>4</v>
      </c>
      <c r="AG62" s="59" t="s">
        <v>4</v>
      </c>
      <c r="AH62" s="59" t="s">
        <v>4</v>
      </c>
      <c r="AI62" s="59" t="s">
        <v>4</v>
      </c>
      <c r="AJ62" s="59">
        <v>12.23</v>
      </c>
      <c r="AK62" s="59" t="s">
        <v>4</v>
      </c>
      <c r="AL62" s="59">
        <v>9.58</v>
      </c>
      <c r="AM62" s="59" t="s">
        <v>4</v>
      </c>
      <c r="AN62" s="59">
        <v>1.01</v>
      </c>
      <c r="AO62" s="59" t="s">
        <v>4</v>
      </c>
      <c r="AP62" s="59" t="s">
        <v>4</v>
      </c>
      <c r="AQ62" s="59">
        <v>5.64</v>
      </c>
      <c r="AR62" s="59">
        <v>1.37</v>
      </c>
      <c r="AS62" s="59" t="s">
        <v>4</v>
      </c>
      <c r="AT62" s="59" t="s">
        <v>4</v>
      </c>
      <c r="AU62" s="59" t="s">
        <v>4</v>
      </c>
      <c r="AV62" s="59" t="s">
        <v>4</v>
      </c>
      <c r="AW62" s="59" t="s">
        <v>4</v>
      </c>
      <c r="AX62" s="59">
        <v>0.3</v>
      </c>
      <c r="AY62" s="59" t="s">
        <v>4</v>
      </c>
      <c r="AZ62" s="59" t="s">
        <v>4</v>
      </c>
      <c r="BA62" s="59" t="s">
        <v>4</v>
      </c>
      <c r="BB62" s="59" t="s">
        <v>4</v>
      </c>
      <c r="BC62" s="59" t="s">
        <v>4</v>
      </c>
      <c r="BD62" s="59">
        <v>5.7200000000000006</v>
      </c>
      <c r="BE62" s="59" t="s">
        <v>4</v>
      </c>
      <c r="BF62" s="59" t="s">
        <v>4</v>
      </c>
      <c r="BG62" s="59">
        <v>4.37</v>
      </c>
      <c r="BH62" s="59" t="s">
        <v>4</v>
      </c>
      <c r="BI62" s="59" t="s">
        <v>4</v>
      </c>
      <c r="BJ62" s="59" t="s">
        <v>4</v>
      </c>
      <c r="BK62" s="59" t="s">
        <v>4</v>
      </c>
      <c r="BL62" s="59" t="s">
        <v>4</v>
      </c>
      <c r="BM62" s="59" t="s">
        <v>4</v>
      </c>
      <c r="BN62" s="59" t="s">
        <v>4</v>
      </c>
      <c r="BO62" s="59">
        <v>10.99</v>
      </c>
      <c r="BP62" s="59" t="s">
        <v>4</v>
      </c>
      <c r="BQ62" s="59">
        <v>0.67</v>
      </c>
      <c r="BR62" s="59" t="s">
        <v>4</v>
      </c>
      <c r="BS62" s="59" t="s">
        <v>4</v>
      </c>
      <c r="BT62" s="59" t="s">
        <v>4</v>
      </c>
      <c r="BU62" s="59" t="s">
        <v>4</v>
      </c>
      <c r="BV62" s="59" t="s">
        <v>4</v>
      </c>
      <c r="BW62" s="59" t="s">
        <v>4</v>
      </c>
      <c r="BX62" s="59" t="s">
        <v>4</v>
      </c>
      <c r="BY62" s="59" t="s">
        <v>4</v>
      </c>
      <c r="BZ62" s="59" t="s">
        <v>4</v>
      </c>
      <c r="CA62" s="59" t="s">
        <v>4</v>
      </c>
      <c r="CB62" s="59">
        <v>8.67</v>
      </c>
      <c r="CC62" s="59" t="s">
        <v>4</v>
      </c>
      <c r="CD62" s="59" t="s">
        <v>4</v>
      </c>
      <c r="CE62" s="59" t="s">
        <v>4</v>
      </c>
      <c r="CF62" s="59" t="s">
        <v>4</v>
      </c>
      <c r="CG62" s="59" t="s">
        <v>4</v>
      </c>
      <c r="CH62" s="59">
        <v>2</v>
      </c>
      <c r="CI62" s="59">
        <v>1</v>
      </c>
      <c r="CJ62">
        <v>12</v>
      </c>
      <c r="CK62" s="59">
        <v>2</v>
      </c>
      <c r="CL62">
        <f t="shared" si="0"/>
        <v>0.3</v>
      </c>
      <c r="CM62">
        <f t="shared" si="1"/>
        <v>117.05</v>
      </c>
      <c r="CN62" s="61" t="s">
        <v>320</v>
      </c>
      <c r="CO62" s="61" t="s">
        <v>320</v>
      </c>
    </row>
    <row r="63" spans="1:93" x14ac:dyDescent="0.25">
      <c r="A63" s="50">
        <v>44595.472222222219</v>
      </c>
      <c r="B63" s="51" t="s">
        <v>771</v>
      </c>
      <c r="C63" s="51" t="s">
        <v>224</v>
      </c>
      <c r="D63" s="55">
        <v>44595.472222222219</v>
      </c>
      <c r="E63" s="55">
        <v>9.99</v>
      </c>
      <c r="F63" s="55" t="s">
        <v>4</v>
      </c>
      <c r="G63" s="55" t="s">
        <v>4</v>
      </c>
      <c r="H63" s="55">
        <v>0.62</v>
      </c>
      <c r="I63" s="55" t="s">
        <v>4</v>
      </c>
      <c r="J63" s="55" t="s">
        <v>4</v>
      </c>
      <c r="K63" s="55">
        <v>1.42</v>
      </c>
      <c r="L63" s="55" t="s">
        <v>4</v>
      </c>
      <c r="M63" s="55" t="s">
        <v>4</v>
      </c>
      <c r="N63" s="55">
        <v>157.92000000000002</v>
      </c>
      <c r="O63" s="55">
        <v>5.46</v>
      </c>
      <c r="P63" s="55" t="s">
        <v>4</v>
      </c>
      <c r="Q63" s="55" t="s">
        <v>4</v>
      </c>
      <c r="R63" s="55" t="s">
        <v>4</v>
      </c>
      <c r="S63" s="55" t="s">
        <v>4</v>
      </c>
      <c r="T63" s="55">
        <v>1.42</v>
      </c>
      <c r="U63" s="55" t="s">
        <v>4</v>
      </c>
      <c r="V63" s="55" t="s">
        <v>4</v>
      </c>
      <c r="W63" s="55" t="s">
        <v>4</v>
      </c>
      <c r="X63" s="55" t="s">
        <v>4</v>
      </c>
      <c r="Y63" s="55" t="s">
        <v>4</v>
      </c>
      <c r="Z63" s="55">
        <v>2.4000000000000004</v>
      </c>
      <c r="AA63" s="55">
        <v>0.40000000000000013</v>
      </c>
      <c r="AB63" s="55" t="s">
        <v>4</v>
      </c>
      <c r="AC63" s="55">
        <v>52.19</v>
      </c>
      <c r="AD63" s="55" t="s">
        <v>4</v>
      </c>
      <c r="AE63" s="55" t="s">
        <v>4</v>
      </c>
      <c r="AF63" s="55" t="s">
        <v>4</v>
      </c>
      <c r="AG63" s="55" t="s">
        <v>4</v>
      </c>
      <c r="AH63" s="55" t="s">
        <v>4</v>
      </c>
      <c r="AI63" s="55" t="s">
        <v>4</v>
      </c>
      <c r="AJ63" s="55">
        <v>4.7300000000000004</v>
      </c>
      <c r="AK63" s="55" t="s">
        <v>4</v>
      </c>
      <c r="AL63" s="55" t="s">
        <v>4</v>
      </c>
      <c r="AM63" s="55" t="s">
        <v>4</v>
      </c>
      <c r="AN63" s="55">
        <v>0.63000000000000012</v>
      </c>
      <c r="AO63" s="55" t="s">
        <v>4</v>
      </c>
      <c r="AP63" s="55" t="s">
        <v>4</v>
      </c>
      <c r="AQ63" s="55">
        <v>2.19</v>
      </c>
      <c r="AR63" s="55">
        <v>3.2600000000000002</v>
      </c>
      <c r="AS63" s="55" t="s">
        <v>4</v>
      </c>
      <c r="AT63" s="55" t="s">
        <v>4</v>
      </c>
      <c r="AU63" s="55" t="s">
        <v>4</v>
      </c>
      <c r="AV63" s="55" t="s">
        <v>4</v>
      </c>
      <c r="AW63" s="55" t="s">
        <v>4</v>
      </c>
      <c r="AX63" s="55">
        <v>0.61</v>
      </c>
      <c r="AY63" s="55" t="s">
        <v>4</v>
      </c>
      <c r="AZ63" s="55" t="s">
        <v>4</v>
      </c>
      <c r="BA63" s="55" t="s">
        <v>4</v>
      </c>
      <c r="BB63" s="55" t="s">
        <v>4</v>
      </c>
      <c r="BC63" s="55" t="s">
        <v>4</v>
      </c>
      <c r="BD63" s="55">
        <v>13.49</v>
      </c>
      <c r="BE63" s="55" t="s">
        <v>4</v>
      </c>
      <c r="BF63" s="55" t="s">
        <v>4</v>
      </c>
      <c r="BG63" s="55">
        <v>8.5299999999999994</v>
      </c>
      <c r="BH63" s="55" t="s">
        <v>4</v>
      </c>
      <c r="BI63" s="55" t="s">
        <v>4</v>
      </c>
      <c r="BJ63" s="55" t="s">
        <v>4</v>
      </c>
      <c r="BK63" s="55">
        <v>4.88</v>
      </c>
      <c r="BL63" s="55" t="s">
        <v>4</v>
      </c>
      <c r="BM63" s="55" t="s">
        <v>4</v>
      </c>
      <c r="BN63" s="55" t="s">
        <v>4</v>
      </c>
      <c r="BO63" s="55">
        <v>8.65</v>
      </c>
      <c r="BP63" s="55" t="s">
        <v>4</v>
      </c>
      <c r="BQ63" s="55">
        <v>1.81</v>
      </c>
      <c r="BR63" s="55" t="s">
        <v>4</v>
      </c>
      <c r="BS63" s="55" t="s">
        <v>4</v>
      </c>
      <c r="BT63" s="55" t="s">
        <v>4</v>
      </c>
      <c r="BU63" s="55" t="s">
        <v>4</v>
      </c>
      <c r="BV63" s="55" t="s">
        <v>4</v>
      </c>
      <c r="BW63" s="55" t="s">
        <v>4</v>
      </c>
      <c r="BX63" s="55" t="s">
        <v>4</v>
      </c>
      <c r="BY63" s="55" t="s">
        <v>4</v>
      </c>
      <c r="BZ63" s="55" t="s">
        <v>4</v>
      </c>
      <c r="CA63" s="55">
        <v>11.49</v>
      </c>
      <c r="CB63" s="55">
        <v>22.630000000000003</v>
      </c>
      <c r="CC63" s="55" t="s">
        <v>4</v>
      </c>
      <c r="CD63" s="55" t="s">
        <v>4</v>
      </c>
      <c r="CE63" s="55" t="s">
        <v>4</v>
      </c>
      <c r="CF63" s="55" t="s">
        <v>4</v>
      </c>
      <c r="CG63" s="55" t="s">
        <v>4</v>
      </c>
      <c r="CH63" s="55">
        <v>1</v>
      </c>
      <c r="CI63" s="55">
        <v>1</v>
      </c>
      <c r="CJ63">
        <v>111</v>
      </c>
      <c r="CK63" s="55">
        <v>2</v>
      </c>
      <c r="CL63">
        <f t="shared" si="0"/>
        <v>0.40000000000000013</v>
      </c>
      <c r="CM63">
        <f t="shared" si="1"/>
        <v>157.92000000000002</v>
      </c>
      <c r="CN63" s="32" t="s">
        <v>321</v>
      </c>
      <c r="CO63" t="s">
        <v>321</v>
      </c>
    </row>
    <row r="64" spans="1:93" x14ac:dyDescent="0.25">
      <c r="A64" s="50">
        <v>44595.472222222219</v>
      </c>
      <c r="B64" s="51" t="s">
        <v>772</v>
      </c>
      <c r="C64" s="51" t="s">
        <v>225</v>
      </c>
      <c r="D64" s="55">
        <v>44595.472222222219</v>
      </c>
      <c r="E64" s="55" t="s">
        <v>4</v>
      </c>
      <c r="F64" s="55" t="s">
        <v>4</v>
      </c>
      <c r="G64" s="55">
        <v>1.29</v>
      </c>
      <c r="H64" s="55">
        <v>3.87</v>
      </c>
      <c r="I64" s="55" t="s">
        <v>4</v>
      </c>
      <c r="J64" s="55" t="s">
        <v>4</v>
      </c>
      <c r="K64" s="55">
        <v>1.19</v>
      </c>
      <c r="L64" s="55" t="s">
        <v>4</v>
      </c>
      <c r="M64" s="55">
        <v>14.21</v>
      </c>
      <c r="N64" s="55">
        <v>186.28</v>
      </c>
      <c r="O64" s="55">
        <v>93.02</v>
      </c>
      <c r="P64" s="55" t="s">
        <v>4</v>
      </c>
      <c r="Q64" s="55" t="s">
        <v>4</v>
      </c>
      <c r="R64" s="55" t="s">
        <v>4</v>
      </c>
      <c r="S64" s="55" t="s">
        <v>4</v>
      </c>
      <c r="T64" s="55">
        <v>0.22</v>
      </c>
      <c r="U64" s="55" t="s">
        <v>4</v>
      </c>
      <c r="V64" s="55" t="s">
        <v>4</v>
      </c>
      <c r="W64" s="55" t="s">
        <v>4</v>
      </c>
      <c r="X64" s="55" t="s">
        <v>4</v>
      </c>
      <c r="Y64" s="55" t="s">
        <v>4</v>
      </c>
      <c r="Z64" s="55">
        <v>3.7</v>
      </c>
      <c r="AA64" s="55" t="s">
        <v>4</v>
      </c>
      <c r="AB64" s="55" t="s">
        <v>4</v>
      </c>
      <c r="AC64" s="55">
        <v>9.3800000000000008</v>
      </c>
      <c r="AD64" s="55" t="s">
        <v>4</v>
      </c>
      <c r="AE64" s="55" t="s">
        <v>4</v>
      </c>
      <c r="AF64" s="55" t="s">
        <v>4</v>
      </c>
      <c r="AG64" s="55" t="s">
        <v>4</v>
      </c>
      <c r="AH64" s="55" t="s">
        <v>4</v>
      </c>
      <c r="AI64" s="55" t="s">
        <v>4</v>
      </c>
      <c r="AJ64" s="55">
        <v>5.26</v>
      </c>
      <c r="AK64" s="55" t="s">
        <v>4</v>
      </c>
      <c r="AL64" s="55">
        <v>9.1999999999999993</v>
      </c>
      <c r="AM64" s="55" t="s">
        <v>4</v>
      </c>
      <c r="AN64" s="55" t="s">
        <v>4</v>
      </c>
      <c r="AO64" s="55" t="s">
        <v>4</v>
      </c>
      <c r="AP64" s="55" t="s">
        <v>4</v>
      </c>
      <c r="AQ64" s="55">
        <v>1.07</v>
      </c>
      <c r="AR64" s="55">
        <v>11.02</v>
      </c>
      <c r="AS64" s="55" t="s">
        <v>4</v>
      </c>
      <c r="AT64" s="55" t="s">
        <v>4</v>
      </c>
      <c r="AU64" s="55" t="s">
        <v>4</v>
      </c>
      <c r="AV64" s="55" t="s">
        <v>4</v>
      </c>
      <c r="AW64" s="55">
        <v>1.39</v>
      </c>
      <c r="AX64" s="55">
        <v>0.25</v>
      </c>
      <c r="AY64" s="55" t="s">
        <v>4</v>
      </c>
      <c r="AZ64" s="55" t="s">
        <v>4</v>
      </c>
      <c r="BA64" s="55" t="s">
        <v>4</v>
      </c>
      <c r="BB64" s="55" t="s">
        <v>4</v>
      </c>
      <c r="BC64" s="55" t="s">
        <v>4</v>
      </c>
      <c r="BD64" s="55">
        <v>6.74</v>
      </c>
      <c r="BE64" s="55" t="s">
        <v>4</v>
      </c>
      <c r="BF64" s="55" t="s">
        <v>4</v>
      </c>
      <c r="BG64" s="55" t="s">
        <v>4</v>
      </c>
      <c r="BH64" s="55" t="s">
        <v>4</v>
      </c>
      <c r="BI64" s="55" t="s">
        <v>4</v>
      </c>
      <c r="BJ64" s="55" t="s">
        <v>4</v>
      </c>
      <c r="BK64" s="55" t="s">
        <v>4</v>
      </c>
      <c r="BL64" s="55" t="s">
        <v>4</v>
      </c>
      <c r="BM64" s="55" t="s">
        <v>4</v>
      </c>
      <c r="BN64" s="55" t="s">
        <v>4</v>
      </c>
      <c r="BO64" s="55">
        <v>10.86</v>
      </c>
      <c r="BP64" s="55" t="s">
        <v>4</v>
      </c>
      <c r="BQ64" s="55">
        <v>6.56</v>
      </c>
      <c r="BR64" s="55" t="s">
        <v>4</v>
      </c>
      <c r="BS64" s="55" t="s">
        <v>4</v>
      </c>
      <c r="BT64" s="55" t="s">
        <v>4</v>
      </c>
      <c r="BU64" s="55" t="s">
        <v>4</v>
      </c>
      <c r="BV64" s="55" t="s">
        <v>4</v>
      </c>
      <c r="BW64" s="55" t="s">
        <v>4</v>
      </c>
      <c r="BX64" s="55" t="s">
        <v>4</v>
      </c>
      <c r="BY64" s="55" t="s">
        <v>4</v>
      </c>
      <c r="BZ64" s="55" t="s">
        <v>4</v>
      </c>
      <c r="CA64" s="55" t="s">
        <v>4</v>
      </c>
      <c r="CB64" s="55">
        <v>6.6899999999999995</v>
      </c>
      <c r="CC64" s="55" t="s">
        <v>4</v>
      </c>
      <c r="CD64" s="55" t="s">
        <v>4</v>
      </c>
      <c r="CE64" s="55" t="s">
        <v>4</v>
      </c>
      <c r="CF64" s="55" t="s">
        <v>4</v>
      </c>
      <c r="CG64" s="55" t="s">
        <v>4</v>
      </c>
      <c r="CH64" s="55">
        <v>1</v>
      </c>
      <c r="CI64" s="55">
        <v>1</v>
      </c>
      <c r="CJ64">
        <v>11</v>
      </c>
      <c r="CK64" s="55">
        <v>2</v>
      </c>
      <c r="CL64">
        <f t="shared" si="0"/>
        <v>0.22</v>
      </c>
      <c r="CM64">
        <f t="shared" si="1"/>
        <v>186.28</v>
      </c>
      <c r="CN64" s="32" t="s">
        <v>322</v>
      </c>
      <c r="CO64" t="s">
        <v>322</v>
      </c>
    </row>
    <row r="65" spans="1:93" x14ac:dyDescent="0.25">
      <c r="A65" s="50">
        <v>44595.5625</v>
      </c>
      <c r="B65" s="51" t="s">
        <v>773</v>
      </c>
      <c r="C65" s="51" t="s">
        <v>226</v>
      </c>
      <c r="D65" s="55">
        <v>44595.5625</v>
      </c>
      <c r="E65" s="55" t="s">
        <v>4</v>
      </c>
      <c r="F65" s="55" t="s">
        <v>4</v>
      </c>
      <c r="G65" s="55" t="s">
        <v>4</v>
      </c>
      <c r="H65" s="55" t="s">
        <v>4</v>
      </c>
      <c r="I65" s="55" t="s">
        <v>4</v>
      </c>
      <c r="J65" s="55" t="s">
        <v>4</v>
      </c>
      <c r="K65" s="55">
        <v>0.56000000000000005</v>
      </c>
      <c r="L65" s="55" t="s">
        <v>4</v>
      </c>
      <c r="M65" s="55" t="s">
        <v>4</v>
      </c>
      <c r="N65" s="55">
        <v>57.530000000000008</v>
      </c>
      <c r="O65" s="55">
        <v>2.4500000000000002</v>
      </c>
      <c r="P65" s="55" t="s">
        <v>4</v>
      </c>
      <c r="Q65" s="55" t="s">
        <v>4</v>
      </c>
      <c r="R65" s="55" t="s">
        <v>4</v>
      </c>
      <c r="S65" s="55" t="s">
        <v>4</v>
      </c>
      <c r="T65" s="55">
        <v>0.41</v>
      </c>
      <c r="U65" s="55" t="s">
        <v>4</v>
      </c>
      <c r="V65" s="55" t="s">
        <v>4</v>
      </c>
      <c r="W65" s="55" t="s">
        <v>4</v>
      </c>
      <c r="X65" s="55" t="s">
        <v>4</v>
      </c>
      <c r="Y65" s="55" t="s">
        <v>4</v>
      </c>
      <c r="Z65" s="55">
        <v>1.2800000000000002</v>
      </c>
      <c r="AA65" s="55">
        <v>0.27</v>
      </c>
      <c r="AB65" s="55" t="s">
        <v>4</v>
      </c>
      <c r="AC65" s="55">
        <v>50.24</v>
      </c>
      <c r="AD65" s="55" t="s">
        <v>4</v>
      </c>
      <c r="AE65" s="55" t="s">
        <v>4</v>
      </c>
      <c r="AF65" s="55" t="s">
        <v>4</v>
      </c>
      <c r="AG65" s="55" t="s">
        <v>4</v>
      </c>
      <c r="AH65" s="55" t="s">
        <v>4</v>
      </c>
      <c r="AI65" s="55" t="s">
        <v>4</v>
      </c>
      <c r="AJ65" s="55">
        <v>5.31</v>
      </c>
      <c r="AK65" s="55" t="s">
        <v>4</v>
      </c>
      <c r="AL65" s="55" t="s">
        <v>4</v>
      </c>
      <c r="AM65" s="55" t="s">
        <v>4</v>
      </c>
      <c r="AN65" s="55">
        <v>9.9999999999999978E-2</v>
      </c>
      <c r="AO65" s="55" t="s">
        <v>4</v>
      </c>
      <c r="AP65" s="55" t="s">
        <v>4</v>
      </c>
      <c r="AQ65" s="55">
        <v>0.99</v>
      </c>
      <c r="AR65" s="55">
        <v>1.32</v>
      </c>
      <c r="AS65" s="55" t="s">
        <v>4</v>
      </c>
      <c r="AT65" s="55" t="s">
        <v>4</v>
      </c>
      <c r="AU65" s="55" t="s">
        <v>4</v>
      </c>
      <c r="AV65" s="55" t="s">
        <v>4</v>
      </c>
      <c r="AW65" s="55" t="s">
        <v>4</v>
      </c>
      <c r="AX65" s="55">
        <v>0.9</v>
      </c>
      <c r="AY65" s="55" t="s">
        <v>4</v>
      </c>
      <c r="AZ65" s="55" t="s">
        <v>4</v>
      </c>
      <c r="BA65" s="55" t="s">
        <v>4</v>
      </c>
      <c r="BB65" s="55" t="s">
        <v>4</v>
      </c>
      <c r="BC65" s="55" t="s">
        <v>4</v>
      </c>
      <c r="BD65" s="55">
        <v>8.9700000000000006</v>
      </c>
      <c r="BE65" s="55" t="s">
        <v>4</v>
      </c>
      <c r="BF65" s="55" t="s">
        <v>4</v>
      </c>
      <c r="BG65" s="55">
        <v>5.44</v>
      </c>
      <c r="BH65" s="55" t="s">
        <v>4</v>
      </c>
      <c r="BI65" s="55" t="s">
        <v>4</v>
      </c>
      <c r="BJ65" s="55" t="s">
        <v>4</v>
      </c>
      <c r="BK65" s="55" t="s">
        <v>4</v>
      </c>
      <c r="BL65" s="55" t="s">
        <v>4</v>
      </c>
      <c r="BM65" s="55" t="s">
        <v>4</v>
      </c>
      <c r="BN65" s="55" t="s">
        <v>4</v>
      </c>
      <c r="BO65" s="55">
        <v>4.4800000000000004</v>
      </c>
      <c r="BP65" s="55" t="s">
        <v>4</v>
      </c>
      <c r="BQ65" s="55">
        <v>0.68</v>
      </c>
      <c r="BR65" s="55" t="s">
        <v>4</v>
      </c>
      <c r="BS65" s="55" t="s">
        <v>4</v>
      </c>
      <c r="BT65" s="55" t="s">
        <v>4</v>
      </c>
      <c r="BU65" s="55" t="s">
        <v>4</v>
      </c>
      <c r="BV65" s="55" t="s">
        <v>4</v>
      </c>
      <c r="BW65" s="55" t="s">
        <v>4</v>
      </c>
      <c r="BX65" s="55" t="s">
        <v>4</v>
      </c>
      <c r="BY65" s="55" t="s">
        <v>4</v>
      </c>
      <c r="BZ65" s="55" t="s">
        <v>4</v>
      </c>
      <c r="CA65" s="55" t="s">
        <v>4</v>
      </c>
      <c r="CB65" s="55">
        <v>3.5299999999999994</v>
      </c>
      <c r="CC65" s="55" t="s">
        <v>4</v>
      </c>
      <c r="CD65" s="55" t="s">
        <v>4</v>
      </c>
      <c r="CE65" s="55" t="s">
        <v>4</v>
      </c>
      <c r="CF65" s="55" t="s">
        <v>4</v>
      </c>
      <c r="CG65" s="55" t="s">
        <v>4</v>
      </c>
      <c r="CH65" s="55">
        <v>2</v>
      </c>
      <c r="CI65" s="55">
        <v>1</v>
      </c>
      <c r="CJ65">
        <v>112</v>
      </c>
      <c r="CK65" s="55">
        <v>2</v>
      </c>
      <c r="CL65">
        <f t="shared" si="0"/>
        <v>9.9999999999999978E-2</v>
      </c>
      <c r="CM65">
        <f t="shared" si="1"/>
        <v>57.530000000000008</v>
      </c>
      <c r="CN65" t="s">
        <v>323</v>
      </c>
      <c r="CO65" t="s">
        <v>323</v>
      </c>
    </row>
    <row r="66" spans="1:93" ht="14.4" thickBot="1" x14ac:dyDescent="0.3">
      <c r="A66" s="50">
        <v>44595.5625</v>
      </c>
      <c r="B66" s="51" t="s">
        <v>774</v>
      </c>
      <c r="C66" s="51" t="s">
        <v>227</v>
      </c>
      <c r="D66" s="55">
        <v>44595.5625</v>
      </c>
      <c r="E66" s="55" t="s">
        <v>4</v>
      </c>
      <c r="F66" s="55" t="s">
        <v>4</v>
      </c>
      <c r="G66" s="55">
        <v>0.4</v>
      </c>
      <c r="H66" s="55">
        <v>1.04</v>
      </c>
      <c r="I66" s="55" t="s">
        <v>4</v>
      </c>
      <c r="J66" s="55" t="s">
        <v>4</v>
      </c>
      <c r="K66" s="55" t="s">
        <v>4</v>
      </c>
      <c r="L66" s="55" t="s">
        <v>4</v>
      </c>
      <c r="M66" s="55" t="s">
        <v>4</v>
      </c>
      <c r="N66" s="55">
        <v>64.34</v>
      </c>
      <c r="O66" s="55">
        <v>95.18</v>
      </c>
      <c r="P66" s="55">
        <v>5.22</v>
      </c>
      <c r="Q66" s="55" t="s">
        <v>4</v>
      </c>
      <c r="R66" s="55" t="s">
        <v>4</v>
      </c>
      <c r="S66" s="55">
        <v>8.57</v>
      </c>
      <c r="T66" s="55">
        <v>0.25</v>
      </c>
      <c r="U66" s="55" t="s">
        <v>4</v>
      </c>
      <c r="V66" s="55" t="s">
        <v>4</v>
      </c>
      <c r="W66" s="55" t="s">
        <v>4</v>
      </c>
      <c r="X66" s="55" t="s">
        <v>4</v>
      </c>
      <c r="Y66" s="55" t="s">
        <v>4</v>
      </c>
      <c r="Z66" s="55">
        <v>0.87999999999999989</v>
      </c>
      <c r="AA66" s="55" t="s">
        <v>4</v>
      </c>
      <c r="AB66" s="55" t="s">
        <v>4</v>
      </c>
      <c r="AC66" s="55">
        <v>22.58</v>
      </c>
      <c r="AD66" s="55" t="s">
        <v>4</v>
      </c>
      <c r="AE66" s="55" t="s">
        <v>4</v>
      </c>
      <c r="AF66" s="55" t="s">
        <v>4</v>
      </c>
      <c r="AG66" s="55" t="s">
        <v>4</v>
      </c>
      <c r="AH66" s="55" t="s">
        <v>4</v>
      </c>
      <c r="AI66" s="55" t="s">
        <v>4</v>
      </c>
      <c r="AJ66" s="55">
        <v>11.45</v>
      </c>
      <c r="AK66" s="55" t="s">
        <v>4</v>
      </c>
      <c r="AL66" s="55">
        <v>8.7200000000000006</v>
      </c>
      <c r="AM66" s="55" t="s">
        <v>4</v>
      </c>
      <c r="AN66" s="55">
        <v>0.62000000000000011</v>
      </c>
      <c r="AO66" s="55" t="s">
        <v>4</v>
      </c>
      <c r="AP66" s="55" t="s">
        <v>4</v>
      </c>
      <c r="AQ66" s="55">
        <v>3.64</v>
      </c>
      <c r="AR66" s="55">
        <v>1.1200000000000001</v>
      </c>
      <c r="AS66" s="55" t="s">
        <v>4</v>
      </c>
      <c r="AT66" s="55" t="s">
        <v>4</v>
      </c>
      <c r="AU66" s="55" t="s">
        <v>4</v>
      </c>
      <c r="AV66" s="55" t="s">
        <v>4</v>
      </c>
      <c r="AW66" s="55">
        <v>1.95</v>
      </c>
      <c r="AX66" s="55">
        <v>0.19</v>
      </c>
      <c r="AY66" s="55" t="s">
        <v>4</v>
      </c>
      <c r="AZ66" s="55" t="s">
        <v>4</v>
      </c>
      <c r="BA66" s="55" t="s">
        <v>4</v>
      </c>
      <c r="BB66" s="55" t="s">
        <v>4</v>
      </c>
      <c r="BC66" s="55" t="s">
        <v>4</v>
      </c>
      <c r="BD66" s="55">
        <v>2.04</v>
      </c>
      <c r="BE66" s="55" t="s">
        <v>4</v>
      </c>
      <c r="BF66" s="55" t="s">
        <v>4</v>
      </c>
      <c r="BG66" s="55" t="s">
        <v>4</v>
      </c>
      <c r="BH66" s="55" t="s">
        <v>4</v>
      </c>
      <c r="BI66" s="55" t="s">
        <v>4</v>
      </c>
      <c r="BJ66" s="55" t="s">
        <v>4</v>
      </c>
      <c r="BK66" s="55" t="s">
        <v>4</v>
      </c>
      <c r="BL66" s="55" t="s">
        <v>4</v>
      </c>
      <c r="BM66" s="55" t="s">
        <v>4</v>
      </c>
      <c r="BN66" s="55" t="s">
        <v>4</v>
      </c>
      <c r="BO66" s="55">
        <v>7.74</v>
      </c>
      <c r="BP66" s="55" t="s">
        <v>4</v>
      </c>
      <c r="BQ66" s="56" t="s">
        <v>4</v>
      </c>
      <c r="BR66" s="56" t="s">
        <v>4</v>
      </c>
      <c r="BS66" s="56" t="s">
        <v>4</v>
      </c>
      <c r="BT66" s="56" t="s">
        <v>4</v>
      </c>
      <c r="BU66" s="56" t="s">
        <v>4</v>
      </c>
      <c r="BV66" s="56" t="s">
        <v>4</v>
      </c>
      <c r="BW66" s="56" t="s">
        <v>4</v>
      </c>
      <c r="BX66" s="56" t="s">
        <v>4</v>
      </c>
      <c r="BY66" s="56" t="s">
        <v>4</v>
      </c>
      <c r="BZ66" s="56" t="s">
        <v>4</v>
      </c>
      <c r="CA66" s="56" t="s">
        <v>4</v>
      </c>
      <c r="CB66" s="56">
        <v>4.66</v>
      </c>
      <c r="CC66" s="56" t="s">
        <v>4</v>
      </c>
      <c r="CD66" s="56" t="s">
        <v>4</v>
      </c>
      <c r="CE66" s="55" t="s">
        <v>4</v>
      </c>
      <c r="CF66" s="55" t="s">
        <v>4</v>
      </c>
      <c r="CG66" s="55" t="s">
        <v>4</v>
      </c>
      <c r="CH66" s="55">
        <v>2</v>
      </c>
      <c r="CI66" s="55">
        <v>1</v>
      </c>
      <c r="CJ66">
        <v>12</v>
      </c>
      <c r="CK66" s="55">
        <v>2</v>
      </c>
      <c r="CL66">
        <f t="shared" si="0"/>
        <v>0.19</v>
      </c>
      <c r="CM66">
        <f t="shared" si="1"/>
        <v>95.18</v>
      </c>
      <c r="CN66" t="s">
        <v>324</v>
      </c>
      <c r="CO66" t="s">
        <v>324</v>
      </c>
    </row>
    <row r="67" spans="1:93" x14ac:dyDescent="0.25">
      <c r="A67" s="50">
        <v>44916</v>
      </c>
      <c r="B67" s="51" t="s">
        <v>775</v>
      </c>
      <c r="C67" s="51" t="s">
        <v>234</v>
      </c>
      <c r="D67">
        <v>44916</v>
      </c>
      <c r="E67" t="s">
        <v>4</v>
      </c>
      <c r="F67">
        <v>3.37</v>
      </c>
      <c r="G67">
        <v>1.32</v>
      </c>
      <c r="H67">
        <v>2.82</v>
      </c>
      <c r="I67" t="s">
        <v>4</v>
      </c>
      <c r="J67" t="s">
        <v>4</v>
      </c>
      <c r="K67">
        <v>4.01</v>
      </c>
      <c r="L67">
        <v>199.59</v>
      </c>
      <c r="M67">
        <v>10.81</v>
      </c>
      <c r="N67">
        <v>490.51</v>
      </c>
      <c r="O67">
        <v>292.24</v>
      </c>
      <c r="P67">
        <v>21.36</v>
      </c>
      <c r="Q67">
        <v>13.73</v>
      </c>
      <c r="R67">
        <v>27.54</v>
      </c>
      <c r="S67">
        <v>751.02</v>
      </c>
      <c r="T67">
        <v>11.95</v>
      </c>
      <c r="U67">
        <v>0.61</v>
      </c>
      <c r="V67">
        <v>10.61</v>
      </c>
      <c r="W67" t="s">
        <v>4</v>
      </c>
      <c r="X67">
        <v>0.37</v>
      </c>
      <c r="Y67">
        <v>133.43</v>
      </c>
      <c r="Z67">
        <v>1.5499999999999998</v>
      </c>
      <c r="AA67">
        <v>215.85</v>
      </c>
      <c r="AB67">
        <v>1.93</v>
      </c>
      <c r="AC67">
        <v>417.16</v>
      </c>
      <c r="AD67">
        <v>7.86</v>
      </c>
      <c r="AE67">
        <v>4.04</v>
      </c>
      <c r="AF67" t="s">
        <v>4</v>
      </c>
      <c r="AG67">
        <v>2.44</v>
      </c>
      <c r="AH67">
        <v>4.3499999999999996</v>
      </c>
      <c r="AI67">
        <v>0.87</v>
      </c>
      <c r="AJ67">
        <v>125.66</v>
      </c>
      <c r="AK67" t="s">
        <v>4</v>
      </c>
      <c r="AL67">
        <v>239.31</v>
      </c>
      <c r="AM67" t="s">
        <v>4</v>
      </c>
      <c r="AN67">
        <v>5.47</v>
      </c>
      <c r="AO67" t="s">
        <v>4</v>
      </c>
      <c r="AP67" t="s">
        <v>4</v>
      </c>
      <c r="AQ67">
        <v>9.2899999999999991</v>
      </c>
      <c r="AR67">
        <v>6.6</v>
      </c>
      <c r="AS67">
        <v>25.86</v>
      </c>
      <c r="AT67" t="s">
        <v>4</v>
      </c>
      <c r="AU67">
        <v>55.38</v>
      </c>
      <c r="AV67" t="s">
        <v>4</v>
      </c>
      <c r="AW67">
        <v>1.57</v>
      </c>
      <c r="AX67" t="s">
        <v>4</v>
      </c>
      <c r="AY67" t="s">
        <v>4</v>
      </c>
      <c r="AZ67" t="s">
        <v>4</v>
      </c>
      <c r="BA67">
        <v>0.17</v>
      </c>
      <c r="BB67">
        <v>9.91</v>
      </c>
      <c r="BC67" t="s">
        <v>4</v>
      </c>
      <c r="BD67">
        <v>4.25</v>
      </c>
      <c r="BE67" t="s">
        <v>4</v>
      </c>
      <c r="BF67">
        <v>7.84</v>
      </c>
      <c r="BG67">
        <v>9.85</v>
      </c>
      <c r="BH67">
        <v>26.4</v>
      </c>
      <c r="BI67" t="s">
        <v>4</v>
      </c>
      <c r="BJ67" t="s">
        <v>4</v>
      </c>
      <c r="BK67">
        <v>6.01</v>
      </c>
      <c r="BL67">
        <v>32.909999999999997</v>
      </c>
      <c r="BM67">
        <v>23.12</v>
      </c>
      <c r="BN67" t="s">
        <v>4</v>
      </c>
      <c r="BO67">
        <v>11.05</v>
      </c>
      <c r="BP67" t="s">
        <v>4</v>
      </c>
      <c r="BQ67">
        <v>11.85</v>
      </c>
      <c r="BR67">
        <v>1.0900000000000001</v>
      </c>
      <c r="BS67" t="s">
        <v>4</v>
      </c>
      <c r="BT67" t="s">
        <v>4</v>
      </c>
      <c r="BU67">
        <v>5.0199999999999996</v>
      </c>
      <c r="BV67">
        <v>5.55</v>
      </c>
      <c r="BW67" t="s">
        <v>4</v>
      </c>
      <c r="BX67">
        <v>3.78</v>
      </c>
      <c r="BY67">
        <v>109.98</v>
      </c>
      <c r="BZ67">
        <v>80.98</v>
      </c>
      <c r="CA67" t="s">
        <v>4</v>
      </c>
      <c r="CB67">
        <v>5.8000000000000007</v>
      </c>
      <c r="CC67" t="s">
        <v>4</v>
      </c>
      <c r="CD67" t="s">
        <v>4</v>
      </c>
      <c r="CE67" t="s">
        <v>4</v>
      </c>
      <c r="CF67">
        <v>0.59</v>
      </c>
      <c r="CG67" t="s">
        <v>4</v>
      </c>
      <c r="CH67">
        <v>3</v>
      </c>
      <c r="CI67">
        <v>8</v>
      </c>
      <c r="CJ67">
        <v>4</v>
      </c>
      <c r="CK67">
        <v>2</v>
      </c>
      <c r="CL67">
        <f t="shared" si="0"/>
        <v>0.17</v>
      </c>
      <c r="CM67">
        <f t="shared" si="1"/>
        <v>751.02</v>
      </c>
      <c r="CN67" t="s">
        <v>325</v>
      </c>
      <c r="CO67" t="s">
        <v>325</v>
      </c>
    </row>
    <row r="68" spans="1:93" x14ac:dyDescent="0.25">
      <c r="A68" s="50">
        <v>44551</v>
      </c>
      <c r="B68" s="51" t="s">
        <v>776</v>
      </c>
      <c r="C68" s="51" t="s">
        <v>235</v>
      </c>
      <c r="D68">
        <v>44551</v>
      </c>
      <c r="E68">
        <v>4.24</v>
      </c>
      <c r="F68">
        <v>3.18</v>
      </c>
      <c r="G68">
        <v>0.55000000000000004</v>
      </c>
      <c r="H68">
        <v>2.57</v>
      </c>
      <c r="I68" t="s">
        <v>4</v>
      </c>
      <c r="J68">
        <v>21.51</v>
      </c>
      <c r="K68">
        <v>19.78</v>
      </c>
      <c r="L68">
        <v>94.39</v>
      </c>
      <c r="M68">
        <v>17.809999999999999</v>
      </c>
      <c r="N68">
        <v>111.96000000000001</v>
      </c>
      <c r="O68">
        <v>143.99</v>
      </c>
      <c r="P68">
        <v>10.74</v>
      </c>
      <c r="Q68">
        <v>6.12</v>
      </c>
      <c r="R68">
        <v>11.44</v>
      </c>
      <c r="S68">
        <v>351.79</v>
      </c>
      <c r="T68">
        <v>6.01</v>
      </c>
      <c r="U68" t="s">
        <v>4</v>
      </c>
      <c r="V68">
        <v>40.53</v>
      </c>
      <c r="W68" t="s">
        <v>4</v>
      </c>
      <c r="X68">
        <v>0.26</v>
      </c>
      <c r="Y68">
        <v>63.52</v>
      </c>
      <c r="Z68">
        <v>3.8999999999999995</v>
      </c>
      <c r="AA68">
        <v>39.19</v>
      </c>
      <c r="AB68">
        <v>1.95</v>
      </c>
      <c r="AC68">
        <v>602.17999999999995</v>
      </c>
      <c r="AD68">
        <v>7.05</v>
      </c>
      <c r="AE68">
        <v>1.4</v>
      </c>
      <c r="AF68" t="s">
        <v>4</v>
      </c>
      <c r="AG68">
        <v>34.85</v>
      </c>
      <c r="AH68">
        <v>2.54</v>
      </c>
      <c r="AI68" t="s">
        <v>4</v>
      </c>
      <c r="AJ68">
        <v>102.89</v>
      </c>
      <c r="AK68">
        <v>3.55</v>
      </c>
      <c r="AL68">
        <v>101.28</v>
      </c>
      <c r="AM68" t="s">
        <v>4</v>
      </c>
      <c r="AN68">
        <v>3.88</v>
      </c>
      <c r="AO68" t="s">
        <v>4</v>
      </c>
      <c r="AP68">
        <v>11.61</v>
      </c>
      <c r="AQ68">
        <v>72.930000000000007</v>
      </c>
      <c r="AR68">
        <v>15.94</v>
      </c>
      <c r="AS68">
        <v>13.2</v>
      </c>
      <c r="AT68" t="s">
        <v>4</v>
      </c>
      <c r="AU68">
        <v>18.34</v>
      </c>
      <c r="AV68" t="s">
        <v>4</v>
      </c>
      <c r="AW68">
        <v>2.64</v>
      </c>
      <c r="AX68">
        <v>0.36</v>
      </c>
      <c r="AY68">
        <v>1.95</v>
      </c>
      <c r="AZ68" t="s">
        <v>4</v>
      </c>
      <c r="BA68" t="s">
        <v>4</v>
      </c>
      <c r="BB68">
        <v>4.25</v>
      </c>
      <c r="BC68" t="s">
        <v>4</v>
      </c>
      <c r="BD68">
        <v>2.46</v>
      </c>
      <c r="BE68" t="s">
        <v>4</v>
      </c>
      <c r="BF68" t="s">
        <v>4</v>
      </c>
      <c r="BG68">
        <v>6.75</v>
      </c>
      <c r="BH68">
        <v>11.7</v>
      </c>
      <c r="BI68" t="s">
        <v>4</v>
      </c>
      <c r="BJ68" t="s">
        <v>4</v>
      </c>
      <c r="BK68">
        <v>221.47</v>
      </c>
      <c r="BL68">
        <v>16.329999999999998</v>
      </c>
      <c r="BM68">
        <v>8.7100000000000009</v>
      </c>
      <c r="BN68" t="s">
        <v>4</v>
      </c>
      <c r="BO68">
        <v>22.54</v>
      </c>
      <c r="BP68" t="s">
        <v>4</v>
      </c>
      <c r="BQ68">
        <v>239.08</v>
      </c>
      <c r="BR68">
        <v>1.04</v>
      </c>
      <c r="BS68">
        <v>18.57</v>
      </c>
      <c r="BT68">
        <v>1.82</v>
      </c>
      <c r="BU68">
        <v>6.37</v>
      </c>
      <c r="BV68">
        <v>6.31</v>
      </c>
      <c r="BW68" t="s">
        <v>4</v>
      </c>
      <c r="BX68">
        <v>4.8600000000000003</v>
      </c>
      <c r="BY68">
        <v>52.68</v>
      </c>
      <c r="BZ68">
        <v>38.869999999999997</v>
      </c>
      <c r="CA68" t="s">
        <v>4</v>
      </c>
      <c r="CB68">
        <v>4.1500000000000004</v>
      </c>
      <c r="CC68" t="s">
        <v>4</v>
      </c>
      <c r="CD68" t="s">
        <v>4</v>
      </c>
      <c r="CE68" t="s">
        <v>4</v>
      </c>
      <c r="CF68" t="s">
        <v>4</v>
      </c>
      <c r="CG68" t="s">
        <v>4</v>
      </c>
      <c r="CH68">
        <v>3</v>
      </c>
      <c r="CI68">
        <v>8</v>
      </c>
      <c r="CJ68">
        <v>4</v>
      </c>
      <c r="CK68">
        <v>2</v>
      </c>
      <c r="CL68">
        <f t="shared" si="0"/>
        <v>0.26</v>
      </c>
      <c r="CM68">
        <f t="shared" si="1"/>
        <v>602.17999999999995</v>
      </c>
      <c r="CN68" t="s">
        <v>326</v>
      </c>
      <c r="CO68" t="s">
        <v>326</v>
      </c>
    </row>
    <row r="69" spans="1:93" x14ac:dyDescent="0.25">
      <c r="A69" s="50">
        <v>44551</v>
      </c>
      <c r="B69" s="51" t="s">
        <v>777</v>
      </c>
      <c r="C69" s="51" t="s">
        <v>236</v>
      </c>
      <c r="D69">
        <v>44551</v>
      </c>
      <c r="E69">
        <v>7.5</v>
      </c>
      <c r="F69">
        <v>5.03</v>
      </c>
      <c r="G69">
        <v>0.6</v>
      </c>
      <c r="H69">
        <v>3.26</v>
      </c>
      <c r="I69" t="s">
        <v>4</v>
      </c>
      <c r="J69" t="s">
        <v>4</v>
      </c>
      <c r="K69">
        <v>95.71</v>
      </c>
      <c r="L69">
        <v>69.83</v>
      </c>
      <c r="M69">
        <v>31.39</v>
      </c>
      <c r="N69">
        <v>120.66</v>
      </c>
      <c r="O69">
        <v>140.59</v>
      </c>
      <c r="P69">
        <v>10.199999999999999</v>
      </c>
      <c r="Q69">
        <v>4.92</v>
      </c>
      <c r="R69">
        <v>10.17</v>
      </c>
      <c r="S69">
        <v>284.69</v>
      </c>
      <c r="T69">
        <v>4.91</v>
      </c>
      <c r="U69" t="s">
        <v>4</v>
      </c>
      <c r="V69">
        <v>50.88</v>
      </c>
      <c r="W69" t="s">
        <v>4</v>
      </c>
      <c r="X69">
        <v>0.21</v>
      </c>
      <c r="Y69">
        <v>55.33</v>
      </c>
      <c r="Z69">
        <v>4.96</v>
      </c>
      <c r="AA69">
        <v>41.13</v>
      </c>
      <c r="AB69">
        <v>2.14</v>
      </c>
      <c r="AC69">
        <v>725.6</v>
      </c>
      <c r="AD69">
        <v>5.42</v>
      </c>
      <c r="AE69">
        <v>1.1000000000000001</v>
      </c>
      <c r="AF69" t="s">
        <v>4</v>
      </c>
      <c r="AG69">
        <v>62.1</v>
      </c>
      <c r="AH69">
        <v>2.65</v>
      </c>
      <c r="AI69" t="s">
        <v>4</v>
      </c>
      <c r="AJ69">
        <v>164.94</v>
      </c>
      <c r="AK69">
        <v>5.21</v>
      </c>
      <c r="AL69">
        <v>90.43</v>
      </c>
      <c r="AM69" t="s">
        <v>4</v>
      </c>
      <c r="AN69">
        <v>5.26</v>
      </c>
      <c r="AO69" t="s">
        <v>4</v>
      </c>
      <c r="AP69">
        <v>47.88</v>
      </c>
      <c r="AQ69">
        <v>141.44</v>
      </c>
      <c r="AR69">
        <v>95.97</v>
      </c>
      <c r="AS69">
        <v>9.15</v>
      </c>
      <c r="AT69" t="s">
        <v>4</v>
      </c>
      <c r="AU69">
        <v>16.3</v>
      </c>
      <c r="AV69" t="s">
        <v>4</v>
      </c>
      <c r="AW69">
        <v>14.1</v>
      </c>
      <c r="AX69">
        <v>1.46</v>
      </c>
      <c r="AY69">
        <v>2.2799999999999998</v>
      </c>
      <c r="AZ69" t="s">
        <v>4</v>
      </c>
      <c r="BA69">
        <v>0.17</v>
      </c>
      <c r="BB69">
        <v>14.15</v>
      </c>
      <c r="BC69" t="s">
        <v>4</v>
      </c>
      <c r="BD69">
        <v>3.27</v>
      </c>
      <c r="BE69" t="s">
        <v>4</v>
      </c>
      <c r="BF69">
        <v>2.77</v>
      </c>
      <c r="BG69">
        <v>5.92</v>
      </c>
      <c r="BH69">
        <v>10.78</v>
      </c>
      <c r="BI69" t="s">
        <v>4</v>
      </c>
      <c r="BJ69" t="s">
        <v>4</v>
      </c>
      <c r="BK69">
        <v>75.900000000000006</v>
      </c>
      <c r="BL69">
        <v>12.27</v>
      </c>
      <c r="BM69">
        <v>7.53</v>
      </c>
      <c r="BN69" t="s">
        <v>4</v>
      </c>
      <c r="BO69">
        <v>41.12</v>
      </c>
      <c r="BP69" t="s">
        <v>4</v>
      </c>
      <c r="BQ69">
        <v>476.45</v>
      </c>
      <c r="BR69">
        <v>3.93</v>
      </c>
      <c r="BS69">
        <v>13.85</v>
      </c>
      <c r="BT69">
        <v>0.86</v>
      </c>
      <c r="BU69">
        <v>3.42</v>
      </c>
      <c r="BV69">
        <v>12.22</v>
      </c>
      <c r="BW69" t="s">
        <v>4</v>
      </c>
      <c r="BX69">
        <v>5.65</v>
      </c>
      <c r="BY69">
        <v>36.020000000000003</v>
      </c>
      <c r="BZ69">
        <v>23.34</v>
      </c>
      <c r="CA69" t="s">
        <v>4</v>
      </c>
      <c r="CB69">
        <v>3.4800000000000004</v>
      </c>
      <c r="CC69" t="s">
        <v>4</v>
      </c>
      <c r="CD69" t="s">
        <v>4</v>
      </c>
      <c r="CE69" t="s">
        <v>4</v>
      </c>
      <c r="CF69" t="s">
        <v>4</v>
      </c>
      <c r="CG69" t="s">
        <v>4</v>
      </c>
      <c r="CH69">
        <v>3</v>
      </c>
      <c r="CI69">
        <v>8</v>
      </c>
      <c r="CJ69">
        <v>4</v>
      </c>
      <c r="CK69">
        <v>2</v>
      </c>
      <c r="CL69">
        <f t="shared" si="0"/>
        <v>0.17</v>
      </c>
      <c r="CM69">
        <f t="shared" si="1"/>
        <v>725.6</v>
      </c>
      <c r="CN69" t="s">
        <v>328</v>
      </c>
      <c r="CO69" t="s">
        <v>328</v>
      </c>
    </row>
    <row r="70" spans="1:93" x14ac:dyDescent="0.25">
      <c r="A70" s="50">
        <v>44916</v>
      </c>
      <c r="B70" s="51" t="s">
        <v>778</v>
      </c>
      <c r="C70" s="51" t="s">
        <v>237</v>
      </c>
      <c r="D70">
        <v>44916</v>
      </c>
      <c r="E70">
        <v>7.58</v>
      </c>
      <c r="F70">
        <v>4.46</v>
      </c>
      <c r="G70">
        <v>0.47</v>
      </c>
      <c r="H70">
        <v>3.02</v>
      </c>
      <c r="I70" t="s">
        <v>4</v>
      </c>
      <c r="J70" t="s">
        <v>4</v>
      </c>
      <c r="K70">
        <v>45.06</v>
      </c>
      <c r="L70">
        <v>55</v>
      </c>
      <c r="M70">
        <v>34.78</v>
      </c>
      <c r="N70">
        <v>179.81</v>
      </c>
      <c r="O70">
        <v>111.94</v>
      </c>
      <c r="P70">
        <v>9.06</v>
      </c>
      <c r="Q70">
        <v>3.9</v>
      </c>
      <c r="R70">
        <v>7.14</v>
      </c>
      <c r="S70">
        <v>219.81</v>
      </c>
      <c r="T70">
        <v>4.1399999999999997</v>
      </c>
      <c r="U70" t="s">
        <v>4</v>
      </c>
      <c r="V70">
        <v>68.849999999999994</v>
      </c>
      <c r="W70" t="s">
        <v>4</v>
      </c>
      <c r="X70" t="s">
        <v>4</v>
      </c>
      <c r="Y70">
        <v>33.93</v>
      </c>
      <c r="Z70">
        <v>3.8</v>
      </c>
      <c r="AA70">
        <v>51.61</v>
      </c>
      <c r="AB70">
        <v>3.73</v>
      </c>
      <c r="AC70">
        <v>883.65</v>
      </c>
      <c r="AD70">
        <v>5.05</v>
      </c>
      <c r="AE70">
        <v>0.95</v>
      </c>
      <c r="AF70" t="s">
        <v>4</v>
      </c>
      <c r="AG70">
        <v>37.04</v>
      </c>
      <c r="AH70" t="s">
        <v>4</v>
      </c>
      <c r="AI70" t="s">
        <v>4</v>
      </c>
      <c r="AJ70">
        <v>313.38</v>
      </c>
      <c r="AK70">
        <v>8.0299999999999994</v>
      </c>
      <c r="AL70">
        <v>68.7</v>
      </c>
      <c r="AM70" t="s">
        <v>4</v>
      </c>
      <c r="AN70">
        <v>6.51</v>
      </c>
      <c r="AO70" t="s">
        <v>4</v>
      </c>
      <c r="AP70">
        <v>100.02</v>
      </c>
      <c r="AQ70">
        <v>209.14</v>
      </c>
      <c r="AR70">
        <v>75.42</v>
      </c>
      <c r="AS70">
        <v>8.1300000000000008</v>
      </c>
      <c r="AT70" t="s">
        <v>4</v>
      </c>
      <c r="AU70">
        <v>39.31</v>
      </c>
      <c r="AV70" t="s">
        <v>4</v>
      </c>
      <c r="AW70">
        <v>8.43</v>
      </c>
      <c r="AX70">
        <v>2.4</v>
      </c>
      <c r="AY70">
        <v>2.99</v>
      </c>
      <c r="AZ70" t="s">
        <v>4</v>
      </c>
      <c r="BA70">
        <v>0.2</v>
      </c>
      <c r="BB70">
        <v>7.09</v>
      </c>
      <c r="BC70" t="s">
        <v>4</v>
      </c>
      <c r="BD70">
        <v>3.8699999999999997</v>
      </c>
      <c r="BE70" t="s">
        <v>4</v>
      </c>
      <c r="BF70" t="s">
        <v>4</v>
      </c>
      <c r="BG70">
        <v>4.41</v>
      </c>
      <c r="BH70">
        <v>8.6300000000000008</v>
      </c>
      <c r="BI70" t="s">
        <v>4</v>
      </c>
      <c r="BJ70" t="s">
        <v>4</v>
      </c>
      <c r="BK70">
        <v>54.66</v>
      </c>
      <c r="BL70">
        <v>9.32</v>
      </c>
      <c r="BM70">
        <v>5.45</v>
      </c>
      <c r="BN70" t="s">
        <v>4</v>
      </c>
      <c r="BO70">
        <v>67.569999999999993</v>
      </c>
      <c r="BP70" t="s">
        <v>4</v>
      </c>
      <c r="BQ70">
        <v>388.28</v>
      </c>
      <c r="BR70">
        <v>4</v>
      </c>
      <c r="BS70">
        <v>18.579999999999998</v>
      </c>
      <c r="BT70">
        <v>1.02</v>
      </c>
      <c r="BU70">
        <v>3.55</v>
      </c>
      <c r="BV70">
        <v>17.86</v>
      </c>
      <c r="BW70" t="s">
        <v>4</v>
      </c>
      <c r="BX70">
        <v>4.29</v>
      </c>
      <c r="BY70">
        <v>33.54</v>
      </c>
      <c r="BZ70">
        <v>22.98</v>
      </c>
      <c r="CA70" t="s">
        <v>4</v>
      </c>
      <c r="CB70">
        <v>3.7300000000000004</v>
      </c>
      <c r="CC70" t="s">
        <v>4</v>
      </c>
      <c r="CD70" t="s">
        <v>4</v>
      </c>
      <c r="CE70" t="s">
        <v>4</v>
      </c>
      <c r="CF70" t="s">
        <v>4</v>
      </c>
      <c r="CG70" t="s">
        <v>4</v>
      </c>
      <c r="CH70">
        <v>3</v>
      </c>
      <c r="CI70">
        <v>8</v>
      </c>
      <c r="CJ70">
        <v>4</v>
      </c>
      <c r="CK70">
        <v>2</v>
      </c>
      <c r="CL70">
        <f t="shared" ref="CL70:CL111" si="2">MIN(E70:CG70)</f>
        <v>0.2</v>
      </c>
      <c r="CM70">
        <f t="shared" ref="CM70:CM111" si="3">MAX(E70:CG70)</f>
        <v>883.65</v>
      </c>
      <c r="CN70" t="s">
        <v>391</v>
      </c>
      <c r="CO70" t="s">
        <v>391</v>
      </c>
    </row>
    <row r="71" spans="1:93" x14ac:dyDescent="0.25">
      <c r="A71" s="50">
        <v>44551</v>
      </c>
      <c r="B71" s="51" t="s">
        <v>779</v>
      </c>
      <c r="C71" s="51" t="s">
        <v>238</v>
      </c>
      <c r="D71">
        <v>44551</v>
      </c>
      <c r="E71">
        <v>11.36</v>
      </c>
      <c r="F71">
        <v>4.74</v>
      </c>
      <c r="G71">
        <v>0.63</v>
      </c>
      <c r="H71">
        <v>5.15</v>
      </c>
      <c r="I71" t="s">
        <v>4</v>
      </c>
      <c r="J71" t="s">
        <v>4</v>
      </c>
      <c r="K71">
        <v>30.28</v>
      </c>
      <c r="L71">
        <v>57.48</v>
      </c>
      <c r="M71">
        <v>61.4</v>
      </c>
      <c r="N71">
        <v>201.3</v>
      </c>
      <c r="O71">
        <v>107.34</v>
      </c>
      <c r="P71">
        <v>9.7799999999999994</v>
      </c>
      <c r="Q71">
        <v>3.49</v>
      </c>
      <c r="R71">
        <v>7.42</v>
      </c>
      <c r="S71">
        <v>201.66</v>
      </c>
      <c r="T71">
        <v>5.5</v>
      </c>
      <c r="U71" t="s">
        <v>4</v>
      </c>
      <c r="V71">
        <v>82.86</v>
      </c>
      <c r="W71" t="s">
        <v>4</v>
      </c>
      <c r="X71">
        <v>0.41</v>
      </c>
      <c r="Y71">
        <v>31.9</v>
      </c>
      <c r="Z71">
        <v>6.86</v>
      </c>
      <c r="AA71">
        <v>52.19</v>
      </c>
      <c r="AB71">
        <v>4.29</v>
      </c>
      <c r="AC71">
        <v>858.61</v>
      </c>
      <c r="AD71">
        <v>10118.700000000001</v>
      </c>
      <c r="AE71">
        <v>5324.98</v>
      </c>
      <c r="AF71" t="s">
        <v>4</v>
      </c>
      <c r="AG71">
        <v>49.33</v>
      </c>
      <c r="AH71" t="s">
        <v>4</v>
      </c>
      <c r="AI71" t="s">
        <v>4</v>
      </c>
      <c r="AJ71">
        <v>569.91999999999996</v>
      </c>
      <c r="AK71">
        <v>6.16</v>
      </c>
      <c r="AL71">
        <v>72.819999999999993</v>
      </c>
      <c r="AM71" t="s">
        <v>4</v>
      </c>
      <c r="AN71">
        <v>10.15</v>
      </c>
      <c r="AO71" t="s">
        <v>4</v>
      </c>
      <c r="AP71">
        <v>169.75</v>
      </c>
      <c r="AQ71">
        <v>383.39</v>
      </c>
      <c r="AR71">
        <v>98.289999999999992</v>
      </c>
      <c r="AS71">
        <v>7.92</v>
      </c>
      <c r="AT71">
        <v>11.03</v>
      </c>
      <c r="AU71">
        <v>89.86</v>
      </c>
      <c r="AV71" t="s">
        <v>4</v>
      </c>
      <c r="AW71" t="s">
        <v>4</v>
      </c>
      <c r="AX71">
        <v>5.89</v>
      </c>
      <c r="AY71">
        <v>6.08</v>
      </c>
      <c r="AZ71" t="s">
        <v>4</v>
      </c>
      <c r="BA71" t="s">
        <v>4</v>
      </c>
      <c r="BB71">
        <v>8.43</v>
      </c>
      <c r="BC71" t="s">
        <v>4</v>
      </c>
      <c r="BD71">
        <v>5.5500000000000007</v>
      </c>
      <c r="BE71" t="s">
        <v>4</v>
      </c>
      <c r="BF71" t="s">
        <v>4</v>
      </c>
      <c r="BG71">
        <v>6.38</v>
      </c>
      <c r="BH71">
        <v>8.19</v>
      </c>
      <c r="BI71" t="s">
        <v>4</v>
      </c>
      <c r="BJ71" t="s">
        <v>4</v>
      </c>
      <c r="BK71">
        <v>45.25</v>
      </c>
      <c r="BL71">
        <v>8.82</v>
      </c>
      <c r="BM71">
        <v>5.16</v>
      </c>
      <c r="BN71" t="s">
        <v>4</v>
      </c>
      <c r="BO71">
        <v>83.7</v>
      </c>
      <c r="BP71" t="s">
        <v>4</v>
      </c>
      <c r="BQ71">
        <v>567.70000000000005</v>
      </c>
      <c r="BR71">
        <v>3.73</v>
      </c>
      <c r="BS71">
        <v>23.08</v>
      </c>
      <c r="BT71">
        <v>0.5</v>
      </c>
      <c r="BU71">
        <v>1.66</v>
      </c>
      <c r="BV71">
        <v>17.059999999999999</v>
      </c>
      <c r="BW71" t="s">
        <v>4</v>
      </c>
      <c r="BX71">
        <v>2.2200000000000002</v>
      </c>
      <c r="BY71">
        <v>29.1</v>
      </c>
      <c r="BZ71">
        <v>24.28</v>
      </c>
      <c r="CA71">
        <v>0.42999999999999972</v>
      </c>
      <c r="CB71">
        <v>4.34</v>
      </c>
      <c r="CC71" t="s">
        <v>4</v>
      </c>
      <c r="CD71" t="s">
        <v>4</v>
      </c>
      <c r="CE71" t="s">
        <v>4</v>
      </c>
      <c r="CF71" t="s">
        <v>4</v>
      </c>
      <c r="CG71" t="s">
        <v>4</v>
      </c>
      <c r="CH71">
        <v>3</v>
      </c>
      <c r="CI71">
        <v>8</v>
      </c>
      <c r="CJ71">
        <v>4</v>
      </c>
      <c r="CK71">
        <v>2</v>
      </c>
      <c r="CL71">
        <f t="shared" si="2"/>
        <v>0.41</v>
      </c>
      <c r="CM71">
        <f t="shared" si="3"/>
        <v>10118.700000000001</v>
      </c>
      <c r="CN71" t="s">
        <v>393</v>
      </c>
      <c r="CO71" t="s">
        <v>393</v>
      </c>
    </row>
    <row r="72" spans="1:93" ht="14.4" thickBot="1" x14ac:dyDescent="0.3">
      <c r="A72" s="50">
        <v>44551</v>
      </c>
      <c r="B72" s="51" t="s">
        <v>780</v>
      </c>
      <c r="C72" s="51" t="s">
        <v>239</v>
      </c>
      <c r="D72">
        <v>44551</v>
      </c>
      <c r="E72">
        <v>13.7</v>
      </c>
      <c r="F72">
        <v>6.82</v>
      </c>
      <c r="G72">
        <v>0.56999999999999995</v>
      </c>
      <c r="H72">
        <v>10.46</v>
      </c>
      <c r="I72" t="s">
        <v>4</v>
      </c>
      <c r="J72" t="s">
        <v>4</v>
      </c>
      <c r="K72">
        <v>23.05</v>
      </c>
      <c r="L72">
        <v>89.41</v>
      </c>
      <c r="M72">
        <v>70.17</v>
      </c>
      <c r="N72">
        <v>157.59</v>
      </c>
      <c r="O72">
        <v>146.51</v>
      </c>
      <c r="P72">
        <v>12.84</v>
      </c>
      <c r="Q72">
        <v>5.75</v>
      </c>
      <c r="R72">
        <v>10.050000000000001</v>
      </c>
      <c r="S72">
        <v>301.51</v>
      </c>
      <c r="T72">
        <v>7.61</v>
      </c>
      <c r="U72" t="s">
        <v>4</v>
      </c>
      <c r="V72">
        <v>102.89</v>
      </c>
      <c r="W72" t="s">
        <v>4</v>
      </c>
      <c r="X72">
        <v>0.46</v>
      </c>
      <c r="Y72">
        <v>45.72</v>
      </c>
      <c r="Z72">
        <v>7.4200000000000008</v>
      </c>
      <c r="AA72">
        <v>35.450000000000003</v>
      </c>
      <c r="AB72">
        <v>5.56</v>
      </c>
      <c r="AC72">
        <v>879.87</v>
      </c>
      <c r="AD72">
        <v>15154.5</v>
      </c>
      <c r="AE72" t="s">
        <v>4</v>
      </c>
      <c r="AF72" t="s">
        <v>4</v>
      </c>
      <c r="AG72">
        <v>34.42</v>
      </c>
      <c r="AH72">
        <v>2.8</v>
      </c>
      <c r="AI72" t="s">
        <v>4</v>
      </c>
      <c r="AJ72">
        <v>458.76</v>
      </c>
      <c r="AK72">
        <v>4.28</v>
      </c>
      <c r="AL72">
        <v>106.97</v>
      </c>
      <c r="AM72" t="s">
        <v>4</v>
      </c>
      <c r="AN72">
        <v>21.62</v>
      </c>
      <c r="AO72" t="s">
        <v>4</v>
      </c>
      <c r="AP72">
        <v>155.28</v>
      </c>
      <c r="AQ72">
        <v>358.67</v>
      </c>
      <c r="AR72">
        <v>118.14999999999999</v>
      </c>
      <c r="AS72">
        <v>12.07</v>
      </c>
      <c r="AT72">
        <v>9.1</v>
      </c>
      <c r="AU72">
        <v>68.17</v>
      </c>
      <c r="AV72" t="s">
        <v>4</v>
      </c>
      <c r="AW72" t="s">
        <v>4</v>
      </c>
      <c r="AX72">
        <v>10.17</v>
      </c>
      <c r="AY72">
        <v>5.15</v>
      </c>
      <c r="AZ72" t="s">
        <v>4</v>
      </c>
      <c r="BA72" t="s">
        <v>4</v>
      </c>
      <c r="BB72">
        <v>9.17</v>
      </c>
      <c r="BC72">
        <v>0.24</v>
      </c>
      <c r="BD72">
        <v>8.56</v>
      </c>
      <c r="BE72" t="s">
        <v>4</v>
      </c>
      <c r="BF72">
        <v>2.74</v>
      </c>
      <c r="BG72">
        <v>7.28</v>
      </c>
      <c r="BH72">
        <v>22.35</v>
      </c>
      <c r="BI72" t="s">
        <v>4</v>
      </c>
      <c r="BJ72" t="s">
        <v>4</v>
      </c>
      <c r="BK72">
        <v>33.85</v>
      </c>
      <c r="BL72">
        <v>12.28</v>
      </c>
      <c r="BM72">
        <v>7.14</v>
      </c>
      <c r="BN72" t="s">
        <v>4</v>
      </c>
      <c r="BO72">
        <v>127.81</v>
      </c>
      <c r="BP72" t="s">
        <v>4</v>
      </c>
      <c r="BQ72" s="26">
        <v>465.93</v>
      </c>
      <c r="BR72" s="26">
        <v>8.15</v>
      </c>
      <c r="BS72" s="26">
        <v>25.14</v>
      </c>
      <c r="BT72" s="26" t="s">
        <v>4</v>
      </c>
      <c r="BU72" s="26">
        <v>1.19</v>
      </c>
      <c r="BV72" s="26">
        <v>14.81</v>
      </c>
      <c r="BW72" s="26" t="s">
        <v>4</v>
      </c>
      <c r="BX72" s="26">
        <v>1.36</v>
      </c>
      <c r="BY72" s="26">
        <v>44.58</v>
      </c>
      <c r="BZ72" s="26">
        <v>34.03</v>
      </c>
      <c r="CA72" s="26" t="s">
        <v>4</v>
      </c>
      <c r="CB72" s="26">
        <v>2.2100000000000009</v>
      </c>
      <c r="CC72" s="26" t="s">
        <v>4</v>
      </c>
      <c r="CD72" s="26" t="s">
        <v>4</v>
      </c>
      <c r="CE72" t="s">
        <v>4</v>
      </c>
      <c r="CF72">
        <v>2.0299999999999998</v>
      </c>
      <c r="CG72" t="s">
        <v>4</v>
      </c>
      <c r="CH72">
        <v>3</v>
      </c>
      <c r="CI72">
        <v>8</v>
      </c>
      <c r="CJ72">
        <v>4</v>
      </c>
      <c r="CK72">
        <v>2</v>
      </c>
      <c r="CL72">
        <f t="shared" si="2"/>
        <v>0.24</v>
      </c>
      <c r="CM72">
        <f t="shared" si="3"/>
        <v>15154.5</v>
      </c>
      <c r="CN72" t="s">
        <v>394</v>
      </c>
      <c r="CO72" t="s">
        <v>394</v>
      </c>
    </row>
    <row r="73" spans="1:93" x14ac:dyDescent="0.25">
      <c r="A73" s="50">
        <v>44588</v>
      </c>
      <c r="B73" s="51" t="s">
        <v>781</v>
      </c>
      <c r="C73" s="51" t="s">
        <v>245</v>
      </c>
      <c r="D73">
        <v>44588</v>
      </c>
      <c r="E73">
        <v>49.34</v>
      </c>
      <c r="F73">
        <v>1.49</v>
      </c>
      <c r="G73">
        <v>43.56</v>
      </c>
      <c r="H73">
        <v>134.63</v>
      </c>
      <c r="I73">
        <v>21.28</v>
      </c>
      <c r="J73">
        <v>10.42</v>
      </c>
      <c r="K73">
        <v>20.079999999999998</v>
      </c>
      <c r="L73">
        <v>101.81</v>
      </c>
      <c r="M73">
        <v>134.38</v>
      </c>
      <c r="N73">
        <v>911.27</v>
      </c>
      <c r="O73">
        <v>111.4</v>
      </c>
      <c r="P73">
        <v>10.61</v>
      </c>
      <c r="Q73">
        <v>3.27</v>
      </c>
      <c r="R73">
        <v>6.09</v>
      </c>
      <c r="S73">
        <v>183.02</v>
      </c>
      <c r="T73">
        <v>10.39</v>
      </c>
      <c r="U73" t="s">
        <v>4</v>
      </c>
      <c r="V73">
        <v>116.81</v>
      </c>
      <c r="W73" t="s">
        <v>4</v>
      </c>
      <c r="X73" t="s">
        <v>4</v>
      </c>
      <c r="Y73">
        <v>44.78</v>
      </c>
      <c r="Z73">
        <v>4.5599999999999996</v>
      </c>
      <c r="AA73">
        <v>12.04</v>
      </c>
      <c r="AB73">
        <v>4.54</v>
      </c>
      <c r="AC73">
        <v>7114.22</v>
      </c>
      <c r="AD73">
        <v>125.21</v>
      </c>
      <c r="AE73">
        <v>20.2</v>
      </c>
      <c r="AF73" t="s">
        <v>4</v>
      </c>
      <c r="AG73">
        <v>41.81</v>
      </c>
      <c r="AH73">
        <v>12.35</v>
      </c>
      <c r="AI73" t="s">
        <v>4</v>
      </c>
      <c r="AJ73">
        <v>175.99</v>
      </c>
      <c r="AK73">
        <v>1.21</v>
      </c>
      <c r="AL73">
        <v>73.67</v>
      </c>
      <c r="AM73" t="s">
        <v>4</v>
      </c>
      <c r="AN73">
        <v>15.43</v>
      </c>
      <c r="AO73" t="s">
        <v>4</v>
      </c>
      <c r="AP73" t="s">
        <v>4</v>
      </c>
      <c r="AQ73">
        <v>310.18</v>
      </c>
      <c r="AR73">
        <v>28.689999999999998</v>
      </c>
      <c r="AS73">
        <v>12.6</v>
      </c>
      <c r="AT73">
        <v>5.01</v>
      </c>
      <c r="AU73">
        <v>34.03</v>
      </c>
      <c r="AV73" t="s">
        <v>4</v>
      </c>
      <c r="AW73" t="s">
        <v>4</v>
      </c>
      <c r="AX73">
        <v>2.97</v>
      </c>
      <c r="AY73">
        <v>3.48</v>
      </c>
      <c r="AZ73" t="s">
        <v>4</v>
      </c>
      <c r="BA73" t="s">
        <v>4</v>
      </c>
      <c r="BB73">
        <v>4.9400000000000004</v>
      </c>
      <c r="BC73" t="s">
        <v>4</v>
      </c>
      <c r="BD73">
        <v>8.42</v>
      </c>
      <c r="BE73" t="s">
        <v>4</v>
      </c>
      <c r="BF73" t="s">
        <v>4</v>
      </c>
      <c r="BG73">
        <v>6.6</v>
      </c>
      <c r="BH73">
        <v>139.79</v>
      </c>
      <c r="BI73">
        <v>6.65</v>
      </c>
      <c r="BJ73" t="s">
        <v>4</v>
      </c>
      <c r="BK73">
        <v>6.56</v>
      </c>
      <c r="BL73">
        <v>11.28</v>
      </c>
      <c r="BM73">
        <v>6.49</v>
      </c>
      <c r="BN73" t="s">
        <v>4</v>
      </c>
      <c r="BO73">
        <v>24.41</v>
      </c>
      <c r="BP73" t="s">
        <v>4</v>
      </c>
      <c r="BQ73">
        <v>25.41</v>
      </c>
      <c r="BR73">
        <v>1.06</v>
      </c>
      <c r="BS73">
        <v>15.32</v>
      </c>
      <c r="BT73">
        <v>0.37</v>
      </c>
      <c r="BU73">
        <v>2.0499999999999998</v>
      </c>
      <c r="BV73">
        <v>2.64</v>
      </c>
      <c r="BW73" t="s">
        <v>4</v>
      </c>
      <c r="BX73">
        <v>1.78</v>
      </c>
      <c r="BY73">
        <v>67.67</v>
      </c>
      <c r="BZ73">
        <v>53.21</v>
      </c>
      <c r="CA73">
        <v>2.37</v>
      </c>
      <c r="CB73">
        <v>3.58</v>
      </c>
      <c r="CC73" t="s">
        <v>4</v>
      </c>
      <c r="CD73" t="s">
        <v>4</v>
      </c>
      <c r="CE73" t="s">
        <v>4</v>
      </c>
      <c r="CF73">
        <v>1.39</v>
      </c>
      <c r="CG73" t="s">
        <v>4</v>
      </c>
      <c r="CH73">
        <v>3</v>
      </c>
      <c r="CI73">
        <v>8</v>
      </c>
      <c r="CJ73">
        <v>4</v>
      </c>
      <c r="CK73">
        <v>1</v>
      </c>
      <c r="CL73">
        <f t="shared" si="2"/>
        <v>0.37</v>
      </c>
      <c r="CM73">
        <f t="shared" si="3"/>
        <v>7114.22</v>
      </c>
      <c r="CN73" t="s">
        <v>395</v>
      </c>
      <c r="CO73" t="s">
        <v>395</v>
      </c>
    </row>
    <row r="74" spans="1:93" x14ac:dyDescent="0.25">
      <c r="A74" s="50">
        <v>44588</v>
      </c>
      <c r="B74" s="51" t="s">
        <v>782</v>
      </c>
      <c r="C74" s="51" t="s">
        <v>246</v>
      </c>
      <c r="D74">
        <v>44588</v>
      </c>
      <c r="E74">
        <v>12.2</v>
      </c>
      <c r="F74">
        <v>2.77</v>
      </c>
      <c r="G74">
        <v>103.95</v>
      </c>
      <c r="H74">
        <v>17.29</v>
      </c>
      <c r="I74" t="s">
        <v>4</v>
      </c>
      <c r="J74" t="s">
        <v>4</v>
      </c>
      <c r="K74">
        <v>17.8</v>
      </c>
      <c r="L74">
        <v>190.01</v>
      </c>
      <c r="M74">
        <v>46.09</v>
      </c>
      <c r="N74">
        <v>229.21000000000004</v>
      </c>
      <c r="O74">
        <v>321.04000000000002</v>
      </c>
      <c r="P74">
        <v>20.2</v>
      </c>
      <c r="Q74">
        <v>11.04</v>
      </c>
      <c r="R74">
        <v>21.08</v>
      </c>
      <c r="S74">
        <v>498.97</v>
      </c>
      <c r="T74">
        <v>25.74</v>
      </c>
      <c r="U74">
        <v>0.69</v>
      </c>
      <c r="V74">
        <v>38.4</v>
      </c>
      <c r="W74" t="s">
        <v>4</v>
      </c>
      <c r="X74" t="s">
        <v>4</v>
      </c>
      <c r="Y74">
        <v>132.63999999999999</v>
      </c>
      <c r="Z74">
        <v>4.1599999999999993</v>
      </c>
      <c r="AA74">
        <v>45.09</v>
      </c>
      <c r="AB74">
        <v>9.6300000000000008</v>
      </c>
      <c r="AC74">
        <v>1486.28</v>
      </c>
      <c r="AD74">
        <v>111.72</v>
      </c>
      <c r="AE74">
        <v>42.78</v>
      </c>
      <c r="AF74" t="s">
        <v>4</v>
      </c>
      <c r="AG74">
        <v>15.45</v>
      </c>
      <c r="AH74">
        <v>13.25</v>
      </c>
      <c r="AI74">
        <v>0.49</v>
      </c>
      <c r="AJ74">
        <v>199.58</v>
      </c>
      <c r="AK74">
        <v>1.2</v>
      </c>
      <c r="AL74">
        <v>212.91</v>
      </c>
      <c r="AM74" t="s">
        <v>4</v>
      </c>
      <c r="AN74">
        <v>60.589999999999996</v>
      </c>
      <c r="AO74" t="s">
        <v>4</v>
      </c>
      <c r="AP74">
        <v>4.1500000000000004</v>
      </c>
      <c r="AQ74">
        <v>101.05</v>
      </c>
      <c r="AR74">
        <v>34.369999999999997</v>
      </c>
      <c r="AS74">
        <v>36.61</v>
      </c>
      <c r="AT74">
        <v>8.24</v>
      </c>
      <c r="AU74">
        <v>48.15</v>
      </c>
      <c r="AV74" t="s">
        <v>4</v>
      </c>
      <c r="AW74">
        <v>6.01</v>
      </c>
      <c r="AX74">
        <v>3.1</v>
      </c>
      <c r="AY74">
        <v>6.69</v>
      </c>
      <c r="AZ74" t="s">
        <v>4</v>
      </c>
      <c r="BA74" t="s">
        <v>4</v>
      </c>
      <c r="BB74">
        <v>32.69</v>
      </c>
      <c r="BC74" t="s">
        <v>4</v>
      </c>
      <c r="BD74">
        <v>29.330000000000002</v>
      </c>
      <c r="BE74" t="s">
        <v>4</v>
      </c>
      <c r="BF74">
        <v>4.7300000000000004</v>
      </c>
      <c r="BG74">
        <v>17.52</v>
      </c>
      <c r="BH74">
        <v>17.940000000000001</v>
      </c>
      <c r="BI74" t="s">
        <v>4</v>
      </c>
      <c r="BJ74">
        <v>16.38</v>
      </c>
      <c r="BK74">
        <v>4</v>
      </c>
      <c r="BL74">
        <v>35.729999999999997</v>
      </c>
      <c r="BM74">
        <v>20.65</v>
      </c>
      <c r="BN74" t="s">
        <v>4</v>
      </c>
      <c r="BO74">
        <v>22.69</v>
      </c>
      <c r="BP74" t="s">
        <v>4</v>
      </c>
      <c r="BQ74">
        <v>30.04</v>
      </c>
      <c r="BR74" t="s">
        <v>4</v>
      </c>
      <c r="BS74">
        <v>25.54</v>
      </c>
      <c r="BT74" t="s">
        <v>4</v>
      </c>
      <c r="BU74">
        <v>2.2999999999999998</v>
      </c>
      <c r="BV74">
        <v>4.59</v>
      </c>
      <c r="BW74" t="s">
        <v>4</v>
      </c>
      <c r="BX74">
        <v>1.53</v>
      </c>
      <c r="BY74">
        <v>134.03</v>
      </c>
      <c r="BZ74">
        <v>153.44999999999999</v>
      </c>
      <c r="CA74">
        <v>0.96</v>
      </c>
      <c r="CB74">
        <v>54.75</v>
      </c>
      <c r="CC74" t="s">
        <v>4</v>
      </c>
      <c r="CD74" t="s">
        <v>4</v>
      </c>
      <c r="CE74" t="s">
        <v>4</v>
      </c>
      <c r="CF74">
        <v>4.9800000000000004</v>
      </c>
      <c r="CG74" t="s">
        <v>4</v>
      </c>
      <c r="CH74">
        <v>3</v>
      </c>
      <c r="CI74">
        <v>8</v>
      </c>
      <c r="CJ74">
        <v>4</v>
      </c>
      <c r="CK74">
        <v>2</v>
      </c>
      <c r="CL74">
        <f t="shared" si="2"/>
        <v>0.49</v>
      </c>
      <c r="CM74">
        <f t="shared" si="3"/>
        <v>1486.28</v>
      </c>
      <c r="CN74" t="s">
        <v>396</v>
      </c>
      <c r="CO74" t="s">
        <v>396</v>
      </c>
    </row>
    <row r="75" spans="1:93" x14ac:dyDescent="0.25">
      <c r="A75" s="50">
        <v>44588</v>
      </c>
      <c r="B75" s="51" t="s">
        <v>783</v>
      </c>
      <c r="C75" s="51" t="s">
        <v>247</v>
      </c>
      <c r="D75">
        <v>44588</v>
      </c>
      <c r="E75">
        <v>14.43</v>
      </c>
      <c r="F75">
        <v>2.37</v>
      </c>
      <c r="G75">
        <v>86.35</v>
      </c>
      <c r="H75">
        <v>51.24</v>
      </c>
      <c r="I75">
        <v>10.9</v>
      </c>
      <c r="J75" t="s">
        <v>4</v>
      </c>
      <c r="K75">
        <v>12.54</v>
      </c>
      <c r="L75">
        <v>125.79</v>
      </c>
      <c r="M75">
        <v>27.7</v>
      </c>
      <c r="N75">
        <v>662.44</v>
      </c>
      <c r="O75">
        <v>225.53</v>
      </c>
      <c r="P75">
        <v>13.52</v>
      </c>
      <c r="Q75">
        <v>8.43</v>
      </c>
      <c r="R75">
        <v>16.510000000000002</v>
      </c>
      <c r="S75">
        <v>376.73</v>
      </c>
      <c r="T75">
        <v>22.71</v>
      </c>
      <c r="U75" t="s">
        <v>4</v>
      </c>
      <c r="V75">
        <v>41.07</v>
      </c>
      <c r="W75" t="s">
        <v>4</v>
      </c>
      <c r="X75">
        <v>0.32</v>
      </c>
      <c r="Y75">
        <v>101.2</v>
      </c>
      <c r="Z75">
        <v>4.2299999999999995</v>
      </c>
      <c r="AA75">
        <v>27.080000000000002</v>
      </c>
      <c r="AB75">
        <v>7.78</v>
      </c>
      <c r="AC75">
        <v>2814.17</v>
      </c>
      <c r="AD75">
        <v>88</v>
      </c>
      <c r="AE75">
        <v>32.840000000000003</v>
      </c>
      <c r="AF75" t="s">
        <v>4</v>
      </c>
      <c r="AG75">
        <v>18.850000000000001</v>
      </c>
      <c r="AH75">
        <v>9.4600000000000009</v>
      </c>
      <c r="AI75">
        <v>0.43</v>
      </c>
      <c r="AJ75">
        <v>159.66999999999999</v>
      </c>
      <c r="AK75">
        <v>0.78</v>
      </c>
      <c r="AL75">
        <v>167.66</v>
      </c>
      <c r="AM75" t="s">
        <v>4</v>
      </c>
      <c r="AN75">
        <v>34.82</v>
      </c>
      <c r="AO75" t="s">
        <v>4</v>
      </c>
      <c r="AP75">
        <v>2.64</v>
      </c>
      <c r="AQ75">
        <v>105.1</v>
      </c>
      <c r="AR75">
        <v>22.4</v>
      </c>
      <c r="AS75">
        <v>29.27</v>
      </c>
      <c r="AT75">
        <v>4.88</v>
      </c>
      <c r="AU75">
        <v>46.9</v>
      </c>
      <c r="AV75">
        <v>6.38</v>
      </c>
      <c r="AW75">
        <v>5.9</v>
      </c>
      <c r="AX75">
        <v>2.0699999999999998</v>
      </c>
      <c r="AY75">
        <v>5.68</v>
      </c>
      <c r="AZ75" t="s">
        <v>4</v>
      </c>
      <c r="BA75" t="s">
        <v>4</v>
      </c>
      <c r="BB75">
        <v>17.87</v>
      </c>
      <c r="BC75" t="s">
        <v>4</v>
      </c>
      <c r="BD75">
        <v>23.26</v>
      </c>
      <c r="BE75" t="s">
        <v>4</v>
      </c>
      <c r="BF75" t="s">
        <v>4</v>
      </c>
      <c r="BG75">
        <v>11.3</v>
      </c>
      <c r="BH75">
        <v>11.21</v>
      </c>
      <c r="BI75" t="s">
        <v>4</v>
      </c>
      <c r="BJ75">
        <v>10.91</v>
      </c>
      <c r="BK75">
        <v>2.74</v>
      </c>
      <c r="BL75">
        <v>23.97</v>
      </c>
      <c r="BM75">
        <v>12.27</v>
      </c>
      <c r="BN75" t="s">
        <v>4</v>
      </c>
      <c r="BO75">
        <v>14.21</v>
      </c>
      <c r="BP75" t="s">
        <v>4</v>
      </c>
      <c r="BQ75">
        <v>21.29</v>
      </c>
      <c r="BR75">
        <v>1.01</v>
      </c>
      <c r="BS75">
        <v>18.260000000000002</v>
      </c>
      <c r="BT75" t="s">
        <v>4</v>
      </c>
      <c r="BU75">
        <v>2.19</v>
      </c>
      <c r="BV75">
        <v>3.66</v>
      </c>
      <c r="BW75" t="s">
        <v>4</v>
      </c>
      <c r="BX75">
        <v>8.08</v>
      </c>
      <c r="BY75">
        <v>62.12</v>
      </c>
      <c r="BZ75">
        <v>84.51</v>
      </c>
      <c r="CA75">
        <v>2.7</v>
      </c>
      <c r="CB75">
        <v>77.819999999999993</v>
      </c>
      <c r="CC75" t="s">
        <v>4</v>
      </c>
      <c r="CD75" t="s">
        <v>4</v>
      </c>
      <c r="CE75" t="s">
        <v>4</v>
      </c>
      <c r="CF75">
        <v>3.13</v>
      </c>
      <c r="CG75" t="s">
        <v>4</v>
      </c>
      <c r="CH75">
        <v>3</v>
      </c>
      <c r="CI75">
        <v>8</v>
      </c>
      <c r="CJ75">
        <v>4</v>
      </c>
      <c r="CK75">
        <v>1</v>
      </c>
      <c r="CL75">
        <f t="shared" si="2"/>
        <v>0.32</v>
      </c>
      <c r="CM75">
        <f t="shared" si="3"/>
        <v>2814.17</v>
      </c>
      <c r="CN75" t="s">
        <v>397</v>
      </c>
      <c r="CO75" t="s">
        <v>397</v>
      </c>
    </row>
    <row r="76" spans="1:93" x14ac:dyDescent="0.25">
      <c r="A76" s="50">
        <v>44588</v>
      </c>
      <c r="B76" s="51" t="s">
        <v>784</v>
      </c>
      <c r="C76" s="51" t="s">
        <v>249</v>
      </c>
      <c r="D76">
        <v>44588</v>
      </c>
      <c r="E76">
        <v>14.07</v>
      </c>
      <c r="F76">
        <v>2.75</v>
      </c>
      <c r="G76">
        <v>102.37</v>
      </c>
      <c r="H76">
        <v>15.55</v>
      </c>
      <c r="I76" t="s">
        <v>4</v>
      </c>
      <c r="J76" t="s">
        <v>4</v>
      </c>
      <c r="K76">
        <v>16.5</v>
      </c>
      <c r="L76">
        <v>168.56</v>
      </c>
      <c r="M76">
        <v>34.979999999999997</v>
      </c>
      <c r="N76">
        <v>144.69</v>
      </c>
      <c r="O76">
        <v>289.45</v>
      </c>
      <c r="P76">
        <v>18.28</v>
      </c>
      <c r="Q76">
        <v>9.92</v>
      </c>
      <c r="R76">
        <v>20.88</v>
      </c>
      <c r="S76">
        <v>459.08</v>
      </c>
      <c r="T76">
        <v>27.28</v>
      </c>
      <c r="U76" t="s">
        <v>4</v>
      </c>
      <c r="V76">
        <v>40.119999999999997</v>
      </c>
      <c r="W76" t="s">
        <v>4</v>
      </c>
      <c r="X76">
        <v>0.39</v>
      </c>
      <c r="Y76">
        <v>128.44</v>
      </c>
      <c r="Z76">
        <v>3.96</v>
      </c>
      <c r="AA76">
        <v>89.37</v>
      </c>
      <c r="AB76">
        <v>8.9700000000000006</v>
      </c>
      <c r="AC76">
        <v>1505.19</v>
      </c>
      <c r="AD76">
        <v>100.66</v>
      </c>
      <c r="AE76">
        <v>28.6</v>
      </c>
      <c r="AF76" t="s">
        <v>4</v>
      </c>
      <c r="AG76">
        <v>13.53</v>
      </c>
      <c r="AH76">
        <v>13.01</v>
      </c>
      <c r="AI76">
        <v>0.56000000000000005</v>
      </c>
      <c r="AJ76">
        <v>188.81</v>
      </c>
      <c r="AK76">
        <v>1.07</v>
      </c>
      <c r="AL76">
        <v>205</v>
      </c>
      <c r="AM76" t="s">
        <v>4</v>
      </c>
      <c r="AN76">
        <v>53.8</v>
      </c>
      <c r="AO76" t="s">
        <v>4</v>
      </c>
      <c r="AP76">
        <v>4.79</v>
      </c>
      <c r="AQ76">
        <v>93.48</v>
      </c>
      <c r="AR76">
        <v>30.779999999999998</v>
      </c>
      <c r="AS76">
        <v>32.67</v>
      </c>
      <c r="AT76">
        <v>8.23</v>
      </c>
      <c r="AU76">
        <v>75.66</v>
      </c>
      <c r="AV76">
        <v>4.76</v>
      </c>
      <c r="AW76">
        <v>6.64</v>
      </c>
      <c r="AX76">
        <v>2.27</v>
      </c>
      <c r="AY76">
        <v>5.6</v>
      </c>
      <c r="AZ76" t="s">
        <v>4</v>
      </c>
      <c r="BA76" t="s">
        <v>4</v>
      </c>
      <c r="BB76">
        <v>27.89</v>
      </c>
      <c r="BC76" t="s">
        <v>4</v>
      </c>
      <c r="BD76">
        <v>28.12</v>
      </c>
      <c r="BE76" t="s">
        <v>4</v>
      </c>
      <c r="BF76">
        <v>4.1500000000000004</v>
      </c>
      <c r="BG76">
        <v>12.35</v>
      </c>
      <c r="BH76">
        <v>16.54</v>
      </c>
      <c r="BI76" t="s">
        <v>4</v>
      </c>
      <c r="BJ76">
        <v>9.82</v>
      </c>
      <c r="BK76">
        <v>2.4700000000000002</v>
      </c>
      <c r="BL76">
        <v>32.42</v>
      </c>
      <c r="BM76">
        <v>17.920000000000002</v>
      </c>
      <c r="BN76" t="s">
        <v>4</v>
      </c>
      <c r="BO76">
        <v>18.45</v>
      </c>
      <c r="BP76" t="s">
        <v>4</v>
      </c>
      <c r="BQ76">
        <v>26.84</v>
      </c>
      <c r="BR76" t="s">
        <v>4</v>
      </c>
      <c r="BS76">
        <v>20.78</v>
      </c>
      <c r="BT76" t="s">
        <v>4</v>
      </c>
      <c r="BU76">
        <v>2.96</v>
      </c>
      <c r="BV76">
        <v>3.7</v>
      </c>
      <c r="BW76" t="s">
        <v>4</v>
      </c>
      <c r="BX76">
        <v>2.99</v>
      </c>
      <c r="BY76">
        <v>98.93</v>
      </c>
      <c r="BZ76">
        <v>145.08000000000001</v>
      </c>
      <c r="CA76">
        <v>4.5500000000000007</v>
      </c>
      <c r="CB76">
        <v>274.84000000000003</v>
      </c>
      <c r="CC76" t="s">
        <v>4</v>
      </c>
      <c r="CD76" t="s">
        <v>4</v>
      </c>
      <c r="CE76" t="s">
        <v>4</v>
      </c>
      <c r="CF76">
        <v>4.66</v>
      </c>
      <c r="CG76" t="s">
        <v>4</v>
      </c>
      <c r="CH76">
        <v>3</v>
      </c>
      <c r="CI76">
        <v>8</v>
      </c>
      <c r="CJ76">
        <v>4</v>
      </c>
      <c r="CK76">
        <v>2</v>
      </c>
      <c r="CL76">
        <f t="shared" si="2"/>
        <v>0.39</v>
      </c>
      <c r="CM76">
        <f t="shared" si="3"/>
        <v>1505.19</v>
      </c>
      <c r="CN76" t="s">
        <v>398</v>
      </c>
      <c r="CO76" t="s">
        <v>398</v>
      </c>
    </row>
    <row r="77" spans="1:93" x14ac:dyDescent="0.25">
      <c r="A77" s="50">
        <v>44588</v>
      </c>
      <c r="B77" s="51" t="s">
        <v>785</v>
      </c>
      <c r="C77" s="51" t="s">
        <v>250</v>
      </c>
      <c r="D77">
        <v>44588</v>
      </c>
      <c r="E77">
        <v>18.87</v>
      </c>
      <c r="F77">
        <v>2.58</v>
      </c>
      <c r="G77">
        <v>53.33</v>
      </c>
      <c r="H77">
        <v>151.62</v>
      </c>
      <c r="I77">
        <v>22.46</v>
      </c>
      <c r="J77" t="s">
        <v>4</v>
      </c>
      <c r="K77">
        <v>31.11</v>
      </c>
      <c r="L77">
        <v>97.85</v>
      </c>
      <c r="M77">
        <v>111.34</v>
      </c>
      <c r="N77">
        <v>663.95</v>
      </c>
      <c r="O77">
        <v>114.96</v>
      </c>
      <c r="P77">
        <v>11.13</v>
      </c>
      <c r="Q77">
        <v>3.9</v>
      </c>
      <c r="R77">
        <v>7.46</v>
      </c>
      <c r="S77">
        <v>192.4</v>
      </c>
      <c r="T77">
        <v>13.15</v>
      </c>
      <c r="U77" t="s">
        <v>4</v>
      </c>
      <c r="V77">
        <v>172.86</v>
      </c>
      <c r="W77" t="s">
        <v>4</v>
      </c>
      <c r="X77" t="s">
        <v>4</v>
      </c>
      <c r="Y77">
        <v>48.38</v>
      </c>
      <c r="Z77">
        <v>5.8</v>
      </c>
      <c r="AA77">
        <v>11.92</v>
      </c>
      <c r="AB77">
        <v>5.0199999999999996</v>
      </c>
      <c r="AC77">
        <v>7246.9</v>
      </c>
      <c r="AD77">
        <v>134.21</v>
      </c>
      <c r="AE77">
        <v>19.600000000000001</v>
      </c>
      <c r="AF77" t="s">
        <v>4</v>
      </c>
      <c r="AG77">
        <v>61.78</v>
      </c>
      <c r="AH77">
        <v>17.47</v>
      </c>
      <c r="AI77">
        <v>0.3</v>
      </c>
      <c r="AJ77">
        <v>187.34</v>
      </c>
      <c r="AK77">
        <v>1.67</v>
      </c>
      <c r="AL77">
        <v>82.01</v>
      </c>
      <c r="AM77" t="s">
        <v>4</v>
      </c>
      <c r="AN77">
        <v>22.16</v>
      </c>
      <c r="AO77" t="s">
        <v>4</v>
      </c>
      <c r="AP77">
        <v>4.32</v>
      </c>
      <c r="AQ77">
        <v>389.96</v>
      </c>
      <c r="AR77">
        <v>48.25</v>
      </c>
      <c r="AS77">
        <v>15.29</v>
      </c>
      <c r="AT77">
        <v>6.71</v>
      </c>
      <c r="AU77">
        <v>104.59</v>
      </c>
      <c r="AV77">
        <v>6.49</v>
      </c>
      <c r="AW77" t="s">
        <v>4</v>
      </c>
      <c r="AX77">
        <v>1.98</v>
      </c>
      <c r="AY77">
        <v>3.57</v>
      </c>
      <c r="AZ77" t="s">
        <v>4</v>
      </c>
      <c r="BA77" t="s">
        <v>4</v>
      </c>
      <c r="BB77">
        <v>4.84</v>
      </c>
      <c r="BC77" t="s">
        <v>4</v>
      </c>
      <c r="BD77">
        <v>8.26</v>
      </c>
      <c r="BE77">
        <v>1.1000000000000001</v>
      </c>
      <c r="BF77" t="s">
        <v>4</v>
      </c>
      <c r="BG77">
        <v>10.07</v>
      </c>
      <c r="BH77">
        <v>322.19</v>
      </c>
      <c r="BI77">
        <v>6.6</v>
      </c>
      <c r="BJ77">
        <v>7.71</v>
      </c>
      <c r="BK77">
        <v>4.78</v>
      </c>
      <c r="BL77">
        <v>11.7</v>
      </c>
      <c r="BM77">
        <v>6.44</v>
      </c>
      <c r="BN77" t="s">
        <v>4</v>
      </c>
      <c r="BO77">
        <v>40</v>
      </c>
      <c r="BP77" t="s">
        <v>4</v>
      </c>
      <c r="BQ77">
        <v>42.19</v>
      </c>
      <c r="BR77" t="s">
        <v>4</v>
      </c>
      <c r="BS77">
        <v>18.61</v>
      </c>
      <c r="BT77" t="s">
        <v>4</v>
      </c>
      <c r="BU77">
        <v>2.4700000000000002</v>
      </c>
      <c r="BV77">
        <v>5.94</v>
      </c>
      <c r="BW77" t="s">
        <v>4</v>
      </c>
      <c r="BX77">
        <v>1.37</v>
      </c>
      <c r="BY77">
        <v>50.47</v>
      </c>
      <c r="BZ77">
        <v>51.34</v>
      </c>
      <c r="CA77">
        <v>2.16</v>
      </c>
      <c r="CB77">
        <v>37.450000000000003</v>
      </c>
      <c r="CC77" t="s">
        <v>4</v>
      </c>
      <c r="CD77" t="s">
        <v>4</v>
      </c>
      <c r="CE77" t="s">
        <v>4</v>
      </c>
      <c r="CF77">
        <v>1.38</v>
      </c>
      <c r="CG77" t="s">
        <v>4</v>
      </c>
      <c r="CH77">
        <v>3</v>
      </c>
      <c r="CI77">
        <v>8</v>
      </c>
      <c r="CJ77">
        <v>4</v>
      </c>
      <c r="CK77">
        <v>1</v>
      </c>
      <c r="CL77">
        <f t="shared" si="2"/>
        <v>0.3</v>
      </c>
      <c r="CM77">
        <f t="shared" si="3"/>
        <v>7246.9</v>
      </c>
      <c r="CN77" t="s">
        <v>399</v>
      </c>
      <c r="CO77" t="s">
        <v>399</v>
      </c>
    </row>
    <row r="78" spans="1:93" x14ac:dyDescent="0.25">
      <c r="A78" s="50">
        <v>44588</v>
      </c>
      <c r="B78" s="51" t="s">
        <v>786</v>
      </c>
      <c r="C78" s="51" t="s">
        <v>251</v>
      </c>
      <c r="D78">
        <v>44588</v>
      </c>
      <c r="E78">
        <v>14.52</v>
      </c>
      <c r="F78">
        <v>2.82</v>
      </c>
      <c r="G78">
        <v>72.599999999999994</v>
      </c>
      <c r="H78">
        <v>52.88</v>
      </c>
      <c r="I78" t="s">
        <v>4</v>
      </c>
      <c r="J78" t="s">
        <v>4</v>
      </c>
      <c r="K78">
        <v>12.85</v>
      </c>
      <c r="L78">
        <v>151.19</v>
      </c>
      <c r="M78">
        <v>36.619999999999997</v>
      </c>
      <c r="N78">
        <v>1201.83</v>
      </c>
      <c r="O78">
        <v>185.47</v>
      </c>
      <c r="P78">
        <v>12.2</v>
      </c>
      <c r="Q78">
        <v>6.98</v>
      </c>
      <c r="R78">
        <v>13.04</v>
      </c>
      <c r="S78">
        <v>325.38</v>
      </c>
      <c r="T78">
        <v>18.22</v>
      </c>
      <c r="U78">
        <v>0.86</v>
      </c>
      <c r="V78">
        <v>52.09</v>
      </c>
      <c r="W78" t="s">
        <v>4</v>
      </c>
      <c r="X78">
        <v>0.45</v>
      </c>
      <c r="Y78">
        <v>80.64</v>
      </c>
      <c r="Z78">
        <v>7.39</v>
      </c>
      <c r="AA78">
        <v>15.4</v>
      </c>
      <c r="AB78">
        <v>6.42</v>
      </c>
      <c r="AC78">
        <v>5715</v>
      </c>
      <c r="AD78">
        <v>64.33</v>
      </c>
      <c r="AE78">
        <v>38.15</v>
      </c>
      <c r="AF78" t="s">
        <v>4</v>
      </c>
      <c r="AG78">
        <v>24.92</v>
      </c>
      <c r="AH78">
        <v>7.62</v>
      </c>
      <c r="AI78" t="s">
        <v>4</v>
      </c>
      <c r="AJ78">
        <v>217.82</v>
      </c>
      <c r="AK78">
        <v>0.72</v>
      </c>
      <c r="AL78">
        <v>139.18</v>
      </c>
      <c r="AM78" t="s">
        <v>4</v>
      </c>
      <c r="AN78">
        <v>27.400000000000002</v>
      </c>
      <c r="AO78" t="s">
        <v>4</v>
      </c>
      <c r="AP78" t="s">
        <v>4</v>
      </c>
      <c r="AQ78">
        <v>162.97</v>
      </c>
      <c r="AR78">
        <v>24.68</v>
      </c>
      <c r="AS78">
        <v>27.64</v>
      </c>
      <c r="AT78">
        <v>6.82</v>
      </c>
      <c r="AU78">
        <v>27.99</v>
      </c>
      <c r="AV78">
        <v>8.8800000000000008</v>
      </c>
      <c r="AW78">
        <v>5.46</v>
      </c>
      <c r="AX78">
        <v>0.98</v>
      </c>
      <c r="AY78">
        <v>4.66</v>
      </c>
      <c r="AZ78" t="s">
        <v>4</v>
      </c>
      <c r="BA78" t="s">
        <v>4</v>
      </c>
      <c r="BB78">
        <v>11.79</v>
      </c>
      <c r="BC78" t="s">
        <v>4</v>
      </c>
      <c r="BD78">
        <v>19.91</v>
      </c>
      <c r="BE78" t="s">
        <v>4</v>
      </c>
      <c r="BF78">
        <v>3.36</v>
      </c>
      <c r="BG78">
        <v>11.56</v>
      </c>
      <c r="BH78">
        <v>21.2</v>
      </c>
      <c r="BI78" t="s">
        <v>4</v>
      </c>
      <c r="BJ78">
        <v>9.09</v>
      </c>
      <c r="BK78">
        <v>2.17</v>
      </c>
      <c r="BL78">
        <v>22.13</v>
      </c>
      <c r="BM78">
        <v>10.42</v>
      </c>
      <c r="BN78" t="s">
        <v>4</v>
      </c>
      <c r="BO78">
        <v>15.78</v>
      </c>
      <c r="BP78" t="s">
        <v>4</v>
      </c>
      <c r="BQ78">
        <v>17.41</v>
      </c>
      <c r="BR78">
        <v>1.47</v>
      </c>
      <c r="BS78">
        <v>14.02</v>
      </c>
      <c r="BT78" t="s">
        <v>4</v>
      </c>
      <c r="BU78" t="s">
        <v>4</v>
      </c>
      <c r="BV78">
        <v>3.09</v>
      </c>
      <c r="BW78" t="s">
        <v>4</v>
      </c>
      <c r="BX78">
        <v>4.84</v>
      </c>
      <c r="BY78">
        <v>108.91</v>
      </c>
      <c r="BZ78">
        <v>84.31</v>
      </c>
      <c r="CA78">
        <v>13.81</v>
      </c>
      <c r="CB78" t="s">
        <v>4</v>
      </c>
      <c r="CC78" t="s">
        <v>4</v>
      </c>
      <c r="CD78" t="s">
        <v>4</v>
      </c>
      <c r="CE78" t="s">
        <v>4</v>
      </c>
      <c r="CF78">
        <v>2.4700000000000002</v>
      </c>
      <c r="CG78" t="s">
        <v>4</v>
      </c>
      <c r="CH78">
        <v>3</v>
      </c>
      <c r="CI78">
        <v>8</v>
      </c>
      <c r="CJ78">
        <v>4</v>
      </c>
      <c r="CK78">
        <v>1</v>
      </c>
      <c r="CL78">
        <f t="shared" si="2"/>
        <v>0.45</v>
      </c>
      <c r="CM78">
        <f t="shared" si="3"/>
        <v>5715</v>
      </c>
      <c r="CN78" t="s">
        <v>401</v>
      </c>
      <c r="CO78" t="s">
        <v>401</v>
      </c>
    </row>
    <row r="79" spans="1:93" ht="14.4" thickBot="1" x14ac:dyDescent="0.3">
      <c r="A79" s="50">
        <v>44588</v>
      </c>
      <c r="B79" s="51" t="s">
        <v>787</v>
      </c>
      <c r="C79" s="51" t="s">
        <v>252</v>
      </c>
      <c r="D79">
        <v>44588</v>
      </c>
      <c r="E79">
        <v>28.67</v>
      </c>
      <c r="F79">
        <v>2.3199999999999998</v>
      </c>
      <c r="G79">
        <v>62.4</v>
      </c>
      <c r="H79">
        <v>58.19</v>
      </c>
      <c r="I79" t="s">
        <v>4</v>
      </c>
      <c r="J79" t="s">
        <v>4</v>
      </c>
      <c r="K79">
        <v>17.11</v>
      </c>
      <c r="L79">
        <v>114.39</v>
      </c>
      <c r="M79">
        <v>51.47</v>
      </c>
      <c r="N79">
        <v>814.06000000000006</v>
      </c>
      <c r="O79">
        <v>137.97999999999999</v>
      </c>
      <c r="P79">
        <v>11.02</v>
      </c>
      <c r="Q79">
        <v>5.22</v>
      </c>
      <c r="R79">
        <v>9.81</v>
      </c>
      <c r="S79">
        <v>265.97000000000003</v>
      </c>
      <c r="T79">
        <v>17.309999999999999</v>
      </c>
      <c r="U79" t="s">
        <v>4</v>
      </c>
      <c r="V79">
        <v>90.89</v>
      </c>
      <c r="W79" t="s">
        <v>4</v>
      </c>
      <c r="X79">
        <v>0.3</v>
      </c>
      <c r="Y79">
        <v>66.459999999999994</v>
      </c>
      <c r="Z79">
        <v>4.2499999999999991</v>
      </c>
      <c r="AA79">
        <v>21.02</v>
      </c>
      <c r="AB79">
        <v>7.46</v>
      </c>
      <c r="AC79">
        <v>6317.47</v>
      </c>
      <c r="AD79">
        <v>94.48</v>
      </c>
      <c r="AE79">
        <v>25.88</v>
      </c>
      <c r="AF79" t="s">
        <v>4</v>
      </c>
      <c r="AG79">
        <v>42.97</v>
      </c>
      <c r="AH79">
        <v>11.03</v>
      </c>
      <c r="AI79" t="s">
        <v>4</v>
      </c>
      <c r="AJ79">
        <v>170.57</v>
      </c>
      <c r="AK79">
        <v>0.9</v>
      </c>
      <c r="AL79">
        <v>98.98</v>
      </c>
      <c r="AM79" t="s">
        <v>4</v>
      </c>
      <c r="AN79">
        <v>18.810000000000002</v>
      </c>
      <c r="AO79" t="s">
        <v>4</v>
      </c>
      <c r="AP79">
        <v>1.97</v>
      </c>
      <c r="AQ79">
        <v>283.29000000000002</v>
      </c>
      <c r="AR79">
        <v>23.619999999999997</v>
      </c>
      <c r="AS79">
        <v>18.309999999999999</v>
      </c>
      <c r="AT79">
        <v>5.18</v>
      </c>
      <c r="AU79">
        <v>50.68</v>
      </c>
      <c r="AV79">
        <v>7.76</v>
      </c>
      <c r="AW79">
        <v>5.03</v>
      </c>
      <c r="AX79">
        <v>0.93</v>
      </c>
      <c r="AY79">
        <v>3.78</v>
      </c>
      <c r="AZ79" t="s">
        <v>4</v>
      </c>
      <c r="BA79" t="s">
        <v>4</v>
      </c>
      <c r="BB79">
        <v>6.77</v>
      </c>
      <c r="BC79" t="s">
        <v>4</v>
      </c>
      <c r="BD79">
        <v>12.07</v>
      </c>
      <c r="BE79" t="s">
        <v>4</v>
      </c>
      <c r="BF79">
        <v>4.67</v>
      </c>
      <c r="BG79">
        <v>8.14</v>
      </c>
      <c r="BH79">
        <v>70.19</v>
      </c>
      <c r="BI79" t="s">
        <v>4</v>
      </c>
      <c r="BJ79" t="s">
        <v>4</v>
      </c>
      <c r="BK79">
        <v>2.98</v>
      </c>
      <c r="BL79">
        <v>15.12</v>
      </c>
      <c r="BM79">
        <v>8.07</v>
      </c>
      <c r="BN79" t="s">
        <v>4</v>
      </c>
      <c r="BO79">
        <v>16.420000000000002</v>
      </c>
      <c r="BP79" t="s">
        <v>4</v>
      </c>
      <c r="BQ79" s="26">
        <v>20.59</v>
      </c>
      <c r="BR79" s="26">
        <v>1.1100000000000001</v>
      </c>
      <c r="BS79" s="26">
        <v>12.92</v>
      </c>
      <c r="BT79" s="26">
        <v>0.28999999999999998</v>
      </c>
      <c r="BU79" s="26">
        <v>1.79</v>
      </c>
      <c r="BV79" s="26">
        <v>2.2799999999999998</v>
      </c>
      <c r="BW79" s="26" t="s">
        <v>4</v>
      </c>
      <c r="BX79" s="26">
        <v>3.26</v>
      </c>
      <c r="BY79" s="26">
        <v>79.88</v>
      </c>
      <c r="BZ79" s="26">
        <v>57.75</v>
      </c>
      <c r="CA79" s="26">
        <v>3.4000000000000004</v>
      </c>
      <c r="CB79" s="26">
        <v>69.899999999999991</v>
      </c>
      <c r="CC79" s="26" t="s">
        <v>4</v>
      </c>
      <c r="CD79" s="26" t="s">
        <v>4</v>
      </c>
      <c r="CE79" t="s">
        <v>4</v>
      </c>
      <c r="CF79">
        <v>1.66</v>
      </c>
      <c r="CG79" t="s">
        <v>4</v>
      </c>
      <c r="CH79">
        <v>3</v>
      </c>
      <c r="CI79">
        <v>8</v>
      </c>
      <c r="CJ79">
        <v>4</v>
      </c>
      <c r="CK79">
        <v>1</v>
      </c>
      <c r="CL79">
        <f t="shared" si="2"/>
        <v>0.28999999999999998</v>
      </c>
      <c r="CM79">
        <f t="shared" si="3"/>
        <v>6317.47</v>
      </c>
    </row>
    <row r="80" spans="1:93" s="98" customFormat="1" x14ac:dyDescent="0.25">
      <c r="A80" s="97">
        <v>44614.40625</v>
      </c>
      <c r="B80" s="51" t="s">
        <v>788</v>
      </c>
      <c r="C80" s="51" t="s">
        <v>403</v>
      </c>
      <c r="D80" s="98">
        <v>44614.40625</v>
      </c>
      <c r="E80" s="98" t="s">
        <v>4</v>
      </c>
      <c r="F80" s="98" t="s">
        <v>4</v>
      </c>
      <c r="G80" s="98">
        <v>0.41</v>
      </c>
      <c r="H80" s="98">
        <v>12.96</v>
      </c>
      <c r="I80" s="98">
        <v>38.07</v>
      </c>
      <c r="J80" s="98">
        <v>38.25</v>
      </c>
      <c r="K80" s="98">
        <v>0.77</v>
      </c>
      <c r="L80" s="98" t="s">
        <v>4</v>
      </c>
      <c r="M80" s="98">
        <v>39.06</v>
      </c>
      <c r="N80" s="98">
        <v>723.32</v>
      </c>
      <c r="O80" s="98">
        <v>627.04</v>
      </c>
      <c r="P80" s="98">
        <v>82.7</v>
      </c>
      <c r="Q80" s="98" t="s">
        <v>4</v>
      </c>
      <c r="R80" s="98" t="s">
        <v>4</v>
      </c>
      <c r="S80" s="98">
        <v>27.68</v>
      </c>
      <c r="T80" s="98" t="s">
        <v>4</v>
      </c>
      <c r="U80" s="98" t="s">
        <v>4</v>
      </c>
      <c r="V80" s="98">
        <v>241.76</v>
      </c>
      <c r="W80" s="98" t="s">
        <v>348</v>
      </c>
      <c r="X80" s="98" t="s">
        <v>4</v>
      </c>
      <c r="Y80" s="98" t="s">
        <v>4</v>
      </c>
      <c r="Z80" s="98" t="s">
        <v>4</v>
      </c>
      <c r="AA80" s="98">
        <v>5.1099999999999994</v>
      </c>
      <c r="AB80" s="98" t="s">
        <v>4</v>
      </c>
      <c r="AC80" s="98">
        <v>0.43999999999999995</v>
      </c>
      <c r="AD80" s="98" t="s">
        <v>4</v>
      </c>
      <c r="AE80" s="98" t="s">
        <v>4</v>
      </c>
      <c r="AF80" s="98" t="s">
        <v>4</v>
      </c>
      <c r="AG80" s="98">
        <v>6.5</v>
      </c>
      <c r="AH80" s="98" t="s">
        <v>4</v>
      </c>
      <c r="AI80" s="98" t="s">
        <v>4</v>
      </c>
      <c r="AJ80" s="98">
        <v>101.16</v>
      </c>
      <c r="AK80" s="98" t="s">
        <v>4</v>
      </c>
      <c r="AL80" s="98">
        <v>57.21</v>
      </c>
      <c r="AM80" s="98" t="s">
        <v>4</v>
      </c>
      <c r="AN80" s="98">
        <v>4.54</v>
      </c>
      <c r="AO80" s="98" t="s">
        <v>4</v>
      </c>
      <c r="AP80" s="98" t="s">
        <v>4</v>
      </c>
      <c r="AQ80" s="98">
        <v>595.05999999999995</v>
      </c>
      <c r="AR80" s="98">
        <v>3.43</v>
      </c>
      <c r="AS80" s="98" t="s">
        <v>4</v>
      </c>
      <c r="AT80" s="98" t="s">
        <v>4</v>
      </c>
      <c r="AU80" s="98">
        <v>36.43</v>
      </c>
      <c r="AV80" s="98" t="s">
        <v>4</v>
      </c>
      <c r="AW80" s="98" t="s">
        <v>4</v>
      </c>
      <c r="AX80" s="98">
        <v>6.6</v>
      </c>
      <c r="AY80" s="98" t="s">
        <v>4</v>
      </c>
      <c r="AZ80" s="98" t="s">
        <v>4</v>
      </c>
      <c r="BA80" s="98" t="s">
        <v>4</v>
      </c>
      <c r="BB80" s="98" t="s">
        <v>4</v>
      </c>
      <c r="BC80" s="98" t="s">
        <v>4</v>
      </c>
      <c r="BD80" s="98">
        <v>1.35</v>
      </c>
      <c r="BE80" s="98" t="s">
        <v>4</v>
      </c>
      <c r="BF80" s="98" t="s">
        <v>4</v>
      </c>
      <c r="BG80" s="98" t="s">
        <v>4</v>
      </c>
      <c r="BH80" s="98" t="s">
        <v>4</v>
      </c>
      <c r="BI80" s="98" t="s">
        <v>4</v>
      </c>
      <c r="BJ80" s="98" t="s">
        <v>4</v>
      </c>
      <c r="BK80" s="98" t="s">
        <v>4</v>
      </c>
      <c r="BL80" s="98" t="s">
        <v>4</v>
      </c>
      <c r="BM80" s="98" t="s">
        <v>4</v>
      </c>
      <c r="BN80" s="98" t="s">
        <v>4</v>
      </c>
      <c r="BO80" s="98" t="s">
        <v>4</v>
      </c>
      <c r="BP80" s="98">
        <v>0.76</v>
      </c>
      <c r="BQ80" s="98">
        <v>1.1299999999999999</v>
      </c>
      <c r="BR80" s="98" t="s">
        <v>4</v>
      </c>
      <c r="BS80" s="98" t="s">
        <v>4</v>
      </c>
      <c r="BT80" s="98" t="s">
        <v>4</v>
      </c>
      <c r="BU80" s="98" t="s">
        <v>4</v>
      </c>
      <c r="BV80" s="98">
        <v>44.87</v>
      </c>
      <c r="BW80" s="98" t="s">
        <v>4</v>
      </c>
      <c r="BX80" s="98" t="s">
        <v>4</v>
      </c>
      <c r="BY80" s="98">
        <v>431.03</v>
      </c>
      <c r="BZ80" s="98" t="s">
        <v>4</v>
      </c>
      <c r="CA80" s="98">
        <v>21.39</v>
      </c>
      <c r="CB80" s="98">
        <v>132.93</v>
      </c>
      <c r="CC80" s="98">
        <v>0.94</v>
      </c>
      <c r="CD80" s="98">
        <v>16.37</v>
      </c>
      <c r="CE80" s="98" t="s">
        <v>4</v>
      </c>
      <c r="CF80" s="98" t="s">
        <v>4</v>
      </c>
      <c r="CG80" s="98" t="s">
        <v>4</v>
      </c>
      <c r="CH80" s="98">
        <v>1</v>
      </c>
      <c r="CI80" s="98">
        <v>2</v>
      </c>
      <c r="CJ80" s="98">
        <v>2</v>
      </c>
      <c r="CK80" s="98">
        <v>1</v>
      </c>
      <c r="CL80">
        <f t="shared" si="2"/>
        <v>0.41</v>
      </c>
      <c r="CM80">
        <f t="shared" si="3"/>
        <v>723.32</v>
      </c>
    </row>
    <row r="81" spans="1:91" s="98" customFormat="1" x14ac:dyDescent="0.25">
      <c r="A81" s="97">
        <v>44615.385416666664</v>
      </c>
      <c r="B81" s="51" t="s">
        <v>789</v>
      </c>
      <c r="C81" s="51" t="s">
        <v>404</v>
      </c>
      <c r="D81" s="98">
        <v>44615.385416666664</v>
      </c>
      <c r="E81" s="98" t="s">
        <v>4</v>
      </c>
      <c r="F81" s="98" t="s">
        <v>4</v>
      </c>
      <c r="G81" s="98" t="s">
        <v>4</v>
      </c>
      <c r="H81" s="98">
        <v>12.61</v>
      </c>
      <c r="I81" s="98">
        <v>37.619999999999997</v>
      </c>
      <c r="J81" s="98">
        <v>46.48</v>
      </c>
      <c r="K81" s="98">
        <v>0.65</v>
      </c>
      <c r="L81" s="98" t="s">
        <v>4</v>
      </c>
      <c r="M81" s="98">
        <v>36.549999999999997</v>
      </c>
      <c r="N81" s="98">
        <v>376.86</v>
      </c>
      <c r="O81" s="98">
        <v>612</v>
      </c>
      <c r="P81" s="98">
        <v>92.56</v>
      </c>
      <c r="Q81" s="98" t="s">
        <v>4</v>
      </c>
      <c r="R81" s="98" t="s">
        <v>4</v>
      </c>
      <c r="S81" s="98">
        <v>28.82</v>
      </c>
      <c r="T81" s="98" t="s">
        <v>4</v>
      </c>
      <c r="U81" s="98" t="s">
        <v>4</v>
      </c>
      <c r="V81" s="98">
        <v>262.31</v>
      </c>
      <c r="W81" s="98" t="s">
        <v>348</v>
      </c>
      <c r="X81" s="98" t="s">
        <v>4</v>
      </c>
      <c r="Y81" s="98" t="s">
        <v>4</v>
      </c>
      <c r="Z81" s="98" t="s">
        <v>4</v>
      </c>
      <c r="AA81" s="98">
        <v>7.64</v>
      </c>
      <c r="AB81" s="98" t="s">
        <v>4</v>
      </c>
      <c r="AC81" s="98">
        <v>1.5100000000000002</v>
      </c>
      <c r="AD81" s="98" t="s">
        <v>4</v>
      </c>
      <c r="AE81" s="98" t="s">
        <v>4</v>
      </c>
      <c r="AF81" s="98" t="s">
        <v>4</v>
      </c>
      <c r="AG81" s="98">
        <v>7.03</v>
      </c>
      <c r="AH81" s="98" t="s">
        <v>4</v>
      </c>
      <c r="AI81" s="98" t="s">
        <v>4</v>
      </c>
      <c r="AJ81" s="98">
        <v>100.69</v>
      </c>
      <c r="AK81" s="98" t="s">
        <v>4</v>
      </c>
      <c r="AL81" s="98">
        <v>55.56</v>
      </c>
      <c r="AM81" s="98" t="s">
        <v>4</v>
      </c>
      <c r="AN81" s="98">
        <v>4.6499999999999995</v>
      </c>
      <c r="AO81" s="98" t="s">
        <v>4</v>
      </c>
      <c r="AP81" s="98" t="s">
        <v>4</v>
      </c>
      <c r="AQ81" s="98">
        <v>561.17999999999995</v>
      </c>
      <c r="AR81" s="98">
        <v>2.64</v>
      </c>
      <c r="AS81" s="98" t="s">
        <v>4</v>
      </c>
      <c r="AT81" s="98" t="s">
        <v>4</v>
      </c>
      <c r="AU81" s="98">
        <v>52.54</v>
      </c>
      <c r="AV81" s="98" t="s">
        <v>4</v>
      </c>
      <c r="AW81" s="98" t="s">
        <v>4</v>
      </c>
      <c r="AX81" s="98">
        <v>9.6</v>
      </c>
      <c r="AY81" s="98" t="s">
        <v>4</v>
      </c>
      <c r="AZ81" s="98">
        <v>0.5</v>
      </c>
      <c r="BA81" s="98" t="s">
        <v>4</v>
      </c>
      <c r="BB81" s="98" t="s">
        <v>4</v>
      </c>
      <c r="BC81" s="98" t="s">
        <v>4</v>
      </c>
      <c r="BD81" s="98">
        <v>1.0900000000000001</v>
      </c>
      <c r="BE81" s="98" t="s">
        <v>4</v>
      </c>
      <c r="BF81" s="98" t="s">
        <v>4</v>
      </c>
      <c r="BG81" s="98" t="s">
        <v>4</v>
      </c>
      <c r="BH81" s="98" t="s">
        <v>4</v>
      </c>
      <c r="BI81" s="98" t="s">
        <v>4</v>
      </c>
      <c r="BJ81" s="98" t="s">
        <v>4</v>
      </c>
      <c r="BK81" s="98" t="s">
        <v>4</v>
      </c>
      <c r="BL81" s="98" t="s">
        <v>4</v>
      </c>
      <c r="BM81" s="98" t="s">
        <v>4</v>
      </c>
      <c r="BN81" s="98" t="s">
        <v>4</v>
      </c>
      <c r="BO81" s="98" t="s">
        <v>4</v>
      </c>
      <c r="BP81" s="98">
        <v>0.63</v>
      </c>
      <c r="BQ81" s="98">
        <v>1.27</v>
      </c>
      <c r="BR81" s="98" t="s">
        <v>4</v>
      </c>
      <c r="BS81" s="98" t="s">
        <v>4</v>
      </c>
      <c r="BT81" s="98" t="s">
        <v>4</v>
      </c>
      <c r="BU81" s="98" t="s">
        <v>4</v>
      </c>
      <c r="BV81" s="98">
        <v>43.62</v>
      </c>
      <c r="BW81" s="98" t="s">
        <v>4</v>
      </c>
      <c r="BX81" s="98" t="s">
        <v>4</v>
      </c>
      <c r="BY81" s="98">
        <v>459.05</v>
      </c>
      <c r="BZ81" s="98" t="s">
        <v>4</v>
      </c>
      <c r="CA81" s="98">
        <v>20.6</v>
      </c>
      <c r="CB81" s="98">
        <v>95.820000000000007</v>
      </c>
      <c r="CC81" s="98">
        <v>0.78</v>
      </c>
      <c r="CD81" s="98">
        <v>14.98</v>
      </c>
      <c r="CE81" s="98" t="s">
        <v>4</v>
      </c>
      <c r="CF81" s="98" t="s">
        <v>4</v>
      </c>
      <c r="CG81" s="98" t="s">
        <v>4</v>
      </c>
      <c r="CH81" s="98">
        <v>1</v>
      </c>
      <c r="CI81" s="98">
        <v>2</v>
      </c>
      <c r="CJ81" s="98">
        <v>2</v>
      </c>
      <c r="CK81" s="98">
        <v>4</v>
      </c>
      <c r="CL81">
        <f t="shared" si="2"/>
        <v>0.5</v>
      </c>
      <c r="CM81">
        <f t="shared" si="3"/>
        <v>612</v>
      </c>
    </row>
    <row r="82" spans="1:91" s="98" customFormat="1" x14ac:dyDescent="0.25">
      <c r="A82" s="97">
        <v>44616.586805555555</v>
      </c>
      <c r="B82" s="51" t="s">
        <v>790</v>
      </c>
      <c r="C82" s="51" t="s">
        <v>405</v>
      </c>
      <c r="D82" s="98">
        <v>44616.586805555555</v>
      </c>
      <c r="E82" s="98" t="s">
        <v>4</v>
      </c>
      <c r="F82" s="98" t="s">
        <v>4</v>
      </c>
      <c r="G82" s="98">
        <v>0.27</v>
      </c>
      <c r="H82" s="98">
        <v>11.78</v>
      </c>
      <c r="I82" s="98">
        <v>29.72</v>
      </c>
      <c r="J82" s="98">
        <v>36.67</v>
      </c>
      <c r="K82" s="98">
        <v>0.56999999999999995</v>
      </c>
      <c r="L82" s="98" t="s">
        <v>4</v>
      </c>
      <c r="M82" s="98">
        <v>38.409999999999997</v>
      </c>
      <c r="N82" s="98">
        <v>179.75</v>
      </c>
      <c r="O82" s="98">
        <v>556.65</v>
      </c>
      <c r="P82" s="98">
        <v>75.900000000000006</v>
      </c>
      <c r="Q82" s="98" t="s">
        <v>4</v>
      </c>
      <c r="R82" s="98" t="s">
        <v>4</v>
      </c>
      <c r="S82" s="98">
        <v>28.38</v>
      </c>
      <c r="T82" s="98" t="s">
        <v>4</v>
      </c>
      <c r="U82" s="98" t="s">
        <v>4</v>
      </c>
      <c r="V82" s="98">
        <v>256.35000000000002</v>
      </c>
      <c r="W82" s="98" t="s">
        <v>348</v>
      </c>
      <c r="X82" s="98" t="s">
        <v>4</v>
      </c>
      <c r="Y82" s="98" t="s">
        <v>4</v>
      </c>
      <c r="Z82" s="98" t="s">
        <v>4</v>
      </c>
      <c r="AA82" s="98">
        <v>6.56</v>
      </c>
      <c r="AB82" s="98" t="s">
        <v>4</v>
      </c>
      <c r="AC82" s="98">
        <v>0.49000000000000021</v>
      </c>
      <c r="AD82" s="98" t="s">
        <v>4</v>
      </c>
      <c r="AE82" s="98" t="s">
        <v>4</v>
      </c>
      <c r="AF82" s="98" t="s">
        <v>4</v>
      </c>
      <c r="AG82" s="98">
        <v>6.28</v>
      </c>
      <c r="AH82" s="98" t="s">
        <v>4</v>
      </c>
      <c r="AI82" s="98" t="s">
        <v>4</v>
      </c>
      <c r="AJ82" s="98">
        <v>97.27</v>
      </c>
      <c r="AK82" s="98" t="s">
        <v>4</v>
      </c>
      <c r="AL82" s="98">
        <v>48.81</v>
      </c>
      <c r="AM82" s="98" t="s">
        <v>4</v>
      </c>
      <c r="AN82" s="98">
        <v>4.33</v>
      </c>
      <c r="AO82" s="98" t="s">
        <v>4</v>
      </c>
      <c r="AP82" s="98" t="s">
        <v>4</v>
      </c>
      <c r="AQ82" s="98">
        <v>536.73</v>
      </c>
      <c r="AR82" s="98">
        <v>2.5099999999999998</v>
      </c>
      <c r="AS82" s="98" t="s">
        <v>4</v>
      </c>
      <c r="AT82" s="98" t="s">
        <v>4</v>
      </c>
      <c r="AU82" s="98">
        <v>38.08</v>
      </c>
      <c r="AV82" s="98" t="s">
        <v>4</v>
      </c>
      <c r="AW82" s="98" t="s">
        <v>4</v>
      </c>
      <c r="AX82" s="98">
        <v>7.13</v>
      </c>
      <c r="AY82" s="98" t="s">
        <v>4</v>
      </c>
      <c r="AZ82" s="98" t="s">
        <v>4</v>
      </c>
      <c r="BA82" s="98" t="s">
        <v>4</v>
      </c>
      <c r="BB82" s="98" t="s">
        <v>4</v>
      </c>
      <c r="BC82" s="98" t="s">
        <v>4</v>
      </c>
      <c r="BD82" s="98">
        <v>1.17</v>
      </c>
      <c r="BE82" s="98" t="s">
        <v>4</v>
      </c>
      <c r="BF82" s="98" t="s">
        <v>4</v>
      </c>
      <c r="BG82" s="98" t="s">
        <v>4</v>
      </c>
      <c r="BH82" s="98" t="s">
        <v>4</v>
      </c>
      <c r="BI82" s="98" t="s">
        <v>4</v>
      </c>
      <c r="BJ82" s="98" t="s">
        <v>4</v>
      </c>
      <c r="BK82" s="98" t="s">
        <v>4</v>
      </c>
      <c r="BL82" s="98" t="s">
        <v>4</v>
      </c>
      <c r="BM82" s="98" t="s">
        <v>4</v>
      </c>
      <c r="BN82" s="98" t="s">
        <v>4</v>
      </c>
      <c r="BO82" s="98" t="s">
        <v>4</v>
      </c>
      <c r="BP82" s="98">
        <v>0.76</v>
      </c>
      <c r="BQ82" s="98">
        <v>1.23</v>
      </c>
      <c r="BR82" s="98" t="s">
        <v>4</v>
      </c>
      <c r="BS82" s="98" t="s">
        <v>4</v>
      </c>
      <c r="BT82" s="98" t="s">
        <v>4</v>
      </c>
      <c r="BU82" s="98" t="s">
        <v>4</v>
      </c>
      <c r="BV82" s="98">
        <v>44.67</v>
      </c>
      <c r="BW82" s="98" t="s">
        <v>4</v>
      </c>
      <c r="BX82" s="98" t="s">
        <v>4</v>
      </c>
      <c r="BY82" s="98">
        <v>15.55</v>
      </c>
      <c r="BZ82" s="98" t="s">
        <v>4</v>
      </c>
      <c r="CA82" s="98">
        <v>33.979999999999997</v>
      </c>
      <c r="CB82" s="98">
        <v>189.14000000000001</v>
      </c>
      <c r="CC82" s="98">
        <v>2.44</v>
      </c>
      <c r="CD82" s="98">
        <v>29.98</v>
      </c>
      <c r="CE82" s="98" t="s">
        <v>4</v>
      </c>
      <c r="CF82" s="98" t="s">
        <v>4</v>
      </c>
      <c r="CG82" s="98" t="s">
        <v>4</v>
      </c>
      <c r="CH82" s="98">
        <v>1</v>
      </c>
      <c r="CI82" s="98">
        <v>2</v>
      </c>
      <c r="CJ82" s="98">
        <v>2</v>
      </c>
      <c r="CK82" s="98">
        <v>4</v>
      </c>
      <c r="CL82">
        <f t="shared" si="2"/>
        <v>0.27</v>
      </c>
      <c r="CM82">
        <f t="shared" si="3"/>
        <v>556.65</v>
      </c>
    </row>
    <row r="83" spans="1:91" s="98" customFormat="1" x14ac:dyDescent="0.25">
      <c r="A83" s="97">
        <v>44616.930555555555</v>
      </c>
      <c r="B83" s="51" t="s">
        <v>791</v>
      </c>
      <c r="C83" s="51" t="s">
        <v>406</v>
      </c>
      <c r="D83" s="98">
        <v>44616.930555555555</v>
      </c>
      <c r="E83" s="98" t="s">
        <v>4</v>
      </c>
      <c r="F83" s="98" t="s">
        <v>4</v>
      </c>
      <c r="G83" s="98">
        <v>0.28000000000000003</v>
      </c>
      <c r="H83" s="98">
        <v>11.39</v>
      </c>
      <c r="I83" s="98">
        <v>32.39</v>
      </c>
      <c r="J83" s="98">
        <v>39.770000000000003</v>
      </c>
      <c r="K83" s="98">
        <v>0.59</v>
      </c>
      <c r="L83" s="98" t="s">
        <v>4</v>
      </c>
      <c r="M83" s="98">
        <v>38.24</v>
      </c>
      <c r="N83" s="98">
        <v>160.16000000000003</v>
      </c>
      <c r="O83" s="98">
        <v>560.32000000000005</v>
      </c>
      <c r="P83" s="98">
        <v>72.61</v>
      </c>
      <c r="Q83" s="98" t="s">
        <v>4</v>
      </c>
      <c r="R83" s="98" t="s">
        <v>4</v>
      </c>
      <c r="S83" s="98">
        <v>26.52</v>
      </c>
      <c r="T83" s="98" t="s">
        <v>4</v>
      </c>
      <c r="U83" s="98" t="s">
        <v>4</v>
      </c>
      <c r="V83" s="98">
        <v>218.43</v>
      </c>
      <c r="W83" s="98" t="s">
        <v>348</v>
      </c>
      <c r="X83" s="98" t="s">
        <v>4</v>
      </c>
      <c r="Y83" s="98" t="s">
        <v>4</v>
      </c>
      <c r="Z83" s="98" t="s">
        <v>4</v>
      </c>
      <c r="AA83" s="98">
        <v>6.75</v>
      </c>
      <c r="AB83" s="98" t="s">
        <v>4</v>
      </c>
      <c r="AC83" s="98">
        <v>0.60000000000000009</v>
      </c>
      <c r="AD83" s="98" t="s">
        <v>4</v>
      </c>
      <c r="AE83" s="98" t="s">
        <v>4</v>
      </c>
      <c r="AF83" s="98" t="s">
        <v>4</v>
      </c>
      <c r="AG83" s="98">
        <v>6.21</v>
      </c>
      <c r="AH83" s="98" t="s">
        <v>4</v>
      </c>
      <c r="AI83" s="98" t="s">
        <v>4</v>
      </c>
      <c r="AJ83" s="98">
        <v>95.01</v>
      </c>
      <c r="AK83" s="98" t="s">
        <v>4</v>
      </c>
      <c r="AL83" s="98">
        <v>49.35</v>
      </c>
      <c r="AM83" s="98" t="s">
        <v>4</v>
      </c>
      <c r="AN83" s="98">
        <v>3.87</v>
      </c>
      <c r="AO83" s="98" t="s">
        <v>4</v>
      </c>
      <c r="AP83" s="98" t="s">
        <v>4</v>
      </c>
      <c r="AQ83" s="98">
        <v>528.78</v>
      </c>
      <c r="AR83" s="98">
        <v>2.34</v>
      </c>
      <c r="AS83" s="98" t="s">
        <v>4</v>
      </c>
      <c r="AT83" s="98" t="s">
        <v>4</v>
      </c>
      <c r="AU83" s="98">
        <v>38.67</v>
      </c>
      <c r="AV83" s="98" t="s">
        <v>4</v>
      </c>
      <c r="AW83" s="98" t="s">
        <v>4</v>
      </c>
      <c r="AX83" s="98">
        <v>8.2200000000000006</v>
      </c>
      <c r="AY83" s="98" t="s">
        <v>4</v>
      </c>
      <c r="AZ83" s="98" t="s">
        <v>4</v>
      </c>
      <c r="BA83" s="98" t="s">
        <v>4</v>
      </c>
      <c r="BB83" s="98" t="s">
        <v>4</v>
      </c>
      <c r="BC83" s="98" t="s">
        <v>4</v>
      </c>
      <c r="BD83" s="98">
        <v>1.1599999999999999</v>
      </c>
      <c r="BE83" s="98" t="s">
        <v>4</v>
      </c>
      <c r="BF83" s="98" t="s">
        <v>4</v>
      </c>
      <c r="BG83" s="98" t="s">
        <v>4</v>
      </c>
      <c r="BH83" s="98" t="s">
        <v>4</v>
      </c>
      <c r="BI83" s="98" t="s">
        <v>4</v>
      </c>
      <c r="BJ83" s="98" t="s">
        <v>4</v>
      </c>
      <c r="BK83" s="98" t="s">
        <v>4</v>
      </c>
      <c r="BL83" s="98" t="s">
        <v>4</v>
      </c>
      <c r="BM83" s="98" t="s">
        <v>4</v>
      </c>
      <c r="BN83" s="98" t="s">
        <v>4</v>
      </c>
      <c r="BO83" s="98" t="s">
        <v>4</v>
      </c>
      <c r="BP83" s="98">
        <v>0.65</v>
      </c>
      <c r="BQ83" s="98">
        <v>1.24</v>
      </c>
      <c r="BR83" s="98" t="s">
        <v>4</v>
      </c>
      <c r="BS83" s="98" t="s">
        <v>4</v>
      </c>
      <c r="BT83" s="98" t="s">
        <v>4</v>
      </c>
      <c r="BU83" s="98" t="s">
        <v>4</v>
      </c>
      <c r="BV83" s="98">
        <v>46.53</v>
      </c>
      <c r="BW83" s="98" t="s">
        <v>4</v>
      </c>
      <c r="BX83" s="98" t="s">
        <v>4</v>
      </c>
      <c r="BY83" s="98">
        <v>496.3</v>
      </c>
      <c r="BZ83" s="98" t="s">
        <v>4</v>
      </c>
      <c r="CA83" s="98">
        <v>30.18</v>
      </c>
      <c r="CB83" s="98">
        <v>122.89000000000001</v>
      </c>
      <c r="CC83" s="98">
        <v>1.0899999999999999</v>
      </c>
      <c r="CD83" s="98">
        <v>23.860000000000003</v>
      </c>
      <c r="CE83" s="98" t="s">
        <v>4</v>
      </c>
      <c r="CF83" s="98" t="s">
        <v>4</v>
      </c>
      <c r="CG83" s="98" t="s">
        <v>4</v>
      </c>
      <c r="CH83" s="98">
        <v>1</v>
      </c>
      <c r="CI83" s="98">
        <v>2</v>
      </c>
      <c r="CJ83" s="98">
        <v>2</v>
      </c>
      <c r="CK83" s="98">
        <v>4</v>
      </c>
      <c r="CL83">
        <f t="shared" si="2"/>
        <v>0.28000000000000003</v>
      </c>
      <c r="CM83">
        <f t="shared" si="3"/>
        <v>560.32000000000005</v>
      </c>
    </row>
    <row r="84" spans="1:91" s="98" customFormat="1" x14ac:dyDescent="0.25">
      <c r="A84" s="97">
        <v>44617.534722222219</v>
      </c>
      <c r="B84" s="51" t="s">
        <v>792</v>
      </c>
      <c r="C84" s="51" t="s">
        <v>407</v>
      </c>
      <c r="D84" s="98">
        <v>44617.534722222219</v>
      </c>
      <c r="E84" s="98" t="s">
        <v>4</v>
      </c>
      <c r="F84" s="98" t="s">
        <v>4</v>
      </c>
      <c r="G84" s="98" t="s">
        <v>4</v>
      </c>
      <c r="H84" s="98">
        <v>11.29</v>
      </c>
      <c r="I84" s="98">
        <v>33.76</v>
      </c>
      <c r="J84" s="98">
        <v>39.44</v>
      </c>
      <c r="K84" s="98">
        <v>0.59</v>
      </c>
      <c r="L84" s="98" t="s">
        <v>4</v>
      </c>
      <c r="M84" s="98">
        <v>32.74</v>
      </c>
      <c r="N84" s="98">
        <v>207.5</v>
      </c>
      <c r="O84" s="98">
        <v>546.11</v>
      </c>
      <c r="P84" s="98">
        <v>81.42</v>
      </c>
      <c r="Q84" s="98" t="s">
        <v>4</v>
      </c>
      <c r="R84" s="98" t="s">
        <v>4</v>
      </c>
      <c r="S84" s="98">
        <v>27.9</v>
      </c>
      <c r="T84" s="98" t="s">
        <v>4</v>
      </c>
      <c r="U84" s="98" t="s">
        <v>4</v>
      </c>
      <c r="V84" s="98">
        <v>225.46</v>
      </c>
      <c r="W84" s="98" t="s">
        <v>348</v>
      </c>
      <c r="X84" s="98" t="s">
        <v>4</v>
      </c>
      <c r="Y84" s="98" t="s">
        <v>4</v>
      </c>
      <c r="Z84" s="98" t="s">
        <v>4</v>
      </c>
      <c r="AA84" s="98">
        <v>6.39</v>
      </c>
      <c r="AB84" s="98" t="s">
        <v>4</v>
      </c>
      <c r="AC84" s="98" t="s">
        <v>4</v>
      </c>
      <c r="AD84" s="98" t="s">
        <v>4</v>
      </c>
      <c r="AE84" s="98" t="s">
        <v>4</v>
      </c>
      <c r="AF84" s="98" t="s">
        <v>4</v>
      </c>
      <c r="AG84" s="98">
        <v>6.44</v>
      </c>
      <c r="AH84" s="98" t="s">
        <v>4</v>
      </c>
      <c r="AI84" s="98" t="s">
        <v>4</v>
      </c>
      <c r="AJ84" s="98">
        <v>98.25</v>
      </c>
      <c r="AK84" s="98" t="s">
        <v>4</v>
      </c>
      <c r="AL84" s="98">
        <v>46.26</v>
      </c>
      <c r="AM84" s="98" t="s">
        <v>4</v>
      </c>
      <c r="AN84" s="98">
        <v>3.95</v>
      </c>
      <c r="AO84" s="98" t="s">
        <v>4</v>
      </c>
      <c r="AP84" s="98" t="s">
        <v>4</v>
      </c>
      <c r="AQ84" s="98">
        <v>511.2</v>
      </c>
      <c r="AR84" s="98">
        <v>2.9899999999999998</v>
      </c>
      <c r="AS84" s="98" t="s">
        <v>4</v>
      </c>
      <c r="AT84" s="98" t="s">
        <v>4</v>
      </c>
      <c r="AU84" s="98">
        <v>37.57</v>
      </c>
      <c r="AV84" s="98" t="s">
        <v>4</v>
      </c>
      <c r="AW84" s="98" t="s">
        <v>4</v>
      </c>
      <c r="AX84" s="98">
        <v>7.96</v>
      </c>
      <c r="AY84" s="98" t="s">
        <v>4</v>
      </c>
      <c r="AZ84" s="98" t="s">
        <v>4</v>
      </c>
      <c r="BA84" s="98" t="s">
        <v>4</v>
      </c>
      <c r="BB84" s="98" t="s">
        <v>4</v>
      </c>
      <c r="BC84" s="98" t="s">
        <v>4</v>
      </c>
      <c r="BD84" s="98">
        <v>1.24</v>
      </c>
      <c r="BE84" s="98" t="s">
        <v>4</v>
      </c>
      <c r="BF84" s="98" t="s">
        <v>4</v>
      </c>
      <c r="BG84" s="98" t="s">
        <v>4</v>
      </c>
      <c r="BH84" s="98" t="s">
        <v>4</v>
      </c>
      <c r="BI84" s="98" t="s">
        <v>4</v>
      </c>
      <c r="BJ84" s="98" t="s">
        <v>4</v>
      </c>
      <c r="BK84" s="98" t="s">
        <v>4</v>
      </c>
      <c r="BL84" s="98" t="s">
        <v>4</v>
      </c>
      <c r="BM84" s="98" t="s">
        <v>4</v>
      </c>
      <c r="BN84" s="98" t="s">
        <v>4</v>
      </c>
      <c r="BO84" s="98" t="s">
        <v>4</v>
      </c>
      <c r="BP84" s="98">
        <v>0.56000000000000005</v>
      </c>
      <c r="BQ84" s="98">
        <v>1.08</v>
      </c>
      <c r="BR84" s="98" t="s">
        <v>4</v>
      </c>
      <c r="BS84" s="98" t="s">
        <v>4</v>
      </c>
      <c r="BT84" s="98" t="s">
        <v>4</v>
      </c>
      <c r="BU84" s="98" t="s">
        <v>4</v>
      </c>
      <c r="BV84" s="98">
        <v>44.02</v>
      </c>
      <c r="BW84" s="98" t="s">
        <v>4</v>
      </c>
      <c r="BX84" s="98" t="s">
        <v>4</v>
      </c>
      <c r="BY84" s="98">
        <v>571.69000000000005</v>
      </c>
      <c r="BZ84" s="98" t="s">
        <v>4</v>
      </c>
      <c r="CA84" s="98">
        <v>36.67</v>
      </c>
      <c r="CB84" s="98">
        <v>125.24000000000001</v>
      </c>
      <c r="CC84" s="98">
        <v>0.97</v>
      </c>
      <c r="CD84" s="98">
        <v>22.750000000000004</v>
      </c>
      <c r="CE84" s="98" t="s">
        <v>4</v>
      </c>
      <c r="CF84" s="98" t="s">
        <v>4</v>
      </c>
      <c r="CG84" s="98" t="s">
        <v>4</v>
      </c>
      <c r="CH84" s="98">
        <v>1</v>
      </c>
      <c r="CI84" s="98">
        <v>2</v>
      </c>
      <c r="CJ84" s="98">
        <v>2</v>
      </c>
      <c r="CK84" s="98">
        <v>4</v>
      </c>
      <c r="CL84">
        <f t="shared" si="2"/>
        <v>0.56000000000000005</v>
      </c>
      <c r="CM84">
        <f t="shared" si="3"/>
        <v>571.69000000000005</v>
      </c>
    </row>
    <row r="85" spans="1:91" s="98" customFormat="1" x14ac:dyDescent="0.25">
      <c r="A85" s="97">
        <v>44619.618055555555</v>
      </c>
      <c r="B85" s="51" t="s">
        <v>793</v>
      </c>
      <c r="C85" s="51" t="s">
        <v>408</v>
      </c>
      <c r="D85" s="98">
        <v>44619.618055555555</v>
      </c>
      <c r="E85" s="98" t="s">
        <v>4</v>
      </c>
      <c r="F85" s="98" t="s">
        <v>4</v>
      </c>
      <c r="G85" s="98" t="s">
        <v>4</v>
      </c>
      <c r="H85" s="98">
        <v>17.170000000000002</v>
      </c>
      <c r="I85" s="98">
        <v>54.9</v>
      </c>
      <c r="J85" s="98">
        <v>65.56</v>
      </c>
      <c r="K85" s="98">
        <v>0.71</v>
      </c>
      <c r="L85" s="98" t="s">
        <v>4</v>
      </c>
      <c r="M85" s="98">
        <v>56.77</v>
      </c>
      <c r="N85" s="98">
        <v>244.39</v>
      </c>
      <c r="O85" s="98">
        <v>904.5</v>
      </c>
      <c r="P85" s="98">
        <v>133.46</v>
      </c>
      <c r="Q85" s="98" t="s">
        <v>4</v>
      </c>
      <c r="R85" s="98" t="s">
        <v>4</v>
      </c>
      <c r="S85" s="98">
        <v>43.15</v>
      </c>
      <c r="T85" s="98" t="s">
        <v>4</v>
      </c>
      <c r="U85" s="98" t="s">
        <v>4</v>
      </c>
      <c r="V85" s="98">
        <v>383.01</v>
      </c>
      <c r="W85" s="98" t="s">
        <v>348</v>
      </c>
      <c r="X85" s="98" t="s">
        <v>4</v>
      </c>
      <c r="Y85" s="98" t="s">
        <v>4</v>
      </c>
      <c r="Z85" s="98" t="s">
        <v>4</v>
      </c>
      <c r="AA85" s="98">
        <v>4.43</v>
      </c>
      <c r="AB85" s="98" t="s">
        <v>4</v>
      </c>
      <c r="AC85" s="98" t="s">
        <v>4</v>
      </c>
      <c r="AD85" s="98" t="s">
        <v>4</v>
      </c>
      <c r="AE85" s="98" t="s">
        <v>4</v>
      </c>
      <c r="AF85" s="98" t="s">
        <v>4</v>
      </c>
      <c r="AG85" s="98">
        <v>4.45</v>
      </c>
      <c r="AH85" s="98" t="s">
        <v>4</v>
      </c>
      <c r="AI85" s="98" t="s">
        <v>4</v>
      </c>
      <c r="AJ85" s="98">
        <v>108.24</v>
      </c>
      <c r="AK85" s="98" t="s">
        <v>4</v>
      </c>
      <c r="AL85" s="98">
        <v>79.64</v>
      </c>
      <c r="AM85" s="98" t="s">
        <v>4</v>
      </c>
      <c r="AN85" s="98">
        <v>6.05</v>
      </c>
      <c r="AO85" s="98" t="s">
        <v>4</v>
      </c>
      <c r="AP85" s="98" t="s">
        <v>4</v>
      </c>
      <c r="AQ85" s="98">
        <v>808.66</v>
      </c>
      <c r="AR85" s="98">
        <v>3.61</v>
      </c>
      <c r="AS85" s="98" t="s">
        <v>4</v>
      </c>
      <c r="AT85" s="98" t="s">
        <v>4</v>
      </c>
      <c r="AU85" s="98">
        <v>29.14</v>
      </c>
      <c r="AV85" s="98" t="s">
        <v>4</v>
      </c>
      <c r="AW85" s="98" t="s">
        <v>4</v>
      </c>
      <c r="AX85" s="98">
        <v>6.33</v>
      </c>
      <c r="AY85" s="98" t="s">
        <v>4</v>
      </c>
      <c r="AZ85" s="98" t="s">
        <v>4</v>
      </c>
      <c r="BA85" s="98" t="s">
        <v>4</v>
      </c>
      <c r="BB85" s="98" t="s">
        <v>4</v>
      </c>
      <c r="BC85" s="98" t="s">
        <v>4</v>
      </c>
      <c r="BD85" s="98">
        <v>1.29</v>
      </c>
      <c r="BE85" s="98" t="s">
        <v>4</v>
      </c>
      <c r="BF85" s="98" t="s">
        <v>4</v>
      </c>
      <c r="BG85" s="98" t="s">
        <v>4</v>
      </c>
      <c r="BH85" s="98" t="s">
        <v>4</v>
      </c>
      <c r="BI85" s="98" t="s">
        <v>4</v>
      </c>
      <c r="BJ85" s="98" t="s">
        <v>4</v>
      </c>
      <c r="BK85" s="98" t="s">
        <v>4</v>
      </c>
      <c r="BL85" s="98" t="s">
        <v>4</v>
      </c>
      <c r="BM85" s="98" t="s">
        <v>4</v>
      </c>
      <c r="BN85" s="98" t="s">
        <v>4</v>
      </c>
      <c r="BO85" s="98" t="s">
        <v>4</v>
      </c>
      <c r="BP85" s="98">
        <v>1.26</v>
      </c>
      <c r="BQ85" s="98">
        <v>1.1599999999999999</v>
      </c>
      <c r="BR85" s="98" t="s">
        <v>4</v>
      </c>
      <c r="BS85" s="98" t="s">
        <v>4</v>
      </c>
      <c r="BT85" s="98" t="s">
        <v>4</v>
      </c>
      <c r="BU85" s="98" t="s">
        <v>4</v>
      </c>
      <c r="BV85" s="98">
        <v>37.89</v>
      </c>
      <c r="BW85" s="98" t="s">
        <v>4</v>
      </c>
      <c r="BX85" s="98" t="s">
        <v>4</v>
      </c>
      <c r="BY85" s="98">
        <v>9.93</v>
      </c>
      <c r="BZ85" s="98" t="s">
        <v>4</v>
      </c>
      <c r="CA85" s="98">
        <v>21.7</v>
      </c>
      <c r="CB85" s="98">
        <v>189.97</v>
      </c>
      <c r="CC85" s="98">
        <v>1.19</v>
      </c>
      <c r="CD85" s="98">
        <v>24.430000000000003</v>
      </c>
      <c r="CE85" s="98" t="s">
        <v>4</v>
      </c>
      <c r="CF85" s="98" t="s">
        <v>4</v>
      </c>
      <c r="CG85" s="98" t="s">
        <v>4</v>
      </c>
      <c r="CH85" s="98">
        <v>1</v>
      </c>
      <c r="CI85" s="98">
        <v>2</v>
      </c>
      <c r="CJ85" s="98">
        <v>2</v>
      </c>
      <c r="CK85" s="98">
        <v>4</v>
      </c>
      <c r="CL85">
        <f t="shared" si="2"/>
        <v>0.71</v>
      </c>
      <c r="CM85">
        <f t="shared" si="3"/>
        <v>904.5</v>
      </c>
    </row>
    <row r="86" spans="1:91" x14ac:dyDescent="0.25">
      <c r="A86" s="50">
        <v>44619</v>
      </c>
      <c r="B86" s="51" t="s">
        <v>794</v>
      </c>
      <c r="C86" s="51" t="s">
        <v>411</v>
      </c>
      <c r="D86">
        <v>44619</v>
      </c>
      <c r="E86" t="s">
        <v>4</v>
      </c>
      <c r="F86">
        <v>2.97</v>
      </c>
      <c r="G86">
        <v>5.86</v>
      </c>
      <c r="H86">
        <v>23.62</v>
      </c>
      <c r="I86" t="s">
        <v>4</v>
      </c>
      <c r="J86" t="s">
        <v>4</v>
      </c>
      <c r="K86">
        <v>22.78</v>
      </c>
      <c r="L86">
        <v>321.27999999999997</v>
      </c>
      <c r="M86">
        <v>63.02</v>
      </c>
      <c r="N86">
        <v>1017.09</v>
      </c>
      <c r="O86">
        <v>390.25</v>
      </c>
      <c r="P86">
        <v>17.690000000000001</v>
      </c>
      <c r="Q86">
        <v>12.33</v>
      </c>
      <c r="R86">
        <v>18.22</v>
      </c>
      <c r="S86">
        <v>832.23</v>
      </c>
      <c r="T86">
        <v>26.08</v>
      </c>
      <c r="U86" t="s">
        <v>4</v>
      </c>
      <c r="V86">
        <v>37.369999999999997</v>
      </c>
      <c r="W86" t="s">
        <v>348</v>
      </c>
      <c r="X86">
        <v>0.48</v>
      </c>
      <c r="Y86">
        <v>111.85</v>
      </c>
      <c r="Z86" t="s">
        <v>4</v>
      </c>
      <c r="AA86">
        <v>4.46</v>
      </c>
      <c r="AB86">
        <v>8.94</v>
      </c>
      <c r="AC86">
        <v>1439.7</v>
      </c>
      <c r="AD86">
        <v>180.29</v>
      </c>
      <c r="AE86">
        <v>45.33</v>
      </c>
      <c r="AF86" t="s">
        <v>4</v>
      </c>
      <c r="AG86">
        <v>26.65</v>
      </c>
      <c r="AH86">
        <v>13.98</v>
      </c>
      <c r="AI86" t="s">
        <v>4</v>
      </c>
      <c r="AJ86">
        <v>139.51</v>
      </c>
      <c r="AK86">
        <v>4.24</v>
      </c>
      <c r="AL86">
        <v>298.47000000000003</v>
      </c>
      <c r="AM86" t="s">
        <v>4</v>
      </c>
      <c r="AN86">
        <v>147.13</v>
      </c>
      <c r="AO86" t="s">
        <v>4</v>
      </c>
      <c r="AP86" t="s">
        <v>4</v>
      </c>
      <c r="AQ86">
        <v>98.11</v>
      </c>
      <c r="AR86">
        <v>51.129999999999995</v>
      </c>
      <c r="AS86">
        <v>41.73</v>
      </c>
      <c r="AT86" t="s">
        <v>4</v>
      </c>
      <c r="AU86">
        <v>29.43</v>
      </c>
      <c r="AV86" t="s">
        <v>4</v>
      </c>
      <c r="AW86">
        <v>9.52</v>
      </c>
      <c r="AX86" t="s">
        <v>4</v>
      </c>
      <c r="AY86">
        <v>2.34</v>
      </c>
      <c r="AZ86" t="s">
        <v>4</v>
      </c>
      <c r="BA86" t="s">
        <v>4</v>
      </c>
      <c r="BB86">
        <v>11.49</v>
      </c>
      <c r="BC86" t="s">
        <v>4</v>
      </c>
      <c r="BD86">
        <v>16.670000000000002</v>
      </c>
      <c r="BE86" t="s">
        <v>4</v>
      </c>
      <c r="BF86" t="s">
        <v>4</v>
      </c>
      <c r="BG86">
        <v>64.95</v>
      </c>
      <c r="BH86">
        <v>20.05</v>
      </c>
      <c r="BI86" t="s">
        <v>4</v>
      </c>
      <c r="BJ86" t="s">
        <v>4</v>
      </c>
      <c r="BK86">
        <v>3.27</v>
      </c>
      <c r="BL86">
        <v>34.869999999999997</v>
      </c>
      <c r="BM86">
        <v>18.670000000000002</v>
      </c>
      <c r="BN86" t="s">
        <v>4</v>
      </c>
      <c r="BO86">
        <v>28.91</v>
      </c>
      <c r="BP86" t="s">
        <v>4</v>
      </c>
      <c r="BQ86">
        <v>30.37</v>
      </c>
      <c r="BR86">
        <v>1.38</v>
      </c>
      <c r="BS86">
        <v>18.579999999999998</v>
      </c>
      <c r="BT86" t="s">
        <v>4</v>
      </c>
      <c r="BU86" t="s">
        <v>4</v>
      </c>
      <c r="BV86" t="s">
        <v>4</v>
      </c>
      <c r="BW86" t="s">
        <v>4</v>
      </c>
      <c r="BX86" t="s">
        <v>4</v>
      </c>
      <c r="BY86" t="s">
        <v>4</v>
      </c>
      <c r="BZ86" t="s">
        <v>4</v>
      </c>
      <c r="CA86" t="s">
        <v>4</v>
      </c>
      <c r="CB86" t="s">
        <v>4</v>
      </c>
      <c r="CC86" t="s">
        <v>4</v>
      </c>
      <c r="CD86" t="s">
        <v>4</v>
      </c>
      <c r="CE86" t="s">
        <v>4</v>
      </c>
      <c r="CF86" t="s">
        <v>4</v>
      </c>
      <c r="CG86" t="s">
        <v>4</v>
      </c>
      <c r="CH86">
        <v>3</v>
      </c>
      <c r="CI86">
        <v>8</v>
      </c>
      <c r="CJ86">
        <v>4</v>
      </c>
      <c r="CK86">
        <v>1</v>
      </c>
      <c r="CL86">
        <f t="shared" si="2"/>
        <v>0.48</v>
      </c>
      <c r="CM86">
        <f t="shared" si="3"/>
        <v>1439.7</v>
      </c>
    </row>
    <row r="87" spans="1:91" x14ac:dyDescent="0.25">
      <c r="A87" s="50">
        <v>44619</v>
      </c>
      <c r="B87" s="51" t="s">
        <v>795</v>
      </c>
      <c r="C87" s="51" t="s">
        <v>409</v>
      </c>
      <c r="D87">
        <v>44619</v>
      </c>
      <c r="E87" t="s">
        <v>4</v>
      </c>
      <c r="F87">
        <v>2.72</v>
      </c>
      <c r="G87">
        <v>5.52</v>
      </c>
      <c r="H87">
        <v>24.02</v>
      </c>
      <c r="I87" t="s">
        <v>4</v>
      </c>
      <c r="J87" t="s">
        <v>4</v>
      </c>
      <c r="K87">
        <v>30.02</v>
      </c>
      <c r="L87">
        <v>327.27</v>
      </c>
      <c r="M87">
        <v>54.26</v>
      </c>
      <c r="N87">
        <v>965.61</v>
      </c>
      <c r="O87">
        <v>393.52</v>
      </c>
      <c r="P87">
        <v>22.59</v>
      </c>
      <c r="Q87">
        <v>11.66</v>
      </c>
      <c r="R87">
        <v>21.14</v>
      </c>
      <c r="S87">
        <v>886.63</v>
      </c>
      <c r="T87">
        <v>26.67</v>
      </c>
      <c r="U87" t="s">
        <v>4</v>
      </c>
      <c r="V87">
        <v>39.32</v>
      </c>
      <c r="W87" t="s">
        <v>348</v>
      </c>
      <c r="X87" t="s">
        <v>4</v>
      </c>
      <c r="Y87">
        <v>104.81</v>
      </c>
      <c r="Z87" t="s">
        <v>4</v>
      </c>
      <c r="AA87">
        <v>7.5200000000000005</v>
      </c>
      <c r="AB87">
        <v>9.3800000000000008</v>
      </c>
      <c r="AC87">
        <v>1443.27</v>
      </c>
      <c r="AD87">
        <v>91.4</v>
      </c>
      <c r="AE87">
        <v>20.25</v>
      </c>
      <c r="AF87" t="s">
        <v>4</v>
      </c>
      <c r="AG87">
        <v>40.44</v>
      </c>
      <c r="AH87">
        <v>14.56</v>
      </c>
      <c r="AI87" t="s">
        <v>4</v>
      </c>
      <c r="AJ87">
        <v>147.13999999999999</v>
      </c>
      <c r="AK87">
        <v>4.9800000000000004</v>
      </c>
      <c r="AL87">
        <v>313.98</v>
      </c>
      <c r="AM87" t="s">
        <v>4</v>
      </c>
      <c r="AN87">
        <v>132.66</v>
      </c>
      <c r="AO87" t="s">
        <v>4</v>
      </c>
      <c r="AP87" t="s">
        <v>4</v>
      </c>
      <c r="AQ87">
        <v>105.52</v>
      </c>
      <c r="AR87">
        <v>46.75</v>
      </c>
      <c r="AS87">
        <v>43.74</v>
      </c>
      <c r="AT87" t="s">
        <v>4</v>
      </c>
      <c r="AU87">
        <v>43.55</v>
      </c>
      <c r="AV87" t="s">
        <v>4</v>
      </c>
      <c r="AW87">
        <v>9.26</v>
      </c>
      <c r="AX87" t="s">
        <v>4</v>
      </c>
      <c r="AY87">
        <v>2.21</v>
      </c>
      <c r="AZ87" t="s">
        <v>4</v>
      </c>
      <c r="BA87" t="s">
        <v>4</v>
      </c>
      <c r="BB87">
        <v>11.77</v>
      </c>
      <c r="BC87" t="s">
        <v>4</v>
      </c>
      <c r="BD87">
        <v>13.74</v>
      </c>
      <c r="BE87" t="s">
        <v>4</v>
      </c>
      <c r="BF87" t="s">
        <v>4</v>
      </c>
      <c r="BG87">
        <v>2285.46</v>
      </c>
      <c r="BH87">
        <v>23.64</v>
      </c>
      <c r="BI87" t="s">
        <v>4</v>
      </c>
      <c r="BJ87" t="s">
        <v>4</v>
      </c>
      <c r="BK87">
        <v>3.45</v>
      </c>
      <c r="BL87">
        <v>46.72</v>
      </c>
      <c r="BM87">
        <v>22.09</v>
      </c>
      <c r="BN87" t="s">
        <v>4</v>
      </c>
      <c r="BO87">
        <v>30.5</v>
      </c>
      <c r="BP87" t="s">
        <v>4</v>
      </c>
      <c r="BQ87">
        <v>31.46</v>
      </c>
      <c r="BR87">
        <v>1.25</v>
      </c>
      <c r="BS87">
        <v>15.99</v>
      </c>
      <c r="BT87" t="s">
        <v>4</v>
      </c>
      <c r="BU87" t="s">
        <v>4</v>
      </c>
      <c r="BV87" t="s">
        <v>4</v>
      </c>
      <c r="BW87" t="s">
        <v>4</v>
      </c>
      <c r="BX87" t="s">
        <v>4</v>
      </c>
      <c r="BY87" t="s">
        <v>4</v>
      </c>
      <c r="BZ87" t="s">
        <v>4</v>
      </c>
      <c r="CA87" t="s">
        <v>4</v>
      </c>
      <c r="CB87" t="s">
        <v>4</v>
      </c>
      <c r="CC87" t="s">
        <v>4</v>
      </c>
      <c r="CD87" t="s">
        <v>4</v>
      </c>
      <c r="CE87" t="s">
        <v>4</v>
      </c>
      <c r="CF87" t="s">
        <v>4</v>
      </c>
      <c r="CG87" t="s">
        <v>4</v>
      </c>
      <c r="CH87">
        <v>3</v>
      </c>
      <c r="CI87">
        <v>8</v>
      </c>
      <c r="CJ87">
        <v>4</v>
      </c>
      <c r="CK87">
        <v>1</v>
      </c>
      <c r="CL87">
        <f t="shared" si="2"/>
        <v>1.25</v>
      </c>
      <c r="CM87">
        <f t="shared" si="3"/>
        <v>2285.46</v>
      </c>
    </row>
    <row r="88" spans="1:91" x14ac:dyDescent="0.25">
      <c r="A88" s="50">
        <v>44619</v>
      </c>
      <c r="B88" s="51" t="s">
        <v>796</v>
      </c>
      <c r="C88" s="51" t="s">
        <v>410</v>
      </c>
      <c r="D88">
        <v>44619</v>
      </c>
      <c r="E88" t="s">
        <v>4</v>
      </c>
      <c r="F88">
        <v>3.23</v>
      </c>
      <c r="G88">
        <v>6.02</v>
      </c>
      <c r="H88">
        <v>28.13</v>
      </c>
      <c r="I88" t="s">
        <v>4</v>
      </c>
      <c r="J88" t="s">
        <v>4</v>
      </c>
      <c r="K88">
        <v>31.76</v>
      </c>
      <c r="L88">
        <v>274.32</v>
      </c>
      <c r="M88">
        <v>67.39</v>
      </c>
      <c r="N88">
        <v>883.74</v>
      </c>
      <c r="O88">
        <v>429.81</v>
      </c>
      <c r="P88">
        <v>19.86</v>
      </c>
      <c r="Q88">
        <v>10.49</v>
      </c>
      <c r="R88">
        <v>17.5</v>
      </c>
      <c r="S88">
        <v>859.75</v>
      </c>
      <c r="T88">
        <v>22.36</v>
      </c>
      <c r="U88" t="s">
        <v>4</v>
      </c>
      <c r="V88">
        <v>47.36</v>
      </c>
      <c r="W88" t="s">
        <v>348</v>
      </c>
      <c r="X88" t="s">
        <v>4</v>
      </c>
      <c r="Y88">
        <v>121.56</v>
      </c>
      <c r="Z88" t="s">
        <v>4</v>
      </c>
      <c r="AA88">
        <v>8.16</v>
      </c>
      <c r="AB88">
        <v>11.93</v>
      </c>
      <c r="AC88">
        <v>1631.29</v>
      </c>
      <c r="AD88">
        <v>116.78</v>
      </c>
      <c r="AE88">
        <v>19.170000000000002</v>
      </c>
      <c r="AF88" t="s">
        <v>4</v>
      </c>
      <c r="AG88">
        <v>685.11</v>
      </c>
      <c r="AH88">
        <v>13.69</v>
      </c>
      <c r="AI88" t="s">
        <v>4</v>
      </c>
      <c r="AJ88">
        <v>178.28</v>
      </c>
      <c r="AK88">
        <v>5.26</v>
      </c>
      <c r="AL88">
        <v>311.89999999999998</v>
      </c>
      <c r="AM88" t="s">
        <v>4</v>
      </c>
      <c r="AN88">
        <v>177.79</v>
      </c>
      <c r="AO88" t="s">
        <v>4</v>
      </c>
      <c r="AP88" t="s">
        <v>4</v>
      </c>
      <c r="AQ88">
        <v>119.93</v>
      </c>
      <c r="AR88">
        <v>59.43</v>
      </c>
      <c r="AS88">
        <v>37.700000000000003</v>
      </c>
      <c r="AT88" t="s">
        <v>4</v>
      </c>
      <c r="AU88">
        <v>40.590000000000003</v>
      </c>
      <c r="AV88" t="s">
        <v>4</v>
      </c>
      <c r="AW88">
        <v>9.64</v>
      </c>
      <c r="AX88">
        <v>2.5299999999999998</v>
      </c>
      <c r="AY88">
        <v>2.92</v>
      </c>
      <c r="AZ88" t="s">
        <v>4</v>
      </c>
      <c r="BA88" t="s">
        <v>4</v>
      </c>
      <c r="BB88">
        <v>12.55</v>
      </c>
      <c r="BC88" t="s">
        <v>4</v>
      </c>
      <c r="BD88">
        <v>14.74</v>
      </c>
      <c r="BE88" t="s">
        <v>4</v>
      </c>
      <c r="BF88" t="s">
        <v>4</v>
      </c>
      <c r="BG88">
        <v>74.36</v>
      </c>
      <c r="BH88">
        <v>23.95</v>
      </c>
      <c r="BI88" t="s">
        <v>4</v>
      </c>
      <c r="BJ88" t="s">
        <v>4</v>
      </c>
      <c r="BK88" t="s">
        <v>4</v>
      </c>
      <c r="BL88">
        <v>43.91</v>
      </c>
      <c r="BM88">
        <v>18.79</v>
      </c>
      <c r="BN88" t="s">
        <v>4</v>
      </c>
      <c r="BO88">
        <v>33.869999999999997</v>
      </c>
      <c r="BP88" t="s">
        <v>4</v>
      </c>
      <c r="BQ88">
        <v>30.61</v>
      </c>
      <c r="BR88">
        <v>1.4</v>
      </c>
      <c r="BS88">
        <v>13.69</v>
      </c>
      <c r="BT88" t="s">
        <v>4</v>
      </c>
      <c r="BU88" t="s">
        <v>4</v>
      </c>
      <c r="BV88" t="s">
        <v>4</v>
      </c>
      <c r="BW88" t="s">
        <v>4</v>
      </c>
      <c r="BX88" t="s">
        <v>4</v>
      </c>
      <c r="BY88" t="s">
        <v>4</v>
      </c>
      <c r="BZ88" t="s">
        <v>4</v>
      </c>
      <c r="CA88" t="s">
        <v>4</v>
      </c>
      <c r="CB88" t="s">
        <v>4</v>
      </c>
      <c r="CC88" t="s">
        <v>4</v>
      </c>
      <c r="CD88" t="s">
        <v>4</v>
      </c>
      <c r="CE88" t="s">
        <v>4</v>
      </c>
      <c r="CF88" t="s">
        <v>4</v>
      </c>
      <c r="CG88" t="s">
        <v>4</v>
      </c>
      <c r="CH88">
        <v>3</v>
      </c>
      <c r="CI88">
        <v>8</v>
      </c>
      <c r="CJ88">
        <v>4</v>
      </c>
      <c r="CK88">
        <v>1</v>
      </c>
      <c r="CL88">
        <f t="shared" si="2"/>
        <v>1.4</v>
      </c>
      <c r="CM88">
        <f t="shared" si="3"/>
        <v>1631.29</v>
      </c>
    </row>
    <row r="89" spans="1:91" x14ac:dyDescent="0.25">
      <c r="A89" s="50">
        <v>44619</v>
      </c>
      <c r="B89" s="51" t="s">
        <v>797</v>
      </c>
      <c r="C89" s="51" t="s">
        <v>412</v>
      </c>
      <c r="D89">
        <v>44619</v>
      </c>
      <c r="E89" t="s">
        <v>4</v>
      </c>
      <c r="F89">
        <v>3.08</v>
      </c>
      <c r="G89">
        <v>3.79</v>
      </c>
      <c r="H89">
        <v>27.14</v>
      </c>
      <c r="I89" t="s">
        <v>4</v>
      </c>
      <c r="J89" t="s">
        <v>4</v>
      </c>
      <c r="K89">
        <v>32.81</v>
      </c>
      <c r="L89">
        <v>220.38</v>
      </c>
      <c r="M89">
        <v>73.290000000000006</v>
      </c>
      <c r="N89">
        <v>836.99</v>
      </c>
      <c r="O89">
        <v>405.29</v>
      </c>
      <c r="P89">
        <v>17.14</v>
      </c>
      <c r="Q89">
        <v>10.039999999999999</v>
      </c>
      <c r="R89">
        <v>13.45</v>
      </c>
      <c r="S89">
        <v>742</v>
      </c>
      <c r="T89">
        <v>18.690000000000001</v>
      </c>
      <c r="U89" t="s">
        <v>4</v>
      </c>
      <c r="V89">
        <v>52.42</v>
      </c>
      <c r="W89" t="s">
        <v>348</v>
      </c>
      <c r="X89" t="s">
        <v>4</v>
      </c>
      <c r="Y89">
        <v>86.99</v>
      </c>
      <c r="Z89" t="s">
        <v>4</v>
      </c>
      <c r="AA89">
        <v>6.4399999999999995</v>
      </c>
      <c r="AB89">
        <v>9.6199999999999992</v>
      </c>
      <c r="AC89">
        <v>1522.87</v>
      </c>
      <c r="AD89">
        <v>141.1</v>
      </c>
      <c r="AE89">
        <v>17.77</v>
      </c>
      <c r="AF89" t="s">
        <v>4</v>
      </c>
      <c r="AG89">
        <v>13829.77</v>
      </c>
      <c r="AH89">
        <v>15.42</v>
      </c>
      <c r="AI89" t="s">
        <v>4</v>
      </c>
      <c r="AJ89">
        <v>157.18</v>
      </c>
      <c r="AK89">
        <v>5.19</v>
      </c>
      <c r="AL89">
        <v>268.26</v>
      </c>
      <c r="AM89" t="s">
        <v>4</v>
      </c>
      <c r="AN89">
        <v>169.13</v>
      </c>
      <c r="AO89" t="s">
        <v>4</v>
      </c>
      <c r="AP89" t="s">
        <v>4</v>
      </c>
      <c r="AQ89">
        <v>127.03</v>
      </c>
      <c r="AR89">
        <v>63.11</v>
      </c>
      <c r="AS89">
        <v>27.91</v>
      </c>
      <c r="AT89" t="s">
        <v>4</v>
      </c>
      <c r="AU89">
        <v>46.02</v>
      </c>
      <c r="AV89" t="s">
        <v>4</v>
      </c>
      <c r="AW89">
        <v>10.119999999999999</v>
      </c>
      <c r="AX89">
        <v>2.2400000000000002</v>
      </c>
      <c r="AY89">
        <v>2.87</v>
      </c>
      <c r="AZ89" t="s">
        <v>4</v>
      </c>
      <c r="BA89" t="s">
        <v>4</v>
      </c>
      <c r="BB89">
        <v>12.73</v>
      </c>
      <c r="BC89" t="s">
        <v>4</v>
      </c>
      <c r="BD89">
        <v>13.28</v>
      </c>
      <c r="BE89" t="s">
        <v>4</v>
      </c>
      <c r="BF89" t="s">
        <v>4</v>
      </c>
      <c r="BG89">
        <v>62.67</v>
      </c>
      <c r="BH89">
        <v>26.74</v>
      </c>
      <c r="BI89">
        <v>0.88</v>
      </c>
      <c r="BJ89" t="s">
        <v>4</v>
      </c>
      <c r="BK89">
        <v>2.39</v>
      </c>
      <c r="BL89">
        <v>36.96</v>
      </c>
      <c r="BM89">
        <v>13.11</v>
      </c>
      <c r="BN89" t="s">
        <v>4</v>
      </c>
      <c r="BO89">
        <v>32.67</v>
      </c>
      <c r="BP89" t="s">
        <v>4</v>
      </c>
      <c r="BQ89">
        <v>29.56</v>
      </c>
      <c r="BR89">
        <v>1.49</v>
      </c>
      <c r="BS89">
        <v>21.65</v>
      </c>
      <c r="BT89" t="s">
        <v>4</v>
      </c>
      <c r="BU89" t="s">
        <v>4</v>
      </c>
      <c r="BV89" t="s">
        <v>4</v>
      </c>
      <c r="BW89" t="s">
        <v>4</v>
      </c>
      <c r="BX89" t="s">
        <v>4</v>
      </c>
      <c r="BY89" t="s">
        <v>4</v>
      </c>
      <c r="BZ89" t="s">
        <v>4</v>
      </c>
      <c r="CA89" t="s">
        <v>4</v>
      </c>
      <c r="CB89" t="s">
        <v>4</v>
      </c>
      <c r="CC89" t="s">
        <v>4</v>
      </c>
      <c r="CD89" t="s">
        <v>4</v>
      </c>
      <c r="CE89" t="s">
        <v>4</v>
      </c>
      <c r="CF89" t="s">
        <v>4</v>
      </c>
      <c r="CG89" t="s">
        <v>4</v>
      </c>
      <c r="CH89">
        <v>3</v>
      </c>
      <c r="CI89">
        <v>8</v>
      </c>
      <c r="CJ89">
        <v>4</v>
      </c>
      <c r="CK89">
        <v>1</v>
      </c>
      <c r="CL89">
        <f t="shared" si="2"/>
        <v>0.88</v>
      </c>
      <c r="CM89">
        <f t="shared" si="3"/>
        <v>13829.77</v>
      </c>
    </row>
    <row r="90" spans="1:91" x14ac:dyDescent="0.25">
      <c r="A90" s="50">
        <v>44619</v>
      </c>
      <c r="B90" s="51" t="s">
        <v>798</v>
      </c>
      <c r="C90" s="51" t="s">
        <v>413</v>
      </c>
      <c r="D90">
        <v>44619</v>
      </c>
      <c r="E90" t="s">
        <v>4</v>
      </c>
      <c r="F90">
        <v>2.4500000000000002</v>
      </c>
      <c r="G90">
        <v>3.74</v>
      </c>
      <c r="H90">
        <v>21.21</v>
      </c>
      <c r="I90" t="s">
        <v>4</v>
      </c>
      <c r="J90" t="s">
        <v>4</v>
      </c>
      <c r="K90">
        <v>24.23</v>
      </c>
      <c r="L90">
        <v>243.86</v>
      </c>
      <c r="M90">
        <v>57.59</v>
      </c>
      <c r="N90">
        <v>1088.3799999999999</v>
      </c>
      <c r="O90">
        <v>479.37</v>
      </c>
      <c r="P90">
        <v>19.829999999999998</v>
      </c>
      <c r="Q90">
        <v>11.26</v>
      </c>
      <c r="R90">
        <v>16.12</v>
      </c>
      <c r="S90">
        <v>809.06</v>
      </c>
      <c r="T90">
        <v>19.32</v>
      </c>
      <c r="U90" t="s">
        <v>4</v>
      </c>
      <c r="V90">
        <v>37.94</v>
      </c>
      <c r="W90" t="s">
        <v>348</v>
      </c>
      <c r="X90" t="s">
        <v>4</v>
      </c>
      <c r="Y90">
        <v>88.57</v>
      </c>
      <c r="Z90" t="s">
        <v>4</v>
      </c>
      <c r="AA90">
        <v>9.42</v>
      </c>
      <c r="AB90">
        <v>8.14</v>
      </c>
      <c r="AC90">
        <v>1128.1299999999999</v>
      </c>
      <c r="AD90">
        <v>89.99</v>
      </c>
      <c r="AE90">
        <v>17.690000000000001</v>
      </c>
      <c r="AF90" t="s">
        <v>4</v>
      </c>
      <c r="AG90">
        <v>925.24</v>
      </c>
      <c r="AH90">
        <v>10.44</v>
      </c>
      <c r="AI90" t="s">
        <v>4</v>
      </c>
      <c r="AJ90">
        <v>140.38</v>
      </c>
      <c r="AK90">
        <v>4.2300000000000004</v>
      </c>
      <c r="AL90">
        <v>268.49</v>
      </c>
      <c r="AM90" t="s">
        <v>4</v>
      </c>
      <c r="AN90">
        <v>106.5</v>
      </c>
      <c r="AO90" t="s">
        <v>4</v>
      </c>
      <c r="AP90" t="s">
        <v>4</v>
      </c>
      <c r="AQ90">
        <v>104.52</v>
      </c>
      <c r="AR90">
        <v>46.29</v>
      </c>
      <c r="AS90">
        <v>38.369999999999997</v>
      </c>
      <c r="AT90" t="s">
        <v>4</v>
      </c>
      <c r="AU90">
        <v>37.44</v>
      </c>
      <c r="AV90">
        <v>5.38</v>
      </c>
      <c r="AW90">
        <v>10.23</v>
      </c>
      <c r="AX90">
        <v>3.91</v>
      </c>
      <c r="AY90">
        <v>1.84</v>
      </c>
      <c r="AZ90" t="s">
        <v>4</v>
      </c>
      <c r="BA90" t="s">
        <v>4</v>
      </c>
      <c r="BB90">
        <v>9.51</v>
      </c>
      <c r="BC90" t="s">
        <v>4</v>
      </c>
      <c r="BD90">
        <v>14.92</v>
      </c>
      <c r="BE90" t="s">
        <v>4</v>
      </c>
      <c r="BF90" t="s">
        <v>4</v>
      </c>
      <c r="BG90">
        <v>90.97</v>
      </c>
      <c r="BH90">
        <v>16.690000000000001</v>
      </c>
      <c r="BI90">
        <v>1.5</v>
      </c>
      <c r="BJ90" t="s">
        <v>4</v>
      </c>
      <c r="BK90">
        <v>3.74</v>
      </c>
      <c r="BL90">
        <v>37.869999999999997</v>
      </c>
      <c r="BM90">
        <v>16.57</v>
      </c>
      <c r="BN90" t="s">
        <v>4</v>
      </c>
      <c r="BO90">
        <v>31.48</v>
      </c>
      <c r="BP90" t="s">
        <v>4</v>
      </c>
      <c r="BQ90">
        <v>24.98</v>
      </c>
      <c r="BR90">
        <v>1</v>
      </c>
      <c r="BS90" t="s">
        <v>4</v>
      </c>
      <c r="BT90" t="s">
        <v>4</v>
      </c>
      <c r="BU90" t="s">
        <v>4</v>
      </c>
      <c r="BV90" t="s">
        <v>4</v>
      </c>
      <c r="BW90" t="s">
        <v>4</v>
      </c>
      <c r="BX90" t="s">
        <v>4</v>
      </c>
      <c r="BY90" t="s">
        <v>4</v>
      </c>
      <c r="BZ90" t="s">
        <v>4</v>
      </c>
      <c r="CA90" t="s">
        <v>4</v>
      </c>
      <c r="CB90" t="s">
        <v>4</v>
      </c>
      <c r="CC90" t="s">
        <v>4</v>
      </c>
      <c r="CD90" t="s">
        <v>4</v>
      </c>
      <c r="CE90" t="s">
        <v>4</v>
      </c>
      <c r="CF90" t="s">
        <v>4</v>
      </c>
      <c r="CG90" t="s">
        <v>4</v>
      </c>
      <c r="CH90">
        <v>3</v>
      </c>
      <c r="CI90">
        <v>8</v>
      </c>
      <c r="CJ90">
        <v>4</v>
      </c>
      <c r="CK90">
        <v>1</v>
      </c>
      <c r="CL90">
        <f t="shared" si="2"/>
        <v>1</v>
      </c>
      <c r="CM90">
        <f t="shared" si="3"/>
        <v>1128.1299999999999</v>
      </c>
    </row>
    <row r="91" spans="1:91" x14ac:dyDescent="0.25">
      <c r="A91" s="50">
        <v>44619</v>
      </c>
      <c r="B91" s="51" t="s">
        <v>799</v>
      </c>
      <c r="C91" s="51">
        <v>23</v>
      </c>
      <c r="D91">
        <v>44619</v>
      </c>
      <c r="E91" t="s">
        <v>4</v>
      </c>
      <c r="F91">
        <v>2.38</v>
      </c>
      <c r="G91">
        <v>4.01</v>
      </c>
      <c r="H91">
        <v>18.46</v>
      </c>
      <c r="I91" t="s">
        <v>4</v>
      </c>
      <c r="J91" t="s">
        <v>4</v>
      </c>
      <c r="K91">
        <v>19.78</v>
      </c>
      <c r="L91">
        <v>256.55</v>
      </c>
      <c r="M91">
        <v>57.96</v>
      </c>
      <c r="N91">
        <v>1069.6499999999999</v>
      </c>
      <c r="O91">
        <v>481.95</v>
      </c>
      <c r="P91">
        <v>16.29</v>
      </c>
      <c r="Q91">
        <v>10.09</v>
      </c>
      <c r="R91">
        <v>21.2</v>
      </c>
      <c r="S91">
        <v>852.82</v>
      </c>
      <c r="T91">
        <v>19.579999999999998</v>
      </c>
      <c r="U91" t="s">
        <v>4</v>
      </c>
      <c r="V91">
        <v>31.33</v>
      </c>
      <c r="W91" t="s">
        <v>348</v>
      </c>
      <c r="X91" t="s">
        <v>4</v>
      </c>
      <c r="Y91">
        <v>87.81</v>
      </c>
      <c r="Z91" t="s">
        <v>4</v>
      </c>
      <c r="AA91">
        <v>7.1599999999999993</v>
      </c>
      <c r="AB91">
        <v>6.3</v>
      </c>
      <c r="AC91">
        <v>916.45999999999992</v>
      </c>
      <c r="AD91">
        <v>70.67</v>
      </c>
      <c r="AE91">
        <v>17.38</v>
      </c>
      <c r="AF91" t="s">
        <v>4</v>
      </c>
      <c r="AG91">
        <v>776.08</v>
      </c>
      <c r="AH91">
        <v>10.48</v>
      </c>
      <c r="AI91" t="s">
        <v>4</v>
      </c>
      <c r="AJ91">
        <v>121.81</v>
      </c>
      <c r="AK91">
        <v>3.18</v>
      </c>
      <c r="AL91">
        <v>321.76</v>
      </c>
      <c r="AM91" t="s">
        <v>4</v>
      </c>
      <c r="AN91">
        <v>75.75</v>
      </c>
      <c r="AO91" t="s">
        <v>4</v>
      </c>
      <c r="AP91" t="s">
        <v>4</v>
      </c>
      <c r="AQ91">
        <v>78.47</v>
      </c>
      <c r="AR91">
        <v>33.53</v>
      </c>
      <c r="AS91">
        <v>41.46</v>
      </c>
      <c r="AT91" t="s">
        <v>4</v>
      </c>
      <c r="AU91">
        <v>42.6</v>
      </c>
      <c r="AV91">
        <v>1.47</v>
      </c>
      <c r="AW91">
        <v>6.55</v>
      </c>
      <c r="AX91">
        <v>1.44</v>
      </c>
      <c r="AY91">
        <v>1.46</v>
      </c>
      <c r="AZ91" t="s">
        <v>4</v>
      </c>
      <c r="BA91" t="s">
        <v>4</v>
      </c>
      <c r="BB91">
        <v>10.28</v>
      </c>
      <c r="BC91" t="s">
        <v>4</v>
      </c>
      <c r="BD91">
        <v>15.99</v>
      </c>
      <c r="BE91" t="s">
        <v>4</v>
      </c>
      <c r="BF91" t="s">
        <v>4</v>
      </c>
      <c r="BG91">
        <v>73.36</v>
      </c>
      <c r="BH91">
        <v>20.27</v>
      </c>
      <c r="BI91">
        <v>1.37</v>
      </c>
      <c r="BJ91" t="s">
        <v>4</v>
      </c>
      <c r="BK91" t="s">
        <v>4</v>
      </c>
      <c r="BL91">
        <v>36.94</v>
      </c>
      <c r="BM91">
        <v>21.3</v>
      </c>
      <c r="BN91" t="s">
        <v>4</v>
      </c>
      <c r="BO91">
        <v>24.04</v>
      </c>
      <c r="BP91" t="s">
        <v>4</v>
      </c>
      <c r="BQ91">
        <v>25.19</v>
      </c>
      <c r="BR91">
        <v>1.1299999999999999</v>
      </c>
      <c r="BS91">
        <v>13.38</v>
      </c>
      <c r="BT91" t="s">
        <v>4</v>
      </c>
      <c r="BU91" t="s">
        <v>4</v>
      </c>
      <c r="BV91" t="s">
        <v>4</v>
      </c>
      <c r="BW91" t="s">
        <v>4</v>
      </c>
      <c r="BX91" t="s">
        <v>4</v>
      </c>
      <c r="BY91" t="s">
        <v>4</v>
      </c>
      <c r="BZ91" t="s">
        <v>4</v>
      </c>
      <c r="CA91" t="s">
        <v>4</v>
      </c>
      <c r="CB91" t="s">
        <v>4</v>
      </c>
      <c r="CC91" t="s">
        <v>4</v>
      </c>
      <c r="CD91" t="s">
        <v>4</v>
      </c>
      <c r="CE91" t="s">
        <v>4</v>
      </c>
      <c r="CF91" t="s">
        <v>4</v>
      </c>
      <c r="CG91" t="s">
        <v>4</v>
      </c>
      <c r="CH91">
        <v>3</v>
      </c>
      <c r="CI91">
        <v>8</v>
      </c>
      <c r="CJ91">
        <v>4</v>
      </c>
      <c r="CK91">
        <v>1</v>
      </c>
      <c r="CL91">
        <f t="shared" si="2"/>
        <v>1.1299999999999999</v>
      </c>
      <c r="CM91">
        <f t="shared" si="3"/>
        <v>1069.6499999999999</v>
      </c>
    </row>
    <row r="92" spans="1:91" s="121" customFormat="1" x14ac:dyDescent="0.25">
      <c r="A92" s="122">
        <v>44518</v>
      </c>
      <c r="B92" s="51" t="s">
        <v>800</v>
      </c>
      <c r="C92" s="51" t="s">
        <v>350</v>
      </c>
      <c r="D92" s="121">
        <v>44518</v>
      </c>
      <c r="E92" s="121" t="s">
        <v>348</v>
      </c>
      <c r="F92" s="121">
        <v>1.0999999999999999E-2</v>
      </c>
      <c r="G92" s="121" t="s">
        <v>348</v>
      </c>
      <c r="H92" s="121">
        <v>2.4E-2</v>
      </c>
      <c r="I92" s="121" t="s">
        <v>4</v>
      </c>
      <c r="J92" s="121" t="s">
        <v>4</v>
      </c>
      <c r="K92" s="121" t="s">
        <v>348</v>
      </c>
      <c r="L92" s="121" t="s">
        <v>348</v>
      </c>
      <c r="M92" s="121">
        <v>10.228999999999999</v>
      </c>
      <c r="N92" s="121" t="s">
        <v>348</v>
      </c>
      <c r="O92" s="121">
        <v>3.9969999999999999</v>
      </c>
      <c r="P92" s="121">
        <v>0.26900000000000002</v>
      </c>
      <c r="Q92" s="121" t="s">
        <v>348</v>
      </c>
      <c r="R92" s="121" t="s">
        <v>348</v>
      </c>
      <c r="S92" s="121" t="s">
        <v>348</v>
      </c>
      <c r="T92" s="121" t="s">
        <v>348</v>
      </c>
      <c r="U92" s="121" t="s">
        <v>348</v>
      </c>
      <c r="V92" s="121" t="s">
        <v>348</v>
      </c>
      <c r="W92" s="121" t="s">
        <v>348</v>
      </c>
      <c r="X92" s="121" t="s">
        <v>348</v>
      </c>
      <c r="Y92" s="121" t="s">
        <v>348</v>
      </c>
      <c r="Z92" s="121" t="s">
        <v>348</v>
      </c>
      <c r="AA92" s="121">
        <v>3.6999999999999998E-2</v>
      </c>
      <c r="AB92" s="121">
        <v>1.7999999999999999E-2</v>
      </c>
      <c r="AC92" s="121">
        <v>0.5</v>
      </c>
      <c r="AD92" s="121" t="s">
        <v>4</v>
      </c>
      <c r="AE92" s="121" t="s">
        <v>4</v>
      </c>
      <c r="AF92" s="121" t="s">
        <v>4</v>
      </c>
      <c r="AG92" s="121" t="s">
        <v>4</v>
      </c>
      <c r="AH92" s="121" t="s">
        <v>4</v>
      </c>
      <c r="AI92" s="121" t="s">
        <v>4</v>
      </c>
      <c r="AJ92" s="121">
        <v>0.69599999999999995</v>
      </c>
      <c r="AK92" s="121" t="s">
        <v>348</v>
      </c>
      <c r="AL92" s="121">
        <v>0.83099999999999996</v>
      </c>
      <c r="AM92" s="121" t="s">
        <v>348</v>
      </c>
      <c r="AN92" s="121" t="s">
        <v>348</v>
      </c>
      <c r="AO92" s="121" t="s">
        <v>348</v>
      </c>
      <c r="AP92" s="121" t="s">
        <v>348</v>
      </c>
      <c r="AQ92" s="121">
        <v>9.6000000000000002E-2</v>
      </c>
      <c r="AR92" s="121">
        <v>0.122</v>
      </c>
      <c r="AS92" s="121" t="s">
        <v>348</v>
      </c>
      <c r="AT92" s="121" t="s">
        <v>348</v>
      </c>
      <c r="AU92" s="121" t="s">
        <v>348</v>
      </c>
      <c r="AV92" s="121" t="s">
        <v>348</v>
      </c>
      <c r="AW92" s="121" t="s">
        <v>348</v>
      </c>
      <c r="AX92" s="121">
        <v>0.23299999999999998</v>
      </c>
      <c r="AY92" s="121" t="s">
        <v>348</v>
      </c>
      <c r="AZ92" s="121" t="s">
        <v>348</v>
      </c>
      <c r="BA92" s="121" t="s">
        <v>348</v>
      </c>
      <c r="BB92" s="121" t="s">
        <v>348</v>
      </c>
      <c r="BC92" s="121" t="s">
        <v>348</v>
      </c>
      <c r="BD92" s="121" t="s">
        <v>348</v>
      </c>
      <c r="BE92" s="121" t="s">
        <v>348</v>
      </c>
      <c r="BF92" s="121" t="s">
        <v>348</v>
      </c>
      <c r="BG92" s="121" t="s">
        <v>348</v>
      </c>
      <c r="BH92" s="121" t="s">
        <v>348</v>
      </c>
      <c r="BI92" s="121" t="s">
        <v>348</v>
      </c>
      <c r="BJ92" s="121" t="s">
        <v>348</v>
      </c>
      <c r="BK92" s="121" t="s">
        <v>348</v>
      </c>
      <c r="BL92" s="121" t="s">
        <v>348</v>
      </c>
      <c r="BM92" s="121" t="s">
        <v>348</v>
      </c>
      <c r="BN92" s="121" t="s">
        <v>348</v>
      </c>
      <c r="BO92" s="121">
        <v>0.54800000000000004</v>
      </c>
      <c r="BP92" s="121" t="s">
        <v>348</v>
      </c>
      <c r="BQ92" s="121">
        <v>3.9E-2</v>
      </c>
      <c r="BR92" s="121" t="s">
        <v>4</v>
      </c>
      <c r="BS92" s="121" t="s">
        <v>348</v>
      </c>
      <c r="BT92" s="121" t="s">
        <v>4</v>
      </c>
      <c r="BU92" s="121" t="s">
        <v>4</v>
      </c>
      <c r="BV92" s="121" t="s">
        <v>4</v>
      </c>
      <c r="BW92" s="121" t="s">
        <v>4</v>
      </c>
      <c r="BX92" s="121" t="s">
        <v>4</v>
      </c>
      <c r="BY92" s="121" t="s">
        <v>4</v>
      </c>
      <c r="BZ92" s="121" t="s">
        <v>4</v>
      </c>
      <c r="CA92" s="121" t="s">
        <v>4</v>
      </c>
      <c r="CB92" s="121" t="s">
        <v>4</v>
      </c>
      <c r="CC92" s="121" t="s">
        <v>4</v>
      </c>
      <c r="CD92" s="121" t="s">
        <v>4</v>
      </c>
      <c r="CE92" s="121" t="s">
        <v>4</v>
      </c>
      <c r="CF92" s="121" t="s">
        <v>4</v>
      </c>
      <c r="CG92" s="121" t="s">
        <v>4</v>
      </c>
      <c r="CH92" s="121">
        <v>2</v>
      </c>
      <c r="CI92" s="121">
        <v>4</v>
      </c>
      <c r="CJ92" s="121">
        <v>5</v>
      </c>
      <c r="CK92" s="121" t="s">
        <v>348</v>
      </c>
      <c r="CL92">
        <f t="shared" si="2"/>
        <v>1.0999999999999999E-2</v>
      </c>
      <c r="CM92">
        <f t="shared" si="3"/>
        <v>10.228999999999999</v>
      </c>
    </row>
    <row r="93" spans="1:91" s="121" customFormat="1" x14ac:dyDescent="0.25">
      <c r="A93" s="122">
        <v>44518</v>
      </c>
      <c r="B93" s="51" t="s">
        <v>801</v>
      </c>
      <c r="C93" s="51" t="s">
        <v>352</v>
      </c>
      <c r="D93" s="121">
        <v>44518</v>
      </c>
      <c r="E93" s="121" t="s">
        <v>348</v>
      </c>
      <c r="F93" s="121">
        <v>0.01</v>
      </c>
      <c r="G93" s="121" t="s">
        <v>348</v>
      </c>
      <c r="H93" s="121">
        <v>0.02</v>
      </c>
      <c r="I93" s="121" t="s">
        <v>4</v>
      </c>
      <c r="J93" s="121" t="s">
        <v>4</v>
      </c>
      <c r="K93" s="121" t="s">
        <v>348</v>
      </c>
      <c r="L93" s="121" t="s">
        <v>348</v>
      </c>
      <c r="M93" s="121">
        <v>9.7129999999999992</v>
      </c>
      <c r="N93" s="121" t="s">
        <v>348</v>
      </c>
      <c r="O93" s="121">
        <v>6.1580000000000004</v>
      </c>
      <c r="P93" s="121">
        <v>0.60399999999999998</v>
      </c>
      <c r="Q93" s="121" t="s">
        <v>348</v>
      </c>
      <c r="R93" s="121" t="s">
        <v>348</v>
      </c>
      <c r="S93" s="121" t="s">
        <v>348</v>
      </c>
      <c r="T93" s="121" t="s">
        <v>348</v>
      </c>
      <c r="U93" s="121" t="s">
        <v>348</v>
      </c>
      <c r="V93" s="121" t="s">
        <v>348</v>
      </c>
      <c r="W93" s="121" t="s">
        <v>348</v>
      </c>
      <c r="X93" s="121" t="s">
        <v>348</v>
      </c>
      <c r="Y93" s="121" t="s">
        <v>348</v>
      </c>
      <c r="Z93" s="121" t="s">
        <v>348</v>
      </c>
      <c r="AA93" s="121">
        <v>3.9E-2</v>
      </c>
      <c r="AB93" s="121">
        <v>2.3E-2</v>
      </c>
      <c r="AC93" s="121">
        <v>0.56200000000000006</v>
      </c>
      <c r="AD93" s="121" t="s">
        <v>4</v>
      </c>
      <c r="AE93" s="121" t="s">
        <v>4</v>
      </c>
      <c r="AF93" s="121" t="s">
        <v>4</v>
      </c>
      <c r="AG93" s="121" t="s">
        <v>4</v>
      </c>
      <c r="AH93" s="121" t="s">
        <v>4</v>
      </c>
      <c r="AI93" s="121" t="s">
        <v>4</v>
      </c>
      <c r="AJ93" s="121">
        <v>0.81299999999999994</v>
      </c>
      <c r="AK93" s="121" t="s">
        <v>348</v>
      </c>
      <c r="AL93" s="121">
        <v>1.038</v>
      </c>
      <c r="AM93" s="121" t="s">
        <v>348</v>
      </c>
      <c r="AN93" s="121" t="s">
        <v>348</v>
      </c>
      <c r="AO93" s="121" t="s">
        <v>348</v>
      </c>
      <c r="AP93" s="121" t="s">
        <v>348</v>
      </c>
      <c r="AQ93" s="128">
        <v>0.129</v>
      </c>
      <c r="AR93" s="128">
        <v>0.14099999999999999</v>
      </c>
      <c r="AS93" s="121" t="s">
        <v>348</v>
      </c>
      <c r="AT93" s="121" t="s">
        <v>348</v>
      </c>
      <c r="AU93" s="121" t="s">
        <v>348</v>
      </c>
      <c r="AV93" s="121" t="s">
        <v>348</v>
      </c>
      <c r="AW93" s="121" t="s">
        <v>348</v>
      </c>
      <c r="AX93" s="121">
        <v>0.313</v>
      </c>
      <c r="AY93" s="121" t="s">
        <v>348</v>
      </c>
      <c r="AZ93" s="121" t="s">
        <v>348</v>
      </c>
      <c r="BA93" s="121" t="s">
        <v>348</v>
      </c>
      <c r="BB93" s="121" t="s">
        <v>348</v>
      </c>
      <c r="BC93" s="121" t="s">
        <v>348</v>
      </c>
      <c r="BD93" s="121" t="s">
        <v>348</v>
      </c>
      <c r="BE93" s="121" t="s">
        <v>348</v>
      </c>
      <c r="BF93" s="121" t="s">
        <v>348</v>
      </c>
      <c r="BG93" s="121" t="s">
        <v>348</v>
      </c>
      <c r="BH93" s="121" t="s">
        <v>348</v>
      </c>
      <c r="BI93" s="121" t="s">
        <v>348</v>
      </c>
      <c r="BJ93" s="121" t="s">
        <v>348</v>
      </c>
      <c r="BK93" s="121" t="s">
        <v>348</v>
      </c>
      <c r="BL93" s="121" t="s">
        <v>348</v>
      </c>
      <c r="BM93" s="121" t="s">
        <v>348</v>
      </c>
      <c r="BN93" s="121" t="s">
        <v>348</v>
      </c>
      <c r="BO93" s="121">
        <v>0.72699999999999998</v>
      </c>
      <c r="BP93" s="121" t="s">
        <v>348</v>
      </c>
      <c r="BQ93" s="121">
        <v>4.8000000000000001E-2</v>
      </c>
      <c r="BR93" s="121" t="s">
        <v>4</v>
      </c>
      <c r="BS93" s="121" t="s">
        <v>348</v>
      </c>
      <c r="BT93" s="121" t="s">
        <v>4</v>
      </c>
      <c r="BU93" s="121" t="s">
        <v>4</v>
      </c>
      <c r="BV93" s="121" t="s">
        <v>4</v>
      </c>
      <c r="BW93" s="121" t="s">
        <v>4</v>
      </c>
      <c r="BX93" s="121" t="s">
        <v>4</v>
      </c>
      <c r="BY93" s="121" t="s">
        <v>4</v>
      </c>
      <c r="BZ93" s="121" t="s">
        <v>4</v>
      </c>
      <c r="CA93" s="121" t="s">
        <v>4</v>
      </c>
      <c r="CB93" s="121" t="s">
        <v>4</v>
      </c>
      <c r="CC93" s="121" t="s">
        <v>4</v>
      </c>
      <c r="CD93" s="121" t="s">
        <v>4</v>
      </c>
      <c r="CE93" s="121" t="s">
        <v>4</v>
      </c>
      <c r="CF93" s="121" t="s">
        <v>4</v>
      </c>
      <c r="CG93" s="121" t="s">
        <v>4</v>
      </c>
      <c r="CH93" s="121">
        <v>2</v>
      </c>
      <c r="CI93" s="121">
        <v>4</v>
      </c>
      <c r="CJ93" s="121">
        <v>5</v>
      </c>
      <c r="CK93" s="121" t="s">
        <v>348</v>
      </c>
      <c r="CL93">
        <f t="shared" si="2"/>
        <v>0.01</v>
      </c>
      <c r="CM93">
        <f t="shared" si="3"/>
        <v>9.7129999999999992</v>
      </c>
    </row>
    <row r="94" spans="1:91" s="121" customFormat="1" x14ac:dyDescent="0.25">
      <c r="A94" s="122">
        <v>44518</v>
      </c>
      <c r="B94" s="51" t="s">
        <v>802</v>
      </c>
      <c r="C94" s="51" t="s">
        <v>354</v>
      </c>
      <c r="D94" s="121">
        <v>44518</v>
      </c>
      <c r="E94" s="121" t="s">
        <v>348</v>
      </c>
      <c r="F94" s="121">
        <v>1.4999999999999999E-2</v>
      </c>
      <c r="G94" s="121" t="s">
        <v>348</v>
      </c>
      <c r="H94" s="121">
        <v>2.8000000000000001E-2</v>
      </c>
      <c r="I94" s="121" t="s">
        <v>4</v>
      </c>
      <c r="J94" s="121" t="s">
        <v>4</v>
      </c>
      <c r="K94" s="121" t="s">
        <v>348</v>
      </c>
      <c r="L94" s="121" t="s">
        <v>348</v>
      </c>
      <c r="M94" s="121">
        <v>3.1989999999999998</v>
      </c>
      <c r="N94" s="121" t="s">
        <v>348</v>
      </c>
      <c r="O94" s="121">
        <v>4.2789999999999999</v>
      </c>
      <c r="P94" s="121">
        <v>0.36399999999999999</v>
      </c>
      <c r="Q94" s="121" t="s">
        <v>348</v>
      </c>
      <c r="R94" s="121" t="s">
        <v>348</v>
      </c>
      <c r="S94" s="121" t="s">
        <v>348</v>
      </c>
      <c r="T94" s="121" t="s">
        <v>348</v>
      </c>
      <c r="U94" s="121" t="s">
        <v>348</v>
      </c>
      <c r="V94" s="121" t="s">
        <v>348</v>
      </c>
      <c r="W94" s="121" t="s">
        <v>348</v>
      </c>
      <c r="X94" s="121" t="s">
        <v>348</v>
      </c>
      <c r="Y94" s="121" t="s">
        <v>348</v>
      </c>
      <c r="Z94" s="121" t="s">
        <v>348</v>
      </c>
      <c r="AA94" s="121">
        <v>4.3000000000000003E-2</v>
      </c>
      <c r="AB94" s="121" t="s">
        <v>4</v>
      </c>
      <c r="AC94" s="121">
        <v>0.27400000000000002</v>
      </c>
      <c r="AD94" s="121" t="s">
        <v>4</v>
      </c>
      <c r="AE94" s="121" t="s">
        <v>4</v>
      </c>
      <c r="AF94" s="121" t="s">
        <v>4</v>
      </c>
      <c r="AG94" s="121" t="s">
        <v>4</v>
      </c>
      <c r="AH94" s="121" t="s">
        <v>4</v>
      </c>
      <c r="AI94" s="121" t="s">
        <v>4</v>
      </c>
      <c r="AJ94" s="121">
        <v>2.68</v>
      </c>
      <c r="AK94" s="121" t="s">
        <v>348</v>
      </c>
      <c r="AL94" s="121">
        <v>0.88300000000000001</v>
      </c>
      <c r="AM94" s="121" t="s">
        <v>348</v>
      </c>
      <c r="AN94" s="121" t="s">
        <v>348</v>
      </c>
      <c r="AO94" s="121" t="s">
        <v>348</v>
      </c>
      <c r="AP94" s="121" t="s">
        <v>348</v>
      </c>
      <c r="AQ94" s="121">
        <v>0.13700000000000001</v>
      </c>
      <c r="AR94" s="121">
        <v>9.8000000000000004E-2</v>
      </c>
      <c r="AS94" s="121" t="s">
        <v>348</v>
      </c>
      <c r="AT94" s="121" t="s">
        <v>348</v>
      </c>
      <c r="AU94" s="121" t="s">
        <v>348</v>
      </c>
      <c r="AV94" s="121" t="s">
        <v>348</v>
      </c>
      <c r="AW94" s="121" t="s">
        <v>348</v>
      </c>
      <c r="AX94" s="121" t="s">
        <v>4</v>
      </c>
      <c r="AY94" s="121" t="s">
        <v>348</v>
      </c>
      <c r="AZ94" s="121" t="s">
        <v>348</v>
      </c>
      <c r="BA94" s="121" t="s">
        <v>348</v>
      </c>
      <c r="BB94" s="121" t="s">
        <v>348</v>
      </c>
      <c r="BC94" s="121" t="s">
        <v>348</v>
      </c>
      <c r="BD94" s="121" t="s">
        <v>348</v>
      </c>
      <c r="BE94" s="121" t="s">
        <v>348</v>
      </c>
      <c r="BF94" s="121" t="s">
        <v>348</v>
      </c>
      <c r="BG94" s="121" t="s">
        <v>348</v>
      </c>
      <c r="BH94" s="121" t="s">
        <v>348</v>
      </c>
      <c r="BI94" s="121" t="s">
        <v>348</v>
      </c>
      <c r="BJ94" s="121" t="s">
        <v>348</v>
      </c>
      <c r="BK94" s="121" t="s">
        <v>348</v>
      </c>
      <c r="BL94" s="121" t="s">
        <v>348</v>
      </c>
      <c r="BM94" s="121" t="s">
        <v>348</v>
      </c>
      <c r="BN94" s="121" t="s">
        <v>348</v>
      </c>
      <c r="BO94" s="121">
        <v>0.36799999999999999</v>
      </c>
      <c r="BP94" s="121" t="s">
        <v>348</v>
      </c>
      <c r="BQ94" s="121">
        <v>6.9000000000000006E-2</v>
      </c>
      <c r="BR94" s="121" t="s">
        <v>4</v>
      </c>
      <c r="BS94" s="121" t="s">
        <v>348</v>
      </c>
      <c r="BT94" s="121" t="s">
        <v>4</v>
      </c>
      <c r="BU94" s="121" t="s">
        <v>4</v>
      </c>
      <c r="BV94" s="121" t="s">
        <v>4</v>
      </c>
      <c r="BW94" s="121" t="s">
        <v>4</v>
      </c>
      <c r="BX94" s="121" t="s">
        <v>4</v>
      </c>
      <c r="BY94" s="121" t="s">
        <v>4</v>
      </c>
      <c r="BZ94" s="121" t="s">
        <v>4</v>
      </c>
      <c r="CA94" s="121" t="s">
        <v>4</v>
      </c>
      <c r="CB94" s="121" t="s">
        <v>4</v>
      </c>
      <c r="CC94" s="121" t="s">
        <v>4</v>
      </c>
      <c r="CD94" s="121" t="s">
        <v>4</v>
      </c>
      <c r="CE94" s="121" t="s">
        <v>4</v>
      </c>
      <c r="CF94" s="121" t="s">
        <v>4</v>
      </c>
      <c r="CG94" s="121" t="s">
        <v>4</v>
      </c>
      <c r="CH94" s="121">
        <v>2</v>
      </c>
      <c r="CI94" s="121">
        <v>4</v>
      </c>
      <c r="CJ94" s="121">
        <v>5</v>
      </c>
      <c r="CK94" s="121" t="s">
        <v>348</v>
      </c>
      <c r="CL94">
        <f t="shared" si="2"/>
        <v>1.4999999999999999E-2</v>
      </c>
      <c r="CM94">
        <f t="shared" si="3"/>
        <v>4.2789999999999999</v>
      </c>
    </row>
    <row r="95" spans="1:91" s="121" customFormat="1" x14ac:dyDescent="0.25">
      <c r="A95" s="122">
        <v>44518</v>
      </c>
      <c r="B95" s="51" t="s">
        <v>803</v>
      </c>
      <c r="C95" s="51" t="s">
        <v>356</v>
      </c>
      <c r="D95" s="121">
        <v>44518</v>
      </c>
      <c r="E95" s="121" t="s">
        <v>348</v>
      </c>
      <c r="F95" s="121">
        <v>7.0000000000000001E-3</v>
      </c>
      <c r="G95" s="121" t="s">
        <v>348</v>
      </c>
      <c r="H95" s="121">
        <v>1.7000000000000001E-2</v>
      </c>
      <c r="I95" s="121" t="s">
        <v>4</v>
      </c>
      <c r="J95" s="121" t="s">
        <v>4</v>
      </c>
      <c r="K95" s="121" t="s">
        <v>348</v>
      </c>
      <c r="L95" s="121" t="s">
        <v>348</v>
      </c>
      <c r="M95" s="121">
        <v>3.2269999999999999</v>
      </c>
      <c r="N95" s="121" t="s">
        <v>348</v>
      </c>
      <c r="O95" s="121">
        <v>4.508</v>
      </c>
      <c r="P95" s="121">
        <v>0.45899999999999996</v>
      </c>
      <c r="Q95" s="121" t="s">
        <v>348</v>
      </c>
      <c r="R95" s="121" t="s">
        <v>348</v>
      </c>
      <c r="S95" s="121" t="s">
        <v>348</v>
      </c>
      <c r="T95" s="121" t="s">
        <v>348</v>
      </c>
      <c r="U95" s="121" t="s">
        <v>348</v>
      </c>
      <c r="V95" s="121" t="s">
        <v>348</v>
      </c>
      <c r="W95" s="121" t="s">
        <v>348</v>
      </c>
      <c r="X95" s="121" t="s">
        <v>348</v>
      </c>
      <c r="Y95" s="121" t="s">
        <v>348</v>
      </c>
      <c r="Z95" s="121" t="s">
        <v>348</v>
      </c>
      <c r="AA95" s="121">
        <v>4.2000000000000003E-2</v>
      </c>
      <c r="AB95" s="121" t="s">
        <v>4</v>
      </c>
      <c r="AC95" s="121">
        <v>0.28000000000000003</v>
      </c>
      <c r="AD95" s="121" t="s">
        <v>4</v>
      </c>
      <c r="AE95" s="121" t="s">
        <v>4</v>
      </c>
      <c r="AF95" s="121" t="s">
        <v>4</v>
      </c>
      <c r="AG95" s="121" t="s">
        <v>4</v>
      </c>
      <c r="AH95" s="121" t="s">
        <v>4</v>
      </c>
      <c r="AI95" s="121" t="s">
        <v>4</v>
      </c>
      <c r="AJ95" s="121">
        <v>3.1179999999999999</v>
      </c>
      <c r="AK95" s="121" t="s">
        <v>348</v>
      </c>
      <c r="AL95" s="121">
        <v>0.76700000000000002</v>
      </c>
      <c r="AM95" s="121" t="s">
        <v>348</v>
      </c>
      <c r="AN95" s="121" t="s">
        <v>348</v>
      </c>
      <c r="AO95" s="121" t="s">
        <v>348</v>
      </c>
      <c r="AP95" s="121" t="s">
        <v>348</v>
      </c>
      <c r="AQ95" s="128">
        <v>0.152</v>
      </c>
      <c r="AR95" s="128">
        <v>0.12</v>
      </c>
      <c r="AS95" s="121" t="s">
        <v>348</v>
      </c>
      <c r="AT95" s="121" t="s">
        <v>348</v>
      </c>
      <c r="AU95" s="121" t="s">
        <v>348</v>
      </c>
      <c r="AV95" s="121" t="s">
        <v>348</v>
      </c>
      <c r="AW95" s="121" t="s">
        <v>348</v>
      </c>
      <c r="AX95" s="121" t="s">
        <v>4</v>
      </c>
      <c r="AY95" s="121" t="s">
        <v>348</v>
      </c>
      <c r="AZ95" s="121" t="s">
        <v>348</v>
      </c>
      <c r="BA95" s="121" t="s">
        <v>348</v>
      </c>
      <c r="BB95" s="121" t="s">
        <v>348</v>
      </c>
      <c r="BC95" s="121" t="s">
        <v>348</v>
      </c>
      <c r="BD95" s="121" t="s">
        <v>348</v>
      </c>
      <c r="BE95" s="121" t="s">
        <v>348</v>
      </c>
      <c r="BF95" s="121" t="s">
        <v>348</v>
      </c>
      <c r="BG95" s="121" t="s">
        <v>348</v>
      </c>
      <c r="BH95" s="121" t="s">
        <v>348</v>
      </c>
      <c r="BI95" s="121" t="s">
        <v>348</v>
      </c>
      <c r="BJ95" s="121" t="s">
        <v>348</v>
      </c>
      <c r="BK95" s="121" t="s">
        <v>348</v>
      </c>
      <c r="BL95" s="121" t="s">
        <v>348</v>
      </c>
      <c r="BM95" s="121" t="s">
        <v>348</v>
      </c>
      <c r="BN95" s="121" t="s">
        <v>348</v>
      </c>
      <c r="BO95" s="121">
        <v>0.46200000000000002</v>
      </c>
      <c r="BP95" s="121" t="s">
        <v>348</v>
      </c>
      <c r="BQ95" s="121">
        <v>6.7000000000000004E-2</v>
      </c>
      <c r="BR95" s="121" t="s">
        <v>4</v>
      </c>
      <c r="BS95" s="121" t="s">
        <v>348</v>
      </c>
      <c r="BT95" s="121" t="s">
        <v>4</v>
      </c>
      <c r="BU95" s="121" t="s">
        <v>4</v>
      </c>
      <c r="BV95" s="121" t="s">
        <v>4</v>
      </c>
      <c r="BW95" s="121" t="s">
        <v>4</v>
      </c>
      <c r="BX95" s="121" t="s">
        <v>4</v>
      </c>
      <c r="BY95" s="121" t="s">
        <v>4</v>
      </c>
      <c r="BZ95" s="121" t="s">
        <v>4</v>
      </c>
      <c r="CA95" s="121" t="s">
        <v>4</v>
      </c>
      <c r="CB95" s="121" t="s">
        <v>4</v>
      </c>
      <c r="CC95" s="121" t="s">
        <v>4</v>
      </c>
      <c r="CD95" s="121" t="s">
        <v>4</v>
      </c>
      <c r="CE95" s="121" t="s">
        <v>4</v>
      </c>
      <c r="CF95" s="121" t="s">
        <v>4</v>
      </c>
      <c r="CG95" s="121" t="s">
        <v>4</v>
      </c>
      <c r="CH95" s="121">
        <v>2</v>
      </c>
      <c r="CI95" s="121">
        <v>4</v>
      </c>
      <c r="CJ95" s="121">
        <v>5</v>
      </c>
      <c r="CK95" s="121" t="s">
        <v>348</v>
      </c>
      <c r="CL95">
        <f t="shared" si="2"/>
        <v>7.0000000000000001E-3</v>
      </c>
      <c r="CM95">
        <f t="shared" si="3"/>
        <v>4.508</v>
      </c>
    </row>
    <row r="96" spans="1:91" s="70" customFormat="1" x14ac:dyDescent="0.25">
      <c r="A96" s="123">
        <v>44518</v>
      </c>
      <c r="B96" s="51" t="s">
        <v>804</v>
      </c>
      <c r="C96" s="51" t="s">
        <v>358</v>
      </c>
      <c r="D96" s="70">
        <v>44518</v>
      </c>
      <c r="E96" s="70" t="s">
        <v>348</v>
      </c>
      <c r="F96" s="70">
        <v>6.0000000000000001E-3</v>
      </c>
      <c r="G96" s="70" t="s">
        <v>348</v>
      </c>
      <c r="H96" s="70">
        <v>0.52100000000000002</v>
      </c>
      <c r="I96" s="70">
        <v>0.55100000000000005</v>
      </c>
      <c r="J96" s="70">
        <v>0.90500000000000003</v>
      </c>
      <c r="K96" s="70" t="s">
        <v>348</v>
      </c>
      <c r="L96" s="70" t="s">
        <v>348</v>
      </c>
      <c r="M96" s="70">
        <v>0.80100000000000005</v>
      </c>
      <c r="N96" s="70" t="s">
        <v>348</v>
      </c>
      <c r="O96" s="70">
        <v>2.823</v>
      </c>
      <c r="P96" s="70">
        <v>0.248</v>
      </c>
      <c r="Q96" s="70" t="s">
        <v>348</v>
      </c>
      <c r="R96" s="70" t="s">
        <v>348</v>
      </c>
      <c r="S96" s="70" t="s">
        <v>348</v>
      </c>
      <c r="T96" s="70" t="s">
        <v>348</v>
      </c>
      <c r="U96" s="70" t="s">
        <v>348</v>
      </c>
      <c r="V96" s="70" t="s">
        <v>348</v>
      </c>
      <c r="W96" s="70" t="s">
        <v>348</v>
      </c>
      <c r="X96" s="70" t="s">
        <v>348</v>
      </c>
      <c r="Y96" s="70" t="s">
        <v>348</v>
      </c>
      <c r="Z96" s="70" t="s">
        <v>348</v>
      </c>
      <c r="AA96" s="70">
        <v>2.4E-2</v>
      </c>
      <c r="AB96" s="70" t="s">
        <v>4</v>
      </c>
      <c r="AC96" s="70">
        <v>7.8999999999999987E-2</v>
      </c>
      <c r="AD96" s="70" t="s">
        <v>4</v>
      </c>
      <c r="AE96" s="70" t="s">
        <v>4</v>
      </c>
      <c r="AF96" s="70" t="s">
        <v>4</v>
      </c>
      <c r="AG96" s="70" t="s">
        <v>4</v>
      </c>
      <c r="AH96" s="70" t="s">
        <v>4</v>
      </c>
      <c r="AI96" s="70" t="s">
        <v>4</v>
      </c>
      <c r="AJ96" s="70">
        <v>11.602</v>
      </c>
      <c r="AK96" s="70" t="s">
        <v>348</v>
      </c>
      <c r="AL96" s="70">
        <v>0.93</v>
      </c>
      <c r="AM96" s="70" t="s">
        <v>348</v>
      </c>
      <c r="AN96" s="70" t="s">
        <v>348</v>
      </c>
      <c r="AO96" s="70" t="s">
        <v>348</v>
      </c>
      <c r="AP96" s="70" t="s">
        <v>348</v>
      </c>
      <c r="AQ96" s="70">
        <v>0.115</v>
      </c>
      <c r="AR96" s="70">
        <v>0.17499999999999999</v>
      </c>
      <c r="AS96" s="70" t="s">
        <v>348</v>
      </c>
      <c r="AT96" s="70" t="s">
        <v>348</v>
      </c>
      <c r="AU96" s="70" t="s">
        <v>348</v>
      </c>
      <c r="AV96" s="70" t="s">
        <v>348</v>
      </c>
      <c r="AW96" s="70" t="s">
        <v>348</v>
      </c>
      <c r="AX96" s="70" t="s">
        <v>4</v>
      </c>
      <c r="AY96" s="70" t="s">
        <v>348</v>
      </c>
      <c r="AZ96" s="70" t="s">
        <v>348</v>
      </c>
      <c r="BA96" s="70" t="s">
        <v>348</v>
      </c>
      <c r="BB96" s="70" t="s">
        <v>348</v>
      </c>
      <c r="BC96" s="70" t="s">
        <v>348</v>
      </c>
      <c r="BD96" s="70" t="s">
        <v>348</v>
      </c>
      <c r="BE96" s="70" t="s">
        <v>348</v>
      </c>
      <c r="BF96" s="70" t="s">
        <v>348</v>
      </c>
      <c r="BG96" s="70" t="s">
        <v>348</v>
      </c>
      <c r="BH96" s="70" t="s">
        <v>348</v>
      </c>
      <c r="BI96" s="70" t="s">
        <v>348</v>
      </c>
      <c r="BJ96" s="70" t="s">
        <v>348</v>
      </c>
      <c r="BK96" s="70" t="s">
        <v>348</v>
      </c>
      <c r="BL96" s="70" t="s">
        <v>348</v>
      </c>
      <c r="BM96" s="70" t="s">
        <v>348</v>
      </c>
      <c r="BN96" s="70" t="s">
        <v>348</v>
      </c>
      <c r="BO96" s="70">
        <v>0.42399999999999999</v>
      </c>
      <c r="BP96" s="70" t="s">
        <v>348</v>
      </c>
      <c r="BQ96" s="70">
        <v>0.106</v>
      </c>
      <c r="BR96" s="70" t="s">
        <v>4</v>
      </c>
      <c r="BS96" s="70" t="s">
        <v>348</v>
      </c>
      <c r="BT96" s="70" t="s">
        <v>4</v>
      </c>
      <c r="BU96" s="70" t="s">
        <v>4</v>
      </c>
      <c r="BV96" s="70" t="s">
        <v>4</v>
      </c>
      <c r="BW96" s="70" t="s">
        <v>4</v>
      </c>
      <c r="BX96" s="70" t="s">
        <v>4</v>
      </c>
      <c r="BY96" s="70" t="s">
        <v>4</v>
      </c>
      <c r="BZ96" s="70" t="s">
        <v>4</v>
      </c>
      <c r="CA96" s="70" t="s">
        <v>4</v>
      </c>
      <c r="CB96" s="70" t="s">
        <v>4</v>
      </c>
      <c r="CC96" s="70" t="s">
        <v>4</v>
      </c>
      <c r="CD96" s="70" t="s">
        <v>4</v>
      </c>
      <c r="CE96" s="70" t="s">
        <v>4</v>
      </c>
      <c r="CF96" s="70" t="s">
        <v>4</v>
      </c>
      <c r="CG96" s="70" t="s">
        <v>4</v>
      </c>
      <c r="CH96" s="70">
        <v>2</v>
      </c>
      <c r="CI96" s="70">
        <v>4</v>
      </c>
      <c r="CJ96" s="70">
        <v>5</v>
      </c>
      <c r="CK96" s="70" t="s">
        <v>348</v>
      </c>
      <c r="CL96">
        <f t="shared" si="2"/>
        <v>6.0000000000000001E-3</v>
      </c>
      <c r="CM96">
        <f t="shared" si="3"/>
        <v>11.602</v>
      </c>
    </row>
    <row r="97" spans="1:91" s="70" customFormat="1" ht="14.4" customHeight="1" x14ac:dyDescent="0.25">
      <c r="A97" s="123">
        <v>44518</v>
      </c>
      <c r="B97" s="51" t="s">
        <v>805</v>
      </c>
      <c r="C97" s="51" t="s">
        <v>360</v>
      </c>
      <c r="D97" s="70">
        <v>44518</v>
      </c>
      <c r="E97" s="70" t="s">
        <v>348</v>
      </c>
      <c r="F97" s="70">
        <v>1.9E-2</v>
      </c>
      <c r="G97" s="70" t="s">
        <v>348</v>
      </c>
      <c r="H97" s="70">
        <v>0.42799999999999999</v>
      </c>
      <c r="I97" s="70">
        <v>0.70899999999999996</v>
      </c>
      <c r="J97" s="70">
        <v>1.0780000000000001</v>
      </c>
      <c r="K97" s="70" t="s">
        <v>348</v>
      </c>
      <c r="L97" s="70" t="s">
        <v>348</v>
      </c>
      <c r="M97" s="70">
        <v>0.80400000000000005</v>
      </c>
      <c r="N97" s="70" t="s">
        <v>348</v>
      </c>
      <c r="O97" s="70">
        <v>3.23</v>
      </c>
      <c r="P97" s="70">
        <v>0.441</v>
      </c>
      <c r="Q97" s="70" t="s">
        <v>348</v>
      </c>
      <c r="R97" s="70" t="s">
        <v>348</v>
      </c>
      <c r="S97" s="70" t="s">
        <v>348</v>
      </c>
      <c r="T97" s="70" t="s">
        <v>348</v>
      </c>
      <c r="U97" s="70" t="s">
        <v>348</v>
      </c>
      <c r="V97" s="70" t="s">
        <v>348</v>
      </c>
      <c r="W97" s="70" t="s">
        <v>348</v>
      </c>
      <c r="X97" s="70" t="s">
        <v>348</v>
      </c>
      <c r="Y97" s="70" t="s">
        <v>348</v>
      </c>
      <c r="Z97" s="70" t="s">
        <v>348</v>
      </c>
      <c r="AA97" s="70">
        <v>3.4000000000000002E-2</v>
      </c>
      <c r="AB97" s="70" t="s">
        <v>4</v>
      </c>
      <c r="AC97" s="70">
        <v>7.0000000000000007E-2</v>
      </c>
      <c r="AD97" s="70" t="s">
        <v>4</v>
      </c>
      <c r="AE97" s="70" t="s">
        <v>4</v>
      </c>
      <c r="AF97" s="70" t="s">
        <v>4</v>
      </c>
      <c r="AG97" s="70" t="s">
        <v>4</v>
      </c>
      <c r="AH97" s="70" t="s">
        <v>4</v>
      </c>
      <c r="AI97" s="70" t="s">
        <v>4</v>
      </c>
      <c r="AJ97" s="70">
        <v>9.3949999999999996</v>
      </c>
      <c r="AK97" s="70" t="s">
        <v>348</v>
      </c>
      <c r="AL97" s="70">
        <v>0.4</v>
      </c>
      <c r="AM97" s="70" t="s">
        <v>348</v>
      </c>
      <c r="AN97" s="70" t="s">
        <v>348</v>
      </c>
      <c r="AO97" s="70" t="s">
        <v>348</v>
      </c>
      <c r="AP97" s="70" t="s">
        <v>348</v>
      </c>
      <c r="AQ97" s="129">
        <v>0.108</v>
      </c>
      <c r="AR97" s="129">
        <v>0.11499999999999999</v>
      </c>
      <c r="AS97" s="70" t="s">
        <v>348</v>
      </c>
      <c r="AT97" s="70" t="s">
        <v>348</v>
      </c>
      <c r="AU97" s="70" t="s">
        <v>348</v>
      </c>
      <c r="AV97" s="70" t="s">
        <v>348</v>
      </c>
      <c r="AW97" s="70" t="s">
        <v>348</v>
      </c>
      <c r="AX97" s="70" t="s">
        <v>4</v>
      </c>
      <c r="AY97" s="70" t="s">
        <v>348</v>
      </c>
      <c r="AZ97" s="70" t="s">
        <v>348</v>
      </c>
      <c r="BA97" s="70" t="s">
        <v>348</v>
      </c>
      <c r="BB97" s="70" t="s">
        <v>348</v>
      </c>
      <c r="BC97" s="70" t="s">
        <v>348</v>
      </c>
      <c r="BD97" s="70" t="s">
        <v>348</v>
      </c>
      <c r="BE97" s="70" t="s">
        <v>348</v>
      </c>
      <c r="BF97" s="70" t="s">
        <v>348</v>
      </c>
      <c r="BG97" s="70" t="s">
        <v>348</v>
      </c>
      <c r="BH97" s="70" t="s">
        <v>348</v>
      </c>
      <c r="BI97" s="70" t="s">
        <v>348</v>
      </c>
      <c r="BJ97" s="70" t="s">
        <v>348</v>
      </c>
      <c r="BK97" s="70" t="s">
        <v>348</v>
      </c>
      <c r="BL97" s="70" t="s">
        <v>348</v>
      </c>
      <c r="BM97" s="70" t="s">
        <v>348</v>
      </c>
      <c r="BN97" s="70" t="s">
        <v>348</v>
      </c>
      <c r="BO97" s="70">
        <v>0.38900000000000001</v>
      </c>
      <c r="BP97" s="70" t="s">
        <v>348</v>
      </c>
      <c r="BQ97" s="70">
        <v>0.124</v>
      </c>
      <c r="BR97" s="70" t="s">
        <v>4</v>
      </c>
      <c r="BS97" s="70" t="s">
        <v>348</v>
      </c>
      <c r="BT97" s="70" t="s">
        <v>4</v>
      </c>
      <c r="BU97" s="70" t="s">
        <v>4</v>
      </c>
      <c r="BV97" s="70" t="s">
        <v>4</v>
      </c>
      <c r="BW97" s="70" t="s">
        <v>4</v>
      </c>
      <c r="BX97" s="70" t="s">
        <v>4</v>
      </c>
      <c r="BY97" s="70" t="s">
        <v>4</v>
      </c>
      <c r="BZ97" s="70" t="s">
        <v>4</v>
      </c>
      <c r="CA97" s="70" t="s">
        <v>4</v>
      </c>
      <c r="CB97" s="70" t="s">
        <v>4</v>
      </c>
      <c r="CC97" s="70" t="s">
        <v>4</v>
      </c>
      <c r="CD97" s="70" t="s">
        <v>4</v>
      </c>
      <c r="CE97" s="70" t="s">
        <v>4</v>
      </c>
      <c r="CF97" s="70" t="s">
        <v>4</v>
      </c>
      <c r="CG97" s="70" t="s">
        <v>4</v>
      </c>
      <c r="CH97" s="70">
        <v>2</v>
      </c>
      <c r="CI97" s="70">
        <v>4</v>
      </c>
      <c r="CJ97" s="70">
        <v>5</v>
      </c>
      <c r="CK97" s="70" t="s">
        <v>348</v>
      </c>
      <c r="CL97">
        <f t="shared" si="2"/>
        <v>1.9E-2</v>
      </c>
      <c r="CM97">
        <f t="shared" si="3"/>
        <v>9.3949999999999996</v>
      </c>
    </row>
    <row r="98" spans="1:91" s="70" customFormat="1" x14ac:dyDescent="0.25">
      <c r="A98" s="123">
        <v>44579</v>
      </c>
      <c r="B98" s="51" t="s">
        <v>806</v>
      </c>
      <c r="C98" s="51" t="s">
        <v>362</v>
      </c>
      <c r="D98" s="70">
        <v>44579</v>
      </c>
      <c r="E98" s="70" t="s">
        <v>348</v>
      </c>
      <c r="F98" s="70">
        <v>4.0000000000000001E-3</v>
      </c>
      <c r="G98" s="70" t="s">
        <v>348</v>
      </c>
      <c r="H98" s="70">
        <v>0.14499999999999999</v>
      </c>
      <c r="I98" s="70" t="s">
        <v>4</v>
      </c>
      <c r="J98" s="70" t="s">
        <v>4</v>
      </c>
      <c r="K98" s="70" t="s">
        <v>348</v>
      </c>
      <c r="L98" s="70" t="s">
        <v>348</v>
      </c>
      <c r="M98" s="70">
        <v>5.9169999999999998</v>
      </c>
      <c r="N98" s="70" t="s">
        <v>348</v>
      </c>
      <c r="O98" s="70">
        <v>1.2430000000000001</v>
      </c>
      <c r="P98" s="70">
        <v>0.04</v>
      </c>
      <c r="Q98" s="70" t="s">
        <v>348</v>
      </c>
      <c r="R98" s="70" t="s">
        <v>348</v>
      </c>
      <c r="S98" s="70" t="s">
        <v>348</v>
      </c>
      <c r="T98" s="70" t="s">
        <v>348</v>
      </c>
      <c r="U98" s="70" t="s">
        <v>348</v>
      </c>
      <c r="V98" s="70" t="s">
        <v>348</v>
      </c>
      <c r="W98" s="70" t="s">
        <v>348</v>
      </c>
      <c r="X98" s="70" t="s">
        <v>348</v>
      </c>
      <c r="Y98" s="70" t="s">
        <v>348</v>
      </c>
      <c r="Z98" s="70" t="s">
        <v>348</v>
      </c>
      <c r="AA98" s="70">
        <v>0.50800000000000001</v>
      </c>
      <c r="AB98" s="70">
        <v>7.0000000000000001E-3</v>
      </c>
      <c r="AC98" s="70">
        <v>1.1400000000000001</v>
      </c>
      <c r="AD98" s="70" t="s">
        <v>4</v>
      </c>
      <c r="AE98" s="70" t="s">
        <v>4</v>
      </c>
      <c r="AF98" s="70" t="s">
        <v>4</v>
      </c>
      <c r="AG98" s="70" t="s">
        <v>4</v>
      </c>
      <c r="AH98" s="70" t="s">
        <v>4</v>
      </c>
      <c r="AI98" s="70" t="s">
        <v>4</v>
      </c>
      <c r="AJ98" s="70">
        <v>2.1680000000000001</v>
      </c>
      <c r="AK98" s="70" t="s">
        <v>348</v>
      </c>
      <c r="AL98" s="70">
        <v>0.44500000000000001</v>
      </c>
      <c r="AM98" s="70" t="s">
        <v>348</v>
      </c>
      <c r="AN98" s="70" t="s">
        <v>348</v>
      </c>
      <c r="AO98" s="70" t="s">
        <v>348</v>
      </c>
      <c r="AP98" s="70" t="s">
        <v>348</v>
      </c>
      <c r="AQ98" s="70">
        <v>0.65400000000000003</v>
      </c>
      <c r="AR98" s="70">
        <v>0.28299999999999997</v>
      </c>
      <c r="AS98" s="70" t="s">
        <v>348</v>
      </c>
      <c r="AT98" s="70" t="s">
        <v>348</v>
      </c>
      <c r="AU98" s="70" t="s">
        <v>348</v>
      </c>
      <c r="AV98" s="70" t="s">
        <v>348</v>
      </c>
      <c r="AW98" s="70" t="s">
        <v>348</v>
      </c>
      <c r="AX98" s="70">
        <v>1.911</v>
      </c>
      <c r="AY98" s="70" t="s">
        <v>348</v>
      </c>
      <c r="AZ98" s="70" t="s">
        <v>348</v>
      </c>
      <c r="BA98" s="70" t="s">
        <v>348</v>
      </c>
      <c r="BB98" s="70" t="s">
        <v>348</v>
      </c>
      <c r="BC98" s="70" t="s">
        <v>348</v>
      </c>
      <c r="BD98" s="70" t="s">
        <v>348</v>
      </c>
      <c r="BE98" s="70" t="s">
        <v>348</v>
      </c>
      <c r="BF98" s="70" t="s">
        <v>348</v>
      </c>
      <c r="BG98" s="70" t="s">
        <v>348</v>
      </c>
      <c r="BH98" s="70" t="s">
        <v>348</v>
      </c>
      <c r="BI98" s="70" t="s">
        <v>348</v>
      </c>
      <c r="BJ98" s="70" t="s">
        <v>348</v>
      </c>
      <c r="BK98" s="70" t="s">
        <v>348</v>
      </c>
      <c r="BL98" s="70" t="s">
        <v>348</v>
      </c>
      <c r="BM98" s="70" t="s">
        <v>348</v>
      </c>
      <c r="BN98" s="70" t="s">
        <v>348</v>
      </c>
      <c r="BO98" s="70">
        <v>0.67500000000000004</v>
      </c>
      <c r="BP98" s="70" t="s">
        <v>348</v>
      </c>
      <c r="BQ98" s="70">
        <v>0.32100000000000001</v>
      </c>
      <c r="BR98" s="70" t="s">
        <v>4</v>
      </c>
      <c r="BS98" s="70" t="s">
        <v>348</v>
      </c>
      <c r="BT98" s="70" t="s">
        <v>4</v>
      </c>
      <c r="BU98" s="70" t="s">
        <v>4</v>
      </c>
      <c r="BV98" s="70" t="s">
        <v>4</v>
      </c>
      <c r="BW98" s="70" t="s">
        <v>4</v>
      </c>
      <c r="BX98" s="70" t="s">
        <v>4</v>
      </c>
      <c r="BY98" s="70" t="s">
        <v>4</v>
      </c>
      <c r="BZ98" s="70" t="s">
        <v>4</v>
      </c>
      <c r="CA98" s="70" t="s">
        <v>4</v>
      </c>
      <c r="CB98" s="70" t="s">
        <v>4</v>
      </c>
      <c r="CC98" s="70" t="s">
        <v>4</v>
      </c>
      <c r="CD98" s="70" t="s">
        <v>4</v>
      </c>
      <c r="CE98" s="70" t="s">
        <v>4</v>
      </c>
      <c r="CF98" s="70" t="s">
        <v>4</v>
      </c>
      <c r="CG98" s="70" t="s">
        <v>4</v>
      </c>
      <c r="CH98" s="70">
        <v>2</v>
      </c>
      <c r="CI98" s="70">
        <v>4</v>
      </c>
      <c r="CJ98" s="70">
        <v>5</v>
      </c>
      <c r="CK98" s="70" t="s">
        <v>348</v>
      </c>
      <c r="CL98">
        <f t="shared" si="2"/>
        <v>4.0000000000000001E-3</v>
      </c>
      <c r="CM98">
        <f t="shared" si="3"/>
        <v>5.9169999999999998</v>
      </c>
    </row>
    <row r="99" spans="1:91" s="70" customFormat="1" x14ac:dyDescent="0.25">
      <c r="A99" s="123">
        <v>44579</v>
      </c>
      <c r="B99" s="51" t="s">
        <v>807</v>
      </c>
      <c r="C99" s="51" t="s">
        <v>364</v>
      </c>
      <c r="D99" s="70">
        <v>44579</v>
      </c>
      <c r="E99" s="70" t="s">
        <v>348</v>
      </c>
      <c r="F99" s="70">
        <v>2E-3</v>
      </c>
      <c r="G99" s="70" t="s">
        <v>348</v>
      </c>
      <c r="H99" s="70">
        <v>0.27500000000000002</v>
      </c>
      <c r="I99" s="70">
        <v>0.18</v>
      </c>
      <c r="J99" s="70">
        <v>0.47099999999999997</v>
      </c>
      <c r="K99" s="70" t="s">
        <v>348</v>
      </c>
      <c r="L99" s="70" t="s">
        <v>348</v>
      </c>
      <c r="M99" s="70">
        <v>7.6980000000000004</v>
      </c>
      <c r="N99" s="70" t="s">
        <v>348</v>
      </c>
      <c r="O99" s="70">
        <v>4.157</v>
      </c>
      <c r="P99" s="70">
        <v>0.15</v>
      </c>
      <c r="Q99" s="70" t="s">
        <v>348</v>
      </c>
      <c r="R99" s="70" t="s">
        <v>348</v>
      </c>
      <c r="S99" s="70" t="s">
        <v>348</v>
      </c>
      <c r="T99" s="70" t="s">
        <v>348</v>
      </c>
      <c r="U99" s="70" t="s">
        <v>348</v>
      </c>
      <c r="V99" s="70" t="s">
        <v>348</v>
      </c>
      <c r="W99" s="70" t="s">
        <v>348</v>
      </c>
      <c r="X99" s="70" t="s">
        <v>348</v>
      </c>
      <c r="Y99" s="70" t="s">
        <v>348</v>
      </c>
      <c r="Z99" s="70" t="s">
        <v>348</v>
      </c>
      <c r="AA99" s="70">
        <v>0.33799999999999997</v>
      </c>
      <c r="AB99" s="70" t="s">
        <v>4</v>
      </c>
      <c r="AC99" s="70">
        <v>9.0999999999999998E-2</v>
      </c>
      <c r="AD99" s="70" t="s">
        <v>4</v>
      </c>
      <c r="AE99" s="70" t="s">
        <v>4</v>
      </c>
      <c r="AF99" s="70" t="s">
        <v>4</v>
      </c>
      <c r="AG99" s="70" t="s">
        <v>4</v>
      </c>
      <c r="AH99" s="70" t="s">
        <v>4</v>
      </c>
      <c r="AI99" s="70" t="s">
        <v>4</v>
      </c>
      <c r="AJ99" s="70">
        <v>7.1849999999999996</v>
      </c>
      <c r="AK99" s="70" t="s">
        <v>348</v>
      </c>
      <c r="AL99" s="70">
        <v>0.83499999999999996</v>
      </c>
      <c r="AM99" s="70" t="s">
        <v>348</v>
      </c>
      <c r="AN99" s="70" t="s">
        <v>348</v>
      </c>
      <c r="AO99" s="70" t="s">
        <v>348</v>
      </c>
      <c r="AP99" s="70" t="s">
        <v>348</v>
      </c>
      <c r="AQ99" s="129">
        <v>3.1619999999999999</v>
      </c>
      <c r="AR99" s="129">
        <v>0.22399999999999998</v>
      </c>
      <c r="AS99" s="70" t="s">
        <v>348</v>
      </c>
      <c r="AT99" s="70" t="s">
        <v>348</v>
      </c>
      <c r="AU99" s="70" t="s">
        <v>348</v>
      </c>
      <c r="AV99" s="70" t="s">
        <v>348</v>
      </c>
      <c r="AW99" s="70" t="s">
        <v>348</v>
      </c>
      <c r="AX99" s="70">
        <v>1.784</v>
      </c>
      <c r="AY99" s="70" t="s">
        <v>348</v>
      </c>
      <c r="AZ99" s="70" t="s">
        <v>348</v>
      </c>
      <c r="BA99" s="70" t="s">
        <v>348</v>
      </c>
      <c r="BB99" s="70" t="s">
        <v>348</v>
      </c>
      <c r="BC99" s="70" t="s">
        <v>348</v>
      </c>
      <c r="BD99" s="70" t="s">
        <v>348</v>
      </c>
      <c r="BE99" s="70" t="s">
        <v>348</v>
      </c>
      <c r="BF99" s="70" t="s">
        <v>348</v>
      </c>
      <c r="BG99" s="70" t="s">
        <v>348</v>
      </c>
      <c r="BH99" s="70" t="s">
        <v>348</v>
      </c>
      <c r="BI99" s="70" t="s">
        <v>348</v>
      </c>
      <c r="BJ99" s="70" t="s">
        <v>348</v>
      </c>
      <c r="BK99" s="70" t="s">
        <v>348</v>
      </c>
      <c r="BL99" s="70" t="s">
        <v>348</v>
      </c>
      <c r="BM99" s="70" t="s">
        <v>348</v>
      </c>
      <c r="BN99" s="70" t="s">
        <v>348</v>
      </c>
      <c r="BO99" s="70">
        <v>0.41</v>
      </c>
      <c r="BP99" s="70" t="s">
        <v>348</v>
      </c>
      <c r="BQ99" s="70">
        <v>0.26700000000000002</v>
      </c>
      <c r="BR99" s="70" t="s">
        <v>4</v>
      </c>
      <c r="BS99" s="70" t="s">
        <v>348</v>
      </c>
      <c r="BT99" s="70" t="s">
        <v>4</v>
      </c>
      <c r="BU99" s="70" t="s">
        <v>4</v>
      </c>
      <c r="BV99" s="70" t="s">
        <v>4</v>
      </c>
      <c r="BW99" s="70" t="s">
        <v>4</v>
      </c>
      <c r="BX99" s="70" t="s">
        <v>4</v>
      </c>
      <c r="BY99" s="70" t="s">
        <v>4</v>
      </c>
      <c r="BZ99" s="70" t="s">
        <v>4</v>
      </c>
      <c r="CA99" s="70" t="s">
        <v>4</v>
      </c>
      <c r="CB99" s="70" t="s">
        <v>4</v>
      </c>
      <c r="CC99" s="70" t="s">
        <v>4</v>
      </c>
      <c r="CD99" s="70" t="s">
        <v>4</v>
      </c>
      <c r="CE99" s="70" t="s">
        <v>4</v>
      </c>
      <c r="CF99" s="70" t="s">
        <v>4</v>
      </c>
      <c r="CG99" s="70" t="s">
        <v>4</v>
      </c>
      <c r="CH99" s="70">
        <v>2</v>
      </c>
      <c r="CI99" s="70">
        <v>4</v>
      </c>
      <c r="CJ99" s="70">
        <v>5</v>
      </c>
      <c r="CK99" s="70" t="s">
        <v>348</v>
      </c>
      <c r="CL99">
        <f t="shared" si="2"/>
        <v>2E-3</v>
      </c>
      <c r="CM99">
        <f t="shared" si="3"/>
        <v>7.6980000000000004</v>
      </c>
    </row>
    <row r="100" spans="1:91" s="70" customFormat="1" x14ac:dyDescent="0.25">
      <c r="A100" s="123">
        <v>44579</v>
      </c>
      <c r="B100" s="51" t="s">
        <v>808</v>
      </c>
      <c r="C100" s="51" t="s">
        <v>366</v>
      </c>
      <c r="D100" s="70">
        <v>44579</v>
      </c>
      <c r="E100" s="70" t="s">
        <v>348</v>
      </c>
      <c r="F100" s="70">
        <v>0.01</v>
      </c>
      <c r="G100" s="70" t="s">
        <v>348</v>
      </c>
      <c r="H100" s="70">
        <v>8.2000000000000003E-2</v>
      </c>
      <c r="I100" s="70" t="s">
        <v>4</v>
      </c>
      <c r="J100" s="70" t="s">
        <v>4</v>
      </c>
      <c r="K100" s="70" t="s">
        <v>348</v>
      </c>
      <c r="L100" s="70" t="s">
        <v>348</v>
      </c>
      <c r="M100" s="70">
        <v>6.7809999999999997</v>
      </c>
      <c r="N100" s="70" t="s">
        <v>348</v>
      </c>
      <c r="O100" s="70">
        <v>2.3420000000000001</v>
      </c>
      <c r="P100" s="70">
        <v>3.6999999999999998E-2</v>
      </c>
      <c r="Q100" s="70" t="s">
        <v>348</v>
      </c>
      <c r="R100" s="70" t="s">
        <v>348</v>
      </c>
      <c r="S100" s="70" t="s">
        <v>348</v>
      </c>
      <c r="T100" s="70" t="s">
        <v>348</v>
      </c>
      <c r="U100" s="70" t="s">
        <v>348</v>
      </c>
      <c r="V100" s="70" t="s">
        <v>348</v>
      </c>
      <c r="W100" s="70" t="s">
        <v>348</v>
      </c>
      <c r="X100" s="70" t="s">
        <v>348</v>
      </c>
      <c r="Y100" s="70" t="s">
        <v>348</v>
      </c>
      <c r="Z100" s="70" t="s">
        <v>348</v>
      </c>
      <c r="AA100" s="70">
        <v>115.59099999999999</v>
      </c>
      <c r="AB100" s="70" t="s">
        <v>4</v>
      </c>
      <c r="AC100" s="70">
        <v>1.262</v>
      </c>
      <c r="AD100" s="70" t="s">
        <v>4</v>
      </c>
      <c r="AE100" s="70" t="s">
        <v>4</v>
      </c>
      <c r="AF100" s="70" t="s">
        <v>4</v>
      </c>
      <c r="AG100" s="70" t="s">
        <v>4</v>
      </c>
      <c r="AH100" s="70" t="s">
        <v>4</v>
      </c>
      <c r="AI100" s="70" t="s">
        <v>4</v>
      </c>
      <c r="AJ100" s="70">
        <v>72.05</v>
      </c>
      <c r="AK100" s="70" t="s">
        <v>348</v>
      </c>
      <c r="AL100" s="70">
        <v>0.73899999999999999</v>
      </c>
      <c r="AM100" s="70" t="s">
        <v>348</v>
      </c>
      <c r="AN100" s="70" t="s">
        <v>348</v>
      </c>
      <c r="AO100" s="70" t="s">
        <v>348</v>
      </c>
      <c r="AP100" s="70" t="s">
        <v>348</v>
      </c>
      <c r="AQ100" s="70">
        <v>0.312</v>
      </c>
      <c r="AR100" s="70">
        <v>0.32500000000000001</v>
      </c>
      <c r="AS100" s="70" t="s">
        <v>348</v>
      </c>
      <c r="AT100" s="70" t="s">
        <v>348</v>
      </c>
      <c r="AU100" s="70" t="s">
        <v>348</v>
      </c>
      <c r="AV100" s="70" t="s">
        <v>348</v>
      </c>
      <c r="AW100" s="70" t="s">
        <v>348</v>
      </c>
      <c r="AX100" s="70">
        <v>1006.5260000000001</v>
      </c>
      <c r="AY100" s="70" t="s">
        <v>348</v>
      </c>
      <c r="AZ100" s="70" t="s">
        <v>348</v>
      </c>
      <c r="BA100" s="70" t="s">
        <v>348</v>
      </c>
      <c r="BB100" s="70" t="s">
        <v>348</v>
      </c>
      <c r="BC100" s="70" t="s">
        <v>348</v>
      </c>
      <c r="BD100" s="70" t="s">
        <v>348</v>
      </c>
      <c r="BE100" s="70" t="s">
        <v>348</v>
      </c>
      <c r="BF100" s="70" t="s">
        <v>348</v>
      </c>
      <c r="BG100" s="70" t="s">
        <v>348</v>
      </c>
      <c r="BH100" s="70" t="s">
        <v>348</v>
      </c>
      <c r="BI100" s="70" t="s">
        <v>348</v>
      </c>
      <c r="BJ100" s="70" t="s">
        <v>348</v>
      </c>
      <c r="BK100" s="70" t="s">
        <v>348</v>
      </c>
      <c r="BL100" s="70" t="s">
        <v>348</v>
      </c>
      <c r="BM100" s="70" t="s">
        <v>348</v>
      </c>
      <c r="BN100" s="70" t="s">
        <v>348</v>
      </c>
      <c r="BO100" s="70">
        <v>0.64700000000000002</v>
      </c>
      <c r="BP100" s="70" t="s">
        <v>348</v>
      </c>
      <c r="BQ100" s="70">
        <v>0.25</v>
      </c>
      <c r="BR100" s="70" t="s">
        <v>4</v>
      </c>
      <c r="BS100" s="70" t="s">
        <v>348</v>
      </c>
      <c r="BT100" s="70" t="s">
        <v>4</v>
      </c>
      <c r="BU100" s="70" t="s">
        <v>4</v>
      </c>
      <c r="BV100" s="70" t="s">
        <v>4</v>
      </c>
      <c r="BW100" s="70" t="s">
        <v>4</v>
      </c>
      <c r="BX100" s="70" t="s">
        <v>4</v>
      </c>
      <c r="BY100" s="70" t="s">
        <v>4</v>
      </c>
      <c r="BZ100" s="70" t="s">
        <v>4</v>
      </c>
      <c r="CA100" s="70" t="s">
        <v>4</v>
      </c>
      <c r="CB100" s="70" t="s">
        <v>4</v>
      </c>
      <c r="CC100" s="70" t="s">
        <v>4</v>
      </c>
      <c r="CD100" s="70" t="s">
        <v>4</v>
      </c>
      <c r="CE100" s="70" t="s">
        <v>4</v>
      </c>
      <c r="CF100" s="70" t="s">
        <v>4</v>
      </c>
      <c r="CG100" s="70" t="s">
        <v>4</v>
      </c>
      <c r="CH100" s="70">
        <v>2</v>
      </c>
      <c r="CI100" s="70">
        <v>4</v>
      </c>
      <c r="CJ100" s="70">
        <v>5</v>
      </c>
      <c r="CK100" s="70" t="s">
        <v>348</v>
      </c>
      <c r="CL100">
        <f t="shared" si="2"/>
        <v>0.01</v>
      </c>
      <c r="CM100">
        <f t="shared" si="3"/>
        <v>1006.5260000000001</v>
      </c>
    </row>
    <row r="101" spans="1:91" s="70" customFormat="1" x14ac:dyDescent="0.25">
      <c r="A101" s="123">
        <v>44579</v>
      </c>
      <c r="B101" s="51" t="s">
        <v>809</v>
      </c>
      <c r="C101" s="51" t="s">
        <v>368</v>
      </c>
      <c r="D101" s="70">
        <v>44579</v>
      </c>
      <c r="E101" s="70" t="s">
        <v>348</v>
      </c>
      <c r="F101" s="70">
        <v>2E-3</v>
      </c>
      <c r="G101" s="70" t="s">
        <v>348</v>
      </c>
      <c r="H101" s="70">
        <v>0.13100000000000001</v>
      </c>
      <c r="I101" s="70" t="s">
        <v>4</v>
      </c>
      <c r="J101" s="70" t="s">
        <v>4</v>
      </c>
      <c r="K101" s="70" t="s">
        <v>348</v>
      </c>
      <c r="L101" s="70" t="s">
        <v>348</v>
      </c>
      <c r="M101" s="70">
        <v>7.6619999999999999</v>
      </c>
      <c r="N101" s="70" t="s">
        <v>348</v>
      </c>
      <c r="O101" s="70">
        <v>4.0919999999999996</v>
      </c>
      <c r="P101" s="70">
        <v>8.6000000000000007E-2</v>
      </c>
      <c r="Q101" s="70" t="s">
        <v>348</v>
      </c>
      <c r="R101" s="70" t="s">
        <v>348</v>
      </c>
      <c r="S101" s="70" t="s">
        <v>348</v>
      </c>
      <c r="T101" s="70" t="s">
        <v>348</v>
      </c>
      <c r="U101" s="70" t="s">
        <v>348</v>
      </c>
      <c r="V101" s="70" t="s">
        <v>348</v>
      </c>
      <c r="W101" s="70" t="s">
        <v>348</v>
      </c>
      <c r="X101" s="70" t="s">
        <v>348</v>
      </c>
      <c r="Y101" s="70" t="s">
        <v>348</v>
      </c>
      <c r="Z101" s="70" t="s">
        <v>348</v>
      </c>
      <c r="AA101" s="70">
        <v>5.4670000000000005</v>
      </c>
      <c r="AB101" s="70" t="s">
        <v>4</v>
      </c>
      <c r="AC101" s="70">
        <v>2.7999999999999997E-2</v>
      </c>
      <c r="AD101" s="70" t="s">
        <v>4</v>
      </c>
      <c r="AE101" s="70" t="s">
        <v>4</v>
      </c>
      <c r="AF101" s="70" t="s">
        <v>4</v>
      </c>
      <c r="AG101" s="70" t="s">
        <v>4</v>
      </c>
      <c r="AH101" s="70" t="s">
        <v>4</v>
      </c>
      <c r="AI101" s="70" t="s">
        <v>4</v>
      </c>
      <c r="AJ101" s="70">
        <v>21.550999999999998</v>
      </c>
      <c r="AK101" s="70" t="s">
        <v>348</v>
      </c>
      <c r="AL101" s="70">
        <v>1.056</v>
      </c>
      <c r="AM101" s="70" t="s">
        <v>348</v>
      </c>
      <c r="AN101" s="70" t="s">
        <v>348</v>
      </c>
      <c r="AO101" s="70" t="s">
        <v>348</v>
      </c>
      <c r="AP101" s="70" t="s">
        <v>348</v>
      </c>
      <c r="AQ101" s="129">
        <v>0.39</v>
      </c>
      <c r="AR101" s="129">
        <v>0.28699999999999998</v>
      </c>
      <c r="AS101" s="70" t="s">
        <v>348</v>
      </c>
      <c r="AT101" s="70" t="s">
        <v>348</v>
      </c>
      <c r="AU101" s="70" t="s">
        <v>348</v>
      </c>
      <c r="AV101" s="70" t="s">
        <v>348</v>
      </c>
      <c r="AW101" s="70" t="s">
        <v>348</v>
      </c>
      <c r="AX101" s="70">
        <v>30.273999999999997</v>
      </c>
      <c r="AY101" s="70" t="s">
        <v>348</v>
      </c>
      <c r="AZ101" s="70" t="s">
        <v>348</v>
      </c>
      <c r="BA101" s="70" t="s">
        <v>348</v>
      </c>
      <c r="BB101" s="70" t="s">
        <v>348</v>
      </c>
      <c r="BC101" s="70" t="s">
        <v>348</v>
      </c>
      <c r="BD101" s="70" t="s">
        <v>348</v>
      </c>
      <c r="BE101" s="70" t="s">
        <v>348</v>
      </c>
      <c r="BF101" s="70" t="s">
        <v>348</v>
      </c>
      <c r="BG101" s="70" t="s">
        <v>348</v>
      </c>
      <c r="BH101" s="70" t="s">
        <v>348</v>
      </c>
      <c r="BI101" s="70" t="s">
        <v>348</v>
      </c>
      <c r="BJ101" s="70" t="s">
        <v>348</v>
      </c>
      <c r="BK101" s="70" t="s">
        <v>348</v>
      </c>
      <c r="BL101" s="70" t="s">
        <v>348</v>
      </c>
      <c r="BM101" s="70" t="s">
        <v>348</v>
      </c>
      <c r="BN101" s="70" t="s">
        <v>348</v>
      </c>
      <c r="BO101" s="70">
        <v>0.44600000000000001</v>
      </c>
      <c r="BP101" s="70" t="s">
        <v>348</v>
      </c>
      <c r="BQ101" s="70">
        <v>0.13300000000000001</v>
      </c>
      <c r="BR101" s="70" t="s">
        <v>4</v>
      </c>
      <c r="BS101" s="70" t="s">
        <v>348</v>
      </c>
      <c r="BT101" s="70" t="s">
        <v>4</v>
      </c>
      <c r="BU101" s="70" t="s">
        <v>4</v>
      </c>
      <c r="BV101" s="70" t="s">
        <v>4</v>
      </c>
      <c r="BW101" s="70" t="s">
        <v>4</v>
      </c>
      <c r="BX101" s="70" t="s">
        <v>4</v>
      </c>
      <c r="BY101" s="70" t="s">
        <v>4</v>
      </c>
      <c r="BZ101" s="70" t="s">
        <v>4</v>
      </c>
      <c r="CA101" s="70" t="s">
        <v>4</v>
      </c>
      <c r="CB101" s="70" t="s">
        <v>4</v>
      </c>
      <c r="CC101" s="70" t="s">
        <v>4</v>
      </c>
      <c r="CD101" s="70" t="s">
        <v>4</v>
      </c>
      <c r="CE101" s="70" t="s">
        <v>4</v>
      </c>
      <c r="CF101" s="70" t="s">
        <v>4</v>
      </c>
      <c r="CG101" s="70" t="s">
        <v>4</v>
      </c>
      <c r="CH101" s="70">
        <v>2</v>
      </c>
      <c r="CI101" s="70">
        <v>4</v>
      </c>
      <c r="CJ101" s="70">
        <v>5</v>
      </c>
      <c r="CK101" s="70" t="s">
        <v>348</v>
      </c>
      <c r="CL101">
        <f t="shared" si="2"/>
        <v>2E-3</v>
      </c>
      <c r="CM101">
        <f t="shared" si="3"/>
        <v>30.273999999999997</v>
      </c>
    </row>
    <row r="102" spans="1:91" s="125" customFormat="1" x14ac:dyDescent="0.25">
      <c r="A102" s="124">
        <v>44551</v>
      </c>
      <c r="B102" s="51" t="s">
        <v>810</v>
      </c>
      <c r="C102" s="51" t="s">
        <v>662</v>
      </c>
      <c r="D102" s="125">
        <v>44551</v>
      </c>
      <c r="E102" s="125" t="s">
        <v>348</v>
      </c>
      <c r="F102" s="125">
        <v>8.9999999999999993E-3</v>
      </c>
      <c r="G102" s="125" t="s">
        <v>348</v>
      </c>
      <c r="H102" s="125" t="s">
        <v>4</v>
      </c>
      <c r="I102" s="125" t="s">
        <v>4</v>
      </c>
      <c r="J102" s="125" t="s">
        <v>4</v>
      </c>
      <c r="K102" s="125" t="s">
        <v>348</v>
      </c>
      <c r="L102" s="125" t="s">
        <v>348</v>
      </c>
      <c r="M102" s="125">
        <v>5.4669999999999996</v>
      </c>
      <c r="N102" s="125" t="s">
        <v>348</v>
      </c>
      <c r="O102" s="125">
        <v>2.3359999999999999</v>
      </c>
      <c r="P102" s="125">
        <v>0.13899999999999998</v>
      </c>
      <c r="Q102" s="125" t="s">
        <v>348</v>
      </c>
      <c r="R102" s="125" t="s">
        <v>348</v>
      </c>
      <c r="S102" s="125" t="s">
        <v>348</v>
      </c>
      <c r="T102" s="125" t="s">
        <v>348</v>
      </c>
      <c r="U102" s="125" t="s">
        <v>348</v>
      </c>
      <c r="V102" s="125" t="s">
        <v>348</v>
      </c>
      <c r="W102" s="125" t="s">
        <v>348</v>
      </c>
      <c r="X102" s="125" t="s">
        <v>348</v>
      </c>
      <c r="Y102" s="125" t="s">
        <v>348</v>
      </c>
      <c r="Z102" s="125" t="s">
        <v>348</v>
      </c>
      <c r="AA102" s="125">
        <v>2.7000000000000003E-2</v>
      </c>
      <c r="AB102" s="125">
        <v>2.5000000000000001E-2</v>
      </c>
      <c r="AC102" s="125">
        <v>0.18599999999999997</v>
      </c>
      <c r="AD102" s="125" t="s">
        <v>4</v>
      </c>
      <c r="AE102" s="125" t="s">
        <v>4</v>
      </c>
      <c r="AF102" s="125" t="s">
        <v>4</v>
      </c>
      <c r="AG102" s="125" t="s">
        <v>4</v>
      </c>
      <c r="AH102" s="125" t="s">
        <v>4</v>
      </c>
      <c r="AI102" s="125" t="s">
        <v>4</v>
      </c>
      <c r="AJ102" s="125">
        <v>0.222</v>
      </c>
      <c r="AK102" s="125" t="s">
        <v>348</v>
      </c>
      <c r="AL102" s="125">
        <v>0.44700000000000001</v>
      </c>
      <c r="AM102" s="125" t="s">
        <v>348</v>
      </c>
      <c r="AN102" s="125" t="s">
        <v>348</v>
      </c>
      <c r="AO102" s="125" t="s">
        <v>348</v>
      </c>
      <c r="AP102" s="125" t="s">
        <v>348</v>
      </c>
      <c r="AQ102" s="125">
        <v>8.2000000000000003E-2</v>
      </c>
      <c r="AR102" s="125">
        <v>9.8000000000000004E-2</v>
      </c>
      <c r="AS102" s="125" t="s">
        <v>348</v>
      </c>
      <c r="AT102" s="125" t="s">
        <v>348</v>
      </c>
      <c r="AU102" s="125" t="s">
        <v>348</v>
      </c>
      <c r="AV102" s="125" t="s">
        <v>348</v>
      </c>
      <c r="AW102" s="125" t="s">
        <v>348</v>
      </c>
      <c r="AX102" s="125">
        <v>0.23599999999999999</v>
      </c>
      <c r="AY102" s="125" t="s">
        <v>348</v>
      </c>
      <c r="AZ102" s="125" t="s">
        <v>348</v>
      </c>
      <c r="BA102" s="125" t="s">
        <v>348</v>
      </c>
      <c r="BB102" s="125" t="s">
        <v>348</v>
      </c>
      <c r="BC102" s="125" t="s">
        <v>348</v>
      </c>
      <c r="BD102" s="125" t="s">
        <v>348</v>
      </c>
      <c r="BE102" s="125" t="s">
        <v>348</v>
      </c>
      <c r="BF102" s="125" t="s">
        <v>348</v>
      </c>
      <c r="BG102" s="125" t="s">
        <v>348</v>
      </c>
      <c r="BH102" s="125" t="s">
        <v>348</v>
      </c>
      <c r="BI102" s="125" t="s">
        <v>348</v>
      </c>
      <c r="BJ102" s="125" t="s">
        <v>348</v>
      </c>
      <c r="BK102" s="125" t="s">
        <v>348</v>
      </c>
      <c r="BL102" s="125" t="s">
        <v>348</v>
      </c>
      <c r="BM102" s="125" t="s">
        <v>348</v>
      </c>
      <c r="BN102" s="125" t="s">
        <v>348</v>
      </c>
      <c r="BO102" s="125">
        <v>0.39300000000000002</v>
      </c>
      <c r="BP102" s="125" t="s">
        <v>348</v>
      </c>
      <c r="BQ102" s="125">
        <v>1.7000000000000001E-2</v>
      </c>
      <c r="BR102" s="125" t="s">
        <v>4</v>
      </c>
      <c r="BS102" s="125" t="s">
        <v>348</v>
      </c>
      <c r="BT102" s="125" t="s">
        <v>4</v>
      </c>
      <c r="BU102" s="125" t="s">
        <v>4</v>
      </c>
      <c r="BV102" s="125" t="s">
        <v>4</v>
      </c>
      <c r="BW102" s="125" t="s">
        <v>4</v>
      </c>
      <c r="BX102" s="125" t="s">
        <v>4</v>
      </c>
      <c r="BY102" s="125" t="s">
        <v>4</v>
      </c>
      <c r="BZ102" s="125" t="s">
        <v>4</v>
      </c>
      <c r="CA102" s="125" t="s">
        <v>4</v>
      </c>
      <c r="CB102" s="125" t="s">
        <v>4</v>
      </c>
      <c r="CC102" s="125" t="s">
        <v>4</v>
      </c>
      <c r="CD102" s="125" t="s">
        <v>4</v>
      </c>
      <c r="CE102" s="125" t="s">
        <v>4</v>
      </c>
      <c r="CF102" s="125" t="s">
        <v>4</v>
      </c>
      <c r="CG102" s="125" t="s">
        <v>4</v>
      </c>
      <c r="CH102" s="125">
        <v>2</v>
      </c>
      <c r="CI102" s="125">
        <v>4</v>
      </c>
      <c r="CJ102" s="125">
        <v>5</v>
      </c>
      <c r="CK102" s="125" t="s">
        <v>348</v>
      </c>
      <c r="CL102">
        <f t="shared" si="2"/>
        <v>8.9999999999999993E-3</v>
      </c>
      <c r="CM102">
        <f t="shared" si="3"/>
        <v>5.4669999999999996</v>
      </c>
    </row>
    <row r="103" spans="1:91" s="125" customFormat="1" x14ac:dyDescent="0.25">
      <c r="A103" s="124">
        <v>44551</v>
      </c>
      <c r="B103" s="51" t="s">
        <v>811</v>
      </c>
      <c r="C103" s="51" t="s">
        <v>372</v>
      </c>
      <c r="D103" s="125">
        <v>44551</v>
      </c>
      <c r="E103" s="125" t="s">
        <v>348</v>
      </c>
      <c r="F103" s="125">
        <v>8.9999999999999993E-3</v>
      </c>
      <c r="G103" s="125" t="s">
        <v>348</v>
      </c>
      <c r="H103" s="125" t="s">
        <v>4</v>
      </c>
      <c r="I103" s="125" t="s">
        <v>4</v>
      </c>
      <c r="J103" s="125" t="s">
        <v>4</v>
      </c>
      <c r="K103" s="125" t="s">
        <v>348</v>
      </c>
      <c r="L103" s="125" t="s">
        <v>348</v>
      </c>
      <c r="M103" s="125">
        <v>5.0259999999999998</v>
      </c>
      <c r="N103" s="125" t="s">
        <v>348</v>
      </c>
      <c r="O103" s="125">
        <v>3.879</v>
      </c>
      <c r="P103" s="125">
        <v>0.27699999999999997</v>
      </c>
      <c r="Q103" s="125" t="s">
        <v>348</v>
      </c>
      <c r="R103" s="125" t="s">
        <v>348</v>
      </c>
      <c r="S103" s="125" t="s">
        <v>348</v>
      </c>
      <c r="T103" s="125" t="s">
        <v>348</v>
      </c>
      <c r="U103" s="125" t="s">
        <v>348</v>
      </c>
      <c r="V103" s="125" t="s">
        <v>348</v>
      </c>
      <c r="W103" s="125" t="s">
        <v>348</v>
      </c>
      <c r="X103" s="125" t="s">
        <v>348</v>
      </c>
      <c r="Y103" s="125" t="s">
        <v>348</v>
      </c>
      <c r="Z103" s="125" t="s">
        <v>348</v>
      </c>
      <c r="AA103" s="125">
        <v>1.0999999999999999E-2</v>
      </c>
      <c r="AB103" s="125">
        <v>2.4E-2</v>
      </c>
      <c r="AC103" s="125">
        <v>0.20599999999999999</v>
      </c>
      <c r="AD103" s="125" t="s">
        <v>4</v>
      </c>
      <c r="AE103" s="125" t="s">
        <v>4</v>
      </c>
      <c r="AF103" s="125" t="s">
        <v>4</v>
      </c>
      <c r="AG103" s="125" t="s">
        <v>4</v>
      </c>
      <c r="AH103" s="125" t="s">
        <v>4</v>
      </c>
      <c r="AI103" s="125" t="s">
        <v>4</v>
      </c>
      <c r="AJ103" s="125">
        <v>0.26100000000000001</v>
      </c>
      <c r="AK103" s="125" t="s">
        <v>348</v>
      </c>
      <c r="AL103" s="125">
        <v>0.86899999999999999</v>
      </c>
      <c r="AM103" s="125" t="s">
        <v>348</v>
      </c>
      <c r="AN103" s="125" t="s">
        <v>348</v>
      </c>
      <c r="AO103" s="125" t="s">
        <v>348</v>
      </c>
      <c r="AP103" s="125" t="s">
        <v>348</v>
      </c>
      <c r="AQ103" s="130">
        <v>6.3E-2</v>
      </c>
      <c r="AR103" s="130">
        <v>8.8999999999999996E-2</v>
      </c>
      <c r="AS103" s="125" t="s">
        <v>348</v>
      </c>
      <c r="AT103" s="125" t="s">
        <v>348</v>
      </c>
      <c r="AU103" s="125" t="s">
        <v>348</v>
      </c>
      <c r="AV103" s="125" t="s">
        <v>348</v>
      </c>
      <c r="AW103" s="125" t="s">
        <v>348</v>
      </c>
      <c r="AX103" s="125">
        <v>0.192</v>
      </c>
      <c r="AY103" s="125" t="s">
        <v>348</v>
      </c>
      <c r="AZ103" s="125" t="s">
        <v>348</v>
      </c>
      <c r="BA103" s="125" t="s">
        <v>348</v>
      </c>
      <c r="BB103" s="125" t="s">
        <v>348</v>
      </c>
      <c r="BC103" s="125" t="s">
        <v>348</v>
      </c>
      <c r="BD103" s="125" t="s">
        <v>348</v>
      </c>
      <c r="BE103" s="125" t="s">
        <v>348</v>
      </c>
      <c r="BF103" s="125" t="s">
        <v>348</v>
      </c>
      <c r="BG103" s="125" t="s">
        <v>348</v>
      </c>
      <c r="BH103" s="125" t="s">
        <v>348</v>
      </c>
      <c r="BI103" s="125" t="s">
        <v>348</v>
      </c>
      <c r="BJ103" s="125" t="s">
        <v>348</v>
      </c>
      <c r="BK103" s="125" t="s">
        <v>348</v>
      </c>
      <c r="BL103" s="125" t="s">
        <v>348</v>
      </c>
      <c r="BM103" s="125" t="s">
        <v>348</v>
      </c>
      <c r="BN103" s="125" t="s">
        <v>348</v>
      </c>
      <c r="BO103" s="125">
        <v>0.39500000000000002</v>
      </c>
      <c r="BP103" s="125" t="s">
        <v>348</v>
      </c>
      <c r="BQ103" s="125">
        <v>2.3E-2</v>
      </c>
      <c r="BR103" s="125" t="s">
        <v>4</v>
      </c>
      <c r="BS103" s="125" t="s">
        <v>348</v>
      </c>
      <c r="BT103" s="125" t="s">
        <v>4</v>
      </c>
      <c r="BU103" s="125" t="s">
        <v>4</v>
      </c>
      <c r="BV103" s="125" t="s">
        <v>4</v>
      </c>
      <c r="BW103" s="125" t="s">
        <v>4</v>
      </c>
      <c r="BX103" s="125" t="s">
        <v>4</v>
      </c>
      <c r="BY103" s="125" t="s">
        <v>4</v>
      </c>
      <c r="BZ103" s="125" t="s">
        <v>4</v>
      </c>
      <c r="CA103" s="125" t="s">
        <v>4</v>
      </c>
      <c r="CB103" s="125" t="s">
        <v>4</v>
      </c>
      <c r="CC103" s="125" t="s">
        <v>4</v>
      </c>
      <c r="CD103" s="125" t="s">
        <v>4</v>
      </c>
      <c r="CE103" s="125" t="s">
        <v>4</v>
      </c>
      <c r="CF103" s="125" t="s">
        <v>4</v>
      </c>
      <c r="CG103" s="125" t="s">
        <v>4</v>
      </c>
      <c r="CH103" s="125">
        <v>2</v>
      </c>
      <c r="CI103" s="125">
        <v>4</v>
      </c>
      <c r="CJ103" s="125">
        <v>5</v>
      </c>
      <c r="CK103" s="125" t="s">
        <v>348</v>
      </c>
      <c r="CL103">
        <f t="shared" si="2"/>
        <v>8.9999999999999993E-3</v>
      </c>
      <c r="CM103">
        <f t="shared" si="3"/>
        <v>5.0259999999999998</v>
      </c>
    </row>
    <row r="104" spans="1:91" s="125" customFormat="1" x14ac:dyDescent="0.25">
      <c r="A104" s="124">
        <v>44551</v>
      </c>
      <c r="B104" s="51" t="s">
        <v>812</v>
      </c>
      <c r="C104" s="51" t="s">
        <v>374</v>
      </c>
      <c r="D104" s="125">
        <v>44551</v>
      </c>
      <c r="E104" s="125" t="s">
        <v>348</v>
      </c>
      <c r="F104" s="125">
        <v>0.01</v>
      </c>
      <c r="G104" s="125" t="s">
        <v>348</v>
      </c>
      <c r="H104" s="125" t="s">
        <v>4</v>
      </c>
      <c r="I104" s="125" t="s">
        <v>4</v>
      </c>
      <c r="J104" s="125" t="s">
        <v>4</v>
      </c>
      <c r="K104" s="125" t="s">
        <v>348</v>
      </c>
      <c r="L104" s="125" t="s">
        <v>348</v>
      </c>
      <c r="M104" s="125">
        <v>1.68</v>
      </c>
      <c r="N104" s="125" t="s">
        <v>348</v>
      </c>
      <c r="O104" s="125">
        <v>2.0630000000000002</v>
      </c>
      <c r="P104" s="125">
        <v>0.11900000000000001</v>
      </c>
      <c r="Q104" s="125" t="s">
        <v>348</v>
      </c>
      <c r="R104" s="125" t="s">
        <v>348</v>
      </c>
      <c r="S104" s="125" t="s">
        <v>348</v>
      </c>
      <c r="T104" s="125" t="s">
        <v>348</v>
      </c>
      <c r="U104" s="125" t="s">
        <v>348</v>
      </c>
      <c r="V104" s="125" t="s">
        <v>348</v>
      </c>
      <c r="W104" s="125" t="s">
        <v>348</v>
      </c>
      <c r="X104" s="125" t="s">
        <v>348</v>
      </c>
      <c r="Y104" s="125" t="s">
        <v>348</v>
      </c>
      <c r="Z104" s="125" t="s">
        <v>348</v>
      </c>
      <c r="AA104" s="125">
        <v>3.6999999999999998E-2</v>
      </c>
      <c r="AB104" s="125" t="s">
        <v>4</v>
      </c>
      <c r="AC104" s="125">
        <v>0.25700000000000001</v>
      </c>
      <c r="AD104" s="125" t="s">
        <v>4</v>
      </c>
      <c r="AE104" s="125" t="s">
        <v>4</v>
      </c>
      <c r="AF104" s="125" t="s">
        <v>4</v>
      </c>
      <c r="AG104" s="125" t="s">
        <v>4</v>
      </c>
      <c r="AH104" s="125" t="s">
        <v>4</v>
      </c>
      <c r="AI104" s="125" t="s">
        <v>4</v>
      </c>
      <c r="AJ104" s="125">
        <v>1.4159999999999999</v>
      </c>
      <c r="AK104" s="125" t="s">
        <v>348</v>
      </c>
      <c r="AL104" s="125">
        <v>0.59899999999999998</v>
      </c>
      <c r="AM104" s="125" t="s">
        <v>348</v>
      </c>
      <c r="AN104" s="125" t="s">
        <v>348</v>
      </c>
      <c r="AO104" s="125" t="s">
        <v>348</v>
      </c>
      <c r="AP104" s="125" t="s">
        <v>348</v>
      </c>
      <c r="AQ104" s="125">
        <v>9.1999999999999998E-2</v>
      </c>
      <c r="AR104" s="125">
        <v>6.6000000000000003E-2</v>
      </c>
      <c r="AS104" s="125" t="s">
        <v>348</v>
      </c>
      <c r="AT104" s="125" t="s">
        <v>348</v>
      </c>
      <c r="AU104" s="125" t="s">
        <v>348</v>
      </c>
      <c r="AV104" s="125" t="s">
        <v>348</v>
      </c>
      <c r="AW104" s="125" t="s">
        <v>348</v>
      </c>
      <c r="AX104" s="125" t="s">
        <v>4</v>
      </c>
      <c r="AY104" s="125" t="s">
        <v>348</v>
      </c>
      <c r="AZ104" s="125" t="s">
        <v>348</v>
      </c>
      <c r="BA104" s="125" t="s">
        <v>348</v>
      </c>
      <c r="BB104" s="125" t="s">
        <v>348</v>
      </c>
      <c r="BC104" s="125" t="s">
        <v>348</v>
      </c>
      <c r="BD104" s="125" t="s">
        <v>348</v>
      </c>
      <c r="BE104" s="125" t="s">
        <v>348</v>
      </c>
      <c r="BF104" s="125" t="s">
        <v>348</v>
      </c>
      <c r="BG104" s="125" t="s">
        <v>348</v>
      </c>
      <c r="BH104" s="125" t="s">
        <v>348</v>
      </c>
      <c r="BI104" s="125" t="s">
        <v>348</v>
      </c>
      <c r="BJ104" s="125" t="s">
        <v>348</v>
      </c>
      <c r="BK104" s="125" t="s">
        <v>348</v>
      </c>
      <c r="BL104" s="125" t="s">
        <v>348</v>
      </c>
      <c r="BM104" s="125" t="s">
        <v>348</v>
      </c>
      <c r="BN104" s="125" t="s">
        <v>348</v>
      </c>
      <c r="BO104" s="125">
        <v>0.22700000000000001</v>
      </c>
      <c r="BP104" s="125" t="s">
        <v>348</v>
      </c>
      <c r="BQ104" s="125">
        <v>3.3000000000000002E-2</v>
      </c>
      <c r="BR104" s="125" t="s">
        <v>4</v>
      </c>
      <c r="BS104" s="125" t="s">
        <v>348</v>
      </c>
      <c r="BT104" s="125" t="s">
        <v>4</v>
      </c>
      <c r="BU104" s="125" t="s">
        <v>4</v>
      </c>
      <c r="BV104" s="125" t="s">
        <v>4</v>
      </c>
      <c r="BW104" s="125" t="s">
        <v>4</v>
      </c>
      <c r="BX104" s="125" t="s">
        <v>4</v>
      </c>
      <c r="BY104" s="125" t="s">
        <v>4</v>
      </c>
      <c r="BZ104" s="125" t="s">
        <v>4</v>
      </c>
      <c r="CA104" s="125" t="s">
        <v>4</v>
      </c>
      <c r="CB104" s="125" t="s">
        <v>4</v>
      </c>
      <c r="CC104" s="125" t="s">
        <v>4</v>
      </c>
      <c r="CD104" s="125" t="s">
        <v>4</v>
      </c>
      <c r="CE104" s="125" t="s">
        <v>4</v>
      </c>
      <c r="CF104" s="125" t="s">
        <v>4</v>
      </c>
      <c r="CG104" s="125" t="s">
        <v>4</v>
      </c>
      <c r="CH104" s="125">
        <v>2</v>
      </c>
      <c r="CI104" s="125">
        <v>4</v>
      </c>
      <c r="CJ104" s="125">
        <v>5</v>
      </c>
      <c r="CK104" s="125" t="s">
        <v>348</v>
      </c>
      <c r="CL104">
        <f t="shared" si="2"/>
        <v>0.01</v>
      </c>
      <c r="CM104">
        <f t="shared" si="3"/>
        <v>2.0630000000000002</v>
      </c>
    </row>
    <row r="105" spans="1:91" s="125" customFormat="1" x14ac:dyDescent="0.25">
      <c r="A105" s="124">
        <v>44551</v>
      </c>
      <c r="B105" s="51" t="s">
        <v>813</v>
      </c>
      <c r="C105" s="51" t="s">
        <v>376</v>
      </c>
      <c r="D105" s="125">
        <v>44551</v>
      </c>
      <c r="E105" s="125" t="s">
        <v>348</v>
      </c>
      <c r="F105" s="125">
        <v>5.0000000000000001E-3</v>
      </c>
      <c r="G105" s="125" t="s">
        <v>348</v>
      </c>
      <c r="H105" s="125">
        <v>2.1999999999999999E-2</v>
      </c>
      <c r="I105" s="125" t="s">
        <v>4</v>
      </c>
      <c r="J105" s="125" t="s">
        <v>4</v>
      </c>
      <c r="K105" s="125" t="s">
        <v>348</v>
      </c>
      <c r="L105" s="125" t="s">
        <v>348</v>
      </c>
      <c r="M105" s="125">
        <v>1.8360000000000001</v>
      </c>
      <c r="N105" s="125" t="s">
        <v>348</v>
      </c>
      <c r="O105" s="125">
        <v>4.7190000000000003</v>
      </c>
      <c r="P105" s="125">
        <v>0.39400000000000002</v>
      </c>
      <c r="Q105" s="125" t="s">
        <v>348</v>
      </c>
      <c r="R105" s="125" t="s">
        <v>348</v>
      </c>
      <c r="S105" s="125" t="s">
        <v>348</v>
      </c>
      <c r="T105" s="125" t="s">
        <v>348</v>
      </c>
      <c r="U105" s="125" t="s">
        <v>348</v>
      </c>
      <c r="V105" s="125" t="s">
        <v>348</v>
      </c>
      <c r="W105" s="125" t="s">
        <v>348</v>
      </c>
      <c r="X105" s="125" t="s">
        <v>348</v>
      </c>
      <c r="Y105" s="125" t="s">
        <v>348</v>
      </c>
      <c r="Z105" s="125" t="s">
        <v>348</v>
      </c>
      <c r="AA105" s="125">
        <v>2.7000000000000003E-2</v>
      </c>
      <c r="AB105" s="125" t="s">
        <v>4</v>
      </c>
      <c r="AC105" s="125">
        <v>0.35799999999999998</v>
      </c>
      <c r="AD105" s="125" t="s">
        <v>4</v>
      </c>
      <c r="AE105" s="125" t="s">
        <v>4</v>
      </c>
      <c r="AF105" s="125" t="s">
        <v>4</v>
      </c>
      <c r="AG105" s="125" t="s">
        <v>4</v>
      </c>
      <c r="AH105" s="125" t="s">
        <v>4</v>
      </c>
      <c r="AI105" s="125" t="s">
        <v>4</v>
      </c>
      <c r="AJ105" s="125">
        <v>1.681</v>
      </c>
      <c r="AK105" s="125" t="s">
        <v>348</v>
      </c>
      <c r="AL105" s="125">
        <v>0.97599999999999998</v>
      </c>
      <c r="AM105" s="125" t="s">
        <v>348</v>
      </c>
      <c r="AN105" s="125" t="s">
        <v>348</v>
      </c>
      <c r="AO105" s="125" t="s">
        <v>348</v>
      </c>
      <c r="AP105" s="125" t="s">
        <v>348</v>
      </c>
      <c r="AQ105" s="130">
        <v>0.16900000000000001</v>
      </c>
      <c r="AR105" s="130">
        <v>0.26400000000000001</v>
      </c>
      <c r="AS105" s="125" t="s">
        <v>348</v>
      </c>
      <c r="AT105" s="125" t="s">
        <v>348</v>
      </c>
      <c r="AU105" s="125" t="s">
        <v>348</v>
      </c>
      <c r="AV105" s="125" t="s">
        <v>348</v>
      </c>
      <c r="AW105" s="125" t="s">
        <v>348</v>
      </c>
      <c r="AX105" s="125" t="s">
        <v>4</v>
      </c>
      <c r="AY105" s="125" t="s">
        <v>348</v>
      </c>
      <c r="AZ105" s="125" t="s">
        <v>348</v>
      </c>
      <c r="BA105" s="125" t="s">
        <v>348</v>
      </c>
      <c r="BB105" s="125" t="s">
        <v>348</v>
      </c>
      <c r="BC105" s="125" t="s">
        <v>348</v>
      </c>
      <c r="BD105" s="125" t="s">
        <v>348</v>
      </c>
      <c r="BE105" s="125" t="s">
        <v>348</v>
      </c>
      <c r="BF105" s="125" t="s">
        <v>348</v>
      </c>
      <c r="BG105" s="125" t="s">
        <v>348</v>
      </c>
      <c r="BH105" s="125" t="s">
        <v>348</v>
      </c>
      <c r="BI105" s="125" t="s">
        <v>348</v>
      </c>
      <c r="BJ105" s="125" t="s">
        <v>348</v>
      </c>
      <c r="BK105" s="125" t="s">
        <v>348</v>
      </c>
      <c r="BL105" s="125" t="s">
        <v>348</v>
      </c>
      <c r="BM105" s="125" t="s">
        <v>348</v>
      </c>
      <c r="BN105" s="125" t="s">
        <v>348</v>
      </c>
      <c r="BO105" s="125">
        <v>0.28100000000000003</v>
      </c>
      <c r="BP105" s="125" t="s">
        <v>348</v>
      </c>
      <c r="BQ105" s="125">
        <v>4.7E-2</v>
      </c>
      <c r="BR105" s="125" t="s">
        <v>4</v>
      </c>
      <c r="BS105" s="125" t="s">
        <v>348</v>
      </c>
      <c r="BT105" s="125" t="s">
        <v>4</v>
      </c>
      <c r="BU105" s="125" t="s">
        <v>4</v>
      </c>
      <c r="BV105" s="125" t="s">
        <v>4</v>
      </c>
      <c r="BW105" s="125" t="s">
        <v>4</v>
      </c>
      <c r="BX105" s="125" t="s">
        <v>4</v>
      </c>
      <c r="BY105" s="125" t="s">
        <v>4</v>
      </c>
      <c r="BZ105" s="125" t="s">
        <v>4</v>
      </c>
      <c r="CA105" s="125" t="s">
        <v>4</v>
      </c>
      <c r="CB105" s="125" t="s">
        <v>4</v>
      </c>
      <c r="CC105" s="125" t="s">
        <v>4</v>
      </c>
      <c r="CD105" s="125" t="s">
        <v>4</v>
      </c>
      <c r="CE105" s="125" t="s">
        <v>4</v>
      </c>
      <c r="CF105" s="125" t="s">
        <v>4</v>
      </c>
      <c r="CG105" s="125" t="s">
        <v>4</v>
      </c>
      <c r="CH105" s="125">
        <v>2</v>
      </c>
      <c r="CI105" s="125">
        <v>4</v>
      </c>
      <c r="CJ105" s="125">
        <v>5</v>
      </c>
      <c r="CK105" s="125" t="s">
        <v>348</v>
      </c>
      <c r="CL105">
        <f t="shared" si="2"/>
        <v>5.0000000000000001E-3</v>
      </c>
      <c r="CM105">
        <f t="shared" si="3"/>
        <v>4.7190000000000003</v>
      </c>
    </row>
    <row r="106" spans="1:91" s="127" customFormat="1" ht="12.6" customHeight="1" x14ac:dyDescent="0.25">
      <c r="A106" s="126">
        <v>44551</v>
      </c>
      <c r="B106" s="51" t="s">
        <v>814</v>
      </c>
      <c r="C106" s="51" t="s">
        <v>378</v>
      </c>
      <c r="D106" s="127">
        <v>44551</v>
      </c>
      <c r="E106" s="127" t="s">
        <v>348</v>
      </c>
      <c r="F106" s="127">
        <v>4.0000000000000001E-3</v>
      </c>
      <c r="G106" s="127" t="s">
        <v>348</v>
      </c>
      <c r="H106" s="127">
        <v>0.33300000000000002</v>
      </c>
      <c r="I106" s="127">
        <v>0.17899999999999999</v>
      </c>
      <c r="J106" s="127">
        <v>0.309</v>
      </c>
      <c r="K106" s="127" t="s">
        <v>348</v>
      </c>
      <c r="L106" s="127" t="s">
        <v>348</v>
      </c>
      <c r="M106" s="127">
        <v>19.681999999999999</v>
      </c>
      <c r="N106" s="127" t="s">
        <v>348</v>
      </c>
      <c r="O106" s="127">
        <v>2.8860000000000001</v>
      </c>
      <c r="P106" s="127">
        <v>0.154</v>
      </c>
      <c r="Q106" s="127" t="s">
        <v>348</v>
      </c>
      <c r="R106" s="127" t="s">
        <v>348</v>
      </c>
      <c r="S106" s="127" t="s">
        <v>348</v>
      </c>
      <c r="T106" s="127" t="s">
        <v>348</v>
      </c>
      <c r="U106" s="127" t="s">
        <v>348</v>
      </c>
      <c r="V106" s="127" t="s">
        <v>348</v>
      </c>
      <c r="W106" s="127" t="s">
        <v>348</v>
      </c>
      <c r="X106" s="127" t="s">
        <v>348</v>
      </c>
      <c r="Y106" s="127" t="s">
        <v>348</v>
      </c>
      <c r="Z106" s="127" t="s">
        <v>348</v>
      </c>
      <c r="AA106" s="127">
        <v>7.9999999999999988E-2</v>
      </c>
      <c r="AB106" s="127" t="s">
        <v>4</v>
      </c>
      <c r="AC106" s="127">
        <v>0.14099999999999999</v>
      </c>
      <c r="AD106" s="127" t="s">
        <v>4</v>
      </c>
      <c r="AE106" s="127" t="s">
        <v>4</v>
      </c>
      <c r="AF106" s="127" t="s">
        <v>4</v>
      </c>
      <c r="AG106" s="127" t="s">
        <v>4</v>
      </c>
      <c r="AH106" s="127" t="s">
        <v>4</v>
      </c>
      <c r="AI106" s="127" t="s">
        <v>4</v>
      </c>
      <c r="AJ106" s="127">
        <v>9.8420000000000005</v>
      </c>
      <c r="AK106" s="127" t="s">
        <v>348</v>
      </c>
      <c r="AL106" s="127">
        <v>0.68899999999999995</v>
      </c>
      <c r="AM106" s="127" t="s">
        <v>348</v>
      </c>
      <c r="AN106" s="127" t="s">
        <v>348</v>
      </c>
      <c r="AO106" s="127" t="s">
        <v>348</v>
      </c>
      <c r="AP106" s="127" t="s">
        <v>348</v>
      </c>
      <c r="AQ106" s="127">
        <v>0.34799999999999998</v>
      </c>
      <c r="AR106" s="127">
        <v>0.16800000000000001</v>
      </c>
      <c r="AS106" s="127" t="s">
        <v>348</v>
      </c>
      <c r="AT106" s="127" t="s">
        <v>348</v>
      </c>
      <c r="AU106" s="127" t="s">
        <v>348</v>
      </c>
      <c r="AV106" s="127" t="s">
        <v>348</v>
      </c>
      <c r="AW106" s="127" t="s">
        <v>348</v>
      </c>
      <c r="AX106" s="127">
        <v>0.25900000000000001</v>
      </c>
      <c r="AY106" s="127" t="s">
        <v>348</v>
      </c>
      <c r="AZ106" s="127" t="s">
        <v>348</v>
      </c>
      <c r="BA106" s="127" t="s">
        <v>348</v>
      </c>
      <c r="BB106" s="127" t="s">
        <v>348</v>
      </c>
      <c r="BC106" s="127" t="s">
        <v>348</v>
      </c>
      <c r="BD106" s="127" t="s">
        <v>348</v>
      </c>
      <c r="BE106" s="127" t="s">
        <v>348</v>
      </c>
      <c r="BF106" s="127" t="s">
        <v>348</v>
      </c>
      <c r="BG106" s="127" t="s">
        <v>348</v>
      </c>
      <c r="BH106" s="127" t="s">
        <v>348</v>
      </c>
      <c r="BI106" s="127" t="s">
        <v>348</v>
      </c>
      <c r="BJ106" s="127" t="s">
        <v>348</v>
      </c>
      <c r="BK106" s="127" t="s">
        <v>348</v>
      </c>
      <c r="BL106" s="127" t="s">
        <v>348</v>
      </c>
      <c r="BM106" s="127" t="s">
        <v>348</v>
      </c>
      <c r="BN106" s="127" t="s">
        <v>348</v>
      </c>
      <c r="BO106" s="127">
        <v>0.17199999999999999</v>
      </c>
      <c r="BP106" s="127" t="s">
        <v>348</v>
      </c>
      <c r="BQ106" s="127">
        <v>0.108</v>
      </c>
      <c r="BR106" s="127" t="s">
        <v>4</v>
      </c>
      <c r="BS106" s="127" t="s">
        <v>348</v>
      </c>
      <c r="BT106" s="127" t="s">
        <v>4</v>
      </c>
      <c r="BU106" s="127" t="s">
        <v>4</v>
      </c>
      <c r="BV106" s="127" t="s">
        <v>4</v>
      </c>
      <c r="BW106" s="127" t="s">
        <v>4</v>
      </c>
      <c r="BX106" s="127" t="s">
        <v>4</v>
      </c>
      <c r="BY106" s="127" t="s">
        <v>4</v>
      </c>
      <c r="BZ106" s="127" t="s">
        <v>4</v>
      </c>
      <c r="CA106" s="127" t="s">
        <v>4</v>
      </c>
      <c r="CB106" s="127" t="s">
        <v>4</v>
      </c>
      <c r="CC106" s="127" t="s">
        <v>4</v>
      </c>
      <c r="CD106" s="127" t="s">
        <v>4</v>
      </c>
      <c r="CE106" s="127" t="s">
        <v>4</v>
      </c>
      <c r="CF106" s="127" t="s">
        <v>4</v>
      </c>
      <c r="CG106" s="127" t="s">
        <v>4</v>
      </c>
      <c r="CH106" s="127">
        <v>2</v>
      </c>
      <c r="CI106" s="127">
        <v>4</v>
      </c>
      <c r="CJ106" s="127">
        <v>5</v>
      </c>
      <c r="CK106" s="127" t="s">
        <v>348</v>
      </c>
      <c r="CL106">
        <f t="shared" si="2"/>
        <v>4.0000000000000001E-3</v>
      </c>
      <c r="CM106">
        <f t="shared" si="3"/>
        <v>19.681999999999999</v>
      </c>
    </row>
    <row r="107" spans="1:91" s="127" customFormat="1" x14ac:dyDescent="0.25">
      <c r="A107" s="126">
        <v>44551</v>
      </c>
      <c r="B107" s="51" t="s">
        <v>815</v>
      </c>
      <c r="C107" s="51" t="s">
        <v>380</v>
      </c>
      <c r="D107" s="127">
        <v>44551</v>
      </c>
      <c r="E107" s="127" t="s">
        <v>348</v>
      </c>
      <c r="F107" s="127">
        <v>3.0000000000000001E-3</v>
      </c>
      <c r="G107" s="127" t="s">
        <v>348</v>
      </c>
      <c r="H107" s="127">
        <v>0.56200000000000006</v>
      </c>
      <c r="I107" s="127">
        <v>0.58899999999999997</v>
      </c>
      <c r="J107" s="127">
        <v>0.66100000000000003</v>
      </c>
      <c r="K107" s="127" t="s">
        <v>348</v>
      </c>
      <c r="L107" s="127" t="s">
        <v>348</v>
      </c>
      <c r="M107" s="127">
        <v>22.25</v>
      </c>
      <c r="N107" s="127" t="s">
        <v>348</v>
      </c>
      <c r="O107" s="127">
        <v>7.3540000000000001</v>
      </c>
      <c r="P107" s="127">
        <v>0.438</v>
      </c>
      <c r="Q107" s="127" t="s">
        <v>348</v>
      </c>
      <c r="R107" s="127" t="s">
        <v>348</v>
      </c>
      <c r="S107" s="127" t="s">
        <v>348</v>
      </c>
      <c r="T107" s="127" t="s">
        <v>348</v>
      </c>
      <c r="U107" s="127" t="s">
        <v>348</v>
      </c>
      <c r="V107" s="127" t="s">
        <v>348</v>
      </c>
      <c r="W107" s="127" t="s">
        <v>348</v>
      </c>
      <c r="X107" s="127" t="s">
        <v>348</v>
      </c>
      <c r="Y107" s="127" t="s">
        <v>348</v>
      </c>
      <c r="Z107" s="127" t="s">
        <v>348</v>
      </c>
      <c r="AA107" s="127">
        <v>7.3999999999999996E-2</v>
      </c>
      <c r="AB107" s="127" t="s">
        <v>4</v>
      </c>
      <c r="AC107" s="127">
        <v>8.5999999999999993E-2</v>
      </c>
      <c r="AD107" s="127" t="s">
        <v>4</v>
      </c>
      <c r="AE107" s="127" t="s">
        <v>4</v>
      </c>
      <c r="AF107" s="127" t="s">
        <v>4</v>
      </c>
      <c r="AG107" s="127" t="s">
        <v>4</v>
      </c>
      <c r="AH107" s="127" t="s">
        <v>4</v>
      </c>
      <c r="AI107" s="127" t="s">
        <v>4</v>
      </c>
      <c r="AJ107" s="127">
        <v>54.238999999999997</v>
      </c>
      <c r="AK107" s="127" t="s">
        <v>348</v>
      </c>
      <c r="AL107" s="127">
        <v>1.68</v>
      </c>
      <c r="AM107" s="127" t="s">
        <v>348</v>
      </c>
      <c r="AN107" s="127" t="s">
        <v>348</v>
      </c>
      <c r="AO107" s="127" t="s">
        <v>348</v>
      </c>
      <c r="AP107" s="127" t="s">
        <v>348</v>
      </c>
      <c r="AQ107" s="131">
        <v>0.441</v>
      </c>
      <c r="AR107" s="131">
        <v>0.17599999999999999</v>
      </c>
      <c r="AS107" s="127" t="s">
        <v>348</v>
      </c>
      <c r="AT107" s="127" t="s">
        <v>348</v>
      </c>
      <c r="AU107" s="127" t="s">
        <v>348</v>
      </c>
      <c r="AV107" s="127" t="s">
        <v>348</v>
      </c>
      <c r="AW107" s="127" t="s">
        <v>348</v>
      </c>
      <c r="AX107" s="127">
        <v>0.254</v>
      </c>
      <c r="AY107" s="127" t="s">
        <v>348</v>
      </c>
      <c r="AZ107" s="127" t="s">
        <v>348</v>
      </c>
      <c r="BA107" s="127" t="s">
        <v>348</v>
      </c>
      <c r="BB107" s="127" t="s">
        <v>348</v>
      </c>
      <c r="BC107" s="127" t="s">
        <v>348</v>
      </c>
      <c r="BD107" s="127" t="s">
        <v>348</v>
      </c>
      <c r="BE107" s="127" t="s">
        <v>348</v>
      </c>
      <c r="BF107" s="127" t="s">
        <v>348</v>
      </c>
      <c r="BG107" s="127" t="s">
        <v>348</v>
      </c>
      <c r="BH107" s="127" t="s">
        <v>348</v>
      </c>
      <c r="BI107" s="127" t="s">
        <v>348</v>
      </c>
      <c r="BJ107" s="127" t="s">
        <v>348</v>
      </c>
      <c r="BK107" s="127" t="s">
        <v>348</v>
      </c>
      <c r="BL107" s="127" t="s">
        <v>348</v>
      </c>
      <c r="BM107" s="127" t="s">
        <v>348</v>
      </c>
      <c r="BN107" s="127" t="s">
        <v>348</v>
      </c>
      <c r="BO107" s="127">
        <v>0.32300000000000001</v>
      </c>
      <c r="BP107" s="127" t="s">
        <v>348</v>
      </c>
      <c r="BQ107" s="127">
        <v>0.11899999999999999</v>
      </c>
      <c r="BR107" s="127" t="s">
        <v>4</v>
      </c>
      <c r="BS107" s="127" t="s">
        <v>348</v>
      </c>
      <c r="BT107" s="127" t="s">
        <v>4</v>
      </c>
      <c r="BU107" s="127" t="s">
        <v>4</v>
      </c>
      <c r="BV107" s="127" t="s">
        <v>4</v>
      </c>
      <c r="BW107" s="127" t="s">
        <v>4</v>
      </c>
      <c r="BX107" s="127" t="s">
        <v>4</v>
      </c>
      <c r="BY107" s="127" t="s">
        <v>4</v>
      </c>
      <c r="BZ107" s="127" t="s">
        <v>4</v>
      </c>
      <c r="CA107" s="127" t="s">
        <v>4</v>
      </c>
      <c r="CB107" s="127" t="s">
        <v>4</v>
      </c>
      <c r="CC107" s="127" t="s">
        <v>4</v>
      </c>
      <c r="CD107" s="127" t="s">
        <v>4</v>
      </c>
      <c r="CE107" s="127" t="s">
        <v>4</v>
      </c>
      <c r="CF107" s="127" t="s">
        <v>4</v>
      </c>
      <c r="CG107" s="127" t="s">
        <v>4</v>
      </c>
      <c r="CH107" s="127">
        <v>2</v>
      </c>
      <c r="CI107" s="127">
        <v>4</v>
      </c>
      <c r="CJ107" s="127">
        <v>5</v>
      </c>
      <c r="CK107" s="127" t="s">
        <v>348</v>
      </c>
      <c r="CL107">
        <f t="shared" si="2"/>
        <v>3.0000000000000001E-3</v>
      </c>
      <c r="CM107">
        <f t="shared" si="3"/>
        <v>54.238999999999997</v>
      </c>
    </row>
    <row r="108" spans="1:91" s="55" customFormat="1" x14ac:dyDescent="0.25">
      <c r="A108" s="75">
        <v>44586</v>
      </c>
      <c r="B108" s="51" t="s">
        <v>816</v>
      </c>
      <c r="C108" s="51" t="s">
        <v>382</v>
      </c>
      <c r="D108" s="55">
        <v>44586</v>
      </c>
      <c r="E108" s="55" t="s">
        <v>348</v>
      </c>
      <c r="F108" s="55">
        <v>3.0000000000000001E-3</v>
      </c>
      <c r="G108" s="55" t="s">
        <v>348</v>
      </c>
      <c r="H108" s="55">
        <v>0.158</v>
      </c>
      <c r="I108" s="55" t="s">
        <v>4</v>
      </c>
      <c r="J108" s="55" t="s">
        <v>4</v>
      </c>
      <c r="K108" s="55" t="s">
        <v>348</v>
      </c>
      <c r="L108" s="55" t="s">
        <v>348</v>
      </c>
      <c r="M108" s="55">
        <v>2.5329999999999999</v>
      </c>
      <c r="N108" s="55" t="s">
        <v>348</v>
      </c>
      <c r="O108" s="55">
        <v>2.7730000000000001</v>
      </c>
      <c r="P108" s="55">
        <v>7.400000000000001E-2</v>
      </c>
      <c r="Q108" s="55" t="s">
        <v>348</v>
      </c>
      <c r="R108" s="55" t="s">
        <v>348</v>
      </c>
      <c r="S108" s="55" t="s">
        <v>348</v>
      </c>
      <c r="T108" s="55" t="s">
        <v>348</v>
      </c>
      <c r="U108" s="55" t="s">
        <v>348</v>
      </c>
      <c r="V108" s="55" t="s">
        <v>348</v>
      </c>
      <c r="W108" s="55" t="s">
        <v>348</v>
      </c>
      <c r="X108" s="55" t="s">
        <v>348</v>
      </c>
      <c r="Y108" s="55" t="s">
        <v>348</v>
      </c>
      <c r="Z108" s="55" t="s">
        <v>348</v>
      </c>
      <c r="AA108" s="55">
        <v>0.36199999999999999</v>
      </c>
      <c r="AB108" s="55" t="s">
        <v>4</v>
      </c>
      <c r="AC108" s="55">
        <v>0.26700000000000002</v>
      </c>
      <c r="AD108" s="55" t="s">
        <v>4</v>
      </c>
      <c r="AE108" s="55" t="s">
        <v>4</v>
      </c>
      <c r="AF108" s="55" t="s">
        <v>4</v>
      </c>
      <c r="AG108" s="55" t="s">
        <v>4</v>
      </c>
      <c r="AH108" s="55" t="s">
        <v>4</v>
      </c>
      <c r="AI108" s="55" t="s">
        <v>4</v>
      </c>
      <c r="AJ108" s="55">
        <v>2.7879999999999998</v>
      </c>
      <c r="AK108" s="55" t="s">
        <v>348</v>
      </c>
      <c r="AL108" s="55">
        <v>0.78700000000000003</v>
      </c>
      <c r="AM108" s="55" t="s">
        <v>348</v>
      </c>
      <c r="AN108" s="55" t="s">
        <v>348</v>
      </c>
      <c r="AO108" s="55" t="s">
        <v>348</v>
      </c>
      <c r="AP108" s="55" t="s">
        <v>348</v>
      </c>
      <c r="AQ108" s="55">
        <v>3.4079999999999999</v>
      </c>
      <c r="AR108" s="55">
        <v>1.109</v>
      </c>
      <c r="AS108" s="55" t="s">
        <v>348</v>
      </c>
      <c r="AT108" s="55" t="s">
        <v>348</v>
      </c>
      <c r="AU108" s="55" t="s">
        <v>348</v>
      </c>
      <c r="AV108" s="55" t="s">
        <v>348</v>
      </c>
      <c r="AW108" s="55" t="s">
        <v>348</v>
      </c>
      <c r="AX108" s="55">
        <v>2.681</v>
      </c>
      <c r="AY108" s="55" t="s">
        <v>348</v>
      </c>
      <c r="AZ108" s="55" t="s">
        <v>348</v>
      </c>
      <c r="BA108" s="55" t="s">
        <v>348</v>
      </c>
      <c r="BB108" s="55" t="s">
        <v>348</v>
      </c>
      <c r="BC108" s="55" t="s">
        <v>348</v>
      </c>
      <c r="BD108" s="55" t="s">
        <v>348</v>
      </c>
      <c r="BE108" s="55" t="s">
        <v>348</v>
      </c>
      <c r="BF108" s="55" t="s">
        <v>348</v>
      </c>
      <c r="BG108" s="55" t="s">
        <v>348</v>
      </c>
      <c r="BH108" s="55" t="s">
        <v>348</v>
      </c>
      <c r="BI108" s="55" t="s">
        <v>348</v>
      </c>
      <c r="BJ108" s="55" t="s">
        <v>348</v>
      </c>
      <c r="BK108" s="55" t="s">
        <v>348</v>
      </c>
      <c r="BL108" s="55" t="s">
        <v>348</v>
      </c>
      <c r="BM108" s="55" t="s">
        <v>348</v>
      </c>
      <c r="BN108" s="55" t="s">
        <v>348</v>
      </c>
      <c r="BO108" s="55">
        <v>0.67</v>
      </c>
      <c r="BP108" s="55" t="s">
        <v>348</v>
      </c>
      <c r="BQ108" s="55">
        <v>0.43</v>
      </c>
      <c r="BR108" s="55" t="s">
        <v>4</v>
      </c>
      <c r="BS108" s="55" t="s">
        <v>348</v>
      </c>
      <c r="BT108" s="55" t="s">
        <v>4</v>
      </c>
      <c r="BU108" s="55" t="s">
        <v>4</v>
      </c>
      <c r="BV108" s="55" t="s">
        <v>4</v>
      </c>
      <c r="BW108" s="55" t="s">
        <v>4</v>
      </c>
      <c r="BX108" s="55" t="s">
        <v>4</v>
      </c>
      <c r="BY108" s="55" t="s">
        <v>4</v>
      </c>
      <c r="BZ108" s="55" t="s">
        <v>4</v>
      </c>
      <c r="CA108" s="55" t="s">
        <v>4</v>
      </c>
      <c r="CB108" s="55" t="s">
        <v>4</v>
      </c>
      <c r="CC108" s="55" t="s">
        <v>4</v>
      </c>
      <c r="CD108" s="55" t="s">
        <v>4</v>
      </c>
      <c r="CE108" s="55" t="s">
        <v>4</v>
      </c>
      <c r="CF108" s="55" t="s">
        <v>4</v>
      </c>
      <c r="CG108" s="55" t="s">
        <v>4</v>
      </c>
      <c r="CH108" s="55">
        <v>2</v>
      </c>
      <c r="CI108" s="55">
        <v>4</v>
      </c>
      <c r="CJ108" s="55">
        <v>5</v>
      </c>
      <c r="CK108" s="55" t="s">
        <v>348</v>
      </c>
      <c r="CL108">
        <f t="shared" si="2"/>
        <v>3.0000000000000001E-3</v>
      </c>
      <c r="CM108">
        <f t="shared" si="3"/>
        <v>3.4079999999999999</v>
      </c>
    </row>
    <row r="109" spans="1:91" s="55" customFormat="1" x14ac:dyDescent="0.25">
      <c r="A109" s="75">
        <v>44586</v>
      </c>
      <c r="B109" s="51" t="s">
        <v>817</v>
      </c>
      <c r="C109" s="51" t="s">
        <v>384</v>
      </c>
      <c r="D109" s="55">
        <v>44586</v>
      </c>
      <c r="E109" s="55" t="s">
        <v>348</v>
      </c>
      <c r="F109" s="55">
        <v>2E-3</v>
      </c>
      <c r="G109" s="55" t="s">
        <v>348</v>
      </c>
      <c r="H109" s="55">
        <v>0.27800000000000002</v>
      </c>
      <c r="I109" s="55">
        <v>0.40600000000000003</v>
      </c>
      <c r="J109" s="55">
        <v>1.012</v>
      </c>
      <c r="K109" s="55" t="s">
        <v>348</v>
      </c>
      <c r="L109" s="55" t="s">
        <v>348</v>
      </c>
      <c r="M109" s="55">
        <v>2.9239999999999999</v>
      </c>
      <c r="N109" s="55" t="s">
        <v>348</v>
      </c>
      <c r="O109" s="55">
        <v>5.0439999999999996</v>
      </c>
      <c r="P109" s="55">
        <v>0.17199999999999999</v>
      </c>
      <c r="Q109" s="55" t="s">
        <v>348</v>
      </c>
      <c r="R109" s="55" t="s">
        <v>348</v>
      </c>
      <c r="S109" s="55" t="s">
        <v>348</v>
      </c>
      <c r="T109" s="55" t="s">
        <v>348</v>
      </c>
      <c r="U109" s="55" t="s">
        <v>348</v>
      </c>
      <c r="V109" s="55" t="s">
        <v>348</v>
      </c>
      <c r="W109" s="55" t="s">
        <v>348</v>
      </c>
      <c r="X109" s="55" t="s">
        <v>348</v>
      </c>
      <c r="Y109" s="55" t="s">
        <v>348</v>
      </c>
      <c r="Z109" s="55" t="s">
        <v>348</v>
      </c>
      <c r="AA109" s="55">
        <v>5.5E-2</v>
      </c>
      <c r="AB109" s="55" t="s">
        <v>4</v>
      </c>
      <c r="AC109" s="55">
        <v>0.11499999999999999</v>
      </c>
      <c r="AD109" s="55" t="s">
        <v>4</v>
      </c>
      <c r="AE109" s="55" t="s">
        <v>4</v>
      </c>
      <c r="AF109" s="55" t="s">
        <v>4</v>
      </c>
      <c r="AG109" s="55" t="s">
        <v>4</v>
      </c>
      <c r="AH109" s="55" t="s">
        <v>4</v>
      </c>
      <c r="AI109" s="55" t="s">
        <v>4</v>
      </c>
      <c r="AJ109" s="55">
        <v>5.2480000000000002</v>
      </c>
      <c r="AK109" s="55" t="s">
        <v>348</v>
      </c>
      <c r="AL109" s="55">
        <v>1.087</v>
      </c>
      <c r="AM109" s="55" t="s">
        <v>348</v>
      </c>
      <c r="AN109" s="55" t="s">
        <v>348</v>
      </c>
      <c r="AO109" s="55" t="s">
        <v>348</v>
      </c>
      <c r="AP109" s="55" t="s">
        <v>348</v>
      </c>
      <c r="AQ109" s="132">
        <v>9.5619999999999994</v>
      </c>
      <c r="AR109" s="132">
        <v>1.742</v>
      </c>
      <c r="AS109" s="55" t="s">
        <v>348</v>
      </c>
      <c r="AT109" s="55" t="s">
        <v>348</v>
      </c>
      <c r="AU109" s="55" t="s">
        <v>348</v>
      </c>
      <c r="AV109" s="55" t="s">
        <v>348</v>
      </c>
      <c r="AW109" s="55" t="s">
        <v>348</v>
      </c>
      <c r="AX109" s="55">
        <v>1.383</v>
      </c>
      <c r="AY109" s="55" t="s">
        <v>348</v>
      </c>
      <c r="AZ109" s="55" t="s">
        <v>348</v>
      </c>
      <c r="BA109" s="55" t="s">
        <v>348</v>
      </c>
      <c r="BB109" s="55" t="s">
        <v>348</v>
      </c>
      <c r="BC109" s="55" t="s">
        <v>348</v>
      </c>
      <c r="BD109" s="55" t="s">
        <v>348</v>
      </c>
      <c r="BE109" s="55" t="s">
        <v>348</v>
      </c>
      <c r="BF109" s="55" t="s">
        <v>348</v>
      </c>
      <c r="BG109" s="55" t="s">
        <v>348</v>
      </c>
      <c r="BH109" s="55" t="s">
        <v>348</v>
      </c>
      <c r="BI109" s="55" t="s">
        <v>348</v>
      </c>
      <c r="BJ109" s="55" t="s">
        <v>348</v>
      </c>
      <c r="BK109" s="55" t="s">
        <v>348</v>
      </c>
      <c r="BL109" s="55" t="s">
        <v>348</v>
      </c>
      <c r="BM109" s="55" t="s">
        <v>348</v>
      </c>
      <c r="BN109" s="55" t="s">
        <v>348</v>
      </c>
      <c r="BO109" s="55">
        <v>0.57099999999999995</v>
      </c>
      <c r="BP109" s="55" t="s">
        <v>348</v>
      </c>
      <c r="BQ109" s="55">
        <v>0.56799999999999995</v>
      </c>
      <c r="BR109" s="55" t="s">
        <v>4</v>
      </c>
      <c r="BS109" s="55" t="s">
        <v>348</v>
      </c>
      <c r="BT109" s="55" t="s">
        <v>4</v>
      </c>
      <c r="BU109" s="55" t="s">
        <v>4</v>
      </c>
      <c r="BV109" s="55" t="s">
        <v>4</v>
      </c>
      <c r="BW109" s="55" t="s">
        <v>4</v>
      </c>
      <c r="BX109" s="55" t="s">
        <v>4</v>
      </c>
      <c r="BY109" s="55" t="s">
        <v>4</v>
      </c>
      <c r="BZ109" s="55" t="s">
        <v>4</v>
      </c>
      <c r="CA109" s="55" t="s">
        <v>4</v>
      </c>
      <c r="CB109" s="55" t="s">
        <v>4</v>
      </c>
      <c r="CC109" s="55" t="s">
        <v>4</v>
      </c>
      <c r="CD109" s="55" t="s">
        <v>4</v>
      </c>
      <c r="CE109" s="55" t="s">
        <v>4</v>
      </c>
      <c r="CF109" s="55" t="s">
        <v>4</v>
      </c>
      <c r="CG109" s="55" t="s">
        <v>4</v>
      </c>
      <c r="CH109" s="55">
        <v>2</v>
      </c>
      <c r="CI109" s="55">
        <v>4</v>
      </c>
      <c r="CJ109" s="55">
        <v>5</v>
      </c>
      <c r="CK109" s="55" t="s">
        <v>348</v>
      </c>
      <c r="CL109">
        <f t="shared" si="2"/>
        <v>2E-3</v>
      </c>
      <c r="CM109">
        <f t="shared" si="3"/>
        <v>9.5619999999999994</v>
      </c>
    </row>
    <row r="110" spans="1:91" s="55" customFormat="1" x14ac:dyDescent="0.25">
      <c r="A110" s="75">
        <v>44586</v>
      </c>
      <c r="B110" s="51" t="s">
        <v>818</v>
      </c>
      <c r="C110" s="51" t="s">
        <v>386</v>
      </c>
      <c r="D110" s="55">
        <v>44586</v>
      </c>
      <c r="E110" s="55" t="s">
        <v>348</v>
      </c>
      <c r="F110" s="55">
        <v>4.0000000000000001E-3</v>
      </c>
      <c r="G110" s="55" t="s">
        <v>348</v>
      </c>
      <c r="H110" s="55">
        <v>9.4E-2</v>
      </c>
      <c r="I110" s="55" t="s">
        <v>4</v>
      </c>
      <c r="J110" s="55" t="s">
        <v>4</v>
      </c>
      <c r="K110" s="55" t="s">
        <v>348</v>
      </c>
      <c r="L110" s="55" t="s">
        <v>348</v>
      </c>
      <c r="M110" s="55">
        <v>9.359</v>
      </c>
      <c r="N110" s="55" t="s">
        <v>348</v>
      </c>
      <c r="O110" s="55">
        <v>2.1779999999999999</v>
      </c>
      <c r="P110" s="55">
        <v>4.1999999999999996E-2</v>
      </c>
      <c r="Q110" s="55" t="s">
        <v>348</v>
      </c>
      <c r="R110" s="55" t="s">
        <v>348</v>
      </c>
      <c r="S110" s="55" t="s">
        <v>348</v>
      </c>
      <c r="T110" s="55" t="s">
        <v>348</v>
      </c>
      <c r="U110" s="55" t="s">
        <v>348</v>
      </c>
      <c r="V110" s="55" t="s">
        <v>348</v>
      </c>
      <c r="W110" s="55" t="s">
        <v>348</v>
      </c>
      <c r="X110" s="55" t="s">
        <v>348</v>
      </c>
      <c r="Y110" s="55" t="s">
        <v>348</v>
      </c>
      <c r="Z110" s="55" t="s">
        <v>348</v>
      </c>
      <c r="AA110" s="55">
        <v>68.792000000000002</v>
      </c>
      <c r="AB110" s="55" t="s">
        <v>4</v>
      </c>
      <c r="AC110" s="55">
        <v>0.377</v>
      </c>
      <c r="AD110" s="55" t="s">
        <v>4</v>
      </c>
      <c r="AE110" s="55" t="s">
        <v>4</v>
      </c>
      <c r="AF110" s="55" t="s">
        <v>4</v>
      </c>
      <c r="AG110" s="55" t="s">
        <v>4</v>
      </c>
      <c r="AH110" s="55" t="s">
        <v>4</v>
      </c>
      <c r="AI110" s="55" t="s">
        <v>4</v>
      </c>
      <c r="AJ110" s="55">
        <v>54.744999999999997</v>
      </c>
      <c r="AK110" s="55" t="s">
        <v>348</v>
      </c>
      <c r="AL110" s="55">
        <v>0.81299999999999994</v>
      </c>
      <c r="AM110" s="55" t="s">
        <v>348</v>
      </c>
      <c r="AN110" s="55" t="s">
        <v>348</v>
      </c>
      <c r="AO110" s="55" t="s">
        <v>348</v>
      </c>
      <c r="AP110" s="55" t="s">
        <v>348</v>
      </c>
      <c r="AQ110" s="55">
        <v>0.30599999999999999</v>
      </c>
      <c r="AR110" s="55">
        <v>0.42</v>
      </c>
      <c r="AS110" s="55" t="s">
        <v>348</v>
      </c>
      <c r="AT110" s="55" t="s">
        <v>348</v>
      </c>
      <c r="AU110" s="55" t="s">
        <v>348</v>
      </c>
      <c r="AV110" s="55" t="s">
        <v>348</v>
      </c>
      <c r="AW110" s="55" t="s">
        <v>348</v>
      </c>
      <c r="AX110" s="55">
        <v>305.06299999999999</v>
      </c>
      <c r="AY110" s="55" t="s">
        <v>348</v>
      </c>
      <c r="AZ110" s="55" t="s">
        <v>348</v>
      </c>
      <c r="BA110" s="55" t="s">
        <v>348</v>
      </c>
      <c r="BB110" s="55" t="s">
        <v>348</v>
      </c>
      <c r="BC110" s="55" t="s">
        <v>348</v>
      </c>
      <c r="BD110" s="55" t="s">
        <v>348</v>
      </c>
      <c r="BE110" s="55" t="s">
        <v>348</v>
      </c>
      <c r="BF110" s="55" t="s">
        <v>348</v>
      </c>
      <c r="BG110" s="55" t="s">
        <v>348</v>
      </c>
      <c r="BH110" s="55" t="s">
        <v>348</v>
      </c>
      <c r="BI110" s="55" t="s">
        <v>348</v>
      </c>
      <c r="BJ110" s="55" t="s">
        <v>348</v>
      </c>
      <c r="BK110" s="55" t="s">
        <v>348</v>
      </c>
      <c r="BL110" s="55" t="s">
        <v>348</v>
      </c>
      <c r="BM110" s="55" t="s">
        <v>348</v>
      </c>
      <c r="BN110" s="55" t="s">
        <v>348</v>
      </c>
      <c r="BO110" s="55">
        <v>1.2909999999999999</v>
      </c>
      <c r="BP110" s="55" t="s">
        <v>348</v>
      </c>
      <c r="BQ110" s="55">
        <v>0.23899999999999999</v>
      </c>
      <c r="BR110" s="55" t="s">
        <v>4</v>
      </c>
      <c r="BS110" s="55" t="s">
        <v>348</v>
      </c>
      <c r="BT110" s="55" t="s">
        <v>4</v>
      </c>
      <c r="BU110" s="55" t="s">
        <v>4</v>
      </c>
      <c r="BV110" s="55" t="s">
        <v>4</v>
      </c>
      <c r="BW110" s="55" t="s">
        <v>4</v>
      </c>
      <c r="BX110" s="55" t="s">
        <v>4</v>
      </c>
      <c r="BY110" s="55" t="s">
        <v>4</v>
      </c>
      <c r="BZ110" s="55" t="s">
        <v>4</v>
      </c>
      <c r="CA110" s="55" t="s">
        <v>4</v>
      </c>
      <c r="CB110" s="55" t="s">
        <v>4</v>
      </c>
      <c r="CC110" s="55" t="s">
        <v>4</v>
      </c>
      <c r="CD110" s="55" t="s">
        <v>4</v>
      </c>
      <c r="CE110" s="55" t="s">
        <v>4</v>
      </c>
      <c r="CF110" s="55" t="s">
        <v>4</v>
      </c>
      <c r="CG110" s="55" t="s">
        <v>4</v>
      </c>
      <c r="CH110" s="55">
        <v>2</v>
      </c>
      <c r="CI110" s="55">
        <v>4</v>
      </c>
      <c r="CJ110" s="55">
        <v>5</v>
      </c>
      <c r="CK110" s="55" t="s">
        <v>348</v>
      </c>
      <c r="CL110">
        <f t="shared" si="2"/>
        <v>4.0000000000000001E-3</v>
      </c>
      <c r="CM110">
        <f t="shared" si="3"/>
        <v>305.06299999999999</v>
      </c>
    </row>
    <row r="111" spans="1:91" s="55" customFormat="1" x14ac:dyDescent="0.25">
      <c r="A111" s="75">
        <v>44586</v>
      </c>
      <c r="B111" s="51" t="s">
        <v>819</v>
      </c>
      <c r="C111" s="51" t="s">
        <v>388</v>
      </c>
      <c r="D111" s="55">
        <v>44586</v>
      </c>
      <c r="E111" s="55" t="s">
        <v>348</v>
      </c>
      <c r="F111" s="55">
        <v>4.0000000000000001E-3</v>
      </c>
      <c r="G111" s="55" t="s">
        <v>348</v>
      </c>
      <c r="H111" s="55">
        <v>0.12</v>
      </c>
      <c r="I111" s="55" t="s">
        <v>4</v>
      </c>
      <c r="J111" s="55" t="s">
        <v>4</v>
      </c>
      <c r="K111" s="55" t="s">
        <v>348</v>
      </c>
      <c r="L111" s="55" t="s">
        <v>348</v>
      </c>
      <c r="M111" s="55">
        <v>7.61</v>
      </c>
      <c r="N111" s="55" t="s">
        <v>348</v>
      </c>
      <c r="O111" s="55">
        <v>3.5529999999999999</v>
      </c>
      <c r="P111" s="55">
        <v>9.7000000000000003E-2</v>
      </c>
      <c r="Q111" s="55" t="s">
        <v>348</v>
      </c>
      <c r="R111" s="55" t="s">
        <v>348</v>
      </c>
      <c r="S111" s="55" t="s">
        <v>348</v>
      </c>
      <c r="T111" s="55" t="s">
        <v>348</v>
      </c>
      <c r="U111" s="55" t="s">
        <v>348</v>
      </c>
      <c r="V111" s="55" t="s">
        <v>348</v>
      </c>
      <c r="W111" s="55" t="s">
        <v>348</v>
      </c>
      <c r="X111" s="55" t="s">
        <v>348</v>
      </c>
      <c r="Y111" s="55" t="s">
        <v>348</v>
      </c>
      <c r="Z111" s="55" t="s">
        <v>348</v>
      </c>
      <c r="AA111" s="55">
        <v>19.292999999999999</v>
      </c>
      <c r="AB111" s="55" t="s">
        <v>4</v>
      </c>
      <c r="AC111" s="55">
        <v>0.17400000000000002</v>
      </c>
      <c r="AD111" s="55" t="s">
        <v>4</v>
      </c>
      <c r="AE111" s="55" t="s">
        <v>4</v>
      </c>
      <c r="AF111" s="55" t="s">
        <v>4</v>
      </c>
      <c r="AG111" s="55" t="s">
        <v>4</v>
      </c>
      <c r="AH111" s="55" t="s">
        <v>4</v>
      </c>
      <c r="AI111" s="55" t="s">
        <v>4</v>
      </c>
      <c r="AJ111" s="55">
        <v>15.795999999999999</v>
      </c>
      <c r="AK111" s="55" t="s">
        <v>348</v>
      </c>
      <c r="AL111" s="55">
        <v>0.89400000000000002</v>
      </c>
      <c r="AM111" s="55" t="s">
        <v>348</v>
      </c>
      <c r="AN111" s="55" t="s">
        <v>348</v>
      </c>
      <c r="AO111" s="55" t="s">
        <v>348</v>
      </c>
      <c r="AP111" s="55" t="s">
        <v>348</v>
      </c>
      <c r="AQ111" s="132">
        <v>0.316</v>
      </c>
      <c r="AR111" s="132">
        <v>0.434</v>
      </c>
      <c r="AS111" s="55" t="s">
        <v>348</v>
      </c>
      <c r="AT111" s="55" t="s">
        <v>348</v>
      </c>
      <c r="AU111" s="55" t="s">
        <v>348</v>
      </c>
      <c r="AV111" s="55" t="s">
        <v>348</v>
      </c>
      <c r="AW111" s="55" t="s">
        <v>348</v>
      </c>
      <c r="AX111" s="55">
        <v>108.741</v>
      </c>
      <c r="AY111" s="55" t="s">
        <v>348</v>
      </c>
      <c r="AZ111" s="55" t="s">
        <v>348</v>
      </c>
      <c r="BA111" s="55" t="s">
        <v>348</v>
      </c>
      <c r="BB111" s="55" t="s">
        <v>348</v>
      </c>
      <c r="BC111" s="55" t="s">
        <v>348</v>
      </c>
      <c r="BD111" s="55" t="s">
        <v>348</v>
      </c>
      <c r="BE111" s="55" t="s">
        <v>348</v>
      </c>
      <c r="BF111" s="55" t="s">
        <v>348</v>
      </c>
      <c r="BG111" s="55" t="s">
        <v>348</v>
      </c>
      <c r="BH111" s="55" t="s">
        <v>348</v>
      </c>
      <c r="BI111" s="55" t="s">
        <v>348</v>
      </c>
      <c r="BJ111" s="55" t="s">
        <v>348</v>
      </c>
      <c r="BK111" s="55" t="s">
        <v>348</v>
      </c>
      <c r="BL111" s="55" t="s">
        <v>348</v>
      </c>
      <c r="BM111" s="55" t="s">
        <v>348</v>
      </c>
      <c r="BN111" s="55" t="s">
        <v>348</v>
      </c>
      <c r="BO111" s="55">
        <v>0.42599999999999999</v>
      </c>
      <c r="BP111" s="55" t="s">
        <v>348</v>
      </c>
      <c r="BQ111" s="55">
        <v>0.28999999999999998</v>
      </c>
      <c r="BR111" s="55" t="s">
        <v>4</v>
      </c>
      <c r="BS111" s="55" t="s">
        <v>348</v>
      </c>
      <c r="BT111" s="55" t="s">
        <v>4</v>
      </c>
      <c r="BU111" s="55" t="s">
        <v>4</v>
      </c>
      <c r="BV111" s="55" t="s">
        <v>4</v>
      </c>
      <c r="BW111" s="55" t="s">
        <v>4</v>
      </c>
      <c r="BX111" s="55" t="s">
        <v>4</v>
      </c>
      <c r="BY111" s="55" t="s">
        <v>4</v>
      </c>
      <c r="BZ111" s="55" t="s">
        <v>4</v>
      </c>
      <c r="CA111" s="55" t="s">
        <v>4</v>
      </c>
      <c r="CB111" s="55" t="s">
        <v>4</v>
      </c>
      <c r="CC111" s="55" t="s">
        <v>4</v>
      </c>
      <c r="CD111" s="55" t="s">
        <v>4</v>
      </c>
      <c r="CE111" s="55" t="s">
        <v>4</v>
      </c>
      <c r="CF111" s="55" t="s">
        <v>4</v>
      </c>
      <c r="CG111" s="55" t="s">
        <v>4</v>
      </c>
      <c r="CH111" s="55">
        <v>2</v>
      </c>
      <c r="CI111" s="55">
        <v>4</v>
      </c>
      <c r="CJ111" s="55">
        <v>5</v>
      </c>
      <c r="CK111" s="55" t="s">
        <v>348</v>
      </c>
      <c r="CL111">
        <f t="shared" si="2"/>
        <v>4.0000000000000001E-3</v>
      </c>
      <c r="CM111">
        <f t="shared" si="3"/>
        <v>108.741</v>
      </c>
    </row>
    <row r="113" spans="1:85" x14ac:dyDescent="0.25">
      <c r="D113" t="s">
        <v>592</v>
      </c>
      <c r="AC113">
        <f>AVERAGE(AC9:AC15,AC25:AC32)</f>
        <v>47511.05999999999</v>
      </c>
    </row>
    <row r="114" spans="1:85" x14ac:dyDescent="0.25">
      <c r="A114">
        <f>58/76</f>
        <v>0.76315789473684215</v>
      </c>
      <c r="C114" s="51" t="s">
        <v>562</v>
      </c>
      <c r="AC114">
        <f>_xlfn.STDEV.P(AC9:AC15,AC24:AC32)</f>
        <v>25175.684814363773</v>
      </c>
      <c r="AR114">
        <f>AVERAGE(AR16)</f>
        <v>4.63</v>
      </c>
    </row>
    <row r="115" spans="1:85" x14ac:dyDescent="0.25">
      <c r="C115" s="51" t="s">
        <v>563</v>
      </c>
    </row>
    <row r="116" spans="1:85" x14ac:dyDescent="0.25">
      <c r="D116" t="s">
        <v>677</v>
      </c>
      <c r="E116">
        <f>MIN(E80:E85,E43:E66,E22:E41,E7:E20)</f>
        <v>3.85</v>
      </c>
      <c r="F116">
        <f t="shared" ref="F116:BQ116" si="4">MIN(F80:F85,F43:F66,F22:F41,F7:F20)</f>
        <v>0.38</v>
      </c>
      <c r="G116">
        <f t="shared" si="4"/>
        <v>0.27</v>
      </c>
      <c r="H116">
        <f t="shared" si="4"/>
        <v>0.62</v>
      </c>
      <c r="I116">
        <f t="shared" si="4"/>
        <v>5.12</v>
      </c>
      <c r="J116">
        <f t="shared" si="4"/>
        <v>11.33</v>
      </c>
      <c r="K116">
        <f t="shared" si="4"/>
        <v>0.18</v>
      </c>
      <c r="L116">
        <f t="shared" si="4"/>
        <v>3.69</v>
      </c>
      <c r="M116">
        <f t="shared" si="4"/>
        <v>4.9000000000000004</v>
      </c>
      <c r="N116">
        <f t="shared" si="4"/>
        <v>20.729999999999997</v>
      </c>
      <c r="O116">
        <f t="shared" si="4"/>
        <v>2.4500000000000002</v>
      </c>
      <c r="P116">
        <f t="shared" si="4"/>
        <v>0.51</v>
      </c>
      <c r="Q116">
        <f t="shared" si="4"/>
        <v>1.23</v>
      </c>
      <c r="R116">
        <f t="shared" si="4"/>
        <v>0</v>
      </c>
      <c r="S116">
        <f t="shared" si="4"/>
        <v>3.28</v>
      </c>
      <c r="T116">
        <f t="shared" si="4"/>
        <v>0.22</v>
      </c>
      <c r="U116">
        <f t="shared" si="4"/>
        <v>0.51</v>
      </c>
      <c r="V116">
        <f t="shared" si="4"/>
        <v>4.26</v>
      </c>
      <c r="W116">
        <f t="shared" si="4"/>
        <v>12.48</v>
      </c>
      <c r="X116">
        <f t="shared" si="4"/>
        <v>0.26</v>
      </c>
      <c r="Y116">
        <f t="shared" si="4"/>
        <v>2.25</v>
      </c>
      <c r="Z116">
        <f t="shared" si="4"/>
        <v>0.47999999999999954</v>
      </c>
      <c r="AA116">
        <f t="shared" si="4"/>
        <v>0.13</v>
      </c>
      <c r="AB116">
        <f t="shared" si="4"/>
        <v>1.87</v>
      </c>
      <c r="AC116">
        <f t="shared" si="4"/>
        <v>0.43999999999999995</v>
      </c>
      <c r="AD116">
        <f t="shared" si="4"/>
        <v>1.5</v>
      </c>
      <c r="AE116">
        <f t="shared" si="4"/>
        <v>1.29</v>
      </c>
      <c r="AF116">
        <f t="shared" si="4"/>
        <v>19.79</v>
      </c>
      <c r="AG116">
        <f t="shared" si="4"/>
        <v>0.33</v>
      </c>
      <c r="AH116">
        <f t="shared" si="4"/>
        <v>0.45</v>
      </c>
      <c r="AI116">
        <f t="shared" si="4"/>
        <v>0.26</v>
      </c>
      <c r="AJ116">
        <f t="shared" si="4"/>
        <v>2.79</v>
      </c>
      <c r="AK116">
        <f t="shared" si="4"/>
        <v>0.9</v>
      </c>
      <c r="AL116">
        <f t="shared" si="4"/>
        <v>4.3899999999999997</v>
      </c>
      <c r="AM116">
        <f t="shared" si="4"/>
        <v>0</v>
      </c>
      <c r="AN116">
        <f t="shared" si="4"/>
        <v>9.9999999999999978E-2</v>
      </c>
      <c r="AO116">
        <f t="shared" si="4"/>
        <v>7.65</v>
      </c>
      <c r="AP116">
        <f t="shared" si="4"/>
        <v>3.91</v>
      </c>
      <c r="AQ116">
        <f t="shared" si="4"/>
        <v>0.61</v>
      </c>
      <c r="AR116">
        <f t="shared" si="4"/>
        <v>0.41</v>
      </c>
      <c r="AS116">
        <f t="shared" si="4"/>
        <v>0</v>
      </c>
      <c r="AT116">
        <f t="shared" si="4"/>
        <v>2.48</v>
      </c>
      <c r="AU116">
        <f t="shared" si="4"/>
        <v>3.59</v>
      </c>
      <c r="AV116">
        <f t="shared" si="4"/>
        <v>0</v>
      </c>
      <c r="AW116">
        <f t="shared" si="4"/>
        <v>0.71</v>
      </c>
      <c r="AX116">
        <f t="shared" si="4"/>
        <v>0.19</v>
      </c>
      <c r="AY116">
        <f t="shared" si="4"/>
        <v>0</v>
      </c>
      <c r="AZ116">
        <f t="shared" si="4"/>
        <v>0.5</v>
      </c>
      <c r="BA116">
        <f t="shared" si="4"/>
        <v>0.2</v>
      </c>
      <c r="BB116">
        <f t="shared" si="4"/>
        <v>0.3</v>
      </c>
      <c r="BC116">
        <f t="shared" si="4"/>
        <v>0.06</v>
      </c>
      <c r="BD116">
        <f t="shared" si="4"/>
        <v>0.36</v>
      </c>
      <c r="BE116">
        <f t="shared" si="4"/>
        <v>0</v>
      </c>
      <c r="BF116">
        <f t="shared" si="4"/>
        <v>1.85</v>
      </c>
      <c r="BG116">
        <f t="shared" si="4"/>
        <v>1.49</v>
      </c>
      <c r="BH116">
        <f t="shared" si="4"/>
        <v>2.5</v>
      </c>
      <c r="BI116">
        <f t="shared" si="4"/>
        <v>0</v>
      </c>
      <c r="BJ116">
        <f t="shared" si="4"/>
        <v>7.52</v>
      </c>
      <c r="BK116">
        <f t="shared" si="4"/>
        <v>1.59</v>
      </c>
      <c r="BL116">
        <f t="shared" si="4"/>
        <v>1.85</v>
      </c>
      <c r="BM116">
        <f t="shared" si="4"/>
        <v>0</v>
      </c>
      <c r="BN116">
        <f t="shared" si="4"/>
        <v>0</v>
      </c>
      <c r="BO116">
        <f t="shared" si="4"/>
        <v>2.39</v>
      </c>
      <c r="BP116">
        <f t="shared" si="4"/>
        <v>0.56000000000000005</v>
      </c>
      <c r="BQ116">
        <f t="shared" si="4"/>
        <v>0.51</v>
      </c>
      <c r="BR116">
        <f t="shared" ref="BR116:CG116" si="5">MIN(BR80:BR85,BR43:BR66,BR22:BR41,BR7:BR20)</f>
        <v>0.59</v>
      </c>
      <c r="BS116">
        <f t="shared" si="5"/>
        <v>0</v>
      </c>
      <c r="BT116">
        <f t="shared" si="5"/>
        <v>0.73</v>
      </c>
      <c r="BU116">
        <f t="shared" si="5"/>
        <v>1.19</v>
      </c>
      <c r="BV116">
        <f t="shared" si="5"/>
        <v>1.1499999999999999</v>
      </c>
      <c r="BW116">
        <f t="shared" si="5"/>
        <v>0</v>
      </c>
      <c r="BX116">
        <f t="shared" si="5"/>
        <v>0</v>
      </c>
      <c r="BY116">
        <f t="shared" si="5"/>
        <v>9.93</v>
      </c>
      <c r="BZ116">
        <f t="shared" si="5"/>
        <v>4.97</v>
      </c>
      <c r="CA116">
        <f t="shared" si="5"/>
        <v>0.41999999999999993</v>
      </c>
      <c r="CB116">
        <f t="shared" si="5"/>
        <v>0.89000000000000057</v>
      </c>
      <c r="CC116">
        <f t="shared" si="5"/>
        <v>0.78</v>
      </c>
      <c r="CD116">
        <f t="shared" si="5"/>
        <v>14.98</v>
      </c>
      <c r="CE116">
        <f t="shared" si="5"/>
        <v>0</v>
      </c>
      <c r="CF116">
        <f t="shared" si="5"/>
        <v>0</v>
      </c>
      <c r="CG116">
        <f t="shared" si="5"/>
        <v>0</v>
      </c>
    </row>
    <row r="117" spans="1:85" x14ac:dyDescent="0.25">
      <c r="D117" t="s">
        <v>592</v>
      </c>
      <c r="E117">
        <f>MAX(E80:E85,E43:E66,E22:E41,E7:E20)</f>
        <v>1308.08</v>
      </c>
      <c r="F117">
        <f t="shared" ref="F117:AJ117" si="6">MAX(F80:F85,F43:F66,F22:F41,F7:F20)</f>
        <v>1.64</v>
      </c>
      <c r="G117">
        <f t="shared" si="6"/>
        <v>1.37</v>
      </c>
      <c r="H117">
        <f t="shared" si="6"/>
        <v>30.95</v>
      </c>
      <c r="I117">
        <f t="shared" si="6"/>
        <v>127.1</v>
      </c>
      <c r="J117">
        <f t="shared" si="6"/>
        <v>86.47</v>
      </c>
      <c r="K117">
        <f t="shared" si="6"/>
        <v>9.5</v>
      </c>
      <c r="L117">
        <f t="shared" si="6"/>
        <v>21.61</v>
      </c>
      <c r="M117">
        <f t="shared" si="6"/>
        <v>302.27999999999997</v>
      </c>
      <c r="N117">
        <f t="shared" si="6"/>
        <v>2799.52</v>
      </c>
      <c r="O117">
        <f t="shared" si="6"/>
        <v>1421.1</v>
      </c>
      <c r="P117">
        <f t="shared" si="6"/>
        <v>305.54000000000002</v>
      </c>
      <c r="Q117">
        <f t="shared" si="6"/>
        <v>4.8</v>
      </c>
      <c r="R117">
        <f t="shared" si="6"/>
        <v>0</v>
      </c>
      <c r="S117">
        <f t="shared" si="6"/>
        <v>68.06</v>
      </c>
      <c r="T117">
        <f t="shared" si="6"/>
        <v>13.95</v>
      </c>
      <c r="U117">
        <f t="shared" si="6"/>
        <v>0.51</v>
      </c>
      <c r="V117">
        <f t="shared" si="6"/>
        <v>1475.69</v>
      </c>
      <c r="W117">
        <f t="shared" si="6"/>
        <v>31.17</v>
      </c>
      <c r="X117">
        <f t="shared" si="6"/>
        <v>0.64</v>
      </c>
      <c r="Y117">
        <f t="shared" si="6"/>
        <v>10.32</v>
      </c>
      <c r="Z117">
        <f t="shared" si="6"/>
        <v>17.12</v>
      </c>
      <c r="AA117">
        <f t="shared" si="6"/>
        <v>6585.84</v>
      </c>
      <c r="AB117">
        <f t="shared" si="6"/>
        <v>6.17</v>
      </c>
      <c r="AC117">
        <f t="shared" si="6"/>
        <v>98996.18</v>
      </c>
      <c r="AD117">
        <f t="shared" si="6"/>
        <v>636.04999999999995</v>
      </c>
      <c r="AE117">
        <f t="shared" si="6"/>
        <v>28.24</v>
      </c>
      <c r="AF117">
        <f t="shared" si="6"/>
        <v>19.79</v>
      </c>
      <c r="AG117">
        <f t="shared" si="6"/>
        <v>11.98</v>
      </c>
      <c r="AH117">
        <f t="shared" si="6"/>
        <v>0.45</v>
      </c>
      <c r="AI117">
        <f t="shared" si="6"/>
        <v>1.2</v>
      </c>
      <c r="AJ117">
        <f t="shared" si="6"/>
        <v>10621.34</v>
      </c>
      <c r="AK117">
        <f t="shared" ref="AK117:BP117" si="7">MAX(AK80:AK85,AK43:AK66,AK22:AK41,AK7:AK20)</f>
        <v>1.21</v>
      </c>
      <c r="AL117">
        <f t="shared" si="7"/>
        <v>130.97</v>
      </c>
      <c r="AM117">
        <f t="shared" si="7"/>
        <v>0</v>
      </c>
      <c r="AN117">
        <f t="shared" si="7"/>
        <v>36.979999999999997</v>
      </c>
      <c r="AO117">
        <f t="shared" si="7"/>
        <v>7.65</v>
      </c>
      <c r="AP117">
        <f t="shared" si="7"/>
        <v>3.91</v>
      </c>
      <c r="AQ117">
        <f t="shared" si="7"/>
        <v>971.37</v>
      </c>
      <c r="AR117">
        <f t="shared" si="7"/>
        <v>92.72</v>
      </c>
      <c r="AS117">
        <f t="shared" si="7"/>
        <v>0</v>
      </c>
      <c r="AT117">
        <f t="shared" si="7"/>
        <v>8</v>
      </c>
      <c r="AU117">
        <f t="shared" si="7"/>
        <v>10808.87</v>
      </c>
      <c r="AV117">
        <f t="shared" si="7"/>
        <v>0</v>
      </c>
      <c r="AW117">
        <f t="shared" si="7"/>
        <v>5.81</v>
      </c>
      <c r="AX117">
        <f t="shared" si="7"/>
        <v>11574.01</v>
      </c>
      <c r="AY117">
        <f t="shared" si="7"/>
        <v>0</v>
      </c>
      <c r="AZ117">
        <f t="shared" si="7"/>
        <v>0.5</v>
      </c>
      <c r="BA117">
        <f t="shared" si="7"/>
        <v>0.4</v>
      </c>
      <c r="BB117">
        <f t="shared" si="7"/>
        <v>1.52</v>
      </c>
      <c r="BC117">
        <f t="shared" si="7"/>
        <v>0.06</v>
      </c>
      <c r="BD117">
        <f t="shared" si="7"/>
        <v>57.91</v>
      </c>
      <c r="BE117">
        <f t="shared" si="7"/>
        <v>0</v>
      </c>
      <c r="BF117">
        <f t="shared" si="7"/>
        <v>7.3</v>
      </c>
      <c r="BG117">
        <f t="shared" si="7"/>
        <v>367.37</v>
      </c>
      <c r="BH117">
        <f t="shared" si="7"/>
        <v>93.59</v>
      </c>
      <c r="BI117">
        <f t="shared" si="7"/>
        <v>0</v>
      </c>
      <c r="BJ117">
        <f t="shared" si="7"/>
        <v>139.66</v>
      </c>
      <c r="BK117">
        <f t="shared" si="7"/>
        <v>7.38</v>
      </c>
      <c r="BL117">
        <f t="shared" si="7"/>
        <v>1.87</v>
      </c>
      <c r="BM117">
        <f t="shared" si="7"/>
        <v>0</v>
      </c>
      <c r="BN117">
        <f t="shared" si="7"/>
        <v>0</v>
      </c>
      <c r="BO117">
        <f t="shared" si="7"/>
        <v>42.51</v>
      </c>
      <c r="BP117">
        <f t="shared" si="7"/>
        <v>1.59</v>
      </c>
      <c r="BQ117">
        <f t="shared" ref="BQ117:CG117" si="8">MAX(BQ80:BQ85,BQ43:BQ66,BQ22:BQ41,BQ7:BQ20)</f>
        <v>79.150000000000006</v>
      </c>
      <c r="BR117">
        <f t="shared" si="8"/>
        <v>0.82</v>
      </c>
      <c r="BS117">
        <f t="shared" si="8"/>
        <v>0</v>
      </c>
      <c r="BT117">
        <f t="shared" si="8"/>
        <v>0.73</v>
      </c>
      <c r="BU117">
        <f t="shared" si="8"/>
        <v>4.99</v>
      </c>
      <c r="BV117">
        <f t="shared" si="8"/>
        <v>64.03</v>
      </c>
      <c r="BW117">
        <f t="shared" si="8"/>
        <v>0</v>
      </c>
      <c r="BX117">
        <f t="shared" si="8"/>
        <v>0</v>
      </c>
      <c r="BY117">
        <f t="shared" si="8"/>
        <v>571.69000000000005</v>
      </c>
      <c r="BZ117">
        <f t="shared" si="8"/>
        <v>4.97</v>
      </c>
      <c r="CA117">
        <f t="shared" si="8"/>
        <v>36.67</v>
      </c>
      <c r="CB117">
        <f t="shared" si="8"/>
        <v>189.97</v>
      </c>
      <c r="CC117">
        <f t="shared" si="8"/>
        <v>2.44</v>
      </c>
      <c r="CD117">
        <f t="shared" si="8"/>
        <v>29.98</v>
      </c>
      <c r="CE117">
        <f t="shared" si="8"/>
        <v>0</v>
      </c>
      <c r="CF117">
        <f t="shared" si="8"/>
        <v>0</v>
      </c>
      <c r="CG117">
        <f t="shared" si="8"/>
        <v>0</v>
      </c>
    </row>
    <row r="118" spans="1:85" x14ac:dyDescent="0.25">
      <c r="C118" s="51" t="s">
        <v>562</v>
      </c>
      <c r="E118">
        <f t="shared" ref="E118:AJ118" si="9">AVERAGE(E33:E41)</f>
        <v>6.66</v>
      </c>
      <c r="F118">
        <f t="shared" si="9"/>
        <v>1.0549999999999999</v>
      </c>
      <c r="G118">
        <f t="shared" si="9"/>
        <v>0.51</v>
      </c>
      <c r="H118">
        <f t="shared" si="9"/>
        <v>9.1012500000000003</v>
      </c>
      <c r="I118">
        <f t="shared" si="9"/>
        <v>17.591428571428569</v>
      </c>
      <c r="J118">
        <f t="shared" si="9"/>
        <v>26.775714285714287</v>
      </c>
      <c r="K118">
        <f t="shared" si="9"/>
        <v>3.06</v>
      </c>
      <c r="L118">
        <f t="shared" si="9"/>
        <v>14.06</v>
      </c>
      <c r="M118">
        <f t="shared" si="9"/>
        <v>82.425555555555547</v>
      </c>
      <c r="N118">
        <f t="shared" si="9"/>
        <v>52.949999999999996</v>
      </c>
      <c r="O118">
        <f t="shared" si="9"/>
        <v>244.23444444444445</v>
      </c>
      <c r="P118">
        <f t="shared" si="9"/>
        <v>45.937777777777768</v>
      </c>
      <c r="Q118" t="e">
        <f t="shared" si="9"/>
        <v>#DIV/0!</v>
      </c>
      <c r="R118" t="e">
        <f t="shared" si="9"/>
        <v>#DIV/0!</v>
      </c>
      <c r="S118">
        <f t="shared" si="9"/>
        <v>17.221666666666668</v>
      </c>
      <c r="T118">
        <f t="shared" si="9"/>
        <v>1.1888888888888889</v>
      </c>
      <c r="U118" t="e">
        <f t="shared" si="9"/>
        <v>#DIV/0!</v>
      </c>
      <c r="V118">
        <f t="shared" si="9"/>
        <v>218.71125000000004</v>
      </c>
      <c r="W118" t="e">
        <f t="shared" si="9"/>
        <v>#DIV/0!</v>
      </c>
      <c r="X118" t="e">
        <f t="shared" si="9"/>
        <v>#DIV/0!</v>
      </c>
      <c r="Y118">
        <f t="shared" si="9"/>
        <v>6.2850000000000001</v>
      </c>
      <c r="Z118">
        <f t="shared" si="9"/>
        <v>7.6822222222222223</v>
      </c>
      <c r="AA118">
        <f t="shared" si="9"/>
        <v>443.91555555555561</v>
      </c>
      <c r="AB118" t="e">
        <f t="shared" si="9"/>
        <v>#DIV/0!</v>
      </c>
      <c r="AC118">
        <f t="shared" si="9"/>
        <v>498.39666666666665</v>
      </c>
      <c r="AD118">
        <f t="shared" si="9"/>
        <v>84.968750000000014</v>
      </c>
      <c r="AE118">
        <f t="shared" si="9"/>
        <v>2.2650000000000001</v>
      </c>
      <c r="AF118" t="e">
        <f t="shared" si="9"/>
        <v>#DIV/0!</v>
      </c>
      <c r="AG118">
        <f t="shared" si="9"/>
        <v>6.64</v>
      </c>
      <c r="AH118" t="e">
        <f t="shared" si="9"/>
        <v>#DIV/0!</v>
      </c>
      <c r="AI118">
        <f t="shared" si="9"/>
        <v>0.33499999999999996</v>
      </c>
      <c r="AJ118">
        <f t="shared" si="9"/>
        <v>1860.1666666666667</v>
      </c>
      <c r="AK118" t="e">
        <f t="shared" ref="AK118:BP118" si="10">AVERAGE(AK33:AK41)</f>
        <v>#DIV/0!</v>
      </c>
      <c r="AL118">
        <f t="shared" si="10"/>
        <v>33.951428571428572</v>
      </c>
      <c r="AM118" t="e">
        <f t="shared" si="10"/>
        <v>#DIV/0!</v>
      </c>
      <c r="AN118">
        <f t="shared" si="10"/>
        <v>10.324444444444445</v>
      </c>
      <c r="AO118" t="e">
        <f t="shared" si="10"/>
        <v>#DIV/0!</v>
      </c>
      <c r="AP118">
        <f t="shared" si="10"/>
        <v>3.91</v>
      </c>
      <c r="AQ118">
        <f t="shared" si="10"/>
        <v>260.10250000000002</v>
      </c>
      <c r="AR118">
        <f t="shared" si="10"/>
        <v>11.861111111111109</v>
      </c>
      <c r="AS118" t="e">
        <f t="shared" si="10"/>
        <v>#DIV/0!</v>
      </c>
      <c r="AT118">
        <f t="shared" si="10"/>
        <v>8</v>
      </c>
      <c r="AU118">
        <f t="shared" si="10"/>
        <v>1683.0174999999999</v>
      </c>
      <c r="AV118" t="e">
        <f t="shared" si="10"/>
        <v>#DIV/0!</v>
      </c>
      <c r="AW118">
        <f t="shared" si="10"/>
        <v>1.9266666666666665</v>
      </c>
      <c r="AX118">
        <f t="shared" si="10"/>
        <v>294.47888888888889</v>
      </c>
      <c r="AY118" t="e">
        <f t="shared" si="10"/>
        <v>#DIV/0!</v>
      </c>
      <c r="AZ118" t="e">
        <f t="shared" si="10"/>
        <v>#DIV/0!</v>
      </c>
      <c r="BA118" t="e">
        <f t="shared" si="10"/>
        <v>#DIV/0!</v>
      </c>
      <c r="BB118" t="e">
        <f t="shared" si="10"/>
        <v>#DIV/0!</v>
      </c>
      <c r="BC118" t="e">
        <f t="shared" si="10"/>
        <v>#DIV/0!</v>
      </c>
      <c r="BD118">
        <f t="shared" si="10"/>
        <v>2.3522222222222222</v>
      </c>
      <c r="BE118" t="e">
        <f t="shared" si="10"/>
        <v>#DIV/0!</v>
      </c>
      <c r="BF118">
        <f t="shared" si="10"/>
        <v>3.53</v>
      </c>
      <c r="BG118">
        <f t="shared" si="10"/>
        <v>9.4499999999999993</v>
      </c>
      <c r="BH118">
        <f t="shared" si="10"/>
        <v>4.71</v>
      </c>
      <c r="BI118" t="e">
        <f t="shared" si="10"/>
        <v>#DIV/0!</v>
      </c>
      <c r="BJ118">
        <f t="shared" si="10"/>
        <v>139.66</v>
      </c>
      <c r="BK118" t="e">
        <f t="shared" si="10"/>
        <v>#DIV/0!</v>
      </c>
      <c r="BL118" t="e">
        <f t="shared" si="10"/>
        <v>#DIV/0!</v>
      </c>
      <c r="BM118" t="e">
        <f t="shared" si="10"/>
        <v>#DIV/0!</v>
      </c>
      <c r="BN118" t="e">
        <f t="shared" si="10"/>
        <v>#DIV/0!</v>
      </c>
      <c r="BO118">
        <f t="shared" si="10"/>
        <v>14.125555555555557</v>
      </c>
      <c r="BP118" t="e">
        <f t="shared" si="10"/>
        <v>#DIV/0!</v>
      </c>
      <c r="BQ118">
        <f t="shared" ref="BQ118:CG118" si="11">AVERAGE(BQ33:BQ41)</f>
        <v>4.4628571428571435</v>
      </c>
      <c r="BR118" t="e">
        <f t="shared" si="11"/>
        <v>#DIV/0!</v>
      </c>
      <c r="BS118" t="e">
        <f t="shared" si="11"/>
        <v>#DIV/0!</v>
      </c>
      <c r="BT118">
        <f t="shared" si="11"/>
        <v>0.73</v>
      </c>
      <c r="BU118" t="e">
        <f t="shared" si="11"/>
        <v>#DIV/0!</v>
      </c>
      <c r="BV118">
        <f t="shared" si="11"/>
        <v>1.1499999999999999</v>
      </c>
      <c r="BW118" t="e">
        <f t="shared" si="11"/>
        <v>#DIV/0!</v>
      </c>
      <c r="BX118" t="e">
        <f t="shared" si="11"/>
        <v>#DIV/0!</v>
      </c>
      <c r="BY118" t="e">
        <f t="shared" si="11"/>
        <v>#DIV/0!</v>
      </c>
      <c r="BZ118" t="e">
        <f t="shared" si="11"/>
        <v>#DIV/0!</v>
      </c>
      <c r="CA118">
        <f t="shared" si="11"/>
        <v>8.3433333333333337</v>
      </c>
      <c r="CB118">
        <f t="shared" si="11"/>
        <v>6.0355555555555567</v>
      </c>
      <c r="CC118" t="e">
        <f t="shared" si="11"/>
        <v>#DIV/0!</v>
      </c>
      <c r="CD118" t="e">
        <f t="shared" si="11"/>
        <v>#DIV/0!</v>
      </c>
      <c r="CE118" t="e">
        <f t="shared" si="11"/>
        <v>#DIV/0!</v>
      </c>
      <c r="CF118" t="e">
        <f t="shared" si="11"/>
        <v>#DIV/0!</v>
      </c>
      <c r="CG118" t="e">
        <f t="shared" si="11"/>
        <v>#DIV/0!</v>
      </c>
    </row>
    <row r="119" spans="1:85" x14ac:dyDescent="0.25">
      <c r="C119" s="51" t="s">
        <v>563</v>
      </c>
      <c r="E119">
        <f t="shared" ref="E119:AJ119" si="12">_xlfn.STDEV.P(E33:E41)</f>
        <v>0</v>
      </c>
      <c r="F119">
        <f t="shared" si="12"/>
        <v>0.58499999999999985</v>
      </c>
      <c r="G119">
        <f t="shared" si="12"/>
        <v>0</v>
      </c>
      <c r="H119">
        <f t="shared" si="12"/>
        <v>6.5754152673044137</v>
      </c>
      <c r="I119">
        <f t="shared" si="12"/>
        <v>9.5907327719023083</v>
      </c>
      <c r="J119">
        <f t="shared" si="12"/>
        <v>12.501298055051107</v>
      </c>
      <c r="K119">
        <f t="shared" si="12"/>
        <v>2.117923511366735</v>
      </c>
      <c r="L119">
        <f t="shared" si="12"/>
        <v>0</v>
      </c>
      <c r="M119">
        <f t="shared" si="12"/>
        <v>59.203468387720356</v>
      </c>
      <c r="N119">
        <f t="shared" si="12"/>
        <v>0</v>
      </c>
      <c r="O119">
        <f t="shared" si="12"/>
        <v>217.39814647636265</v>
      </c>
      <c r="P119">
        <f t="shared" si="12"/>
        <v>43.225748185229143</v>
      </c>
      <c r="Q119" t="e">
        <f t="shared" si="12"/>
        <v>#DIV/0!</v>
      </c>
      <c r="R119" t="e">
        <f t="shared" si="12"/>
        <v>#DIV/0!</v>
      </c>
      <c r="S119">
        <f t="shared" si="12"/>
        <v>8.3459559401877677</v>
      </c>
      <c r="T119">
        <f t="shared" si="12"/>
        <v>0.317785547690558</v>
      </c>
      <c r="U119" t="e">
        <f t="shared" si="12"/>
        <v>#DIV/0!</v>
      </c>
      <c r="V119">
        <f t="shared" si="12"/>
        <v>263.86350986056692</v>
      </c>
      <c r="W119" t="e">
        <f t="shared" si="12"/>
        <v>#DIV/0!</v>
      </c>
      <c r="X119" t="e">
        <f t="shared" si="12"/>
        <v>#DIV/0!</v>
      </c>
      <c r="Y119">
        <f t="shared" si="12"/>
        <v>4.0350000000000001</v>
      </c>
      <c r="Z119">
        <f t="shared" si="12"/>
        <v>4.1959948569446741</v>
      </c>
      <c r="AA119">
        <f t="shared" si="12"/>
        <v>907.78719476551737</v>
      </c>
      <c r="AB119" t="e">
        <f t="shared" si="12"/>
        <v>#DIV/0!</v>
      </c>
      <c r="AC119">
        <f t="shared" si="12"/>
        <v>745.92512594168011</v>
      </c>
      <c r="AD119">
        <f t="shared" si="12"/>
        <v>208.32170154820042</v>
      </c>
      <c r="AE119">
        <f t="shared" si="12"/>
        <v>0.9750000000000002</v>
      </c>
      <c r="AF119" t="e">
        <f t="shared" si="12"/>
        <v>#DIV/0!</v>
      </c>
      <c r="AG119">
        <f t="shared" si="12"/>
        <v>0</v>
      </c>
      <c r="AH119" t="e">
        <f t="shared" si="12"/>
        <v>#DIV/0!</v>
      </c>
      <c r="AI119">
        <f t="shared" si="12"/>
        <v>4.5000000000000144E-2</v>
      </c>
      <c r="AJ119">
        <f t="shared" si="12"/>
        <v>2920.9867056869671</v>
      </c>
      <c r="AK119" t="e">
        <f t="shared" ref="AK119:BP119" si="13">_xlfn.STDEV.P(AK33:AK41)</f>
        <v>#DIV/0!</v>
      </c>
      <c r="AL119">
        <f t="shared" si="13"/>
        <v>27.087551926812342</v>
      </c>
      <c r="AM119" t="e">
        <f t="shared" si="13"/>
        <v>#DIV/0!</v>
      </c>
      <c r="AN119">
        <f t="shared" si="13"/>
        <v>6.6340956197026602</v>
      </c>
      <c r="AO119" t="e">
        <f t="shared" si="13"/>
        <v>#DIV/0!</v>
      </c>
      <c r="AP119">
        <f t="shared" si="13"/>
        <v>0</v>
      </c>
      <c r="AQ119">
        <f t="shared" si="13"/>
        <v>261.78566952518617</v>
      </c>
      <c r="AR119">
        <f t="shared" si="13"/>
        <v>11.866921761719231</v>
      </c>
      <c r="AS119" t="e">
        <f t="shared" si="13"/>
        <v>#DIV/0!</v>
      </c>
      <c r="AT119">
        <f t="shared" si="13"/>
        <v>0</v>
      </c>
      <c r="AU119">
        <f t="shared" si="13"/>
        <v>1874.1109919956048</v>
      </c>
      <c r="AV119" t="e">
        <f t="shared" si="13"/>
        <v>#DIV/0!</v>
      </c>
      <c r="AW119">
        <f t="shared" si="13"/>
        <v>1.6157213731196221</v>
      </c>
      <c r="AX119">
        <f t="shared" si="13"/>
        <v>644.24540858010243</v>
      </c>
      <c r="AY119" t="e">
        <f t="shared" si="13"/>
        <v>#DIV/0!</v>
      </c>
      <c r="AZ119" t="e">
        <f t="shared" si="13"/>
        <v>#DIV/0!</v>
      </c>
      <c r="BA119" t="e">
        <f t="shared" si="13"/>
        <v>#DIV/0!</v>
      </c>
      <c r="BB119" t="e">
        <f t="shared" si="13"/>
        <v>#DIV/0!</v>
      </c>
      <c r="BC119" t="e">
        <f t="shared" si="13"/>
        <v>#DIV/0!</v>
      </c>
      <c r="BD119">
        <f t="shared" si="13"/>
        <v>1.9574857898038363</v>
      </c>
      <c r="BE119" t="e">
        <f t="shared" si="13"/>
        <v>#DIV/0!</v>
      </c>
      <c r="BF119">
        <f t="shared" si="13"/>
        <v>0</v>
      </c>
      <c r="BG119">
        <f t="shared" si="13"/>
        <v>1.4400000000000095</v>
      </c>
      <c r="BH119">
        <f t="shared" si="13"/>
        <v>0</v>
      </c>
      <c r="BI119" t="e">
        <f t="shared" si="13"/>
        <v>#DIV/0!</v>
      </c>
      <c r="BJ119">
        <f t="shared" si="13"/>
        <v>0</v>
      </c>
      <c r="BK119" t="e">
        <f t="shared" si="13"/>
        <v>#DIV/0!</v>
      </c>
      <c r="BL119" t="e">
        <f t="shared" si="13"/>
        <v>#DIV/0!</v>
      </c>
      <c r="BM119" t="e">
        <f t="shared" si="13"/>
        <v>#DIV/0!</v>
      </c>
      <c r="BN119" t="e">
        <f t="shared" si="13"/>
        <v>#DIV/0!</v>
      </c>
      <c r="BO119">
        <f t="shared" si="13"/>
        <v>13.201186908852897</v>
      </c>
      <c r="BP119" t="e">
        <f t="shared" si="13"/>
        <v>#DIV/0!</v>
      </c>
      <c r="BQ119">
        <f t="shared" ref="BQ119:CG119" si="14">_xlfn.STDEV.P(BQ33:BQ41)</f>
        <v>6.8335928936932362</v>
      </c>
      <c r="BR119" t="e">
        <f t="shared" si="14"/>
        <v>#DIV/0!</v>
      </c>
      <c r="BS119" t="e">
        <f t="shared" si="14"/>
        <v>#DIV/0!</v>
      </c>
      <c r="BT119">
        <f t="shared" si="14"/>
        <v>0</v>
      </c>
      <c r="BU119" t="e">
        <f t="shared" si="14"/>
        <v>#DIV/0!</v>
      </c>
      <c r="BV119">
        <f t="shared" si="14"/>
        <v>0</v>
      </c>
      <c r="BW119" t="e">
        <f t="shared" si="14"/>
        <v>#DIV/0!</v>
      </c>
      <c r="BX119" t="e">
        <f t="shared" si="14"/>
        <v>#DIV/0!</v>
      </c>
      <c r="BY119" t="e">
        <f t="shared" si="14"/>
        <v>#DIV/0!</v>
      </c>
      <c r="BZ119" t="e">
        <f t="shared" si="14"/>
        <v>#DIV/0!</v>
      </c>
      <c r="CA119">
        <f t="shared" si="14"/>
        <v>2.112089539347759</v>
      </c>
      <c r="CB119">
        <f t="shared" si="14"/>
        <v>3.7917223032141143</v>
      </c>
      <c r="CC119" t="e">
        <f t="shared" si="14"/>
        <v>#DIV/0!</v>
      </c>
      <c r="CD119" t="e">
        <f t="shared" si="14"/>
        <v>#DIV/0!</v>
      </c>
      <c r="CE119" t="e">
        <f t="shared" si="14"/>
        <v>#DIV/0!</v>
      </c>
      <c r="CF119" t="e">
        <f t="shared" si="14"/>
        <v>#DIV/0!</v>
      </c>
      <c r="CG119" t="e">
        <f t="shared" si="14"/>
        <v>#DIV/0!</v>
      </c>
    </row>
    <row r="121" spans="1:85" x14ac:dyDescent="0.25">
      <c r="C121" s="51" t="s">
        <v>564</v>
      </c>
      <c r="E121">
        <f t="shared" ref="E121:AJ121" si="15">AVERAGE(E8,E7,E23)</f>
        <v>657.55</v>
      </c>
      <c r="F121" t="e">
        <f t="shared" si="15"/>
        <v>#DIV/0!</v>
      </c>
      <c r="G121">
        <f t="shared" si="15"/>
        <v>0.4</v>
      </c>
      <c r="H121">
        <f t="shared" si="15"/>
        <v>20.189999999999998</v>
      </c>
      <c r="I121">
        <f t="shared" si="15"/>
        <v>68.476666666666674</v>
      </c>
      <c r="J121">
        <f t="shared" si="15"/>
        <v>77.09</v>
      </c>
      <c r="K121">
        <f t="shared" si="15"/>
        <v>0.90500000000000003</v>
      </c>
      <c r="L121" t="e">
        <f t="shared" si="15"/>
        <v>#DIV/0!</v>
      </c>
      <c r="M121">
        <f t="shared" si="15"/>
        <v>53.693333333333328</v>
      </c>
      <c r="N121">
        <f t="shared" si="15"/>
        <v>43.34</v>
      </c>
      <c r="O121">
        <f t="shared" si="15"/>
        <v>942.5233333333332</v>
      </c>
      <c r="P121">
        <f t="shared" si="15"/>
        <v>177.97000000000003</v>
      </c>
      <c r="Q121" t="e">
        <f t="shared" si="15"/>
        <v>#DIV/0!</v>
      </c>
      <c r="R121" t="e">
        <f t="shared" si="15"/>
        <v>#DIV/0!</v>
      </c>
      <c r="S121">
        <f t="shared" si="15"/>
        <v>44.63</v>
      </c>
      <c r="T121">
        <f t="shared" si="15"/>
        <v>0.33</v>
      </c>
      <c r="U121" t="e">
        <f t="shared" si="15"/>
        <v>#DIV/0!</v>
      </c>
      <c r="V121">
        <f t="shared" si="15"/>
        <v>422.46333333333331</v>
      </c>
      <c r="W121" t="e">
        <f t="shared" si="15"/>
        <v>#DIV/0!</v>
      </c>
      <c r="X121" t="e">
        <f t="shared" si="15"/>
        <v>#DIV/0!</v>
      </c>
      <c r="Y121" t="e">
        <f t="shared" si="15"/>
        <v>#DIV/0!</v>
      </c>
      <c r="Z121">
        <f t="shared" si="15"/>
        <v>4.3033333333333337</v>
      </c>
      <c r="AA121">
        <f t="shared" si="15"/>
        <v>52.89</v>
      </c>
      <c r="AB121" t="e">
        <f t="shared" si="15"/>
        <v>#DIV/0!</v>
      </c>
      <c r="AC121">
        <f t="shared" si="15"/>
        <v>492.8533333333333</v>
      </c>
      <c r="AD121" t="e">
        <f t="shared" si="15"/>
        <v>#DIV/0!</v>
      </c>
      <c r="AE121" t="e">
        <f t="shared" si="15"/>
        <v>#DIV/0!</v>
      </c>
      <c r="AF121">
        <f t="shared" si="15"/>
        <v>19.79</v>
      </c>
      <c r="AG121">
        <f t="shared" si="15"/>
        <v>7.7450000000000001</v>
      </c>
      <c r="AH121" t="e">
        <f t="shared" si="15"/>
        <v>#DIV/0!</v>
      </c>
      <c r="AI121">
        <f t="shared" si="15"/>
        <v>0.79</v>
      </c>
      <c r="AJ121">
        <f t="shared" si="15"/>
        <v>970.71</v>
      </c>
      <c r="AK121" t="e">
        <f t="shared" ref="AK121:BP121" si="16">AVERAGE(AK8,AK7,AK23)</f>
        <v>#DIV/0!</v>
      </c>
      <c r="AL121">
        <f t="shared" si="16"/>
        <v>74.67</v>
      </c>
      <c r="AM121" t="e">
        <f t="shared" si="16"/>
        <v>#DIV/0!</v>
      </c>
      <c r="AN121">
        <f t="shared" si="16"/>
        <v>6.06</v>
      </c>
      <c r="AO121">
        <f t="shared" si="16"/>
        <v>7.65</v>
      </c>
      <c r="AP121" t="e">
        <f t="shared" si="16"/>
        <v>#DIV/0!</v>
      </c>
      <c r="AQ121">
        <f t="shared" si="16"/>
        <v>593.09333333333336</v>
      </c>
      <c r="AR121">
        <f t="shared" si="16"/>
        <v>8.0433333333333348</v>
      </c>
      <c r="AS121" t="e">
        <f t="shared" si="16"/>
        <v>#DIV/0!</v>
      </c>
      <c r="AT121" t="e">
        <f t="shared" si="16"/>
        <v>#DIV/0!</v>
      </c>
      <c r="AU121">
        <f t="shared" si="16"/>
        <v>247.43</v>
      </c>
      <c r="AV121" t="e">
        <f t="shared" si="16"/>
        <v>#DIV/0!</v>
      </c>
      <c r="AW121" t="e">
        <f t="shared" si="16"/>
        <v>#DIV/0!</v>
      </c>
      <c r="AX121">
        <f t="shared" si="16"/>
        <v>13.16</v>
      </c>
      <c r="AY121" t="e">
        <f t="shared" si="16"/>
        <v>#DIV/0!</v>
      </c>
      <c r="AZ121" t="e">
        <f t="shared" si="16"/>
        <v>#DIV/0!</v>
      </c>
      <c r="BA121">
        <f t="shared" si="16"/>
        <v>0.31333333333333335</v>
      </c>
      <c r="BB121">
        <f t="shared" si="16"/>
        <v>1.52</v>
      </c>
      <c r="BC121" t="e">
        <f t="shared" si="16"/>
        <v>#DIV/0!</v>
      </c>
      <c r="BD121">
        <f t="shared" si="16"/>
        <v>3.3433333333333337</v>
      </c>
      <c r="BE121" t="e">
        <f t="shared" si="16"/>
        <v>#DIV/0!</v>
      </c>
      <c r="BF121" t="e">
        <f t="shared" si="16"/>
        <v>#DIV/0!</v>
      </c>
      <c r="BG121">
        <f t="shared" si="16"/>
        <v>367.37</v>
      </c>
      <c r="BH121" t="e">
        <f t="shared" si="16"/>
        <v>#DIV/0!</v>
      </c>
      <c r="BI121" t="e">
        <f t="shared" si="16"/>
        <v>#DIV/0!</v>
      </c>
      <c r="BJ121" t="e">
        <f t="shared" si="16"/>
        <v>#DIV/0!</v>
      </c>
      <c r="BK121" t="e">
        <f t="shared" si="16"/>
        <v>#DIV/0!</v>
      </c>
      <c r="BL121">
        <f t="shared" si="16"/>
        <v>1.86</v>
      </c>
      <c r="BM121" t="e">
        <f t="shared" si="16"/>
        <v>#DIV/0!</v>
      </c>
      <c r="BN121" t="e">
        <f t="shared" si="16"/>
        <v>#DIV/0!</v>
      </c>
      <c r="BO121">
        <f t="shared" si="16"/>
        <v>5.085</v>
      </c>
      <c r="BP121">
        <f t="shared" si="16"/>
        <v>1.3599999999999999</v>
      </c>
      <c r="BQ121">
        <f t="shared" ref="BQ121:CG121" si="17">AVERAGE(BQ8,BQ7,BQ23)</f>
        <v>1.2266666666666668</v>
      </c>
      <c r="BR121" t="e">
        <f t="shared" si="17"/>
        <v>#DIV/0!</v>
      </c>
      <c r="BS121" t="e">
        <f t="shared" si="17"/>
        <v>#DIV/0!</v>
      </c>
      <c r="BT121" t="e">
        <f t="shared" si="17"/>
        <v>#DIV/0!</v>
      </c>
      <c r="BU121" t="e">
        <f t="shared" si="17"/>
        <v>#DIV/0!</v>
      </c>
      <c r="BV121">
        <f t="shared" si="17"/>
        <v>43.594999999999999</v>
      </c>
      <c r="BW121" t="e">
        <f t="shared" si="17"/>
        <v>#DIV/0!</v>
      </c>
      <c r="BX121" t="e">
        <f t="shared" si="17"/>
        <v>#DIV/0!</v>
      </c>
      <c r="BY121" t="e">
        <f t="shared" si="17"/>
        <v>#DIV/0!</v>
      </c>
      <c r="BZ121" t="e">
        <f t="shared" si="17"/>
        <v>#DIV/0!</v>
      </c>
      <c r="CA121">
        <f t="shared" si="17"/>
        <v>5.17</v>
      </c>
      <c r="CB121">
        <f t="shared" si="17"/>
        <v>3.7733333333333334</v>
      </c>
      <c r="CC121" t="e">
        <f t="shared" si="17"/>
        <v>#DIV/0!</v>
      </c>
      <c r="CD121" t="e">
        <f t="shared" si="17"/>
        <v>#DIV/0!</v>
      </c>
      <c r="CE121" t="e">
        <f t="shared" si="17"/>
        <v>#DIV/0!</v>
      </c>
      <c r="CF121" t="e">
        <f t="shared" si="17"/>
        <v>#DIV/0!</v>
      </c>
      <c r="CG121" t="e">
        <f t="shared" si="17"/>
        <v>#DIV/0!</v>
      </c>
    </row>
    <row r="122" spans="1:85" x14ac:dyDescent="0.25">
      <c r="C122" s="51" t="s">
        <v>563</v>
      </c>
      <c r="E122">
        <f t="shared" ref="E122:AJ122" si="18">_xlfn.STDEV.P(E23,E8,E7)</f>
        <v>650.53</v>
      </c>
      <c r="F122" t="e">
        <f t="shared" si="18"/>
        <v>#DIV/0!</v>
      </c>
      <c r="G122">
        <f t="shared" si="18"/>
        <v>0</v>
      </c>
      <c r="H122">
        <f t="shared" si="18"/>
        <v>11.011984380664545</v>
      </c>
      <c r="I122">
        <f t="shared" si="18"/>
        <v>49.199244122468194</v>
      </c>
      <c r="J122">
        <f t="shared" si="18"/>
        <v>9.3799999999999173</v>
      </c>
      <c r="K122">
        <f t="shared" si="18"/>
        <v>0.27499999999999991</v>
      </c>
      <c r="L122" t="e">
        <f t="shared" si="18"/>
        <v>#DIV/0!</v>
      </c>
      <c r="M122">
        <f t="shared" si="18"/>
        <v>28.335737545054695</v>
      </c>
      <c r="N122">
        <f t="shared" si="18"/>
        <v>4.0399999999999991</v>
      </c>
      <c r="O122">
        <f t="shared" si="18"/>
        <v>579.16917415284547</v>
      </c>
      <c r="P122">
        <f t="shared" si="18"/>
        <v>119.04662867969007</v>
      </c>
      <c r="Q122" t="e">
        <f t="shared" si="18"/>
        <v>#DIV/0!</v>
      </c>
      <c r="R122" t="e">
        <f t="shared" si="18"/>
        <v>#DIV/0!</v>
      </c>
      <c r="S122">
        <f t="shared" si="18"/>
        <v>26.369038662795433</v>
      </c>
      <c r="T122">
        <f t="shared" si="18"/>
        <v>0</v>
      </c>
      <c r="U122" t="e">
        <f t="shared" si="18"/>
        <v>#DIV/0!</v>
      </c>
      <c r="V122">
        <f t="shared" si="18"/>
        <v>292.45051915760996</v>
      </c>
      <c r="W122" t="e">
        <f t="shared" si="18"/>
        <v>#DIV/0!</v>
      </c>
      <c r="X122" t="e">
        <f t="shared" si="18"/>
        <v>#DIV/0!</v>
      </c>
      <c r="Y122" t="e">
        <f t="shared" si="18"/>
        <v>#DIV/0!</v>
      </c>
      <c r="Z122">
        <f t="shared" si="18"/>
        <v>2.6250883583012761</v>
      </c>
      <c r="AA122">
        <f t="shared" si="18"/>
        <v>50.180000000000007</v>
      </c>
      <c r="AB122" t="e">
        <f t="shared" si="18"/>
        <v>#DIV/0!</v>
      </c>
      <c r="AC122">
        <f t="shared" si="18"/>
        <v>345.09167944507487</v>
      </c>
      <c r="AD122" t="e">
        <f t="shared" si="18"/>
        <v>#DIV/0!</v>
      </c>
      <c r="AE122" t="e">
        <f t="shared" si="18"/>
        <v>#DIV/0!</v>
      </c>
      <c r="AF122">
        <f t="shared" si="18"/>
        <v>0</v>
      </c>
      <c r="AG122">
        <f t="shared" si="18"/>
        <v>4.2350000000000012</v>
      </c>
      <c r="AH122" t="e">
        <f t="shared" si="18"/>
        <v>#DIV/0!</v>
      </c>
      <c r="AI122">
        <f t="shared" si="18"/>
        <v>0.3930224760324359</v>
      </c>
      <c r="AJ122">
        <f t="shared" si="18"/>
        <v>678.48113724701295</v>
      </c>
      <c r="AK122" t="e">
        <f t="shared" ref="AK122:BP122" si="19">_xlfn.STDEV.P(AK23,AK8,AK7)</f>
        <v>#DIV/0!</v>
      </c>
      <c r="AL122">
        <f t="shared" si="19"/>
        <v>49.955374085277349</v>
      </c>
      <c r="AM122" t="e">
        <f t="shared" si="19"/>
        <v>#DIV/0!</v>
      </c>
      <c r="AN122">
        <f t="shared" si="19"/>
        <v>3.449328437053607</v>
      </c>
      <c r="AO122">
        <f t="shared" si="19"/>
        <v>0</v>
      </c>
      <c r="AP122" t="e">
        <f t="shared" si="19"/>
        <v>#DIV/0!</v>
      </c>
      <c r="AQ122">
        <f t="shared" si="19"/>
        <v>387.48716162244949</v>
      </c>
      <c r="AR122">
        <f t="shared" si="19"/>
        <v>5.9429304406346706</v>
      </c>
      <c r="AS122" t="e">
        <f t="shared" si="19"/>
        <v>#DIV/0!</v>
      </c>
      <c r="AT122" t="e">
        <f t="shared" si="19"/>
        <v>#DIV/0!</v>
      </c>
      <c r="AU122">
        <f t="shared" si="19"/>
        <v>233.63</v>
      </c>
      <c r="AV122" t="e">
        <f t="shared" si="19"/>
        <v>#DIV/0!</v>
      </c>
      <c r="AW122" t="e">
        <f t="shared" si="19"/>
        <v>#DIV/0!</v>
      </c>
      <c r="AX122">
        <f t="shared" si="19"/>
        <v>12.219999999999999</v>
      </c>
      <c r="AY122" t="e">
        <f t="shared" si="19"/>
        <v>#DIV/0!</v>
      </c>
      <c r="AZ122" t="e">
        <f t="shared" si="19"/>
        <v>#DIV/0!</v>
      </c>
      <c r="BA122">
        <f t="shared" si="19"/>
        <v>8.3798700599843803E-2</v>
      </c>
      <c r="BB122">
        <f t="shared" si="19"/>
        <v>0</v>
      </c>
      <c r="BC122" t="e">
        <f t="shared" si="19"/>
        <v>#DIV/0!</v>
      </c>
      <c r="BD122">
        <f t="shared" si="19"/>
        <v>2.6022340829030397</v>
      </c>
      <c r="BE122" t="e">
        <f t="shared" si="19"/>
        <v>#DIV/0!</v>
      </c>
      <c r="BF122" t="e">
        <f t="shared" si="19"/>
        <v>#DIV/0!</v>
      </c>
      <c r="BG122">
        <f t="shared" si="19"/>
        <v>0</v>
      </c>
      <c r="BH122" t="e">
        <f t="shared" si="19"/>
        <v>#DIV/0!</v>
      </c>
      <c r="BI122" t="e">
        <f t="shared" si="19"/>
        <v>#DIV/0!</v>
      </c>
      <c r="BJ122" t="e">
        <f t="shared" si="19"/>
        <v>#DIV/0!</v>
      </c>
      <c r="BK122" t="e">
        <f t="shared" si="19"/>
        <v>#DIV/0!</v>
      </c>
      <c r="BL122">
        <f t="shared" si="19"/>
        <v>1.0000000000000009E-2</v>
      </c>
      <c r="BM122" t="e">
        <f t="shared" si="19"/>
        <v>#DIV/0!</v>
      </c>
      <c r="BN122" t="e">
        <f t="shared" si="19"/>
        <v>#DIV/0!</v>
      </c>
      <c r="BO122">
        <f t="shared" si="19"/>
        <v>0.58499999999999919</v>
      </c>
      <c r="BP122">
        <f t="shared" si="19"/>
        <v>0.23000000000000037</v>
      </c>
      <c r="BQ122">
        <f t="shared" ref="BQ122:CG122" si="20">_xlfn.STDEV.P(BQ23,BQ8,BQ7)</f>
        <v>0.42913349386357091</v>
      </c>
      <c r="BR122" t="e">
        <f t="shared" si="20"/>
        <v>#DIV/0!</v>
      </c>
      <c r="BS122" t="e">
        <f t="shared" si="20"/>
        <v>#DIV/0!</v>
      </c>
      <c r="BT122" t="e">
        <f t="shared" si="20"/>
        <v>#DIV/0!</v>
      </c>
      <c r="BU122" t="e">
        <f t="shared" si="20"/>
        <v>#DIV/0!</v>
      </c>
      <c r="BV122">
        <f t="shared" si="20"/>
        <v>20.434999999999999</v>
      </c>
      <c r="BW122" t="e">
        <f t="shared" si="20"/>
        <v>#DIV/0!</v>
      </c>
      <c r="BX122" t="e">
        <f t="shared" si="20"/>
        <v>#DIV/0!</v>
      </c>
      <c r="BY122" t="e">
        <f t="shared" si="20"/>
        <v>#DIV/0!</v>
      </c>
      <c r="BZ122" t="e">
        <f t="shared" si="20"/>
        <v>#DIV/0!</v>
      </c>
      <c r="CA122">
        <f t="shared" si="20"/>
        <v>0</v>
      </c>
      <c r="CB122">
        <f t="shared" si="20"/>
        <v>2.0781776204699693</v>
      </c>
      <c r="CC122" t="e">
        <f t="shared" si="20"/>
        <v>#DIV/0!</v>
      </c>
      <c r="CD122" t="e">
        <f t="shared" si="20"/>
        <v>#DIV/0!</v>
      </c>
      <c r="CE122" t="e">
        <f t="shared" si="20"/>
        <v>#DIV/0!</v>
      </c>
      <c r="CF122" t="e">
        <f t="shared" si="20"/>
        <v>#DIV/0!</v>
      </c>
      <c r="CG122" t="e">
        <f t="shared" si="20"/>
        <v>#DIV/0!</v>
      </c>
    </row>
    <row r="123" spans="1:85" s="55" customFormat="1" x14ac:dyDescent="0.25">
      <c r="A123" s="75"/>
      <c r="B123" s="51"/>
      <c r="C123" s="51"/>
      <c r="D123" s="55" t="s">
        <v>566</v>
      </c>
      <c r="E123" s="55">
        <f t="shared" ref="E123:AJ123" si="21">MAX(E7,E8,E23)</f>
        <v>1308.08</v>
      </c>
      <c r="F123" s="55">
        <f t="shared" si="21"/>
        <v>0</v>
      </c>
      <c r="G123" s="55">
        <f t="shared" si="21"/>
        <v>0.4</v>
      </c>
      <c r="H123" s="55">
        <f t="shared" si="21"/>
        <v>30.95</v>
      </c>
      <c r="I123" s="55">
        <f t="shared" si="21"/>
        <v>127.1</v>
      </c>
      <c r="J123" s="55">
        <f t="shared" si="21"/>
        <v>86.47</v>
      </c>
      <c r="K123" s="55">
        <f t="shared" si="21"/>
        <v>1.18</v>
      </c>
      <c r="L123" s="55">
        <f t="shared" si="21"/>
        <v>0</v>
      </c>
      <c r="M123" s="55">
        <f t="shared" si="21"/>
        <v>82.04</v>
      </c>
      <c r="N123" s="55">
        <f t="shared" si="21"/>
        <v>47.38</v>
      </c>
      <c r="O123" s="55">
        <f t="shared" si="21"/>
        <v>1421.1</v>
      </c>
      <c r="P123" s="55">
        <f t="shared" si="21"/>
        <v>305.54000000000002</v>
      </c>
      <c r="Q123" s="55">
        <f t="shared" si="21"/>
        <v>0</v>
      </c>
      <c r="R123" s="55">
        <f t="shared" si="21"/>
        <v>0</v>
      </c>
      <c r="S123" s="55">
        <f t="shared" si="21"/>
        <v>68.06</v>
      </c>
      <c r="T123" s="55">
        <f t="shared" si="21"/>
        <v>0.33</v>
      </c>
      <c r="U123" s="55">
        <f t="shared" si="21"/>
        <v>0</v>
      </c>
      <c r="V123" s="55">
        <f t="shared" si="21"/>
        <v>755.48</v>
      </c>
      <c r="W123" s="55">
        <f t="shared" si="21"/>
        <v>0</v>
      </c>
      <c r="X123" s="55">
        <f t="shared" si="21"/>
        <v>0</v>
      </c>
      <c r="Y123" s="55">
        <f t="shared" si="21"/>
        <v>0</v>
      </c>
      <c r="Z123" s="55">
        <f t="shared" si="21"/>
        <v>6.38</v>
      </c>
      <c r="AA123" s="55">
        <f t="shared" si="21"/>
        <v>103.07000000000001</v>
      </c>
      <c r="AB123" s="55">
        <f t="shared" si="21"/>
        <v>0</v>
      </c>
      <c r="AC123" s="55">
        <f t="shared" si="21"/>
        <v>736.87</v>
      </c>
      <c r="AD123" s="55">
        <f t="shared" si="21"/>
        <v>0</v>
      </c>
      <c r="AE123" s="55">
        <f t="shared" si="21"/>
        <v>0</v>
      </c>
      <c r="AF123" s="55">
        <f t="shared" si="21"/>
        <v>19.79</v>
      </c>
      <c r="AG123" s="55">
        <f t="shared" si="21"/>
        <v>11.98</v>
      </c>
      <c r="AH123" s="55">
        <f t="shared" si="21"/>
        <v>0</v>
      </c>
      <c r="AI123" s="55">
        <f t="shared" si="21"/>
        <v>1.2</v>
      </c>
      <c r="AJ123" s="55">
        <f t="shared" si="21"/>
        <v>1777.71</v>
      </c>
      <c r="AK123" s="55">
        <f t="shared" ref="AK123:BP123" si="22">MAX(AK7,AK8,AK23)</f>
        <v>0</v>
      </c>
      <c r="AL123" s="55">
        <f t="shared" si="22"/>
        <v>130.97</v>
      </c>
      <c r="AM123" s="55">
        <f t="shared" si="22"/>
        <v>0</v>
      </c>
      <c r="AN123" s="55">
        <f t="shared" si="22"/>
        <v>9.1199999999999992</v>
      </c>
      <c r="AO123" s="55">
        <f t="shared" si="22"/>
        <v>7.65</v>
      </c>
      <c r="AP123" s="55">
        <f t="shared" si="22"/>
        <v>0</v>
      </c>
      <c r="AQ123" s="55">
        <f t="shared" si="22"/>
        <v>971.37</v>
      </c>
      <c r="AR123" s="55">
        <f t="shared" si="22"/>
        <v>15.9</v>
      </c>
      <c r="AS123" s="55">
        <f t="shared" si="22"/>
        <v>0</v>
      </c>
      <c r="AT123" s="55">
        <f t="shared" si="22"/>
        <v>0</v>
      </c>
      <c r="AU123" s="55">
        <f t="shared" si="22"/>
        <v>481.06</v>
      </c>
      <c r="AV123" s="55">
        <f t="shared" si="22"/>
        <v>0</v>
      </c>
      <c r="AW123" s="55">
        <f t="shared" si="22"/>
        <v>0</v>
      </c>
      <c r="AX123" s="55">
        <f t="shared" si="22"/>
        <v>25.38</v>
      </c>
      <c r="AY123" s="55">
        <f t="shared" si="22"/>
        <v>0</v>
      </c>
      <c r="AZ123" s="55">
        <f t="shared" si="22"/>
        <v>0</v>
      </c>
      <c r="BA123" s="55">
        <f t="shared" si="22"/>
        <v>0.4</v>
      </c>
      <c r="BB123" s="55">
        <f t="shared" si="22"/>
        <v>1.52</v>
      </c>
      <c r="BC123" s="55">
        <f t="shared" si="22"/>
        <v>0</v>
      </c>
      <c r="BD123" s="55">
        <f t="shared" si="22"/>
        <v>6.82</v>
      </c>
      <c r="BE123" s="55">
        <f t="shared" si="22"/>
        <v>0</v>
      </c>
      <c r="BF123" s="55">
        <f t="shared" si="22"/>
        <v>0</v>
      </c>
      <c r="BG123" s="55">
        <f t="shared" si="22"/>
        <v>367.37</v>
      </c>
      <c r="BH123" s="55">
        <f t="shared" si="22"/>
        <v>0</v>
      </c>
      <c r="BI123" s="55">
        <f t="shared" si="22"/>
        <v>0</v>
      </c>
      <c r="BJ123" s="55">
        <f t="shared" si="22"/>
        <v>0</v>
      </c>
      <c r="BK123" s="55">
        <f t="shared" si="22"/>
        <v>0</v>
      </c>
      <c r="BL123" s="55">
        <f t="shared" si="22"/>
        <v>1.87</v>
      </c>
      <c r="BM123" s="55">
        <f t="shared" si="22"/>
        <v>0</v>
      </c>
      <c r="BN123" s="55">
        <f t="shared" si="22"/>
        <v>0</v>
      </c>
      <c r="BO123" s="55">
        <f t="shared" si="22"/>
        <v>5.67</v>
      </c>
      <c r="BP123" s="55">
        <f t="shared" si="22"/>
        <v>1.59</v>
      </c>
      <c r="BQ123" s="55">
        <f t="shared" ref="BQ123:CG123" si="23">MAX(BQ7,BQ8,BQ23)</f>
        <v>1.81</v>
      </c>
      <c r="BR123" s="55">
        <f t="shared" si="23"/>
        <v>0</v>
      </c>
      <c r="BS123" s="55">
        <f t="shared" si="23"/>
        <v>0</v>
      </c>
      <c r="BT123" s="55">
        <f t="shared" si="23"/>
        <v>0</v>
      </c>
      <c r="BU123" s="55">
        <f t="shared" si="23"/>
        <v>0</v>
      </c>
      <c r="BV123" s="55">
        <f t="shared" si="23"/>
        <v>64.03</v>
      </c>
      <c r="BW123" s="55">
        <f t="shared" si="23"/>
        <v>0</v>
      </c>
      <c r="BX123" s="55">
        <f t="shared" si="23"/>
        <v>0</v>
      </c>
      <c r="BY123" s="55">
        <f t="shared" si="23"/>
        <v>0</v>
      </c>
      <c r="BZ123" s="55">
        <f t="shared" si="23"/>
        <v>0</v>
      </c>
      <c r="CA123" s="55">
        <f t="shared" si="23"/>
        <v>5.17</v>
      </c>
      <c r="CB123" s="55">
        <f t="shared" si="23"/>
        <v>5.8100000000000005</v>
      </c>
      <c r="CC123" s="55">
        <f t="shared" si="23"/>
        <v>0</v>
      </c>
      <c r="CD123" s="55">
        <f t="shared" si="23"/>
        <v>0</v>
      </c>
      <c r="CE123" s="55">
        <f t="shared" si="23"/>
        <v>0</v>
      </c>
      <c r="CF123" s="55">
        <f t="shared" si="23"/>
        <v>0</v>
      </c>
      <c r="CG123" s="55">
        <f t="shared" si="23"/>
        <v>0</v>
      </c>
    </row>
    <row r="124" spans="1:85" s="55" customFormat="1" x14ac:dyDescent="0.25">
      <c r="A124" s="75"/>
      <c r="B124" s="51"/>
      <c r="C124" s="51"/>
      <c r="E124" s="55">
        <f t="shared" ref="E124:AJ124" si="24">IF(E7=MAX(E8,E23,E7),1,IF(E8=MAX(E8,E23,E7),2,IF(E23=MAX(E7,E8,E23),3)))</f>
        <v>2</v>
      </c>
      <c r="F124" s="55" t="b">
        <f t="shared" si="24"/>
        <v>0</v>
      </c>
      <c r="G124" s="55">
        <f t="shared" si="24"/>
        <v>1</v>
      </c>
      <c r="H124" s="55">
        <f t="shared" si="24"/>
        <v>3</v>
      </c>
      <c r="I124" s="55">
        <f t="shared" si="24"/>
        <v>3</v>
      </c>
      <c r="J124" s="55">
        <f t="shared" si="24"/>
        <v>3</v>
      </c>
      <c r="K124" s="55">
        <f t="shared" si="24"/>
        <v>2</v>
      </c>
      <c r="L124" s="55" t="b">
        <f t="shared" si="24"/>
        <v>0</v>
      </c>
      <c r="M124" s="55">
        <f t="shared" si="24"/>
        <v>2</v>
      </c>
      <c r="N124" s="55">
        <f t="shared" si="24"/>
        <v>2</v>
      </c>
      <c r="O124" s="55">
        <f t="shared" si="24"/>
        <v>2</v>
      </c>
      <c r="P124" s="55">
        <f t="shared" si="24"/>
        <v>3</v>
      </c>
      <c r="Q124" s="55" t="b">
        <f t="shared" si="24"/>
        <v>0</v>
      </c>
      <c r="R124" s="55" t="b">
        <f t="shared" si="24"/>
        <v>0</v>
      </c>
      <c r="S124" s="55">
        <f t="shared" si="24"/>
        <v>2</v>
      </c>
      <c r="T124" s="55">
        <f t="shared" si="24"/>
        <v>2</v>
      </c>
      <c r="U124" s="55" t="b">
        <f t="shared" si="24"/>
        <v>0</v>
      </c>
      <c r="V124" s="55">
        <f t="shared" si="24"/>
        <v>2</v>
      </c>
      <c r="W124" s="55" t="b">
        <f t="shared" si="24"/>
        <v>0</v>
      </c>
      <c r="X124" s="55" t="b">
        <f t="shared" si="24"/>
        <v>0</v>
      </c>
      <c r="Y124" s="55" t="b">
        <f t="shared" si="24"/>
        <v>0</v>
      </c>
      <c r="Z124" s="55">
        <f t="shared" si="24"/>
        <v>2</v>
      </c>
      <c r="AA124" s="55">
        <f t="shared" si="24"/>
        <v>2</v>
      </c>
      <c r="AB124" s="55" t="b">
        <f t="shared" si="24"/>
        <v>0</v>
      </c>
      <c r="AC124" s="55">
        <f t="shared" si="24"/>
        <v>2</v>
      </c>
      <c r="AD124" s="55" t="b">
        <f t="shared" si="24"/>
        <v>0</v>
      </c>
      <c r="AE124" s="55" t="b">
        <f t="shared" si="24"/>
        <v>0</v>
      </c>
      <c r="AF124" s="55">
        <f t="shared" si="24"/>
        <v>3</v>
      </c>
      <c r="AG124" s="55">
        <f t="shared" si="24"/>
        <v>1</v>
      </c>
      <c r="AH124" s="55" t="b">
        <f t="shared" si="24"/>
        <v>0</v>
      </c>
      <c r="AI124" s="55">
        <f t="shared" si="24"/>
        <v>3</v>
      </c>
      <c r="AJ124" s="55">
        <f t="shared" si="24"/>
        <v>2</v>
      </c>
      <c r="AK124" s="55" t="b">
        <f t="shared" ref="AK124:BP124" si="25">IF(AK7=MAX(AK8,AK23,AK7),1,IF(AK8=MAX(AK8,AK23,AK7),2,IF(AK23=MAX(AK7,AK8,AK23),3)))</f>
        <v>0</v>
      </c>
      <c r="AL124" s="55">
        <f t="shared" si="25"/>
        <v>3</v>
      </c>
      <c r="AM124" s="55" t="b">
        <f t="shared" si="25"/>
        <v>0</v>
      </c>
      <c r="AN124" s="55">
        <f t="shared" si="25"/>
        <v>2</v>
      </c>
      <c r="AO124" s="55">
        <f t="shared" si="25"/>
        <v>1</v>
      </c>
      <c r="AP124" s="55" t="b">
        <f t="shared" si="25"/>
        <v>0</v>
      </c>
      <c r="AQ124" s="55">
        <f t="shared" si="25"/>
        <v>2</v>
      </c>
      <c r="AR124" s="55">
        <f t="shared" si="25"/>
        <v>3</v>
      </c>
      <c r="AS124" s="55" t="b">
        <f t="shared" si="25"/>
        <v>0</v>
      </c>
      <c r="AT124" s="55" t="b">
        <f t="shared" si="25"/>
        <v>0</v>
      </c>
      <c r="AU124" s="55">
        <f t="shared" si="25"/>
        <v>2</v>
      </c>
      <c r="AV124" s="55" t="b">
        <f t="shared" si="25"/>
        <v>0</v>
      </c>
      <c r="AW124" s="55" t="b">
        <f t="shared" si="25"/>
        <v>0</v>
      </c>
      <c r="AX124" s="55">
        <f t="shared" si="25"/>
        <v>2</v>
      </c>
      <c r="AY124" s="55" t="b">
        <f t="shared" si="25"/>
        <v>0</v>
      </c>
      <c r="AZ124" s="55" t="b">
        <f t="shared" si="25"/>
        <v>0</v>
      </c>
      <c r="BA124" s="55">
        <f t="shared" si="25"/>
        <v>3</v>
      </c>
      <c r="BB124" s="55">
        <f t="shared" si="25"/>
        <v>1</v>
      </c>
      <c r="BC124" s="55" t="b">
        <f t="shared" si="25"/>
        <v>0</v>
      </c>
      <c r="BD124" s="55">
        <f t="shared" si="25"/>
        <v>2</v>
      </c>
      <c r="BE124" s="55" t="b">
        <f t="shared" si="25"/>
        <v>0</v>
      </c>
      <c r="BF124" s="55" t="b">
        <f t="shared" si="25"/>
        <v>0</v>
      </c>
      <c r="BG124" s="55">
        <f t="shared" si="25"/>
        <v>2</v>
      </c>
      <c r="BH124" s="55" t="b">
        <f t="shared" si="25"/>
        <v>0</v>
      </c>
      <c r="BI124" s="55" t="b">
        <f t="shared" si="25"/>
        <v>0</v>
      </c>
      <c r="BJ124" s="55" t="b">
        <f t="shared" si="25"/>
        <v>0</v>
      </c>
      <c r="BK124" s="55" t="b">
        <f t="shared" si="25"/>
        <v>0</v>
      </c>
      <c r="BL124" s="55">
        <f t="shared" si="25"/>
        <v>2</v>
      </c>
      <c r="BM124" s="55" t="b">
        <f t="shared" si="25"/>
        <v>0</v>
      </c>
      <c r="BN124" s="55" t="b">
        <f t="shared" si="25"/>
        <v>0</v>
      </c>
      <c r="BO124" s="55">
        <f t="shared" si="25"/>
        <v>2</v>
      </c>
      <c r="BP124" s="55">
        <f t="shared" si="25"/>
        <v>2</v>
      </c>
      <c r="BQ124" s="55">
        <f t="shared" ref="BQ124:CG124" si="26">IF(BQ7=MAX(BQ8,BQ23,BQ7),1,IF(BQ8=MAX(BQ8,BQ23,BQ7),2,IF(BQ23=MAX(BQ7,BQ8,BQ23),3)))</f>
        <v>3</v>
      </c>
      <c r="BR124" s="55" t="b">
        <f t="shared" si="26"/>
        <v>0</v>
      </c>
      <c r="BS124" s="55" t="b">
        <f t="shared" si="26"/>
        <v>0</v>
      </c>
      <c r="BT124" s="55" t="b">
        <f t="shared" si="26"/>
        <v>0</v>
      </c>
      <c r="BU124" s="55" t="b">
        <f t="shared" si="26"/>
        <v>0</v>
      </c>
      <c r="BV124" s="55">
        <f t="shared" si="26"/>
        <v>1</v>
      </c>
      <c r="BW124" s="55" t="b">
        <f t="shared" si="26"/>
        <v>0</v>
      </c>
      <c r="BX124" s="55" t="b">
        <f t="shared" si="26"/>
        <v>0</v>
      </c>
      <c r="BY124" s="55" t="b">
        <f t="shared" si="26"/>
        <v>0</v>
      </c>
      <c r="BZ124" s="55" t="b">
        <f t="shared" si="26"/>
        <v>0</v>
      </c>
      <c r="CA124" s="55">
        <f t="shared" si="26"/>
        <v>2</v>
      </c>
      <c r="CB124" s="55">
        <f t="shared" si="26"/>
        <v>2</v>
      </c>
      <c r="CC124" s="55" t="b">
        <f t="shared" si="26"/>
        <v>0</v>
      </c>
      <c r="CD124" s="55" t="b">
        <f t="shared" si="26"/>
        <v>0</v>
      </c>
      <c r="CE124" s="55" t="b">
        <f t="shared" si="26"/>
        <v>0</v>
      </c>
      <c r="CF124" s="55" t="b">
        <f t="shared" si="26"/>
        <v>0</v>
      </c>
      <c r="CG124" s="55" t="b">
        <f t="shared" si="26"/>
        <v>0</v>
      </c>
    </row>
    <row r="125" spans="1:85" s="55" customFormat="1" x14ac:dyDescent="0.25">
      <c r="A125" s="75"/>
      <c r="B125" s="51"/>
      <c r="C125" s="51"/>
      <c r="D125" s="55" t="s">
        <v>567</v>
      </c>
      <c r="E125" s="55">
        <f t="shared" ref="E125:AJ125" si="27">MIN(E7,E8,E23)</f>
        <v>7.02</v>
      </c>
      <c r="F125" s="55">
        <f t="shared" si="27"/>
        <v>0</v>
      </c>
      <c r="G125" s="55">
        <f t="shared" si="27"/>
        <v>0.4</v>
      </c>
      <c r="H125" s="55">
        <f t="shared" si="27"/>
        <v>5.0599999999999996</v>
      </c>
      <c r="I125" s="55">
        <f t="shared" si="27"/>
        <v>6.71</v>
      </c>
      <c r="J125" s="55">
        <f t="shared" si="27"/>
        <v>67.709999999999994</v>
      </c>
      <c r="K125" s="55">
        <f t="shared" si="27"/>
        <v>0.63</v>
      </c>
      <c r="L125" s="55">
        <f t="shared" si="27"/>
        <v>0</v>
      </c>
      <c r="M125" s="55">
        <f t="shared" si="27"/>
        <v>14.99</v>
      </c>
      <c r="N125" s="55">
        <f t="shared" si="27"/>
        <v>39.300000000000004</v>
      </c>
      <c r="O125" s="55">
        <f t="shared" si="27"/>
        <v>127.58</v>
      </c>
      <c r="P125" s="55">
        <f t="shared" si="27"/>
        <v>19.04</v>
      </c>
      <c r="Q125" s="55">
        <f t="shared" si="27"/>
        <v>0</v>
      </c>
      <c r="R125" s="55">
        <f t="shared" si="27"/>
        <v>0</v>
      </c>
      <c r="S125" s="55">
        <f t="shared" si="27"/>
        <v>7.79</v>
      </c>
      <c r="T125" s="55">
        <f t="shared" si="27"/>
        <v>0.33</v>
      </c>
      <c r="U125" s="55">
        <f t="shared" si="27"/>
        <v>0</v>
      </c>
      <c r="V125" s="55">
        <f t="shared" si="27"/>
        <v>43.55</v>
      </c>
      <c r="W125" s="55">
        <f t="shared" si="27"/>
        <v>0</v>
      </c>
      <c r="X125" s="55">
        <f t="shared" si="27"/>
        <v>0</v>
      </c>
      <c r="Y125" s="55">
        <f t="shared" si="27"/>
        <v>0</v>
      </c>
      <c r="Z125" s="55">
        <f t="shared" si="27"/>
        <v>0.59999999999999964</v>
      </c>
      <c r="AA125" s="55">
        <f t="shared" si="27"/>
        <v>2.71</v>
      </c>
      <c r="AB125" s="55">
        <f t="shared" si="27"/>
        <v>0</v>
      </c>
      <c r="AC125" s="55">
        <f t="shared" si="27"/>
        <v>4.82</v>
      </c>
      <c r="AD125" s="55">
        <f t="shared" si="27"/>
        <v>0</v>
      </c>
      <c r="AE125" s="55">
        <f t="shared" si="27"/>
        <v>0</v>
      </c>
      <c r="AF125" s="55">
        <f t="shared" si="27"/>
        <v>19.79</v>
      </c>
      <c r="AG125" s="55">
        <f t="shared" si="27"/>
        <v>3.51</v>
      </c>
      <c r="AH125" s="55">
        <f t="shared" si="27"/>
        <v>0</v>
      </c>
      <c r="AI125" s="55">
        <f t="shared" si="27"/>
        <v>0.26</v>
      </c>
      <c r="AJ125" s="55">
        <f t="shared" si="27"/>
        <v>117.69</v>
      </c>
      <c r="AK125" s="55">
        <f t="shared" ref="AK125:BP125" si="28">MIN(AK7,AK8,AK23)</f>
        <v>0</v>
      </c>
      <c r="AL125" s="55">
        <f t="shared" si="28"/>
        <v>9.56</v>
      </c>
      <c r="AM125" s="55">
        <f t="shared" si="28"/>
        <v>0</v>
      </c>
      <c r="AN125" s="55">
        <f t="shared" si="28"/>
        <v>1.24</v>
      </c>
      <c r="AO125" s="55">
        <f t="shared" si="28"/>
        <v>7.65</v>
      </c>
      <c r="AP125" s="55">
        <f t="shared" si="28"/>
        <v>0</v>
      </c>
      <c r="AQ125" s="55">
        <f t="shared" si="28"/>
        <v>60.59</v>
      </c>
      <c r="AR125" s="55">
        <f t="shared" si="28"/>
        <v>1.53</v>
      </c>
      <c r="AS125" s="55">
        <f t="shared" si="28"/>
        <v>0</v>
      </c>
      <c r="AT125" s="55">
        <f t="shared" si="28"/>
        <v>0</v>
      </c>
      <c r="AU125" s="55">
        <f t="shared" si="28"/>
        <v>13.8</v>
      </c>
      <c r="AV125" s="55">
        <f t="shared" si="28"/>
        <v>0</v>
      </c>
      <c r="AW125" s="55">
        <f t="shared" si="28"/>
        <v>0</v>
      </c>
      <c r="AX125" s="55">
        <f t="shared" si="28"/>
        <v>0.94</v>
      </c>
      <c r="AY125" s="55">
        <f t="shared" si="28"/>
        <v>0</v>
      </c>
      <c r="AZ125" s="55">
        <f t="shared" si="28"/>
        <v>0</v>
      </c>
      <c r="BA125" s="55">
        <f t="shared" si="28"/>
        <v>0.2</v>
      </c>
      <c r="BB125" s="55">
        <f t="shared" si="28"/>
        <v>1.52</v>
      </c>
      <c r="BC125" s="55">
        <f t="shared" si="28"/>
        <v>0</v>
      </c>
      <c r="BD125" s="55">
        <f t="shared" si="28"/>
        <v>0.56000000000000005</v>
      </c>
      <c r="BE125" s="55">
        <f t="shared" si="28"/>
        <v>0</v>
      </c>
      <c r="BF125" s="55">
        <f t="shared" si="28"/>
        <v>0</v>
      </c>
      <c r="BG125" s="55">
        <f t="shared" si="28"/>
        <v>367.37</v>
      </c>
      <c r="BH125" s="55">
        <f t="shared" si="28"/>
        <v>0</v>
      </c>
      <c r="BI125" s="55">
        <f t="shared" si="28"/>
        <v>0</v>
      </c>
      <c r="BJ125" s="55">
        <f t="shared" si="28"/>
        <v>0</v>
      </c>
      <c r="BK125" s="55">
        <f t="shared" si="28"/>
        <v>0</v>
      </c>
      <c r="BL125" s="55">
        <f t="shared" si="28"/>
        <v>1.85</v>
      </c>
      <c r="BM125" s="55">
        <f t="shared" si="28"/>
        <v>0</v>
      </c>
      <c r="BN125" s="55">
        <f t="shared" si="28"/>
        <v>0</v>
      </c>
      <c r="BO125" s="55">
        <f t="shared" si="28"/>
        <v>4.5</v>
      </c>
      <c r="BP125" s="55">
        <f t="shared" si="28"/>
        <v>1.1299999999999999</v>
      </c>
      <c r="BQ125" s="55">
        <f t="shared" ref="BQ125:CG125" si="29">MIN(BQ7,BQ8,BQ23)</f>
        <v>0.79</v>
      </c>
      <c r="BR125" s="55">
        <f t="shared" si="29"/>
        <v>0</v>
      </c>
      <c r="BS125" s="55">
        <f t="shared" si="29"/>
        <v>0</v>
      </c>
      <c r="BT125" s="55">
        <f t="shared" si="29"/>
        <v>0</v>
      </c>
      <c r="BU125" s="55">
        <f t="shared" si="29"/>
        <v>0</v>
      </c>
      <c r="BV125" s="55">
        <f t="shared" si="29"/>
        <v>23.16</v>
      </c>
      <c r="BW125" s="55">
        <f t="shared" si="29"/>
        <v>0</v>
      </c>
      <c r="BX125" s="55">
        <f t="shared" si="29"/>
        <v>0</v>
      </c>
      <c r="BY125" s="55">
        <f t="shared" si="29"/>
        <v>0</v>
      </c>
      <c r="BZ125" s="55">
        <f t="shared" si="29"/>
        <v>0</v>
      </c>
      <c r="CA125" s="55">
        <f t="shared" si="29"/>
        <v>5.17</v>
      </c>
      <c r="CB125" s="55">
        <f t="shared" si="29"/>
        <v>0.91999999999999993</v>
      </c>
      <c r="CC125" s="55">
        <f t="shared" si="29"/>
        <v>0</v>
      </c>
      <c r="CD125" s="55">
        <f t="shared" si="29"/>
        <v>0</v>
      </c>
      <c r="CE125" s="55">
        <f t="shared" si="29"/>
        <v>0</v>
      </c>
      <c r="CF125" s="55">
        <f t="shared" si="29"/>
        <v>0</v>
      </c>
      <c r="CG125" s="55">
        <f t="shared" si="29"/>
        <v>0</v>
      </c>
    </row>
    <row r="126" spans="1:85" s="55" customFormat="1" x14ac:dyDescent="0.25">
      <c r="A126" s="75"/>
      <c r="B126" s="51"/>
      <c r="C126" s="51"/>
      <c r="E126" s="55">
        <f t="shared" ref="E126:AJ126" si="30">IF(E7=MIN(E7,E23,E8),1,IF(E8=MIN(E8,E23,E7),2,IF(E23=MIN(E8,E7,E23),3)))</f>
        <v>3</v>
      </c>
      <c r="F126" s="55" t="b">
        <f t="shared" si="30"/>
        <v>0</v>
      </c>
      <c r="G126" s="55">
        <f t="shared" si="30"/>
        <v>1</v>
      </c>
      <c r="H126" s="55">
        <f t="shared" si="30"/>
        <v>1</v>
      </c>
      <c r="I126" s="55">
        <f t="shared" si="30"/>
        <v>1</v>
      </c>
      <c r="J126" s="55">
        <f t="shared" si="30"/>
        <v>2</v>
      </c>
      <c r="K126" s="55">
        <f t="shared" si="30"/>
        <v>3</v>
      </c>
      <c r="L126" s="55" t="b">
        <f t="shared" si="30"/>
        <v>0</v>
      </c>
      <c r="M126" s="55">
        <f t="shared" si="30"/>
        <v>1</v>
      </c>
      <c r="N126" s="55">
        <f t="shared" si="30"/>
        <v>3</v>
      </c>
      <c r="O126" s="55">
        <f t="shared" si="30"/>
        <v>1</v>
      </c>
      <c r="P126" s="55">
        <f t="shared" si="30"/>
        <v>1</v>
      </c>
      <c r="Q126" s="55" t="b">
        <f t="shared" si="30"/>
        <v>0</v>
      </c>
      <c r="R126" s="55" t="b">
        <f t="shared" si="30"/>
        <v>0</v>
      </c>
      <c r="S126" s="55">
        <f t="shared" si="30"/>
        <v>1</v>
      </c>
      <c r="T126" s="55">
        <f t="shared" si="30"/>
        <v>2</v>
      </c>
      <c r="U126" s="55" t="b">
        <f t="shared" si="30"/>
        <v>0</v>
      </c>
      <c r="V126" s="55">
        <f t="shared" si="30"/>
        <v>1</v>
      </c>
      <c r="W126" s="55" t="b">
        <f t="shared" si="30"/>
        <v>0</v>
      </c>
      <c r="X126" s="55" t="b">
        <f t="shared" si="30"/>
        <v>0</v>
      </c>
      <c r="Y126" s="55" t="b">
        <f t="shared" si="30"/>
        <v>0</v>
      </c>
      <c r="Z126" s="55">
        <f t="shared" si="30"/>
        <v>1</v>
      </c>
      <c r="AA126" s="55">
        <f t="shared" si="30"/>
        <v>3</v>
      </c>
      <c r="AB126" s="55" t="b">
        <f t="shared" si="30"/>
        <v>0</v>
      </c>
      <c r="AC126" s="55">
        <f t="shared" si="30"/>
        <v>1</v>
      </c>
      <c r="AD126" s="55" t="b">
        <f t="shared" si="30"/>
        <v>0</v>
      </c>
      <c r="AE126" s="55" t="b">
        <f t="shared" si="30"/>
        <v>0</v>
      </c>
      <c r="AF126" s="55">
        <f t="shared" si="30"/>
        <v>3</v>
      </c>
      <c r="AG126" s="55">
        <f t="shared" si="30"/>
        <v>2</v>
      </c>
      <c r="AH126" s="55" t="b">
        <f t="shared" si="30"/>
        <v>0</v>
      </c>
      <c r="AI126" s="55">
        <f t="shared" si="30"/>
        <v>1</v>
      </c>
      <c r="AJ126" s="55">
        <f t="shared" si="30"/>
        <v>1</v>
      </c>
      <c r="AK126" s="55" t="b">
        <f t="shared" ref="AK126:BP126" si="31">IF(AK7=MIN(AK7,AK23,AK8),1,IF(AK8=MIN(AK8,AK23,AK7),2,IF(AK23=MIN(AK8,AK7,AK23),3)))</f>
        <v>0</v>
      </c>
      <c r="AL126" s="55">
        <f t="shared" si="31"/>
        <v>1</v>
      </c>
      <c r="AM126" s="55" t="b">
        <f t="shared" si="31"/>
        <v>0</v>
      </c>
      <c r="AN126" s="55">
        <f t="shared" si="31"/>
        <v>1</v>
      </c>
      <c r="AO126" s="55">
        <f t="shared" si="31"/>
        <v>1</v>
      </c>
      <c r="AP126" s="55" t="b">
        <f t="shared" si="31"/>
        <v>0</v>
      </c>
      <c r="AQ126" s="55">
        <f t="shared" si="31"/>
        <v>1</v>
      </c>
      <c r="AR126" s="55">
        <f t="shared" si="31"/>
        <v>1</v>
      </c>
      <c r="AS126" s="55" t="b">
        <f t="shared" si="31"/>
        <v>0</v>
      </c>
      <c r="AT126" s="55" t="b">
        <f t="shared" si="31"/>
        <v>0</v>
      </c>
      <c r="AU126" s="55">
        <f t="shared" si="31"/>
        <v>3</v>
      </c>
      <c r="AV126" s="55" t="b">
        <f t="shared" si="31"/>
        <v>0</v>
      </c>
      <c r="AW126" s="55" t="b">
        <f t="shared" si="31"/>
        <v>0</v>
      </c>
      <c r="AX126" s="55">
        <f t="shared" si="31"/>
        <v>3</v>
      </c>
      <c r="AY126" s="55" t="b">
        <f t="shared" si="31"/>
        <v>0</v>
      </c>
      <c r="AZ126" s="55" t="b">
        <f t="shared" si="31"/>
        <v>0</v>
      </c>
      <c r="BA126" s="55">
        <f t="shared" si="31"/>
        <v>1</v>
      </c>
      <c r="BB126" s="55">
        <f t="shared" si="31"/>
        <v>1</v>
      </c>
      <c r="BC126" s="55" t="b">
        <f t="shared" si="31"/>
        <v>0</v>
      </c>
      <c r="BD126" s="55">
        <f t="shared" si="31"/>
        <v>1</v>
      </c>
      <c r="BE126" s="55" t="b">
        <f t="shared" si="31"/>
        <v>0</v>
      </c>
      <c r="BF126" s="55" t="b">
        <f t="shared" si="31"/>
        <v>0</v>
      </c>
      <c r="BG126" s="55">
        <f t="shared" si="31"/>
        <v>2</v>
      </c>
      <c r="BH126" s="55" t="b">
        <f t="shared" si="31"/>
        <v>0</v>
      </c>
      <c r="BI126" s="55" t="b">
        <f t="shared" si="31"/>
        <v>0</v>
      </c>
      <c r="BJ126" s="55" t="b">
        <f t="shared" si="31"/>
        <v>0</v>
      </c>
      <c r="BK126" s="55" t="b">
        <f t="shared" si="31"/>
        <v>0</v>
      </c>
      <c r="BL126" s="55">
        <f t="shared" si="31"/>
        <v>3</v>
      </c>
      <c r="BM126" s="55" t="b">
        <f t="shared" si="31"/>
        <v>0</v>
      </c>
      <c r="BN126" s="55" t="b">
        <f t="shared" si="31"/>
        <v>0</v>
      </c>
      <c r="BO126" s="55">
        <f t="shared" si="31"/>
        <v>3</v>
      </c>
      <c r="BP126" s="55">
        <f t="shared" si="31"/>
        <v>3</v>
      </c>
      <c r="BQ126" s="55">
        <f t="shared" ref="BQ126:CG126" si="32">IF(BQ7=MIN(BQ7,BQ23,BQ8),1,IF(BQ8=MIN(BQ8,BQ23,BQ7),2,IF(BQ23=MIN(BQ8,BQ7,BQ23),3)))</f>
        <v>1</v>
      </c>
      <c r="BR126" s="55" t="b">
        <f t="shared" si="32"/>
        <v>0</v>
      </c>
      <c r="BS126" s="55" t="b">
        <f t="shared" si="32"/>
        <v>0</v>
      </c>
      <c r="BT126" s="55" t="b">
        <f t="shared" si="32"/>
        <v>0</v>
      </c>
      <c r="BU126" s="55" t="b">
        <f t="shared" si="32"/>
        <v>0</v>
      </c>
      <c r="BV126" s="55">
        <f t="shared" si="32"/>
        <v>2</v>
      </c>
      <c r="BW126" s="55" t="b">
        <f t="shared" si="32"/>
        <v>0</v>
      </c>
      <c r="BX126" s="55" t="b">
        <f t="shared" si="32"/>
        <v>0</v>
      </c>
      <c r="BY126" s="55" t="b">
        <f t="shared" si="32"/>
        <v>0</v>
      </c>
      <c r="BZ126" s="55" t="b">
        <f t="shared" si="32"/>
        <v>0</v>
      </c>
      <c r="CA126" s="55">
        <f t="shared" si="32"/>
        <v>2</v>
      </c>
      <c r="CB126" s="55">
        <f t="shared" si="32"/>
        <v>1</v>
      </c>
      <c r="CC126" s="55" t="b">
        <f t="shared" si="32"/>
        <v>0</v>
      </c>
      <c r="CD126" s="55" t="b">
        <f t="shared" si="32"/>
        <v>0</v>
      </c>
      <c r="CE126" s="55" t="b">
        <f t="shared" si="32"/>
        <v>0</v>
      </c>
      <c r="CF126" s="55" t="b">
        <f t="shared" si="32"/>
        <v>0</v>
      </c>
      <c r="CG126" s="55" t="b">
        <f t="shared" si="32"/>
        <v>0</v>
      </c>
    </row>
    <row r="127" spans="1:85" s="55" customFormat="1" x14ac:dyDescent="0.25">
      <c r="A127" s="75"/>
      <c r="B127" s="51"/>
      <c r="C127" s="51"/>
      <c r="F127" s="55" t="s">
        <v>565</v>
      </c>
    </row>
    <row r="129" spans="1:85" x14ac:dyDescent="0.25">
      <c r="C129" s="51" t="s">
        <v>569</v>
      </c>
      <c r="E129" t="e">
        <f>AVERAGE(C140:D140)</f>
        <v>#DIV/0!</v>
      </c>
      <c r="F129">
        <f>AVERAGE(F12:F15,F20,F27:F32,F35,F35:F36,F39:F41)</f>
        <v>0.73166666666666658</v>
      </c>
      <c r="G129" t="e">
        <f>AVERAGE(G39:G41,G35:G36,G20)</f>
        <v>#DIV/0!</v>
      </c>
      <c r="H129">
        <f t="shared" ref="H129:AM129" si="33">AVERAGE(H12:H15,H20,H27:H32,H35,H35:H36,H39:H41)</f>
        <v>4.0318181818181813</v>
      </c>
      <c r="I129">
        <f t="shared" si="33"/>
        <v>12.73875</v>
      </c>
      <c r="J129">
        <f t="shared" si="33"/>
        <v>18.724285714285713</v>
      </c>
      <c r="K129">
        <f t="shared" si="33"/>
        <v>2.4805882352941175</v>
      </c>
      <c r="L129">
        <f t="shared" si="33"/>
        <v>8.875</v>
      </c>
      <c r="M129">
        <f t="shared" si="33"/>
        <v>83.431764705882358</v>
      </c>
      <c r="N129">
        <f t="shared" si="33"/>
        <v>52.949999999999996</v>
      </c>
      <c r="O129">
        <f t="shared" si="33"/>
        <v>119.96588235294118</v>
      </c>
      <c r="P129">
        <f t="shared" si="33"/>
        <v>22.77058823529412</v>
      </c>
      <c r="Q129">
        <f t="shared" si="33"/>
        <v>3.0149999999999997</v>
      </c>
      <c r="R129" t="e">
        <f t="shared" si="33"/>
        <v>#DIV/0!</v>
      </c>
      <c r="S129">
        <f t="shared" si="33"/>
        <v>13.598333333333334</v>
      </c>
      <c r="T129">
        <f t="shared" si="33"/>
        <v>1.7164705882352942</v>
      </c>
      <c r="U129" t="e">
        <f t="shared" si="33"/>
        <v>#DIV/0!</v>
      </c>
      <c r="V129">
        <f t="shared" si="33"/>
        <v>69.425714285714292</v>
      </c>
      <c r="W129">
        <f t="shared" si="33"/>
        <v>17.647500000000001</v>
      </c>
      <c r="X129" t="e">
        <f t="shared" si="33"/>
        <v>#DIV/0!</v>
      </c>
      <c r="Y129">
        <f t="shared" si="33"/>
        <v>6.5925000000000002</v>
      </c>
      <c r="Z129">
        <f t="shared" si="33"/>
        <v>3.3270588235294118</v>
      </c>
      <c r="AA129">
        <f t="shared" si="33"/>
        <v>67.154705882352928</v>
      </c>
      <c r="AB129">
        <f t="shared" si="33"/>
        <v>4.041666666666667</v>
      </c>
      <c r="AC129">
        <f t="shared" si="33"/>
        <v>27760.213529411769</v>
      </c>
      <c r="AD129">
        <f t="shared" si="33"/>
        <v>47.279375000000002</v>
      </c>
      <c r="AE129">
        <f t="shared" si="33"/>
        <v>14.764999999999999</v>
      </c>
      <c r="AF129" t="e">
        <f t="shared" si="33"/>
        <v>#DIV/0!</v>
      </c>
      <c r="AG129">
        <f t="shared" si="33"/>
        <v>5.6642857142857155</v>
      </c>
      <c r="AH129" t="e">
        <f t="shared" si="33"/>
        <v>#DIV/0!</v>
      </c>
      <c r="AI129">
        <f t="shared" si="33"/>
        <v>0.33499999999999996</v>
      </c>
      <c r="AJ129">
        <f t="shared" si="33"/>
        <v>438.34882352941179</v>
      </c>
      <c r="AK129">
        <f t="shared" si="33"/>
        <v>1.0549999999999999</v>
      </c>
      <c r="AL129">
        <f t="shared" si="33"/>
        <v>24.245555555555558</v>
      </c>
      <c r="AM129" t="e">
        <f t="shared" si="33"/>
        <v>#DIV/0!</v>
      </c>
      <c r="AN129">
        <f t="shared" ref="AN129:BS129" si="34">AVERAGE(AN12:AN15,AN20,AN27:AN32,AN35,AN35:AN36,AN39:AN41)</f>
        <v>11.769411764705881</v>
      </c>
      <c r="AO129" t="e">
        <f t="shared" si="34"/>
        <v>#DIV/0!</v>
      </c>
      <c r="AP129" t="e">
        <f t="shared" si="34"/>
        <v>#DIV/0!</v>
      </c>
      <c r="AQ129">
        <f t="shared" si="34"/>
        <v>108.36411764705883</v>
      </c>
      <c r="AR129">
        <f t="shared" si="34"/>
        <v>7.6158823529411777</v>
      </c>
      <c r="AS129" t="e">
        <f t="shared" si="34"/>
        <v>#DIV/0!</v>
      </c>
      <c r="AT129" t="e">
        <f t="shared" si="34"/>
        <v>#DIV/0!</v>
      </c>
      <c r="AU129">
        <f t="shared" si="34"/>
        <v>193.22545454545454</v>
      </c>
      <c r="AV129" t="e">
        <f t="shared" si="34"/>
        <v>#DIV/0!</v>
      </c>
      <c r="AW129">
        <f t="shared" si="34"/>
        <v>2.871428571428571</v>
      </c>
      <c r="AX129">
        <f t="shared" si="34"/>
        <v>35.44</v>
      </c>
      <c r="AY129" t="e">
        <f t="shared" si="34"/>
        <v>#DIV/0!</v>
      </c>
      <c r="AZ129" t="e">
        <f t="shared" si="34"/>
        <v>#DIV/0!</v>
      </c>
      <c r="BA129" t="e">
        <f t="shared" si="34"/>
        <v>#DIV/0!</v>
      </c>
      <c r="BB129">
        <f t="shared" si="34"/>
        <v>0.3</v>
      </c>
      <c r="BC129" t="e">
        <f t="shared" si="34"/>
        <v>#DIV/0!</v>
      </c>
      <c r="BD129">
        <f t="shared" si="34"/>
        <v>2.3305882352941181</v>
      </c>
      <c r="BE129" t="e">
        <f t="shared" si="34"/>
        <v>#DIV/0!</v>
      </c>
      <c r="BF129">
        <f t="shared" si="34"/>
        <v>3.53</v>
      </c>
      <c r="BG129">
        <f t="shared" si="34"/>
        <v>4.54</v>
      </c>
      <c r="BH129">
        <f t="shared" si="34"/>
        <v>32.852000000000004</v>
      </c>
      <c r="BI129" t="e">
        <f t="shared" si="34"/>
        <v>#DIV/0!</v>
      </c>
      <c r="BJ129">
        <f t="shared" si="34"/>
        <v>73.59</v>
      </c>
      <c r="BK129" t="e">
        <f t="shared" si="34"/>
        <v>#DIV/0!</v>
      </c>
      <c r="BL129" t="e">
        <f t="shared" si="34"/>
        <v>#DIV/0!</v>
      </c>
      <c r="BM129" t="e">
        <f t="shared" si="34"/>
        <v>#DIV/0!</v>
      </c>
      <c r="BN129" t="e">
        <f t="shared" si="34"/>
        <v>#DIV/0!</v>
      </c>
      <c r="BO129">
        <f t="shared" si="34"/>
        <v>17.133529411764702</v>
      </c>
      <c r="BP129" t="e">
        <f t="shared" si="34"/>
        <v>#DIV/0!</v>
      </c>
      <c r="BQ129">
        <f t="shared" si="34"/>
        <v>2.0113333333333334</v>
      </c>
      <c r="BR129" t="e">
        <f t="shared" si="34"/>
        <v>#DIV/0!</v>
      </c>
      <c r="BS129" t="e">
        <f t="shared" si="34"/>
        <v>#DIV/0!</v>
      </c>
      <c r="BT129">
        <f t="shared" ref="BT129:CG129" si="35">AVERAGE(BT12:BT15,BT20,BT27:BT32,BT35,BT35:BT36,BT39:BT41)</f>
        <v>0.73</v>
      </c>
      <c r="BU129">
        <f t="shared" si="35"/>
        <v>1.19</v>
      </c>
      <c r="BV129">
        <f t="shared" si="35"/>
        <v>2.5733333333333337</v>
      </c>
      <c r="BW129" t="e">
        <f t="shared" si="35"/>
        <v>#DIV/0!</v>
      </c>
      <c r="BX129" t="e">
        <f t="shared" si="35"/>
        <v>#DIV/0!</v>
      </c>
      <c r="BY129" t="e">
        <f t="shared" si="35"/>
        <v>#DIV/0!</v>
      </c>
      <c r="BZ129" t="e">
        <f t="shared" si="35"/>
        <v>#DIV/0!</v>
      </c>
      <c r="CA129">
        <f t="shared" si="35"/>
        <v>5.8338461538461539</v>
      </c>
      <c r="CB129">
        <f t="shared" si="35"/>
        <v>9.4188235294117657</v>
      </c>
      <c r="CC129" t="e">
        <f t="shared" si="35"/>
        <v>#DIV/0!</v>
      </c>
      <c r="CD129" t="e">
        <f t="shared" si="35"/>
        <v>#DIV/0!</v>
      </c>
      <c r="CE129" t="e">
        <f t="shared" si="35"/>
        <v>#DIV/0!</v>
      </c>
      <c r="CF129" t="e">
        <f t="shared" si="35"/>
        <v>#DIV/0!</v>
      </c>
      <c r="CG129" t="e">
        <f t="shared" si="35"/>
        <v>#DIV/0!</v>
      </c>
    </row>
    <row r="130" spans="1:85" x14ac:dyDescent="0.25">
      <c r="E130" t="e">
        <f t="shared" ref="E130:AJ130" si="36">_xlfn.STDEV.P(E35:E36,E20)</f>
        <v>#DIV/0!</v>
      </c>
      <c r="F130" t="e">
        <f t="shared" si="36"/>
        <v>#DIV/0!</v>
      </c>
      <c r="G130" t="e">
        <f t="shared" si="36"/>
        <v>#DIV/0!</v>
      </c>
      <c r="H130">
        <f t="shared" si="36"/>
        <v>2.3102140352982206</v>
      </c>
      <c r="I130">
        <f t="shared" si="36"/>
        <v>1.090331244265808</v>
      </c>
      <c r="J130">
        <f t="shared" si="36"/>
        <v>4.835875193684064</v>
      </c>
      <c r="K130">
        <f t="shared" si="36"/>
        <v>0.50279220359905963</v>
      </c>
      <c r="L130" t="e">
        <f t="shared" si="36"/>
        <v>#DIV/0!</v>
      </c>
      <c r="M130">
        <f t="shared" si="36"/>
        <v>3.3530616192104579</v>
      </c>
      <c r="N130" t="e">
        <f t="shared" si="36"/>
        <v>#DIV/0!</v>
      </c>
      <c r="O130">
        <f t="shared" si="36"/>
        <v>6.1053637620265215</v>
      </c>
      <c r="P130">
        <f t="shared" si="36"/>
        <v>0.66488094172315415</v>
      </c>
      <c r="Q130" t="e">
        <f t="shared" si="36"/>
        <v>#DIV/0!</v>
      </c>
      <c r="R130" t="e">
        <f t="shared" si="36"/>
        <v>#DIV/0!</v>
      </c>
      <c r="S130" t="e">
        <f t="shared" si="36"/>
        <v>#DIV/0!</v>
      </c>
      <c r="T130">
        <f t="shared" si="36"/>
        <v>0.12961481396815691</v>
      </c>
      <c r="U130" t="e">
        <f t="shared" si="36"/>
        <v>#DIV/0!</v>
      </c>
      <c r="V130">
        <f t="shared" si="36"/>
        <v>0.21746008573733472</v>
      </c>
      <c r="W130" t="e">
        <f t="shared" si="36"/>
        <v>#DIV/0!</v>
      </c>
      <c r="X130" t="e">
        <f t="shared" si="36"/>
        <v>#DIV/0!</v>
      </c>
      <c r="Y130">
        <f t="shared" si="36"/>
        <v>4.0350000000000001</v>
      </c>
      <c r="Z130">
        <f t="shared" si="36"/>
        <v>0.22464787260658986</v>
      </c>
      <c r="AA130">
        <f t="shared" si="36"/>
        <v>1.8094996238985213</v>
      </c>
      <c r="AB130" t="e">
        <f t="shared" si="36"/>
        <v>#DIV/0!</v>
      </c>
      <c r="AC130">
        <f t="shared" si="36"/>
        <v>19.182621185738878</v>
      </c>
      <c r="AD130">
        <f t="shared" si="36"/>
        <v>298.29805389166643</v>
      </c>
      <c r="AE130">
        <f t="shared" si="36"/>
        <v>0</v>
      </c>
      <c r="AF130" t="e">
        <f t="shared" si="36"/>
        <v>#DIV/0!</v>
      </c>
      <c r="AG130" t="e">
        <f t="shared" si="36"/>
        <v>#DIV/0!</v>
      </c>
      <c r="AH130" t="e">
        <f t="shared" si="36"/>
        <v>#DIV/0!</v>
      </c>
      <c r="AI130" t="e">
        <f t="shared" si="36"/>
        <v>#DIV/0!</v>
      </c>
      <c r="AJ130">
        <f t="shared" si="36"/>
        <v>9.9157596223833995</v>
      </c>
      <c r="AK130" t="e">
        <f t="shared" ref="AK130:BP130" si="37">_xlfn.STDEV.P(AK35:AK36,AK20)</f>
        <v>#DIV/0!</v>
      </c>
      <c r="AL130" t="e">
        <f t="shared" si="37"/>
        <v>#DIV/0!</v>
      </c>
      <c r="AM130" t="e">
        <f t="shared" si="37"/>
        <v>#DIV/0!</v>
      </c>
      <c r="AN130">
        <f t="shared" si="37"/>
        <v>2.2149040611277035</v>
      </c>
      <c r="AO130" t="e">
        <f t="shared" si="37"/>
        <v>#DIV/0!</v>
      </c>
      <c r="AP130" t="e">
        <f t="shared" si="37"/>
        <v>#DIV/0!</v>
      </c>
      <c r="AQ130">
        <f t="shared" si="37"/>
        <v>1.8277186751673704</v>
      </c>
      <c r="AR130">
        <f t="shared" si="37"/>
        <v>0.69504596170964583</v>
      </c>
      <c r="AS130" t="e">
        <f t="shared" si="37"/>
        <v>#DIV/0!</v>
      </c>
      <c r="AT130" t="e">
        <f t="shared" si="37"/>
        <v>#DIV/0!</v>
      </c>
      <c r="AU130" t="e">
        <f t="shared" si="37"/>
        <v>#DIV/0!</v>
      </c>
      <c r="AV130" t="e">
        <f t="shared" si="37"/>
        <v>#DIV/0!</v>
      </c>
      <c r="AW130">
        <f t="shared" si="37"/>
        <v>0</v>
      </c>
      <c r="AX130">
        <f t="shared" si="37"/>
        <v>0.44214125445256658</v>
      </c>
      <c r="AY130" t="e">
        <f t="shared" si="37"/>
        <v>#DIV/0!</v>
      </c>
      <c r="AZ130" t="e">
        <f t="shared" si="37"/>
        <v>#DIV/0!</v>
      </c>
      <c r="BA130" t="e">
        <f t="shared" si="37"/>
        <v>#DIV/0!</v>
      </c>
      <c r="BB130" t="e">
        <f t="shared" si="37"/>
        <v>#DIV/0!</v>
      </c>
      <c r="BC130" t="e">
        <f t="shared" si="37"/>
        <v>#DIV/0!</v>
      </c>
      <c r="BD130">
        <f t="shared" si="37"/>
        <v>0.4421412544525658</v>
      </c>
      <c r="BE130" t="e">
        <f t="shared" si="37"/>
        <v>#DIV/0!</v>
      </c>
      <c r="BF130" t="e">
        <f t="shared" si="37"/>
        <v>#DIV/0!</v>
      </c>
      <c r="BG130" t="e">
        <f t="shared" si="37"/>
        <v>#DIV/0!</v>
      </c>
      <c r="BH130">
        <f t="shared" si="37"/>
        <v>0</v>
      </c>
      <c r="BI130" t="e">
        <f t="shared" si="37"/>
        <v>#DIV/0!</v>
      </c>
      <c r="BJ130" t="e">
        <f t="shared" si="37"/>
        <v>#DIV/0!</v>
      </c>
      <c r="BK130" t="e">
        <f t="shared" si="37"/>
        <v>#DIV/0!</v>
      </c>
      <c r="BL130" t="e">
        <f t="shared" si="37"/>
        <v>#DIV/0!</v>
      </c>
      <c r="BM130" t="e">
        <f t="shared" si="37"/>
        <v>#DIV/0!</v>
      </c>
      <c r="BN130" t="e">
        <f t="shared" si="37"/>
        <v>#DIV/0!</v>
      </c>
      <c r="BO130">
        <f t="shared" si="37"/>
        <v>1.168198993703085</v>
      </c>
      <c r="BP130" t="e">
        <f t="shared" si="37"/>
        <v>#DIV/0!</v>
      </c>
      <c r="BQ130">
        <f t="shared" ref="BQ130:CG130" si="38">_xlfn.STDEV.P(BQ35:BQ36,BQ20)</f>
        <v>0.10842303978193728</v>
      </c>
      <c r="BR130" t="e">
        <f t="shared" si="38"/>
        <v>#DIV/0!</v>
      </c>
      <c r="BS130" t="e">
        <f t="shared" si="38"/>
        <v>#DIV/0!</v>
      </c>
      <c r="BT130" t="e">
        <f t="shared" si="38"/>
        <v>#DIV/0!</v>
      </c>
      <c r="BU130" t="e">
        <f t="shared" si="38"/>
        <v>#DIV/0!</v>
      </c>
      <c r="BV130" t="e">
        <f t="shared" si="38"/>
        <v>#DIV/0!</v>
      </c>
      <c r="BW130" t="e">
        <f t="shared" si="38"/>
        <v>#DIV/0!</v>
      </c>
      <c r="BX130" t="e">
        <f t="shared" si="38"/>
        <v>#DIV/0!</v>
      </c>
      <c r="BY130" t="e">
        <f t="shared" si="38"/>
        <v>#DIV/0!</v>
      </c>
      <c r="BZ130" t="e">
        <f t="shared" si="38"/>
        <v>#DIV/0!</v>
      </c>
      <c r="CA130">
        <f t="shared" si="38"/>
        <v>1.3915059787470874</v>
      </c>
      <c r="CB130">
        <f t="shared" si="38"/>
        <v>2.9457351468785427</v>
      </c>
      <c r="CC130" t="e">
        <f t="shared" si="38"/>
        <v>#DIV/0!</v>
      </c>
      <c r="CD130" t="e">
        <f t="shared" si="38"/>
        <v>#DIV/0!</v>
      </c>
      <c r="CE130" t="e">
        <f t="shared" si="38"/>
        <v>#DIV/0!</v>
      </c>
      <c r="CF130" t="e">
        <f t="shared" si="38"/>
        <v>#DIV/0!</v>
      </c>
      <c r="CG130" t="e">
        <f t="shared" si="38"/>
        <v>#DIV/0!</v>
      </c>
    </row>
    <row r="131" spans="1:85" x14ac:dyDescent="0.25">
      <c r="C131" s="51" t="s">
        <v>570</v>
      </c>
      <c r="E131">
        <f t="shared" ref="E131:AJ131" si="39">AVERAGE(E27:E32,E12:E15)</f>
        <v>4.25</v>
      </c>
      <c r="F131">
        <f t="shared" si="39"/>
        <v>0.55000000000000004</v>
      </c>
      <c r="G131" t="e">
        <f t="shared" si="39"/>
        <v>#DIV/0!</v>
      </c>
      <c r="H131">
        <f t="shared" si="39"/>
        <v>1.45</v>
      </c>
      <c r="I131">
        <f t="shared" si="39"/>
        <v>23.88</v>
      </c>
      <c r="J131" t="e">
        <f t="shared" si="39"/>
        <v>#DIV/0!</v>
      </c>
      <c r="K131">
        <f t="shared" si="39"/>
        <v>2.2069999999999999</v>
      </c>
      <c r="L131">
        <f t="shared" si="39"/>
        <v>3.69</v>
      </c>
      <c r="M131">
        <f t="shared" si="39"/>
        <v>99.551000000000002</v>
      </c>
      <c r="N131" t="e">
        <f t="shared" si="39"/>
        <v>#DIV/0!</v>
      </c>
      <c r="O131">
        <f t="shared" si="39"/>
        <v>48.036999999999999</v>
      </c>
      <c r="P131">
        <f t="shared" si="39"/>
        <v>8.3970000000000002</v>
      </c>
      <c r="Q131">
        <f t="shared" si="39"/>
        <v>3.0149999999999997</v>
      </c>
      <c r="R131" t="e">
        <f t="shared" si="39"/>
        <v>#DIV/0!</v>
      </c>
      <c r="S131">
        <f t="shared" si="39"/>
        <v>4.0766666666666671</v>
      </c>
      <c r="T131">
        <f t="shared" si="39"/>
        <v>2.2249999999999996</v>
      </c>
      <c r="U131" t="e">
        <f t="shared" si="39"/>
        <v>#DIV/0!</v>
      </c>
      <c r="V131">
        <f t="shared" si="39"/>
        <v>9.6742857142857144</v>
      </c>
      <c r="W131">
        <f t="shared" si="39"/>
        <v>17.647500000000001</v>
      </c>
      <c r="X131" t="e">
        <f t="shared" si="39"/>
        <v>#DIV/0!</v>
      </c>
      <c r="Y131">
        <f t="shared" si="39"/>
        <v>3.48</v>
      </c>
      <c r="Z131">
        <f t="shared" si="39"/>
        <v>2.0539999999999998</v>
      </c>
      <c r="AA131">
        <f t="shared" si="39"/>
        <v>3.1610000000000005</v>
      </c>
      <c r="AB131">
        <f t="shared" si="39"/>
        <v>4.041666666666667</v>
      </c>
      <c r="AC131">
        <f t="shared" si="39"/>
        <v>46993.850999999995</v>
      </c>
      <c r="AD131">
        <f t="shared" si="39"/>
        <v>10.078888888888889</v>
      </c>
      <c r="AE131">
        <f t="shared" si="39"/>
        <v>28.24</v>
      </c>
      <c r="AF131" t="e">
        <f t="shared" si="39"/>
        <v>#DIV/0!</v>
      </c>
      <c r="AG131">
        <f t="shared" si="39"/>
        <v>5.501666666666666</v>
      </c>
      <c r="AH131" t="e">
        <f t="shared" si="39"/>
        <v>#DIV/0!</v>
      </c>
      <c r="AI131" t="e">
        <f t="shared" si="39"/>
        <v>#DIV/0!</v>
      </c>
      <c r="AJ131">
        <f t="shared" si="39"/>
        <v>28.042000000000002</v>
      </c>
      <c r="AK131">
        <f t="shared" ref="AK131:BP131" si="40">AVERAGE(AK27:AK32,AK12:AK15)</f>
        <v>1.0549999999999999</v>
      </c>
      <c r="AL131">
        <f t="shared" si="40"/>
        <v>5.7366666666666672</v>
      </c>
      <c r="AM131" t="e">
        <f t="shared" si="40"/>
        <v>#DIV/0!</v>
      </c>
      <c r="AN131">
        <f t="shared" si="40"/>
        <v>14.829999999999998</v>
      </c>
      <c r="AO131" t="e">
        <f t="shared" si="40"/>
        <v>#DIV/0!</v>
      </c>
      <c r="AP131" t="e">
        <f t="shared" si="40"/>
        <v>#DIV/0!</v>
      </c>
      <c r="AQ131">
        <f t="shared" si="40"/>
        <v>7.8170000000000002</v>
      </c>
      <c r="AR131">
        <f t="shared" si="40"/>
        <v>6.5760000000000005</v>
      </c>
      <c r="AS131" t="e">
        <f t="shared" si="40"/>
        <v>#DIV/0!</v>
      </c>
      <c r="AT131" t="e">
        <f t="shared" si="40"/>
        <v>#DIV/0!</v>
      </c>
      <c r="AU131">
        <f t="shared" si="40"/>
        <v>21.883749999999999</v>
      </c>
      <c r="AV131" t="e">
        <f t="shared" si="40"/>
        <v>#DIV/0!</v>
      </c>
      <c r="AW131">
        <f t="shared" si="40"/>
        <v>3.58</v>
      </c>
      <c r="AX131">
        <f t="shared" si="40"/>
        <v>1.8969999999999996</v>
      </c>
      <c r="AY131" t="e">
        <f t="shared" si="40"/>
        <v>#DIV/0!</v>
      </c>
      <c r="AZ131" t="e">
        <f t="shared" si="40"/>
        <v>#DIV/0!</v>
      </c>
      <c r="BA131" t="e">
        <f t="shared" si="40"/>
        <v>#DIV/0!</v>
      </c>
      <c r="BB131">
        <f t="shared" si="40"/>
        <v>0.3</v>
      </c>
      <c r="BC131" t="e">
        <f t="shared" si="40"/>
        <v>#DIV/0!</v>
      </c>
      <c r="BD131">
        <f t="shared" si="40"/>
        <v>2.3780000000000001</v>
      </c>
      <c r="BE131" t="e">
        <f t="shared" si="40"/>
        <v>#DIV/0!</v>
      </c>
      <c r="BF131" t="e">
        <f t="shared" si="40"/>
        <v>#DIV/0!</v>
      </c>
      <c r="BG131">
        <f t="shared" si="40"/>
        <v>4.54</v>
      </c>
      <c r="BH131">
        <f t="shared" si="40"/>
        <v>36.002222222222223</v>
      </c>
      <c r="BI131" t="e">
        <f t="shared" si="40"/>
        <v>#DIV/0!</v>
      </c>
      <c r="BJ131">
        <f t="shared" si="40"/>
        <v>7.52</v>
      </c>
      <c r="BK131" t="e">
        <f t="shared" si="40"/>
        <v>#DIV/0!</v>
      </c>
      <c r="BL131" t="e">
        <f t="shared" si="40"/>
        <v>#DIV/0!</v>
      </c>
      <c r="BM131" t="e">
        <f t="shared" si="40"/>
        <v>#DIV/0!</v>
      </c>
      <c r="BN131" t="e">
        <f t="shared" si="40"/>
        <v>#DIV/0!</v>
      </c>
      <c r="BO131">
        <f t="shared" si="40"/>
        <v>21.297999999999998</v>
      </c>
      <c r="BP131" t="e">
        <f t="shared" si="40"/>
        <v>#DIV/0!</v>
      </c>
      <c r="BQ131">
        <f t="shared" ref="BQ131:CG131" si="41">AVERAGE(BQ27:BQ32,BQ12:BQ15)</f>
        <v>2.1300000000000003</v>
      </c>
      <c r="BR131" t="e">
        <f t="shared" si="41"/>
        <v>#DIV/0!</v>
      </c>
      <c r="BS131" t="e">
        <f t="shared" si="41"/>
        <v>#DIV/0!</v>
      </c>
      <c r="BT131" t="e">
        <f t="shared" si="41"/>
        <v>#DIV/0!</v>
      </c>
      <c r="BU131">
        <f t="shared" si="41"/>
        <v>1.19</v>
      </c>
      <c r="BV131">
        <f t="shared" si="41"/>
        <v>3.2850000000000001</v>
      </c>
      <c r="BW131" t="e">
        <f t="shared" si="41"/>
        <v>#DIV/0!</v>
      </c>
      <c r="BX131" t="e">
        <f t="shared" si="41"/>
        <v>#DIV/0!</v>
      </c>
      <c r="BY131" t="e">
        <f t="shared" si="41"/>
        <v>#DIV/0!</v>
      </c>
      <c r="BZ131" t="e">
        <f t="shared" si="41"/>
        <v>#DIV/0!</v>
      </c>
      <c r="CA131">
        <f t="shared" si="41"/>
        <v>4.7114285714285709</v>
      </c>
      <c r="CB131">
        <f t="shared" si="41"/>
        <v>10.711</v>
      </c>
      <c r="CC131" t="e">
        <f t="shared" si="41"/>
        <v>#DIV/0!</v>
      </c>
      <c r="CD131" t="e">
        <f t="shared" si="41"/>
        <v>#DIV/0!</v>
      </c>
      <c r="CE131" t="e">
        <f t="shared" si="41"/>
        <v>#DIV/0!</v>
      </c>
      <c r="CF131" t="e">
        <f t="shared" si="41"/>
        <v>#DIV/0!</v>
      </c>
      <c r="CG131" t="e">
        <f t="shared" si="41"/>
        <v>#DIV/0!</v>
      </c>
    </row>
    <row r="132" spans="1:85" x14ac:dyDescent="0.25">
      <c r="E132">
        <f t="shared" ref="E132:AJ132" si="42">_xlfn.STDEV.P(E27:E32,E12:E15)</f>
        <v>0</v>
      </c>
      <c r="F132">
        <f t="shared" si="42"/>
        <v>0.13623509092741126</v>
      </c>
      <c r="G132" t="e">
        <f t="shared" si="42"/>
        <v>#DIV/0!</v>
      </c>
      <c r="H132">
        <f t="shared" si="42"/>
        <v>0.40441315507782366</v>
      </c>
      <c r="I132">
        <f t="shared" si="42"/>
        <v>0</v>
      </c>
      <c r="J132" t="e">
        <f t="shared" si="42"/>
        <v>#DIV/0!</v>
      </c>
      <c r="K132">
        <f t="shared" si="42"/>
        <v>1.1863224688085441</v>
      </c>
      <c r="L132">
        <f t="shared" si="42"/>
        <v>0</v>
      </c>
      <c r="M132">
        <f t="shared" si="42"/>
        <v>75.448633314328532</v>
      </c>
      <c r="N132" t="e">
        <f t="shared" si="42"/>
        <v>#DIV/0!</v>
      </c>
      <c r="O132">
        <f t="shared" si="42"/>
        <v>31.168331379783545</v>
      </c>
      <c r="P132">
        <f t="shared" si="42"/>
        <v>6.6918070055852636</v>
      </c>
      <c r="Q132">
        <f t="shared" si="42"/>
        <v>1.7850000000000001</v>
      </c>
      <c r="R132" t="e">
        <f t="shared" si="42"/>
        <v>#DIV/0!</v>
      </c>
      <c r="S132">
        <f t="shared" si="42"/>
        <v>0.26549743668986514</v>
      </c>
      <c r="T132">
        <f t="shared" si="42"/>
        <v>1.4399878471709406</v>
      </c>
      <c r="U132" t="e">
        <f t="shared" si="42"/>
        <v>#DIV/0!</v>
      </c>
      <c r="V132">
        <f t="shared" si="42"/>
        <v>5.3790622048905181</v>
      </c>
      <c r="W132">
        <f t="shared" si="42"/>
        <v>7.8483258565123295</v>
      </c>
      <c r="X132" t="e">
        <f t="shared" si="42"/>
        <v>#DIV/0!</v>
      </c>
      <c r="Y132">
        <f t="shared" si="42"/>
        <v>0</v>
      </c>
      <c r="Z132">
        <f t="shared" si="42"/>
        <v>0.91897986920280228</v>
      </c>
      <c r="AA132">
        <f t="shared" si="42"/>
        <v>2.2399037925768153</v>
      </c>
      <c r="AB132">
        <f t="shared" si="42"/>
        <v>1.5006489337024231</v>
      </c>
      <c r="AC132">
        <f t="shared" si="42"/>
        <v>21427.961677410876</v>
      </c>
      <c r="AD132">
        <f t="shared" si="42"/>
        <v>7.2904586724239104</v>
      </c>
      <c r="AE132">
        <f t="shared" si="42"/>
        <v>0</v>
      </c>
      <c r="AF132" t="e">
        <f t="shared" si="42"/>
        <v>#DIV/0!</v>
      </c>
      <c r="AG132">
        <f t="shared" si="42"/>
        <v>3.1360453688611636</v>
      </c>
      <c r="AH132" t="e">
        <f t="shared" si="42"/>
        <v>#DIV/0!</v>
      </c>
      <c r="AI132" t="e">
        <f t="shared" si="42"/>
        <v>#DIV/0!</v>
      </c>
      <c r="AJ132">
        <f t="shared" si="42"/>
        <v>14.813482912536127</v>
      </c>
      <c r="AK132">
        <f t="shared" ref="AK132:BP132" si="43">_xlfn.STDEV.P(AK27:AK32,AK12:AK15)</f>
        <v>0.15499999999999989</v>
      </c>
      <c r="AL132">
        <f t="shared" si="43"/>
        <v>0.64066805410879379</v>
      </c>
      <c r="AM132" t="e">
        <f t="shared" si="43"/>
        <v>#DIV/0!</v>
      </c>
      <c r="AN132">
        <f t="shared" si="43"/>
        <v>11.973235151787508</v>
      </c>
      <c r="AO132" t="e">
        <f t="shared" si="43"/>
        <v>#DIV/0!</v>
      </c>
      <c r="AP132" t="e">
        <f t="shared" si="43"/>
        <v>#DIV/0!</v>
      </c>
      <c r="AQ132">
        <f t="shared" si="43"/>
        <v>5.4668053742565226</v>
      </c>
      <c r="AR132">
        <f t="shared" si="43"/>
        <v>4.636005176873728</v>
      </c>
      <c r="AS132" t="e">
        <f t="shared" si="43"/>
        <v>#DIV/0!</v>
      </c>
      <c r="AT132" t="e">
        <f t="shared" si="43"/>
        <v>#DIV/0!</v>
      </c>
      <c r="AU132">
        <f t="shared" si="43"/>
        <v>13.533040066352424</v>
      </c>
      <c r="AV132" t="e">
        <f t="shared" si="43"/>
        <v>#DIV/0!</v>
      </c>
      <c r="AW132">
        <f t="shared" si="43"/>
        <v>1.4841664327156843</v>
      </c>
      <c r="AX132">
        <f t="shared" si="43"/>
        <v>0.71494125632809946</v>
      </c>
      <c r="AY132" t="e">
        <f t="shared" si="43"/>
        <v>#DIV/0!</v>
      </c>
      <c r="AZ132" t="e">
        <f t="shared" si="43"/>
        <v>#DIV/0!</v>
      </c>
      <c r="BA132" t="e">
        <f t="shared" si="43"/>
        <v>#DIV/0!</v>
      </c>
      <c r="BB132">
        <f t="shared" si="43"/>
        <v>0</v>
      </c>
      <c r="BC132" t="e">
        <f t="shared" si="43"/>
        <v>#DIV/0!</v>
      </c>
      <c r="BD132">
        <f t="shared" si="43"/>
        <v>1.1542772630525118</v>
      </c>
      <c r="BE132" t="e">
        <f t="shared" si="43"/>
        <v>#DIV/0!</v>
      </c>
      <c r="BF132" t="e">
        <f t="shared" si="43"/>
        <v>#DIV/0!</v>
      </c>
      <c r="BG132">
        <f t="shared" si="43"/>
        <v>2.0653329029480951</v>
      </c>
      <c r="BH132">
        <f t="shared" si="43"/>
        <v>28.282779911214053</v>
      </c>
      <c r="BI132" t="e">
        <f t="shared" si="43"/>
        <v>#DIV/0!</v>
      </c>
      <c r="BJ132">
        <f t="shared" si="43"/>
        <v>0</v>
      </c>
      <c r="BK132" t="e">
        <f t="shared" si="43"/>
        <v>#DIV/0!</v>
      </c>
      <c r="BL132" t="e">
        <f t="shared" si="43"/>
        <v>#DIV/0!</v>
      </c>
      <c r="BM132" t="e">
        <f t="shared" si="43"/>
        <v>#DIV/0!</v>
      </c>
      <c r="BN132" t="e">
        <f t="shared" si="43"/>
        <v>#DIV/0!</v>
      </c>
      <c r="BO132">
        <f t="shared" si="43"/>
        <v>12.981354936985587</v>
      </c>
      <c r="BP132" t="e">
        <f t="shared" si="43"/>
        <v>#DIV/0!</v>
      </c>
      <c r="BQ132">
        <f t="shared" ref="BQ132:CG132" si="44">_xlfn.STDEV.P(BQ27:BQ32,BQ12:BQ15)</f>
        <v>1.1182327326833372</v>
      </c>
      <c r="BR132" t="e">
        <f t="shared" si="44"/>
        <v>#DIV/0!</v>
      </c>
      <c r="BS132" t="e">
        <f t="shared" si="44"/>
        <v>#DIV/0!</v>
      </c>
      <c r="BT132" t="e">
        <f t="shared" si="44"/>
        <v>#DIV/0!</v>
      </c>
      <c r="BU132">
        <f t="shared" si="44"/>
        <v>0</v>
      </c>
      <c r="BV132">
        <f t="shared" si="44"/>
        <v>0.47499999999999903</v>
      </c>
      <c r="BW132" t="e">
        <f t="shared" si="44"/>
        <v>#DIV/0!</v>
      </c>
      <c r="BX132" t="e">
        <f t="shared" si="44"/>
        <v>#DIV/0!</v>
      </c>
      <c r="BY132" t="e">
        <f t="shared" si="44"/>
        <v>#DIV/0!</v>
      </c>
      <c r="BZ132" t="e">
        <f t="shared" si="44"/>
        <v>#DIV/0!</v>
      </c>
      <c r="CA132">
        <f t="shared" si="44"/>
        <v>1.8737237833593665</v>
      </c>
      <c r="CB132">
        <f t="shared" si="44"/>
        <v>15.195963575897382</v>
      </c>
      <c r="CC132" t="e">
        <f t="shared" si="44"/>
        <v>#DIV/0!</v>
      </c>
      <c r="CD132" t="e">
        <f t="shared" si="44"/>
        <v>#DIV/0!</v>
      </c>
      <c r="CE132" t="e">
        <f t="shared" si="44"/>
        <v>#DIV/0!</v>
      </c>
      <c r="CF132" t="e">
        <f t="shared" si="44"/>
        <v>#DIV/0!</v>
      </c>
      <c r="CG132" t="e">
        <f t="shared" si="44"/>
        <v>#DIV/0!</v>
      </c>
    </row>
    <row r="133" spans="1:85" x14ac:dyDescent="0.25">
      <c r="C133" s="51" t="s">
        <v>571</v>
      </c>
      <c r="E133" t="e">
        <f t="shared" ref="E133:AJ133" si="45">AVERAGE(E16,E19,E33:E34,E38)</f>
        <v>#DIV/0!</v>
      </c>
      <c r="F133">
        <f t="shared" si="45"/>
        <v>0.47</v>
      </c>
      <c r="G133">
        <f t="shared" si="45"/>
        <v>0.51</v>
      </c>
      <c r="H133">
        <f t="shared" si="45"/>
        <v>10.914999999999999</v>
      </c>
      <c r="I133">
        <f t="shared" si="45"/>
        <v>23.323333333333334</v>
      </c>
      <c r="J133">
        <f t="shared" si="45"/>
        <v>33.726666666666667</v>
      </c>
      <c r="K133">
        <f t="shared" si="45"/>
        <v>3.1979999999999995</v>
      </c>
      <c r="L133" t="e">
        <f t="shared" si="45"/>
        <v>#DIV/0!</v>
      </c>
      <c r="M133">
        <f t="shared" si="45"/>
        <v>70.152000000000001</v>
      </c>
      <c r="N133">
        <f t="shared" si="45"/>
        <v>1424.4649999999999</v>
      </c>
      <c r="O133">
        <f t="shared" si="45"/>
        <v>142.81</v>
      </c>
      <c r="P133">
        <f t="shared" si="45"/>
        <v>23.62</v>
      </c>
      <c r="Q133" t="e">
        <f t="shared" si="45"/>
        <v>#DIV/0!</v>
      </c>
      <c r="R133" t="e">
        <f t="shared" si="45"/>
        <v>#DIV/0!</v>
      </c>
      <c r="S133">
        <f t="shared" si="45"/>
        <v>9.9700000000000006</v>
      </c>
      <c r="T133">
        <f t="shared" si="45"/>
        <v>1.1299999999999999</v>
      </c>
      <c r="U133" t="e">
        <f t="shared" si="45"/>
        <v>#DIV/0!</v>
      </c>
      <c r="V133">
        <f t="shared" si="45"/>
        <v>47.016666666666659</v>
      </c>
      <c r="W133" t="e">
        <f t="shared" si="45"/>
        <v>#DIV/0!</v>
      </c>
      <c r="X133" t="e">
        <f t="shared" si="45"/>
        <v>#DIV/0!</v>
      </c>
      <c r="Y133" t="e">
        <f t="shared" si="45"/>
        <v>#DIV/0!</v>
      </c>
      <c r="Z133">
        <f t="shared" si="45"/>
        <v>8.9420000000000002</v>
      </c>
      <c r="AA133">
        <f t="shared" si="45"/>
        <v>355.58000000000004</v>
      </c>
      <c r="AB133" t="e">
        <f t="shared" si="45"/>
        <v>#DIV/0!</v>
      </c>
      <c r="AC133">
        <f t="shared" si="45"/>
        <v>626.58000000000004</v>
      </c>
      <c r="AD133">
        <f t="shared" si="45"/>
        <v>7.1975000000000007</v>
      </c>
      <c r="AE133">
        <f t="shared" si="45"/>
        <v>5.8</v>
      </c>
      <c r="AF133" t="e">
        <f t="shared" si="45"/>
        <v>#DIV/0!</v>
      </c>
      <c r="AG133" t="e">
        <f t="shared" si="45"/>
        <v>#DIV/0!</v>
      </c>
      <c r="AH133" t="e">
        <f t="shared" si="45"/>
        <v>#DIV/0!</v>
      </c>
      <c r="AI133" t="e">
        <f t="shared" si="45"/>
        <v>#DIV/0!</v>
      </c>
      <c r="AJ133">
        <f t="shared" si="45"/>
        <v>1277.674</v>
      </c>
      <c r="AK133" t="e">
        <f t="shared" ref="AK133:BP133" si="46">AVERAGE(AK16,AK19,AK33:AK34,AK38)</f>
        <v>#DIV/0!</v>
      </c>
      <c r="AL133">
        <f t="shared" si="46"/>
        <v>18.631999999999998</v>
      </c>
      <c r="AM133" t="e">
        <f t="shared" si="46"/>
        <v>#DIV/0!</v>
      </c>
      <c r="AN133">
        <f t="shared" si="46"/>
        <v>12.307999999999998</v>
      </c>
      <c r="AO133" t="e">
        <f t="shared" si="46"/>
        <v>#DIV/0!</v>
      </c>
      <c r="AP133" t="e">
        <f t="shared" si="46"/>
        <v>#DIV/0!</v>
      </c>
      <c r="AQ133">
        <f t="shared" si="46"/>
        <v>67.69250000000001</v>
      </c>
      <c r="AR133">
        <f t="shared" si="46"/>
        <v>8.4859999999999989</v>
      </c>
      <c r="AS133" t="e">
        <f t="shared" si="46"/>
        <v>#DIV/0!</v>
      </c>
      <c r="AT133" t="e">
        <f t="shared" si="46"/>
        <v>#DIV/0!</v>
      </c>
      <c r="AU133">
        <f t="shared" si="46"/>
        <v>3870.35</v>
      </c>
      <c r="AV133" t="e">
        <f t="shared" si="46"/>
        <v>#DIV/0!</v>
      </c>
      <c r="AW133" t="e">
        <f t="shared" si="46"/>
        <v>#DIV/0!</v>
      </c>
      <c r="AX133">
        <f t="shared" si="46"/>
        <v>201.20800000000003</v>
      </c>
      <c r="AY133" t="e">
        <f t="shared" si="46"/>
        <v>#DIV/0!</v>
      </c>
      <c r="AZ133" t="e">
        <f t="shared" si="46"/>
        <v>#DIV/0!</v>
      </c>
      <c r="BA133" t="e">
        <f t="shared" si="46"/>
        <v>#DIV/0!</v>
      </c>
      <c r="BB133" t="e">
        <f t="shared" si="46"/>
        <v>#DIV/0!</v>
      </c>
      <c r="BC133" t="e">
        <f t="shared" si="46"/>
        <v>#DIV/0!</v>
      </c>
      <c r="BD133">
        <f t="shared" si="46"/>
        <v>1.9999999999999996</v>
      </c>
      <c r="BE133" t="e">
        <f t="shared" si="46"/>
        <v>#DIV/0!</v>
      </c>
      <c r="BF133" t="e">
        <f t="shared" si="46"/>
        <v>#DIV/0!</v>
      </c>
      <c r="BG133">
        <f t="shared" si="46"/>
        <v>19.805000000000003</v>
      </c>
      <c r="BH133">
        <f t="shared" si="46"/>
        <v>4.71</v>
      </c>
      <c r="BI133" t="e">
        <f t="shared" si="46"/>
        <v>#DIV/0!</v>
      </c>
      <c r="BJ133" t="e">
        <f t="shared" si="46"/>
        <v>#DIV/0!</v>
      </c>
      <c r="BK133" t="e">
        <f t="shared" si="46"/>
        <v>#DIV/0!</v>
      </c>
      <c r="BL133" t="e">
        <f t="shared" si="46"/>
        <v>#DIV/0!</v>
      </c>
      <c r="BM133" t="e">
        <f t="shared" si="46"/>
        <v>#DIV/0!</v>
      </c>
      <c r="BN133" t="e">
        <f t="shared" si="46"/>
        <v>#DIV/0!</v>
      </c>
      <c r="BO133">
        <f t="shared" si="46"/>
        <v>15.026</v>
      </c>
      <c r="BP133" t="e">
        <f t="shared" si="46"/>
        <v>#DIV/0!</v>
      </c>
      <c r="BQ133">
        <f t="shared" ref="BQ133:CG133" si="47">AVERAGE(BQ16,BQ19,BQ33:BQ34,BQ38)</f>
        <v>2.23</v>
      </c>
      <c r="BR133" t="e">
        <f t="shared" si="47"/>
        <v>#DIV/0!</v>
      </c>
      <c r="BS133" t="e">
        <f t="shared" si="47"/>
        <v>#DIV/0!</v>
      </c>
      <c r="BT133" t="e">
        <f t="shared" si="47"/>
        <v>#DIV/0!</v>
      </c>
      <c r="BU133" t="e">
        <f t="shared" si="47"/>
        <v>#DIV/0!</v>
      </c>
      <c r="BV133" t="e">
        <f t="shared" si="47"/>
        <v>#DIV/0!</v>
      </c>
      <c r="BW133" t="e">
        <f t="shared" si="47"/>
        <v>#DIV/0!</v>
      </c>
      <c r="BX133" t="e">
        <f t="shared" si="47"/>
        <v>#DIV/0!</v>
      </c>
      <c r="BY133" t="e">
        <f t="shared" si="47"/>
        <v>#DIV/0!</v>
      </c>
      <c r="BZ133" t="e">
        <f t="shared" si="47"/>
        <v>#DIV/0!</v>
      </c>
      <c r="CA133">
        <f t="shared" si="47"/>
        <v>6.8025000000000002</v>
      </c>
      <c r="CB133">
        <f t="shared" si="47"/>
        <v>5.6219999999999999</v>
      </c>
      <c r="CC133" t="e">
        <f t="shared" si="47"/>
        <v>#DIV/0!</v>
      </c>
      <c r="CD133" t="e">
        <f t="shared" si="47"/>
        <v>#DIV/0!</v>
      </c>
      <c r="CE133" t="e">
        <f t="shared" si="47"/>
        <v>#DIV/0!</v>
      </c>
      <c r="CF133" t="e">
        <f t="shared" si="47"/>
        <v>#DIV/0!</v>
      </c>
      <c r="CG133" t="e">
        <f t="shared" si="47"/>
        <v>#DIV/0!</v>
      </c>
    </row>
    <row r="134" spans="1:85" x14ac:dyDescent="0.25">
      <c r="E134" t="e">
        <f t="shared" ref="E134:AJ134" si="48">_xlfn.STDEV.P(E16,E19,E33:E34,E38)</f>
        <v>#DIV/0!</v>
      </c>
      <c r="F134">
        <f t="shared" si="48"/>
        <v>0</v>
      </c>
      <c r="G134">
        <f t="shared" si="48"/>
        <v>0</v>
      </c>
      <c r="H134">
        <f t="shared" si="48"/>
        <v>8.9198948984839515</v>
      </c>
      <c r="I134">
        <f t="shared" si="48"/>
        <v>9.826143133950815</v>
      </c>
      <c r="J134">
        <f t="shared" si="48"/>
        <v>14.740027890822395</v>
      </c>
      <c r="K134">
        <f t="shared" si="48"/>
        <v>3.2489407504600636</v>
      </c>
      <c r="L134" t="e">
        <f t="shared" si="48"/>
        <v>#DIV/0!</v>
      </c>
      <c r="M134">
        <f t="shared" si="48"/>
        <v>59.469677786246663</v>
      </c>
      <c r="N134">
        <f t="shared" si="48"/>
        <v>1375.0550000000001</v>
      </c>
      <c r="O134">
        <f t="shared" si="48"/>
        <v>102.94768010984997</v>
      </c>
      <c r="P134">
        <f t="shared" si="48"/>
        <v>21.755796468987292</v>
      </c>
      <c r="Q134" t="e">
        <f t="shared" si="48"/>
        <v>#DIV/0!</v>
      </c>
      <c r="R134" t="e">
        <f t="shared" si="48"/>
        <v>#DIV/0!</v>
      </c>
      <c r="S134">
        <f t="shared" si="48"/>
        <v>5.4623621264064877</v>
      </c>
      <c r="T134">
        <f t="shared" si="48"/>
        <v>0.3592213802100318</v>
      </c>
      <c r="U134" t="e">
        <f t="shared" si="48"/>
        <v>#DIV/0!</v>
      </c>
      <c r="V134">
        <f t="shared" si="48"/>
        <v>38.386996351484569</v>
      </c>
      <c r="W134" t="e">
        <f t="shared" si="48"/>
        <v>#DIV/0!</v>
      </c>
      <c r="X134" t="e">
        <f t="shared" si="48"/>
        <v>#DIV/0!</v>
      </c>
      <c r="Y134" t="e">
        <f t="shared" si="48"/>
        <v>#DIV/0!</v>
      </c>
      <c r="Z134">
        <f t="shared" si="48"/>
        <v>4.5889101102549397</v>
      </c>
      <c r="AA134">
        <f t="shared" si="48"/>
        <v>709.18006317154743</v>
      </c>
      <c r="AB134" t="e">
        <f t="shared" si="48"/>
        <v>#DIV/0!</v>
      </c>
      <c r="AC134">
        <f t="shared" si="48"/>
        <v>966.77343329241307</v>
      </c>
      <c r="AD134">
        <f t="shared" si="48"/>
        <v>3.1882861775568392</v>
      </c>
      <c r="AE134">
        <f t="shared" si="48"/>
        <v>0</v>
      </c>
      <c r="AF134" t="e">
        <f t="shared" si="48"/>
        <v>#DIV/0!</v>
      </c>
      <c r="AG134" t="e">
        <f t="shared" si="48"/>
        <v>#DIV/0!</v>
      </c>
      <c r="AH134" t="e">
        <f t="shared" si="48"/>
        <v>#DIV/0!</v>
      </c>
      <c r="AI134" t="e">
        <f t="shared" si="48"/>
        <v>#DIV/0!</v>
      </c>
      <c r="AJ134">
        <f t="shared" si="48"/>
        <v>2405.8991190538309</v>
      </c>
      <c r="AK134" t="e">
        <f t="shared" ref="AK134:BP134" si="49">_xlfn.STDEV.P(AK16,AK19,AK33:AK34,AK38)</f>
        <v>#DIV/0!</v>
      </c>
      <c r="AL134">
        <f t="shared" si="49"/>
        <v>15.152859004161563</v>
      </c>
      <c r="AM134" t="e">
        <f t="shared" si="49"/>
        <v>#DIV/0!</v>
      </c>
      <c r="AN134">
        <f t="shared" si="49"/>
        <v>7.9673167377731406</v>
      </c>
      <c r="AO134" t="e">
        <f t="shared" si="49"/>
        <v>#DIV/0!</v>
      </c>
      <c r="AP134" t="e">
        <f t="shared" si="49"/>
        <v>#DIV/0!</v>
      </c>
      <c r="AQ134">
        <f t="shared" si="49"/>
        <v>78.497744036054939</v>
      </c>
      <c r="AR134">
        <f t="shared" si="49"/>
        <v>6.4426969508118246</v>
      </c>
      <c r="AS134" t="e">
        <f t="shared" si="49"/>
        <v>#DIV/0!</v>
      </c>
      <c r="AT134" t="e">
        <f t="shared" si="49"/>
        <v>#DIV/0!</v>
      </c>
      <c r="AU134">
        <f t="shared" si="49"/>
        <v>0</v>
      </c>
      <c r="AV134" t="e">
        <f t="shared" si="49"/>
        <v>#DIV/0!</v>
      </c>
      <c r="AW134" t="e">
        <f t="shared" si="49"/>
        <v>#DIV/0!</v>
      </c>
      <c r="AX134">
        <f t="shared" si="49"/>
        <v>396.2599015494755</v>
      </c>
      <c r="AY134" t="e">
        <f t="shared" si="49"/>
        <v>#DIV/0!</v>
      </c>
      <c r="AZ134" t="e">
        <f t="shared" si="49"/>
        <v>#DIV/0!</v>
      </c>
      <c r="BA134" t="e">
        <f t="shared" si="49"/>
        <v>#DIV/0!</v>
      </c>
      <c r="BB134" t="e">
        <f t="shared" si="49"/>
        <v>#DIV/0!</v>
      </c>
      <c r="BC134" t="e">
        <f t="shared" si="49"/>
        <v>#DIV/0!</v>
      </c>
      <c r="BD134">
        <f t="shared" si="49"/>
        <v>0.96957722745534869</v>
      </c>
      <c r="BE134" t="e">
        <f t="shared" si="49"/>
        <v>#DIV/0!</v>
      </c>
      <c r="BF134" t="e">
        <f t="shared" si="49"/>
        <v>#DIV/0!</v>
      </c>
      <c r="BG134">
        <f t="shared" si="49"/>
        <v>10.672751519641034</v>
      </c>
      <c r="BH134">
        <f t="shared" si="49"/>
        <v>0</v>
      </c>
      <c r="BI134" t="e">
        <f t="shared" si="49"/>
        <v>#DIV/0!</v>
      </c>
      <c r="BJ134" t="e">
        <f t="shared" si="49"/>
        <v>#DIV/0!</v>
      </c>
      <c r="BK134" t="e">
        <f t="shared" si="49"/>
        <v>#DIV/0!</v>
      </c>
      <c r="BL134" t="e">
        <f t="shared" si="49"/>
        <v>#DIV/0!</v>
      </c>
      <c r="BM134" t="e">
        <f t="shared" si="49"/>
        <v>#DIV/0!</v>
      </c>
      <c r="BN134" t="e">
        <f t="shared" si="49"/>
        <v>#DIV/0!</v>
      </c>
      <c r="BO134">
        <f t="shared" si="49"/>
        <v>13.589395277200527</v>
      </c>
      <c r="BP134" t="e">
        <f t="shared" si="49"/>
        <v>#DIV/0!</v>
      </c>
      <c r="BQ134">
        <f t="shared" ref="BQ134:CG134" si="50">_xlfn.STDEV.P(BQ16,BQ19,BQ33:BQ34,BQ38)</f>
        <v>1.3024400178127209</v>
      </c>
      <c r="BR134" t="e">
        <f t="shared" si="50"/>
        <v>#DIV/0!</v>
      </c>
      <c r="BS134" t="e">
        <f t="shared" si="50"/>
        <v>#DIV/0!</v>
      </c>
      <c r="BT134" t="e">
        <f t="shared" si="50"/>
        <v>#DIV/0!</v>
      </c>
      <c r="BU134" t="e">
        <f t="shared" si="50"/>
        <v>#DIV/0!</v>
      </c>
      <c r="BV134" t="e">
        <f t="shared" si="50"/>
        <v>#DIV/0!</v>
      </c>
      <c r="BW134" t="e">
        <f t="shared" si="50"/>
        <v>#DIV/0!</v>
      </c>
      <c r="BX134" t="e">
        <f t="shared" si="50"/>
        <v>#DIV/0!</v>
      </c>
      <c r="BY134" t="e">
        <f t="shared" si="50"/>
        <v>#DIV/0!</v>
      </c>
      <c r="BZ134" t="e">
        <f t="shared" si="50"/>
        <v>#DIV/0!</v>
      </c>
      <c r="CA134">
        <f t="shared" si="50"/>
        <v>3.9233619193237828</v>
      </c>
      <c r="CB134">
        <f t="shared" si="50"/>
        <v>5.5278473206122447</v>
      </c>
      <c r="CC134" t="e">
        <f t="shared" si="50"/>
        <v>#DIV/0!</v>
      </c>
      <c r="CD134" t="e">
        <f t="shared" si="50"/>
        <v>#DIV/0!</v>
      </c>
      <c r="CE134" t="e">
        <f t="shared" si="50"/>
        <v>#DIV/0!</v>
      </c>
      <c r="CF134" t="e">
        <f t="shared" si="50"/>
        <v>#DIV/0!</v>
      </c>
      <c r="CG134" t="e">
        <f t="shared" si="50"/>
        <v>#DIV/0!</v>
      </c>
    </row>
    <row r="135" spans="1:85" x14ac:dyDescent="0.25">
      <c r="C135" s="51" t="s">
        <v>572</v>
      </c>
      <c r="E135" t="e">
        <f t="shared" ref="E135:AJ135" si="51">AVERAGE(E9:E11,E24:E26)</f>
        <v>#DIV/0!</v>
      </c>
      <c r="F135">
        <f t="shared" si="51"/>
        <v>1.23</v>
      </c>
      <c r="G135" t="e">
        <f t="shared" si="51"/>
        <v>#DIV/0!</v>
      </c>
      <c r="H135">
        <f t="shared" si="51"/>
        <v>0.84</v>
      </c>
      <c r="I135" t="e">
        <f t="shared" si="51"/>
        <v>#DIV/0!</v>
      </c>
      <c r="J135" t="e">
        <f t="shared" si="51"/>
        <v>#DIV/0!</v>
      </c>
      <c r="K135">
        <f t="shared" si="51"/>
        <v>0.91999999999999993</v>
      </c>
      <c r="L135">
        <f t="shared" si="51"/>
        <v>14.705</v>
      </c>
      <c r="M135">
        <f t="shared" si="51"/>
        <v>57.901666666666671</v>
      </c>
      <c r="N135">
        <f t="shared" si="51"/>
        <v>20.729999999999997</v>
      </c>
      <c r="O135">
        <f t="shared" si="51"/>
        <v>59.545000000000016</v>
      </c>
      <c r="P135">
        <f t="shared" si="51"/>
        <v>11.786666666666667</v>
      </c>
      <c r="Q135" t="e">
        <f t="shared" si="51"/>
        <v>#DIV/0!</v>
      </c>
      <c r="R135" t="e">
        <f t="shared" si="51"/>
        <v>#DIV/0!</v>
      </c>
      <c r="S135">
        <f t="shared" si="51"/>
        <v>3.93</v>
      </c>
      <c r="T135">
        <f t="shared" si="51"/>
        <v>2.7233333333333332</v>
      </c>
      <c r="U135" t="e">
        <f t="shared" si="51"/>
        <v>#DIV/0!</v>
      </c>
      <c r="V135">
        <f t="shared" si="51"/>
        <v>6.2766666666666664</v>
      </c>
      <c r="W135" t="e">
        <f t="shared" si="51"/>
        <v>#DIV/0!</v>
      </c>
      <c r="X135" t="e">
        <f t="shared" si="51"/>
        <v>#DIV/0!</v>
      </c>
      <c r="Y135" t="e">
        <f t="shared" si="51"/>
        <v>#DIV/0!</v>
      </c>
      <c r="Z135">
        <f t="shared" si="51"/>
        <v>0.91499999999999992</v>
      </c>
      <c r="AA135">
        <f t="shared" si="51"/>
        <v>1.2333333333333334</v>
      </c>
      <c r="AB135" t="e">
        <f t="shared" si="51"/>
        <v>#DIV/0!</v>
      </c>
      <c r="AC135">
        <f t="shared" si="51"/>
        <v>41606.035000000003</v>
      </c>
      <c r="AD135">
        <f t="shared" si="51"/>
        <v>6.8266666666666671</v>
      </c>
      <c r="AE135" t="e">
        <f t="shared" si="51"/>
        <v>#DIV/0!</v>
      </c>
      <c r="AF135" t="e">
        <f t="shared" si="51"/>
        <v>#DIV/0!</v>
      </c>
      <c r="AG135">
        <f t="shared" si="51"/>
        <v>3.98</v>
      </c>
      <c r="AH135" t="e">
        <f t="shared" si="51"/>
        <v>#DIV/0!</v>
      </c>
      <c r="AI135" t="e">
        <f t="shared" si="51"/>
        <v>#DIV/0!</v>
      </c>
      <c r="AJ135">
        <f t="shared" si="51"/>
        <v>26.72666666666667</v>
      </c>
      <c r="AK135" t="e">
        <f t="shared" ref="AK135:BP135" si="52">AVERAGE(AK9:AK11,AK24:AK26)</f>
        <v>#DIV/0!</v>
      </c>
      <c r="AL135">
        <f t="shared" si="52"/>
        <v>11.1</v>
      </c>
      <c r="AM135" t="e">
        <f t="shared" si="52"/>
        <v>#DIV/0!</v>
      </c>
      <c r="AN135">
        <f t="shared" si="52"/>
        <v>6.2166666666666677</v>
      </c>
      <c r="AO135" t="e">
        <f t="shared" si="52"/>
        <v>#DIV/0!</v>
      </c>
      <c r="AP135" t="e">
        <f t="shared" si="52"/>
        <v>#DIV/0!</v>
      </c>
      <c r="AQ135">
        <f t="shared" si="52"/>
        <v>2.2399999999999998</v>
      </c>
      <c r="AR135">
        <f t="shared" si="52"/>
        <v>1.6900000000000002</v>
      </c>
      <c r="AS135" t="e">
        <f t="shared" si="52"/>
        <v>#DIV/0!</v>
      </c>
      <c r="AT135" t="e">
        <f t="shared" si="52"/>
        <v>#DIV/0!</v>
      </c>
      <c r="AU135">
        <f t="shared" si="52"/>
        <v>5.35</v>
      </c>
      <c r="AV135" t="e">
        <f t="shared" si="52"/>
        <v>#DIV/0!</v>
      </c>
      <c r="AW135" t="e">
        <f t="shared" si="52"/>
        <v>#DIV/0!</v>
      </c>
      <c r="AX135">
        <f t="shared" si="52"/>
        <v>2.6583333333333337</v>
      </c>
      <c r="AY135" t="e">
        <f t="shared" si="52"/>
        <v>#DIV/0!</v>
      </c>
      <c r="AZ135" t="e">
        <f t="shared" si="52"/>
        <v>#DIV/0!</v>
      </c>
      <c r="BA135" t="e">
        <f t="shared" si="52"/>
        <v>#DIV/0!</v>
      </c>
      <c r="BB135" t="e">
        <f t="shared" si="52"/>
        <v>#DIV/0!</v>
      </c>
      <c r="BC135" t="e">
        <f t="shared" si="52"/>
        <v>#DIV/0!</v>
      </c>
      <c r="BD135">
        <f t="shared" si="52"/>
        <v>1.68</v>
      </c>
      <c r="BE135" t="e">
        <f t="shared" si="52"/>
        <v>#DIV/0!</v>
      </c>
      <c r="BF135">
        <f t="shared" si="52"/>
        <v>7.3</v>
      </c>
      <c r="BG135">
        <f t="shared" si="52"/>
        <v>3.33</v>
      </c>
      <c r="BH135">
        <f t="shared" si="52"/>
        <v>25.178333333333331</v>
      </c>
      <c r="BI135" t="e">
        <f t="shared" si="52"/>
        <v>#DIV/0!</v>
      </c>
      <c r="BJ135" t="e">
        <f t="shared" si="52"/>
        <v>#DIV/0!</v>
      </c>
      <c r="BK135" t="e">
        <f t="shared" si="52"/>
        <v>#DIV/0!</v>
      </c>
      <c r="BL135" t="e">
        <f t="shared" si="52"/>
        <v>#DIV/0!</v>
      </c>
      <c r="BM135" t="e">
        <f t="shared" si="52"/>
        <v>#DIV/0!</v>
      </c>
      <c r="BN135" t="e">
        <f t="shared" si="52"/>
        <v>#DIV/0!</v>
      </c>
      <c r="BO135">
        <f t="shared" si="52"/>
        <v>5.2133333333333329</v>
      </c>
      <c r="BP135" t="e">
        <f t="shared" si="52"/>
        <v>#DIV/0!</v>
      </c>
      <c r="BQ135">
        <f t="shared" ref="BQ135:CG135" si="53">AVERAGE(BQ9:BQ11,BQ24:BQ26)</f>
        <v>5.1000000000000005</v>
      </c>
      <c r="BR135">
        <f t="shared" si="53"/>
        <v>0.59</v>
      </c>
      <c r="BS135" t="e">
        <f t="shared" si="53"/>
        <v>#DIV/0!</v>
      </c>
      <c r="BT135" t="e">
        <f t="shared" si="53"/>
        <v>#DIV/0!</v>
      </c>
      <c r="BU135">
        <f t="shared" si="53"/>
        <v>4.99</v>
      </c>
      <c r="BV135" t="e">
        <f t="shared" si="53"/>
        <v>#DIV/0!</v>
      </c>
      <c r="BW135" t="e">
        <f t="shared" si="53"/>
        <v>#DIV/0!</v>
      </c>
      <c r="BX135" t="e">
        <f t="shared" si="53"/>
        <v>#DIV/0!</v>
      </c>
      <c r="BY135" t="e">
        <f t="shared" si="53"/>
        <v>#DIV/0!</v>
      </c>
      <c r="BZ135" t="e">
        <f t="shared" si="53"/>
        <v>#DIV/0!</v>
      </c>
      <c r="CA135">
        <f t="shared" si="53"/>
        <v>3.6859999999999999</v>
      </c>
      <c r="CB135">
        <f t="shared" si="53"/>
        <v>4.3016666666666667</v>
      </c>
      <c r="CC135" t="e">
        <f t="shared" si="53"/>
        <v>#DIV/0!</v>
      </c>
      <c r="CD135" t="e">
        <f t="shared" si="53"/>
        <v>#DIV/0!</v>
      </c>
      <c r="CE135" t="e">
        <f t="shared" si="53"/>
        <v>#DIV/0!</v>
      </c>
      <c r="CF135" t="e">
        <f t="shared" si="53"/>
        <v>#DIV/0!</v>
      </c>
      <c r="CG135" t="e">
        <f t="shared" si="53"/>
        <v>#DIV/0!</v>
      </c>
    </row>
    <row r="136" spans="1:85" x14ac:dyDescent="0.25">
      <c r="E136" t="e">
        <f t="shared" ref="E136:AJ136" si="54">_xlfn.STDEV.P(E9:E11,E24:E26)</f>
        <v>#DIV/0!</v>
      </c>
      <c r="F136">
        <f t="shared" si="54"/>
        <v>0.10999999999999999</v>
      </c>
      <c r="G136" t="e">
        <f t="shared" si="54"/>
        <v>#DIV/0!</v>
      </c>
      <c r="H136">
        <f t="shared" si="54"/>
        <v>0</v>
      </c>
      <c r="I136" t="e">
        <f t="shared" si="54"/>
        <v>#DIV/0!</v>
      </c>
      <c r="J136" t="e">
        <f t="shared" si="54"/>
        <v>#DIV/0!</v>
      </c>
      <c r="K136">
        <f t="shared" si="54"/>
        <v>0.51568724371786978</v>
      </c>
      <c r="L136">
        <f t="shared" si="54"/>
        <v>6.9049999999999994</v>
      </c>
      <c r="M136">
        <f t="shared" si="54"/>
        <v>36.560184361618788</v>
      </c>
      <c r="N136">
        <f t="shared" si="54"/>
        <v>0</v>
      </c>
      <c r="O136">
        <f t="shared" si="54"/>
        <v>77.250300700601372</v>
      </c>
      <c r="P136">
        <f t="shared" si="54"/>
        <v>17.516779257487819</v>
      </c>
      <c r="Q136" t="e">
        <f t="shared" si="54"/>
        <v>#DIV/0!</v>
      </c>
      <c r="R136" t="e">
        <f t="shared" si="54"/>
        <v>#DIV/0!</v>
      </c>
      <c r="S136">
        <f t="shared" si="54"/>
        <v>0</v>
      </c>
      <c r="T136">
        <f t="shared" si="54"/>
        <v>3.3924016402673915</v>
      </c>
      <c r="U136" t="e">
        <f t="shared" si="54"/>
        <v>#DIV/0!</v>
      </c>
      <c r="V136">
        <f t="shared" si="54"/>
        <v>1.0066556290785689</v>
      </c>
      <c r="W136" t="e">
        <f t="shared" si="54"/>
        <v>#DIV/0!</v>
      </c>
      <c r="X136" t="e">
        <f t="shared" si="54"/>
        <v>#DIV/0!</v>
      </c>
      <c r="Y136" t="e">
        <f t="shared" si="54"/>
        <v>#DIV/0!</v>
      </c>
      <c r="Z136">
        <f t="shared" si="54"/>
        <v>0.34243004151699863</v>
      </c>
      <c r="AA136">
        <f t="shared" si="54"/>
        <v>0.64976063968886932</v>
      </c>
      <c r="AB136" t="e">
        <f t="shared" si="54"/>
        <v>#DIV/0!</v>
      </c>
      <c r="AC136">
        <f t="shared" si="54"/>
        <v>30112.591975180272</v>
      </c>
      <c r="AD136">
        <f t="shared" si="54"/>
        <v>6.355728824366949</v>
      </c>
      <c r="AE136" t="e">
        <f t="shared" si="54"/>
        <v>#DIV/0!</v>
      </c>
      <c r="AF136" t="e">
        <f t="shared" si="54"/>
        <v>#DIV/0!</v>
      </c>
      <c r="AG136">
        <f t="shared" si="54"/>
        <v>0</v>
      </c>
      <c r="AH136" t="e">
        <f t="shared" si="54"/>
        <v>#DIV/0!</v>
      </c>
      <c r="AI136" t="e">
        <f t="shared" si="54"/>
        <v>#DIV/0!</v>
      </c>
      <c r="AJ136">
        <f t="shared" si="54"/>
        <v>29.948886827764099</v>
      </c>
      <c r="AK136" t="e">
        <f t="shared" ref="AK136:BP136" si="55">_xlfn.STDEV.P(AK9:AK11,AK24:AK26)</f>
        <v>#DIV/0!</v>
      </c>
      <c r="AL136">
        <f t="shared" si="55"/>
        <v>9.0175473383842029</v>
      </c>
      <c r="AM136" t="e">
        <f t="shared" si="55"/>
        <v>#DIV/0!</v>
      </c>
      <c r="AN136">
        <f t="shared" si="55"/>
        <v>8.9322350071089289</v>
      </c>
      <c r="AO136" t="e">
        <f t="shared" si="55"/>
        <v>#DIV/0!</v>
      </c>
      <c r="AP136" t="e">
        <f t="shared" si="55"/>
        <v>#DIV/0!</v>
      </c>
      <c r="AQ136">
        <f t="shared" si="55"/>
        <v>1.8226628870967883</v>
      </c>
      <c r="AR136">
        <f t="shared" si="55"/>
        <v>1.0885311203635841</v>
      </c>
      <c r="AS136" t="e">
        <f t="shared" si="55"/>
        <v>#DIV/0!</v>
      </c>
      <c r="AT136" t="e">
        <f t="shared" si="55"/>
        <v>#DIV/0!</v>
      </c>
      <c r="AU136">
        <f t="shared" si="55"/>
        <v>1.760000000000002</v>
      </c>
      <c r="AV136" t="e">
        <f t="shared" si="55"/>
        <v>#DIV/0!</v>
      </c>
      <c r="AW136" t="e">
        <f t="shared" si="55"/>
        <v>#DIV/0!</v>
      </c>
      <c r="AX136">
        <f t="shared" si="55"/>
        <v>0.79896634611366601</v>
      </c>
      <c r="AY136" t="e">
        <f t="shared" si="55"/>
        <v>#DIV/0!</v>
      </c>
      <c r="AZ136" t="e">
        <f t="shared" si="55"/>
        <v>#DIV/0!</v>
      </c>
      <c r="BA136" t="e">
        <f t="shared" si="55"/>
        <v>#DIV/0!</v>
      </c>
      <c r="BB136" t="e">
        <f t="shared" si="55"/>
        <v>#DIV/0!</v>
      </c>
      <c r="BC136" t="e">
        <f t="shared" si="55"/>
        <v>#DIV/0!</v>
      </c>
      <c r="BD136">
        <f t="shared" si="55"/>
        <v>0.82720412635979201</v>
      </c>
      <c r="BE136" t="e">
        <f t="shared" si="55"/>
        <v>#DIV/0!</v>
      </c>
      <c r="BF136">
        <f t="shared" si="55"/>
        <v>0</v>
      </c>
      <c r="BG136">
        <f t="shared" si="55"/>
        <v>2.1907875296340356</v>
      </c>
      <c r="BH136">
        <f t="shared" si="55"/>
        <v>31.021180622636248</v>
      </c>
      <c r="BI136" t="e">
        <f t="shared" si="55"/>
        <v>#DIV/0!</v>
      </c>
      <c r="BJ136" t="e">
        <f t="shared" si="55"/>
        <v>#DIV/0!</v>
      </c>
      <c r="BK136" t="e">
        <f t="shared" si="55"/>
        <v>#DIV/0!</v>
      </c>
      <c r="BL136" t="e">
        <f t="shared" si="55"/>
        <v>#DIV/0!</v>
      </c>
      <c r="BM136" t="e">
        <f t="shared" si="55"/>
        <v>#DIV/0!</v>
      </c>
      <c r="BN136" t="e">
        <f t="shared" si="55"/>
        <v>#DIV/0!</v>
      </c>
      <c r="BO136">
        <f t="shared" si="55"/>
        <v>1.8817161198107328</v>
      </c>
      <c r="BP136" t="e">
        <f t="shared" si="55"/>
        <v>#DIV/0!</v>
      </c>
      <c r="BQ136">
        <f t="shared" ref="BQ136:CG136" si="56">_xlfn.STDEV.P(BQ9:BQ11,BQ24:BQ26)</f>
        <v>4.0500000000000007</v>
      </c>
      <c r="BR136">
        <f t="shared" si="56"/>
        <v>0</v>
      </c>
      <c r="BS136" t="e">
        <f t="shared" si="56"/>
        <v>#DIV/0!</v>
      </c>
      <c r="BT136" t="e">
        <f t="shared" si="56"/>
        <v>#DIV/0!</v>
      </c>
      <c r="BU136">
        <f t="shared" si="56"/>
        <v>0</v>
      </c>
      <c r="BV136" t="e">
        <f t="shared" si="56"/>
        <v>#DIV/0!</v>
      </c>
      <c r="BW136" t="e">
        <f t="shared" si="56"/>
        <v>#DIV/0!</v>
      </c>
      <c r="BX136" t="e">
        <f t="shared" si="56"/>
        <v>#DIV/0!</v>
      </c>
      <c r="BY136" t="e">
        <f t="shared" si="56"/>
        <v>#DIV/0!</v>
      </c>
      <c r="BZ136" t="e">
        <f t="shared" si="56"/>
        <v>#DIV/0!</v>
      </c>
      <c r="CA136">
        <f t="shared" si="56"/>
        <v>1.5672345070218439</v>
      </c>
      <c r="CB136">
        <f t="shared" si="56"/>
        <v>1.2184336484009095</v>
      </c>
      <c r="CC136" t="e">
        <f t="shared" si="56"/>
        <v>#DIV/0!</v>
      </c>
      <c r="CD136" t="e">
        <f t="shared" si="56"/>
        <v>#DIV/0!</v>
      </c>
      <c r="CE136" t="e">
        <f t="shared" si="56"/>
        <v>#DIV/0!</v>
      </c>
      <c r="CF136" t="e">
        <f t="shared" si="56"/>
        <v>#DIV/0!</v>
      </c>
      <c r="CG136" t="e">
        <f t="shared" si="56"/>
        <v>#DIV/0!</v>
      </c>
    </row>
    <row r="139" spans="1:85" x14ac:dyDescent="0.25">
      <c r="A139" s="50" t="s">
        <v>414</v>
      </c>
      <c r="B139" s="51" t="s">
        <v>2</v>
      </c>
      <c r="E139" t="s">
        <v>254</v>
      </c>
      <c r="F139" s="30" t="s">
        <v>257</v>
      </c>
      <c r="G139" t="s">
        <v>260</v>
      </c>
      <c r="H139" t="s">
        <v>262</v>
      </c>
      <c r="I139" t="s">
        <v>264</v>
      </c>
      <c r="J139" s="73" t="s">
        <v>267</v>
      </c>
      <c r="K139" s="30" t="s">
        <v>270</v>
      </c>
      <c r="L139" s="31" t="s">
        <v>276</v>
      </c>
      <c r="M139" s="30" t="s">
        <v>277</v>
      </c>
      <c r="N139" t="s">
        <v>279</v>
      </c>
      <c r="O139" t="s">
        <v>281</v>
      </c>
      <c r="P139" t="s">
        <v>288</v>
      </c>
      <c r="Q139" t="s">
        <v>290</v>
      </c>
      <c r="R139" s="29" t="s">
        <v>293</v>
      </c>
      <c r="S139" t="s">
        <v>296</v>
      </c>
      <c r="T139" t="s">
        <v>297</v>
      </c>
      <c r="U139" t="s">
        <v>302</v>
      </c>
      <c r="V139" t="s">
        <v>305</v>
      </c>
      <c r="W139" s="29" t="s">
        <v>311</v>
      </c>
      <c r="X139" s="29" t="s">
        <v>314</v>
      </c>
      <c r="Y139" t="s">
        <v>315</v>
      </c>
      <c r="Z139" t="s">
        <v>323</v>
      </c>
      <c r="AA139" t="s">
        <v>325</v>
      </c>
      <c r="AF139" s="41" t="s">
        <v>253</v>
      </c>
      <c r="AG139" t="s">
        <v>253</v>
      </c>
      <c r="AI139" t="s">
        <v>560</v>
      </c>
    </row>
    <row r="140" spans="1:85" x14ac:dyDescent="0.25">
      <c r="C140" s="51" t="s">
        <v>569</v>
      </c>
      <c r="E140" t="e">
        <v>#DIV/0!</v>
      </c>
      <c r="F140">
        <f>AVERAGE(F46:F47,F31)</f>
        <v>0.58499999999999996</v>
      </c>
      <c r="G140">
        <v>2.9500000000000006</v>
      </c>
      <c r="H140">
        <v>27.376666666666669</v>
      </c>
      <c r="I140">
        <v>21.19</v>
      </c>
      <c r="J140">
        <v>0.77</v>
      </c>
      <c r="K140">
        <v>5.5033333333333339</v>
      </c>
      <c r="L140">
        <v>2.44</v>
      </c>
      <c r="M140">
        <v>2.6833333333333336</v>
      </c>
      <c r="N140">
        <v>178.55666666666664</v>
      </c>
      <c r="O140">
        <v>214.19333333333336</v>
      </c>
      <c r="P140">
        <v>61.976666666666667</v>
      </c>
      <c r="Q140">
        <v>0</v>
      </c>
      <c r="R140">
        <v>6.0900000000000007</v>
      </c>
      <c r="S140">
        <v>7.4766666666666666</v>
      </c>
      <c r="T140">
        <v>4.2533333333333339</v>
      </c>
      <c r="U140" t="e">
        <v>#DIV/0!</v>
      </c>
      <c r="V140">
        <v>1.4766666666666666</v>
      </c>
      <c r="W140">
        <v>0.93666666666666687</v>
      </c>
      <c r="X140" t="e">
        <v>#DIV/0!</v>
      </c>
      <c r="Y140">
        <v>4.5</v>
      </c>
      <c r="Z140">
        <v>7.253333333333333</v>
      </c>
      <c r="AA140">
        <v>1.1866666666666668</v>
      </c>
    </row>
    <row r="141" spans="1:85" x14ac:dyDescent="0.25">
      <c r="E141" t="e">
        <v>#DIV/0!</v>
      </c>
      <c r="F141">
        <f>_xlfn.STDEV.P(F46:F47,F31)</f>
        <v>0.19500000000000023</v>
      </c>
      <c r="G141">
        <v>0.50279220359905963</v>
      </c>
      <c r="H141">
        <v>3.3530616192104579</v>
      </c>
      <c r="I141">
        <v>6.1053637620265215</v>
      </c>
      <c r="J141">
        <v>0.12961481396815691</v>
      </c>
      <c r="K141">
        <v>0.21746008573733472</v>
      </c>
      <c r="L141">
        <v>0.22464787260658986</v>
      </c>
      <c r="M141">
        <v>1.8094996238985213</v>
      </c>
      <c r="N141">
        <v>19.182621185738878</v>
      </c>
      <c r="O141">
        <v>298.29805389166643</v>
      </c>
      <c r="P141">
        <v>9.9157596223833995</v>
      </c>
      <c r="Q141">
        <v>0</v>
      </c>
      <c r="R141">
        <v>2.2149040611277035</v>
      </c>
      <c r="S141">
        <v>1.8277186751673704</v>
      </c>
      <c r="T141">
        <v>0.69504596170964583</v>
      </c>
      <c r="U141" t="e">
        <v>#DIV/0!</v>
      </c>
      <c r="V141">
        <v>0.44214125445256658</v>
      </c>
      <c r="W141">
        <v>0.4421412544525658</v>
      </c>
      <c r="X141" t="e">
        <v>#DIV/0!</v>
      </c>
      <c r="Y141">
        <v>0</v>
      </c>
      <c r="Z141">
        <v>1.168198993703085</v>
      </c>
      <c r="AA141">
        <v>0.10842303978193728</v>
      </c>
    </row>
    <row r="142" spans="1:85" x14ac:dyDescent="0.25">
      <c r="C142" s="51" t="s">
        <v>570</v>
      </c>
      <c r="E142">
        <v>0.55000000000000004</v>
      </c>
      <c r="F142">
        <f>AVERAGE(F38:F43,F23:F26)</f>
        <v>1.9475</v>
      </c>
      <c r="G142">
        <v>2.2069999999999999</v>
      </c>
      <c r="H142">
        <v>99.551000000000002</v>
      </c>
      <c r="I142">
        <v>48.036999999999999</v>
      </c>
      <c r="J142">
        <v>2.2249999999999996</v>
      </c>
      <c r="K142">
        <v>9.6742857142857144</v>
      </c>
      <c r="L142">
        <v>2.0539999999999998</v>
      </c>
      <c r="M142">
        <v>3.1610000000000005</v>
      </c>
      <c r="N142">
        <v>46993.850999999995</v>
      </c>
      <c r="O142">
        <v>10.078888888888889</v>
      </c>
      <c r="P142">
        <v>28.042000000000002</v>
      </c>
      <c r="Q142">
        <v>5.7366666666666672</v>
      </c>
      <c r="R142">
        <v>14.829999999999998</v>
      </c>
      <c r="S142">
        <v>7.8170000000000002</v>
      </c>
      <c r="T142">
        <v>6.5760000000000005</v>
      </c>
      <c r="U142">
        <v>21.883749999999999</v>
      </c>
      <c r="V142">
        <v>1.8969999999999996</v>
      </c>
      <c r="W142">
        <v>2.3780000000000001</v>
      </c>
      <c r="X142">
        <v>4.54</v>
      </c>
      <c r="Y142">
        <v>36.002222222222223</v>
      </c>
      <c r="Z142">
        <v>21.297999999999998</v>
      </c>
      <c r="AA142">
        <v>2.1300000000000003</v>
      </c>
    </row>
    <row r="143" spans="1:85" x14ac:dyDescent="0.25">
      <c r="E143">
        <v>0.13623509092741126</v>
      </c>
      <c r="F143">
        <f>_xlfn.STDEV.P(F38:F43,F23:F26)</f>
        <v>1.0228239095758369</v>
      </c>
      <c r="G143">
        <v>1.1863224688085441</v>
      </c>
      <c r="H143">
        <v>75.448633314328532</v>
      </c>
      <c r="I143">
        <v>31.168331379783545</v>
      </c>
      <c r="J143">
        <v>1.4399878471709406</v>
      </c>
      <c r="K143">
        <v>5.3790622048905181</v>
      </c>
      <c r="L143">
        <v>0.91897986920280228</v>
      </c>
      <c r="M143">
        <v>2.2399037925768153</v>
      </c>
      <c r="N143">
        <v>21427.961677410876</v>
      </c>
      <c r="O143">
        <v>7.2904586724239104</v>
      </c>
      <c r="P143">
        <v>14.813482912536127</v>
      </c>
      <c r="Q143">
        <v>0.64066805410879379</v>
      </c>
      <c r="R143">
        <v>11.973235151787508</v>
      </c>
      <c r="S143">
        <v>5.4668053742565226</v>
      </c>
      <c r="T143">
        <v>4.636005176873728</v>
      </c>
      <c r="U143">
        <v>13.533040066352424</v>
      </c>
      <c r="V143">
        <v>0.71494125632809946</v>
      </c>
      <c r="W143">
        <v>1.1542772630525118</v>
      </c>
      <c r="X143">
        <v>2.0653329029480951</v>
      </c>
      <c r="Y143">
        <v>28.282779911214053</v>
      </c>
      <c r="Z143">
        <v>12.981354936985587</v>
      </c>
      <c r="AA143">
        <v>1.1182327326833372</v>
      </c>
    </row>
    <row r="144" spans="1:85" x14ac:dyDescent="0.25">
      <c r="C144" s="51" t="s">
        <v>571</v>
      </c>
      <c r="E144">
        <v>0.47</v>
      </c>
      <c r="F144">
        <f>AVERAGE(F27,F30,F44:F45,F49)</f>
        <v>0.48</v>
      </c>
      <c r="G144">
        <v>3.1979999999999995</v>
      </c>
      <c r="H144">
        <v>70.152000000000001</v>
      </c>
      <c r="I144">
        <v>142.81</v>
      </c>
      <c r="J144">
        <v>1.1299999999999999</v>
      </c>
      <c r="K144">
        <v>47.016666666666659</v>
      </c>
      <c r="L144">
        <v>8.9420000000000002</v>
      </c>
      <c r="M144">
        <v>355.58000000000004</v>
      </c>
      <c r="N144">
        <v>626.58000000000004</v>
      </c>
      <c r="O144">
        <v>7.1975000000000007</v>
      </c>
      <c r="P144">
        <v>1277.674</v>
      </c>
      <c r="Q144">
        <v>18.631999999999998</v>
      </c>
      <c r="R144">
        <v>12.307999999999998</v>
      </c>
      <c r="S144">
        <v>67.69250000000001</v>
      </c>
      <c r="T144">
        <v>8.4859999999999989</v>
      </c>
      <c r="U144" t="e">
        <v>#NAME?</v>
      </c>
      <c r="V144" t="e">
        <v>#NAME?</v>
      </c>
      <c r="W144" t="e">
        <v>#NAME?</v>
      </c>
      <c r="X144" t="e">
        <v>#NAME?</v>
      </c>
      <c r="Y144" t="e">
        <v>#NAME?</v>
      </c>
      <c r="Z144" t="e">
        <v>#NAME?</v>
      </c>
      <c r="AA144" t="e">
        <v>#NAME?</v>
      </c>
    </row>
    <row r="145" spans="1:95" x14ac:dyDescent="0.25">
      <c r="E145">
        <v>0</v>
      </c>
      <c r="F145">
        <f>_xlfn.STDEV.P(F27,F30,F44:F45,F49)</f>
        <v>0</v>
      </c>
      <c r="G145">
        <v>3.2489407504600636</v>
      </c>
      <c r="H145">
        <v>59.469677786246663</v>
      </c>
      <c r="I145">
        <v>102.94768010984997</v>
      </c>
      <c r="J145">
        <v>0.3592213802100318</v>
      </c>
      <c r="K145">
        <v>38.386996351484569</v>
      </c>
      <c r="L145">
        <v>4.5889101102549397</v>
      </c>
      <c r="M145">
        <v>709.18006317154743</v>
      </c>
      <c r="N145">
        <v>966.77343329241307</v>
      </c>
      <c r="O145">
        <v>3.1882861775568392</v>
      </c>
      <c r="P145">
        <v>2405.8991190538309</v>
      </c>
      <c r="Q145">
        <v>15.152859004161563</v>
      </c>
      <c r="R145">
        <v>7.9673167377731406</v>
      </c>
      <c r="S145">
        <v>78.497744036054939</v>
      </c>
      <c r="T145">
        <v>6.4426969508118246</v>
      </c>
      <c r="U145">
        <v>0</v>
      </c>
      <c r="V145">
        <v>396.2599015494755</v>
      </c>
      <c r="W145">
        <v>0.96957722745534869</v>
      </c>
      <c r="X145">
        <v>10.672751519641034</v>
      </c>
      <c r="Y145">
        <v>0</v>
      </c>
      <c r="Z145">
        <v>13.589395277200527</v>
      </c>
      <c r="AA145">
        <v>1.3024400178127209</v>
      </c>
    </row>
    <row r="146" spans="1:95" x14ac:dyDescent="0.25">
      <c r="C146" s="51" t="s">
        <v>572</v>
      </c>
      <c r="E146">
        <v>1.23</v>
      </c>
      <c r="F146">
        <f>AVERAGE(F20:F22,F35:F37)</f>
        <v>0.81</v>
      </c>
      <c r="G146">
        <v>0.91999999999999993</v>
      </c>
      <c r="H146">
        <v>57.901666666666671</v>
      </c>
      <c r="I146">
        <v>59.545000000000016</v>
      </c>
      <c r="J146">
        <v>2.7233333333333332</v>
      </c>
      <c r="K146">
        <v>6.2766666666666664</v>
      </c>
      <c r="L146">
        <v>0.91499999999999992</v>
      </c>
      <c r="M146">
        <v>1.2333333333333334</v>
      </c>
      <c r="N146">
        <v>41606.035000000003</v>
      </c>
      <c r="O146">
        <v>6.8266666666666671</v>
      </c>
      <c r="P146">
        <v>26.72666666666667</v>
      </c>
      <c r="Q146">
        <v>11.1</v>
      </c>
      <c r="R146">
        <v>6.2166666666666677</v>
      </c>
      <c r="S146">
        <v>2.2399999999999998</v>
      </c>
      <c r="T146">
        <v>1.6900000000000002</v>
      </c>
      <c r="U146">
        <v>5.35</v>
      </c>
      <c r="V146">
        <v>2.6583333333333337</v>
      </c>
      <c r="W146">
        <v>1.68</v>
      </c>
      <c r="X146">
        <v>3.33</v>
      </c>
      <c r="Y146">
        <v>25.178333333333331</v>
      </c>
      <c r="Z146">
        <v>5.2133333333333329</v>
      </c>
      <c r="AA146">
        <v>5.1000000000000005</v>
      </c>
    </row>
    <row r="147" spans="1:95" x14ac:dyDescent="0.25">
      <c r="E147">
        <v>0.10999999999999999</v>
      </c>
      <c r="F147">
        <f>_xlfn.STDEV.P(F20:F22,F35:F37)</f>
        <v>0</v>
      </c>
      <c r="G147">
        <v>0.51568724371786978</v>
      </c>
      <c r="H147">
        <v>36.560184361618788</v>
      </c>
      <c r="I147">
        <v>77.250300700601372</v>
      </c>
      <c r="J147">
        <v>3.3924016402673915</v>
      </c>
      <c r="K147">
        <v>1.0066556290785689</v>
      </c>
      <c r="L147">
        <v>0.34243004151699863</v>
      </c>
      <c r="M147">
        <v>0.64976063968886932</v>
      </c>
      <c r="N147">
        <v>30112.591975180272</v>
      </c>
      <c r="O147">
        <v>6.355728824366949</v>
      </c>
      <c r="P147">
        <v>29.948886827764099</v>
      </c>
      <c r="Q147">
        <v>9.0175473383842029</v>
      </c>
      <c r="R147">
        <v>8.9322350071089289</v>
      </c>
      <c r="S147">
        <v>1.8226628870967883</v>
      </c>
      <c r="T147">
        <v>1.0885311203635841</v>
      </c>
      <c r="U147">
        <v>1.760000000000002</v>
      </c>
      <c r="V147" t="e">
        <v>#DIV/0!</v>
      </c>
      <c r="W147">
        <v>0.79896634611366601</v>
      </c>
      <c r="X147">
        <v>0</v>
      </c>
      <c r="Y147">
        <v>2.1907875296340356</v>
      </c>
      <c r="Z147" t="e">
        <v>#DIV/0!</v>
      </c>
      <c r="AA147" t="e">
        <v>#DIV/0!</v>
      </c>
    </row>
    <row r="149" spans="1:95" x14ac:dyDescent="0.25">
      <c r="A149" s="50" t="s">
        <v>414</v>
      </c>
      <c r="B149" s="51" t="s">
        <v>2</v>
      </c>
      <c r="C149" s="51" t="s">
        <v>664</v>
      </c>
      <c r="D149" t="s">
        <v>663</v>
      </c>
      <c r="E149" s="41" t="s">
        <v>253</v>
      </c>
      <c r="F149" t="s">
        <v>254</v>
      </c>
      <c r="G149" t="s">
        <v>256</v>
      </c>
      <c r="H149" s="30" t="s">
        <v>257</v>
      </c>
      <c r="I149" t="s">
        <v>258</v>
      </c>
      <c r="J149" s="32" t="s">
        <v>259</v>
      </c>
      <c r="K149" t="s">
        <v>260</v>
      </c>
      <c r="L149" s="30" t="s">
        <v>261</v>
      </c>
      <c r="M149" t="s">
        <v>262</v>
      </c>
      <c r="N149" t="s">
        <v>263</v>
      </c>
      <c r="O149" t="s">
        <v>264</v>
      </c>
      <c r="P149" t="s">
        <v>265</v>
      </c>
      <c r="Q149" t="s">
        <v>163</v>
      </c>
      <c r="R149" t="s">
        <v>164</v>
      </c>
      <c r="S149" s="30" t="s">
        <v>165</v>
      </c>
      <c r="T149" s="73" t="s">
        <v>267</v>
      </c>
      <c r="U149" t="s">
        <v>268</v>
      </c>
      <c r="V149" s="30" t="s">
        <v>270</v>
      </c>
      <c r="W149" t="s">
        <v>271</v>
      </c>
      <c r="X149" t="s">
        <v>273</v>
      </c>
      <c r="Y149" s="30" t="s">
        <v>274</v>
      </c>
      <c r="Z149" s="31" t="s">
        <v>276</v>
      </c>
      <c r="AA149" s="30" t="s">
        <v>277</v>
      </c>
      <c r="AB149" s="30" t="s">
        <v>278</v>
      </c>
      <c r="AC149" t="s">
        <v>279</v>
      </c>
      <c r="AD149" t="s">
        <v>281</v>
      </c>
      <c r="AE149" t="s">
        <v>282</v>
      </c>
      <c r="AF149" s="29" t="s">
        <v>283</v>
      </c>
      <c r="AG149" t="s">
        <v>284</v>
      </c>
      <c r="AH149" t="s">
        <v>285</v>
      </c>
      <c r="AI149" s="32" t="s">
        <v>286</v>
      </c>
      <c r="AJ149" t="s">
        <v>288</v>
      </c>
      <c r="AK149" t="s">
        <v>289</v>
      </c>
      <c r="AL149" t="s">
        <v>290</v>
      </c>
      <c r="AM149" s="29" t="s">
        <v>291</v>
      </c>
      <c r="AN149" s="29" t="s">
        <v>293</v>
      </c>
      <c r="AO149" s="30" t="s">
        <v>294</v>
      </c>
      <c r="AP149" s="29" t="s">
        <v>295</v>
      </c>
      <c r="AQ149" t="s">
        <v>296</v>
      </c>
      <c r="AR149" t="s">
        <v>297</v>
      </c>
      <c r="AS149" s="30" t="s">
        <v>298</v>
      </c>
      <c r="AT149" t="s">
        <v>299</v>
      </c>
      <c r="AU149" t="s">
        <v>302</v>
      </c>
      <c r="AV149" s="30" t="s">
        <v>171</v>
      </c>
      <c r="AW149" t="s">
        <v>304</v>
      </c>
      <c r="AX149" t="s">
        <v>305</v>
      </c>
      <c r="AY149" t="s">
        <v>306</v>
      </c>
      <c r="AZ149" t="s">
        <v>307</v>
      </c>
      <c r="BA149" s="29" t="s">
        <v>308</v>
      </c>
      <c r="BB149" t="s">
        <v>309</v>
      </c>
      <c r="BC149" t="s">
        <v>310</v>
      </c>
      <c r="BD149" s="29" t="s">
        <v>311</v>
      </c>
      <c r="BE149" t="s">
        <v>312</v>
      </c>
      <c r="BF149" t="s">
        <v>313</v>
      </c>
      <c r="BG149" s="29" t="s">
        <v>314</v>
      </c>
      <c r="BH149" t="s">
        <v>315</v>
      </c>
      <c r="BI149" t="s">
        <v>316</v>
      </c>
      <c r="BJ149" t="s">
        <v>318</v>
      </c>
      <c r="BK149" t="s">
        <v>319</v>
      </c>
      <c r="BL149" t="s">
        <v>320</v>
      </c>
      <c r="BM149" s="32" t="s">
        <v>321</v>
      </c>
      <c r="BN149" s="32" t="s">
        <v>322</v>
      </c>
      <c r="BO149" t="s">
        <v>323</v>
      </c>
      <c r="BP149" t="s">
        <v>324</v>
      </c>
      <c r="BQ149" t="s">
        <v>325</v>
      </c>
      <c r="BR149" t="s">
        <v>326</v>
      </c>
      <c r="BS149" t="s">
        <v>328</v>
      </c>
      <c r="BT149" t="s">
        <v>389</v>
      </c>
      <c r="BU149" t="s">
        <v>390</v>
      </c>
      <c r="BV149" t="s">
        <v>391</v>
      </c>
      <c r="BW149" t="s">
        <v>392</v>
      </c>
      <c r="BX149" t="s">
        <v>393</v>
      </c>
      <c r="BY149" t="s">
        <v>394</v>
      </c>
      <c r="BZ149" t="s">
        <v>395</v>
      </c>
      <c r="CA149" t="s">
        <v>396</v>
      </c>
      <c r="CB149" t="s">
        <v>397</v>
      </c>
      <c r="CC149" t="s">
        <v>398</v>
      </c>
      <c r="CD149" t="s">
        <v>399</v>
      </c>
      <c r="CE149" t="s">
        <v>400</v>
      </c>
      <c r="CF149" t="s">
        <v>401</v>
      </c>
      <c r="CG149" t="s">
        <v>402</v>
      </c>
      <c r="CH149" t="s">
        <v>444</v>
      </c>
      <c r="CI149" t="s">
        <v>445</v>
      </c>
      <c r="CN149" s="41" t="s">
        <v>253</v>
      </c>
      <c r="CO149" t="s">
        <v>253</v>
      </c>
      <c r="CQ149" t="s">
        <v>560</v>
      </c>
    </row>
    <row r="150" spans="1:95" x14ac:dyDescent="0.25">
      <c r="E150">
        <f t="shared" ref="E150:AJ150" si="57">AVERAGE(E33:E41,E16:E20)/MAX(E43:E85,E22:E41,E7:E20)</f>
        <v>5.0914317167145744E-3</v>
      </c>
      <c r="F150">
        <f t="shared" si="57"/>
        <v>0.15469208211143692</v>
      </c>
      <c r="G150">
        <f t="shared" si="57"/>
        <v>4.9062049062049062E-3</v>
      </c>
      <c r="H150">
        <f t="shared" si="57"/>
        <v>5.196653915490481E-2</v>
      </c>
      <c r="I150">
        <f t="shared" si="57"/>
        <v>0.12411487018095989</v>
      </c>
      <c r="J150">
        <f t="shared" si="57"/>
        <v>0.28387494699510429</v>
      </c>
      <c r="K150">
        <f t="shared" si="57"/>
        <v>3.4232876098929804E-2</v>
      </c>
      <c r="L150">
        <f t="shared" si="57"/>
        <v>7.0444411042637406E-2</v>
      </c>
      <c r="M150">
        <f t="shared" si="57"/>
        <v>0.32838286167980496</v>
      </c>
      <c r="N150">
        <f t="shared" si="57"/>
        <v>0.34552113695681169</v>
      </c>
      <c r="O150">
        <f t="shared" si="57"/>
        <v>0.17795420046844998</v>
      </c>
      <c r="P150">
        <f t="shared" si="57"/>
        <v>0.15933148804458616</v>
      </c>
      <c r="Q150" t="e">
        <f t="shared" si="57"/>
        <v>#DIV/0!</v>
      </c>
      <c r="R150" t="e">
        <f t="shared" si="57"/>
        <v>#DIV/0!</v>
      </c>
      <c r="S150">
        <f t="shared" si="57"/>
        <v>2.8510854867010497E-2</v>
      </c>
      <c r="T150">
        <f t="shared" si="57"/>
        <v>3.7180561374109758E-2</v>
      </c>
      <c r="U150" t="e">
        <f t="shared" si="57"/>
        <v>#DIV/0!</v>
      </c>
      <c r="V150">
        <f t="shared" si="57"/>
        <v>0.22825593451199103</v>
      </c>
      <c r="W150" t="e">
        <f t="shared" si="57"/>
        <v>#DIV/0!</v>
      </c>
      <c r="X150" t="e">
        <f t="shared" si="57"/>
        <v>#DIV/0!</v>
      </c>
      <c r="Y150">
        <f t="shared" si="57"/>
        <v>4.7103350071198383E-2</v>
      </c>
      <c r="Z150">
        <f t="shared" si="57"/>
        <v>0.45243658210947935</v>
      </c>
      <c r="AA150">
        <f t="shared" si="57"/>
        <v>0.19948946744617455</v>
      </c>
      <c r="AB150" t="e">
        <f t="shared" si="57"/>
        <v>#DIV/0!</v>
      </c>
      <c r="AC150">
        <f t="shared" si="57"/>
        <v>3.7346751301774624E-3</v>
      </c>
      <c r="AD150">
        <f t="shared" si="57"/>
        <v>3.6566442564660924E-3</v>
      </c>
      <c r="AE150">
        <f t="shared" si="57"/>
        <v>6.4663779644868785E-4</v>
      </c>
      <c r="AF150" t="e">
        <f t="shared" si="57"/>
        <v>#DIV/0!</v>
      </c>
      <c r="AG150">
        <f t="shared" si="57"/>
        <v>5.6119162640901769E-2</v>
      </c>
      <c r="AH150" t="e">
        <f t="shared" si="57"/>
        <v>#DIV/0!</v>
      </c>
      <c r="AI150">
        <f t="shared" si="57"/>
        <v>0.27916666666666667</v>
      </c>
      <c r="AJ150">
        <f t="shared" si="57"/>
        <v>0.2595579815191465</v>
      </c>
      <c r="AK150" t="e">
        <f t="shared" ref="AK150:BP150" si="58">AVERAGE(AK33:AK41,AK16:AK20)/MAX(AK43:AK85,AK22:AK41,AK7:AK20)</f>
        <v>#DIV/0!</v>
      </c>
      <c r="AL150">
        <f t="shared" si="58"/>
        <v>0.144137881257099</v>
      </c>
      <c r="AM150" t="e">
        <f t="shared" si="58"/>
        <v>#DIV/0!</v>
      </c>
      <c r="AN150">
        <f t="shared" si="58"/>
        <v>0.18191356423738006</v>
      </c>
      <c r="AO150" t="e">
        <f t="shared" si="58"/>
        <v>#DIV/0!</v>
      </c>
      <c r="AP150">
        <f t="shared" si="58"/>
        <v>2.3033873343151694E-2</v>
      </c>
      <c r="AQ150">
        <f t="shared" si="58"/>
        <v>0.20928886323123333</v>
      </c>
      <c r="AR150">
        <f t="shared" si="58"/>
        <v>9.4552929085303175E-2</v>
      </c>
      <c r="AS150" t="e">
        <f t="shared" si="58"/>
        <v>#DIV/0!</v>
      </c>
      <c r="AT150">
        <f t="shared" si="58"/>
        <v>0.60063463281958296</v>
      </c>
      <c r="AU150">
        <f t="shared" si="58"/>
        <v>0.33574660705248821</v>
      </c>
      <c r="AV150" t="e">
        <f t="shared" si="58"/>
        <v>#DIV/0!</v>
      </c>
      <c r="AW150">
        <f t="shared" si="58"/>
        <v>0.13664302600472814</v>
      </c>
      <c r="AX150">
        <f t="shared" si="58"/>
        <v>0.11941613765916666</v>
      </c>
      <c r="AY150" t="e">
        <f t="shared" si="58"/>
        <v>#DIV/0!</v>
      </c>
      <c r="AZ150" t="e">
        <f t="shared" si="58"/>
        <v>#DIV/0!</v>
      </c>
      <c r="BA150" t="e">
        <f t="shared" si="58"/>
        <v>#DIV/0!</v>
      </c>
      <c r="BB150" t="e">
        <f t="shared" si="58"/>
        <v>#DIV/0!</v>
      </c>
      <c r="BC150" t="e">
        <f t="shared" si="58"/>
        <v>#DIV/0!</v>
      </c>
      <c r="BD150">
        <f t="shared" si="58"/>
        <v>3.4955719466166719E-2</v>
      </c>
      <c r="BE150" t="e">
        <f t="shared" si="58"/>
        <v>#DIV/0!</v>
      </c>
      <c r="BF150">
        <f t="shared" si="58"/>
        <v>0.45025510204081631</v>
      </c>
      <c r="BG150">
        <f t="shared" si="58"/>
        <v>4.6214987614666414E-2</v>
      </c>
      <c r="BH150">
        <f t="shared" si="58"/>
        <v>1.4292808591203949E-2</v>
      </c>
      <c r="BI150" t="e">
        <f t="shared" si="58"/>
        <v>#DIV/0!</v>
      </c>
      <c r="BJ150">
        <f t="shared" si="58"/>
        <v>1</v>
      </c>
      <c r="BK150" t="e">
        <f t="shared" si="58"/>
        <v>#DIV/0!</v>
      </c>
      <c r="BL150" t="e">
        <f t="shared" si="58"/>
        <v>#DIV/0!</v>
      </c>
      <c r="BM150" t="e">
        <f t="shared" si="58"/>
        <v>#DIV/0!</v>
      </c>
      <c r="BN150" t="e">
        <f t="shared" si="58"/>
        <v>#DIV/0!</v>
      </c>
      <c r="BO150">
        <f t="shared" si="58"/>
        <v>0.11945186493343915</v>
      </c>
      <c r="BP150" t="e">
        <f t="shared" si="58"/>
        <v>#DIV/0!</v>
      </c>
      <c r="BQ150">
        <f t="shared" ref="BQ150:CG150" si="59">AVERAGE(BQ33:BQ41,BQ16:BQ20)/MAX(BQ43:BQ85,BQ22:BQ41,BQ7:BQ20)</f>
        <v>7.0063413774881103E-3</v>
      </c>
      <c r="BR150">
        <f t="shared" si="59"/>
        <v>0.10061349693251533</v>
      </c>
      <c r="BS150" t="e">
        <f t="shared" si="59"/>
        <v>#DIV/0!</v>
      </c>
      <c r="BT150">
        <f t="shared" si="59"/>
        <v>0.40109890109890106</v>
      </c>
      <c r="BU150" t="e">
        <f t="shared" si="59"/>
        <v>#DIV/0!</v>
      </c>
      <c r="BV150">
        <f t="shared" si="59"/>
        <v>1.796033109479931E-2</v>
      </c>
      <c r="BW150" t="e">
        <f t="shared" si="59"/>
        <v>#DIV/0!</v>
      </c>
      <c r="BX150" t="e">
        <f t="shared" si="59"/>
        <v>#DIV/0!</v>
      </c>
      <c r="BY150" t="e">
        <f t="shared" si="59"/>
        <v>#DIV/0!</v>
      </c>
      <c r="BZ150" t="e">
        <f t="shared" si="59"/>
        <v>#DIV/0!</v>
      </c>
      <c r="CA150">
        <f t="shared" si="59"/>
        <v>0.20654485955822199</v>
      </c>
      <c r="CB150">
        <f t="shared" si="59"/>
        <v>5.7350250535376422E-2</v>
      </c>
      <c r="CC150" t="e">
        <f t="shared" si="59"/>
        <v>#DIV/0!</v>
      </c>
      <c r="CD150" t="e">
        <f t="shared" si="59"/>
        <v>#DIV/0!</v>
      </c>
      <c r="CE150" t="e">
        <f t="shared" si="59"/>
        <v>#DIV/0!</v>
      </c>
      <c r="CF150" t="e">
        <f t="shared" si="59"/>
        <v>#DIV/0!</v>
      </c>
      <c r="CG150" t="e">
        <f t="shared" si="59"/>
        <v>#DIV/0!</v>
      </c>
    </row>
    <row r="151" spans="1:95" x14ac:dyDescent="0.25">
      <c r="E151">
        <f t="shared" ref="E151:AJ151" si="60">AVERAGE(E7:E8,E23,E80:E85)/MAX(E43:E85,E22:E41,E7:E20)</f>
        <v>0.50268332212097122</v>
      </c>
      <c r="F151" t="e">
        <f t="shared" si="60"/>
        <v>#DIV/0!</v>
      </c>
      <c r="G151">
        <f t="shared" si="60"/>
        <v>3.2708032708032709E-3</v>
      </c>
      <c r="H151">
        <f t="shared" si="60"/>
        <v>0.10096146799747907</v>
      </c>
      <c r="I151">
        <f t="shared" si="60"/>
        <v>0.37755922720517532</v>
      </c>
      <c r="J151">
        <f t="shared" si="60"/>
        <v>0.60765294321730079</v>
      </c>
      <c r="K151">
        <f t="shared" si="60"/>
        <v>7.4313028941594399E-3</v>
      </c>
      <c r="L151" t="e">
        <f t="shared" si="60"/>
        <v>#DIV/0!</v>
      </c>
      <c r="M151">
        <f t="shared" si="60"/>
        <v>0.14807830855865792</v>
      </c>
      <c r="N151">
        <f t="shared" si="60"/>
        <v>8.8348181116762889E-2</v>
      </c>
      <c r="O151">
        <f t="shared" si="60"/>
        <v>0.51870538471762861</v>
      </c>
      <c r="P151">
        <f t="shared" si="60"/>
        <v>0.39004167484890134</v>
      </c>
      <c r="Q151" t="e">
        <f t="shared" si="60"/>
        <v>#DIV/0!</v>
      </c>
      <c r="R151" t="e">
        <f t="shared" si="60"/>
        <v>#DIV/0!</v>
      </c>
      <c r="S151">
        <f t="shared" si="60"/>
        <v>4.6801535097452641E-2</v>
      </c>
      <c r="T151">
        <f t="shared" si="60"/>
        <v>1.2096774193548387E-2</v>
      </c>
      <c r="U151" t="e">
        <f t="shared" si="60"/>
        <v>#DIV/0!</v>
      </c>
      <c r="V151">
        <f t="shared" si="60"/>
        <v>0.21494351794753641</v>
      </c>
      <c r="W151" t="e">
        <f t="shared" si="60"/>
        <v>#DIV/0!</v>
      </c>
      <c r="X151" t="e">
        <f t="shared" si="60"/>
        <v>#DIV/0!</v>
      </c>
      <c r="Y151" t="e">
        <f t="shared" si="60"/>
        <v>#DIV/0!</v>
      </c>
      <c r="Z151">
        <f t="shared" si="60"/>
        <v>0.25136292834890966</v>
      </c>
      <c r="AA151">
        <f t="shared" si="60"/>
        <v>2.7077031935182146E-3</v>
      </c>
      <c r="AB151" t="e">
        <f t="shared" si="60"/>
        <v>#DIV/0!</v>
      </c>
      <c r="AC151">
        <f t="shared" si="60"/>
        <v>2.1380334358067437E-3</v>
      </c>
      <c r="AD151" t="e">
        <f t="shared" si="60"/>
        <v>#DIV/0!</v>
      </c>
      <c r="AE151" t="e">
        <f t="shared" si="60"/>
        <v>#DIV/0!</v>
      </c>
      <c r="AF151">
        <f t="shared" si="60"/>
        <v>1</v>
      </c>
      <c r="AG151">
        <f t="shared" si="60"/>
        <v>0.10547504025764896</v>
      </c>
      <c r="AH151" t="e">
        <f t="shared" si="60"/>
        <v>#DIV/0!</v>
      </c>
      <c r="AI151">
        <f t="shared" si="60"/>
        <v>0.65833333333333344</v>
      </c>
      <c r="AJ151">
        <f t="shared" si="60"/>
        <v>3.6747298886539319E-2</v>
      </c>
      <c r="AK151" t="e">
        <f t="shared" ref="AK151:BP151" si="61">AVERAGE(AK7:AK8,AK23,AK80:AK85)/MAX(AK43:AK85,AK22:AK41,AK7:AK20)</f>
        <v>#DIV/0!</v>
      </c>
      <c r="AL151">
        <f t="shared" si="61"/>
        <v>0.26039678891628248</v>
      </c>
      <c r="AM151" t="e">
        <f t="shared" si="61"/>
        <v>#DIV/0!</v>
      </c>
      <c r="AN151">
        <f t="shared" si="61"/>
        <v>8.3567145293502773E-2</v>
      </c>
      <c r="AO151">
        <f t="shared" si="61"/>
        <v>1</v>
      </c>
      <c r="AP151" t="e">
        <f t="shared" si="61"/>
        <v>#DIV/0!</v>
      </c>
      <c r="AQ151">
        <f t="shared" si="61"/>
        <v>0.60863522653571756</v>
      </c>
      <c r="AR151">
        <f t="shared" si="61"/>
        <v>3.9168665067945641E-2</v>
      </c>
      <c r="AS151" t="e">
        <f t="shared" si="61"/>
        <v>#DIV/0!</v>
      </c>
      <c r="AT151" t="e">
        <f t="shared" si="61"/>
        <v>#DIV/0!</v>
      </c>
      <c r="AU151">
        <f t="shared" si="61"/>
        <v>8.4108005739730422E-3</v>
      </c>
      <c r="AV151" t="e">
        <f t="shared" si="61"/>
        <v>#DIV/0!</v>
      </c>
      <c r="AW151" t="e">
        <f t="shared" si="61"/>
        <v>#DIV/0!</v>
      </c>
      <c r="AX151">
        <f t="shared" si="61"/>
        <v>7.7933231438369235E-4</v>
      </c>
      <c r="AY151" t="e">
        <f t="shared" si="61"/>
        <v>#DIV/0!</v>
      </c>
      <c r="AZ151">
        <f t="shared" si="61"/>
        <v>1</v>
      </c>
      <c r="BA151">
        <f t="shared" si="61"/>
        <v>0.78333333333333333</v>
      </c>
      <c r="BB151">
        <f t="shared" si="61"/>
        <v>4.6497399816457639E-2</v>
      </c>
      <c r="BC151" t="e">
        <f t="shared" si="61"/>
        <v>#DIV/0!</v>
      </c>
      <c r="BD151">
        <f t="shared" si="61"/>
        <v>3.3250829831731228E-2</v>
      </c>
      <c r="BE151" t="e">
        <f t="shared" si="61"/>
        <v>#DIV/0!</v>
      </c>
      <c r="BF151" t="e">
        <f t="shared" si="61"/>
        <v>#DIV/0!</v>
      </c>
      <c r="BG151">
        <f t="shared" si="61"/>
        <v>1</v>
      </c>
      <c r="BH151" t="e">
        <f t="shared" si="61"/>
        <v>#DIV/0!</v>
      </c>
      <c r="BI151" t="e">
        <f t="shared" si="61"/>
        <v>#DIV/0!</v>
      </c>
      <c r="BJ151" t="e">
        <f t="shared" si="61"/>
        <v>#DIV/0!</v>
      </c>
      <c r="BK151" t="e">
        <f t="shared" si="61"/>
        <v>#DIV/0!</v>
      </c>
      <c r="BL151">
        <f t="shared" si="61"/>
        <v>5.2057094878253579E-2</v>
      </c>
      <c r="BM151" t="e">
        <f t="shared" si="61"/>
        <v>#DIV/0!</v>
      </c>
      <c r="BN151" t="e">
        <f t="shared" si="61"/>
        <v>#DIV/0!</v>
      </c>
      <c r="BO151">
        <f t="shared" si="61"/>
        <v>3.9785619278616693E-2</v>
      </c>
      <c r="BP151">
        <f t="shared" si="61"/>
        <v>0.57704402515723263</v>
      </c>
      <c r="BQ151">
        <f t="shared" ref="BQ151:CG151" si="62">AVERAGE(BQ7:BQ8,BQ23,BQ80:BQ85)/MAX(BQ43:BQ85,BQ22:BQ41,BQ7:BQ20)</f>
        <v>2.1118352807625311E-3</v>
      </c>
      <c r="BR151" t="e">
        <f t="shared" si="62"/>
        <v>#DIV/0!</v>
      </c>
      <c r="BS151" t="e">
        <f t="shared" si="62"/>
        <v>#DIV/0!</v>
      </c>
      <c r="BT151" t="e">
        <f t="shared" si="62"/>
        <v>#DIV/0!</v>
      </c>
      <c r="BU151" t="e">
        <f t="shared" si="62"/>
        <v>#DIV/0!</v>
      </c>
      <c r="BV151">
        <f t="shared" si="62"/>
        <v>0.68091129158207087</v>
      </c>
      <c r="BW151" t="e">
        <f t="shared" si="62"/>
        <v>#DIV/0!</v>
      </c>
      <c r="BX151" t="e">
        <f t="shared" si="62"/>
        <v>#DIV/0!</v>
      </c>
      <c r="BY151">
        <f t="shared" si="62"/>
        <v>0.57827085774924625</v>
      </c>
      <c r="BZ151" t="e">
        <f t="shared" si="62"/>
        <v>#DIV/0!</v>
      </c>
      <c r="CA151">
        <f t="shared" si="62"/>
        <v>0.66106977287779034</v>
      </c>
      <c r="CB151">
        <f t="shared" si="62"/>
        <v>0.35063228706803151</v>
      </c>
      <c r="CC151">
        <f t="shared" si="62"/>
        <v>0.50614754098360659</v>
      </c>
      <c r="CD151">
        <f t="shared" si="62"/>
        <v>0.73587947520569275</v>
      </c>
      <c r="CE151" t="e">
        <f t="shared" si="62"/>
        <v>#DIV/0!</v>
      </c>
      <c r="CF151" t="e">
        <f t="shared" si="62"/>
        <v>#DIV/0!</v>
      </c>
      <c r="CG151" t="e">
        <f t="shared" si="62"/>
        <v>#DIV/0!</v>
      </c>
    </row>
    <row r="152" spans="1:95" x14ac:dyDescent="0.25">
      <c r="E152">
        <f t="shared" ref="E152:AJ152" si="63">AVERAGE(E63:E64,E59:E60,E55:E56,E51:E52,E47:E48,E43:E44)/MAX(E43:E85,E22:E41,E7:E20)</f>
        <v>7.4039814078649619E-3</v>
      </c>
      <c r="F152">
        <f t="shared" si="63"/>
        <v>5.7184750733137828E-2</v>
      </c>
      <c r="G152">
        <f t="shared" si="63"/>
        <v>1.0485810485810486E-2</v>
      </c>
      <c r="H152">
        <f t="shared" si="63"/>
        <v>1.6268742030514885E-2</v>
      </c>
      <c r="I152" t="e">
        <f t="shared" si="63"/>
        <v>#DIV/0!</v>
      </c>
      <c r="J152" t="e">
        <f t="shared" si="63"/>
        <v>#DIV/0!</v>
      </c>
      <c r="K152">
        <f t="shared" si="63"/>
        <v>1.370459373802807E-2</v>
      </c>
      <c r="L152" t="e">
        <f t="shared" si="63"/>
        <v>#DIV/0!</v>
      </c>
      <c r="M152">
        <f t="shared" si="63"/>
        <v>4.3375111060700577E-2</v>
      </c>
      <c r="N152">
        <f t="shared" si="63"/>
        <v>5.9716081198335311E-2</v>
      </c>
      <c r="O152">
        <f t="shared" si="63"/>
        <v>3.1400558252996508E-2</v>
      </c>
      <c r="P152">
        <f t="shared" si="63"/>
        <v>1.6855403547816979E-3</v>
      </c>
      <c r="Q152" t="e">
        <f t="shared" si="63"/>
        <v>#DIV/0!</v>
      </c>
      <c r="R152" t="e">
        <f t="shared" si="63"/>
        <v>#DIV/0!</v>
      </c>
      <c r="S152" t="e">
        <f t="shared" si="63"/>
        <v>#DIV/0!</v>
      </c>
      <c r="T152">
        <f t="shared" si="63"/>
        <v>9.8773660357238072E-2</v>
      </c>
      <c r="U152">
        <f t="shared" si="63"/>
        <v>0.59302325581395354</v>
      </c>
      <c r="V152">
        <f t="shared" si="63"/>
        <v>6.0581829517039479E-3</v>
      </c>
      <c r="W152" t="e">
        <f t="shared" si="63"/>
        <v>#DIV/0!</v>
      </c>
      <c r="X152">
        <f t="shared" si="63"/>
        <v>0.546875</v>
      </c>
      <c r="Y152">
        <f t="shared" si="63"/>
        <v>2.6830547852806714E-2</v>
      </c>
      <c r="Z152">
        <f t="shared" si="63"/>
        <v>0.20609423676012456</v>
      </c>
      <c r="AA152">
        <f t="shared" si="63"/>
        <v>7.9608024835968433E-5</v>
      </c>
      <c r="AB152">
        <f t="shared" si="63"/>
        <v>0.64070612668743498</v>
      </c>
      <c r="AC152">
        <f t="shared" si="63"/>
        <v>2.4647415688160899E-4</v>
      </c>
      <c r="AD152" t="e">
        <f t="shared" si="63"/>
        <v>#DIV/0!</v>
      </c>
      <c r="AE152" t="e">
        <f t="shared" si="63"/>
        <v>#DIV/0!</v>
      </c>
      <c r="AF152" t="e">
        <f t="shared" si="63"/>
        <v>#DIV/0!</v>
      </c>
      <c r="AG152">
        <f t="shared" si="63"/>
        <v>4.0526033279656468E-2</v>
      </c>
      <c r="AH152">
        <f t="shared" si="63"/>
        <v>2.5758443045220378E-2</v>
      </c>
      <c r="AI152" t="e">
        <f t="shared" si="63"/>
        <v>#DIV/0!</v>
      </c>
      <c r="AJ152">
        <f t="shared" si="63"/>
        <v>5.7164789627925155E-4</v>
      </c>
      <c r="AK152" t="e">
        <f t="shared" ref="AK152:BP152" si="64">AVERAGE(AK63:AK64,AK59:AK60,AK55:AK56,AK51:AK52,AK47:AK48,AK43:AK44)/MAX(AK43:AK85,AK22:AK41,AK7:AK20)</f>
        <v>#DIV/0!</v>
      </c>
      <c r="AL152">
        <f t="shared" si="64"/>
        <v>3.4787514103046265E-2</v>
      </c>
      <c r="AM152" t="e">
        <f t="shared" si="64"/>
        <v>#DIV/0!</v>
      </c>
      <c r="AN152">
        <f t="shared" si="64"/>
        <v>1.1523053609206439E-2</v>
      </c>
      <c r="AO152" t="e">
        <f t="shared" si="64"/>
        <v>#DIV/0!</v>
      </c>
      <c r="AP152" t="e">
        <f t="shared" si="64"/>
        <v>#DIV/0!</v>
      </c>
      <c r="AQ152">
        <f t="shared" si="64"/>
        <v>2.0975529406920125E-3</v>
      </c>
      <c r="AR152">
        <f t="shared" si="64"/>
        <v>0.13601354210749045</v>
      </c>
      <c r="AS152" t="e">
        <f t="shared" si="64"/>
        <v>#DIV/0!</v>
      </c>
      <c r="AT152">
        <f t="shared" si="64"/>
        <v>0.22484134179510426</v>
      </c>
      <c r="AU152" t="e">
        <f t="shared" si="64"/>
        <v>#DIV/0!</v>
      </c>
      <c r="AV152" t="e">
        <f t="shared" si="64"/>
        <v>#DIV/0!</v>
      </c>
      <c r="AW152">
        <f t="shared" si="64"/>
        <v>0.1508274231678487</v>
      </c>
      <c r="AX152">
        <f t="shared" si="64"/>
        <v>6.0408334420539358E-5</v>
      </c>
      <c r="AY152" t="e">
        <f t="shared" si="64"/>
        <v>#DIV/0!</v>
      </c>
      <c r="AZ152" t="e">
        <f t="shared" si="64"/>
        <v>#DIV/0!</v>
      </c>
      <c r="BA152" t="e">
        <f t="shared" si="64"/>
        <v>#DIV/0!</v>
      </c>
      <c r="BB152">
        <f t="shared" si="64"/>
        <v>2.2101560110125422E-2</v>
      </c>
      <c r="BC152" t="e">
        <f t="shared" si="64"/>
        <v>#DIV/0!</v>
      </c>
      <c r="BD152">
        <f t="shared" si="64"/>
        <v>0.33288723881885685</v>
      </c>
      <c r="BE152" t="e">
        <f t="shared" si="64"/>
        <v>#DIV/0!</v>
      </c>
      <c r="BF152">
        <f t="shared" si="64"/>
        <v>0.23596938775510207</v>
      </c>
      <c r="BG152">
        <f t="shared" si="64"/>
        <v>1.6874243702781688E-2</v>
      </c>
      <c r="BH152">
        <f t="shared" si="64"/>
        <v>2.9904714609391973E-2</v>
      </c>
      <c r="BI152" t="e">
        <f t="shared" si="64"/>
        <v>#DIV/0!</v>
      </c>
      <c r="BJ152" t="e">
        <f t="shared" si="64"/>
        <v>#DIV/0!</v>
      </c>
      <c r="BK152">
        <f t="shared" si="64"/>
        <v>1.8301952107885194E-2</v>
      </c>
      <c r="BL152" t="e">
        <f t="shared" si="64"/>
        <v>#DIV/0!</v>
      </c>
      <c r="BM152" t="e">
        <f t="shared" si="64"/>
        <v>#DIV/0!</v>
      </c>
      <c r="BN152" t="e">
        <f t="shared" si="64"/>
        <v>#DIV/0!</v>
      </c>
      <c r="BO152">
        <f t="shared" si="64"/>
        <v>9.4195811491015288E-2</v>
      </c>
      <c r="BP152" t="e">
        <f t="shared" si="64"/>
        <v>#DIV/0!</v>
      </c>
      <c r="BQ152">
        <f t="shared" ref="BQ152:CG152" si="65">AVERAGE(BQ63:BQ64,BQ59:BQ60,BQ55:BQ56,BQ51:BQ52,BQ47:BQ48,BQ43:BQ44)/MAX(BQ43:BQ85,BQ22:BQ41,BQ7:BQ20)</f>
        <v>1.9975339087546239E-2</v>
      </c>
      <c r="BR152" t="e">
        <f t="shared" si="65"/>
        <v>#DIV/0!</v>
      </c>
      <c r="BS152" t="e">
        <f t="shared" si="65"/>
        <v>#DIV/0!</v>
      </c>
      <c r="BT152" t="e">
        <f t="shared" si="65"/>
        <v>#DIV/0!</v>
      </c>
      <c r="BU152" t="e">
        <f t="shared" si="65"/>
        <v>#DIV/0!</v>
      </c>
      <c r="BV152" t="e">
        <f t="shared" si="65"/>
        <v>#DIV/0!</v>
      </c>
      <c r="BW152" t="e">
        <f t="shared" si="65"/>
        <v>#DIV/0!</v>
      </c>
      <c r="BX152" t="e">
        <f t="shared" si="65"/>
        <v>#DIV/0!</v>
      </c>
      <c r="BY152" t="e">
        <f t="shared" si="65"/>
        <v>#DIV/0!</v>
      </c>
      <c r="BZ152" t="e">
        <f t="shared" si="65"/>
        <v>#DIV/0!</v>
      </c>
      <c r="CA152">
        <f t="shared" si="65"/>
        <v>9.6218525588582834E-2</v>
      </c>
      <c r="CB152">
        <f t="shared" si="65"/>
        <v>1.9571993402221897E-2</v>
      </c>
      <c r="CC152" t="e">
        <f t="shared" si="65"/>
        <v>#DIV/0!</v>
      </c>
      <c r="CD152" t="e">
        <f t="shared" si="65"/>
        <v>#DIV/0!</v>
      </c>
      <c r="CE152" t="e">
        <f t="shared" si="65"/>
        <v>#DIV/0!</v>
      </c>
      <c r="CF152" t="e">
        <f t="shared" si="65"/>
        <v>#DIV/0!</v>
      </c>
      <c r="CG152" t="e">
        <f t="shared" si="65"/>
        <v>#DIV/0!</v>
      </c>
    </row>
    <row r="154" spans="1:95" x14ac:dyDescent="0.25">
      <c r="E154" t="b">
        <f>IF(E150&gt;0.25,1)</f>
        <v>0</v>
      </c>
      <c r="F154" t="b">
        <f t="shared" ref="F154:BQ154" si="66">IF(F150&gt;0.25,1)</f>
        <v>0</v>
      </c>
      <c r="G154" t="b">
        <f t="shared" si="66"/>
        <v>0</v>
      </c>
      <c r="H154" t="b">
        <f t="shared" si="66"/>
        <v>0</v>
      </c>
      <c r="I154" t="b">
        <f t="shared" si="66"/>
        <v>0</v>
      </c>
      <c r="J154">
        <f t="shared" si="66"/>
        <v>1</v>
      </c>
      <c r="K154" t="b">
        <f t="shared" si="66"/>
        <v>0</v>
      </c>
      <c r="L154" t="b">
        <f t="shared" si="66"/>
        <v>0</v>
      </c>
      <c r="M154">
        <f t="shared" si="66"/>
        <v>1</v>
      </c>
      <c r="N154">
        <f t="shared" si="66"/>
        <v>1</v>
      </c>
      <c r="O154" t="b">
        <f t="shared" si="66"/>
        <v>0</v>
      </c>
      <c r="P154" t="b">
        <f t="shared" si="66"/>
        <v>0</v>
      </c>
      <c r="Q154" t="e">
        <f t="shared" si="66"/>
        <v>#DIV/0!</v>
      </c>
      <c r="R154" t="e">
        <f t="shared" si="66"/>
        <v>#DIV/0!</v>
      </c>
      <c r="S154" t="b">
        <f t="shared" si="66"/>
        <v>0</v>
      </c>
      <c r="T154" t="b">
        <f t="shared" si="66"/>
        <v>0</v>
      </c>
      <c r="U154" t="e">
        <f t="shared" si="66"/>
        <v>#DIV/0!</v>
      </c>
      <c r="V154" t="b">
        <f t="shared" si="66"/>
        <v>0</v>
      </c>
      <c r="W154" t="e">
        <f t="shared" si="66"/>
        <v>#DIV/0!</v>
      </c>
      <c r="X154" t="e">
        <f t="shared" si="66"/>
        <v>#DIV/0!</v>
      </c>
      <c r="Y154" t="b">
        <f t="shared" si="66"/>
        <v>0</v>
      </c>
      <c r="Z154">
        <f t="shared" si="66"/>
        <v>1</v>
      </c>
      <c r="AA154" t="b">
        <f t="shared" si="66"/>
        <v>0</v>
      </c>
      <c r="AB154" t="e">
        <f t="shared" si="66"/>
        <v>#DIV/0!</v>
      </c>
      <c r="AC154" t="b">
        <f t="shared" si="66"/>
        <v>0</v>
      </c>
      <c r="AD154" t="b">
        <f t="shared" si="66"/>
        <v>0</v>
      </c>
      <c r="AE154" t="b">
        <f t="shared" si="66"/>
        <v>0</v>
      </c>
      <c r="AF154" t="e">
        <f t="shared" si="66"/>
        <v>#DIV/0!</v>
      </c>
      <c r="AG154" t="b">
        <f t="shared" si="66"/>
        <v>0</v>
      </c>
      <c r="AH154" t="e">
        <f t="shared" si="66"/>
        <v>#DIV/0!</v>
      </c>
      <c r="AI154">
        <f t="shared" si="66"/>
        <v>1</v>
      </c>
      <c r="AJ154">
        <f t="shared" si="66"/>
        <v>1</v>
      </c>
      <c r="AK154" t="e">
        <f t="shared" si="66"/>
        <v>#DIV/0!</v>
      </c>
      <c r="AL154" t="b">
        <f t="shared" si="66"/>
        <v>0</v>
      </c>
      <c r="AM154" t="e">
        <f t="shared" si="66"/>
        <v>#DIV/0!</v>
      </c>
      <c r="AN154" t="b">
        <f t="shared" si="66"/>
        <v>0</v>
      </c>
      <c r="AO154" t="e">
        <f t="shared" si="66"/>
        <v>#DIV/0!</v>
      </c>
      <c r="AP154" t="b">
        <f t="shared" si="66"/>
        <v>0</v>
      </c>
      <c r="AQ154" t="b">
        <f t="shared" si="66"/>
        <v>0</v>
      </c>
      <c r="AR154" t="b">
        <f t="shared" si="66"/>
        <v>0</v>
      </c>
      <c r="AS154" t="e">
        <f t="shared" si="66"/>
        <v>#DIV/0!</v>
      </c>
      <c r="AT154">
        <f t="shared" si="66"/>
        <v>1</v>
      </c>
      <c r="AU154">
        <f t="shared" si="66"/>
        <v>1</v>
      </c>
      <c r="AV154" t="e">
        <f t="shared" si="66"/>
        <v>#DIV/0!</v>
      </c>
      <c r="AW154" t="b">
        <f t="shared" si="66"/>
        <v>0</v>
      </c>
      <c r="AX154" t="b">
        <f t="shared" si="66"/>
        <v>0</v>
      </c>
      <c r="AY154" t="e">
        <f t="shared" si="66"/>
        <v>#DIV/0!</v>
      </c>
      <c r="AZ154" t="e">
        <f t="shared" si="66"/>
        <v>#DIV/0!</v>
      </c>
      <c r="BA154" t="e">
        <f t="shared" si="66"/>
        <v>#DIV/0!</v>
      </c>
      <c r="BB154" t="e">
        <f t="shared" si="66"/>
        <v>#DIV/0!</v>
      </c>
      <c r="BC154" t="e">
        <f t="shared" si="66"/>
        <v>#DIV/0!</v>
      </c>
      <c r="BD154" t="b">
        <f t="shared" si="66"/>
        <v>0</v>
      </c>
      <c r="BE154" t="e">
        <f t="shared" si="66"/>
        <v>#DIV/0!</v>
      </c>
      <c r="BF154">
        <f t="shared" si="66"/>
        <v>1</v>
      </c>
      <c r="BG154" t="b">
        <f t="shared" si="66"/>
        <v>0</v>
      </c>
      <c r="BH154" t="b">
        <f t="shared" si="66"/>
        <v>0</v>
      </c>
      <c r="BI154" t="e">
        <f t="shared" si="66"/>
        <v>#DIV/0!</v>
      </c>
      <c r="BJ154">
        <f t="shared" si="66"/>
        <v>1</v>
      </c>
      <c r="BK154" t="e">
        <f t="shared" si="66"/>
        <v>#DIV/0!</v>
      </c>
      <c r="BL154" t="e">
        <f t="shared" si="66"/>
        <v>#DIV/0!</v>
      </c>
      <c r="BM154" t="e">
        <f t="shared" si="66"/>
        <v>#DIV/0!</v>
      </c>
      <c r="BN154" t="e">
        <f t="shared" si="66"/>
        <v>#DIV/0!</v>
      </c>
      <c r="BO154" t="b">
        <f t="shared" si="66"/>
        <v>0</v>
      </c>
      <c r="BP154" t="e">
        <f t="shared" si="66"/>
        <v>#DIV/0!</v>
      </c>
      <c r="BQ154" t="b">
        <f t="shared" si="66"/>
        <v>0</v>
      </c>
      <c r="BR154" t="b">
        <f t="shared" ref="BR154:CG154" si="67">IF(BR150&gt;0.25,1)</f>
        <v>0</v>
      </c>
      <c r="BS154" t="e">
        <f t="shared" si="67"/>
        <v>#DIV/0!</v>
      </c>
      <c r="BT154">
        <f t="shared" si="67"/>
        <v>1</v>
      </c>
      <c r="BU154" t="e">
        <f t="shared" si="67"/>
        <v>#DIV/0!</v>
      </c>
      <c r="BV154" t="b">
        <f t="shared" si="67"/>
        <v>0</v>
      </c>
      <c r="BW154" t="e">
        <f t="shared" si="67"/>
        <v>#DIV/0!</v>
      </c>
      <c r="BX154" t="e">
        <f t="shared" si="67"/>
        <v>#DIV/0!</v>
      </c>
      <c r="BY154" t="e">
        <f t="shared" si="67"/>
        <v>#DIV/0!</v>
      </c>
      <c r="BZ154" t="e">
        <f t="shared" si="67"/>
        <v>#DIV/0!</v>
      </c>
      <c r="CA154" t="b">
        <f t="shared" si="67"/>
        <v>0</v>
      </c>
      <c r="CB154" t="b">
        <f t="shared" si="67"/>
        <v>0</v>
      </c>
      <c r="CC154" t="e">
        <f t="shared" si="67"/>
        <v>#DIV/0!</v>
      </c>
      <c r="CD154" t="e">
        <f t="shared" si="67"/>
        <v>#DIV/0!</v>
      </c>
      <c r="CE154" t="e">
        <f t="shared" si="67"/>
        <v>#DIV/0!</v>
      </c>
      <c r="CF154" t="e">
        <f t="shared" si="67"/>
        <v>#DIV/0!</v>
      </c>
      <c r="CG154" t="e">
        <f t="shared" si="67"/>
        <v>#DIV/0!</v>
      </c>
    </row>
    <row r="155" spans="1:95" x14ac:dyDescent="0.25">
      <c r="E155">
        <f>IF(E151&gt;0.25,1)</f>
        <v>1</v>
      </c>
      <c r="F155" t="e">
        <f>IF(F151&gt;0.25,1)</f>
        <v>#DIV/0!</v>
      </c>
      <c r="G155" t="b">
        <f t="shared" ref="G155:BP155" si="68">IF(G151&gt;0.25,1)</f>
        <v>0</v>
      </c>
      <c r="H155" t="b">
        <f t="shared" si="68"/>
        <v>0</v>
      </c>
      <c r="I155">
        <f t="shared" si="68"/>
        <v>1</v>
      </c>
      <c r="J155">
        <f t="shared" si="68"/>
        <v>1</v>
      </c>
      <c r="K155" t="b">
        <f t="shared" si="68"/>
        <v>0</v>
      </c>
      <c r="L155" t="e">
        <f t="shared" si="68"/>
        <v>#DIV/0!</v>
      </c>
      <c r="M155" t="b">
        <f t="shared" si="68"/>
        <v>0</v>
      </c>
      <c r="N155" t="b">
        <f t="shared" si="68"/>
        <v>0</v>
      </c>
      <c r="O155">
        <f t="shared" si="68"/>
        <v>1</v>
      </c>
      <c r="P155">
        <f t="shared" si="68"/>
        <v>1</v>
      </c>
      <c r="Q155" t="e">
        <f t="shared" si="68"/>
        <v>#DIV/0!</v>
      </c>
      <c r="R155" t="e">
        <f t="shared" si="68"/>
        <v>#DIV/0!</v>
      </c>
      <c r="S155" t="b">
        <f t="shared" si="68"/>
        <v>0</v>
      </c>
      <c r="T155" t="b">
        <f t="shared" si="68"/>
        <v>0</v>
      </c>
      <c r="U155" t="e">
        <f t="shared" si="68"/>
        <v>#DIV/0!</v>
      </c>
      <c r="V155" t="b">
        <f t="shared" si="68"/>
        <v>0</v>
      </c>
      <c r="W155" t="e">
        <f t="shared" si="68"/>
        <v>#DIV/0!</v>
      </c>
      <c r="X155" t="e">
        <f t="shared" si="68"/>
        <v>#DIV/0!</v>
      </c>
      <c r="Y155" t="e">
        <f t="shared" si="68"/>
        <v>#DIV/0!</v>
      </c>
      <c r="Z155">
        <f t="shared" si="68"/>
        <v>1</v>
      </c>
      <c r="AA155" t="b">
        <f t="shared" si="68"/>
        <v>0</v>
      </c>
      <c r="AB155" t="e">
        <f t="shared" si="68"/>
        <v>#DIV/0!</v>
      </c>
      <c r="AC155" t="b">
        <f t="shared" si="68"/>
        <v>0</v>
      </c>
      <c r="AD155" t="e">
        <f t="shared" si="68"/>
        <v>#DIV/0!</v>
      </c>
      <c r="AE155" t="e">
        <f t="shared" si="68"/>
        <v>#DIV/0!</v>
      </c>
      <c r="AF155">
        <f t="shared" si="68"/>
        <v>1</v>
      </c>
      <c r="AG155" t="b">
        <f t="shared" si="68"/>
        <v>0</v>
      </c>
      <c r="AH155" t="e">
        <f t="shared" si="68"/>
        <v>#DIV/0!</v>
      </c>
      <c r="AI155">
        <f t="shared" si="68"/>
        <v>1</v>
      </c>
      <c r="AJ155" t="b">
        <f t="shared" si="68"/>
        <v>0</v>
      </c>
      <c r="AK155" t="e">
        <f t="shared" si="68"/>
        <v>#DIV/0!</v>
      </c>
      <c r="AL155">
        <f t="shared" si="68"/>
        <v>1</v>
      </c>
      <c r="AM155" t="e">
        <f t="shared" si="68"/>
        <v>#DIV/0!</v>
      </c>
      <c r="AN155" t="b">
        <f t="shared" si="68"/>
        <v>0</v>
      </c>
      <c r="AO155">
        <f t="shared" si="68"/>
        <v>1</v>
      </c>
      <c r="AP155" t="e">
        <f t="shared" si="68"/>
        <v>#DIV/0!</v>
      </c>
      <c r="AQ155">
        <f t="shared" si="68"/>
        <v>1</v>
      </c>
      <c r="AR155" t="b">
        <f t="shared" si="68"/>
        <v>0</v>
      </c>
      <c r="AS155" t="e">
        <f t="shared" si="68"/>
        <v>#DIV/0!</v>
      </c>
      <c r="AT155" t="e">
        <f t="shared" si="68"/>
        <v>#DIV/0!</v>
      </c>
      <c r="AU155" t="b">
        <f t="shared" si="68"/>
        <v>0</v>
      </c>
      <c r="AV155" t="e">
        <f t="shared" si="68"/>
        <v>#DIV/0!</v>
      </c>
      <c r="AW155" t="e">
        <f t="shared" si="68"/>
        <v>#DIV/0!</v>
      </c>
      <c r="AX155" t="b">
        <f t="shared" si="68"/>
        <v>0</v>
      </c>
      <c r="AY155" t="e">
        <f t="shared" si="68"/>
        <v>#DIV/0!</v>
      </c>
      <c r="AZ155">
        <f t="shared" si="68"/>
        <v>1</v>
      </c>
      <c r="BA155">
        <f t="shared" si="68"/>
        <v>1</v>
      </c>
      <c r="BB155" t="b">
        <f t="shared" si="68"/>
        <v>0</v>
      </c>
      <c r="BC155" t="e">
        <f t="shared" si="68"/>
        <v>#DIV/0!</v>
      </c>
      <c r="BD155" t="b">
        <f t="shared" si="68"/>
        <v>0</v>
      </c>
      <c r="BE155" t="e">
        <f t="shared" si="68"/>
        <v>#DIV/0!</v>
      </c>
      <c r="BF155" t="e">
        <f t="shared" si="68"/>
        <v>#DIV/0!</v>
      </c>
      <c r="BG155">
        <f t="shared" si="68"/>
        <v>1</v>
      </c>
      <c r="BH155" t="e">
        <f t="shared" si="68"/>
        <v>#DIV/0!</v>
      </c>
      <c r="BI155" t="e">
        <f t="shared" si="68"/>
        <v>#DIV/0!</v>
      </c>
      <c r="BJ155" t="e">
        <f t="shared" si="68"/>
        <v>#DIV/0!</v>
      </c>
      <c r="BK155" t="e">
        <f t="shared" si="68"/>
        <v>#DIV/0!</v>
      </c>
      <c r="BL155" t="b">
        <f t="shared" si="68"/>
        <v>0</v>
      </c>
      <c r="BM155" t="e">
        <f t="shared" si="68"/>
        <v>#DIV/0!</v>
      </c>
      <c r="BN155" t="e">
        <f t="shared" si="68"/>
        <v>#DIV/0!</v>
      </c>
      <c r="BO155" t="b">
        <f t="shared" si="68"/>
        <v>0</v>
      </c>
      <c r="BP155">
        <f t="shared" si="68"/>
        <v>1</v>
      </c>
      <c r="BQ155" t="b">
        <f t="shared" ref="BQ155:CG155" si="69">IF(BQ151&gt;0.25,1)</f>
        <v>0</v>
      </c>
      <c r="BR155" t="e">
        <f t="shared" si="69"/>
        <v>#DIV/0!</v>
      </c>
      <c r="BS155" t="e">
        <f t="shared" si="69"/>
        <v>#DIV/0!</v>
      </c>
      <c r="BT155" t="e">
        <f t="shared" si="69"/>
        <v>#DIV/0!</v>
      </c>
      <c r="BU155" t="e">
        <f t="shared" si="69"/>
        <v>#DIV/0!</v>
      </c>
      <c r="BV155">
        <f t="shared" si="69"/>
        <v>1</v>
      </c>
      <c r="BW155" t="e">
        <f t="shared" si="69"/>
        <v>#DIV/0!</v>
      </c>
      <c r="BX155" t="e">
        <f t="shared" si="69"/>
        <v>#DIV/0!</v>
      </c>
      <c r="BY155">
        <f t="shared" si="69"/>
        <v>1</v>
      </c>
      <c r="BZ155" t="e">
        <f t="shared" si="69"/>
        <v>#DIV/0!</v>
      </c>
      <c r="CA155">
        <f t="shared" si="69"/>
        <v>1</v>
      </c>
      <c r="CB155">
        <f t="shared" si="69"/>
        <v>1</v>
      </c>
      <c r="CC155">
        <f t="shared" si="69"/>
        <v>1</v>
      </c>
      <c r="CD155">
        <f t="shared" si="69"/>
        <v>1</v>
      </c>
      <c r="CE155" t="e">
        <f t="shared" si="69"/>
        <v>#DIV/0!</v>
      </c>
      <c r="CF155" t="e">
        <f t="shared" si="69"/>
        <v>#DIV/0!</v>
      </c>
      <c r="CG155" t="e">
        <f t="shared" si="69"/>
        <v>#DIV/0!</v>
      </c>
    </row>
    <row r="156" spans="1:95" x14ac:dyDescent="0.25">
      <c r="E156" t="b">
        <f>IF(E152&gt;0.25,1)</f>
        <v>0</v>
      </c>
      <c r="F156" t="b">
        <f t="shared" ref="F156:BP156" si="70">IF(F152&gt;0.25,1)</f>
        <v>0</v>
      </c>
      <c r="G156" t="b">
        <f t="shared" si="70"/>
        <v>0</v>
      </c>
      <c r="H156" t="b">
        <f t="shared" si="70"/>
        <v>0</v>
      </c>
      <c r="I156" t="e">
        <f t="shared" si="70"/>
        <v>#DIV/0!</v>
      </c>
      <c r="J156" t="e">
        <f t="shared" si="70"/>
        <v>#DIV/0!</v>
      </c>
      <c r="K156" t="b">
        <f t="shared" si="70"/>
        <v>0</v>
      </c>
      <c r="L156" t="e">
        <f t="shared" si="70"/>
        <v>#DIV/0!</v>
      </c>
      <c r="M156" t="b">
        <f t="shared" si="70"/>
        <v>0</v>
      </c>
      <c r="N156" t="b">
        <f t="shared" si="70"/>
        <v>0</v>
      </c>
      <c r="O156" t="b">
        <f t="shared" si="70"/>
        <v>0</v>
      </c>
      <c r="P156" t="b">
        <f t="shared" si="70"/>
        <v>0</v>
      </c>
      <c r="Q156" t="e">
        <f t="shared" si="70"/>
        <v>#DIV/0!</v>
      </c>
      <c r="R156" t="e">
        <f t="shared" si="70"/>
        <v>#DIV/0!</v>
      </c>
      <c r="S156" t="e">
        <f t="shared" si="70"/>
        <v>#DIV/0!</v>
      </c>
      <c r="T156" t="b">
        <f t="shared" si="70"/>
        <v>0</v>
      </c>
      <c r="U156">
        <f t="shared" si="70"/>
        <v>1</v>
      </c>
      <c r="V156" t="b">
        <f t="shared" si="70"/>
        <v>0</v>
      </c>
      <c r="W156" t="e">
        <f t="shared" si="70"/>
        <v>#DIV/0!</v>
      </c>
      <c r="X156">
        <f t="shared" si="70"/>
        <v>1</v>
      </c>
      <c r="Y156" t="b">
        <f t="shared" si="70"/>
        <v>0</v>
      </c>
      <c r="Z156" t="b">
        <f t="shared" si="70"/>
        <v>0</v>
      </c>
      <c r="AA156" t="b">
        <f t="shared" si="70"/>
        <v>0</v>
      </c>
      <c r="AB156">
        <f t="shared" si="70"/>
        <v>1</v>
      </c>
      <c r="AC156" t="b">
        <f t="shared" si="70"/>
        <v>0</v>
      </c>
      <c r="AD156" t="e">
        <f t="shared" si="70"/>
        <v>#DIV/0!</v>
      </c>
      <c r="AE156" t="e">
        <f t="shared" si="70"/>
        <v>#DIV/0!</v>
      </c>
      <c r="AF156" t="e">
        <f t="shared" si="70"/>
        <v>#DIV/0!</v>
      </c>
      <c r="AG156" t="b">
        <f t="shared" si="70"/>
        <v>0</v>
      </c>
      <c r="AH156" t="b">
        <f t="shared" si="70"/>
        <v>0</v>
      </c>
      <c r="AI156" t="e">
        <f t="shared" si="70"/>
        <v>#DIV/0!</v>
      </c>
      <c r="AJ156" t="b">
        <f t="shared" si="70"/>
        <v>0</v>
      </c>
      <c r="AK156" t="e">
        <f t="shared" si="70"/>
        <v>#DIV/0!</v>
      </c>
      <c r="AL156" t="b">
        <f t="shared" si="70"/>
        <v>0</v>
      </c>
      <c r="AM156" t="e">
        <f t="shared" si="70"/>
        <v>#DIV/0!</v>
      </c>
      <c r="AN156" t="b">
        <f t="shared" si="70"/>
        <v>0</v>
      </c>
      <c r="AO156" t="e">
        <f t="shared" si="70"/>
        <v>#DIV/0!</v>
      </c>
      <c r="AP156" t="e">
        <f t="shared" si="70"/>
        <v>#DIV/0!</v>
      </c>
      <c r="AQ156" t="b">
        <f t="shared" si="70"/>
        <v>0</v>
      </c>
      <c r="AR156" t="b">
        <f t="shared" si="70"/>
        <v>0</v>
      </c>
      <c r="AS156" t="e">
        <f t="shared" si="70"/>
        <v>#DIV/0!</v>
      </c>
      <c r="AT156" t="b">
        <f t="shared" si="70"/>
        <v>0</v>
      </c>
      <c r="AU156" t="e">
        <f t="shared" si="70"/>
        <v>#DIV/0!</v>
      </c>
      <c r="AV156" t="e">
        <f t="shared" si="70"/>
        <v>#DIV/0!</v>
      </c>
      <c r="AW156" t="b">
        <f t="shared" si="70"/>
        <v>0</v>
      </c>
      <c r="AX156" t="b">
        <f t="shared" si="70"/>
        <v>0</v>
      </c>
      <c r="AY156" t="e">
        <f t="shared" si="70"/>
        <v>#DIV/0!</v>
      </c>
      <c r="AZ156" t="e">
        <f t="shared" si="70"/>
        <v>#DIV/0!</v>
      </c>
      <c r="BA156" t="e">
        <f t="shared" si="70"/>
        <v>#DIV/0!</v>
      </c>
      <c r="BB156" t="b">
        <f t="shared" si="70"/>
        <v>0</v>
      </c>
      <c r="BC156" t="e">
        <f t="shared" si="70"/>
        <v>#DIV/0!</v>
      </c>
      <c r="BD156">
        <f t="shared" si="70"/>
        <v>1</v>
      </c>
      <c r="BE156" t="e">
        <f t="shared" si="70"/>
        <v>#DIV/0!</v>
      </c>
      <c r="BF156" t="b">
        <f t="shared" si="70"/>
        <v>0</v>
      </c>
      <c r="BG156" t="b">
        <f t="shared" si="70"/>
        <v>0</v>
      </c>
      <c r="BH156" t="b">
        <f t="shared" si="70"/>
        <v>0</v>
      </c>
      <c r="BI156" t="e">
        <f t="shared" si="70"/>
        <v>#DIV/0!</v>
      </c>
      <c r="BJ156" t="e">
        <f t="shared" si="70"/>
        <v>#DIV/0!</v>
      </c>
      <c r="BK156" t="b">
        <f t="shared" si="70"/>
        <v>0</v>
      </c>
      <c r="BL156" t="e">
        <f t="shared" si="70"/>
        <v>#DIV/0!</v>
      </c>
      <c r="BM156" t="e">
        <f t="shared" si="70"/>
        <v>#DIV/0!</v>
      </c>
      <c r="BN156" t="e">
        <f t="shared" si="70"/>
        <v>#DIV/0!</v>
      </c>
      <c r="BO156" t="b">
        <f t="shared" si="70"/>
        <v>0</v>
      </c>
      <c r="BP156" t="e">
        <f t="shared" si="70"/>
        <v>#DIV/0!</v>
      </c>
      <c r="BQ156" t="b">
        <f t="shared" ref="BQ156:CG156" si="71">IF(BQ152&gt;0.25,1)</f>
        <v>0</v>
      </c>
      <c r="BR156" t="e">
        <f t="shared" si="71"/>
        <v>#DIV/0!</v>
      </c>
      <c r="BS156" t="e">
        <f t="shared" si="71"/>
        <v>#DIV/0!</v>
      </c>
      <c r="BT156" t="e">
        <f t="shared" si="71"/>
        <v>#DIV/0!</v>
      </c>
      <c r="BU156" t="e">
        <f t="shared" si="71"/>
        <v>#DIV/0!</v>
      </c>
      <c r="BV156" t="e">
        <f t="shared" si="71"/>
        <v>#DIV/0!</v>
      </c>
      <c r="BW156" t="e">
        <f t="shared" si="71"/>
        <v>#DIV/0!</v>
      </c>
      <c r="BX156" t="e">
        <f t="shared" si="71"/>
        <v>#DIV/0!</v>
      </c>
      <c r="BY156" t="e">
        <f t="shared" si="71"/>
        <v>#DIV/0!</v>
      </c>
      <c r="BZ156" t="e">
        <f t="shared" si="71"/>
        <v>#DIV/0!</v>
      </c>
      <c r="CA156" t="b">
        <f t="shared" si="71"/>
        <v>0</v>
      </c>
      <c r="CB156" t="b">
        <f t="shared" si="71"/>
        <v>0</v>
      </c>
      <c r="CC156" t="e">
        <f t="shared" si="71"/>
        <v>#DIV/0!</v>
      </c>
      <c r="CD156" t="e">
        <f t="shared" si="71"/>
        <v>#DIV/0!</v>
      </c>
      <c r="CE156" t="e">
        <f t="shared" si="71"/>
        <v>#DIV/0!</v>
      </c>
      <c r="CF156" t="e">
        <f t="shared" si="71"/>
        <v>#DIV/0!</v>
      </c>
      <c r="CG156" t="e">
        <f t="shared" si="71"/>
        <v>#DIV/0!</v>
      </c>
    </row>
    <row r="157" spans="1:95" x14ac:dyDescent="0.25">
      <c r="E157">
        <f>SUM(E154:E156)</f>
        <v>1</v>
      </c>
      <c r="F157" t="e">
        <f t="shared" ref="F157:BQ157" si="72">SUM(F154:F156)</f>
        <v>#DIV/0!</v>
      </c>
      <c r="G157">
        <f t="shared" si="72"/>
        <v>0</v>
      </c>
      <c r="H157">
        <f t="shared" si="72"/>
        <v>0</v>
      </c>
      <c r="I157" t="e">
        <f t="shared" si="72"/>
        <v>#DIV/0!</v>
      </c>
      <c r="J157" t="e">
        <f t="shared" si="72"/>
        <v>#DIV/0!</v>
      </c>
      <c r="K157">
        <f t="shared" si="72"/>
        <v>0</v>
      </c>
      <c r="L157" t="e">
        <f t="shared" si="72"/>
        <v>#DIV/0!</v>
      </c>
      <c r="M157">
        <f t="shared" si="72"/>
        <v>1</v>
      </c>
      <c r="N157">
        <f t="shared" si="72"/>
        <v>1</v>
      </c>
      <c r="O157">
        <f t="shared" si="72"/>
        <v>1</v>
      </c>
      <c r="P157">
        <f t="shared" si="72"/>
        <v>1</v>
      </c>
      <c r="Q157" t="e">
        <f t="shared" si="72"/>
        <v>#DIV/0!</v>
      </c>
      <c r="R157" t="e">
        <f t="shared" si="72"/>
        <v>#DIV/0!</v>
      </c>
      <c r="S157" t="e">
        <f t="shared" si="72"/>
        <v>#DIV/0!</v>
      </c>
      <c r="T157">
        <f t="shared" si="72"/>
        <v>0</v>
      </c>
      <c r="U157" t="e">
        <f t="shared" si="72"/>
        <v>#DIV/0!</v>
      </c>
      <c r="V157">
        <f t="shared" si="72"/>
        <v>0</v>
      </c>
      <c r="W157" t="e">
        <f t="shared" si="72"/>
        <v>#DIV/0!</v>
      </c>
      <c r="X157" t="e">
        <f t="shared" si="72"/>
        <v>#DIV/0!</v>
      </c>
      <c r="Y157" t="e">
        <f t="shared" si="72"/>
        <v>#DIV/0!</v>
      </c>
      <c r="Z157">
        <f t="shared" si="72"/>
        <v>2</v>
      </c>
      <c r="AA157">
        <f t="shared" si="72"/>
        <v>0</v>
      </c>
      <c r="AB157" t="e">
        <f t="shared" si="72"/>
        <v>#DIV/0!</v>
      </c>
      <c r="AC157">
        <f t="shared" si="72"/>
        <v>0</v>
      </c>
      <c r="AD157" t="e">
        <f t="shared" si="72"/>
        <v>#DIV/0!</v>
      </c>
      <c r="AE157" t="e">
        <f t="shared" si="72"/>
        <v>#DIV/0!</v>
      </c>
      <c r="AF157" t="e">
        <f t="shared" si="72"/>
        <v>#DIV/0!</v>
      </c>
      <c r="AG157">
        <f t="shared" si="72"/>
        <v>0</v>
      </c>
      <c r="AH157" t="e">
        <f t="shared" si="72"/>
        <v>#DIV/0!</v>
      </c>
      <c r="AI157" t="e">
        <f t="shared" si="72"/>
        <v>#DIV/0!</v>
      </c>
      <c r="AJ157">
        <f t="shared" si="72"/>
        <v>1</v>
      </c>
      <c r="AK157" t="e">
        <f t="shared" si="72"/>
        <v>#DIV/0!</v>
      </c>
      <c r="AL157">
        <f t="shared" si="72"/>
        <v>1</v>
      </c>
      <c r="AM157" t="e">
        <f t="shared" si="72"/>
        <v>#DIV/0!</v>
      </c>
      <c r="AN157">
        <f t="shared" si="72"/>
        <v>0</v>
      </c>
      <c r="AO157" t="e">
        <f t="shared" si="72"/>
        <v>#DIV/0!</v>
      </c>
      <c r="AP157" t="e">
        <f t="shared" si="72"/>
        <v>#DIV/0!</v>
      </c>
      <c r="AQ157">
        <f t="shared" si="72"/>
        <v>1</v>
      </c>
      <c r="AR157">
        <f t="shared" si="72"/>
        <v>0</v>
      </c>
      <c r="AS157" t="e">
        <f t="shared" si="72"/>
        <v>#DIV/0!</v>
      </c>
      <c r="AT157" t="e">
        <f t="shared" si="72"/>
        <v>#DIV/0!</v>
      </c>
      <c r="AU157" t="e">
        <f t="shared" si="72"/>
        <v>#DIV/0!</v>
      </c>
      <c r="AV157" t="e">
        <f t="shared" si="72"/>
        <v>#DIV/0!</v>
      </c>
      <c r="AW157" t="e">
        <f t="shared" si="72"/>
        <v>#DIV/0!</v>
      </c>
      <c r="AX157">
        <f t="shared" si="72"/>
        <v>0</v>
      </c>
      <c r="AY157" t="e">
        <f t="shared" si="72"/>
        <v>#DIV/0!</v>
      </c>
      <c r="AZ157" t="e">
        <f t="shared" si="72"/>
        <v>#DIV/0!</v>
      </c>
      <c r="BA157" t="e">
        <f t="shared" si="72"/>
        <v>#DIV/0!</v>
      </c>
      <c r="BB157" t="e">
        <f t="shared" si="72"/>
        <v>#DIV/0!</v>
      </c>
      <c r="BC157" t="e">
        <f t="shared" si="72"/>
        <v>#DIV/0!</v>
      </c>
      <c r="BD157">
        <f t="shared" si="72"/>
        <v>1</v>
      </c>
      <c r="BE157" t="e">
        <f t="shared" si="72"/>
        <v>#DIV/0!</v>
      </c>
      <c r="BF157" t="e">
        <f t="shared" si="72"/>
        <v>#DIV/0!</v>
      </c>
      <c r="BG157">
        <f t="shared" si="72"/>
        <v>1</v>
      </c>
      <c r="BH157" t="e">
        <f t="shared" si="72"/>
        <v>#DIV/0!</v>
      </c>
      <c r="BI157" t="e">
        <f t="shared" si="72"/>
        <v>#DIV/0!</v>
      </c>
      <c r="BJ157" t="e">
        <f t="shared" si="72"/>
        <v>#DIV/0!</v>
      </c>
      <c r="BK157" t="e">
        <f t="shared" si="72"/>
        <v>#DIV/0!</v>
      </c>
      <c r="BL157" t="e">
        <f t="shared" si="72"/>
        <v>#DIV/0!</v>
      </c>
      <c r="BM157" t="e">
        <f t="shared" si="72"/>
        <v>#DIV/0!</v>
      </c>
      <c r="BN157" t="e">
        <f t="shared" si="72"/>
        <v>#DIV/0!</v>
      </c>
      <c r="BO157">
        <f t="shared" si="72"/>
        <v>0</v>
      </c>
      <c r="BP157" t="e">
        <f t="shared" si="72"/>
        <v>#DIV/0!</v>
      </c>
      <c r="BQ157">
        <f t="shared" si="72"/>
        <v>0</v>
      </c>
      <c r="BR157" t="e">
        <f t="shared" ref="BR157:CG157" si="73">SUM(BR154:BR156)</f>
        <v>#DIV/0!</v>
      </c>
      <c r="BS157" t="e">
        <f t="shared" si="73"/>
        <v>#DIV/0!</v>
      </c>
      <c r="BT157" t="e">
        <f t="shared" si="73"/>
        <v>#DIV/0!</v>
      </c>
      <c r="BU157" t="e">
        <f t="shared" si="73"/>
        <v>#DIV/0!</v>
      </c>
      <c r="BV157" t="e">
        <f t="shared" si="73"/>
        <v>#DIV/0!</v>
      </c>
      <c r="BW157" t="e">
        <f t="shared" si="73"/>
        <v>#DIV/0!</v>
      </c>
      <c r="BX157" t="e">
        <f t="shared" si="73"/>
        <v>#DIV/0!</v>
      </c>
      <c r="BY157" t="e">
        <f t="shared" si="73"/>
        <v>#DIV/0!</v>
      </c>
      <c r="BZ157" t="e">
        <f t="shared" si="73"/>
        <v>#DIV/0!</v>
      </c>
      <c r="CA157">
        <f t="shared" si="73"/>
        <v>1</v>
      </c>
      <c r="CB157">
        <f t="shared" si="73"/>
        <v>1</v>
      </c>
      <c r="CC157" t="e">
        <f t="shared" si="73"/>
        <v>#DIV/0!</v>
      </c>
      <c r="CD157" t="e">
        <f t="shared" si="73"/>
        <v>#DIV/0!</v>
      </c>
      <c r="CE157" t="e">
        <f t="shared" si="73"/>
        <v>#DIV/0!</v>
      </c>
      <c r="CF157" t="e">
        <f t="shared" si="73"/>
        <v>#DIV/0!</v>
      </c>
      <c r="CG157" t="e">
        <f t="shared" si="73"/>
        <v>#DIV/0!</v>
      </c>
    </row>
  </sheetData>
  <conditionalFormatting sqref="A131:XFD132 A135:XFD136">
    <cfRule type="colorScale" priority="44">
      <colorScale>
        <cfvo type="min"/>
        <cfvo type="percentile" val="50"/>
        <cfvo type="max"/>
        <color rgb="FF5A8AC6"/>
        <color rgb="FFFCFCFF"/>
        <color rgb="FFF8696B"/>
      </colorScale>
    </cfRule>
  </conditionalFormatting>
  <conditionalFormatting sqref="A133:XFD134 A129:XFD130">
    <cfRule type="colorScale" priority="45">
      <colorScale>
        <cfvo type="min"/>
        <cfvo type="percentile" val="50"/>
        <cfvo type="max"/>
        <color rgb="FF63BE7B"/>
        <color rgb="FFFFEB84"/>
        <color rgb="FFF8696B"/>
      </colorScale>
    </cfRule>
  </conditionalFormatting>
  <conditionalFormatting sqref="A150:XFD152">
    <cfRule type="colorScale" priority="2">
      <colorScale>
        <cfvo type="min"/>
        <cfvo type="percentile" val="50"/>
        <cfvo type="max"/>
        <color rgb="FF63BE7B"/>
        <color rgb="FFFFEB84"/>
        <color rgb="FFF8696B"/>
      </colorScale>
    </cfRule>
  </conditionalFormatting>
  <conditionalFormatting sqref="A157:XFD157">
    <cfRule type="cellIs" dxfId="0" priority="1" operator="greaterThan">
      <formula>1</formula>
    </cfRule>
  </conditionalFormatting>
  <conditionalFormatting sqref="E140 E144">
    <cfRule type="dataBar" priority="29">
      <dataBar>
        <cfvo type="min"/>
        <cfvo type="max"/>
        <color rgb="FF63C384"/>
      </dataBar>
      <extLst>
        <ext xmlns:x14="http://schemas.microsoft.com/office/spreadsheetml/2009/9/main" uri="{B025F937-C7B1-47D3-B67F-A62EFF666E3E}">
          <x14:id>{BF901611-4CB9-459C-A7D6-D402241254E2}</x14:id>
        </ext>
      </extLst>
    </cfRule>
  </conditionalFormatting>
  <conditionalFormatting sqref="E142 E146">
    <cfRule type="dataBar" priority="28">
      <dataBar>
        <cfvo type="min"/>
        <cfvo type="max"/>
        <color rgb="FF008AEF"/>
      </dataBar>
      <extLst>
        <ext xmlns:x14="http://schemas.microsoft.com/office/spreadsheetml/2009/9/main" uri="{B025F937-C7B1-47D3-B67F-A62EFF666E3E}">
          <x14:id>{A98539FA-D072-43B6-B987-551474BEBC00}</x14:id>
        </ext>
      </extLst>
    </cfRule>
  </conditionalFormatting>
  <conditionalFormatting sqref="F142 F146">
    <cfRule type="dataBar" priority="25">
      <dataBar>
        <cfvo type="min"/>
        <cfvo type="max"/>
        <color rgb="FF008AEF"/>
      </dataBar>
      <extLst>
        <ext xmlns:x14="http://schemas.microsoft.com/office/spreadsheetml/2009/9/main" uri="{B025F937-C7B1-47D3-B67F-A62EFF666E3E}">
          <x14:id>{8160D3B1-EE01-4384-BC4E-F30DBC4D1DE2}</x14:id>
        </ext>
      </extLst>
    </cfRule>
  </conditionalFormatting>
  <conditionalFormatting sqref="F144 F140">
    <cfRule type="dataBar" priority="26">
      <dataBar>
        <cfvo type="min"/>
        <cfvo type="max"/>
        <color rgb="FF63C384"/>
      </dataBar>
      <extLst>
        <ext xmlns:x14="http://schemas.microsoft.com/office/spreadsheetml/2009/9/main" uri="{B025F937-C7B1-47D3-B67F-A62EFF666E3E}">
          <x14:id>{CBDC4BD6-4E4C-4CF7-B6CC-2138E75DDD46}</x14:id>
        </ext>
      </extLst>
    </cfRule>
  </conditionalFormatting>
  <conditionalFormatting sqref="G144 G140">
    <cfRule type="dataBar" priority="24">
      <dataBar>
        <cfvo type="min"/>
        <cfvo type="max"/>
        <color rgb="FF63C384"/>
      </dataBar>
      <extLst>
        <ext xmlns:x14="http://schemas.microsoft.com/office/spreadsheetml/2009/9/main" uri="{B025F937-C7B1-47D3-B67F-A62EFF666E3E}">
          <x14:id>{E3B83EB4-96FD-4315-A6C3-13B7AC35E260}</x14:id>
        </ext>
      </extLst>
    </cfRule>
  </conditionalFormatting>
  <conditionalFormatting sqref="G146 G142">
    <cfRule type="dataBar" priority="23">
      <dataBar>
        <cfvo type="min"/>
        <cfvo type="max"/>
        <color rgb="FF008AEF"/>
      </dataBar>
      <extLst>
        <ext xmlns:x14="http://schemas.microsoft.com/office/spreadsheetml/2009/9/main" uri="{B025F937-C7B1-47D3-B67F-A62EFF666E3E}">
          <x14:id>{A4D5DB81-555E-485B-9BA1-7D772278AA11}</x14:id>
        </ext>
      </extLst>
    </cfRule>
  </conditionalFormatting>
  <conditionalFormatting sqref="H142 H146">
    <cfRule type="dataBar" priority="21">
      <dataBar>
        <cfvo type="min"/>
        <cfvo type="max"/>
        <color rgb="FF008AEF"/>
      </dataBar>
      <extLst>
        <ext xmlns:x14="http://schemas.microsoft.com/office/spreadsheetml/2009/9/main" uri="{B025F937-C7B1-47D3-B67F-A62EFF666E3E}">
          <x14:id>{CA0AB96D-9A77-48A1-801D-DEDF2092DF22}</x14:id>
        </ext>
      </extLst>
    </cfRule>
  </conditionalFormatting>
  <conditionalFormatting sqref="H144 H140">
    <cfRule type="dataBar" priority="22">
      <dataBar>
        <cfvo type="min"/>
        <cfvo type="max"/>
        <color rgb="FF63C384"/>
      </dataBar>
      <extLst>
        <ext xmlns:x14="http://schemas.microsoft.com/office/spreadsheetml/2009/9/main" uri="{B025F937-C7B1-47D3-B67F-A62EFF666E3E}">
          <x14:id>{59D2D3A6-0E9D-41B5-9F4A-F8FB1AA20D5F}</x14:id>
        </ext>
      </extLst>
    </cfRule>
  </conditionalFormatting>
  <conditionalFormatting sqref="I140 I144">
    <cfRule type="dataBar" priority="20">
      <dataBar>
        <cfvo type="min"/>
        <cfvo type="max"/>
        <color rgb="FF63C384"/>
      </dataBar>
      <extLst>
        <ext xmlns:x14="http://schemas.microsoft.com/office/spreadsheetml/2009/9/main" uri="{B025F937-C7B1-47D3-B67F-A62EFF666E3E}">
          <x14:id>{5376FD5E-74B1-464A-8FD7-7D2CDABBD024}</x14:id>
        </ext>
      </extLst>
    </cfRule>
  </conditionalFormatting>
  <conditionalFormatting sqref="I146 I142">
    <cfRule type="dataBar" priority="19">
      <dataBar>
        <cfvo type="min"/>
        <cfvo type="max"/>
        <color rgb="FF008AEF"/>
      </dataBar>
      <extLst>
        <ext xmlns:x14="http://schemas.microsoft.com/office/spreadsheetml/2009/9/main" uri="{B025F937-C7B1-47D3-B67F-A62EFF666E3E}">
          <x14:id>{8FA0592F-3F67-4961-A240-58F57C917096}</x14:id>
        </ext>
      </extLst>
    </cfRule>
  </conditionalFormatting>
  <conditionalFormatting sqref="J140 J144">
    <cfRule type="dataBar" priority="18">
      <dataBar>
        <cfvo type="min"/>
        <cfvo type="max"/>
        <color rgb="FF63C384"/>
      </dataBar>
      <extLst>
        <ext xmlns:x14="http://schemas.microsoft.com/office/spreadsheetml/2009/9/main" uri="{B025F937-C7B1-47D3-B67F-A62EFF666E3E}">
          <x14:id>{0AF4096A-7A43-4774-AA7E-F34AFD0C6DE1}</x14:id>
        </ext>
      </extLst>
    </cfRule>
  </conditionalFormatting>
  <conditionalFormatting sqref="J142 J146">
    <cfRule type="dataBar" priority="17">
      <dataBar>
        <cfvo type="min"/>
        <cfvo type="max"/>
        <color rgb="FF008AEF"/>
      </dataBar>
      <extLst>
        <ext xmlns:x14="http://schemas.microsoft.com/office/spreadsheetml/2009/9/main" uri="{B025F937-C7B1-47D3-B67F-A62EFF666E3E}">
          <x14:id>{6BB078F1-2BA9-4BF0-9846-03D40A99FA5F}</x14:id>
        </ext>
      </extLst>
    </cfRule>
  </conditionalFormatting>
  <conditionalFormatting sqref="K140 K144">
    <cfRule type="dataBar" priority="16">
      <dataBar>
        <cfvo type="min"/>
        <cfvo type="max"/>
        <color rgb="FF63C384"/>
      </dataBar>
      <extLst>
        <ext xmlns:x14="http://schemas.microsoft.com/office/spreadsheetml/2009/9/main" uri="{B025F937-C7B1-47D3-B67F-A62EFF666E3E}">
          <x14:id>{880E0C3A-66C4-4510-8F23-EAA171129977}</x14:id>
        </ext>
      </extLst>
    </cfRule>
  </conditionalFormatting>
  <conditionalFormatting sqref="K146 K142">
    <cfRule type="dataBar" priority="15">
      <dataBar>
        <cfvo type="min"/>
        <cfvo type="max"/>
        <color rgb="FF008AEF"/>
      </dataBar>
      <extLst>
        <ext xmlns:x14="http://schemas.microsoft.com/office/spreadsheetml/2009/9/main" uri="{B025F937-C7B1-47D3-B67F-A62EFF666E3E}">
          <x14:id>{4DB64BD4-4D7B-47C3-861A-B6ECF53F1981}</x14:id>
        </ext>
      </extLst>
    </cfRule>
  </conditionalFormatting>
  <conditionalFormatting sqref="L142 L146">
    <cfRule type="dataBar" priority="13">
      <dataBar>
        <cfvo type="min"/>
        <cfvo type="max"/>
        <color rgb="FF008AEF"/>
      </dataBar>
      <extLst>
        <ext xmlns:x14="http://schemas.microsoft.com/office/spreadsheetml/2009/9/main" uri="{B025F937-C7B1-47D3-B67F-A62EFF666E3E}">
          <x14:id>{8167A555-5F30-4094-BBA3-4B6BA6803362}</x14:id>
        </ext>
      </extLst>
    </cfRule>
  </conditionalFormatting>
  <conditionalFormatting sqref="L144 L140">
    <cfRule type="dataBar" priority="14">
      <dataBar>
        <cfvo type="min"/>
        <cfvo type="max"/>
        <color rgb="FF63C384"/>
      </dataBar>
      <extLst>
        <ext xmlns:x14="http://schemas.microsoft.com/office/spreadsheetml/2009/9/main" uri="{B025F937-C7B1-47D3-B67F-A62EFF666E3E}">
          <x14:id>{BBE424FE-430D-4AD2-93AF-D6F3B92F01AD}</x14:id>
        </ext>
      </extLst>
    </cfRule>
  </conditionalFormatting>
  <conditionalFormatting sqref="M142 M146">
    <cfRule type="dataBar" priority="11">
      <dataBar>
        <cfvo type="min"/>
        <cfvo type="max"/>
        <color rgb="FF008AEF"/>
      </dataBar>
      <extLst>
        <ext xmlns:x14="http://schemas.microsoft.com/office/spreadsheetml/2009/9/main" uri="{B025F937-C7B1-47D3-B67F-A62EFF666E3E}">
          <x14:id>{5EF1A5A3-8C79-4D8A-ABC1-789AF48ED279}</x14:id>
        </ext>
      </extLst>
    </cfRule>
  </conditionalFormatting>
  <conditionalFormatting sqref="M144 M140">
    <cfRule type="dataBar" priority="12">
      <dataBar>
        <cfvo type="min"/>
        <cfvo type="max"/>
        <color rgb="FF63C384"/>
      </dataBar>
      <extLst>
        <ext xmlns:x14="http://schemas.microsoft.com/office/spreadsheetml/2009/9/main" uri="{B025F937-C7B1-47D3-B67F-A62EFF666E3E}">
          <x14:id>{FCCDFDA6-45F1-4C49-9613-1144FEE26AE8}</x14:id>
        </ext>
      </extLst>
    </cfRule>
  </conditionalFormatting>
  <conditionalFormatting sqref="N140 N144">
    <cfRule type="dataBar" priority="10">
      <dataBar>
        <cfvo type="min"/>
        <cfvo type="max"/>
        <color rgb="FF63C384"/>
      </dataBar>
      <extLst>
        <ext xmlns:x14="http://schemas.microsoft.com/office/spreadsheetml/2009/9/main" uri="{B025F937-C7B1-47D3-B67F-A62EFF666E3E}">
          <x14:id>{63380DDE-3CE8-472F-964F-9B16A8663183}</x14:id>
        </ext>
      </extLst>
    </cfRule>
  </conditionalFormatting>
  <conditionalFormatting sqref="N146 N142">
    <cfRule type="dataBar" priority="9">
      <dataBar>
        <cfvo type="min"/>
        <cfvo type="max"/>
        <color rgb="FF008AEF"/>
      </dataBar>
      <extLst>
        <ext xmlns:x14="http://schemas.microsoft.com/office/spreadsheetml/2009/9/main" uri="{B025F937-C7B1-47D3-B67F-A62EFF666E3E}">
          <x14:id>{6E2E0C47-FACF-4F26-95F6-66C5456361F1}</x14:id>
        </ext>
      </extLst>
    </cfRule>
  </conditionalFormatting>
  <conditionalFormatting sqref="O140 O144">
    <cfRule type="dataBar" priority="8">
      <dataBar>
        <cfvo type="min"/>
        <cfvo type="max"/>
        <color rgb="FF63C384"/>
      </dataBar>
      <extLst>
        <ext xmlns:x14="http://schemas.microsoft.com/office/spreadsheetml/2009/9/main" uri="{B025F937-C7B1-47D3-B67F-A62EFF666E3E}">
          <x14:id>{AEF4C8C3-8F15-4AB5-B6B7-BFF8FADE4F35}</x14:id>
        </ext>
      </extLst>
    </cfRule>
  </conditionalFormatting>
  <conditionalFormatting sqref="O146 O142">
    <cfRule type="dataBar" priority="7">
      <dataBar>
        <cfvo type="min"/>
        <cfvo type="max"/>
        <color rgb="FF008AEF"/>
      </dataBar>
      <extLst>
        <ext xmlns:x14="http://schemas.microsoft.com/office/spreadsheetml/2009/9/main" uri="{B025F937-C7B1-47D3-B67F-A62EFF666E3E}">
          <x14:id>{BE8A6C2D-BC17-4237-B901-CC8FC1645CED}</x14:id>
        </ext>
      </extLst>
    </cfRule>
  </conditionalFormatting>
  <conditionalFormatting sqref="P140 P144">
    <cfRule type="dataBar" priority="6">
      <dataBar>
        <cfvo type="min"/>
        <cfvo type="max"/>
        <color rgb="FF63C384"/>
      </dataBar>
      <extLst>
        <ext xmlns:x14="http://schemas.microsoft.com/office/spreadsheetml/2009/9/main" uri="{B025F937-C7B1-47D3-B67F-A62EFF666E3E}">
          <x14:id>{0749C1AE-9B9F-4485-917B-AF17FDA83A29}</x14:id>
        </ext>
      </extLst>
    </cfRule>
  </conditionalFormatting>
  <conditionalFormatting sqref="P142 P146">
    <cfRule type="dataBar" priority="5">
      <dataBar>
        <cfvo type="min"/>
        <cfvo type="max"/>
        <color rgb="FF008AEF"/>
      </dataBar>
      <extLst>
        <ext xmlns:x14="http://schemas.microsoft.com/office/spreadsheetml/2009/9/main" uri="{B025F937-C7B1-47D3-B67F-A62EFF666E3E}">
          <x14:id>{EF14E7F4-E6E3-4A7E-B529-B3A222D9B810}</x14:id>
        </ext>
      </extLst>
    </cfRule>
  </conditionalFormatting>
  <conditionalFormatting sqref="Q140 Q144">
    <cfRule type="dataBar" priority="3">
      <dataBar>
        <cfvo type="min"/>
        <cfvo type="max"/>
        <color rgb="FF63C384"/>
      </dataBar>
      <extLst>
        <ext xmlns:x14="http://schemas.microsoft.com/office/spreadsheetml/2009/9/main" uri="{B025F937-C7B1-47D3-B67F-A62EFF666E3E}">
          <x14:id>{2301572C-286F-4752-A83A-1C2A2B010397}</x14:id>
        </ext>
      </extLst>
    </cfRule>
  </conditionalFormatting>
  <conditionalFormatting sqref="Q146 Q142">
    <cfRule type="dataBar" priority="4">
      <dataBar>
        <cfvo type="min"/>
        <cfvo type="max"/>
        <color rgb="FF008AEF"/>
      </dataBar>
      <extLst>
        <ext xmlns:x14="http://schemas.microsoft.com/office/spreadsheetml/2009/9/main" uri="{B025F937-C7B1-47D3-B67F-A62EFF666E3E}">
          <x14:id>{C04BCBBB-0FE6-41BC-94A3-F08BC7CC2B34}</x14:id>
        </ext>
      </extLst>
    </cfRule>
  </conditionalFormatting>
  <pageMargins left="0.7" right="0.7" top="0.75" bottom="0.75" header="0.3" footer="0.3"/>
  <pageSetup paperSize="9" orientation="portrait" r:id="rId1"/>
  <legacyDrawing r:id="rId2"/>
  <extLst>
    <ext xmlns:x14="http://schemas.microsoft.com/office/spreadsheetml/2009/9/main" uri="{78C0D931-6437-407d-A8EE-F0AAD7539E65}">
      <x14:conditionalFormattings>
        <x14:conditionalFormatting xmlns:xm="http://schemas.microsoft.com/office/excel/2006/main">
          <x14:cfRule type="dataBar" id="{BF901611-4CB9-459C-A7D6-D402241254E2}">
            <x14:dataBar minLength="0" maxLength="100" gradient="0">
              <x14:cfvo type="autoMin"/>
              <x14:cfvo type="autoMax"/>
              <x14:negativeFillColor rgb="FFFF0000"/>
              <x14:axisColor rgb="FF000000"/>
            </x14:dataBar>
          </x14:cfRule>
          <xm:sqref>E140 E144</xm:sqref>
        </x14:conditionalFormatting>
        <x14:conditionalFormatting xmlns:xm="http://schemas.microsoft.com/office/excel/2006/main">
          <x14:cfRule type="dataBar" id="{A98539FA-D072-43B6-B987-551474BEBC00}">
            <x14:dataBar minLength="0" maxLength="100" gradient="0">
              <x14:cfvo type="autoMin"/>
              <x14:cfvo type="autoMax"/>
              <x14:negativeFillColor rgb="FFFF0000"/>
              <x14:axisColor rgb="FF000000"/>
            </x14:dataBar>
          </x14:cfRule>
          <xm:sqref>E142 E146</xm:sqref>
        </x14:conditionalFormatting>
        <x14:conditionalFormatting xmlns:xm="http://schemas.microsoft.com/office/excel/2006/main">
          <x14:cfRule type="dataBar" id="{8160D3B1-EE01-4384-BC4E-F30DBC4D1DE2}">
            <x14:dataBar minLength="0" maxLength="100" gradient="0">
              <x14:cfvo type="autoMin"/>
              <x14:cfvo type="autoMax"/>
              <x14:negativeFillColor rgb="FFFF0000"/>
              <x14:axisColor rgb="FF000000"/>
            </x14:dataBar>
          </x14:cfRule>
          <xm:sqref>F142 F146</xm:sqref>
        </x14:conditionalFormatting>
        <x14:conditionalFormatting xmlns:xm="http://schemas.microsoft.com/office/excel/2006/main">
          <x14:cfRule type="dataBar" id="{CBDC4BD6-4E4C-4CF7-B6CC-2138E75DDD46}">
            <x14:dataBar minLength="0" maxLength="100" gradient="0">
              <x14:cfvo type="autoMin"/>
              <x14:cfvo type="autoMax"/>
              <x14:negativeFillColor rgb="FFFF0000"/>
              <x14:axisColor rgb="FF000000"/>
            </x14:dataBar>
          </x14:cfRule>
          <xm:sqref>F144 F140</xm:sqref>
        </x14:conditionalFormatting>
        <x14:conditionalFormatting xmlns:xm="http://schemas.microsoft.com/office/excel/2006/main">
          <x14:cfRule type="dataBar" id="{E3B83EB4-96FD-4315-A6C3-13B7AC35E260}">
            <x14:dataBar minLength="0" maxLength="100" gradient="0">
              <x14:cfvo type="autoMin"/>
              <x14:cfvo type="autoMax"/>
              <x14:negativeFillColor rgb="FFFF0000"/>
              <x14:axisColor rgb="FF000000"/>
            </x14:dataBar>
          </x14:cfRule>
          <xm:sqref>G144 G140</xm:sqref>
        </x14:conditionalFormatting>
        <x14:conditionalFormatting xmlns:xm="http://schemas.microsoft.com/office/excel/2006/main">
          <x14:cfRule type="dataBar" id="{A4D5DB81-555E-485B-9BA1-7D772278AA11}">
            <x14:dataBar minLength="0" maxLength="100" gradient="0">
              <x14:cfvo type="autoMin"/>
              <x14:cfvo type="autoMax"/>
              <x14:negativeFillColor rgb="FFFF0000"/>
              <x14:axisColor rgb="FF000000"/>
            </x14:dataBar>
          </x14:cfRule>
          <xm:sqref>G146 G142</xm:sqref>
        </x14:conditionalFormatting>
        <x14:conditionalFormatting xmlns:xm="http://schemas.microsoft.com/office/excel/2006/main">
          <x14:cfRule type="dataBar" id="{CA0AB96D-9A77-48A1-801D-DEDF2092DF22}">
            <x14:dataBar minLength="0" maxLength="100" gradient="0">
              <x14:cfvo type="autoMin"/>
              <x14:cfvo type="autoMax"/>
              <x14:negativeFillColor rgb="FFFF0000"/>
              <x14:axisColor rgb="FF000000"/>
            </x14:dataBar>
          </x14:cfRule>
          <xm:sqref>H142 H146</xm:sqref>
        </x14:conditionalFormatting>
        <x14:conditionalFormatting xmlns:xm="http://schemas.microsoft.com/office/excel/2006/main">
          <x14:cfRule type="dataBar" id="{59D2D3A6-0E9D-41B5-9F4A-F8FB1AA20D5F}">
            <x14:dataBar minLength="0" maxLength="100" gradient="0">
              <x14:cfvo type="autoMin"/>
              <x14:cfvo type="autoMax"/>
              <x14:negativeFillColor rgb="FFFF0000"/>
              <x14:axisColor rgb="FF000000"/>
            </x14:dataBar>
          </x14:cfRule>
          <xm:sqref>H144 H140</xm:sqref>
        </x14:conditionalFormatting>
        <x14:conditionalFormatting xmlns:xm="http://schemas.microsoft.com/office/excel/2006/main">
          <x14:cfRule type="dataBar" id="{5376FD5E-74B1-464A-8FD7-7D2CDABBD024}">
            <x14:dataBar minLength="0" maxLength="100" gradient="0">
              <x14:cfvo type="autoMin"/>
              <x14:cfvo type="autoMax"/>
              <x14:negativeFillColor rgb="FFFF0000"/>
              <x14:axisColor rgb="FF000000"/>
            </x14:dataBar>
          </x14:cfRule>
          <xm:sqref>I140 I144</xm:sqref>
        </x14:conditionalFormatting>
        <x14:conditionalFormatting xmlns:xm="http://schemas.microsoft.com/office/excel/2006/main">
          <x14:cfRule type="dataBar" id="{8FA0592F-3F67-4961-A240-58F57C917096}">
            <x14:dataBar minLength="0" maxLength="100" gradient="0">
              <x14:cfvo type="autoMin"/>
              <x14:cfvo type="autoMax"/>
              <x14:negativeFillColor rgb="FFFF0000"/>
              <x14:axisColor rgb="FF000000"/>
            </x14:dataBar>
          </x14:cfRule>
          <xm:sqref>I146 I142</xm:sqref>
        </x14:conditionalFormatting>
        <x14:conditionalFormatting xmlns:xm="http://schemas.microsoft.com/office/excel/2006/main">
          <x14:cfRule type="dataBar" id="{0AF4096A-7A43-4774-AA7E-F34AFD0C6DE1}">
            <x14:dataBar minLength="0" maxLength="100" gradient="0">
              <x14:cfvo type="autoMin"/>
              <x14:cfvo type="autoMax"/>
              <x14:negativeFillColor rgb="FFFF0000"/>
              <x14:axisColor rgb="FF000000"/>
            </x14:dataBar>
          </x14:cfRule>
          <xm:sqref>J140 J144</xm:sqref>
        </x14:conditionalFormatting>
        <x14:conditionalFormatting xmlns:xm="http://schemas.microsoft.com/office/excel/2006/main">
          <x14:cfRule type="dataBar" id="{6BB078F1-2BA9-4BF0-9846-03D40A99FA5F}">
            <x14:dataBar minLength="0" maxLength="100" gradient="0">
              <x14:cfvo type="autoMin"/>
              <x14:cfvo type="autoMax"/>
              <x14:negativeFillColor rgb="FFFF0000"/>
              <x14:axisColor rgb="FF000000"/>
            </x14:dataBar>
          </x14:cfRule>
          <xm:sqref>J142 J146</xm:sqref>
        </x14:conditionalFormatting>
        <x14:conditionalFormatting xmlns:xm="http://schemas.microsoft.com/office/excel/2006/main">
          <x14:cfRule type="dataBar" id="{880E0C3A-66C4-4510-8F23-EAA171129977}">
            <x14:dataBar minLength="0" maxLength="100" gradient="0">
              <x14:cfvo type="autoMin"/>
              <x14:cfvo type="autoMax"/>
              <x14:negativeFillColor rgb="FFFF0000"/>
              <x14:axisColor rgb="FF000000"/>
            </x14:dataBar>
          </x14:cfRule>
          <xm:sqref>K140 K144</xm:sqref>
        </x14:conditionalFormatting>
        <x14:conditionalFormatting xmlns:xm="http://schemas.microsoft.com/office/excel/2006/main">
          <x14:cfRule type="dataBar" id="{4DB64BD4-4D7B-47C3-861A-B6ECF53F1981}">
            <x14:dataBar minLength="0" maxLength="100" gradient="0">
              <x14:cfvo type="autoMin"/>
              <x14:cfvo type="autoMax"/>
              <x14:negativeFillColor rgb="FFFF0000"/>
              <x14:axisColor rgb="FF000000"/>
            </x14:dataBar>
          </x14:cfRule>
          <xm:sqref>K146 K142</xm:sqref>
        </x14:conditionalFormatting>
        <x14:conditionalFormatting xmlns:xm="http://schemas.microsoft.com/office/excel/2006/main">
          <x14:cfRule type="dataBar" id="{8167A555-5F30-4094-BBA3-4B6BA6803362}">
            <x14:dataBar minLength="0" maxLength="100" gradient="0">
              <x14:cfvo type="autoMin"/>
              <x14:cfvo type="autoMax"/>
              <x14:negativeFillColor rgb="FFFF0000"/>
              <x14:axisColor rgb="FF000000"/>
            </x14:dataBar>
          </x14:cfRule>
          <xm:sqref>L142 L146</xm:sqref>
        </x14:conditionalFormatting>
        <x14:conditionalFormatting xmlns:xm="http://schemas.microsoft.com/office/excel/2006/main">
          <x14:cfRule type="dataBar" id="{BBE424FE-430D-4AD2-93AF-D6F3B92F01AD}">
            <x14:dataBar minLength="0" maxLength="100" gradient="0">
              <x14:cfvo type="autoMin"/>
              <x14:cfvo type="autoMax"/>
              <x14:negativeFillColor rgb="FFFF0000"/>
              <x14:axisColor rgb="FF000000"/>
            </x14:dataBar>
          </x14:cfRule>
          <xm:sqref>L144 L140</xm:sqref>
        </x14:conditionalFormatting>
        <x14:conditionalFormatting xmlns:xm="http://schemas.microsoft.com/office/excel/2006/main">
          <x14:cfRule type="dataBar" id="{5EF1A5A3-8C79-4D8A-ABC1-789AF48ED279}">
            <x14:dataBar minLength="0" maxLength="100" gradient="0">
              <x14:cfvo type="autoMin"/>
              <x14:cfvo type="autoMax"/>
              <x14:negativeFillColor rgb="FFFF0000"/>
              <x14:axisColor rgb="FF000000"/>
            </x14:dataBar>
          </x14:cfRule>
          <xm:sqref>M142 M146</xm:sqref>
        </x14:conditionalFormatting>
        <x14:conditionalFormatting xmlns:xm="http://schemas.microsoft.com/office/excel/2006/main">
          <x14:cfRule type="dataBar" id="{FCCDFDA6-45F1-4C49-9613-1144FEE26AE8}">
            <x14:dataBar minLength="0" maxLength="100" gradient="0">
              <x14:cfvo type="autoMin"/>
              <x14:cfvo type="autoMax"/>
              <x14:negativeFillColor rgb="FFFF0000"/>
              <x14:axisColor rgb="FF000000"/>
            </x14:dataBar>
          </x14:cfRule>
          <xm:sqref>M144 M140</xm:sqref>
        </x14:conditionalFormatting>
        <x14:conditionalFormatting xmlns:xm="http://schemas.microsoft.com/office/excel/2006/main">
          <x14:cfRule type="dataBar" id="{63380DDE-3CE8-472F-964F-9B16A8663183}">
            <x14:dataBar minLength="0" maxLength="100" gradient="0">
              <x14:cfvo type="autoMin"/>
              <x14:cfvo type="autoMax"/>
              <x14:negativeFillColor rgb="FFFF0000"/>
              <x14:axisColor rgb="FF000000"/>
            </x14:dataBar>
          </x14:cfRule>
          <xm:sqref>N140 N144</xm:sqref>
        </x14:conditionalFormatting>
        <x14:conditionalFormatting xmlns:xm="http://schemas.microsoft.com/office/excel/2006/main">
          <x14:cfRule type="dataBar" id="{6E2E0C47-FACF-4F26-95F6-66C5456361F1}">
            <x14:dataBar minLength="0" maxLength="100" gradient="0">
              <x14:cfvo type="autoMin"/>
              <x14:cfvo type="autoMax"/>
              <x14:negativeFillColor rgb="FFFF0000"/>
              <x14:axisColor rgb="FF000000"/>
            </x14:dataBar>
          </x14:cfRule>
          <xm:sqref>N146 N142</xm:sqref>
        </x14:conditionalFormatting>
        <x14:conditionalFormatting xmlns:xm="http://schemas.microsoft.com/office/excel/2006/main">
          <x14:cfRule type="dataBar" id="{AEF4C8C3-8F15-4AB5-B6B7-BFF8FADE4F35}">
            <x14:dataBar minLength="0" maxLength="100" gradient="0">
              <x14:cfvo type="autoMin"/>
              <x14:cfvo type="autoMax"/>
              <x14:negativeFillColor rgb="FFFF0000"/>
              <x14:axisColor rgb="FF000000"/>
            </x14:dataBar>
          </x14:cfRule>
          <xm:sqref>O140 O144</xm:sqref>
        </x14:conditionalFormatting>
        <x14:conditionalFormatting xmlns:xm="http://schemas.microsoft.com/office/excel/2006/main">
          <x14:cfRule type="dataBar" id="{BE8A6C2D-BC17-4237-B901-CC8FC1645CED}">
            <x14:dataBar minLength="0" maxLength="100" gradient="0">
              <x14:cfvo type="autoMin"/>
              <x14:cfvo type="autoMax"/>
              <x14:negativeFillColor rgb="FFFF0000"/>
              <x14:axisColor rgb="FF000000"/>
            </x14:dataBar>
          </x14:cfRule>
          <xm:sqref>O146 O142</xm:sqref>
        </x14:conditionalFormatting>
        <x14:conditionalFormatting xmlns:xm="http://schemas.microsoft.com/office/excel/2006/main">
          <x14:cfRule type="dataBar" id="{0749C1AE-9B9F-4485-917B-AF17FDA83A29}">
            <x14:dataBar minLength="0" maxLength="100" gradient="0">
              <x14:cfvo type="autoMin"/>
              <x14:cfvo type="autoMax"/>
              <x14:negativeFillColor rgb="FFFF0000"/>
              <x14:axisColor rgb="FF000000"/>
            </x14:dataBar>
          </x14:cfRule>
          <xm:sqref>P140 P144</xm:sqref>
        </x14:conditionalFormatting>
        <x14:conditionalFormatting xmlns:xm="http://schemas.microsoft.com/office/excel/2006/main">
          <x14:cfRule type="dataBar" id="{EF14E7F4-E6E3-4A7E-B529-B3A222D9B810}">
            <x14:dataBar minLength="0" maxLength="100" gradient="0">
              <x14:cfvo type="autoMin"/>
              <x14:cfvo type="autoMax"/>
              <x14:negativeFillColor rgb="FFFF0000"/>
              <x14:axisColor rgb="FF000000"/>
            </x14:dataBar>
          </x14:cfRule>
          <xm:sqref>P142 P146</xm:sqref>
        </x14:conditionalFormatting>
        <x14:conditionalFormatting xmlns:xm="http://schemas.microsoft.com/office/excel/2006/main">
          <x14:cfRule type="dataBar" id="{2301572C-286F-4752-A83A-1C2A2B010397}">
            <x14:dataBar minLength="0" maxLength="100" gradient="0">
              <x14:cfvo type="autoMin"/>
              <x14:cfvo type="autoMax"/>
              <x14:negativeFillColor rgb="FFFF0000"/>
              <x14:axisColor rgb="FF000000"/>
            </x14:dataBar>
          </x14:cfRule>
          <xm:sqref>Q140 Q144</xm:sqref>
        </x14:conditionalFormatting>
        <x14:conditionalFormatting xmlns:xm="http://schemas.microsoft.com/office/excel/2006/main">
          <x14:cfRule type="dataBar" id="{C04BCBBB-0FE6-41BC-94A3-F08BC7CC2B34}">
            <x14:dataBar minLength="0" maxLength="100" gradient="0">
              <x14:cfvo type="autoMin"/>
              <x14:cfvo type="autoMax"/>
              <x14:negativeFillColor rgb="FFFF0000"/>
              <x14:axisColor rgb="FF000000"/>
            </x14:dataBar>
          </x14:cfRule>
          <xm:sqref>Q146 Q142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37B8-551A-4C15-92E8-F419EC957500}">
  <dimension ref="A1:CI110"/>
  <sheetViews>
    <sheetView topLeftCell="AH1" workbookViewId="0">
      <selection activeCell="AQ1" sqref="AQ1"/>
    </sheetView>
  </sheetViews>
  <sheetFormatPr defaultRowHeight="13.8" x14ac:dyDescent="0.25"/>
  <cols>
    <col min="3" max="3" width="8.796875" style="73"/>
  </cols>
  <sheetData>
    <row r="1" spans="1:87" x14ac:dyDescent="0.25">
      <c r="C1" s="73">
        <v>1</v>
      </c>
      <c r="D1">
        <v>2</v>
      </c>
      <c r="E1" s="73">
        <v>3</v>
      </c>
      <c r="F1">
        <v>4</v>
      </c>
      <c r="G1" s="73">
        <v>5</v>
      </c>
      <c r="H1">
        <v>6</v>
      </c>
      <c r="I1" s="73">
        <v>7</v>
      </c>
      <c r="J1">
        <v>8</v>
      </c>
      <c r="K1" s="73">
        <v>9</v>
      </c>
      <c r="L1">
        <v>10</v>
      </c>
      <c r="M1" s="73">
        <v>11</v>
      </c>
      <c r="N1">
        <v>12</v>
      </c>
      <c r="O1" s="73">
        <v>13</v>
      </c>
      <c r="P1">
        <v>14</v>
      </c>
      <c r="Q1" s="73">
        <v>15</v>
      </c>
      <c r="R1">
        <v>16</v>
      </c>
      <c r="S1" s="73">
        <v>17</v>
      </c>
      <c r="T1">
        <v>18</v>
      </c>
      <c r="U1" s="73">
        <v>19</v>
      </c>
      <c r="V1">
        <v>20</v>
      </c>
      <c r="W1" s="73">
        <v>21</v>
      </c>
      <c r="X1">
        <v>22</v>
      </c>
      <c r="Y1" s="73">
        <v>23</v>
      </c>
      <c r="Z1">
        <v>24</v>
      </c>
      <c r="AA1" s="73">
        <v>25</v>
      </c>
      <c r="AB1">
        <v>26</v>
      </c>
      <c r="AC1" s="73">
        <v>27</v>
      </c>
      <c r="AD1">
        <v>28</v>
      </c>
      <c r="AE1" s="73">
        <v>29</v>
      </c>
      <c r="AF1">
        <v>30</v>
      </c>
      <c r="AG1" s="73">
        <v>31</v>
      </c>
      <c r="AH1">
        <v>32</v>
      </c>
      <c r="AI1" s="73">
        <v>33</v>
      </c>
      <c r="AJ1">
        <v>34</v>
      </c>
      <c r="AK1" s="73">
        <v>35</v>
      </c>
      <c r="AL1">
        <v>36</v>
      </c>
      <c r="AM1" s="73">
        <v>37</v>
      </c>
      <c r="AN1">
        <v>38</v>
      </c>
      <c r="AO1" s="73">
        <v>39</v>
      </c>
      <c r="AP1">
        <v>40</v>
      </c>
      <c r="AQ1" s="73">
        <v>41</v>
      </c>
      <c r="AR1">
        <v>42</v>
      </c>
      <c r="AS1" s="73">
        <v>43</v>
      </c>
      <c r="AT1">
        <v>44</v>
      </c>
      <c r="AU1" s="73">
        <v>45</v>
      </c>
      <c r="AV1">
        <v>46</v>
      </c>
      <c r="AW1" s="73">
        <v>47</v>
      </c>
      <c r="AX1">
        <v>48</v>
      </c>
      <c r="AY1" s="73">
        <v>49</v>
      </c>
      <c r="AZ1">
        <v>50</v>
      </c>
      <c r="BA1" s="73">
        <v>51</v>
      </c>
      <c r="BB1">
        <v>52</v>
      </c>
      <c r="BC1" s="73">
        <v>53</v>
      </c>
      <c r="BD1">
        <v>54</v>
      </c>
      <c r="BE1" s="73">
        <v>55</v>
      </c>
      <c r="BF1">
        <v>56</v>
      </c>
      <c r="BG1" s="73">
        <v>57</v>
      </c>
      <c r="BH1">
        <v>58</v>
      </c>
      <c r="BI1" s="73">
        <v>59</v>
      </c>
      <c r="BJ1">
        <v>60</v>
      </c>
      <c r="BK1" s="73">
        <v>61</v>
      </c>
      <c r="BL1">
        <v>62</v>
      </c>
      <c r="BM1" s="73">
        <v>63</v>
      </c>
      <c r="BN1">
        <v>64</v>
      </c>
      <c r="BO1" s="73">
        <v>65</v>
      </c>
      <c r="BP1">
        <v>66</v>
      </c>
      <c r="BQ1" s="73">
        <v>67</v>
      </c>
      <c r="BR1">
        <v>68</v>
      </c>
      <c r="BS1" s="73">
        <v>69</v>
      </c>
      <c r="BT1">
        <v>70</v>
      </c>
      <c r="BU1" s="73">
        <v>71</v>
      </c>
      <c r="BV1">
        <v>72</v>
      </c>
      <c r="BW1" s="73">
        <v>73</v>
      </c>
      <c r="BX1">
        <v>74</v>
      </c>
      <c r="BY1" s="73">
        <v>75</v>
      </c>
      <c r="BZ1">
        <v>76</v>
      </c>
      <c r="CA1" s="73">
        <v>77</v>
      </c>
      <c r="CB1">
        <v>78</v>
      </c>
      <c r="CC1" s="73">
        <v>79</v>
      </c>
      <c r="CD1">
        <v>80</v>
      </c>
      <c r="CE1" s="73">
        <v>81</v>
      </c>
      <c r="CF1">
        <v>82</v>
      </c>
      <c r="CG1" s="73">
        <v>83</v>
      </c>
      <c r="CH1">
        <v>84</v>
      </c>
      <c r="CI1" s="73">
        <v>85</v>
      </c>
    </row>
    <row r="2" spans="1:87" x14ac:dyDescent="0.25">
      <c r="A2">
        <v>1</v>
      </c>
      <c r="B2" s="51" t="s">
        <v>228</v>
      </c>
      <c r="C2">
        <v>44573.631944444445</v>
      </c>
      <c r="D2" t="s">
        <v>348</v>
      </c>
      <c r="E2">
        <v>1.71</v>
      </c>
      <c r="F2">
        <v>1.41</v>
      </c>
      <c r="G2">
        <v>2.5299999999999998</v>
      </c>
      <c r="H2" t="s">
        <v>348</v>
      </c>
      <c r="I2" t="s">
        <v>348</v>
      </c>
      <c r="J2">
        <v>11.52</v>
      </c>
      <c r="K2">
        <v>57.3</v>
      </c>
      <c r="L2">
        <v>27.04</v>
      </c>
      <c r="M2">
        <v>47.65</v>
      </c>
      <c r="N2">
        <v>120.01</v>
      </c>
      <c r="O2">
        <v>8.34</v>
      </c>
      <c r="P2">
        <v>4.42</v>
      </c>
      <c r="Q2">
        <v>8.4700000000000006</v>
      </c>
      <c r="R2">
        <v>182</v>
      </c>
      <c r="S2">
        <v>6.33</v>
      </c>
      <c r="T2">
        <v>1.08</v>
      </c>
      <c r="U2">
        <v>18.559999999999999</v>
      </c>
      <c r="V2" t="s">
        <v>348</v>
      </c>
      <c r="W2" t="s">
        <v>348</v>
      </c>
      <c r="X2">
        <v>85.51</v>
      </c>
      <c r="Y2">
        <v>3.71</v>
      </c>
      <c r="Z2">
        <v>29.220000000000002</v>
      </c>
      <c r="AA2">
        <v>7.36</v>
      </c>
      <c r="AB2">
        <v>1412.74</v>
      </c>
      <c r="AC2">
        <v>165.63</v>
      </c>
      <c r="AD2">
        <v>22.27</v>
      </c>
      <c r="AE2" t="s">
        <v>348</v>
      </c>
      <c r="AF2" t="s">
        <v>348</v>
      </c>
      <c r="AG2">
        <v>8.73</v>
      </c>
      <c r="AH2" t="s">
        <v>348</v>
      </c>
      <c r="AI2">
        <v>233.55</v>
      </c>
      <c r="AJ2">
        <v>11.38</v>
      </c>
      <c r="AK2">
        <v>40.81</v>
      </c>
      <c r="AL2">
        <v>11.52</v>
      </c>
      <c r="AM2">
        <v>37.4</v>
      </c>
      <c r="AN2" t="s">
        <v>348</v>
      </c>
      <c r="AO2" t="s">
        <v>348</v>
      </c>
      <c r="AP2">
        <v>35.880000000000003</v>
      </c>
      <c r="AQ2">
        <v>75.239999999999995</v>
      </c>
      <c r="AR2">
        <v>5.0599999999999996</v>
      </c>
      <c r="AS2">
        <v>4.8099999999999996</v>
      </c>
      <c r="AT2">
        <v>25.86</v>
      </c>
      <c r="AU2" t="s">
        <v>348</v>
      </c>
      <c r="AV2">
        <v>15.9</v>
      </c>
      <c r="AW2" t="s">
        <v>348</v>
      </c>
      <c r="AX2" t="s">
        <v>348</v>
      </c>
      <c r="AY2" t="s">
        <v>348</v>
      </c>
      <c r="AZ2" t="s">
        <v>348</v>
      </c>
      <c r="BA2">
        <v>60.1</v>
      </c>
      <c r="BB2" t="s">
        <v>348</v>
      </c>
      <c r="BC2">
        <v>7.4399999999999995</v>
      </c>
      <c r="BD2" t="s">
        <v>348</v>
      </c>
      <c r="BE2">
        <v>4.45</v>
      </c>
      <c r="BF2">
        <v>9.26</v>
      </c>
      <c r="BG2" t="s">
        <v>348</v>
      </c>
      <c r="BH2" t="s">
        <v>348</v>
      </c>
      <c r="BI2" t="s">
        <v>348</v>
      </c>
      <c r="BJ2" t="s">
        <v>348</v>
      </c>
      <c r="BK2">
        <v>13.9</v>
      </c>
      <c r="BL2">
        <v>10.68</v>
      </c>
      <c r="BM2" t="s">
        <v>348</v>
      </c>
      <c r="BN2">
        <v>20.76</v>
      </c>
      <c r="BO2" t="s">
        <v>348</v>
      </c>
      <c r="BP2">
        <v>6.25</v>
      </c>
      <c r="BQ2" t="s">
        <v>348</v>
      </c>
      <c r="BR2">
        <v>10.19</v>
      </c>
      <c r="BS2">
        <v>0.24</v>
      </c>
      <c r="BT2" t="s">
        <v>348</v>
      </c>
      <c r="BU2" t="s">
        <v>348</v>
      </c>
      <c r="BV2" t="s">
        <v>348</v>
      </c>
      <c r="BW2">
        <v>2.11</v>
      </c>
      <c r="BX2">
        <v>105.06</v>
      </c>
      <c r="BY2">
        <v>154.91999999999999</v>
      </c>
      <c r="BZ2" t="s">
        <v>348</v>
      </c>
      <c r="CA2">
        <v>18.619999999999997</v>
      </c>
      <c r="CB2" t="s">
        <v>348</v>
      </c>
      <c r="CC2" t="s">
        <v>348</v>
      </c>
      <c r="CD2" t="s">
        <v>348</v>
      </c>
      <c r="CE2">
        <v>14.65</v>
      </c>
      <c r="CF2" t="s">
        <v>348</v>
      </c>
      <c r="CG2">
        <v>3</v>
      </c>
      <c r="CH2">
        <v>8</v>
      </c>
      <c r="CI2">
        <v>4</v>
      </c>
    </row>
    <row r="3" spans="1:87" x14ac:dyDescent="0.25">
      <c r="A3">
        <v>2</v>
      </c>
      <c r="B3" s="51" t="s">
        <v>243</v>
      </c>
      <c r="C3">
        <v>44577.583333333336</v>
      </c>
      <c r="D3" t="s">
        <v>348</v>
      </c>
      <c r="E3">
        <v>2.77</v>
      </c>
      <c r="F3">
        <v>0.86</v>
      </c>
      <c r="G3" t="s">
        <v>348</v>
      </c>
      <c r="H3" t="s">
        <v>348</v>
      </c>
      <c r="I3" t="s">
        <v>348</v>
      </c>
      <c r="J3">
        <v>2.19</v>
      </c>
      <c r="K3">
        <v>122.34</v>
      </c>
      <c r="L3">
        <v>10.81</v>
      </c>
      <c r="M3">
        <v>20.65</v>
      </c>
      <c r="N3">
        <v>1580.89</v>
      </c>
      <c r="O3">
        <v>40.99</v>
      </c>
      <c r="P3">
        <v>25.32</v>
      </c>
      <c r="Q3">
        <v>51.38</v>
      </c>
      <c r="R3">
        <v>1340.43</v>
      </c>
      <c r="S3">
        <v>7.71</v>
      </c>
      <c r="T3" t="s">
        <v>348</v>
      </c>
      <c r="U3">
        <v>6.84</v>
      </c>
      <c r="V3" t="s">
        <v>348</v>
      </c>
      <c r="W3" t="s">
        <v>348</v>
      </c>
      <c r="X3">
        <v>286.75</v>
      </c>
      <c r="Y3">
        <v>2.33</v>
      </c>
      <c r="Z3">
        <v>1.95</v>
      </c>
      <c r="AA3">
        <v>2.21</v>
      </c>
      <c r="AB3">
        <v>571.33000000000004</v>
      </c>
      <c r="AC3">
        <v>7.67</v>
      </c>
      <c r="AD3">
        <v>10.56</v>
      </c>
      <c r="AE3" t="s">
        <v>348</v>
      </c>
      <c r="AF3" t="s">
        <v>348</v>
      </c>
      <c r="AG3">
        <v>2.76</v>
      </c>
      <c r="AH3" t="s">
        <v>348</v>
      </c>
      <c r="AI3">
        <v>41.6</v>
      </c>
      <c r="AJ3" t="s">
        <v>348</v>
      </c>
      <c r="AK3">
        <v>733.46</v>
      </c>
      <c r="AL3" t="s">
        <v>348</v>
      </c>
      <c r="AM3">
        <v>4</v>
      </c>
      <c r="AN3" t="s">
        <v>348</v>
      </c>
      <c r="AO3" t="s">
        <v>348</v>
      </c>
      <c r="AP3">
        <v>9.18</v>
      </c>
      <c r="AQ3">
        <v>2.35</v>
      </c>
      <c r="AR3">
        <v>60.48</v>
      </c>
      <c r="AS3">
        <v>6.38</v>
      </c>
      <c r="AT3" t="s">
        <v>348</v>
      </c>
      <c r="AU3" t="s">
        <v>348</v>
      </c>
      <c r="AV3">
        <v>3.38</v>
      </c>
      <c r="AW3">
        <v>0.56999999999999995</v>
      </c>
      <c r="AX3" t="s">
        <v>348</v>
      </c>
      <c r="AY3" t="s">
        <v>348</v>
      </c>
      <c r="AZ3" t="s">
        <v>348</v>
      </c>
      <c r="BA3">
        <v>6.7</v>
      </c>
      <c r="BB3" t="s">
        <v>348</v>
      </c>
      <c r="BC3">
        <v>20.76</v>
      </c>
      <c r="BD3" t="s">
        <v>348</v>
      </c>
      <c r="BE3" t="s">
        <v>348</v>
      </c>
      <c r="BF3">
        <v>20.170000000000002</v>
      </c>
      <c r="BG3" t="s">
        <v>348</v>
      </c>
      <c r="BH3" t="s">
        <v>348</v>
      </c>
      <c r="BI3">
        <v>18.420000000000002</v>
      </c>
      <c r="BJ3" t="s">
        <v>348</v>
      </c>
      <c r="BK3">
        <v>156.84</v>
      </c>
      <c r="BL3">
        <v>112.83</v>
      </c>
      <c r="BM3" t="s">
        <v>348</v>
      </c>
      <c r="BN3">
        <v>9.17</v>
      </c>
      <c r="BO3" t="s">
        <v>348</v>
      </c>
      <c r="BP3">
        <v>3.74</v>
      </c>
      <c r="BQ3">
        <v>0.91</v>
      </c>
      <c r="BR3">
        <v>10.31</v>
      </c>
      <c r="BS3">
        <v>1.0900000000000001</v>
      </c>
      <c r="BT3" t="s">
        <v>348</v>
      </c>
      <c r="BU3" t="s">
        <v>348</v>
      </c>
      <c r="BV3" t="s">
        <v>348</v>
      </c>
      <c r="BW3">
        <v>5.72</v>
      </c>
      <c r="BX3">
        <v>198.23</v>
      </c>
      <c r="BY3">
        <v>503</v>
      </c>
      <c r="BZ3">
        <v>2.3100000000000005</v>
      </c>
      <c r="CA3">
        <v>19</v>
      </c>
      <c r="CB3" t="s">
        <v>348</v>
      </c>
      <c r="CC3" t="s">
        <v>348</v>
      </c>
      <c r="CD3" t="s">
        <v>348</v>
      </c>
      <c r="CE3">
        <v>1.35</v>
      </c>
      <c r="CF3" t="s">
        <v>348</v>
      </c>
      <c r="CG3">
        <v>3</v>
      </c>
      <c r="CH3">
        <v>8</v>
      </c>
      <c r="CI3">
        <v>4</v>
      </c>
    </row>
    <row r="4" spans="1:87" x14ac:dyDescent="0.25">
      <c r="A4">
        <v>3</v>
      </c>
      <c r="B4" s="51" t="s">
        <v>231</v>
      </c>
      <c r="C4">
        <v>44573.625</v>
      </c>
      <c r="D4" t="s">
        <v>348</v>
      </c>
      <c r="E4" t="s">
        <v>348</v>
      </c>
      <c r="F4">
        <v>0.4</v>
      </c>
      <c r="G4">
        <v>5.0599999999999996</v>
      </c>
      <c r="H4">
        <v>6.71</v>
      </c>
      <c r="I4" t="s">
        <v>348</v>
      </c>
      <c r="J4" t="s">
        <v>348</v>
      </c>
      <c r="K4" t="s">
        <v>348</v>
      </c>
      <c r="L4">
        <v>14.99</v>
      </c>
      <c r="M4" t="s">
        <v>348</v>
      </c>
      <c r="N4">
        <v>127.58</v>
      </c>
      <c r="O4">
        <v>19.04</v>
      </c>
      <c r="P4" t="s">
        <v>348</v>
      </c>
      <c r="Q4" t="s">
        <v>348</v>
      </c>
      <c r="R4">
        <v>7.79</v>
      </c>
      <c r="S4" t="s">
        <v>348</v>
      </c>
      <c r="T4" t="s">
        <v>348</v>
      </c>
      <c r="U4">
        <v>43.55</v>
      </c>
      <c r="V4" t="s">
        <v>348</v>
      </c>
      <c r="W4" t="s">
        <v>348</v>
      </c>
      <c r="X4" t="s">
        <v>348</v>
      </c>
      <c r="Y4">
        <v>0.59999999999999964</v>
      </c>
      <c r="Z4" t="s">
        <v>348</v>
      </c>
      <c r="AA4" t="s">
        <v>348</v>
      </c>
      <c r="AB4">
        <v>4.82</v>
      </c>
      <c r="AC4" t="s">
        <v>348</v>
      </c>
      <c r="AD4" t="s">
        <v>348</v>
      </c>
      <c r="AE4" t="s">
        <v>348</v>
      </c>
      <c r="AF4">
        <v>11.98</v>
      </c>
      <c r="AG4" t="s">
        <v>348</v>
      </c>
      <c r="AH4">
        <v>0.26</v>
      </c>
      <c r="AI4">
        <v>117.69</v>
      </c>
      <c r="AJ4" t="s">
        <v>348</v>
      </c>
      <c r="AK4">
        <v>9.56</v>
      </c>
      <c r="AL4" t="s">
        <v>348</v>
      </c>
      <c r="AM4">
        <v>1.24</v>
      </c>
      <c r="AN4">
        <v>7.65</v>
      </c>
      <c r="AO4" t="s">
        <v>348</v>
      </c>
      <c r="AP4">
        <v>60.59</v>
      </c>
      <c r="AQ4">
        <v>1.53</v>
      </c>
      <c r="AR4" t="s">
        <v>348</v>
      </c>
      <c r="AS4" t="s">
        <v>348</v>
      </c>
      <c r="AT4" t="s">
        <v>348</v>
      </c>
      <c r="AU4" t="s">
        <v>348</v>
      </c>
      <c r="AV4" t="s">
        <v>348</v>
      </c>
      <c r="AW4" t="s">
        <v>348</v>
      </c>
      <c r="AX4" t="s">
        <v>348</v>
      </c>
      <c r="AY4" t="s">
        <v>348</v>
      </c>
      <c r="AZ4">
        <v>0.2</v>
      </c>
      <c r="BA4">
        <v>1.52</v>
      </c>
      <c r="BB4" t="s">
        <v>348</v>
      </c>
      <c r="BC4">
        <v>0.56000000000000005</v>
      </c>
      <c r="BD4" t="s">
        <v>348</v>
      </c>
      <c r="BE4" t="s">
        <v>348</v>
      </c>
      <c r="BF4" t="s">
        <v>348</v>
      </c>
      <c r="BG4" t="s">
        <v>348</v>
      </c>
      <c r="BH4" t="s">
        <v>348</v>
      </c>
      <c r="BI4" t="s">
        <v>348</v>
      </c>
      <c r="BJ4" t="s">
        <v>348</v>
      </c>
      <c r="BK4" t="s">
        <v>348</v>
      </c>
      <c r="BL4" t="s">
        <v>348</v>
      </c>
      <c r="BM4" t="s">
        <v>348</v>
      </c>
      <c r="BN4" t="s">
        <v>348</v>
      </c>
      <c r="BO4" t="s">
        <v>348</v>
      </c>
      <c r="BP4">
        <v>0.79</v>
      </c>
      <c r="BQ4" t="s">
        <v>348</v>
      </c>
      <c r="BR4" t="s">
        <v>348</v>
      </c>
      <c r="BS4" t="s">
        <v>348</v>
      </c>
      <c r="BT4" t="s">
        <v>348</v>
      </c>
      <c r="BU4">
        <v>64.03</v>
      </c>
      <c r="BV4" t="s">
        <v>348</v>
      </c>
      <c r="BW4" t="s">
        <v>348</v>
      </c>
      <c r="BX4" t="s">
        <v>348</v>
      </c>
      <c r="BY4" t="s">
        <v>348</v>
      </c>
      <c r="BZ4" t="s">
        <v>348</v>
      </c>
      <c r="CA4">
        <v>0.91999999999999993</v>
      </c>
      <c r="CB4" t="s">
        <v>348</v>
      </c>
      <c r="CC4" t="s">
        <v>348</v>
      </c>
      <c r="CD4" t="s">
        <v>348</v>
      </c>
      <c r="CE4" t="s">
        <v>348</v>
      </c>
      <c r="CF4" t="s">
        <v>348</v>
      </c>
      <c r="CG4">
        <v>1</v>
      </c>
      <c r="CH4">
        <v>2</v>
      </c>
      <c r="CI4">
        <v>2</v>
      </c>
    </row>
    <row r="5" spans="1:87" x14ac:dyDescent="0.25">
      <c r="A5">
        <v>4</v>
      </c>
      <c r="B5" s="51" t="s">
        <v>180</v>
      </c>
      <c r="C5">
        <v>44577</v>
      </c>
      <c r="D5">
        <v>1308.08</v>
      </c>
      <c r="E5" t="s">
        <v>348</v>
      </c>
      <c r="F5" t="s">
        <v>348</v>
      </c>
      <c r="G5">
        <v>24.56</v>
      </c>
      <c r="H5">
        <v>71.62</v>
      </c>
      <c r="I5">
        <v>67.709999999999994</v>
      </c>
      <c r="J5">
        <v>1.18</v>
      </c>
      <c r="K5" t="s">
        <v>348</v>
      </c>
      <c r="L5">
        <v>82.04</v>
      </c>
      <c r="M5">
        <v>47.38</v>
      </c>
      <c r="N5">
        <v>1421.1</v>
      </c>
      <c r="O5">
        <v>209.33</v>
      </c>
      <c r="P5" t="s">
        <v>348</v>
      </c>
      <c r="Q5" t="s">
        <v>348</v>
      </c>
      <c r="R5">
        <v>68.06</v>
      </c>
      <c r="S5">
        <v>0.33</v>
      </c>
      <c r="T5" t="s">
        <v>348</v>
      </c>
      <c r="U5">
        <v>755.48</v>
      </c>
      <c r="V5" t="s">
        <v>348</v>
      </c>
      <c r="W5" t="s">
        <v>348</v>
      </c>
      <c r="X5" t="s">
        <v>348</v>
      </c>
      <c r="Y5">
        <v>6.38</v>
      </c>
      <c r="Z5">
        <v>103.07000000000001</v>
      </c>
      <c r="AA5" t="s">
        <v>348</v>
      </c>
      <c r="AB5">
        <v>736.87</v>
      </c>
      <c r="AC5" t="s">
        <v>348</v>
      </c>
      <c r="AD5" t="s">
        <v>348</v>
      </c>
      <c r="AE5" t="s">
        <v>348</v>
      </c>
      <c r="AF5">
        <v>3.51</v>
      </c>
      <c r="AG5" t="s">
        <v>348</v>
      </c>
      <c r="AH5">
        <v>0.91</v>
      </c>
      <c r="AI5">
        <v>1777.71</v>
      </c>
      <c r="AJ5" t="s">
        <v>348</v>
      </c>
      <c r="AK5">
        <v>83.48</v>
      </c>
      <c r="AL5" t="s">
        <v>348</v>
      </c>
      <c r="AM5">
        <v>9.1199999999999992</v>
      </c>
      <c r="AN5" t="s">
        <v>348</v>
      </c>
      <c r="AO5" t="s">
        <v>348</v>
      </c>
      <c r="AP5">
        <v>971.37</v>
      </c>
      <c r="AQ5">
        <v>6.7</v>
      </c>
      <c r="AR5" t="s">
        <v>348</v>
      </c>
      <c r="AS5" t="s">
        <v>348</v>
      </c>
      <c r="AT5">
        <v>481.06</v>
      </c>
      <c r="AU5" t="s">
        <v>348</v>
      </c>
      <c r="AV5" t="s">
        <v>348</v>
      </c>
      <c r="AW5">
        <v>25.38</v>
      </c>
      <c r="AX5" t="s">
        <v>348</v>
      </c>
      <c r="AY5" t="s">
        <v>348</v>
      </c>
      <c r="AZ5">
        <v>0.34</v>
      </c>
      <c r="BA5" t="s">
        <v>348</v>
      </c>
      <c r="BB5" t="s">
        <v>348</v>
      </c>
      <c r="BC5">
        <v>6.82</v>
      </c>
      <c r="BD5" t="s">
        <v>348</v>
      </c>
      <c r="BE5" t="s">
        <v>348</v>
      </c>
      <c r="BF5">
        <v>367.37</v>
      </c>
      <c r="BG5" t="s">
        <v>348</v>
      </c>
      <c r="BH5" t="s">
        <v>348</v>
      </c>
      <c r="BI5" t="s">
        <v>348</v>
      </c>
      <c r="BJ5" t="s">
        <v>348</v>
      </c>
      <c r="BK5">
        <v>1.87</v>
      </c>
      <c r="BL5" t="s">
        <v>348</v>
      </c>
      <c r="BM5" t="s">
        <v>348</v>
      </c>
      <c r="BN5">
        <v>5.67</v>
      </c>
      <c r="BO5">
        <v>1.59</v>
      </c>
      <c r="BP5">
        <v>1.08</v>
      </c>
      <c r="BQ5" t="s">
        <v>348</v>
      </c>
      <c r="BR5" t="s">
        <v>348</v>
      </c>
      <c r="BS5" t="s">
        <v>348</v>
      </c>
      <c r="BT5" t="s">
        <v>348</v>
      </c>
      <c r="BU5">
        <v>23.16</v>
      </c>
      <c r="BV5" t="s">
        <v>348</v>
      </c>
      <c r="BW5" t="s">
        <v>348</v>
      </c>
      <c r="BX5" t="s">
        <v>348</v>
      </c>
      <c r="BY5" t="s">
        <v>348</v>
      </c>
      <c r="BZ5">
        <v>5.17</v>
      </c>
      <c r="CA5">
        <v>5.8100000000000005</v>
      </c>
      <c r="CB5" t="s">
        <v>348</v>
      </c>
      <c r="CC5" t="s">
        <v>348</v>
      </c>
      <c r="CD5" t="s">
        <v>348</v>
      </c>
      <c r="CE5" t="s">
        <v>348</v>
      </c>
      <c r="CF5" t="s">
        <v>348</v>
      </c>
      <c r="CG5">
        <v>1</v>
      </c>
      <c r="CH5">
        <v>3</v>
      </c>
      <c r="CI5">
        <v>22</v>
      </c>
    </row>
    <row r="6" spans="1:87" x14ac:dyDescent="0.25">
      <c r="A6">
        <v>5</v>
      </c>
      <c r="B6" s="51" t="s">
        <v>181</v>
      </c>
      <c r="C6">
        <v>44577</v>
      </c>
      <c r="D6" t="s">
        <v>348</v>
      </c>
      <c r="E6" t="s">
        <v>348</v>
      </c>
      <c r="F6" t="s">
        <v>348</v>
      </c>
      <c r="G6">
        <v>0.84</v>
      </c>
      <c r="H6" t="s">
        <v>348</v>
      </c>
      <c r="I6" t="s">
        <v>348</v>
      </c>
      <c r="J6">
        <v>1.19</v>
      </c>
      <c r="K6" t="s">
        <v>348</v>
      </c>
      <c r="L6">
        <v>130.22999999999999</v>
      </c>
      <c r="M6" t="s">
        <v>348</v>
      </c>
      <c r="N6">
        <v>231.37</v>
      </c>
      <c r="O6">
        <v>50.77</v>
      </c>
      <c r="P6" t="s">
        <v>348</v>
      </c>
      <c r="Q6" t="s">
        <v>348</v>
      </c>
      <c r="R6">
        <v>3.93</v>
      </c>
      <c r="S6">
        <v>1.57</v>
      </c>
      <c r="T6" t="s">
        <v>348</v>
      </c>
      <c r="U6">
        <v>7.64</v>
      </c>
      <c r="V6" t="s">
        <v>348</v>
      </c>
      <c r="W6" t="s">
        <v>348</v>
      </c>
      <c r="X6" t="s">
        <v>348</v>
      </c>
      <c r="Y6">
        <v>1</v>
      </c>
      <c r="Z6">
        <v>0.92999999999999994</v>
      </c>
      <c r="AA6" t="s">
        <v>348</v>
      </c>
      <c r="AB6">
        <v>98996.18</v>
      </c>
      <c r="AC6">
        <v>15.76</v>
      </c>
      <c r="AD6" t="s">
        <v>348</v>
      </c>
      <c r="AE6" t="s">
        <v>348</v>
      </c>
      <c r="AF6">
        <v>3.98</v>
      </c>
      <c r="AG6" t="s">
        <v>348</v>
      </c>
      <c r="AH6" t="s">
        <v>348</v>
      </c>
      <c r="AI6">
        <v>93.31</v>
      </c>
      <c r="AJ6" t="s">
        <v>348</v>
      </c>
      <c r="AK6">
        <v>29.05</v>
      </c>
      <c r="AL6" t="s">
        <v>348</v>
      </c>
      <c r="AM6">
        <v>26.060000000000002</v>
      </c>
      <c r="AN6" t="s">
        <v>348</v>
      </c>
      <c r="AO6" t="s">
        <v>348</v>
      </c>
      <c r="AP6">
        <v>5.39</v>
      </c>
      <c r="AQ6">
        <v>4.09</v>
      </c>
      <c r="AR6" t="s">
        <v>348</v>
      </c>
      <c r="AS6" t="s">
        <v>348</v>
      </c>
      <c r="AT6">
        <v>3.59</v>
      </c>
      <c r="AU6" t="s">
        <v>348</v>
      </c>
      <c r="AV6" t="s">
        <v>348</v>
      </c>
      <c r="AW6">
        <v>1.99</v>
      </c>
      <c r="AX6" t="s">
        <v>348</v>
      </c>
      <c r="AY6" t="s">
        <v>348</v>
      </c>
      <c r="AZ6" t="s">
        <v>348</v>
      </c>
      <c r="BA6" t="s">
        <v>348</v>
      </c>
      <c r="BB6" t="s">
        <v>348</v>
      </c>
      <c r="BC6">
        <v>1.73</v>
      </c>
      <c r="BD6" t="s">
        <v>348</v>
      </c>
      <c r="BE6" t="s">
        <v>348</v>
      </c>
      <c r="BF6">
        <v>2.48</v>
      </c>
      <c r="BG6">
        <v>91.53</v>
      </c>
      <c r="BH6" t="s">
        <v>348</v>
      </c>
      <c r="BI6" t="s">
        <v>348</v>
      </c>
      <c r="BJ6" t="s">
        <v>348</v>
      </c>
      <c r="BK6" t="s">
        <v>348</v>
      </c>
      <c r="BL6" t="s">
        <v>348</v>
      </c>
      <c r="BM6" t="s">
        <v>348</v>
      </c>
      <c r="BN6">
        <v>7.27</v>
      </c>
      <c r="BO6" t="s">
        <v>348</v>
      </c>
      <c r="BP6">
        <v>9.15</v>
      </c>
      <c r="BQ6" t="s">
        <v>348</v>
      </c>
      <c r="BR6" t="s">
        <v>348</v>
      </c>
      <c r="BS6" t="s">
        <v>348</v>
      </c>
      <c r="BT6" t="s">
        <v>348</v>
      </c>
      <c r="BU6" t="s">
        <v>348</v>
      </c>
      <c r="BV6" t="s">
        <v>348</v>
      </c>
      <c r="BW6" t="s">
        <v>348</v>
      </c>
      <c r="BX6" t="s">
        <v>348</v>
      </c>
      <c r="BY6" t="s">
        <v>348</v>
      </c>
      <c r="BZ6">
        <v>3.4800000000000004</v>
      </c>
      <c r="CA6">
        <v>5.8599999999999994</v>
      </c>
      <c r="CB6" t="s">
        <v>348</v>
      </c>
      <c r="CC6" t="s">
        <v>348</v>
      </c>
      <c r="CD6" t="s">
        <v>348</v>
      </c>
      <c r="CE6" t="s">
        <v>348</v>
      </c>
      <c r="CF6" t="s">
        <v>348</v>
      </c>
      <c r="CG6">
        <v>2</v>
      </c>
      <c r="CH6">
        <v>5</v>
      </c>
      <c r="CI6">
        <v>311</v>
      </c>
    </row>
    <row r="7" spans="1:87" x14ac:dyDescent="0.25">
      <c r="A7">
        <v>6</v>
      </c>
      <c r="B7" s="51" t="s">
        <v>182</v>
      </c>
      <c r="C7">
        <v>44577</v>
      </c>
      <c r="D7" t="s">
        <v>348</v>
      </c>
      <c r="E7" t="s">
        <v>348</v>
      </c>
      <c r="F7" t="s">
        <v>348</v>
      </c>
      <c r="G7" t="s">
        <v>348</v>
      </c>
      <c r="H7" t="s">
        <v>348</v>
      </c>
      <c r="I7" t="s">
        <v>348</v>
      </c>
      <c r="J7">
        <v>0.47</v>
      </c>
      <c r="K7" t="s">
        <v>348</v>
      </c>
      <c r="L7">
        <v>51.95</v>
      </c>
      <c r="M7">
        <v>20.729999999999997</v>
      </c>
      <c r="N7">
        <v>39.6</v>
      </c>
      <c r="O7">
        <v>7.29</v>
      </c>
      <c r="P7" t="s">
        <v>348</v>
      </c>
      <c r="Q7" t="s">
        <v>348</v>
      </c>
      <c r="R7" t="s">
        <v>348</v>
      </c>
      <c r="S7">
        <v>0.86</v>
      </c>
      <c r="T7" t="s">
        <v>348</v>
      </c>
      <c r="U7" t="s">
        <v>348</v>
      </c>
      <c r="V7" t="s">
        <v>348</v>
      </c>
      <c r="W7" t="s">
        <v>348</v>
      </c>
      <c r="X7" t="s">
        <v>348</v>
      </c>
      <c r="Y7">
        <v>0.47999999999999954</v>
      </c>
      <c r="Z7">
        <v>1.86</v>
      </c>
      <c r="AA7" t="s">
        <v>348</v>
      </c>
      <c r="AB7">
        <v>58690.51</v>
      </c>
      <c r="AC7">
        <v>3.22</v>
      </c>
      <c r="AD7" t="s">
        <v>348</v>
      </c>
      <c r="AE7" t="s">
        <v>348</v>
      </c>
      <c r="AF7" t="s">
        <v>348</v>
      </c>
      <c r="AG7" t="s">
        <v>348</v>
      </c>
      <c r="AH7" t="s">
        <v>348</v>
      </c>
      <c r="AI7">
        <v>14.71</v>
      </c>
      <c r="AJ7" t="s">
        <v>348</v>
      </c>
      <c r="AK7">
        <v>6.53</v>
      </c>
      <c r="AL7" t="s">
        <v>348</v>
      </c>
      <c r="AM7">
        <v>4.37</v>
      </c>
      <c r="AN7" t="s">
        <v>348</v>
      </c>
      <c r="AO7" t="s">
        <v>348</v>
      </c>
      <c r="AP7">
        <v>1.01</v>
      </c>
      <c r="AQ7">
        <v>1.33</v>
      </c>
      <c r="AR7" t="s">
        <v>348</v>
      </c>
      <c r="AS7" t="s">
        <v>348</v>
      </c>
      <c r="AT7" t="s">
        <v>348</v>
      </c>
      <c r="AU7" t="s">
        <v>348</v>
      </c>
      <c r="AV7" t="s">
        <v>348</v>
      </c>
      <c r="AW7">
        <v>2.29</v>
      </c>
      <c r="AX7" t="s">
        <v>348</v>
      </c>
      <c r="AY7" t="s">
        <v>348</v>
      </c>
      <c r="AZ7" t="s">
        <v>348</v>
      </c>
      <c r="BA7" t="s">
        <v>348</v>
      </c>
      <c r="BB7" t="s">
        <v>348</v>
      </c>
      <c r="BC7">
        <v>0.86999999999999988</v>
      </c>
      <c r="BD7" t="s">
        <v>348</v>
      </c>
      <c r="BE7" t="s">
        <v>348</v>
      </c>
      <c r="BF7">
        <v>1.49</v>
      </c>
      <c r="BG7">
        <v>30.82</v>
      </c>
      <c r="BH7" t="s">
        <v>348</v>
      </c>
      <c r="BI7" t="s">
        <v>348</v>
      </c>
      <c r="BJ7" t="s">
        <v>348</v>
      </c>
      <c r="BK7" t="s">
        <v>348</v>
      </c>
      <c r="BL7" t="s">
        <v>348</v>
      </c>
      <c r="BM7" t="s">
        <v>348</v>
      </c>
      <c r="BN7">
        <v>2.39</v>
      </c>
      <c r="BO7" t="s">
        <v>348</v>
      </c>
      <c r="BP7">
        <v>1.05</v>
      </c>
      <c r="BQ7" t="s">
        <v>348</v>
      </c>
      <c r="BR7" t="s">
        <v>348</v>
      </c>
      <c r="BS7" t="s">
        <v>348</v>
      </c>
      <c r="BT7" t="s">
        <v>348</v>
      </c>
      <c r="BU7" t="s">
        <v>348</v>
      </c>
      <c r="BV7" t="s">
        <v>348</v>
      </c>
      <c r="BW7" t="s">
        <v>348</v>
      </c>
      <c r="BX7" t="s">
        <v>348</v>
      </c>
      <c r="BY7" t="s">
        <v>348</v>
      </c>
      <c r="BZ7">
        <v>0.75999999999999979</v>
      </c>
      <c r="CA7">
        <v>4.9000000000000004</v>
      </c>
      <c r="CB7" t="s">
        <v>348</v>
      </c>
      <c r="CC7" t="s">
        <v>348</v>
      </c>
      <c r="CD7" t="s">
        <v>348</v>
      </c>
      <c r="CE7" t="s">
        <v>348</v>
      </c>
      <c r="CF7" t="s">
        <v>348</v>
      </c>
      <c r="CG7">
        <v>2</v>
      </c>
      <c r="CH7">
        <v>5</v>
      </c>
      <c r="CI7">
        <v>311</v>
      </c>
    </row>
    <row r="8" spans="1:87" x14ac:dyDescent="0.25">
      <c r="A8">
        <v>7</v>
      </c>
      <c r="B8" s="51" t="s">
        <v>183</v>
      </c>
      <c r="C8">
        <v>44577</v>
      </c>
      <c r="D8" t="s">
        <v>348</v>
      </c>
      <c r="E8" t="s">
        <v>348</v>
      </c>
      <c r="F8" t="s">
        <v>348</v>
      </c>
      <c r="G8" t="s">
        <v>348</v>
      </c>
      <c r="H8" t="s">
        <v>348</v>
      </c>
      <c r="I8" t="s">
        <v>348</v>
      </c>
      <c r="J8">
        <v>0.18</v>
      </c>
      <c r="K8" t="s">
        <v>348</v>
      </c>
      <c r="L8">
        <v>19.43</v>
      </c>
      <c r="M8" t="s">
        <v>348</v>
      </c>
      <c r="N8">
        <v>22.72</v>
      </c>
      <c r="O8">
        <v>4.0999999999999996</v>
      </c>
      <c r="P8" t="s">
        <v>348</v>
      </c>
      <c r="Q8" t="s">
        <v>348</v>
      </c>
      <c r="R8" t="s">
        <v>348</v>
      </c>
      <c r="S8">
        <v>0.53</v>
      </c>
      <c r="T8" t="s">
        <v>348</v>
      </c>
      <c r="U8" t="s">
        <v>348</v>
      </c>
      <c r="V8" t="s">
        <v>348</v>
      </c>
      <c r="W8" t="s">
        <v>348</v>
      </c>
      <c r="X8" t="s">
        <v>348</v>
      </c>
      <c r="Y8">
        <v>0.54999999999999982</v>
      </c>
      <c r="Z8">
        <v>1.5399999999999998</v>
      </c>
      <c r="AA8" t="s">
        <v>348</v>
      </c>
      <c r="AB8">
        <v>32026.71</v>
      </c>
      <c r="AC8">
        <v>1.5</v>
      </c>
      <c r="AD8" t="s">
        <v>348</v>
      </c>
      <c r="AE8" t="s">
        <v>348</v>
      </c>
      <c r="AF8" t="s">
        <v>348</v>
      </c>
      <c r="AG8" t="s">
        <v>348</v>
      </c>
      <c r="AH8" t="s">
        <v>348</v>
      </c>
      <c r="AI8">
        <v>17.93</v>
      </c>
      <c r="AJ8" t="s">
        <v>348</v>
      </c>
      <c r="AK8">
        <v>5.08</v>
      </c>
      <c r="AL8" t="s">
        <v>348</v>
      </c>
      <c r="AM8">
        <v>2.16</v>
      </c>
      <c r="AN8" t="s">
        <v>348</v>
      </c>
      <c r="AO8" t="s">
        <v>348</v>
      </c>
      <c r="AP8">
        <v>1.21</v>
      </c>
      <c r="AQ8">
        <v>0.92000000000000015</v>
      </c>
      <c r="AR8" t="s">
        <v>348</v>
      </c>
      <c r="AS8" t="s">
        <v>348</v>
      </c>
      <c r="AT8" t="s">
        <v>348</v>
      </c>
      <c r="AU8" t="s">
        <v>348</v>
      </c>
      <c r="AV8" t="s">
        <v>348</v>
      </c>
      <c r="AW8">
        <v>4.2300000000000004</v>
      </c>
      <c r="AX8" t="s">
        <v>348</v>
      </c>
      <c r="AY8" t="s">
        <v>348</v>
      </c>
      <c r="AZ8" t="s">
        <v>348</v>
      </c>
      <c r="BA8" t="s">
        <v>348</v>
      </c>
      <c r="BB8" t="s">
        <v>348</v>
      </c>
      <c r="BC8">
        <v>0.36</v>
      </c>
      <c r="BD8" t="s">
        <v>348</v>
      </c>
      <c r="BE8" t="s">
        <v>348</v>
      </c>
      <c r="BF8" t="s">
        <v>348</v>
      </c>
      <c r="BG8">
        <v>10.62</v>
      </c>
      <c r="BH8" t="s">
        <v>348</v>
      </c>
      <c r="BI8" t="s">
        <v>348</v>
      </c>
      <c r="BJ8" t="s">
        <v>348</v>
      </c>
      <c r="BK8" t="s">
        <v>348</v>
      </c>
      <c r="BL8" t="s">
        <v>348</v>
      </c>
      <c r="BM8" t="s">
        <v>348</v>
      </c>
      <c r="BN8">
        <v>3.38</v>
      </c>
      <c r="BO8" t="s">
        <v>348</v>
      </c>
      <c r="BP8" t="s">
        <v>348</v>
      </c>
      <c r="BQ8" t="s">
        <v>348</v>
      </c>
      <c r="BR8" t="s">
        <v>348</v>
      </c>
      <c r="BS8" t="s">
        <v>348</v>
      </c>
      <c r="BT8" t="s">
        <v>348</v>
      </c>
      <c r="BU8" t="s">
        <v>348</v>
      </c>
      <c r="BV8" t="s">
        <v>348</v>
      </c>
      <c r="BW8" t="s">
        <v>348</v>
      </c>
      <c r="BX8" t="s">
        <v>348</v>
      </c>
      <c r="BY8" t="s">
        <v>348</v>
      </c>
      <c r="BZ8">
        <v>4.2100000000000009</v>
      </c>
      <c r="CA8">
        <v>3.1799999999999997</v>
      </c>
      <c r="CB8" t="s">
        <v>348</v>
      </c>
      <c r="CC8" t="s">
        <v>348</v>
      </c>
      <c r="CD8" t="s">
        <v>348</v>
      </c>
      <c r="CE8" t="s">
        <v>348</v>
      </c>
      <c r="CF8" t="s">
        <v>348</v>
      </c>
      <c r="CG8">
        <v>2</v>
      </c>
      <c r="CH8">
        <v>5</v>
      </c>
      <c r="CI8">
        <v>311</v>
      </c>
    </row>
    <row r="9" spans="1:87" x14ac:dyDescent="0.25">
      <c r="A9">
        <v>8</v>
      </c>
      <c r="B9" s="51" t="s">
        <v>184</v>
      </c>
      <c r="C9">
        <v>44577</v>
      </c>
      <c r="D9" t="s">
        <v>348</v>
      </c>
      <c r="E9" t="s">
        <v>348</v>
      </c>
      <c r="F9" t="s">
        <v>348</v>
      </c>
      <c r="G9" t="s">
        <v>348</v>
      </c>
      <c r="H9" t="s">
        <v>348</v>
      </c>
      <c r="I9" t="s">
        <v>348</v>
      </c>
      <c r="J9">
        <v>1.42</v>
      </c>
      <c r="K9" t="s">
        <v>348</v>
      </c>
      <c r="L9">
        <v>98.93</v>
      </c>
      <c r="M9" t="s">
        <v>348</v>
      </c>
      <c r="N9">
        <v>62.74</v>
      </c>
      <c r="O9">
        <v>10.75</v>
      </c>
      <c r="P9" t="s">
        <v>348</v>
      </c>
      <c r="Q9" t="s">
        <v>348</v>
      </c>
      <c r="R9">
        <v>3.71</v>
      </c>
      <c r="S9">
        <v>0.95</v>
      </c>
      <c r="T9" t="s">
        <v>348</v>
      </c>
      <c r="U9">
        <v>6.66</v>
      </c>
      <c r="V9">
        <v>12.48</v>
      </c>
      <c r="W9" t="s">
        <v>348</v>
      </c>
      <c r="X9" t="s">
        <v>348</v>
      </c>
      <c r="Y9">
        <v>0.72999999999999954</v>
      </c>
      <c r="Z9">
        <v>1.3699999999999999</v>
      </c>
      <c r="AA9" t="s">
        <v>348</v>
      </c>
      <c r="AB9">
        <v>78676.92</v>
      </c>
      <c r="AC9">
        <v>10.76</v>
      </c>
      <c r="AD9" t="s">
        <v>348</v>
      </c>
      <c r="AE9" t="s">
        <v>348</v>
      </c>
      <c r="AF9">
        <v>5.13</v>
      </c>
      <c r="AG9" t="s">
        <v>348</v>
      </c>
      <c r="AH9" t="s">
        <v>348</v>
      </c>
      <c r="AI9">
        <v>38.18</v>
      </c>
      <c r="AJ9" t="s">
        <v>348</v>
      </c>
      <c r="AK9">
        <v>5.27</v>
      </c>
      <c r="AL9" t="s">
        <v>348</v>
      </c>
      <c r="AM9">
        <v>22.69</v>
      </c>
      <c r="AN9" t="s">
        <v>348</v>
      </c>
      <c r="AO9" t="s">
        <v>348</v>
      </c>
      <c r="AP9">
        <v>9.5299999999999994</v>
      </c>
      <c r="AQ9">
        <v>8.06</v>
      </c>
      <c r="AR9" t="s">
        <v>348</v>
      </c>
      <c r="AS9" t="s">
        <v>348</v>
      </c>
      <c r="AT9" t="s">
        <v>348</v>
      </c>
      <c r="AU9" t="s">
        <v>348</v>
      </c>
      <c r="AV9">
        <v>2.2999999999999998</v>
      </c>
      <c r="AW9">
        <v>1.28</v>
      </c>
      <c r="AX9" t="s">
        <v>348</v>
      </c>
      <c r="AY9" t="s">
        <v>348</v>
      </c>
      <c r="AZ9" t="s">
        <v>348</v>
      </c>
      <c r="BA9" t="s">
        <v>348</v>
      </c>
      <c r="BB9" t="s">
        <v>348</v>
      </c>
      <c r="BC9">
        <v>1.1299999999999999</v>
      </c>
      <c r="BD9" t="s">
        <v>348</v>
      </c>
      <c r="BE9" t="s">
        <v>348</v>
      </c>
      <c r="BF9" t="s">
        <v>348</v>
      </c>
      <c r="BG9">
        <v>67.84</v>
      </c>
      <c r="BH9" t="s">
        <v>348</v>
      </c>
      <c r="BI9" t="s">
        <v>348</v>
      </c>
      <c r="BJ9" t="s">
        <v>348</v>
      </c>
      <c r="BK9" t="s">
        <v>348</v>
      </c>
      <c r="BL9" t="s">
        <v>348</v>
      </c>
      <c r="BM9" t="s">
        <v>348</v>
      </c>
      <c r="BN9">
        <v>12.74</v>
      </c>
      <c r="BO9" t="s">
        <v>348</v>
      </c>
      <c r="BP9">
        <v>1.8</v>
      </c>
      <c r="BQ9" t="s">
        <v>348</v>
      </c>
      <c r="BR9" t="s">
        <v>348</v>
      </c>
      <c r="BS9" t="s">
        <v>348</v>
      </c>
      <c r="BT9" t="s">
        <v>348</v>
      </c>
      <c r="BU9" t="s">
        <v>348</v>
      </c>
      <c r="BV9" t="s">
        <v>348</v>
      </c>
      <c r="BW9" t="s">
        <v>348</v>
      </c>
      <c r="BX9" t="s">
        <v>348</v>
      </c>
      <c r="BY9" t="s">
        <v>348</v>
      </c>
      <c r="BZ9">
        <v>7.41</v>
      </c>
      <c r="CA9">
        <v>8.64</v>
      </c>
      <c r="CB9" t="s">
        <v>348</v>
      </c>
      <c r="CC9" t="s">
        <v>348</v>
      </c>
      <c r="CD9" t="s">
        <v>348</v>
      </c>
      <c r="CE9" t="s">
        <v>348</v>
      </c>
      <c r="CF9" t="s">
        <v>348</v>
      </c>
      <c r="CG9">
        <v>2</v>
      </c>
      <c r="CH9">
        <v>5</v>
      </c>
      <c r="CI9">
        <v>311</v>
      </c>
    </row>
    <row r="10" spans="1:87" x14ac:dyDescent="0.25">
      <c r="A10">
        <v>9</v>
      </c>
      <c r="B10" s="51" t="s">
        <v>185</v>
      </c>
      <c r="C10">
        <v>44577</v>
      </c>
      <c r="D10" t="s">
        <v>348</v>
      </c>
      <c r="E10" t="s">
        <v>348</v>
      </c>
      <c r="F10" t="s">
        <v>348</v>
      </c>
      <c r="G10">
        <v>1.69</v>
      </c>
      <c r="H10" t="s">
        <v>348</v>
      </c>
      <c r="I10" t="s">
        <v>348</v>
      </c>
      <c r="J10">
        <v>2.2799999999999998</v>
      </c>
      <c r="K10" t="s">
        <v>348</v>
      </c>
      <c r="L10">
        <v>302.16000000000003</v>
      </c>
      <c r="M10" t="s">
        <v>348</v>
      </c>
      <c r="N10">
        <v>101.55</v>
      </c>
      <c r="O10">
        <v>14.3</v>
      </c>
      <c r="P10" t="s">
        <v>348</v>
      </c>
      <c r="Q10" t="s">
        <v>348</v>
      </c>
      <c r="R10">
        <v>4.1900000000000004</v>
      </c>
      <c r="S10">
        <v>1.81</v>
      </c>
      <c r="T10" t="s">
        <v>348</v>
      </c>
      <c r="U10">
        <v>8.59</v>
      </c>
      <c r="V10">
        <v>31.17</v>
      </c>
      <c r="W10" t="s">
        <v>348</v>
      </c>
      <c r="X10" t="s">
        <v>348</v>
      </c>
      <c r="Y10">
        <v>3.05</v>
      </c>
      <c r="Z10">
        <v>6.2600000000000007</v>
      </c>
      <c r="AA10">
        <v>6.17</v>
      </c>
      <c r="AB10">
        <v>75575.850000000006</v>
      </c>
      <c r="AC10">
        <v>21.31</v>
      </c>
      <c r="AD10" t="s">
        <v>348</v>
      </c>
      <c r="AE10" t="s">
        <v>348</v>
      </c>
      <c r="AF10">
        <v>11.18</v>
      </c>
      <c r="AG10" t="s">
        <v>348</v>
      </c>
      <c r="AH10" t="s">
        <v>348</v>
      </c>
      <c r="AI10">
        <v>54.67</v>
      </c>
      <c r="AJ10" t="s">
        <v>348</v>
      </c>
      <c r="AK10">
        <v>5.98</v>
      </c>
      <c r="AL10" t="s">
        <v>348</v>
      </c>
      <c r="AM10">
        <v>36.979999999999997</v>
      </c>
      <c r="AN10" t="s">
        <v>348</v>
      </c>
      <c r="AO10" t="s">
        <v>348</v>
      </c>
      <c r="AP10">
        <v>13.07</v>
      </c>
      <c r="AQ10">
        <v>13.99</v>
      </c>
      <c r="AR10" t="s">
        <v>348</v>
      </c>
      <c r="AS10" t="s">
        <v>348</v>
      </c>
      <c r="AT10">
        <v>56.23</v>
      </c>
      <c r="AU10" t="s">
        <v>348</v>
      </c>
      <c r="AV10">
        <v>5.81</v>
      </c>
      <c r="AW10">
        <v>2.4</v>
      </c>
      <c r="AX10" t="s">
        <v>348</v>
      </c>
      <c r="AY10" t="s">
        <v>348</v>
      </c>
      <c r="AZ10" t="s">
        <v>348</v>
      </c>
      <c r="BA10" t="s">
        <v>348</v>
      </c>
      <c r="BB10" t="s">
        <v>348</v>
      </c>
      <c r="BC10">
        <v>1.5</v>
      </c>
      <c r="BD10" t="s">
        <v>348</v>
      </c>
      <c r="BE10" t="s">
        <v>348</v>
      </c>
      <c r="BF10" t="s">
        <v>348</v>
      </c>
      <c r="BG10">
        <v>93.59</v>
      </c>
      <c r="BH10" t="s">
        <v>348</v>
      </c>
      <c r="BI10" t="s">
        <v>348</v>
      </c>
      <c r="BJ10" t="s">
        <v>348</v>
      </c>
      <c r="BK10" t="s">
        <v>348</v>
      </c>
      <c r="BL10" t="s">
        <v>348</v>
      </c>
      <c r="BM10" t="s">
        <v>348</v>
      </c>
      <c r="BN10">
        <v>42.46</v>
      </c>
      <c r="BO10" t="s">
        <v>348</v>
      </c>
      <c r="BP10">
        <v>3.25</v>
      </c>
      <c r="BQ10" t="s">
        <v>348</v>
      </c>
      <c r="BR10" t="s">
        <v>348</v>
      </c>
      <c r="BS10" t="s">
        <v>348</v>
      </c>
      <c r="BT10" t="s">
        <v>348</v>
      </c>
      <c r="BU10" t="s">
        <v>348</v>
      </c>
      <c r="BV10" t="s">
        <v>348</v>
      </c>
      <c r="BW10" t="s">
        <v>348</v>
      </c>
      <c r="BX10" t="s">
        <v>348</v>
      </c>
      <c r="BY10" t="s">
        <v>348</v>
      </c>
      <c r="BZ10">
        <v>2.9699999999999998</v>
      </c>
      <c r="CA10">
        <v>5.84</v>
      </c>
      <c r="CB10" t="s">
        <v>348</v>
      </c>
      <c r="CC10" t="s">
        <v>348</v>
      </c>
      <c r="CD10" t="s">
        <v>348</v>
      </c>
      <c r="CE10" t="s">
        <v>348</v>
      </c>
      <c r="CF10" t="s">
        <v>348</v>
      </c>
      <c r="CG10">
        <v>2</v>
      </c>
      <c r="CH10">
        <v>6</v>
      </c>
      <c r="CI10">
        <v>311</v>
      </c>
    </row>
    <row r="11" spans="1:87" x14ac:dyDescent="0.25">
      <c r="A11">
        <v>10</v>
      </c>
      <c r="B11" s="51" t="s">
        <v>186</v>
      </c>
      <c r="C11">
        <v>44577</v>
      </c>
      <c r="D11" t="s">
        <v>348</v>
      </c>
      <c r="E11" t="s">
        <v>348</v>
      </c>
      <c r="F11" t="s">
        <v>348</v>
      </c>
      <c r="G11">
        <v>1.99</v>
      </c>
      <c r="H11" t="s">
        <v>348</v>
      </c>
      <c r="I11" t="s">
        <v>348</v>
      </c>
      <c r="J11">
        <v>4.26</v>
      </c>
      <c r="K11" t="s">
        <v>348</v>
      </c>
      <c r="L11">
        <v>137.02000000000001</v>
      </c>
      <c r="M11" t="s">
        <v>348</v>
      </c>
      <c r="N11">
        <v>101.71</v>
      </c>
      <c r="O11">
        <v>24.59</v>
      </c>
      <c r="P11">
        <v>4.8</v>
      </c>
      <c r="Q11" t="s">
        <v>348</v>
      </c>
      <c r="R11">
        <v>4.33</v>
      </c>
      <c r="S11">
        <v>1.1299999999999999</v>
      </c>
      <c r="T11" t="s">
        <v>348</v>
      </c>
      <c r="U11">
        <v>21.23</v>
      </c>
      <c r="V11">
        <v>12.49</v>
      </c>
      <c r="W11" t="s">
        <v>348</v>
      </c>
      <c r="X11" t="s">
        <v>348</v>
      </c>
      <c r="Y11">
        <v>1.9299999999999997</v>
      </c>
      <c r="Z11">
        <v>7.09</v>
      </c>
      <c r="AA11">
        <v>4.07</v>
      </c>
      <c r="AB11">
        <v>45957.55</v>
      </c>
      <c r="AC11">
        <v>16.72</v>
      </c>
      <c r="AD11" t="s">
        <v>348</v>
      </c>
      <c r="AE11" t="s">
        <v>348</v>
      </c>
      <c r="AF11">
        <v>6.08</v>
      </c>
      <c r="AG11" t="s">
        <v>348</v>
      </c>
      <c r="AH11" t="s">
        <v>348</v>
      </c>
      <c r="AI11">
        <v>45.66</v>
      </c>
      <c r="AJ11">
        <v>1.21</v>
      </c>
      <c r="AK11">
        <v>6.49</v>
      </c>
      <c r="AL11" t="s">
        <v>348</v>
      </c>
      <c r="AM11">
        <v>27.73</v>
      </c>
      <c r="AN11" t="s">
        <v>348</v>
      </c>
      <c r="AO11" t="s">
        <v>348</v>
      </c>
      <c r="AP11">
        <v>19.309999999999999</v>
      </c>
      <c r="AQ11">
        <v>14.290000000000001</v>
      </c>
      <c r="AR11" t="s">
        <v>348</v>
      </c>
      <c r="AS11" t="s">
        <v>348</v>
      </c>
      <c r="AT11">
        <v>23.34</v>
      </c>
      <c r="AU11" t="s">
        <v>348</v>
      </c>
      <c r="AV11">
        <v>4.04</v>
      </c>
      <c r="AW11">
        <v>1.1100000000000001</v>
      </c>
      <c r="AX11" t="s">
        <v>348</v>
      </c>
      <c r="AY11" t="s">
        <v>348</v>
      </c>
      <c r="AZ11" t="s">
        <v>348</v>
      </c>
      <c r="BA11" t="s">
        <v>348</v>
      </c>
      <c r="BB11" t="s">
        <v>348</v>
      </c>
      <c r="BC11">
        <v>0.82000000000000006</v>
      </c>
      <c r="BD11" t="s">
        <v>348</v>
      </c>
      <c r="BE11" t="s">
        <v>348</v>
      </c>
      <c r="BF11">
        <v>7.46</v>
      </c>
      <c r="BG11">
        <v>36.549999999999997</v>
      </c>
      <c r="BH11" t="s">
        <v>348</v>
      </c>
      <c r="BI11" t="s">
        <v>348</v>
      </c>
      <c r="BJ11" t="s">
        <v>348</v>
      </c>
      <c r="BK11" t="s">
        <v>348</v>
      </c>
      <c r="BL11" t="s">
        <v>348</v>
      </c>
      <c r="BM11" t="s">
        <v>348</v>
      </c>
      <c r="BN11">
        <v>38.26</v>
      </c>
      <c r="BO11" t="s">
        <v>348</v>
      </c>
      <c r="BP11">
        <v>1.81</v>
      </c>
      <c r="BQ11" t="s">
        <v>348</v>
      </c>
      <c r="BR11" t="s">
        <v>348</v>
      </c>
      <c r="BS11" t="s">
        <v>348</v>
      </c>
      <c r="BT11" t="s">
        <v>348</v>
      </c>
      <c r="BU11" t="s">
        <v>348</v>
      </c>
      <c r="BV11" t="s">
        <v>348</v>
      </c>
      <c r="BW11" t="s">
        <v>348</v>
      </c>
      <c r="BX11" t="s">
        <v>348</v>
      </c>
      <c r="BY11" t="s">
        <v>348</v>
      </c>
      <c r="BZ11">
        <v>6.82</v>
      </c>
      <c r="CA11">
        <v>7.34</v>
      </c>
      <c r="CB11" t="s">
        <v>348</v>
      </c>
      <c r="CC11" t="s">
        <v>348</v>
      </c>
      <c r="CD11" t="s">
        <v>348</v>
      </c>
      <c r="CE11" t="s">
        <v>348</v>
      </c>
      <c r="CF11" t="s">
        <v>348</v>
      </c>
      <c r="CG11">
        <v>2</v>
      </c>
      <c r="CH11">
        <v>7</v>
      </c>
      <c r="CI11">
        <v>311</v>
      </c>
    </row>
    <row r="12" spans="1:87" x14ac:dyDescent="0.25">
      <c r="A12">
        <v>11</v>
      </c>
      <c r="B12" s="51" t="s">
        <v>187</v>
      </c>
      <c r="C12">
        <v>44577</v>
      </c>
      <c r="D12" t="s">
        <v>348</v>
      </c>
      <c r="E12" t="s">
        <v>348</v>
      </c>
      <c r="F12" t="s">
        <v>348</v>
      </c>
      <c r="G12">
        <v>1.08</v>
      </c>
      <c r="H12" t="s">
        <v>348</v>
      </c>
      <c r="I12" t="s">
        <v>348</v>
      </c>
      <c r="J12">
        <v>2.5099999999999998</v>
      </c>
      <c r="K12" t="s">
        <v>348</v>
      </c>
      <c r="L12">
        <v>120.44</v>
      </c>
      <c r="M12" t="s">
        <v>348</v>
      </c>
      <c r="N12">
        <v>62.84</v>
      </c>
      <c r="O12">
        <v>11.63</v>
      </c>
      <c r="P12" t="s">
        <v>348</v>
      </c>
      <c r="Q12" t="s">
        <v>348</v>
      </c>
      <c r="R12" t="s">
        <v>348</v>
      </c>
      <c r="S12">
        <v>1.06</v>
      </c>
      <c r="T12" t="s">
        <v>348</v>
      </c>
      <c r="U12">
        <v>10.029999999999999</v>
      </c>
      <c r="V12">
        <v>14.45</v>
      </c>
      <c r="W12" t="s">
        <v>348</v>
      </c>
      <c r="X12" t="s">
        <v>348</v>
      </c>
      <c r="Y12">
        <v>1</v>
      </c>
      <c r="Z12">
        <v>4.0100000000000007</v>
      </c>
      <c r="AA12">
        <v>4.29</v>
      </c>
      <c r="AB12">
        <v>78710.61</v>
      </c>
      <c r="AC12">
        <v>20.03</v>
      </c>
      <c r="AD12" t="s">
        <v>348</v>
      </c>
      <c r="AE12" t="s">
        <v>348</v>
      </c>
      <c r="AF12">
        <v>6.35</v>
      </c>
      <c r="AG12" t="s">
        <v>348</v>
      </c>
      <c r="AH12" t="s">
        <v>348</v>
      </c>
      <c r="AI12">
        <v>38.299999999999997</v>
      </c>
      <c r="AJ12" t="s">
        <v>348</v>
      </c>
      <c r="AK12">
        <v>5.89</v>
      </c>
      <c r="AL12" t="s">
        <v>348</v>
      </c>
      <c r="AM12">
        <v>27.270000000000003</v>
      </c>
      <c r="AN12" t="s">
        <v>348</v>
      </c>
      <c r="AO12" t="s">
        <v>348</v>
      </c>
      <c r="AP12">
        <v>11.83</v>
      </c>
      <c r="AQ12">
        <v>8.06</v>
      </c>
      <c r="AR12" t="s">
        <v>348</v>
      </c>
      <c r="AS12" t="s">
        <v>348</v>
      </c>
      <c r="AT12">
        <v>20.98</v>
      </c>
      <c r="AU12" t="s">
        <v>348</v>
      </c>
      <c r="AV12" t="s">
        <v>348</v>
      </c>
      <c r="AW12">
        <v>1.22</v>
      </c>
      <c r="AX12" t="s">
        <v>348</v>
      </c>
      <c r="AY12" t="s">
        <v>348</v>
      </c>
      <c r="AZ12" t="s">
        <v>348</v>
      </c>
      <c r="BA12" t="s">
        <v>348</v>
      </c>
      <c r="BB12" t="s">
        <v>348</v>
      </c>
      <c r="BC12">
        <v>1.48</v>
      </c>
      <c r="BD12" t="s">
        <v>348</v>
      </c>
      <c r="BE12" t="s">
        <v>348</v>
      </c>
      <c r="BF12">
        <v>3.02</v>
      </c>
      <c r="BG12">
        <v>54.72</v>
      </c>
      <c r="BH12" t="s">
        <v>348</v>
      </c>
      <c r="BI12" t="s">
        <v>348</v>
      </c>
      <c r="BJ12" t="s">
        <v>348</v>
      </c>
      <c r="BK12" t="s">
        <v>348</v>
      </c>
      <c r="BL12" t="s">
        <v>348</v>
      </c>
      <c r="BM12" t="s">
        <v>348</v>
      </c>
      <c r="BN12">
        <v>22.05</v>
      </c>
      <c r="BO12" t="s">
        <v>348</v>
      </c>
      <c r="BP12">
        <v>2.5299999999999998</v>
      </c>
      <c r="BQ12" t="s">
        <v>348</v>
      </c>
      <c r="BR12" t="s">
        <v>348</v>
      </c>
      <c r="BS12" t="s">
        <v>348</v>
      </c>
      <c r="BT12" t="s">
        <v>348</v>
      </c>
      <c r="BU12" t="s">
        <v>348</v>
      </c>
      <c r="BV12" t="s">
        <v>348</v>
      </c>
      <c r="BW12" t="s">
        <v>348</v>
      </c>
      <c r="BX12" t="s">
        <v>348</v>
      </c>
      <c r="BY12" t="s">
        <v>348</v>
      </c>
      <c r="BZ12">
        <v>5.35</v>
      </c>
      <c r="CA12">
        <v>3.99</v>
      </c>
      <c r="CB12" t="s">
        <v>348</v>
      </c>
      <c r="CC12" t="s">
        <v>348</v>
      </c>
      <c r="CD12" t="s">
        <v>348</v>
      </c>
      <c r="CE12" t="s">
        <v>348</v>
      </c>
      <c r="CF12" t="s">
        <v>348</v>
      </c>
      <c r="CG12">
        <v>2</v>
      </c>
      <c r="CH12">
        <v>7</v>
      </c>
      <c r="CI12">
        <v>311</v>
      </c>
    </row>
    <row r="13" spans="1:87" x14ac:dyDescent="0.25">
      <c r="A13">
        <v>12</v>
      </c>
      <c r="B13" s="51" t="s">
        <v>241</v>
      </c>
      <c r="C13">
        <v>44577</v>
      </c>
      <c r="D13" t="s">
        <v>348</v>
      </c>
      <c r="E13" t="s">
        <v>348</v>
      </c>
      <c r="F13" t="s">
        <v>348</v>
      </c>
      <c r="G13">
        <v>1.91</v>
      </c>
      <c r="H13" t="s">
        <v>348</v>
      </c>
      <c r="I13" t="s">
        <v>348</v>
      </c>
      <c r="J13">
        <v>1.7</v>
      </c>
      <c r="K13" t="s">
        <v>348</v>
      </c>
      <c r="L13">
        <v>30.29</v>
      </c>
      <c r="M13">
        <v>49.410000000000004</v>
      </c>
      <c r="N13">
        <v>80.16</v>
      </c>
      <c r="O13">
        <v>8.8699999999999992</v>
      </c>
      <c r="P13" t="s">
        <v>348</v>
      </c>
      <c r="Q13" t="s">
        <v>348</v>
      </c>
      <c r="R13" t="s">
        <v>348</v>
      </c>
      <c r="S13">
        <v>1.08</v>
      </c>
      <c r="T13" t="s">
        <v>348</v>
      </c>
      <c r="U13" t="s">
        <v>348</v>
      </c>
      <c r="V13" t="s">
        <v>348</v>
      </c>
      <c r="W13" t="s">
        <v>348</v>
      </c>
      <c r="X13" t="s">
        <v>348</v>
      </c>
      <c r="Y13">
        <v>4.95</v>
      </c>
      <c r="Z13">
        <v>0.83000000000000007</v>
      </c>
      <c r="AA13" t="s">
        <v>348</v>
      </c>
      <c r="AB13">
        <v>242.88</v>
      </c>
      <c r="AC13">
        <v>12.31</v>
      </c>
      <c r="AD13">
        <v>5.8</v>
      </c>
      <c r="AE13" t="s">
        <v>348</v>
      </c>
      <c r="AF13" t="s">
        <v>348</v>
      </c>
      <c r="AG13" t="s">
        <v>348</v>
      </c>
      <c r="AH13" t="s">
        <v>348</v>
      </c>
      <c r="AI13">
        <v>157.19</v>
      </c>
      <c r="AJ13" t="s">
        <v>348</v>
      </c>
      <c r="AK13">
        <v>16.559999999999999</v>
      </c>
      <c r="AL13" t="s">
        <v>348</v>
      </c>
      <c r="AM13">
        <v>5.59</v>
      </c>
      <c r="AN13" t="s">
        <v>348</v>
      </c>
      <c r="AO13" t="s">
        <v>348</v>
      </c>
      <c r="AP13">
        <v>0.61</v>
      </c>
      <c r="AQ13">
        <v>4.63</v>
      </c>
      <c r="AR13" t="s">
        <v>348</v>
      </c>
      <c r="AS13" t="s">
        <v>348</v>
      </c>
      <c r="AT13" t="s">
        <v>348</v>
      </c>
      <c r="AU13" t="s">
        <v>348</v>
      </c>
      <c r="AV13" t="s">
        <v>348</v>
      </c>
      <c r="AW13">
        <v>4.57</v>
      </c>
      <c r="AX13" t="s">
        <v>348</v>
      </c>
      <c r="AY13" t="s">
        <v>348</v>
      </c>
      <c r="AZ13" t="s">
        <v>348</v>
      </c>
      <c r="BA13" t="s">
        <v>348</v>
      </c>
      <c r="BB13" t="s">
        <v>348</v>
      </c>
      <c r="BC13">
        <v>1.5099999999999998</v>
      </c>
      <c r="BD13" t="s">
        <v>348</v>
      </c>
      <c r="BE13" t="s">
        <v>348</v>
      </c>
      <c r="BF13">
        <v>33.520000000000003</v>
      </c>
      <c r="BG13" t="s">
        <v>348</v>
      </c>
      <c r="BH13" t="s">
        <v>348</v>
      </c>
      <c r="BI13" t="s">
        <v>348</v>
      </c>
      <c r="BJ13" t="s">
        <v>348</v>
      </c>
      <c r="BK13" t="s">
        <v>348</v>
      </c>
      <c r="BL13" t="s">
        <v>348</v>
      </c>
      <c r="BM13" t="s">
        <v>348</v>
      </c>
      <c r="BN13">
        <v>14.46</v>
      </c>
      <c r="BO13" t="s">
        <v>348</v>
      </c>
      <c r="BP13">
        <v>4.07</v>
      </c>
      <c r="BQ13" t="s">
        <v>348</v>
      </c>
      <c r="BR13" t="s">
        <v>348</v>
      </c>
      <c r="BS13" t="s">
        <v>348</v>
      </c>
      <c r="BT13" t="s">
        <v>348</v>
      </c>
      <c r="BU13" t="s">
        <v>348</v>
      </c>
      <c r="BV13" t="s">
        <v>348</v>
      </c>
      <c r="BW13" t="s">
        <v>348</v>
      </c>
      <c r="BX13" t="s">
        <v>348</v>
      </c>
      <c r="BY13" t="s">
        <v>348</v>
      </c>
      <c r="BZ13">
        <v>0.54</v>
      </c>
      <c r="CA13">
        <v>4.91</v>
      </c>
      <c r="CB13" t="s">
        <v>348</v>
      </c>
      <c r="CC13" t="s">
        <v>348</v>
      </c>
      <c r="CD13" t="s">
        <v>348</v>
      </c>
      <c r="CE13" t="s">
        <v>348</v>
      </c>
      <c r="CF13" t="s">
        <v>348</v>
      </c>
      <c r="CG13">
        <v>1</v>
      </c>
      <c r="CH13">
        <v>5</v>
      </c>
      <c r="CI13">
        <v>312</v>
      </c>
    </row>
    <row r="14" spans="1:87" x14ac:dyDescent="0.25">
      <c r="A14">
        <v>13</v>
      </c>
      <c r="B14" s="51" t="s">
        <v>244</v>
      </c>
      <c r="C14">
        <v>44577</v>
      </c>
      <c r="D14" t="s">
        <v>348</v>
      </c>
      <c r="E14" t="s">
        <v>348</v>
      </c>
      <c r="F14" t="s">
        <v>348</v>
      </c>
      <c r="G14" t="s">
        <v>348</v>
      </c>
      <c r="H14" t="s">
        <v>348</v>
      </c>
      <c r="I14" t="s">
        <v>348</v>
      </c>
      <c r="J14">
        <v>0.66</v>
      </c>
      <c r="K14" t="s">
        <v>348</v>
      </c>
      <c r="L14">
        <v>151.62</v>
      </c>
      <c r="M14" t="s">
        <v>348</v>
      </c>
      <c r="N14">
        <v>217.58</v>
      </c>
      <c r="O14">
        <v>48.21</v>
      </c>
      <c r="P14" t="s">
        <v>348</v>
      </c>
      <c r="Q14" t="s">
        <v>348</v>
      </c>
      <c r="R14">
        <v>12.75</v>
      </c>
      <c r="S14">
        <v>0.63</v>
      </c>
      <c r="T14" t="s">
        <v>348</v>
      </c>
      <c r="U14">
        <v>710.89</v>
      </c>
      <c r="V14" t="s">
        <v>348</v>
      </c>
      <c r="W14" t="s">
        <v>348</v>
      </c>
      <c r="X14" t="s">
        <v>348</v>
      </c>
      <c r="Y14">
        <v>11.93</v>
      </c>
      <c r="Z14">
        <v>6585.84</v>
      </c>
      <c r="AA14" t="s">
        <v>348</v>
      </c>
      <c r="AB14">
        <v>109.22</v>
      </c>
      <c r="AC14">
        <v>9.86</v>
      </c>
      <c r="AD14" t="s">
        <v>348</v>
      </c>
      <c r="AE14" t="s">
        <v>348</v>
      </c>
      <c r="AF14" t="s">
        <v>348</v>
      </c>
      <c r="AG14" t="s">
        <v>348</v>
      </c>
      <c r="AH14" t="s">
        <v>348</v>
      </c>
      <c r="AI14">
        <v>4918.03</v>
      </c>
      <c r="AJ14" t="s">
        <v>348</v>
      </c>
      <c r="AK14">
        <v>23.15</v>
      </c>
      <c r="AL14" t="s">
        <v>348</v>
      </c>
      <c r="AM14">
        <v>9.94</v>
      </c>
      <c r="AN14" t="s">
        <v>348</v>
      </c>
      <c r="AO14" t="s">
        <v>348</v>
      </c>
      <c r="AP14">
        <v>239.88</v>
      </c>
      <c r="AQ14">
        <v>3.17</v>
      </c>
      <c r="AR14" t="s">
        <v>348</v>
      </c>
      <c r="AS14" t="s">
        <v>348</v>
      </c>
      <c r="AT14">
        <v>10808.87</v>
      </c>
      <c r="AU14" t="s">
        <v>348</v>
      </c>
      <c r="AV14" t="s">
        <v>348</v>
      </c>
      <c r="AW14">
        <v>11574.01</v>
      </c>
      <c r="AX14" t="s">
        <v>348</v>
      </c>
      <c r="AY14" t="s">
        <v>348</v>
      </c>
      <c r="AZ14" t="s">
        <v>348</v>
      </c>
      <c r="BA14" t="s">
        <v>348</v>
      </c>
      <c r="BB14" t="s">
        <v>348</v>
      </c>
      <c r="BC14">
        <v>1.23</v>
      </c>
      <c r="BD14" t="s">
        <v>348</v>
      </c>
      <c r="BE14" t="s">
        <v>348</v>
      </c>
      <c r="BF14">
        <v>5.67</v>
      </c>
      <c r="BG14" t="s">
        <v>348</v>
      </c>
      <c r="BH14" t="s">
        <v>348</v>
      </c>
      <c r="BI14" t="s">
        <v>348</v>
      </c>
      <c r="BJ14" t="s">
        <v>348</v>
      </c>
      <c r="BK14" t="s">
        <v>348</v>
      </c>
      <c r="BL14" t="s">
        <v>348</v>
      </c>
      <c r="BM14" t="s">
        <v>348</v>
      </c>
      <c r="BN14">
        <v>12.21</v>
      </c>
      <c r="BO14" t="s">
        <v>348</v>
      </c>
      <c r="BP14">
        <v>4.13</v>
      </c>
      <c r="BQ14" t="s">
        <v>348</v>
      </c>
      <c r="BR14" t="s">
        <v>348</v>
      </c>
      <c r="BS14" t="s">
        <v>348</v>
      </c>
      <c r="BT14" t="s">
        <v>348</v>
      </c>
      <c r="BU14" t="s">
        <v>348</v>
      </c>
      <c r="BV14" t="s">
        <v>348</v>
      </c>
      <c r="BW14" t="s">
        <v>348</v>
      </c>
      <c r="BX14" t="s">
        <v>348</v>
      </c>
      <c r="BY14" t="s">
        <v>348</v>
      </c>
      <c r="BZ14" t="s">
        <v>348</v>
      </c>
      <c r="CA14">
        <v>6.8000000000000007</v>
      </c>
      <c r="CB14" t="s">
        <v>348</v>
      </c>
      <c r="CC14" t="s">
        <v>348</v>
      </c>
      <c r="CD14" t="s">
        <v>348</v>
      </c>
      <c r="CE14" t="s">
        <v>348</v>
      </c>
      <c r="CF14" t="s">
        <v>348</v>
      </c>
      <c r="CG14">
        <v>1</v>
      </c>
      <c r="CH14">
        <v>5</v>
      </c>
      <c r="CI14">
        <v>312</v>
      </c>
    </row>
    <row r="15" spans="1:87" x14ac:dyDescent="0.25">
      <c r="A15">
        <v>14</v>
      </c>
      <c r="B15" s="51" t="s">
        <v>188</v>
      </c>
      <c r="C15">
        <v>44577</v>
      </c>
      <c r="D15" t="s">
        <v>348</v>
      </c>
      <c r="E15" t="s">
        <v>348</v>
      </c>
      <c r="F15" t="s">
        <v>348</v>
      </c>
      <c r="G15">
        <v>11.84</v>
      </c>
      <c r="H15">
        <v>14.87</v>
      </c>
      <c r="I15" t="s">
        <v>348</v>
      </c>
      <c r="J15">
        <v>3.68</v>
      </c>
      <c r="K15" t="s">
        <v>348</v>
      </c>
      <c r="L15">
        <v>302.27999999999997</v>
      </c>
      <c r="M15" t="s">
        <v>348</v>
      </c>
      <c r="N15">
        <v>721.16</v>
      </c>
      <c r="O15">
        <v>145.86000000000001</v>
      </c>
      <c r="P15" t="s">
        <v>348</v>
      </c>
      <c r="Q15" t="s">
        <v>348</v>
      </c>
      <c r="R15">
        <v>59.97</v>
      </c>
      <c r="S15">
        <v>0.57999999999999996</v>
      </c>
      <c r="T15" t="s">
        <v>348</v>
      </c>
      <c r="U15">
        <v>1475.69</v>
      </c>
      <c r="V15" t="s">
        <v>348</v>
      </c>
      <c r="W15" t="s">
        <v>348</v>
      </c>
      <c r="X15" t="s">
        <v>348</v>
      </c>
      <c r="Y15">
        <v>9.1499999999999986</v>
      </c>
      <c r="Z15">
        <v>6032.19</v>
      </c>
      <c r="AA15" t="s">
        <v>348</v>
      </c>
      <c r="AB15">
        <v>28.59</v>
      </c>
      <c r="AC15">
        <v>7.72</v>
      </c>
      <c r="AD15" t="s">
        <v>348</v>
      </c>
      <c r="AE15" t="s">
        <v>348</v>
      </c>
      <c r="AF15">
        <v>0.33</v>
      </c>
      <c r="AG15" t="s">
        <v>348</v>
      </c>
      <c r="AH15" t="s">
        <v>348</v>
      </c>
      <c r="AI15">
        <v>10621.34</v>
      </c>
      <c r="AJ15" t="s">
        <v>348</v>
      </c>
      <c r="AK15">
        <v>54.87</v>
      </c>
      <c r="AL15" t="s">
        <v>348</v>
      </c>
      <c r="AM15">
        <v>21.76</v>
      </c>
      <c r="AN15" t="s">
        <v>348</v>
      </c>
      <c r="AO15" t="s">
        <v>348</v>
      </c>
      <c r="AP15">
        <v>116.07</v>
      </c>
      <c r="AQ15">
        <v>16.669999999999998</v>
      </c>
      <c r="AR15" t="s">
        <v>348</v>
      </c>
      <c r="AS15">
        <v>5.25</v>
      </c>
      <c r="AT15">
        <v>3992</v>
      </c>
      <c r="AU15" t="s">
        <v>348</v>
      </c>
      <c r="AV15" t="s">
        <v>348</v>
      </c>
      <c r="AW15">
        <v>4125.6899999999996</v>
      </c>
      <c r="AX15" t="s">
        <v>348</v>
      </c>
      <c r="AY15" t="s">
        <v>348</v>
      </c>
      <c r="AZ15" t="s">
        <v>348</v>
      </c>
      <c r="BA15" t="s">
        <v>348</v>
      </c>
      <c r="BB15" t="s">
        <v>348</v>
      </c>
      <c r="BC15">
        <v>0.79</v>
      </c>
      <c r="BD15" t="s">
        <v>348</v>
      </c>
      <c r="BE15" t="s">
        <v>348</v>
      </c>
      <c r="BF15" t="s">
        <v>348</v>
      </c>
      <c r="BG15" t="s">
        <v>348</v>
      </c>
      <c r="BH15" t="s">
        <v>348</v>
      </c>
      <c r="BI15" t="s">
        <v>348</v>
      </c>
      <c r="BJ15" t="s">
        <v>348</v>
      </c>
      <c r="BK15" t="s">
        <v>348</v>
      </c>
      <c r="BL15" t="s">
        <v>348</v>
      </c>
      <c r="BM15" t="s">
        <v>348</v>
      </c>
      <c r="BN15">
        <v>12.8</v>
      </c>
      <c r="BO15" t="s">
        <v>348</v>
      </c>
      <c r="BP15">
        <v>4.1100000000000003</v>
      </c>
      <c r="BQ15">
        <v>0.82</v>
      </c>
      <c r="BR15" t="s">
        <v>348</v>
      </c>
      <c r="BS15" t="s">
        <v>348</v>
      </c>
      <c r="BT15" t="s">
        <v>348</v>
      </c>
      <c r="BU15" t="s">
        <v>348</v>
      </c>
      <c r="BV15" t="s">
        <v>348</v>
      </c>
      <c r="BW15" t="s">
        <v>348</v>
      </c>
      <c r="BX15" t="s">
        <v>348</v>
      </c>
      <c r="BY15" t="s">
        <v>348</v>
      </c>
      <c r="BZ15">
        <v>10.77</v>
      </c>
      <c r="CA15">
        <v>130.96</v>
      </c>
      <c r="CB15" t="s">
        <v>348</v>
      </c>
      <c r="CC15" t="s">
        <v>348</v>
      </c>
      <c r="CD15" t="s">
        <v>348</v>
      </c>
      <c r="CE15" t="s">
        <v>348</v>
      </c>
      <c r="CF15" t="s">
        <v>348</v>
      </c>
      <c r="CG15">
        <v>1</v>
      </c>
      <c r="CH15">
        <v>5</v>
      </c>
      <c r="CI15">
        <v>312</v>
      </c>
    </row>
    <row r="16" spans="1:87" x14ac:dyDescent="0.25">
      <c r="A16">
        <v>15</v>
      </c>
      <c r="B16" s="51" t="s">
        <v>179</v>
      </c>
      <c r="C16">
        <v>44577</v>
      </c>
      <c r="D16" t="s">
        <v>348</v>
      </c>
      <c r="E16" t="s">
        <v>348</v>
      </c>
      <c r="F16" t="s">
        <v>348</v>
      </c>
      <c r="G16">
        <v>3.62</v>
      </c>
      <c r="H16">
        <v>13.65</v>
      </c>
      <c r="I16">
        <v>19.899999999999999</v>
      </c>
      <c r="J16">
        <v>9.5</v>
      </c>
      <c r="K16" t="s">
        <v>348</v>
      </c>
      <c r="L16">
        <v>134.44</v>
      </c>
      <c r="M16">
        <v>2799.52</v>
      </c>
      <c r="N16">
        <v>303.01</v>
      </c>
      <c r="O16">
        <v>61.96</v>
      </c>
      <c r="P16" t="s">
        <v>348</v>
      </c>
      <c r="Q16" t="s">
        <v>348</v>
      </c>
      <c r="R16">
        <v>16.66</v>
      </c>
      <c r="S16">
        <v>0.62</v>
      </c>
      <c r="T16" t="s">
        <v>348</v>
      </c>
      <c r="U16">
        <v>100.02</v>
      </c>
      <c r="V16" t="s">
        <v>348</v>
      </c>
      <c r="W16" t="s">
        <v>348</v>
      </c>
      <c r="X16" t="s">
        <v>348</v>
      </c>
      <c r="Y16">
        <v>10.82</v>
      </c>
      <c r="Z16">
        <v>1773.94</v>
      </c>
      <c r="AA16" t="s">
        <v>348</v>
      </c>
      <c r="AB16">
        <v>106.66</v>
      </c>
      <c r="AC16">
        <v>6.93</v>
      </c>
      <c r="AD16" t="s">
        <v>348</v>
      </c>
      <c r="AE16" t="s">
        <v>348</v>
      </c>
      <c r="AF16" t="s">
        <v>348</v>
      </c>
      <c r="AG16" t="s">
        <v>348</v>
      </c>
      <c r="AH16" t="s">
        <v>348</v>
      </c>
      <c r="AI16">
        <v>6088.54</v>
      </c>
      <c r="AJ16" t="s">
        <v>348</v>
      </c>
      <c r="AK16">
        <v>47.19</v>
      </c>
      <c r="AL16" t="s">
        <v>348</v>
      </c>
      <c r="AM16">
        <v>14.879999999999999</v>
      </c>
      <c r="AN16" t="s">
        <v>348</v>
      </c>
      <c r="AO16" t="s">
        <v>348</v>
      </c>
      <c r="AP16">
        <v>199.22</v>
      </c>
      <c r="AQ16">
        <v>20.049999999999997</v>
      </c>
      <c r="AR16" t="s">
        <v>348</v>
      </c>
      <c r="AS16" t="s">
        <v>348</v>
      </c>
      <c r="AT16">
        <v>3870.35</v>
      </c>
      <c r="AU16" t="s">
        <v>348</v>
      </c>
      <c r="AV16" t="s">
        <v>348</v>
      </c>
      <c r="AW16">
        <v>993.72</v>
      </c>
      <c r="AX16" t="s">
        <v>348</v>
      </c>
      <c r="AY16" t="s">
        <v>348</v>
      </c>
      <c r="AZ16" t="s">
        <v>348</v>
      </c>
      <c r="BA16" t="s">
        <v>348</v>
      </c>
      <c r="BB16" t="s">
        <v>348</v>
      </c>
      <c r="BC16">
        <v>3.19</v>
      </c>
      <c r="BD16" t="s">
        <v>348</v>
      </c>
      <c r="BE16" t="s">
        <v>348</v>
      </c>
      <c r="BF16">
        <v>26.8</v>
      </c>
      <c r="BG16" t="s">
        <v>348</v>
      </c>
      <c r="BH16" t="s">
        <v>348</v>
      </c>
      <c r="BI16" t="s">
        <v>348</v>
      </c>
      <c r="BJ16" t="s">
        <v>348</v>
      </c>
      <c r="BK16" t="s">
        <v>348</v>
      </c>
      <c r="BL16" t="s">
        <v>348</v>
      </c>
      <c r="BM16" t="s">
        <v>348</v>
      </c>
      <c r="BN16">
        <v>41.29</v>
      </c>
      <c r="BO16" t="s">
        <v>348</v>
      </c>
      <c r="BP16">
        <v>2.84</v>
      </c>
      <c r="BQ16" t="s">
        <v>348</v>
      </c>
      <c r="BR16" t="s">
        <v>348</v>
      </c>
      <c r="BS16" t="s">
        <v>348</v>
      </c>
      <c r="BT16" t="s">
        <v>348</v>
      </c>
      <c r="BU16" t="s">
        <v>348</v>
      </c>
      <c r="BV16" t="s">
        <v>348</v>
      </c>
      <c r="BW16" t="s">
        <v>348</v>
      </c>
      <c r="BX16" t="s">
        <v>348</v>
      </c>
      <c r="BY16" t="s">
        <v>348</v>
      </c>
      <c r="BZ16">
        <v>9.39</v>
      </c>
      <c r="CA16">
        <v>16.479999999999997</v>
      </c>
      <c r="CB16" t="s">
        <v>348</v>
      </c>
      <c r="CC16" t="s">
        <v>348</v>
      </c>
      <c r="CD16" t="s">
        <v>348</v>
      </c>
      <c r="CE16" t="s">
        <v>348</v>
      </c>
      <c r="CF16" t="s">
        <v>348</v>
      </c>
      <c r="CG16">
        <v>1</v>
      </c>
      <c r="CH16">
        <v>5</v>
      </c>
      <c r="CI16">
        <v>312</v>
      </c>
    </row>
    <row r="17" spans="1:87" ht="14.4" thickBot="1" x14ac:dyDescent="0.3">
      <c r="A17">
        <v>16</v>
      </c>
      <c r="B17" s="51" t="s">
        <v>329</v>
      </c>
      <c r="C17">
        <v>44577</v>
      </c>
      <c r="D17" t="s">
        <v>348</v>
      </c>
      <c r="E17" t="s">
        <v>348</v>
      </c>
      <c r="F17" t="s">
        <v>348</v>
      </c>
      <c r="G17">
        <v>4.37</v>
      </c>
      <c r="H17">
        <v>6.09</v>
      </c>
      <c r="I17">
        <v>13.59</v>
      </c>
      <c r="J17">
        <v>2.79</v>
      </c>
      <c r="K17" t="s">
        <v>348</v>
      </c>
      <c r="L17">
        <v>29.23</v>
      </c>
      <c r="M17" t="s">
        <v>348</v>
      </c>
      <c r="N17">
        <v>20.45</v>
      </c>
      <c r="O17">
        <v>3.21</v>
      </c>
      <c r="P17" t="s">
        <v>348</v>
      </c>
      <c r="Q17" t="s">
        <v>348</v>
      </c>
      <c r="R17" t="s">
        <v>348</v>
      </c>
      <c r="S17">
        <v>0.59</v>
      </c>
      <c r="T17" t="s">
        <v>348</v>
      </c>
      <c r="U17">
        <v>5.73</v>
      </c>
      <c r="V17" t="s">
        <v>348</v>
      </c>
      <c r="W17" t="s">
        <v>348</v>
      </c>
      <c r="X17" t="s">
        <v>348</v>
      </c>
      <c r="Y17">
        <v>2.4500000000000002</v>
      </c>
      <c r="Z17">
        <v>5.24</v>
      </c>
      <c r="AA17" t="s">
        <v>348</v>
      </c>
      <c r="AB17">
        <v>203.14</v>
      </c>
      <c r="AC17">
        <v>3.82</v>
      </c>
      <c r="AD17" t="s">
        <v>348</v>
      </c>
      <c r="AE17" t="s">
        <v>348</v>
      </c>
      <c r="AF17" t="s">
        <v>348</v>
      </c>
      <c r="AG17" t="s">
        <v>348</v>
      </c>
      <c r="AH17" t="s">
        <v>348</v>
      </c>
      <c r="AI17">
        <v>69.349999999999994</v>
      </c>
      <c r="AJ17" t="s">
        <v>348</v>
      </c>
      <c r="AK17" t="s">
        <v>348</v>
      </c>
      <c r="AL17" t="s">
        <v>348</v>
      </c>
      <c r="AM17">
        <v>9.2200000000000006</v>
      </c>
      <c r="AN17" t="s">
        <v>348</v>
      </c>
      <c r="AO17" t="s">
        <v>348</v>
      </c>
      <c r="AP17">
        <v>6.26</v>
      </c>
      <c r="AQ17">
        <v>5.13</v>
      </c>
      <c r="AR17" t="s">
        <v>348</v>
      </c>
      <c r="AS17" t="s">
        <v>348</v>
      </c>
      <c r="AT17" t="s">
        <v>348</v>
      </c>
      <c r="AU17" t="s">
        <v>348</v>
      </c>
      <c r="AV17" t="s">
        <v>348</v>
      </c>
      <c r="AW17">
        <v>1.43</v>
      </c>
      <c r="AX17" t="s">
        <v>348</v>
      </c>
      <c r="AY17" t="s">
        <v>348</v>
      </c>
      <c r="AZ17" t="s">
        <v>348</v>
      </c>
      <c r="BA17" t="s">
        <v>348</v>
      </c>
      <c r="BB17" t="s">
        <v>348</v>
      </c>
      <c r="BC17">
        <v>0.44999999999999996</v>
      </c>
      <c r="BD17" t="s">
        <v>348</v>
      </c>
      <c r="BE17" t="s">
        <v>348</v>
      </c>
      <c r="BF17" t="s">
        <v>348</v>
      </c>
      <c r="BG17">
        <v>4.5</v>
      </c>
      <c r="BH17" t="s">
        <v>348</v>
      </c>
      <c r="BI17" t="s">
        <v>348</v>
      </c>
      <c r="BJ17" t="s">
        <v>348</v>
      </c>
      <c r="BK17" t="s">
        <v>348</v>
      </c>
      <c r="BL17" t="s">
        <v>348</v>
      </c>
      <c r="BM17" t="s">
        <v>348</v>
      </c>
      <c r="BN17">
        <v>5.85</v>
      </c>
      <c r="BO17" t="s">
        <v>348</v>
      </c>
      <c r="BP17" s="26">
        <v>1.34</v>
      </c>
      <c r="BQ17" s="26" t="s">
        <v>348</v>
      </c>
      <c r="BR17" s="26" t="s">
        <v>348</v>
      </c>
      <c r="BS17" s="26" t="s">
        <v>348</v>
      </c>
      <c r="BT17" s="26" t="s">
        <v>348</v>
      </c>
      <c r="BU17" s="26" t="s">
        <v>348</v>
      </c>
      <c r="BV17" s="26" t="s">
        <v>348</v>
      </c>
      <c r="BW17" s="26" t="s">
        <v>348</v>
      </c>
      <c r="BX17" s="26" t="s">
        <v>348</v>
      </c>
      <c r="BY17" s="26" t="s">
        <v>348</v>
      </c>
      <c r="BZ17" s="26">
        <v>4.9800000000000004</v>
      </c>
      <c r="CA17" s="26">
        <v>7.2000000000000011</v>
      </c>
      <c r="CB17" s="26" t="s">
        <v>348</v>
      </c>
      <c r="CC17" s="26" t="s">
        <v>348</v>
      </c>
      <c r="CD17" t="s">
        <v>348</v>
      </c>
      <c r="CE17" t="s">
        <v>348</v>
      </c>
      <c r="CF17" t="s">
        <v>348</v>
      </c>
      <c r="CG17">
        <v>1</v>
      </c>
      <c r="CH17">
        <v>7</v>
      </c>
      <c r="CI17">
        <v>312</v>
      </c>
    </row>
    <row r="18" spans="1:87" x14ac:dyDescent="0.25">
      <c r="A18">
        <v>17</v>
      </c>
      <c r="B18" s="51" t="s">
        <v>229</v>
      </c>
      <c r="C18">
        <v>44577.694444444445</v>
      </c>
      <c r="D18">
        <v>271.60000000000002</v>
      </c>
      <c r="E18">
        <v>0.81</v>
      </c>
      <c r="F18">
        <v>0.38</v>
      </c>
      <c r="G18">
        <v>0.95</v>
      </c>
      <c r="H18" t="s">
        <v>348</v>
      </c>
      <c r="I18" t="s">
        <v>348</v>
      </c>
      <c r="J18">
        <v>5.92</v>
      </c>
      <c r="K18">
        <v>8.93</v>
      </c>
      <c r="L18">
        <v>22.79</v>
      </c>
      <c r="M18">
        <v>801.39</v>
      </c>
      <c r="N18">
        <v>22.74</v>
      </c>
      <c r="O18">
        <v>2.78</v>
      </c>
      <c r="P18">
        <v>0.79</v>
      </c>
      <c r="Q18">
        <v>1.52</v>
      </c>
      <c r="R18">
        <v>21.76</v>
      </c>
      <c r="S18">
        <v>4.45</v>
      </c>
      <c r="T18" t="s">
        <v>348</v>
      </c>
      <c r="U18">
        <v>15.14</v>
      </c>
      <c r="V18" t="s">
        <v>348</v>
      </c>
      <c r="W18" t="s">
        <v>348</v>
      </c>
      <c r="X18">
        <v>12.72</v>
      </c>
      <c r="Y18">
        <v>3.7499999999999991</v>
      </c>
      <c r="Z18">
        <v>9.2299999999999986</v>
      </c>
      <c r="AA18">
        <v>8.8000000000000007</v>
      </c>
      <c r="AB18">
        <v>268.5</v>
      </c>
      <c r="AC18">
        <v>56.99</v>
      </c>
      <c r="AD18">
        <v>10.25</v>
      </c>
      <c r="AE18" t="s">
        <v>348</v>
      </c>
      <c r="AF18" t="s">
        <v>348</v>
      </c>
      <c r="AG18">
        <v>8.73</v>
      </c>
      <c r="AH18" t="s">
        <v>348</v>
      </c>
      <c r="AI18">
        <v>136.94</v>
      </c>
      <c r="AJ18">
        <v>2.2799999999999998</v>
      </c>
      <c r="AK18">
        <v>5.53</v>
      </c>
      <c r="AL18" t="s">
        <v>348</v>
      </c>
      <c r="AM18">
        <v>14.15</v>
      </c>
      <c r="AN18" t="s">
        <v>348</v>
      </c>
      <c r="AO18" t="s">
        <v>348</v>
      </c>
      <c r="AP18">
        <v>24.59</v>
      </c>
      <c r="AQ18">
        <v>78.149999999999991</v>
      </c>
      <c r="AR18" t="s">
        <v>348</v>
      </c>
      <c r="AS18" t="s">
        <v>348</v>
      </c>
      <c r="AT18">
        <v>9.48</v>
      </c>
      <c r="AU18" t="s">
        <v>348</v>
      </c>
      <c r="AV18">
        <v>12.19</v>
      </c>
      <c r="AW18">
        <v>0.13</v>
      </c>
      <c r="AX18" t="s">
        <v>348</v>
      </c>
      <c r="AY18" t="s">
        <v>348</v>
      </c>
      <c r="AZ18" t="s">
        <v>348</v>
      </c>
      <c r="BA18">
        <v>13.52</v>
      </c>
      <c r="BB18" t="s">
        <v>348</v>
      </c>
      <c r="BC18">
        <v>7.1999999999999993</v>
      </c>
      <c r="BD18" t="s">
        <v>348</v>
      </c>
      <c r="BE18" t="s">
        <v>348</v>
      </c>
      <c r="BF18">
        <v>2.2799999999999998</v>
      </c>
      <c r="BG18" t="s">
        <v>348</v>
      </c>
      <c r="BH18" t="s">
        <v>348</v>
      </c>
      <c r="BI18" t="s">
        <v>348</v>
      </c>
      <c r="BJ18" t="s">
        <v>348</v>
      </c>
      <c r="BK18">
        <v>2.23</v>
      </c>
      <c r="BL18">
        <v>1.52</v>
      </c>
      <c r="BM18" t="s">
        <v>348</v>
      </c>
      <c r="BN18">
        <v>8.09</v>
      </c>
      <c r="BO18" t="s">
        <v>348</v>
      </c>
      <c r="BP18">
        <v>48.23</v>
      </c>
      <c r="BQ18" t="s">
        <v>348</v>
      </c>
      <c r="BR18">
        <v>8.5299999999999994</v>
      </c>
      <c r="BS18" t="s">
        <v>348</v>
      </c>
      <c r="BT18" t="s">
        <v>348</v>
      </c>
      <c r="BU18" t="s">
        <v>348</v>
      </c>
      <c r="BV18" t="s">
        <v>348</v>
      </c>
      <c r="BW18">
        <v>0.57999999999999996</v>
      </c>
      <c r="BX18">
        <v>63.61</v>
      </c>
      <c r="BY18">
        <v>17.010000000000002</v>
      </c>
      <c r="BZ18" t="s">
        <v>348</v>
      </c>
      <c r="CA18">
        <v>8.7200000000000006</v>
      </c>
      <c r="CB18" t="s">
        <v>348</v>
      </c>
      <c r="CC18" t="s">
        <v>348</v>
      </c>
      <c r="CD18" t="s">
        <v>348</v>
      </c>
      <c r="CE18">
        <v>2.21</v>
      </c>
      <c r="CF18" t="s">
        <v>348</v>
      </c>
      <c r="CG18">
        <v>3</v>
      </c>
      <c r="CH18">
        <v>8</v>
      </c>
      <c r="CI18">
        <v>4</v>
      </c>
    </row>
    <row r="19" spans="1:87" x14ac:dyDescent="0.25">
      <c r="A19">
        <v>18</v>
      </c>
      <c r="B19" s="51" t="s">
        <v>232</v>
      </c>
      <c r="C19">
        <v>44586.729166666664</v>
      </c>
      <c r="D19">
        <v>44.91</v>
      </c>
      <c r="E19" t="s">
        <v>348</v>
      </c>
      <c r="F19" t="s">
        <v>348</v>
      </c>
      <c r="G19" t="s">
        <v>348</v>
      </c>
      <c r="H19" t="s">
        <v>348</v>
      </c>
      <c r="I19" t="s">
        <v>348</v>
      </c>
      <c r="J19" t="s">
        <v>348</v>
      </c>
      <c r="K19" t="s">
        <v>348</v>
      </c>
      <c r="L19" t="s">
        <v>348</v>
      </c>
      <c r="M19" t="s">
        <v>348</v>
      </c>
      <c r="N19">
        <v>10.47</v>
      </c>
      <c r="O19">
        <v>2.1</v>
      </c>
      <c r="P19" t="s">
        <v>348</v>
      </c>
      <c r="Q19" t="s">
        <v>348</v>
      </c>
      <c r="R19" t="s">
        <v>348</v>
      </c>
      <c r="S19">
        <v>0.36</v>
      </c>
      <c r="T19" t="s">
        <v>348</v>
      </c>
      <c r="U19" t="s">
        <v>348</v>
      </c>
      <c r="V19" t="s">
        <v>348</v>
      </c>
      <c r="W19" t="s">
        <v>348</v>
      </c>
      <c r="X19" t="s">
        <v>348</v>
      </c>
      <c r="Y19" t="s">
        <v>348</v>
      </c>
      <c r="Z19" t="s">
        <v>348</v>
      </c>
      <c r="AA19" t="s">
        <v>348</v>
      </c>
      <c r="AB19">
        <v>523.9</v>
      </c>
      <c r="AC19" t="s">
        <v>348</v>
      </c>
      <c r="AD19" t="s">
        <v>348</v>
      </c>
      <c r="AE19" t="s">
        <v>348</v>
      </c>
      <c r="AF19" t="s">
        <v>348</v>
      </c>
      <c r="AG19" t="s">
        <v>348</v>
      </c>
      <c r="AH19" t="s">
        <v>348</v>
      </c>
      <c r="AI19">
        <v>6</v>
      </c>
      <c r="AJ19" t="s">
        <v>348</v>
      </c>
      <c r="AK19" t="s">
        <v>348</v>
      </c>
      <c r="AL19" t="s">
        <v>348</v>
      </c>
      <c r="AM19">
        <v>0.12</v>
      </c>
      <c r="AN19" t="s">
        <v>348</v>
      </c>
      <c r="AO19" t="s">
        <v>348</v>
      </c>
      <c r="AP19">
        <v>3.59</v>
      </c>
      <c r="AQ19">
        <v>0.81</v>
      </c>
      <c r="AR19" t="s">
        <v>348</v>
      </c>
      <c r="AS19" t="s">
        <v>348</v>
      </c>
      <c r="AT19" t="s">
        <v>348</v>
      </c>
      <c r="AU19" t="s">
        <v>348</v>
      </c>
      <c r="AV19" t="s">
        <v>348</v>
      </c>
      <c r="AW19" t="s">
        <v>348</v>
      </c>
      <c r="AX19" t="s">
        <v>348</v>
      </c>
      <c r="AY19" t="s">
        <v>348</v>
      </c>
      <c r="AZ19" t="s">
        <v>348</v>
      </c>
      <c r="BA19" t="s">
        <v>348</v>
      </c>
      <c r="BB19" t="s">
        <v>348</v>
      </c>
      <c r="BC19">
        <v>1.1000000000000001</v>
      </c>
      <c r="BD19" t="s">
        <v>348</v>
      </c>
      <c r="BE19" t="s">
        <v>348</v>
      </c>
      <c r="BF19">
        <v>91.97</v>
      </c>
      <c r="BG19" t="s">
        <v>348</v>
      </c>
      <c r="BH19" t="s">
        <v>348</v>
      </c>
      <c r="BI19" t="s">
        <v>348</v>
      </c>
      <c r="BJ19" t="s">
        <v>348</v>
      </c>
      <c r="BK19" t="s">
        <v>348</v>
      </c>
      <c r="BL19" t="s">
        <v>348</v>
      </c>
      <c r="BM19" t="s">
        <v>348</v>
      </c>
      <c r="BN19" t="s">
        <v>348</v>
      </c>
      <c r="BO19" t="s">
        <v>348</v>
      </c>
      <c r="BP19" t="s">
        <v>348</v>
      </c>
      <c r="BQ19" t="s">
        <v>348</v>
      </c>
      <c r="BR19" t="s">
        <v>348</v>
      </c>
      <c r="BS19" t="s">
        <v>348</v>
      </c>
      <c r="BT19" t="s">
        <v>348</v>
      </c>
      <c r="BU19" t="s">
        <v>348</v>
      </c>
      <c r="BV19" t="s">
        <v>348</v>
      </c>
      <c r="BW19" t="s">
        <v>348</v>
      </c>
      <c r="BX19">
        <v>11.13</v>
      </c>
      <c r="BY19" t="s">
        <v>348</v>
      </c>
      <c r="BZ19" t="s">
        <v>348</v>
      </c>
      <c r="CA19">
        <v>10.01</v>
      </c>
      <c r="CB19" t="s">
        <v>348</v>
      </c>
      <c r="CC19" t="s">
        <v>348</v>
      </c>
      <c r="CD19" t="s">
        <v>348</v>
      </c>
      <c r="CE19" t="s">
        <v>348</v>
      </c>
      <c r="CF19" t="s">
        <v>348</v>
      </c>
      <c r="CG19">
        <v>2</v>
      </c>
      <c r="CH19">
        <v>2</v>
      </c>
      <c r="CI19">
        <v>21</v>
      </c>
    </row>
    <row r="20" spans="1:87" x14ac:dyDescent="0.25">
      <c r="A20">
        <v>19</v>
      </c>
      <c r="B20" s="51" t="s">
        <v>415</v>
      </c>
      <c r="C20">
        <v>44595.65625</v>
      </c>
      <c r="D20">
        <v>7.02</v>
      </c>
      <c r="E20" t="s">
        <v>348</v>
      </c>
      <c r="F20" t="s">
        <v>348</v>
      </c>
      <c r="G20">
        <v>30.95</v>
      </c>
      <c r="H20">
        <v>127.1</v>
      </c>
      <c r="I20">
        <v>86.47</v>
      </c>
      <c r="J20">
        <v>0.63</v>
      </c>
      <c r="K20" t="s">
        <v>348</v>
      </c>
      <c r="L20">
        <v>64.05</v>
      </c>
      <c r="M20">
        <v>39.300000000000004</v>
      </c>
      <c r="N20">
        <v>1278.8900000000001</v>
      </c>
      <c r="O20">
        <v>305.54000000000002</v>
      </c>
      <c r="P20" t="s">
        <v>348</v>
      </c>
      <c r="Q20" t="s">
        <v>348</v>
      </c>
      <c r="R20">
        <v>58.04</v>
      </c>
      <c r="S20" t="s">
        <v>348</v>
      </c>
      <c r="T20" t="s">
        <v>348</v>
      </c>
      <c r="U20">
        <v>468.36</v>
      </c>
      <c r="V20" t="s">
        <v>348</v>
      </c>
      <c r="W20" t="s">
        <v>348</v>
      </c>
      <c r="X20" t="s">
        <v>348</v>
      </c>
      <c r="Y20">
        <v>5.9300000000000006</v>
      </c>
      <c r="Z20">
        <v>2.71</v>
      </c>
      <c r="AA20" t="s">
        <v>348</v>
      </c>
      <c r="AB20">
        <v>30.72</v>
      </c>
      <c r="AC20" t="s">
        <v>348</v>
      </c>
      <c r="AD20" t="s">
        <v>348</v>
      </c>
      <c r="AE20">
        <v>19.79</v>
      </c>
      <c r="AF20" t="s">
        <v>348</v>
      </c>
      <c r="AG20" t="s">
        <v>348</v>
      </c>
      <c r="AH20">
        <v>1.2</v>
      </c>
      <c r="AI20">
        <v>1016.73</v>
      </c>
      <c r="AJ20" t="s">
        <v>348</v>
      </c>
      <c r="AK20">
        <v>130.97</v>
      </c>
      <c r="AL20" t="s">
        <v>348</v>
      </c>
      <c r="AM20">
        <v>7.82</v>
      </c>
      <c r="AN20" t="s">
        <v>348</v>
      </c>
      <c r="AO20" t="s">
        <v>348</v>
      </c>
      <c r="AP20">
        <v>747.32</v>
      </c>
      <c r="AQ20">
        <v>15.9</v>
      </c>
      <c r="AR20" t="s">
        <v>348</v>
      </c>
      <c r="AS20" t="s">
        <v>348</v>
      </c>
      <c r="AT20">
        <v>13.8</v>
      </c>
      <c r="AU20" t="s">
        <v>348</v>
      </c>
      <c r="AV20" t="s">
        <v>348</v>
      </c>
      <c r="AW20">
        <v>0.94</v>
      </c>
      <c r="AX20" t="s">
        <v>348</v>
      </c>
      <c r="AY20" t="s">
        <v>348</v>
      </c>
      <c r="AZ20">
        <v>0.4</v>
      </c>
      <c r="BA20" t="s">
        <v>348</v>
      </c>
      <c r="BB20" t="s">
        <v>348</v>
      </c>
      <c r="BC20">
        <v>2.65</v>
      </c>
      <c r="BD20" t="s">
        <v>348</v>
      </c>
      <c r="BE20" t="s">
        <v>348</v>
      </c>
      <c r="BF20" t="s">
        <v>4</v>
      </c>
      <c r="BG20" t="s">
        <v>348</v>
      </c>
      <c r="BH20" t="s">
        <v>348</v>
      </c>
      <c r="BI20" t="s">
        <v>348</v>
      </c>
      <c r="BJ20" t="s">
        <v>348</v>
      </c>
      <c r="BK20">
        <v>1.85</v>
      </c>
      <c r="BL20" t="s">
        <v>348</v>
      </c>
      <c r="BM20" t="s">
        <v>348</v>
      </c>
      <c r="BN20">
        <v>4.5</v>
      </c>
      <c r="BO20">
        <v>1.1299999999999999</v>
      </c>
      <c r="BP20">
        <v>1.81</v>
      </c>
      <c r="BQ20" t="s">
        <v>348</v>
      </c>
      <c r="BR20" t="s">
        <v>348</v>
      </c>
      <c r="BS20" t="s">
        <v>348</v>
      </c>
      <c r="BT20" t="s">
        <v>348</v>
      </c>
      <c r="BU20" t="s">
        <v>348</v>
      </c>
      <c r="BV20" t="s">
        <v>348</v>
      </c>
      <c r="BW20" t="s">
        <v>348</v>
      </c>
      <c r="BX20" t="s">
        <v>348</v>
      </c>
      <c r="BY20" t="s">
        <v>348</v>
      </c>
      <c r="BZ20" t="s">
        <v>348</v>
      </c>
      <c r="CA20">
        <v>4.59</v>
      </c>
      <c r="CB20" t="s">
        <v>348</v>
      </c>
      <c r="CC20" t="s">
        <v>348</v>
      </c>
      <c r="CD20" t="s">
        <v>348</v>
      </c>
      <c r="CE20" t="s">
        <v>348</v>
      </c>
      <c r="CF20" t="s">
        <v>348</v>
      </c>
      <c r="CG20">
        <v>1</v>
      </c>
      <c r="CH20">
        <v>2</v>
      </c>
      <c r="CI20">
        <v>22</v>
      </c>
    </row>
    <row r="21" spans="1:87" x14ac:dyDescent="0.25">
      <c r="A21">
        <v>20</v>
      </c>
      <c r="B21" s="51" t="s">
        <v>191</v>
      </c>
      <c r="C21">
        <v>44588</v>
      </c>
      <c r="D21" t="s">
        <v>348</v>
      </c>
      <c r="E21">
        <v>1.34</v>
      </c>
      <c r="F21" t="s">
        <v>348</v>
      </c>
      <c r="G21" t="s">
        <v>348</v>
      </c>
      <c r="H21" t="s">
        <v>348</v>
      </c>
      <c r="I21" t="s">
        <v>348</v>
      </c>
      <c r="J21">
        <v>1.21</v>
      </c>
      <c r="K21">
        <v>21.61</v>
      </c>
      <c r="L21">
        <v>45.65</v>
      </c>
      <c r="M21" t="s">
        <v>348</v>
      </c>
      <c r="N21">
        <v>21.31</v>
      </c>
      <c r="O21">
        <v>2.57</v>
      </c>
      <c r="P21" t="s">
        <v>348</v>
      </c>
      <c r="Q21" t="s">
        <v>348</v>
      </c>
      <c r="R21" t="s">
        <v>348</v>
      </c>
      <c r="S21">
        <v>10.19</v>
      </c>
      <c r="T21" t="s">
        <v>348</v>
      </c>
      <c r="U21">
        <v>5.24</v>
      </c>
      <c r="V21" t="s">
        <v>348</v>
      </c>
      <c r="W21" t="s">
        <v>348</v>
      </c>
      <c r="X21" t="s">
        <v>348</v>
      </c>
      <c r="Y21">
        <v>1.2400000000000002</v>
      </c>
      <c r="Z21">
        <v>0.38000000000000012</v>
      </c>
      <c r="AA21" t="s">
        <v>348</v>
      </c>
      <c r="AB21">
        <v>6908.82</v>
      </c>
      <c r="AC21" t="s">
        <v>348</v>
      </c>
      <c r="AD21" t="s">
        <v>348</v>
      </c>
      <c r="AE21" t="s">
        <v>348</v>
      </c>
      <c r="AF21" t="s">
        <v>348</v>
      </c>
      <c r="AG21" t="s">
        <v>348</v>
      </c>
      <c r="AH21" t="s">
        <v>348</v>
      </c>
      <c r="AI21">
        <v>10.7</v>
      </c>
      <c r="AJ21" t="s">
        <v>348</v>
      </c>
      <c r="AK21">
        <v>7.71</v>
      </c>
      <c r="AL21" t="s">
        <v>348</v>
      </c>
      <c r="AM21">
        <v>1.1200000000000001</v>
      </c>
      <c r="AN21" t="s">
        <v>348</v>
      </c>
      <c r="AO21" t="s">
        <v>348</v>
      </c>
      <c r="AP21">
        <v>1.35</v>
      </c>
      <c r="AQ21">
        <v>1.51</v>
      </c>
      <c r="AR21" t="s">
        <v>348</v>
      </c>
      <c r="AS21" t="s">
        <v>348</v>
      </c>
      <c r="AT21" t="s">
        <v>348</v>
      </c>
      <c r="AU21" t="s">
        <v>348</v>
      </c>
      <c r="AV21" t="s">
        <v>348</v>
      </c>
      <c r="AW21">
        <v>2.0299999999999998</v>
      </c>
      <c r="AX21" t="s">
        <v>348</v>
      </c>
      <c r="AY21" t="s">
        <v>348</v>
      </c>
      <c r="AZ21" t="s">
        <v>348</v>
      </c>
      <c r="BA21" t="s">
        <v>348</v>
      </c>
      <c r="BB21" t="s">
        <v>348</v>
      </c>
      <c r="BC21">
        <v>2.77</v>
      </c>
      <c r="BD21" t="s">
        <v>348</v>
      </c>
      <c r="BE21">
        <v>7.3</v>
      </c>
      <c r="BF21">
        <v>2.2799999999999998</v>
      </c>
      <c r="BG21">
        <v>2.5</v>
      </c>
      <c r="BH21" t="s">
        <v>348</v>
      </c>
      <c r="BI21" t="s">
        <v>348</v>
      </c>
      <c r="BJ21" t="s">
        <v>348</v>
      </c>
      <c r="BK21" t="s">
        <v>348</v>
      </c>
      <c r="BL21" t="s">
        <v>348</v>
      </c>
      <c r="BM21" t="s">
        <v>348</v>
      </c>
      <c r="BN21">
        <v>6.34</v>
      </c>
      <c r="BO21" t="s">
        <v>348</v>
      </c>
      <c r="BP21" t="s">
        <v>348</v>
      </c>
      <c r="BQ21" t="s">
        <v>348</v>
      </c>
      <c r="BR21" t="s">
        <v>348</v>
      </c>
      <c r="BS21" t="s">
        <v>348</v>
      </c>
      <c r="BT21">
        <v>4.99</v>
      </c>
      <c r="BU21" t="s">
        <v>348</v>
      </c>
      <c r="BV21" t="s">
        <v>348</v>
      </c>
      <c r="BW21" t="s">
        <v>348</v>
      </c>
      <c r="BX21" t="s">
        <v>348</v>
      </c>
      <c r="BY21" t="s">
        <v>348</v>
      </c>
      <c r="BZ21" t="s">
        <v>348</v>
      </c>
      <c r="CA21">
        <v>5.65</v>
      </c>
      <c r="CB21" t="s">
        <v>348</v>
      </c>
      <c r="CC21" t="s">
        <v>348</v>
      </c>
      <c r="CD21" t="s">
        <v>348</v>
      </c>
      <c r="CE21" t="s">
        <v>348</v>
      </c>
      <c r="CF21" t="s">
        <v>348</v>
      </c>
      <c r="CG21">
        <v>2</v>
      </c>
      <c r="CH21">
        <v>5</v>
      </c>
      <c r="CI21">
        <v>321</v>
      </c>
    </row>
    <row r="22" spans="1:87" x14ac:dyDescent="0.25">
      <c r="A22">
        <v>21</v>
      </c>
      <c r="B22" s="51" t="s">
        <v>189</v>
      </c>
      <c r="C22">
        <v>44588</v>
      </c>
      <c r="D22" t="s">
        <v>348</v>
      </c>
      <c r="E22">
        <v>1.1200000000000001</v>
      </c>
      <c r="F22" t="s">
        <v>348</v>
      </c>
      <c r="G22" t="s">
        <v>348</v>
      </c>
      <c r="H22" t="s">
        <v>348</v>
      </c>
      <c r="I22" t="s">
        <v>348</v>
      </c>
      <c r="J22">
        <v>1.73</v>
      </c>
      <c r="K22">
        <v>7.8</v>
      </c>
      <c r="L22">
        <v>72.44</v>
      </c>
      <c r="M22" t="s">
        <v>348</v>
      </c>
      <c r="N22">
        <v>28.73</v>
      </c>
      <c r="O22">
        <v>4.1100000000000003</v>
      </c>
      <c r="P22" t="s">
        <v>348</v>
      </c>
      <c r="Q22" t="s">
        <v>348</v>
      </c>
      <c r="R22" t="s">
        <v>348</v>
      </c>
      <c r="S22">
        <v>2.35</v>
      </c>
      <c r="T22" t="s">
        <v>348</v>
      </c>
      <c r="U22">
        <v>5.95</v>
      </c>
      <c r="V22" t="s">
        <v>348</v>
      </c>
      <c r="W22" t="s">
        <v>348</v>
      </c>
      <c r="X22" t="s">
        <v>348</v>
      </c>
      <c r="Y22">
        <v>1.42</v>
      </c>
      <c r="Z22">
        <v>2.12</v>
      </c>
      <c r="AA22" t="s">
        <v>348</v>
      </c>
      <c r="AB22">
        <v>33700.01</v>
      </c>
      <c r="AC22" t="s">
        <v>348</v>
      </c>
      <c r="AD22" t="s">
        <v>348</v>
      </c>
      <c r="AE22" t="s">
        <v>348</v>
      </c>
      <c r="AF22" t="s">
        <v>348</v>
      </c>
      <c r="AG22" t="s">
        <v>348</v>
      </c>
      <c r="AH22" t="s">
        <v>348</v>
      </c>
      <c r="AI22">
        <v>15.55</v>
      </c>
      <c r="AJ22" t="s">
        <v>348</v>
      </c>
      <c r="AK22">
        <v>7.13</v>
      </c>
      <c r="AL22" t="s">
        <v>348</v>
      </c>
      <c r="AM22">
        <v>1.74</v>
      </c>
      <c r="AN22" t="s">
        <v>348</v>
      </c>
      <c r="AO22" t="s">
        <v>348</v>
      </c>
      <c r="AP22" t="s">
        <v>348</v>
      </c>
      <c r="AQ22">
        <v>1.1600000000000001</v>
      </c>
      <c r="AR22" t="s">
        <v>348</v>
      </c>
      <c r="AS22" t="s">
        <v>348</v>
      </c>
      <c r="AT22">
        <v>7.11</v>
      </c>
      <c r="AU22" t="s">
        <v>348</v>
      </c>
      <c r="AV22" t="s">
        <v>348</v>
      </c>
      <c r="AW22">
        <v>3.14</v>
      </c>
      <c r="AX22" t="s">
        <v>348</v>
      </c>
      <c r="AY22" t="s">
        <v>348</v>
      </c>
      <c r="AZ22" t="s">
        <v>348</v>
      </c>
      <c r="BA22" t="s">
        <v>348</v>
      </c>
      <c r="BB22" t="s">
        <v>348</v>
      </c>
      <c r="BC22">
        <v>2.29</v>
      </c>
      <c r="BD22" t="s">
        <v>348</v>
      </c>
      <c r="BE22" t="s">
        <v>348</v>
      </c>
      <c r="BF22">
        <v>7.07</v>
      </c>
      <c r="BG22">
        <v>9.9499999999999993</v>
      </c>
      <c r="BH22" t="s">
        <v>348</v>
      </c>
      <c r="BI22" t="s">
        <v>348</v>
      </c>
      <c r="BJ22" t="s">
        <v>348</v>
      </c>
      <c r="BK22" t="s">
        <v>348</v>
      </c>
      <c r="BL22" t="s">
        <v>348</v>
      </c>
      <c r="BM22" t="s">
        <v>348</v>
      </c>
      <c r="BN22">
        <v>7.24</v>
      </c>
      <c r="BO22" t="s">
        <v>348</v>
      </c>
      <c r="BP22" t="s">
        <v>348</v>
      </c>
      <c r="BQ22">
        <v>0.59</v>
      </c>
      <c r="BR22" t="s">
        <v>348</v>
      </c>
      <c r="BS22" t="s">
        <v>348</v>
      </c>
      <c r="BT22" t="s">
        <v>348</v>
      </c>
      <c r="BU22" t="s">
        <v>348</v>
      </c>
      <c r="BV22" t="s">
        <v>348</v>
      </c>
      <c r="BW22" t="s">
        <v>348</v>
      </c>
      <c r="BX22" t="s">
        <v>348</v>
      </c>
      <c r="BY22" t="s">
        <v>348</v>
      </c>
      <c r="BZ22">
        <v>4.9600000000000009</v>
      </c>
      <c r="CA22">
        <v>2.7900000000000009</v>
      </c>
      <c r="CB22" t="s">
        <v>348</v>
      </c>
      <c r="CC22" t="s">
        <v>348</v>
      </c>
      <c r="CD22" t="s">
        <v>348</v>
      </c>
      <c r="CE22" t="s">
        <v>348</v>
      </c>
      <c r="CF22" t="s">
        <v>348</v>
      </c>
      <c r="CG22">
        <v>2</v>
      </c>
      <c r="CH22">
        <v>5</v>
      </c>
      <c r="CI22">
        <v>321</v>
      </c>
    </row>
    <row r="23" spans="1:87" x14ac:dyDescent="0.25">
      <c r="A23">
        <v>22</v>
      </c>
      <c r="B23" s="51" t="s">
        <v>190</v>
      </c>
      <c r="C23">
        <v>44588</v>
      </c>
      <c r="D23" t="s">
        <v>348</v>
      </c>
      <c r="E23" t="s">
        <v>348</v>
      </c>
      <c r="F23" t="s">
        <v>348</v>
      </c>
      <c r="G23" t="s">
        <v>348</v>
      </c>
      <c r="H23" t="s">
        <v>348</v>
      </c>
      <c r="I23" t="s">
        <v>348</v>
      </c>
      <c r="J23">
        <v>0.74</v>
      </c>
      <c r="K23" t="s">
        <v>348</v>
      </c>
      <c r="L23">
        <v>27.71</v>
      </c>
      <c r="M23" t="s">
        <v>348</v>
      </c>
      <c r="N23">
        <v>13.54</v>
      </c>
      <c r="O23">
        <v>1.88</v>
      </c>
      <c r="P23" t="s">
        <v>348</v>
      </c>
      <c r="Q23" t="s">
        <v>348</v>
      </c>
      <c r="R23" t="s">
        <v>348</v>
      </c>
      <c r="S23">
        <v>0.84</v>
      </c>
      <c r="T23" t="s">
        <v>348</v>
      </c>
      <c r="U23" t="s">
        <v>348</v>
      </c>
      <c r="V23" t="s">
        <v>348</v>
      </c>
      <c r="W23" t="s">
        <v>348</v>
      </c>
      <c r="X23" t="s">
        <v>348</v>
      </c>
      <c r="Y23">
        <v>0.79999999999999982</v>
      </c>
      <c r="Z23">
        <v>0.57000000000000006</v>
      </c>
      <c r="AA23" t="s">
        <v>348</v>
      </c>
      <c r="AB23">
        <v>19313.98</v>
      </c>
      <c r="AC23" t="s">
        <v>348</v>
      </c>
      <c r="AD23" t="s">
        <v>348</v>
      </c>
      <c r="AE23" t="s">
        <v>348</v>
      </c>
      <c r="AF23" t="s">
        <v>348</v>
      </c>
      <c r="AG23" t="s">
        <v>348</v>
      </c>
      <c r="AH23" t="s">
        <v>348</v>
      </c>
      <c r="AI23">
        <v>8.16</v>
      </c>
      <c r="AJ23" t="s">
        <v>348</v>
      </c>
      <c r="AK23" t="s">
        <v>348</v>
      </c>
      <c r="AL23" t="s">
        <v>348</v>
      </c>
      <c r="AM23">
        <v>1.8499999999999999</v>
      </c>
      <c r="AN23" t="s">
        <v>348</v>
      </c>
      <c r="AO23" t="s">
        <v>348</v>
      </c>
      <c r="AP23" t="s">
        <v>348</v>
      </c>
      <c r="AQ23">
        <v>1.1300000000000001</v>
      </c>
      <c r="AR23" t="s">
        <v>348</v>
      </c>
      <c r="AS23" t="s">
        <v>348</v>
      </c>
      <c r="AT23" t="s">
        <v>348</v>
      </c>
      <c r="AU23" t="s">
        <v>348</v>
      </c>
      <c r="AV23" t="s">
        <v>348</v>
      </c>
      <c r="AW23">
        <v>2.27</v>
      </c>
      <c r="AX23" t="s">
        <v>348</v>
      </c>
      <c r="AY23" t="s">
        <v>348</v>
      </c>
      <c r="AZ23" t="s">
        <v>348</v>
      </c>
      <c r="BA23" t="s">
        <v>348</v>
      </c>
      <c r="BB23" t="s">
        <v>348</v>
      </c>
      <c r="BC23">
        <v>2.06</v>
      </c>
      <c r="BD23" t="s">
        <v>348</v>
      </c>
      <c r="BE23" t="s">
        <v>348</v>
      </c>
      <c r="BF23" t="s">
        <v>348</v>
      </c>
      <c r="BG23">
        <v>5.65</v>
      </c>
      <c r="BH23" t="s">
        <v>348</v>
      </c>
      <c r="BI23" t="s">
        <v>348</v>
      </c>
      <c r="BJ23" t="s">
        <v>348</v>
      </c>
      <c r="BK23" t="s">
        <v>348</v>
      </c>
      <c r="BL23" t="s">
        <v>348</v>
      </c>
      <c r="BM23" t="s">
        <v>348</v>
      </c>
      <c r="BN23">
        <v>4.66</v>
      </c>
      <c r="BO23" t="s">
        <v>348</v>
      </c>
      <c r="BP23" t="s">
        <v>348</v>
      </c>
      <c r="BQ23" t="s">
        <v>348</v>
      </c>
      <c r="BR23" t="s">
        <v>348</v>
      </c>
      <c r="BS23" t="s">
        <v>348</v>
      </c>
      <c r="BT23" t="s">
        <v>348</v>
      </c>
      <c r="BU23" t="s">
        <v>348</v>
      </c>
      <c r="BV23" t="s">
        <v>348</v>
      </c>
      <c r="BW23" t="s">
        <v>348</v>
      </c>
      <c r="BX23" t="s">
        <v>348</v>
      </c>
      <c r="BY23" t="s">
        <v>348</v>
      </c>
      <c r="BZ23">
        <v>5.0199999999999996</v>
      </c>
      <c r="CA23">
        <v>3.4299999999999997</v>
      </c>
      <c r="CB23" t="s">
        <v>348</v>
      </c>
      <c r="CC23" t="s">
        <v>348</v>
      </c>
      <c r="CD23" t="s">
        <v>348</v>
      </c>
      <c r="CE23" t="s">
        <v>348</v>
      </c>
      <c r="CF23" t="s">
        <v>348</v>
      </c>
      <c r="CG23">
        <v>2</v>
      </c>
      <c r="CH23">
        <v>5</v>
      </c>
      <c r="CI23">
        <v>321</v>
      </c>
    </row>
    <row r="24" spans="1:87" x14ac:dyDescent="0.25">
      <c r="A24">
        <v>23</v>
      </c>
      <c r="B24" s="51" t="s">
        <v>192</v>
      </c>
      <c r="C24">
        <v>44588</v>
      </c>
      <c r="D24">
        <v>4.25</v>
      </c>
      <c r="E24" t="s">
        <v>348</v>
      </c>
      <c r="F24" t="s">
        <v>348</v>
      </c>
      <c r="G24" t="s">
        <v>348</v>
      </c>
      <c r="H24">
        <v>23.88</v>
      </c>
      <c r="I24" t="s">
        <v>348</v>
      </c>
      <c r="J24">
        <v>1.55</v>
      </c>
      <c r="K24" t="s">
        <v>348</v>
      </c>
      <c r="L24">
        <v>54.8</v>
      </c>
      <c r="M24" t="s">
        <v>348</v>
      </c>
      <c r="N24">
        <v>28.48</v>
      </c>
      <c r="O24">
        <v>4.0199999999999996</v>
      </c>
      <c r="P24" t="s">
        <v>348</v>
      </c>
      <c r="Q24" t="s">
        <v>348</v>
      </c>
      <c r="R24" t="s">
        <v>348</v>
      </c>
      <c r="S24">
        <v>4.3899999999999997</v>
      </c>
      <c r="T24" t="s">
        <v>348</v>
      </c>
      <c r="U24" t="s">
        <v>348</v>
      </c>
      <c r="V24" t="s">
        <v>348</v>
      </c>
      <c r="W24" t="s">
        <v>348</v>
      </c>
      <c r="X24" t="s">
        <v>348</v>
      </c>
      <c r="Y24">
        <v>2.6500000000000004</v>
      </c>
      <c r="Z24">
        <v>0.8600000000000001</v>
      </c>
      <c r="AA24" t="s">
        <v>348</v>
      </c>
      <c r="AB24">
        <v>38331.160000000003</v>
      </c>
      <c r="AC24" t="s">
        <v>348</v>
      </c>
      <c r="AD24" t="s">
        <v>348</v>
      </c>
      <c r="AE24" t="s">
        <v>348</v>
      </c>
      <c r="AF24" t="s">
        <v>348</v>
      </c>
      <c r="AG24" t="s">
        <v>348</v>
      </c>
      <c r="AH24" t="s">
        <v>348</v>
      </c>
      <c r="AI24">
        <v>16.18</v>
      </c>
      <c r="AJ24" t="s">
        <v>348</v>
      </c>
      <c r="AK24" t="s">
        <v>348</v>
      </c>
      <c r="AL24" t="s">
        <v>348</v>
      </c>
      <c r="AM24">
        <v>4.34</v>
      </c>
      <c r="AN24" t="s">
        <v>348</v>
      </c>
      <c r="AO24" t="s">
        <v>348</v>
      </c>
      <c r="AP24">
        <v>2.5</v>
      </c>
      <c r="AQ24">
        <v>1.7200000000000002</v>
      </c>
      <c r="AR24" t="s">
        <v>348</v>
      </c>
      <c r="AS24" t="s">
        <v>348</v>
      </c>
      <c r="AT24">
        <v>13.75</v>
      </c>
      <c r="AU24" t="s">
        <v>348</v>
      </c>
      <c r="AV24" t="s">
        <v>348</v>
      </c>
      <c r="AW24">
        <v>2.0499999999999998</v>
      </c>
      <c r="AX24" t="s">
        <v>348</v>
      </c>
      <c r="AY24" t="s">
        <v>348</v>
      </c>
      <c r="AZ24" t="s">
        <v>348</v>
      </c>
      <c r="BA24" t="s">
        <v>348</v>
      </c>
      <c r="BB24" t="s">
        <v>348</v>
      </c>
      <c r="BC24">
        <v>3.46</v>
      </c>
      <c r="BD24" t="s">
        <v>348</v>
      </c>
      <c r="BE24" t="s">
        <v>348</v>
      </c>
      <c r="BF24" t="s">
        <v>348</v>
      </c>
      <c r="BG24">
        <v>18.309999999999999</v>
      </c>
      <c r="BH24" t="s">
        <v>348</v>
      </c>
      <c r="BI24" t="s">
        <v>348</v>
      </c>
      <c r="BJ24" t="s">
        <v>348</v>
      </c>
      <c r="BK24" t="s">
        <v>348</v>
      </c>
      <c r="BL24" t="s">
        <v>348</v>
      </c>
      <c r="BM24" t="s">
        <v>348</v>
      </c>
      <c r="BN24">
        <v>9.83</v>
      </c>
      <c r="BO24" t="s">
        <v>348</v>
      </c>
      <c r="BP24" t="s">
        <v>348</v>
      </c>
      <c r="BQ24" t="s">
        <v>348</v>
      </c>
      <c r="BR24" t="s">
        <v>348</v>
      </c>
      <c r="BS24" t="s">
        <v>348</v>
      </c>
      <c r="BT24" t="s">
        <v>348</v>
      </c>
      <c r="BU24">
        <v>2.81</v>
      </c>
      <c r="BV24" t="s">
        <v>348</v>
      </c>
      <c r="BW24" t="s">
        <v>348</v>
      </c>
      <c r="BX24" t="s">
        <v>348</v>
      </c>
      <c r="BY24" t="s">
        <v>348</v>
      </c>
      <c r="BZ24" t="s">
        <v>348</v>
      </c>
      <c r="CA24">
        <v>55.4</v>
      </c>
      <c r="CB24" t="s">
        <v>348</v>
      </c>
      <c r="CC24" t="s">
        <v>348</v>
      </c>
      <c r="CD24" t="s">
        <v>348</v>
      </c>
      <c r="CE24" t="s">
        <v>348</v>
      </c>
      <c r="CF24" t="s">
        <v>348</v>
      </c>
      <c r="CG24">
        <v>2</v>
      </c>
      <c r="CH24">
        <v>5</v>
      </c>
      <c r="CI24">
        <v>321</v>
      </c>
    </row>
    <row r="25" spans="1:87" x14ac:dyDescent="0.25">
      <c r="A25">
        <v>24</v>
      </c>
      <c r="B25" s="51" t="s">
        <v>193</v>
      </c>
      <c r="C25">
        <v>44588</v>
      </c>
      <c r="D25" t="s">
        <v>348</v>
      </c>
      <c r="E25">
        <v>0.38</v>
      </c>
      <c r="F25" t="s">
        <v>348</v>
      </c>
      <c r="G25" t="s">
        <v>348</v>
      </c>
      <c r="H25" t="s">
        <v>348</v>
      </c>
      <c r="I25" t="s">
        <v>348</v>
      </c>
      <c r="J25">
        <v>1.53</v>
      </c>
      <c r="K25" t="s">
        <v>348</v>
      </c>
      <c r="L25">
        <v>46.64</v>
      </c>
      <c r="M25" t="s">
        <v>348</v>
      </c>
      <c r="N25">
        <v>24.44</v>
      </c>
      <c r="O25">
        <v>3.89</v>
      </c>
      <c r="P25">
        <v>1.23</v>
      </c>
      <c r="Q25" t="s">
        <v>348</v>
      </c>
      <c r="R25" t="s">
        <v>348</v>
      </c>
      <c r="S25">
        <v>3.23</v>
      </c>
      <c r="T25" t="s">
        <v>348</v>
      </c>
      <c r="U25" t="s">
        <v>348</v>
      </c>
      <c r="V25" t="s">
        <v>348</v>
      </c>
      <c r="W25" t="s">
        <v>348</v>
      </c>
      <c r="X25" t="s">
        <v>348</v>
      </c>
      <c r="Y25">
        <v>2.1900000000000004</v>
      </c>
      <c r="Z25">
        <v>2.2300000000000004</v>
      </c>
      <c r="AA25" t="s">
        <v>348</v>
      </c>
      <c r="AB25">
        <v>30793.119999999999</v>
      </c>
      <c r="AC25">
        <v>2.16</v>
      </c>
      <c r="AD25" t="s">
        <v>348</v>
      </c>
      <c r="AE25" t="s">
        <v>348</v>
      </c>
      <c r="AF25" t="s">
        <v>348</v>
      </c>
      <c r="AG25" t="s">
        <v>348</v>
      </c>
      <c r="AH25" t="s">
        <v>348</v>
      </c>
      <c r="AI25">
        <v>14.57</v>
      </c>
      <c r="AJ25" t="s">
        <v>348</v>
      </c>
      <c r="AK25" t="s">
        <v>348</v>
      </c>
      <c r="AL25" t="s">
        <v>348</v>
      </c>
      <c r="AM25">
        <v>3.63</v>
      </c>
      <c r="AN25" t="s">
        <v>348</v>
      </c>
      <c r="AO25" t="s">
        <v>348</v>
      </c>
      <c r="AP25">
        <v>2.58</v>
      </c>
      <c r="AQ25">
        <v>2.16</v>
      </c>
      <c r="AR25" t="s">
        <v>348</v>
      </c>
      <c r="AS25" t="s">
        <v>348</v>
      </c>
      <c r="AT25">
        <v>13.84</v>
      </c>
      <c r="AU25" t="s">
        <v>348</v>
      </c>
      <c r="AV25" t="s">
        <v>348</v>
      </c>
      <c r="AW25">
        <v>3.28</v>
      </c>
      <c r="AX25" t="s">
        <v>348</v>
      </c>
      <c r="AY25" t="s">
        <v>348</v>
      </c>
      <c r="AZ25" t="s">
        <v>348</v>
      </c>
      <c r="BA25" t="s">
        <v>348</v>
      </c>
      <c r="BB25" t="s">
        <v>348</v>
      </c>
      <c r="BC25">
        <v>3.7100000000000004</v>
      </c>
      <c r="BD25" t="s">
        <v>348</v>
      </c>
      <c r="BE25" t="s">
        <v>348</v>
      </c>
      <c r="BF25" t="s">
        <v>348</v>
      </c>
      <c r="BG25">
        <v>9.94</v>
      </c>
      <c r="BH25" t="s">
        <v>348</v>
      </c>
      <c r="BI25" t="s">
        <v>348</v>
      </c>
      <c r="BJ25" t="s">
        <v>348</v>
      </c>
      <c r="BK25" t="s">
        <v>348</v>
      </c>
      <c r="BL25" t="s">
        <v>348</v>
      </c>
      <c r="BM25" t="s">
        <v>348</v>
      </c>
      <c r="BN25">
        <v>8.06</v>
      </c>
      <c r="BO25" t="s">
        <v>348</v>
      </c>
      <c r="BP25">
        <v>0.56000000000000005</v>
      </c>
      <c r="BQ25" t="s">
        <v>348</v>
      </c>
      <c r="BR25" t="s">
        <v>348</v>
      </c>
      <c r="BS25" t="s">
        <v>348</v>
      </c>
      <c r="BT25" t="s">
        <v>348</v>
      </c>
      <c r="BU25" t="s">
        <v>348</v>
      </c>
      <c r="BV25" t="s">
        <v>348</v>
      </c>
      <c r="BW25" t="s">
        <v>348</v>
      </c>
      <c r="BX25" t="s">
        <v>348</v>
      </c>
      <c r="BY25" t="s">
        <v>348</v>
      </c>
      <c r="BZ25">
        <v>2.1799999999999997</v>
      </c>
      <c r="CA25">
        <v>12.69</v>
      </c>
      <c r="CB25" t="s">
        <v>348</v>
      </c>
      <c r="CC25" t="s">
        <v>348</v>
      </c>
      <c r="CD25" t="s">
        <v>348</v>
      </c>
      <c r="CE25" t="s">
        <v>348</v>
      </c>
      <c r="CF25" t="s">
        <v>348</v>
      </c>
      <c r="CG25">
        <v>2</v>
      </c>
      <c r="CH25">
        <v>6</v>
      </c>
      <c r="CI25">
        <v>321</v>
      </c>
    </row>
    <row r="26" spans="1:87" x14ac:dyDescent="0.25">
      <c r="A26">
        <v>25</v>
      </c>
      <c r="B26" s="51" t="s">
        <v>194</v>
      </c>
      <c r="C26">
        <v>44588</v>
      </c>
      <c r="D26" t="s">
        <v>348</v>
      </c>
      <c r="E26">
        <v>0.61</v>
      </c>
      <c r="F26" t="s">
        <v>348</v>
      </c>
      <c r="G26" t="s">
        <v>348</v>
      </c>
      <c r="H26" t="s">
        <v>348</v>
      </c>
      <c r="I26" t="s">
        <v>348</v>
      </c>
      <c r="J26">
        <v>1.81</v>
      </c>
      <c r="K26" t="s">
        <v>348</v>
      </c>
      <c r="L26">
        <v>58.1</v>
      </c>
      <c r="M26" t="s">
        <v>348</v>
      </c>
      <c r="N26">
        <v>25.71</v>
      </c>
      <c r="O26">
        <v>4.5199999999999996</v>
      </c>
      <c r="P26" t="s">
        <v>348</v>
      </c>
      <c r="Q26" t="s">
        <v>348</v>
      </c>
      <c r="R26" t="s">
        <v>348</v>
      </c>
      <c r="S26">
        <v>1.63</v>
      </c>
      <c r="T26" t="s">
        <v>348</v>
      </c>
      <c r="U26">
        <v>4.26</v>
      </c>
      <c r="V26" t="s">
        <v>348</v>
      </c>
      <c r="W26" t="s">
        <v>348</v>
      </c>
      <c r="X26" t="s">
        <v>348</v>
      </c>
      <c r="Y26">
        <v>1.6799999999999997</v>
      </c>
      <c r="Z26">
        <v>1.74</v>
      </c>
      <c r="AA26">
        <v>2.48</v>
      </c>
      <c r="AB26">
        <v>32982.33</v>
      </c>
      <c r="AC26">
        <v>4.3600000000000003</v>
      </c>
      <c r="AD26" t="s">
        <v>348</v>
      </c>
      <c r="AE26" t="s">
        <v>348</v>
      </c>
      <c r="AF26">
        <v>0.93</v>
      </c>
      <c r="AG26" t="s">
        <v>348</v>
      </c>
      <c r="AH26" t="s">
        <v>348</v>
      </c>
      <c r="AI26">
        <v>16.34</v>
      </c>
      <c r="AJ26" t="s">
        <v>348</v>
      </c>
      <c r="AK26">
        <v>4.57</v>
      </c>
      <c r="AL26" t="s">
        <v>348</v>
      </c>
      <c r="AM26">
        <v>6.26</v>
      </c>
      <c r="AN26" t="s">
        <v>348</v>
      </c>
      <c r="AO26" t="s">
        <v>348</v>
      </c>
      <c r="AP26">
        <v>3.46</v>
      </c>
      <c r="AQ26">
        <v>2.71</v>
      </c>
      <c r="AR26" t="s">
        <v>348</v>
      </c>
      <c r="AS26" t="s">
        <v>348</v>
      </c>
      <c r="AT26">
        <v>13.07</v>
      </c>
      <c r="AU26" t="s">
        <v>348</v>
      </c>
      <c r="AV26" t="s">
        <v>348</v>
      </c>
      <c r="AW26">
        <v>1.43</v>
      </c>
      <c r="AX26" t="s">
        <v>348</v>
      </c>
      <c r="AY26" t="s">
        <v>348</v>
      </c>
      <c r="AZ26" t="s">
        <v>348</v>
      </c>
      <c r="BA26" t="s">
        <v>348</v>
      </c>
      <c r="BB26" t="s">
        <v>348</v>
      </c>
      <c r="BC26">
        <v>4.5</v>
      </c>
      <c r="BD26" t="s">
        <v>348</v>
      </c>
      <c r="BE26" t="s">
        <v>348</v>
      </c>
      <c r="BF26" t="s">
        <v>348</v>
      </c>
      <c r="BG26">
        <v>13.8</v>
      </c>
      <c r="BH26" t="s">
        <v>348</v>
      </c>
      <c r="BI26" t="s">
        <v>348</v>
      </c>
      <c r="BJ26" t="s">
        <v>348</v>
      </c>
      <c r="BK26" t="s">
        <v>348</v>
      </c>
      <c r="BL26" t="s">
        <v>348</v>
      </c>
      <c r="BM26" t="s">
        <v>348</v>
      </c>
      <c r="BN26">
        <v>13.3</v>
      </c>
      <c r="BO26" t="s">
        <v>348</v>
      </c>
      <c r="BP26">
        <v>4.21</v>
      </c>
      <c r="BQ26" t="s">
        <v>348</v>
      </c>
      <c r="BR26" t="s">
        <v>348</v>
      </c>
      <c r="BS26" t="s">
        <v>348</v>
      </c>
      <c r="BT26" t="s">
        <v>348</v>
      </c>
      <c r="BU26" t="s">
        <v>348</v>
      </c>
      <c r="BV26" t="s">
        <v>348</v>
      </c>
      <c r="BW26" t="s">
        <v>348</v>
      </c>
      <c r="BX26" t="s">
        <v>348</v>
      </c>
      <c r="BY26" t="s">
        <v>348</v>
      </c>
      <c r="BZ26">
        <v>5.1999999999999993</v>
      </c>
      <c r="CA26">
        <v>3.5600000000000005</v>
      </c>
      <c r="CB26" t="s">
        <v>348</v>
      </c>
      <c r="CC26" t="s">
        <v>348</v>
      </c>
      <c r="CD26" t="s">
        <v>348</v>
      </c>
      <c r="CE26" t="s">
        <v>348</v>
      </c>
      <c r="CF26" t="s">
        <v>348</v>
      </c>
      <c r="CG26">
        <v>2</v>
      </c>
      <c r="CH26">
        <v>7</v>
      </c>
      <c r="CI26">
        <v>321</v>
      </c>
    </row>
    <row r="27" spans="1:87" x14ac:dyDescent="0.25">
      <c r="A27">
        <v>26</v>
      </c>
      <c r="B27" s="51" t="s">
        <v>240</v>
      </c>
      <c r="C27">
        <v>44588.395833333336</v>
      </c>
      <c r="D27" t="s">
        <v>348</v>
      </c>
      <c r="E27">
        <v>0.48</v>
      </c>
      <c r="F27" t="s">
        <v>348</v>
      </c>
      <c r="G27">
        <v>1.04</v>
      </c>
      <c r="H27" t="s">
        <v>348</v>
      </c>
      <c r="I27" t="s">
        <v>348</v>
      </c>
      <c r="J27">
        <v>4.55</v>
      </c>
      <c r="K27" t="s">
        <v>348</v>
      </c>
      <c r="L27">
        <v>100.61</v>
      </c>
      <c r="M27" t="s">
        <v>348</v>
      </c>
      <c r="N27">
        <v>40.69</v>
      </c>
      <c r="O27">
        <v>5.43</v>
      </c>
      <c r="P27" t="s">
        <v>348</v>
      </c>
      <c r="Q27" t="s">
        <v>348</v>
      </c>
      <c r="R27" t="s">
        <v>348</v>
      </c>
      <c r="S27">
        <v>5.22</v>
      </c>
      <c r="T27" t="s">
        <v>348</v>
      </c>
      <c r="U27">
        <v>12.11</v>
      </c>
      <c r="V27" t="s">
        <v>348</v>
      </c>
      <c r="W27" t="s">
        <v>348</v>
      </c>
      <c r="X27" t="s">
        <v>348</v>
      </c>
      <c r="Y27">
        <v>3.9899999999999993</v>
      </c>
      <c r="Z27">
        <v>5.44</v>
      </c>
      <c r="AA27">
        <v>5.37</v>
      </c>
      <c r="AB27">
        <v>43988.93</v>
      </c>
      <c r="AC27">
        <v>10.25</v>
      </c>
      <c r="AD27">
        <v>28.24</v>
      </c>
      <c r="AE27" t="s">
        <v>348</v>
      </c>
      <c r="AF27">
        <v>3.34</v>
      </c>
      <c r="AG27" t="s">
        <v>348</v>
      </c>
      <c r="AH27" t="s">
        <v>348</v>
      </c>
      <c r="AI27">
        <v>31.84</v>
      </c>
      <c r="AJ27">
        <v>0.9</v>
      </c>
      <c r="AK27">
        <v>6.22</v>
      </c>
      <c r="AL27" t="s">
        <v>348</v>
      </c>
      <c r="AM27">
        <v>11.709999999999999</v>
      </c>
      <c r="AN27" t="s">
        <v>348</v>
      </c>
      <c r="AO27" t="s">
        <v>348</v>
      </c>
      <c r="AP27">
        <v>9.48</v>
      </c>
      <c r="AQ27">
        <v>8.91</v>
      </c>
      <c r="AR27" t="s">
        <v>348</v>
      </c>
      <c r="AS27" t="s">
        <v>348</v>
      </c>
      <c r="AT27">
        <v>20.46</v>
      </c>
      <c r="AU27" t="s">
        <v>348</v>
      </c>
      <c r="AV27">
        <v>2.17</v>
      </c>
      <c r="AW27">
        <v>2.8</v>
      </c>
      <c r="AX27" t="s">
        <v>348</v>
      </c>
      <c r="AY27" t="s">
        <v>348</v>
      </c>
      <c r="AZ27" t="s">
        <v>348</v>
      </c>
      <c r="BA27">
        <v>0.3</v>
      </c>
      <c r="BB27" t="s">
        <v>348</v>
      </c>
      <c r="BC27">
        <v>2.8</v>
      </c>
      <c r="BD27" t="s">
        <v>348</v>
      </c>
      <c r="BE27" t="s">
        <v>348</v>
      </c>
      <c r="BF27">
        <v>3.14</v>
      </c>
      <c r="BG27">
        <v>22.39</v>
      </c>
      <c r="BH27" t="s">
        <v>348</v>
      </c>
      <c r="BI27" t="s">
        <v>348</v>
      </c>
      <c r="BJ27" t="s">
        <v>348</v>
      </c>
      <c r="BK27" t="s">
        <v>348</v>
      </c>
      <c r="BL27" t="s">
        <v>348</v>
      </c>
      <c r="BM27" t="s">
        <v>348</v>
      </c>
      <c r="BN27">
        <v>39.700000000000003</v>
      </c>
      <c r="BO27" t="s">
        <v>348</v>
      </c>
      <c r="BP27">
        <v>2.88</v>
      </c>
      <c r="BQ27" t="s">
        <v>348</v>
      </c>
      <c r="BR27" t="s">
        <v>348</v>
      </c>
      <c r="BS27" t="s">
        <v>348</v>
      </c>
      <c r="BT27" t="s">
        <v>348</v>
      </c>
      <c r="BU27" t="s">
        <v>348</v>
      </c>
      <c r="BV27" t="s">
        <v>348</v>
      </c>
      <c r="BW27" t="s">
        <v>348</v>
      </c>
      <c r="BX27" t="s">
        <v>348</v>
      </c>
      <c r="BY27" t="s">
        <v>348</v>
      </c>
      <c r="BZ27" t="s">
        <v>348</v>
      </c>
      <c r="CA27">
        <v>3.66</v>
      </c>
      <c r="CB27" t="s">
        <v>348</v>
      </c>
      <c r="CC27" t="s">
        <v>348</v>
      </c>
      <c r="CD27" t="s">
        <v>348</v>
      </c>
      <c r="CE27" t="s">
        <v>348</v>
      </c>
      <c r="CF27" t="s">
        <v>348</v>
      </c>
      <c r="CG27">
        <v>2</v>
      </c>
      <c r="CH27">
        <v>7</v>
      </c>
      <c r="CI27">
        <v>321</v>
      </c>
    </row>
    <row r="28" spans="1:87" x14ac:dyDescent="0.25">
      <c r="A28">
        <v>27</v>
      </c>
      <c r="B28" s="51" t="s">
        <v>248</v>
      </c>
      <c r="C28">
        <v>44588.583333333336</v>
      </c>
      <c r="D28" t="s">
        <v>348</v>
      </c>
      <c r="E28">
        <v>0.78</v>
      </c>
      <c r="F28" t="s">
        <v>348</v>
      </c>
      <c r="G28" t="s">
        <v>348</v>
      </c>
      <c r="H28" t="s">
        <v>348</v>
      </c>
      <c r="I28" t="s">
        <v>348</v>
      </c>
      <c r="J28">
        <v>0.9</v>
      </c>
      <c r="K28">
        <v>3.69</v>
      </c>
      <c r="L28">
        <v>34.24</v>
      </c>
      <c r="M28" t="s">
        <v>348</v>
      </c>
      <c r="N28">
        <v>17.489999999999998</v>
      </c>
      <c r="O28">
        <v>2.44</v>
      </c>
      <c r="P28" t="s">
        <v>348</v>
      </c>
      <c r="Q28" t="s">
        <v>348</v>
      </c>
      <c r="R28" t="s">
        <v>348</v>
      </c>
      <c r="S28">
        <v>1.57</v>
      </c>
      <c r="T28" t="s">
        <v>348</v>
      </c>
      <c r="U28" t="s">
        <v>348</v>
      </c>
      <c r="V28" t="s">
        <v>348</v>
      </c>
      <c r="W28" t="s">
        <v>348</v>
      </c>
      <c r="X28" t="s">
        <v>348</v>
      </c>
      <c r="Y28">
        <v>1.6900000000000004</v>
      </c>
      <c r="Z28">
        <v>0.62000000000000011</v>
      </c>
      <c r="AA28" t="s">
        <v>348</v>
      </c>
      <c r="AB28">
        <v>25395.59</v>
      </c>
      <c r="AC28">
        <v>2.8</v>
      </c>
      <c r="AD28" t="s">
        <v>348</v>
      </c>
      <c r="AE28" t="s">
        <v>348</v>
      </c>
      <c r="AF28" t="s">
        <v>348</v>
      </c>
      <c r="AG28" t="s">
        <v>348</v>
      </c>
      <c r="AH28" t="s">
        <v>348</v>
      </c>
      <c r="AI28">
        <v>12.71</v>
      </c>
      <c r="AJ28" t="s">
        <v>348</v>
      </c>
      <c r="AK28" t="s">
        <v>348</v>
      </c>
      <c r="AL28" t="s">
        <v>348</v>
      </c>
      <c r="AM28">
        <v>3.75</v>
      </c>
      <c r="AN28" t="s">
        <v>348</v>
      </c>
      <c r="AO28" t="s">
        <v>348</v>
      </c>
      <c r="AP28">
        <v>2.93</v>
      </c>
      <c r="AQ28">
        <v>1.2000000000000002</v>
      </c>
      <c r="AR28" t="s">
        <v>348</v>
      </c>
      <c r="AS28" t="s">
        <v>348</v>
      </c>
      <c r="AT28" t="s">
        <v>348</v>
      </c>
      <c r="AU28" t="s">
        <v>348</v>
      </c>
      <c r="AV28" t="s">
        <v>348</v>
      </c>
      <c r="AW28">
        <v>2.12</v>
      </c>
      <c r="AX28" t="s">
        <v>348</v>
      </c>
      <c r="AY28" t="s">
        <v>348</v>
      </c>
      <c r="AZ28" t="s">
        <v>348</v>
      </c>
      <c r="BA28" t="s">
        <v>348</v>
      </c>
      <c r="BB28" t="s">
        <v>348</v>
      </c>
      <c r="BC28">
        <v>2.37</v>
      </c>
      <c r="BD28" t="s">
        <v>348</v>
      </c>
      <c r="BE28" t="s">
        <v>348</v>
      </c>
      <c r="BF28" t="s">
        <v>348</v>
      </c>
      <c r="BG28">
        <v>6.88</v>
      </c>
      <c r="BH28" t="s">
        <v>348</v>
      </c>
      <c r="BI28">
        <v>7.52</v>
      </c>
      <c r="BJ28" t="s">
        <v>348</v>
      </c>
      <c r="BK28" t="s">
        <v>348</v>
      </c>
      <c r="BL28" t="s">
        <v>348</v>
      </c>
      <c r="BM28" t="s">
        <v>348</v>
      </c>
      <c r="BN28">
        <v>8.92</v>
      </c>
      <c r="BO28" t="s">
        <v>348</v>
      </c>
      <c r="BP28">
        <v>1.01</v>
      </c>
      <c r="BQ28" t="s">
        <v>348</v>
      </c>
      <c r="BR28" t="s">
        <v>348</v>
      </c>
      <c r="BS28" t="s">
        <v>348</v>
      </c>
      <c r="BT28">
        <v>1.19</v>
      </c>
      <c r="BU28" t="s">
        <v>348</v>
      </c>
      <c r="BV28" t="s">
        <v>348</v>
      </c>
      <c r="BW28" t="s">
        <v>348</v>
      </c>
      <c r="BX28" t="s">
        <v>348</v>
      </c>
      <c r="BY28" t="s">
        <v>348</v>
      </c>
      <c r="BZ28" t="s">
        <v>348</v>
      </c>
      <c r="CA28">
        <v>1.6400000000000006</v>
      </c>
      <c r="CB28" t="s">
        <v>348</v>
      </c>
      <c r="CC28" t="s">
        <v>348</v>
      </c>
      <c r="CD28" t="s">
        <v>348</v>
      </c>
      <c r="CE28" t="s">
        <v>348</v>
      </c>
      <c r="CF28" t="s">
        <v>348</v>
      </c>
      <c r="CG28">
        <v>2</v>
      </c>
      <c r="CH28">
        <v>7</v>
      </c>
      <c r="CI28">
        <v>321</v>
      </c>
    </row>
    <row r="29" spans="1:87" x14ac:dyDescent="0.25">
      <c r="A29">
        <v>28</v>
      </c>
      <c r="B29" s="51" t="s">
        <v>195</v>
      </c>
      <c r="C29">
        <v>44588</v>
      </c>
      <c r="D29" t="s">
        <v>348</v>
      </c>
      <c r="E29">
        <v>0.5</v>
      </c>
      <c r="F29" t="s">
        <v>348</v>
      </c>
      <c r="G29" t="s">
        <v>348</v>
      </c>
      <c r="H29" t="s">
        <v>348</v>
      </c>
      <c r="I29" t="s">
        <v>348</v>
      </c>
      <c r="J29">
        <v>1.26</v>
      </c>
      <c r="K29" t="s">
        <v>348</v>
      </c>
      <c r="L29">
        <v>42.57</v>
      </c>
      <c r="M29" t="s">
        <v>348</v>
      </c>
      <c r="N29">
        <v>14.72</v>
      </c>
      <c r="O29">
        <v>2.4</v>
      </c>
      <c r="P29" t="s">
        <v>348</v>
      </c>
      <c r="Q29" t="s">
        <v>348</v>
      </c>
      <c r="R29" t="s">
        <v>348</v>
      </c>
      <c r="S29">
        <v>1.26</v>
      </c>
      <c r="T29" t="s">
        <v>348</v>
      </c>
      <c r="U29">
        <v>4.84</v>
      </c>
      <c r="V29" t="s">
        <v>348</v>
      </c>
      <c r="W29" t="s">
        <v>348</v>
      </c>
      <c r="X29">
        <v>3.48</v>
      </c>
      <c r="Y29">
        <v>1.63</v>
      </c>
      <c r="Z29">
        <v>1.99</v>
      </c>
      <c r="AA29">
        <v>1.87</v>
      </c>
      <c r="AB29">
        <v>19526.45</v>
      </c>
      <c r="AC29">
        <v>2.3199999999999998</v>
      </c>
      <c r="AD29" t="s">
        <v>348</v>
      </c>
      <c r="AE29" t="s">
        <v>348</v>
      </c>
      <c r="AF29" t="s">
        <v>348</v>
      </c>
      <c r="AG29" t="s">
        <v>348</v>
      </c>
      <c r="AH29" t="s">
        <v>348</v>
      </c>
      <c r="AI29">
        <v>11.97</v>
      </c>
      <c r="AJ29" t="s">
        <v>348</v>
      </c>
      <c r="AK29" t="s">
        <v>348</v>
      </c>
      <c r="AL29" t="s">
        <v>348</v>
      </c>
      <c r="AM29">
        <v>3.9399999999999995</v>
      </c>
      <c r="AN29" t="s">
        <v>348</v>
      </c>
      <c r="AO29" t="s">
        <v>348</v>
      </c>
      <c r="AP29">
        <v>3.48</v>
      </c>
      <c r="AQ29">
        <v>4.66</v>
      </c>
      <c r="AR29" t="s">
        <v>348</v>
      </c>
      <c r="AS29" t="s">
        <v>348</v>
      </c>
      <c r="AT29">
        <v>13.4</v>
      </c>
      <c r="AU29" t="s">
        <v>348</v>
      </c>
      <c r="AV29" t="s">
        <v>348</v>
      </c>
      <c r="AW29">
        <v>1.28</v>
      </c>
      <c r="AX29" t="s">
        <v>348</v>
      </c>
      <c r="AY29" t="s">
        <v>348</v>
      </c>
      <c r="AZ29" t="s">
        <v>348</v>
      </c>
      <c r="BA29" t="s">
        <v>348</v>
      </c>
      <c r="BB29" t="s">
        <v>348</v>
      </c>
      <c r="BC29">
        <v>2.0099999999999998</v>
      </c>
      <c r="BD29" t="s">
        <v>348</v>
      </c>
      <c r="BE29" t="s">
        <v>348</v>
      </c>
      <c r="BF29" t="s">
        <v>348</v>
      </c>
      <c r="BG29" t="s">
        <v>348</v>
      </c>
      <c r="BH29" t="s">
        <v>348</v>
      </c>
      <c r="BI29" t="s">
        <v>348</v>
      </c>
      <c r="BJ29" t="s">
        <v>348</v>
      </c>
      <c r="BK29" t="s">
        <v>348</v>
      </c>
      <c r="BL29" t="s">
        <v>348</v>
      </c>
      <c r="BM29" t="s">
        <v>348</v>
      </c>
      <c r="BN29">
        <v>17.66</v>
      </c>
      <c r="BO29" t="s">
        <v>348</v>
      </c>
      <c r="BP29">
        <v>1.1200000000000001</v>
      </c>
      <c r="BQ29" t="s">
        <v>348</v>
      </c>
      <c r="BR29" t="s">
        <v>348</v>
      </c>
      <c r="BS29" t="s">
        <v>348</v>
      </c>
      <c r="BT29" t="s">
        <v>348</v>
      </c>
      <c r="BU29">
        <v>3.76</v>
      </c>
      <c r="BV29" t="s">
        <v>348</v>
      </c>
      <c r="BW29" t="s">
        <v>348</v>
      </c>
      <c r="BX29" t="s">
        <v>348</v>
      </c>
      <c r="BY29" t="s">
        <v>348</v>
      </c>
      <c r="BZ29">
        <v>3.05</v>
      </c>
      <c r="CA29">
        <v>4.3499999999999996</v>
      </c>
      <c r="CB29" t="s">
        <v>348</v>
      </c>
      <c r="CC29" t="s">
        <v>348</v>
      </c>
      <c r="CD29" t="s">
        <v>348</v>
      </c>
      <c r="CE29" t="s">
        <v>348</v>
      </c>
      <c r="CF29" t="s">
        <v>348</v>
      </c>
      <c r="CG29">
        <v>2</v>
      </c>
      <c r="CH29">
        <v>7</v>
      </c>
      <c r="CI29">
        <v>321</v>
      </c>
    </row>
    <row r="30" spans="1:87" x14ac:dyDescent="0.25">
      <c r="A30">
        <v>29</v>
      </c>
      <c r="B30" s="51" t="s">
        <v>196</v>
      </c>
      <c r="C30">
        <v>44588</v>
      </c>
      <c r="D30" t="s">
        <v>348</v>
      </c>
      <c r="E30" t="s">
        <v>348</v>
      </c>
      <c r="F30" t="s">
        <v>348</v>
      </c>
      <c r="G30">
        <v>14.01</v>
      </c>
      <c r="H30">
        <v>19.52</v>
      </c>
      <c r="I30">
        <v>27.13</v>
      </c>
      <c r="J30">
        <v>1.57</v>
      </c>
      <c r="K30" t="s">
        <v>348</v>
      </c>
      <c r="L30">
        <v>24.95</v>
      </c>
      <c r="M30" t="s">
        <v>348</v>
      </c>
      <c r="N30">
        <v>115.3</v>
      </c>
      <c r="O30">
        <v>14.56</v>
      </c>
      <c r="P30" t="s">
        <v>348</v>
      </c>
      <c r="Q30" t="s">
        <v>348</v>
      </c>
      <c r="R30">
        <v>3.28</v>
      </c>
      <c r="S30">
        <v>1.58</v>
      </c>
      <c r="T30" t="s">
        <v>348</v>
      </c>
      <c r="U30">
        <v>10.35</v>
      </c>
      <c r="V30" t="s">
        <v>348</v>
      </c>
      <c r="W30" t="s">
        <v>348</v>
      </c>
      <c r="X30" t="s">
        <v>348</v>
      </c>
      <c r="Y30">
        <v>6.44</v>
      </c>
      <c r="Z30">
        <v>0.90999999999999992</v>
      </c>
      <c r="AA30" t="s">
        <v>348</v>
      </c>
      <c r="AB30">
        <v>2554.81</v>
      </c>
      <c r="AC30">
        <v>5.94</v>
      </c>
      <c r="AD30" t="s">
        <v>348</v>
      </c>
      <c r="AE30" t="s">
        <v>348</v>
      </c>
      <c r="AF30" t="s">
        <v>348</v>
      </c>
      <c r="AG30" t="s">
        <v>348</v>
      </c>
      <c r="AH30" t="s">
        <v>348</v>
      </c>
      <c r="AI30">
        <v>38.549999999999997</v>
      </c>
      <c r="AJ30" t="s">
        <v>348</v>
      </c>
      <c r="AK30">
        <v>7.49</v>
      </c>
      <c r="AL30" t="s">
        <v>348</v>
      </c>
      <c r="AM30">
        <v>19.580000000000002</v>
      </c>
      <c r="AN30" t="s">
        <v>348</v>
      </c>
      <c r="AO30" t="s">
        <v>348</v>
      </c>
      <c r="AP30">
        <v>15.83</v>
      </c>
      <c r="AQ30">
        <v>6.5</v>
      </c>
      <c r="AR30" t="s">
        <v>348</v>
      </c>
      <c r="AS30" t="s">
        <v>348</v>
      </c>
      <c r="AT30" t="s">
        <v>348</v>
      </c>
      <c r="AU30" t="s">
        <v>348</v>
      </c>
      <c r="AV30" t="s">
        <v>348</v>
      </c>
      <c r="AW30">
        <v>1.1200000000000001</v>
      </c>
      <c r="AX30" t="s">
        <v>348</v>
      </c>
      <c r="AY30" t="s">
        <v>348</v>
      </c>
      <c r="AZ30" t="s">
        <v>348</v>
      </c>
      <c r="BA30" t="s">
        <v>348</v>
      </c>
      <c r="BB30" t="s">
        <v>348</v>
      </c>
      <c r="BC30">
        <v>0.8</v>
      </c>
      <c r="BD30" t="s">
        <v>348</v>
      </c>
      <c r="BE30" t="s">
        <v>348</v>
      </c>
      <c r="BF30">
        <v>8.01</v>
      </c>
      <c r="BG30">
        <v>4.71</v>
      </c>
      <c r="BH30" t="s">
        <v>348</v>
      </c>
      <c r="BI30" t="s">
        <v>348</v>
      </c>
      <c r="BJ30" t="s">
        <v>348</v>
      </c>
      <c r="BK30" t="s">
        <v>348</v>
      </c>
      <c r="BL30" t="s">
        <v>348</v>
      </c>
      <c r="BM30" t="s">
        <v>348</v>
      </c>
      <c r="BN30">
        <v>8.1999999999999993</v>
      </c>
      <c r="BO30" t="s">
        <v>348</v>
      </c>
      <c r="BP30">
        <v>0.89</v>
      </c>
      <c r="BQ30" t="s">
        <v>348</v>
      </c>
      <c r="BR30" t="s">
        <v>348</v>
      </c>
      <c r="BS30" t="s">
        <v>348</v>
      </c>
      <c r="BT30" t="s">
        <v>348</v>
      </c>
      <c r="BU30" t="s">
        <v>348</v>
      </c>
      <c r="BV30" t="s">
        <v>348</v>
      </c>
      <c r="BW30" t="s">
        <v>348</v>
      </c>
      <c r="BX30" t="s">
        <v>348</v>
      </c>
      <c r="BY30" t="s">
        <v>348</v>
      </c>
      <c r="BZ30">
        <v>10.75</v>
      </c>
      <c r="CA30">
        <v>2.2300000000000004</v>
      </c>
      <c r="CB30" t="s">
        <v>348</v>
      </c>
      <c r="CC30" t="s">
        <v>348</v>
      </c>
      <c r="CD30" t="s">
        <v>348</v>
      </c>
      <c r="CE30" t="s">
        <v>348</v>
      </c>
      <c r="CF30" t="s">
        <v>348</v>
      </c>
      <c r="CG30">
        <v>1</v>
      </c>
      <c r="CH30">
        <v>5</v>
      </c>
      <c r="CI30">
        <v>322</v>
      </c>
    </row>
    <row r="31" spans="1:87" x14ac:dyDescent="0.25">
      <c r="A31">
        <v>30</v>
      </c>
      <c r="B31" s="51" t="s">
        <v>197</v>
      </c>
      <c r="C31">
        <v>44588</v>
      </c>
      <c r="D31" t="s">
        <v>348</v>
      </c>
      <c r="E31">
        <v>0.47</v>
      </c>
      <c r="F31">
        <v>0.51</v>
      </c>
      <c r="G31">
        <v>24.12</v>
      </c>
      <c r="H31">
        <v>36.799999999999997</v>
      </c>
      <c r="I31">
        <v>54.15</v>
      </c>
      <c r="J31">
        <v>2.86</v>
      </c>
      <c r="K31" t="s">
        <v>348</v>
      </c>
      <c r="L31">
        <v>150.19</v>
      </c>
      <c r="M31" t="s">
        <v>348</v>
      </c>
      <c r="N31">
        <v>208.27</v>
      </c>
      <c r="O31">
        <v>32.03</v>
      </c>
      <c r="P31" t="s">
        <v>348</v>
      </c>
      <c r="Q31" t="s">
        <v>348</v>
      </c>
      <c r="R31">
        <v>9.9700000000000006</v>
      </c>
      <c r="S31">
        <v>1.48</v>
      </c>
      <c r="T31" t="s">
        <v>348</v>
      </c>
      <c r="U31">
        <v>30.68</v>
      </c>
      <c r="V31" t="s">
        <v>348</v>
      </c>
      <c r="W31" t="s">
        <v>348</v>
      </c>
      <c r="X31" t="s">
        <v>348</v>
      </c>
      <c r="Y31">
        <v>17.12</v>
      </c>
      <c r="Z31">
        <v>1.55</v>
      </c>
      <c r="AA31" t="s">
        <v>348</v>
      </c>
      <c r="AB31">
        <v>194.05</v>
      </c>
      <c r="AC31">
        <v>3.61</v>
      </c>
      <c r="AD31" t="s">
        <v>348</v>
      </c>
      <c r="AE31" t="s">
        <v>348</v>
      </c>
      <c r="AF31" t="s">
        <v>348</v>
      </c>
      <c r="AG31" t="s">
        <v>348</v>
      </c>
      <c r="AH31" t="s">
        <v>348</v>
      </c>
      <c r="AI31">
        <v>84.26</v>
      </c>
      <c r="AJ31" t="s">
        <v>348</v>
      </c>
      <c r="AK31">
        <v>17.53</v>
      </c>
      <c r="AL31" t="s">
        <v>348</v>
      </c>
      <c r="AM31">
        <v>20.94</v>
      </c>
      <c r="AN31" t="s">
        <v>348</v>
      </c>
      <c r="AO31" t="s">
        <v>348</v>
      </c>
      <c r="AP31">
        <v>55.11</v>
      </c>
      <c r="AQ31">
        <v>10.02</v>
      </c>
      <c r="AR31" t="s">
        <v>348</v>
      </c>
      <c r="AS31" t="s">
        <v>348</v>
      </c>
      <c r="AT31" t="s">
        <v>348</v>
      </c>
      <c r="AU31" t="s">
        <v>348</v>
      </c>
      <c r="AV31" t="s">
        <v>348</v>
      </c>
      <c r="AW31">
        <v>1.1599999999999999</v>
      </c>
      <c r="AX31" t="s">
        <v>348</v>
      </c>
      <c r="AY31" t="s">
        <v>348</v>
      </c>
      <c r="AZ31" t="s">
        <v>348</v>
      </c>
      <c r="BA31" t="s">
        <v>348</v>
      </c>
      <c r="BB31" t="s">
        <v>348</v>
      </c>
      <c r="BC31">
        <v>1.39</v>
      </c>
      <c r="BD31" t="s">
        <v>348</v>
      </c>
      <c r="BE31" t="s">
        <v>348</v>
      </c>
      <c r="BF31">
        <v>10.89</v>
      </c>
      <c r="BG31" t="s">
        <v>348</v>
      </c>
      <c r="BH31" t="s">
        <v>348</v>
      </c>
      <c r="BI31" t="s">
        <v>348</v>
      </c>
      <c r="BJ31" t="s">
        <v>348</v>
      </c>
      <c r="BK31" t="s">
        <v>348</v>
      </c>
      <c r="BL31" t="s">
        <v>348</v>
      </c>
      <c r="BM31" t="s">
        <v>348</v>
      </c>
      <c r="BN31">
        <v>7.66</v>
      </c>
      <c r="BO31" t="s">
        <v>348</v>
      </c>
      <c r="BP31">
        <v>1.1200000000000001</v>
      </c>
      <c r="BQ31" t="s">
        <v>348</v>
      </c>
      <c r="BR31" t="s">
        <v>348</v>
      </c>
      <c r="BS31" t="s">
        <v>348</v>
      </c>
      <c r="BT31" t="s">
        <v>348</v>
      </c>
      <c r="BU31" t="s">
        <v>348</v>
      </c>
      <c r="BV31" t="s">
        <v>348</v>
      </c>
      <c r="BW31" t="s">
        <v>348</v>
      </c>
      <c r="BX31" t="s">
        <v>348</v>
      </c>
      <c r="BY31" t="s">
        <v>348</v>
      </c>
      <c r="BZ31">
        <v>6.5299999999999994</v>
      </c>
      <c r="CA31">
        <v>2.4299999999999997</v>
      </c>
      <c r="CB31" t="s">
        <v>348</v>
      </c>
      <c r="CC31" t="s">
        <v>348</v>
      </c>
      <c r="CD31" t="s">
        <v>348</v>
      </c>
      <c r="CE31" t="s">
        <v>348</v>
      </c>
      <c r="CF31" t="s">
        <v>348</v>
      </c>
      <c r="CG31">
        <v>1</v>
      </c>
      <c r="CH31">
        <v>5</v>
      </c>
      <c r="CI31">
        <v>322</v>
      </c>
    </row>
    <row r="32" spans="1:87" x14ac:dyDescent="0.25">
      <c r="A32">
        <v>31</v>
      </c>
      <c r="B32" s="51" t="s">
        <v>198</v>
      </c>
      <c r="C32">
        <v>44588</v>
      </c>
      <c r="D32" t="s">
        <v>348</v>
      </c>
      <c r="E32" t="s">
        <v>348</v>
      </c>
      <c r="F32" t="s">
        <v>348</v>
      </c>
      <c r="G32">
        <v>2.4500000000000002</v>
      </c>
      <c r="H32">
        <v>5.12</v>
      </c>
      <c r="I32">
        <v>11.33</v>
      </c>
      <c r="J32">
        <v>2.4300000000000002</v>
      </c>
      <c r="K32" t="s">
        <v>348</v>
      </c>
      <c r="L32">
        <v>22.67</v>
      </c>
      <c r="M32" t="s">
        <v>348</v>
      </c>
      <c r="N32">
        <v>14.11</v>
      </c>
      <c r="O32">
        <v>2.0499999999999998</v>
      </c>
      <c r="P32" t="s">
        <v>348</v>
      </c>
      <c r="Q32" t="s">
        <v>348</v>
      </c>
      <c r="R32" t="s">
        <v>348</v>
      </c>
      <c r="S32">
        <v>0.83</v>
      </c>
      <c r="T32" t="s">
        <v>348</v>
      </c>
      <c r="U32">
        <v>5.57</v>
      </c>
      <c r="V32" t="s">
        <v>348</v>
      </c>
      <c r="W32" t="s">
        <v>348</v>
      </c>
      <c r="X32">
        <v>10.32</v>
      </c>
      <c r="Y32">
        <v>2.71</v>
      </c>
      <c r="Z32">
        <v>1.5000000000000002</v>
      </c>
      <c r="AA32" t="s">
        <v>348</v>
      </c>
      <c r="AB32">
        <v>156.33000000000001</v>
      </c>
      <c r="AC32">
        <v>2.71</v>
      </c>
      <c r="AD32" t="s">
        <v>348</v>
      </c>
      <c r="AE32" t="s">
        <v>348</v>
      </c>
      <c r="AF32" t="s">
        <v>348</v>
      </c>
      <c r="AG32" t="s">
        <v>348</v>
      </c>
      <c r="AH32" t="s">
        <v>348</v>
      </c>
      <c r="AI32">
        <v>47.96</v>
      </c>
      <c r="AJ32" t="s">
        <v>348</v>
      </c>
      <c r="AK32" t="s">
        <v>348</v>
      </c>
      <c r="AL32" t="s">
        <v>348</v>
      </c>
      <c r="AM32">
        <v>4.42</v>
      </c>
      <c r="AN32" t="s">
        <v>348</v>
      </c>
      <c r="AO32" t="s">
        <v>348</v>
      </c>
      <c r="AP32">
        <v>6.11</v>
      </c>
      <c r="AQ32">
        <v>3.43</v>
      </c>
      <c r="AR32" t="s">
        <v>348</v>
      </c>
      <c r="AS32" t="s">
        <v>348</v>
      </c>
      <c r="AT32" t="s">
        <v>348</v>
      </c>
      <c r="AU32" t="s">
        <v>348</v>
      </c>
      <c r="AV32" t="s">
        <v>348</v>
      </c>
      <c r="AW32">
        <v>2.04</v>
      </c>
      <c r="AX32" t="s">
        <v>348</v>
      </c>
      <c r="AY32" t="s">
        <v>348</v>
      </c>
      <c r="AZ32" t="s">
        <v>348</v>
      </c>
      <c r="BA32" t="s">
        <v>348</v>
      </c>
      <c r="BB32" t="s">
        <v>348</v>
      </c>
      <c r="BC32">
        <v>1.52</v>
      </c>
      <c r="BD32" t="s">
        <v>348</v>
      </c>
      <c r="BE32" t="s">
        <v>348</v>
      </c>
      <c r="BF32" t="s">
        <v>348</v>
      </c>
      <c r="BG32" t="s">
        <v>348</v>
      </c>
      <c r="BH32" t="s">
        <v>348</v>
      </c>
      <c r="BI32" t="s">
        <v>348</v>
      </c>
      <c r="BJ32" t="s">
        <v>348</v>
      </c>
      <c r="BK32" t="s">
        <v>348</v>
      </c>
      <c r="BL32" t="s">
        <v>348</v>
      </c>
      <c r="BM32" t="s">
        <v>348</v>
      </c>
      <c r="BN32">
        <v>7.2</v>
      </c>
      <c r="BO32" t="s">
        <v>348</v>
      </c>
      <c r="BP32">
        <v>1.1100000000000001</v>
      </c>
      <c r="BQ32" t="s">
        <v>348</v>
      </c>
      <c r="BR32" t="s">
        <v>348</v>
      </c>
      <c r="BS32" t="s">
        <v>348</v>
      </c>
      <c r="BT32" t="s">
        <v>348</v>
      </c>
      <c r="BU32" t="s">
        <v>348</v>
      </c>
      <c r="BV32" t="s">
        <v>348</v>
      </c>
      <c r="BW32" t="s">
        <v>348</v>
      </c>
      <c r="BX32" t="s">
        <v>348</v>
      </c>
      <c r="BY32" t="s">
        <v>348</v>
      </c>
      <c r="BZ32">
        <v>5.0999999999999996</v>
      </c>
      <c r="CA32">
        <v>11.209999999999999</v>
      </c>
      <c r="CB32" t="s">
        <v>348</v>
      </c>
      <c r="CC32" t="s">
        <v>348</v>
      </c>
      <c r="CD32" t="s">
        <v>348</v>
      </c>
      <c r="CE32" t="s">
        <v>348</v>
      </c>
      <c r="CF32" t="s">
        <v>348</v>
      </c>
      <c r="CG32">
        <v>1</v>
      </c>
      <c r="CH32">
        <v>7</v>
      </c>
      <c r="CI32">
        <v>322</v>
      </c>
    </row>
    <row r="33" spans="1:87" x14ac:dyDescent="0.25">
      <c r="A33">
        <v>32</v>
      </c>
      <c r="B33" s="51" t="s">
        <v>199</v>
      </c>
      <c r="C33">
        <v>44588</v>
      </c>
      <c r="D33" t="s">
        <v>348</v>
      </c>
      <c r="E33" t="s">
        <v>348</v>
      </c>
      <c r="F33" t="s">
        <v>348</v>
      </c>
      <c r="G33">
        <v>8.02</v>
      </c>
      <c r="H33">
        <v>7.76</v>
      </c>
      <c r="I33">
        <v>22.53</v>
      </c>
      <c r="J33">
        <v>3.63</v>
      </c>
      <c r="K33" t="s">
        <v>348</v>
      </c>
      <c r="L33">
        <v>30.23</v>
      </c>
      <c r="M33" t="s">
        <v>348</v>
      </c>
      <c r="N33">
        <v>29.01</v>
      </c>
      <c r="O33">
        <v>3.62</v>
      </c>
      <c r="P33" t="s">
        <v>348</v>
      </c>
      <c r="Q33" t="s">
        <v>348</v>
      </c>
      <c r="R33" t="s">
        <v>348</v>
      </c>
      <c r="S33">
        <v>0.89</v>
      </c>
      <c r="T33" t="s">
        <v>348</v>
      </c>
      <c r="U33">
        <v>5.21</v>
      </c>
      <c r="V33" t="s">
        <v>348</v>
      </c>
      <c r="W33" t="s">
        <v>348</v>
      </c>
      <c r="X33">
        <v>2.25</v>
      </c>
      <c r="Y33">
        <v>2.16</v>
      </c>
      <c r="Z33">
        <v>1.3099999999999998</v>
      </c>
      <c r="AA33" t="s">
        <v>348</v>
      </c>
      <c r="AB33">
        <v>176.2</v>
      </c>
      <c r="AC33">
        <v>636.04999999999995</v>
      </c>
      <c r="AD33">
        <v>1.29</v>
      </c>
      <c r="AE33" t="s">
        <v>348</v>
      </c>
      <c r="AF33" t="s">
        <v>348</v>
      </c>
      <c r="AG33" t="s">
        <v>348</v>
      </c>
      <c r="AH33" t="s">
        <v>348</v>
      </c>
      <c r="AI33">
        <v>68.62</v>
      </c>
      <c r="AJ33" t="s">
        <v>348</v>
      </c>
      <c r="AK33" t="s">
        <v>348</v>
      </c>
      <c r="AL33" t="s">
        <v>348</v>
      </c>
      <c r="AM33">
        <v>4.63</v>
      </c>
      <c r="AN33" t="s">
        <v>348</v>
      </c>
      <c r="AO33" t="s">
        <v>348</v>
      </c>
      <c r="AP33">
        <v>10.06</v>
      </c>
      <c r="AQ33">
        <v>4.2</v>
      </c>
      <c r="AR33" t="s">
        <v>348</v>
      </c>
      <c r="AS33" t="s">
        <v>348</v>
      </c>
      <c r="AT33" t="s">
        <v>348</v>
      </c>
      <c r="AU33" t="s">
        <v>348</v>
      </c>
      <c r="AV33">
        <v>0.71</v>
      </c>
      <c r="AW33">
        <v>0.96</v>
      </c>
      <c r="AX33" t="s">
        <v>348</v>
      </c>
      <c r="AY33" t="s">
        <v>348</v>
      </c>
      <c r="AZ33" t="s">
        <v>348</v>
      </c>
      <c r="BA33" t="s">
        <v>348</v>
      </c>
      <c r="BB33" t="s">
        <v>348</v>
      </c>
      <c r="BC33">
        <v>0.84000000000000008</v>
      </c>
      <c r="BD33" t="s">
        <v>348</v>
      </c>
      <c r="BE33" t="s">
        <v>348</v>
      </c>
      <c r="BF33" t="s">
        <v>348</v>
      </c>
      <c r="BG33" t="s">
        <v>348</v>
      </c>
      <c r="BH33" t="s">
        <v>348</v>
      </c>
      <c r="BI33" t="s">
        <v>348</v>
      </c>
      <c r="BJ33" t="s">
        <v>348</v>
      </c>
      <c r="BK33" t="s">
        <v>348</v>
      </c>
      <c r="BL33" t="s">
        <v>348</v>
      </c>
      <c r="BM33" t="s">
        <v>348</v>
      </c>
      <c r="BN33">
        <v>8.7100000000000009</v>
      </c>
      <c r="BO33" t="s">
        <v>348</v>
      </c>
      <c r="BP33">
        <v>1.1100000000000001</v>
      </c>
      <c r="BQ33" t="s">
        <v>348</v>
      </c>
      <c r="BR33" t="s">
        <v>348</v>
      </c>
      <c r="BS33" t="s">
        <v>348</v>
      </c>
      <c r="BT33" t="s">
        <v>348</v>
      </c>
      <c r="BU33" t="s">
        <v>348</v>
      </c>
      <c r="BV33" t="s">
        <v>348</v>
      </c>
      <c r="BW33" t="s">
        <v>348</v>
      </c>
      <c r="BX33" t="s">
        <v>348</v>
      </c>
      <c r="BY33" t="s">
        <v>348</v>
      </c>
      <c r="BZ33">
        <v>7.99</v>
      </c>
      <c r="CA33">
        <v>4.01</v>
      </c>
      <c r="CB33" t="s">
        <v>348</v>
      </c>
      <c r="CC33" t="s">
        <v>348</v>
      </c>
      <c r="CD33" t="s">
        <v>348</v>
      </c>
      <c r="CE33" t="s">
        <v>348</v>
      </c>
      <c r="CF33" t="s">
        <v>348</v>
      </c>
      <c r="CG33">
        <v>1</v>
      </c>
      <c r="CH33">
        <v>7</v>
      </c>
      <c r="CI33">
        <v>322</v>
      </c>
    </row>
    <row r="34" spans="1:87" x14ac:dyDescent="0.25">
      <c r="A34">
        <v>33</v>
      </c>
      <c r="B34" s="51" t="s">
        <v>331</v>
      </c>
      <c r="C34">
        <v>44588</v>
      </c>
      <c r="D34" t="s">
        <v>348</v>
      </c>
      <c r="E34" t="s">
        <v>348</v>
      </c>
      <c r="F34" t="s">
        <v>348</v>
      </c>
      <c r="G34">
        <v>2.95</v>
      </c>
      <c r="H34" t="s">
        <v>348</v>
      </c>
      <c r="I34" t="s">
        <v>348</v>
      </c>
      <c r="J34">
        <v>7.87</v>
      </c>
      <c r="K34" t="s">
        <v>348</v>
      </c>
      <c r="L34">
        <v>184.87</v>
      </c>
      <c r="M34" t="s">
        <v>348</v>
      </c>
      <c r="N34">
        <v>342.74</v>
      </c>
      <c r="O34">
        <v>68.3</v>
      </c>
      <c r="P34" t="s">
        <v>348</v>
      </c>
      <c r="Q34" t="s">
        <v>348</v>
      </c>
      <c r="R34">
        <v>20.72</v>
      </c>
      <c r="S34">
        <v>1.24</v>
      </c>
      <c r="T34" t="s">
        <v>348</v>
      </c>
      <c r="U34">
        <v>815.72</v>
      </c>
      <c r="V34" t="s">
        <v>348</v>
      </c>
      <c r="W34" t="s">
        <v>348</v>
      </c>
      <c r="X34" t="s">
        <v>348</v>
      </c>
      <c r="Y34">
        <v>9.34</v>
      </c>
      <c r="Z34">
        <v>2888.8300000000004</v>
      </c>
      <c r="AA34" t="s">
        <v>348</v>
      </c>
      <c r="AB34">
        <v>76.56</v>
      </c>
      <c r="AC34">
        <v>10.97</v>
      </c>
      <c r="AD34">
        <v>3.24</v>
      </c>
      <c r="AE34" t="s">
        <v>348</v>
      </c>
      <c r="AF34" t="s">
        <v>348</v>
      </c>
      <c r="AG34" t="s">
        <v>348</v>
      </c>
      <c r="AH34" t="s">
        <v>348</v>
      </c>
      <c r="AI34">
        <v>9544.66</v>
      </c>
      <c r="AJ34" t="s">
        <v>348</v>
      </c>
      <c r="AK34">
        <v>24.46</v>
      </c>
      <c r="AL34" t="s">
        <v>348</v>
      </c>
      <c r="AM34">
        <v>13.709999999999999</v>
      </c>
      <c r="AN34" t="s">
        <v>348</v>
      </c>
      <c r="AO34">
        <v>3.91</v>
      </c>
      <c r="AP34">
        <v>258.23</v>
      </c>
      <c r="AQ34">
        <v>33.85</v>
      </c>
      <c r="AR34" t="s">
        <v>348</v>
      </c>
      <c r="AS34">
        <v>8</v>
      </c>
      <c r="AT34">
        <v>4781.66</v>
      </c>
      <c r="AU34" t="s">
        <v>348</v>
      </c>
      <c r="AV34" t="s">
        <v>348</v>
      </c>
      <c r="AW34">
        <v>2062.52</v>
      </c>
      <c r="AX34" t="s">
        <v>348</v>
      </c>
      <c r="AY34" t="s">
        <v>348</v>
      </c>
      <c r="AZ34" t="s">
        <v>348</v>
      </c>
      <c r="BA34" t="s">
        <v>348</v>
      </c>
      <c r="BB34" t="s">
        <v>348</v>
      </c>
      <c r="BC34">
        <v>2</v>
      </c>
      <c r="BD34" t="s">
        <v>348</v>
      </c>
      <c r="BE34" t="s">
        <v>348</v>
      </c>
      <c r="BF34" t="s">
        <v>348</v>
      </c>
      <c r="BG34" t="s">
        <v>348</v>
      </c>
      <c r="BH34" t="s">
        <v>348</v>
      </c>
      <c r="BI34" t="s">
        <v>348</v>
      </c>
      <c r="BJ34" t="s">
        <v>348</v>
      </c>
      <c r="BK34" t="s">
        <v>348</v>
      </c>
      <c r="BL34" t="s">
        <v>348</v>
      </c>
      <c r="BM34" t="s">
        <v>348</v>
      </c>
      <c r="BN34">
        <v>42.51</v>
      </c>
      <c r="BO34" t="s">
        <v>348</v>
      </c>
      <c r="BP34">
        <v>20.68</v>
      </c>
      <c r="BQ34" t="s">
        <v>348</v>
      </c>
      <c r="BR34" t="s">
        <v>348</v>
      </c>
      <c r="BS34" t="s">
        <v>348</v>
      </c>
      <c r="BT34" t="s">
        <v>348</v>
      </c>
      <c r="BU34" t="s">
        <v>348</v>
      </c>
      <c r="BV34" t="s">
        <v>348</v>
      </c>
      <c r="BW34" t="s">
        <v>348</v>
      </c>
      <c r="BX34" t="s">
        <v>348</v>
      </c>
      <c r="BY34" t="s">
        <v>348</v>
      </c>
      <c r="BZ34" t="s">
        <v>348</v>
      </c>
      <c r="CA34">
        <v>13.000000000000002</v>
      </c>
      <c r="CB34" t="s">
        <v>348</v>
      </c>
      <c r="CC34" t="s">
        <v>348</v>
      </c>
      <c r="CD34" t="s">
        <v>348</v>
      </c>
      <c r="CE34" t="s">
        <v>348</v>
      </c>
      <c r="CF34" t="s">
        <v>348</v>
      </c>
      <c r="CG34">
        <v>1</v>
      </c>
      <c r="CH34">
        <v>5</v>
      </c>
      <c r="CI34">
        <v>322</v>
      </c>
    </row>
    <row r="35" spans="1:87" x14ac:dyDescent="0.25">
      <c r="A35">
        <v>34</v>
      </c>
      <c r="B35" s="51" t="s">
        <v>203</v>
      </c>
      <c r="C35">
        <v>44588</v>
      </c>
      <c r="D35" t="s">
        <v>348</v>
      </c>
      <c r="E35" t="s">
        <v>348</v>
      </c>
      <c r="F35" t="s">
        <v>348</v>
      </c>
      <c r="G35" t="s">
        <v>348</v>
      </c>
      <c r="H35" t="s">
        <v>348</v>
      </c>
      <c r="I35" t="s">
        <v>348</v>
      </c>
      <c r="J35">
        <v>0.36</v>
      </c>
      <c r="K35" t="s">
        <v>348</v>
      </c>
      <c r="L35">
        <v>10.89</v>
      </c>
      <c r="M35" t="s">
        <v>348</v>
      </c>
      <c r="N35">
        <v>7.31</v>
      </c>
      <c r="O35">
        <v>0.68</v>
      </c>
      <c r="P35" t="s">
        <v>348</v>
      </c>
      <c r="Q35" t="s">
        <v>348</v>
      </c>
      <c r="R35" t="s">
        <v>348</v>
      </c>
      <c r="S35">
        <v>0.89</v>
      </c>
      <c r="T35" t="s">
        <v>348</v>
      </c>
      <c r="U35" t="s">
        <v>348</v>
      </c>
      <c r="V35" t="s">
        <v>348</v>
      </c>
      <c r="W35" t="s">
        <v>348</v>
      </c>
      <c r="X35" t="s">
        <v>348</v>
      </c>
      <c r="Y35">
        <v>5.38</v>
      </c>
      <c r="Z35">
        <v>0.66999999999999993</v>
      </c>
      <c r="AA35" t="s">
        <v>348</v>
      </c>
      <c r="AB35">
        <v>34.5</v>
      </c>
      <c r="AC35" t="s">
        <v>348</v>
      </c>
      <c r="AD35" t="s">
        <v>348</v>
      </c>
      <c r="AE35" t="s">
        <v>348</v>
      </c>
      <c r="AF35" t="s">
        <v>348</v>
      </c>
      <c r="AG35" t="s">
        <v>348</v>
      </c>
      <c r="AH35" t="s">
        <v>348</v>
      </c>
      <c r="AI35">
        <v>19.829999999999998</v>
      </c>
      <c r="AJ35" t="s">
        <v>348</v>
      </c>
      <c r="AK35">
        <v>4.3899999999999997</v>
      </c>
      <c r="AL35" t="s">
        <v>348</v>
      </c>
      <c r="AM35">
        <v>0.55000000000000004</v>
      </c>
      <c r="AN35" t="s">
        <v>348</v>
      </c>
      <c r="AO35" t="s">
        <v>348</v>
      </c>
      <c r="AP35" t="s">
        <v>348</v>
      </c>
      <c r="AQ35">
        <v>1.23</v>
      </c>
      <c r="AR35" t="s">
        <v>348</v>
      </c>
      <c r="AS35" t="s">
        <v>348</v>
      </c>
      <c r="AT35" t="s">
        <v>348</v>
      </c>
      <c r="AU35" t="s">
        <v>348</v>
      </c>
      <c r="AV35" t="s">
        <v>348</v>
      </c>
      <c r="AW35">
        <v>5.47</v>
      </c>
      <c r="AX35" t="s">
        <v>348</v>
      </c>
      <c r="AY35" t="s">
        <v>348</v>
      </c>
      <c r="AZ35" t="s">
        <v>348</v>
      </c>
      <c r="BA35" t="s">
        <v>348</v>
      </c>
      <c r="BB35" t="s">
        <v>348</v>
      </c>
      <c r="BC35">
        <v>3.11</v>
      </c>
      <c r="BD35" t="s">
        <v>348</v>
      </c>
      <c r="BE35" t="s">
        <v>348</v>
      </c>
      <c r="BF35" t="s">
        <v>348</v>
      </c>
      <c r="BG35" t="s">
        <v>348</v>
      </c>
      <c r="BH35" t="s">
        <v>348</v>
      </c>
      <c r="BI35" t="s">
        <v>348</v>
      </c>
      <c r="BJ35" t="s">
        <v>348</v>
      </c>
      <c r="BK35" t="s">
        <v>348</v>
      </c>
      <c r="BL35" t="s">
        <v>348</v>
      </c>
      <c r="BM35" t="s">
        <v>348</v>
      </c>
      <c r="BN35">
        <v>3.52</v>
      </c>
      <c r="BO35" t="s">
        <v>348</v>
      </c>
      <c r="BP35" t="s">
        <v>348</v>
      </c>
      <c r="BQ35" t="s">
        <v>348</v>
      </c>
      <c r="BR35" t="s">
        <v>348</v>
      </c>
      <c r="BS35" t="s">
        <v>348</v>
      </c>
      <c r="BT35" t="s">
        <v>348</v>
      </c>
      <c r="BU35" t="s">
        <v>348</v>
      </c>
      <c r="BV35" t="s">
        <v>348</v>
      </c>
      <c r="BW35" t="s">
        <v>348</v>
      </c>
      <c r="BX35" t="s">
        <v>348</v>
      </c>
      <c r="BY35" t="s">
        <v>348</v>
      </c>
      <c r="BZ35" t="s">
        <v>348</v>
      </c>
      <c r="CA35">
        <v>2.0600000000000005</v>
      </c>
      <c r="CB35" t="s">
        <v>348</v>
      </c>
      <c r="CC35" t="s">
        <v>348</v>
      </c>
      <c r="CD35" t="s">
        <v>348</v>
      </c>
      <c r="CE35" t="s">
        <v>348</v>
      </c>
      <c r="CF35" t="s">
        <v>348</v>
      </c>
      <c r="CG35">
        <v>1</v>
      </c>
      <c r="CH35">
        <v>5</v>
      </c>
      <c r="CI35">
        <v>322</v>
      </c>
    </row>
    <row r="36" spans="1:87" x14ac:dyDescent="0.25">
      <c r="A36">
        <v>35</v>
      </c>
      <c r="B36" s="51" t="s">
        <v>202</v>
      </c>
      <c r="C36">
        <v>44588</v>
      </c>
      <c r="D36">
        <v>6.66</v>
      </c>
      <c r="E36">
        <v>1.64</v>
      </c>
      <c r="F36" t="s">
        <v>348</v>
      </c>
      <c r="G36">
        <v>7.8</v>
      </c>
      <c r="H36">
        <v>14.68</v>
      </c>
      <c r="I36">
        <v>18.489999999999998</v>
      </c>
      <c r="J36">
        <v>2.2799999999999998</v>
      </c>
      <c r="K36">
        <v>14.06</v>
      </c>
      <c r="L36">
        <v>99.32</v>
      </c>
      <c r="M36">
        <v>52.949999999999996</v>
      </c>
      <c r="N36">
        <v>490.85</v>
      </c>
      <c r="O36">
        <v>92.02</v>
      </c>
      <c r="P36" t="s">
        <v>348</v>
      </c>
      <c r="Q36" t="s">
        <v>348</v>
      </c>
      <c r="R36">
        <v>20.07</v>
      </c>
      <c r="S36">
        <v>1.68</v>
      </c>
      <c r="T36" t="s">
        <v>348</v>
      </c>
      <c r="U36">
        <v>212.87</v>
      </c>
      <c r="V36" t="s">
        <v>348</v>
      </c>
      <c r="W36" t="s">
        <v>348</v>
      </c>
      <c r="X36" t="s">
        <v>348</v>
      </c>
      <c r="Y36">
        <v>9.3000000000000007</v>
      </c>
      <c r="Z36">
        <v>138.38</v>
      </c>
      <c r="AA36" t="s">
        <v>348</v>
      </c>
      <c r="AB36">
        <v>600.87</v>
      </c>
      <c r="AC36">
        <v>3.44</v>
      </c>
      <c r="AD36" t="s">
        <v>348</v>
      </c>
      <c r="AE36" t="s">
        <v>348</v>
      </c>
      <c r="AF36" t="s">
        <v>348</v>
      </c>
      <c r="AG36" t="s">
        <v>348</v>
      </c>
      <c r="AH36">
        <v>0.28999999999999998</v>
      </c>
      <c r="AI36">
        <v>1927.36</v>
      </c>
      <c r="AJ36" t="s">
        <v>348</v>
      </c>
      <c r="AK36">
        <v>71.06</v>
      </c>
      <c r="AL36" t="s">
        <v>348</v>
      </c>
      <c r="AM36">
        <v>6.83</v>
      </c>
      <c r="AN36" t="s">
        <v>348</v>
      </c>
      <c r="AO36" t="s">
        <v>348</v>
      </c>
      <c r="AP36">
        <v>511.53</v>
      </c>
      <c r="AQ36">
        <v>7.03</v>
      </c>
      <c r="AR36" t="s">
        <v>348</v>
      </c>
      <c r="AS36" t="s">
        <v>348</v>
      </c>
      <c r="AT36">
        <v>267.87</v>
      </c>
      <c r="AU36" t="s">
        <v>348</v>
      </c>
      <c r="AV36">
        <v>0.86</v>
      </c>
      <c r="AW36">
        <v>41.17</v>
      </c>
      <c r="AX36" t="s">
        <v>348</v>
      </c>
      <c r="AY36" t="s">
        <v>348</v>
      </c>
      <c r="AZ36" t="s">
        <v>348</v>
      </c>
      <c r="BA36" t="s">
        <v>348</v>
      </c>
      <c r="BB36" t="s">
        <v>348</v>
      </c>
      <c r="BC36">
        <v>2.61</v>
      </c>
      <c r="BD36" t="s">
        <v>348</v>
      </c>
      <c r="BE36">
        <v>3.53</v>
      </c>
      <c r="BF36" t="s">
        <v>348</v>
      </c>
      <c r="BG36" t="s">
        <v>348</v>
      </c>
      <c r="BH36" t="s">
        <v>348</v>
      </c>
      <c r="BI36" t="s">
        <v>348</v>
      </c>
      <c r="BJ36" t="s">
        <v>348</v>
      </c>
      <c r="BK36" t="s">
        <v>348</v>
      </c>
      <c r="BL36" t="s">
        <v>348</v>
      </c>
      <c r="BM36" t="s">
        <v>348</v>
      </c>
      <c r="BN36">
        <v>7.32</v>
      </c>
      <c r="BO36" t="s">
        <v>348</v>
      </c>
      <c r="BP36">
        <v>0.51</v>
      </c>
      <c r="BQ36" t="s">
        <v>348</v>
      </c>
      <c r="BR36" t="s">
        <v>348</v>
      </c>
      <c r="BS36">
        <v>0.73</v>
      </c>
      <c r="BT36" t="s">
        <v>348</v>
      </c>
      <c r="BU36">
        <v>1.1499999999999999</v>
      </c>
      <c r="BV36" t="s">
        <v>348</v>
      </c>
      <c r="BW36" t="s">
        <v>348</v>
      </c>
      <c r="BX36" t="s">
        <v>348</v>
      </c>
      <c r="BY36" t="s">
        <v>348</v>
      </c>
      <c r="BZ36" t="s">
        <v>348</v>
      </c>
      <c r="CA36">
        <v>6.33</v>
      </c>
      <c r="CB36" t="s">
        <v>348</v>
      </c>
      <c r="CC36" t="s">
        <v>348</v>
      </c>
      <c r="CD36" t="s">
        <v>348</v>
      </c>
      <c r="CE36" t="s">
        <v>348</v>
      </c>
      <c r="CF36" t="s">
        <v>348</v>
      </c>
      <c r="CG36">
        <v>1</v>
      </c>
      <c r="CH36">
        <v>6</v>
      </c>
      <c r="CI36">
        <v>322</v>
      </c>
    </row>
    <row r="37" spans="1:87" x14ac:dyDescent="0.25">
      <c r="A37">
        <v>36</v>
      </c>
      <c r="B37" s="51" t="s">
        <v>201</v>
      </c>
      <c r="C37">
        <v>44588</v>
      </c>
      <c r="D37" t="s">
        <v>348</v>
      </c>
      <c r="E37" t="s">
        <v>348</v>
      </c>
      <c r="F37" t="s">
        <v>348</v>
      </c>
      <c r="G37">
        <v>6.88</v>
      </c>
      <c r="H37">
        <v>18.579999999999998</v>
      </c>
      <c r="I37">
        <v>30</v>
      </c>
      <c r="J37">
        <v>1.5</v>
      </c>
      <c r="K37" t="s">
        <v>348</v>
      </c>
      <c r="L37">
        <v>111.21</v>
      </c>
      <c r="M37" t="s">
        <v>348</v>
      </c>
      <c r="N37">
        <v>661.81</v>
      </c>
      <c r="O37">
        <v>126.4</v>
      </c>
      <c r="P37" t="s">
        <v>348</v>
      </c>
      <c r="Q37" t="s">
        <v>348</v>
      </c>
      <c r="R37">
        <v>29.14</v>
      </c>
      <c r="S37">
        <v>0.85</v>
      </c>
      <c r="T37" t="s">
        <v>348</v>
      </c>
      <c r="U37">
        <v>290.63</v>
      </c>
      <c r="V37" t="s">
        <v>348</v>
      </c>
      <c r="W37" t="s">
        <v>348</v>
      </c>
      <c r="X37" t="s">
        <v>348</v>
      </c>
      <c r="Y37">
        <v>9.0799999999999983</v>
      </c>
      <c r="Z37">
        <v>55.050000000000004</v>
      </c>
      <c r="AA37" t="s">
        <v>348</v>
      </c>
      <c r="AB37">
        <v>258.56</v>
      </c>
      <c r="AC37">
        <v>3.59</v>
      </c>
      <c r="AD37" t="s">
        <v>348</v>
      </c>
      <c r="AE37" t="s">
        <v>348</v>
      </c>
      <c r="AF37" t="s">
        <v>348</v>
      </c>
      <c r="AG37" t="s">
        <v>348</v>
      </c>
      <c r="AH37">
        <v>0.38</v>
      </c>
      <c r="AI37">
        <v>1981.27</v>
      </c>
      <c r="AJ37" t="s">
        <v>348</v>
      </c>
      <c r="AK37">
        <v>76.62</v>
      </c>
      <c r="AL37" t="s">
        <v>348</v>
      </c>
      <c r="AM37">
        <v>8.9</v>
      </c>
      <c r="AN37" t="s">
        <v>348</v>
      </c>
      <c r="AO37" t="s">
        <v>348</v>
      </c>
      <c r="AP37">
        <v>677.86</v>
      </c>
      <c r="AQ37">
        <v>7.11</v>
      </c>
      <c r="AR37" t="s">
        <v>348</v>
      </c>
      <c r="AS37" t="s">
        <v>348</v>
      </c>
      <c r="AT37">
        <v>124.38</v>
      </c>
      <c r="AU37" t="s">
        <v>348</v>
      </c>
      <c r="AV37" t="s">
        <v>348</v>
      </c>
      <c r="AW37">
        <v>26.45</v>
      </c>
      <c r="AX37" t="s">
        <v>348</v>
      </c>
      <c r="AY37" t="s">
        <v>348</v>
      </c>
      <c r="AZ37" t="s">
        <v>348</v>
      </c>
      <c r="BA37" t="s">
        <v>348</v>
      </c>
      <c r="BB37" t="s">
        <v>348</v>
      </c>
      <c r="BC37">
        <v>1.4</v>
      </c>
      <c r="BD37" t="s">
        <v>348</v>
      </c>
      <c r="BE37" t="s">
        <v>348</v>
      </c>
      <c r="BF37" t="s">
        <v>348</v>
      </c>
      <c r="BG37" t="s">
        <v>348</v>
      </c>
      <c r="BH37" t="s">
        <v>348</v>
      </c>
      <c r="BI37" t="s">
        <v>348</v>
      </c>
      <c r="BJ37" t="s">
        <v>348</v>
      </c>
      <c r="BK37" t="s">
        <v>348</v>
      </c>
      <c r="BL37" t="s">
        <v>348</v>
      </c>
      <c r="BM37" t="s">
        <v>348</v>
      </c>
      <c r="BN37">
        <v>7.68</v>
      </c>
      <c r="BO37" t="s">
        <v>348</v>
      </c>
      <c r="BP37" t="s">
        <v>348</v>
      </c>
      <c r="BQ37" t="s">
        <v>348</v>
      </c>
      <c r="BR37" t="s">
        <v>348</v>
      </c>
      <c r="BS37" t="s">
        <v>348</v>
      </c>
      <c r="BT37" t="s">
        <v>348</v>
      </c>
      <c r="BU37" t="s">
        <v>348</v>
      </c>
      <c r="BV37" t="s">
        <v>348</v>
      </c>
      <c r="BW37" t="s">
        <v>348</v>
      </c>
      <c r="BX37" t="s">
        <v>348</v>
      </c>
      <c r="BY37" t="s">
        <v>348</v>
      </c>
      <c r="BZ37">
        <v>8.7200000000000006</v>
      </c>
      <c r="CA37">
        <v>4.7699999999999996</v>
      </c>
      <c r="CB37" t="s">
        <v>348</v>
      </c>
      <c r="CC37" t="s">
        <v>348</v>
      </c>
      <c r="CD37" t="s">
        <v>348</v>
      </c>
      <c r="CE37" t="s">
        <v>348</v>
      </c>
      <c r="CF37" t="s">
        <v>348</v>
      </c>
      <c r="CG37">
        <v>1</v>
      </c>
      <c r="CH37">
        <v>6</v>
      </c>
      <c r="CI37">
        <v>322</v>
      </c>
    </row>
    <row r="38" spans="1:87" ht="14.4" thickBot="1" x14ac:dyDescent="0.3">
      <c r="A38">
        <v>37</v>
      </c>
      <c r="B38" s="51" t="s">
        <v>200</v>
      </c>
      <c r="C38">
        <v>44588</v>
      </c>
      <c r="D38" t="s">
        <v>348</v>
      </c>
      <c r="E38" t="s">
        <v>348</v>
      </c>
      <c r="F38" t="s">
        <v>348</v>
      </c>
      <c r="G38">
        <v>6.58</v>
      </c>
      <c r="H38">
        <v>20.68</v>
      </c>
      <c r="I38">
        <v>23.8</v>
      </c>
      <c r="J38">
        <v>5.04</v>
      </c>
      <c r="K38" t="s">
        <v>348</v>
      </c>
      <c r="L38">
        <v>107.5</v>
      </c>
      <c r="M38" t="s">
        <v>348</v>
      </c>
      <c r="N38">
        <v>328.71</v>
      </c>
      <c r="O38">
        <v>73.78</v>
      </c>
      <c r="P38" t="s">
        <v>348</v>
      </c>
      <c r="Q38" t="s">
        <v>348</v>
      </c>
      <c r="R38">
        <v>20.149999999999999</v>
      </c>
      <c r="S38">
        <v>1.26</v>
      </c>
      <c r="T38" t="s">
        <v>348</v>
      </c>
      <c r="U38">
        <v>378.66</v>
      </c>
      <c r="V38" t="s">
        <v>348</v>
      </c>
      <c r="W38" t="s">
        <v>348</v>
      </c>
      <c r="X38" t="s">
        <v>348</v>
      </c>
      <c r="Y38">
        <v>7.61</v>
      </c>
      <c r="Z38">
        <v>907.04</v>
      </c>
      <c r="AA38" t="s">
        <v>348</v>
      </c>
      <c r="AB38">
        <v>433.69</v>
      </c>
      <c r="AC38">
        <v>13.44</v>
      </c>
      <c r="AD38" t="s">
        <v>348</v>
      </c>
      <c r="AE38" t="s">
        <v>348</v>
      </c>
      <c r="AF38">
        <v>6.64</v>
      </c>
      <c r="AG38" t="s">
        <v>348</v>
      </c>
      <c r="AH38" t="s">
        <v>348</v>
      </c>
      <c r="AI38">
        <v>3028.99</v>
      </c>
      <c r="AJ38" t="s">
        <v>348</v>
      </c>
      <c r="AK38">
        <v>36.11</v>
      </c>
      <c r="AL38" t="s">
        <v>348</v>
      </c>
      <c r="AM38">
        <v>13.36</v>
      </c>
      <c r="AN38" t="s">
        <v>348</v>
      </c>
      <c r="AO38" t="s">
        <v>348</v>
      </c>
      <c r="AP38">
        <v>546.09</v>
      </c>
      <c r="AQ38">
        <v>33.379999999999995</v>
      </c>
      <c r="AR38" t="s">
        <v>348</v>
      </c>
      <c r="AS38" t="s">
        <v>348</v>
      </c>
      <c r="AT38">
        <v>1558.16</v>
      </c>
      <c r="AU38" t="s">
        <v>348</v>
      </c>
      <c r="AV38">
        <v>4.21</v>
      </c>
      <c r="AW38">
        <v>509.42</v>
      </c>
      <c r="AX38" t="s">
        <v>348</v>
      </c>
      <c r="AY38" t="s">
        <v>348</v>
      </c>
      <c r="AZ38" t="s">
        <v>348</v>
      </c>
      <c r="BA38" t="s">
        <v>348</v>
      </c>
      <c r="BB38" t="s">
        <v>348</v>
      </c>
      <c r="BC38">
        <v>7.5</v>
      </c>
      <c r="BD38" t="s">
        <v>348</v>
      </c>
      <c r="BE38" t="s">
        <v>348</v>
      </c>
      <c r="BF38" t="s">
        <v>348</v>
      </c>
      <c r="BG38" t="s">
        <v>348</v>
      </c>
      <c r="BH38" t="s">
        <v>348</v>
      </c>
      <c r="BI38">
        <v>139.66</v>
      </c>
      <c r="BJ38" t="s">
        <v>348</v>
      </c>
      <c r="BK38" t="s">
        <v>348</v>
      </c>
      <c r="BL38" t="s">
        <v>348</v>
      </c>
      <c r="BM38" t="s">
        <v>348</v>
      </c>
      <c r="BN38">
        <v>34.33</v>
      </c>
      <c r="BO38" t="s">
        <v>348</v>
      </c>
      <c r="BP38" s="26">
        <v>5.82</v>
      </c>
      <c r="BQ38" s="26" t="s">
        <v>348</v>
      </c>
      <c r="BR38" s="26" t="s">
        <v>348</v>
      </c>
      <c r="BS38" s="26" t="s">
        <v>348</v>
      </c>
      <c r="BT38" s="26" t="s">
        <v>348</v>
      </c>
      <c r="BU38" s="26" t="s">
        <v>348</v>
      </c>
      <c r="BV38" s="26" t="s">
        <v>348</v>
      </c>
      <c r="BW38" s="26" t="s">
        <v>348</v>
      </c>
      <c r="BX38" s="26" t="s">
        <v>348</v>
      </c>
      <c r="BY38" s="26" t="s">
        <v>348</v>
      </c>
      <c r="BZ38" s="26">
        <v>10.97</v>
      </c>
      <c r="CA38" s="26">
        <v>8.2799999999999994</v>
      </c>
      <c r="CB38" s="26" t="s">
        <v>348</v>
      </c>
      <c r="CC38" s="26" t="s">
        <v>348</v>
      </c>
      <c r="CD38" t="s">
        <v>348</v>
      </c>
      <c r="CE38" t="s">
        <v>348</v>
      </c>
      <c r="CF38" t="s">
        <v>348</v>
      </c>
      <c r="CG38">
        <v>1</v>
      </c>
      <c r="CH38">
        <v>7</v>
      </c>
      <c r="CI38">
        <v>322</v>
      </c>
    </row>
    <row r="39" spans="1:87" x14ac:dyDescent="0.25">
      <c r="A39">
        <v>38</v>
      </c>
      <c r="B39" s="51" t="s">
        <v>333</v>
      </c>
      <c r="C39">
        <v>44595.583333333336</v>
      </c>
      <c r="D39">
        <v>1211.56</v>
      </c>
      <c r="E39">
        <v>3.69</v>
      </c>
      <c r="F39">
        <v>0.79</v>
      </c>
      <c r="G39">
        <v>3.57</v>
      </c>
      <c r="H39" t="s">
        <v>348</v>
      </c>
      <c r="I39" t="s">
        <v>348</v>
      </c>
      <c r="J39">
        <v>7.68</v>
      </c>
      <c r="K39">
        <v>284.19</v>
      </c>
      <c r="L39">
        <v>44.79</v>
      </c>
      <c r="M39">
        <v>18979.27</v>
      </c>
      <c r="N39">
        <v>322.55</v>
      </c>
      <c r="O39">
        <v>31.2</v>
      </c>
      <c r="P39">
        <v>19.86</v>
      </c>
      <c r="Q39">
        <v>46.34</v>
      </c>
      <c r="R39">
        <v>991.19</v>
      </c>
      <c r="S39">
        <v>11.12</v>
      </c>
      <c r="T39">
        <v>1.1599999999999999</v>
      </c>
      <c r="U39">
        <v>52.52</v>
      </c>
      <c r="V39" t="s">
        <v>348</v>
      </c>
      <c r="W39" t="s">
        <v>348</v>
      </c>
      <c r="X39">
        <v>239.97</v>
      </c>
      <c r="Y39">
        <v>6.0900000000000007</v>
      </c>
      <c r="Z39">
        <v>5.71</v>
      </c>
      <c r="AA39">
        <v>7.45</v>
      </c>
      <c r="AB39">
        <v>426.45</v>
      </c>
      <c r="AC39">
        <v>28.98</v>
      </c>
      <c r="AD39">
        <v>15.27</v>
      </c>
      <c r="AE39" t="s">
        <v>348</v>
      </c>
      <c r="AF39">
        <v>1.62</v>
      </c>
      <c r="AG39">
        <v>12.09</v>
      </c>
      <c r="AH39">
        <v>0.47</v>
      </c>
      <c r="AI39">
        <v>180.68</v>
      </c>
      <c r="AJ39">
        <v>1.23</v>
      </c>
      <c r="AK39">
        <v>156.07</v>
      </c>
      <c r="AL39" t="s">
        <v>348</v>
      </c>
      <c r="AM39">
        <v>21.32</v>
      </c>
      <c r="AN39" t="s">
        <v>348</v>
      </c>
      <c r="AO39" t="s">
        <v>348</v>
      </c>
      <c r="AP39">
        <v>123.99</v>
      </c>
      <c r="AQ39">
        <v>456.65</v>
      </c>
      <c r="AR39">
        <v>19.53</v>
      </c>
      <c r="AS39">
        <v>7.21</v>
      </c>
      <c r="AT39">
        <v>12.72</v>
      </c>
      <c r="AU39" t="s">
        <v>348</v>
      </c>
      <c r="AV39">
        <v>66.34</v>
      </c>
      <c r="AW39" t="s">
        <v>348</v>
      </c>
      <c r="AX39" t="s">
        <v>348</v>
      </c>
      <c r="AY39" t="s">
        <v>348</v>
      </c>
      <c r="AZ39" t="s">
        <v>348</v>
      </c>
      <c r="BA39">
        <v>43.91</v>
      </c>
      <c r="BB39" t="s">
        <v>348</v>
      </c>
      <c r="BC39">
        <v>31.87</v>
      </c>
      <c r="BD39" t="s">
        <v>348</v>
      </c>
      <c r="BE39">
        <v>4.68</v>
      </c>
      <c r="BF39">
        <v>12.81</v>
      </c>
      <c r="BG39" t="s">
        <v>348</v>
      </c>
      <c r="BH39" t="s">
        <v>348</v>
      </c>
      <c r="BI39">
        <v>16</v>
      </c>
      <c r="BJ39" t="s">
        <v>348</v>
      </c>
      <c r="BK39">
        <v>70.77</v>
      </c>
      <c r="BL39">
        <v>69.06</v>
      </c>
      <c r="BM39" t="s">
        <v>348</v>
      </c>
      <c r="BN39">
        <v>12.07</v>
      </c>
      <c r="BO39" t="s">
        <v>348</v>
      </c>
      <c r="BP39">
        <v>21.47</v>
      </c>
      <c r="BQ39">
        <v>0.84</v>
      </c>
      <c r="BR39">
        <v>23.21</v>
      </c>
      <c r="BS39" t="s">
        <v>348</v>
      </c>
      <c r="BT39" t="s">
        <v>348</v>
      </c>
      <c r="BU39">
        <v>3.25</v>
      </c>
      <c r="BV39" t="s">
        <v>348</v>
      </c>
      <c r="BW39">
        <v>10.51</v>
      </c>
      <c r="BX39">
        <v>2419.17</v>
      </c>
      <c r="BY39">
        <v>398.07</v>
      </c>
      <c r="BZ39" t="s">
        <v>348</v>
      </c>
      <c r="CA39">
        <v>11.13</v>
      </c>
      <c r="CB39" t="s">
        <v>348</v>
      </c>
      <c r="CC39" t="s">
        <v>348</v>
      </c>
      <c r="CD39" t="s">
        <v>348</v>
      </c>
      <c r="CE39">
        <v>10.61</v>
      </c>
      <c r="CF39" t="s">
        <v>348</v>
      </c>
      <c r="CG39">
        <v>3</v>
      </c>
      <c r="CH39">
        <v>8</v>
      </c>
      <c r="CI39">
        <v>4</v>
      </c>
    </row>
    <row r="40" spans="1:87" x14ac:dyDescent="0.25">
      <c r="A40">
        <v>39</v>
      </c>
      <c r="B40" s="51" t="s">
        <v>204</v>
      </c>
      <c r="C40" s="55">
        <v>44584.486111111109</v>
      </c>
      <c r="D40" s="55" t="s">
        <v>348</v>
      </c>
      <c r="E40" s="55" t="s">
        <v>348</v>
      </c>
      <c r="F40" s="55" t="s">
        <v>348</v>
      </c>
      <c r="G40" s="55" t="s">
        <v>348</v>
      </c>
      <c r="H40" s="55" t="s">
        <v>348</v>
      </c>
      <c r="I40" s="55" t="s">
        <v>348</v>
      </c>
      <c r="J40" s="55">
        <v>1.04</v>
      </c>
      <c r="K40" s="55" t="s">
        <v>348</v>
      </c>
      <c r="L40" s="55" t="s">
        <v>348</v>
      </c>
      <c r="M40" s="55">
        <v>121.67000000000002</v>
      </c>
      <c r="N40" s="55">
        <v>5.91</v>
      </c>
      <c r="O40" s="55">
        <v>0.51</v>
      </c>
      <c r="P40" s="55" t="s">
        <v>348</v>
      </c>
      <c r="Q40" s="55" t="s">
        <v>348</v>
      </c>
      <c r="R40" s="55" t="s">
        <v>348</v>
      </c>
      <c r="S40" s="55">
        <v>0.69</v>
      </c>
      <c r="T40" s="55" t="s">
        <v>348</v>
      </c>
      <c r="U40" s="55" t="s">
        <v>348</v>
      </c>
      <c r="V40" s="55" t="s">
        <v>348</v>
      </c>
      <c r="W40" s="55">
        <v>0.37</v>
      </c>
      <c r="X40" s="55" t="s">
        <v>348</v>
      </c>
      <c r="Y40" s="55">
        <v>1.6900000000000004</v>
      </c>
      <c r="Z40" s="55">
        <v>0.17000000000000004</v>
      </c>
      <c r="AA40" s="55" t="s">
        <v>348</v>
      </c>
      <c r="AB40" s="55">
        <v>17.87</v>
      </c>
      <c r="AC40" s="55" t="s">
        <v>348</v>
      </c>
      <c r="AD40" s="55" t="s">
        <v>348</v>
      </c>
      <c r="AE40" s="55" t="s">
        <v>348</v>
      </c>
      <c r="AF40" s="55">
        <v>1.76</v>
      </c>
      <c r="AG40" s="55" t="s">
        <v>348</v>
      </c>
      <c r="AH40" s="55" t="s">
        <v>348</v>
      </c>
      <c r="AI40" s="55">
        <v>4.78</v>
      </c>
      <c r="AJ40" s="55" t="s">
        <v>348</v>
      </c>
      <c r="AK40" s="55" t="s">
        <v>348</v>
      </c>
      <c r="AL40" s="55" t="s">
        <v>348</v>
      </c>
      <c r="AM40" s="55">
        <v>1.44</v>
      </c>
      <c r="AN40" s="55" t="s">
        <v>348</v>
      </c>
      <c r="AO40" s="55" t="s">
        <v>348</v>
      </c>
      <c r="AP40" s="55">
        <v>2.12</v>
      </c>
      <c r="AQ40" s="55">
        <v>6.66</v>
      </c>
      <c r="AR40" s="55" t="s">
        <v>348</v>
      </c>
      <c r="AS40" s="55" t="s">
        <v>348</v>
      </c>
      <c r="AT40" s="55" t="s">
        <v>348</v>
      </c>
      <c r="AU40" s="55" t="s">
        <v>348</v>
      </c>
      <c r="AV40" s="55" t="s">
        <v>348</v>
      </c>
      <c r="AW40" s="55">
        <v>0.98</v>
      </c>
      <c r="AX40" s="55" t="s">
        <v>348</v>
      </c>
      <c r="AY40" s="55" t="s">
        <v>348</v>
      </c>
      <c r="AZ40" s="55" t="s">
        <v>348</v>
      </c>
      <c r="BA40" s="55" t="s">
        <v>348</v>
      </c>
      <c r="BB40" s="55" t="s">
        <v>348</v>
      </c>
      <c r="BC40" s="55">
        <v>12.77</v>
      </c>
      <c r="BD40" s="55" t="s">
        <v>348</v>
      </c>
      <c r="BE40" s="55" t="s">
        <v>348</v>
      </c>
      <c r="BF40" s="55">
        <v>8.18</v>
      </c>
      <c r="BG40" s="55">
        <v>4.03</v>
      </c>
      <c r="BH40" s="55" t="s">
        <v>348</v>
      </c>
      <c r="BI40" s="55" t="s">
        <v>348</v>
      </c>
      <c r="BJ40" s="55">
        <v>2.16</v>
      </c>
      <c r="BK40" s="55" t="s">
        <v>348</v>
      </c>
      <c r="BL40" s="55" t="s">
        <v>348</v>
      </c>
      <c r="BM40" s="55" t="s">
        <v>348</v>
      </c>
      <c r="BN40" s="55">
        <v>4.67</v>
      </c>
      <c r="BO40" s="55" t="s">
        <v>348</v>
      </c>
      <c r="BP40" s="55">
        <v>4.1500000000000004</v>
      </c>
      <c r="BQ40" s="55" t="s">
        <v>348</v>
      </c>
      <c r="BR40" s="55" t="s">
        <v>348</v>
      </c>
      <c r="BS40" s="55" t="s">
        <v>348</v>
      </c>
      <c r="BT40" s="55" t="s">
        <v>348</v>
      </c>
      <c r="BU40" s="55" t="s">
        <v>348</v>
      </c>
      <c r="BV40" s="55" t="s">
        <v>348</v>
      </c>
      <c r="BW40" s="55" t="s">
        <v>348</v>
      </c>
      <c r="BX40" s="55" t="s">
        <v>348</v>
      </c>
      <c r="BY40" s="55" t="s">
        <v>348</v>
      </c>
      <c r="BZ40" s="55">
        <v>2.0099999999999998</v>
      </c>
      <c r="CA40" s="55">
        <v>1.4500000000000002</v>
      </c>
      <c r="CB40" s="55" t="s">
        <v>348</v>
      </c>
      <c r="CC40" s="55" t="s">
        <v>348</v>
      </c>
      <c r="CD40" s="55" t="s">
        <v>348</v>
      </c>
      <c r="CE40" s="55" t="s">
        <v>348</v>
      </c>
      <c r="CF40" s="55" t="s">
        <v>348</v>
      </c>
      <c r="CG40" s="55">
        <v>1</v>
      </c>
      <c r="CH40" s="55">
        <v>1</v>
      </c>
      <c r="CI40">
        <v>111</v>
      </c>
    </row>
    <row r="41" spans="1:87" x14ac:dyDescent="0.25">
      <c r="A41">
        <v>40</v>
      </c>
      <c r="B41" s="51" t="s">
        <v>205</v>
      </c>
      <c r="C41" s="55">
        <v>44584.472222222219</v>
      </c>
      <c r="D41" s="55" t="s">
        <v>348</v>
      </c>
      <c r="E41" s="55" t="s">
        <v>348</v>
      </c>
      <c r="F41" s="55">
        <v>0.61</v>
      </c>
      <c r="G41" s="55">
        <v>1.88</v>
      </c>
      <c r="H41" s="55" t="s">
        <v>348</v>
      </c>
      <c r="I41" s="55" t="s">
        <v>348</v>
      </c>
      <c r="J41" s="55">
        <v>1.32</v>
      </c>
      <c r="K41" s="55" t="s">
        <v>348</v>
      </c>
      <c r="L41" s="55">
        <v>15.41</v>
      </c>
      <c r="M41" s="55">
        <v>89.09</v>
      </c>
      <c r="N41" s="55">
        <v>52.24</v>
      </c>
      <c r="O41" s="55" t="s">
        <v>348</v>
      </c>
      <c r="P41" s="55" t="s">
        <v>348</v>
      </c>
      <c r="Q41" s="55" t="s">
        <v>348</v>
      </c>
      <c r="R41" s="55" t="s">
        <v>348</v>
      </c>
      <c r="S41" s="55">
        <v>0.28000000000000003</v>
      </c>
      <c r="T41" s="55" t="s">
        <v>348</v>
      </c>
      <c r="U41" s="55" t="s">
        <v>348</v>
      </c>
      <c r="V41" s="55" t="s">
        <v>348</v>
      </c>
      <c r="W41" s="55">
        <v>0.26</v>
      </c>
      <c r="X41" s="55" t="s">
        <v>348</v>
      </c>
      <c r="Y41" s="55">
        <v>2.4799999999999995</v>
      </c>
      <c r="Z41" s="55" t="s">
        <v>348</v>
      </c>
      <c r="AA41" s="55" t="s">
        <v>348</v>
      </c>
      <c r="AB41" s="55">
        <v>26.54</v>
      </c>
      <c r="AC41" s="55" t="s">
        <v>348</v>
      </c>
      <c r="AD41" s="55" t="s">
        <v>348</v>
      </c>
      <c r="AE41" s="55" t="s">
        <v>348</v>
      </c>
      <c r="AF41" s="55" t="s">
        <v>348</v>
      </c>
      <c r="AG41" s="55">
        <v>0.45</v>
      </c>
      <c r="AH41" s="55" t="s">
        <v>348</v>
      </c>
      <c r="AI41" s="55">
        <v>6.19</v>
      </c>
      <c r="AJ41" s="55" t="s">
        <v>348</v>
      </c>
      <c r="AK41" s="55">
        <v>5.48</v>
      </c>
      <c r="AL41" s="55" t="s">
        <v>348</v>
      </c>
      <c r="AM41" s="55">
        <v>1.4</v>
      </c>
      <c r="AN41" s="55" t="s">
        <v>348</v>
      </c>
      <c r="AO41" s="55" t="s">
        <v>348</v>
      </c>
      <c r="AP41" s="55">
        <v>2.38</v>
      </c>
      <c r="AQ41" s="55">
        <v>92.72</v>
      </c>
      <c r="AR41" s="55" t="s">
        <v>348</v>
      </c>
      <c r="AS41" s="55" t="s">
        <v>348</v>
      </c>
      <c r="AT41" s="55" t="s">
        <v>348</v>
      </c>
      <c r="AU41" s="55" t="s">
        <v>348</v>
      </c>
      <c r="AV41" s="55" t="s">
        <v>348</v>
      </c>
      <c r="AW41" s="55">
        <v>0.35</v>
      </c>
      <c r="AX41" s="55" t="s">
        <v>348</v>
      </c>
      <c r="AY41" s="55" t="s">
        <v>348</v>
      </c>
      <c r="AZ41" s="55" t="s">
        <v>348</v>
      </c>
      <c r="BA41" s="55" t="s">
        <v>348</v>
      </c>
      <c r="BB41" s="55" t="s">
        <v>348</v>
      </c>
      <c r="BC41" s="55">
        <v>4.8100000000000005</v>
      </c>
      <c r="BD41" s="55" t="s">
        <v>348</v>
      </c>
      <c r="BE41" s="55">
        <v>1.85</v>
      </c>
      <c r="BF41" s="55">
        <v>4</v>
      </c>
      <c r="BG41" s="55">
        <v>15.24</v>
      </c>
      <c r="BH41" s="55" t="s">
        <v>348</v>
      </c>
      <c r="BI41" s="55" t="s">
        <v>348</v>
      </c>
      <c r="BJ41" s="55" t="s">
        <v>348</v>
      </c>
      <c r="BK41" s="55" t="s">
        <v>348</v>
      </c>
      <c r="BL41" s="55" t="s">
        <v>348</v>
      </c>
      <c r="BM41" s="55" t="s">
        <v>348</v>
      </c>
      <c r="BN41" s="55">
        <v>9.2799999999999994</v>
      </c>
      <c r="BO41" s="55" t="s">
        <v>348</v>
      </c>
      <c r="BP41" s="55">
        <v>79.150000000000006</v>
      </c>
      <c r="BQ41" s="55" t="s">
        <v>348</v>
      </c>
      <c r="BR41" s="55" t="s">
        <v>348</v>
      </c>
      <c r="BS41" s="55" t="s">
        <v>348</v>
      </c>
      <c r="BT41" s="55" t="s">
        <v>348</v>
      </c>
      <c r="BU41" s="55" t="s">
        <v>348</v>
      </c>
      <c r="BV41" s="55" t="s">
        <v>348</v>
      </c>
      <c r="BW41" s="55" t="s">
        <v>348</v>
      </c>
      <c r="BX41" s="55" t="s">
        <v>348</v>
      </c>
      <c r="BY41" s="55" t="s">
        <v>348</v>
      </c>
      <c r="BZ41" s="55">
        <v>1.8399999999999999</v>
      </c>
      <c r="CA41" s="55">
        <v>0.89000000000000057</v>
      </c>
      <c r="CB41" s="55" t="s">
        <v>348</v>
      </c>
      <c r="CC41" s="55" t="s">
        <v>348</v>
      </c>
      <c r="CD41" s="55" t="s">
        <v>348</v>
      </c>
      <c r="CE41" s="55" t="s">
        <v>348</v>
      </c>
      <c r="CF41" s="55" t="s">
        <v>348</v>
      </c>
      <c r="CG41" s="55">
        <v>1</v>
      </c>
      <c r="CH41" s="55">
        <v>1</v>
      </c>
      <c r="CI41">
        <v>11</v>
      </c>
    </row>
    <row r="42" spans="1:87" x14ac:dyDescent="0.25">
      <c r="A42">
        <v>41</v>
      </c>
      <c r="B42" s="51" t="s">
        <v>206</v>
      </c>
      <c r="C42" s="55">
        <v>44584.4375</v>
      </c>
      <c r="D42" s="55" t="s">
        <v>348</v>
      </c>
      <c r="E42" s="55" t="s">
        <v>348</v>
      </c>
      <c r="F42" s="55" t="s">
        <v>348</v>
      </c>
      <c r="G42" s="55" t="s">
        <v>348</v>
      </c>
      <c r="H42" s="55" t="s">
        <v>348</v>
      </c>
      <c r="I42" s="55" t="s">
        <v>348</v>
      </c>
      <c r="J42" s="55" t="s">
        <v>348</v>
      </c>
      <c r="K42" s="55" t="s">
        <v>348</v>
      </c>
      <c r="L42" s="55" t="s">
        <v>348</v>
      </c>
      <c r="M42" s="55">
        <v>70.990000000000009</v>
      </c>
      <c r="N42" s="55">
        <v>3.31</v>
      </c>
      <c r="O42" s="55" t="s">
        <v>348</v>
      </c>
      <c r="P42" s="55" t="s">
        <v>348</v>
      </c>
      <c r="Q42" s="55" t="s">
        <v>348</v>
      </c>
      <c r="R42" s="55" t="s">
        <v>348</v>
      </c>
      <c r="S42" s="55">
        <v>0.34</v>
      </c>
      <c r="T42" s="55" t="s">
        <v>348</v>
      </c>
      <c r="U42" s="55" t="s">
        <v>348</v>
      </c>
      <c r="V42" s="55" t="s">
        <v>348</v>
      </c>
      <c r="W42" s="55" t="s">
        <v>348</v>
      </c>
      <c r="X42" s="55" t="s">
        <v>348</v>
      </c>
      <c r="Y42" s="55" t="s">
        <v>348</v>
      </c>
      <c r="Z42" s="55" t="s">
        <v>348</v>
      </c>
      <c r="AA42" s="55" t="s">
        <v>348</v>
      </c>
      <c r="AB42" s="55">
        <v>123.87</v>
      </c>
      <c r="AC42" s="55" t="s">
        <v>348</v>
      </c>
      <c r="AD42" s="55" t="s">
        <v>348</v>
      </c>
      <c r="AE42" s="55" t="s">
        <v>348</v>
      </c>
      <c r="AF42" s="55" t="s">
        <v>348</v>
      </c>
      <c r="AG42" s="55" t="s">
        <v>348</v>
      </c>
      <c r="AH42" s="55" t="s">
        <v>348</v>
      </c>
      <c r="AI42" s="55">
        <v>4.41</v>
      </c>
      <c r="AJ42" s="55" t="s">
        <v>348</v>
      </c>
      <c r="AK42" s="55" t="s">
        <v>348</v>
      </c>
      <c r="AL42" s="55" t="s">
        <v>348</v>
      </c>
      <c r="AM42" s="55">
        <v>0.17000000000000004</v>
      </c>
      <c r="AN42" s="55" t="s">
        <v>348</v>
      </c>
      <c r="AO42" s="55" t="s">
        <v>348</v>
      </c>
      <c r="AP42" s="55">
        <v>1.93</v>
      </c>
      <c r="AQ42" s="55">
        <v>0.58000000000000007</v>
      </c>
      <c r="AR42" s="55" t="s">
        <v>348</v>
      </c>
      <c r="AS42" s="55" t="s">
        <v>348</v>
      </c>
      <c r="AT42" s="55" t="s">
        <v>348</v>
      </c>
      <c r="AU42" s="55" t="s">
        <v>348</v>
      </c>
      <c r="AV42" s="55" t="s">
        <v>348</v>
      </c>
      <c r="AW42" s="55">
        <v>0.25</v>
      </c>
      <c r="AX42" s="55" t="s">
        <v>348</v>
      </c>
      <c r="AY42" s="55" t="s">
        <v>348</v>
      </c>
      <c r="AZ42" s="55" t="s">
        <v>348</v>
      </c>
      <c r="BA42" s="55" t="s">
        <v>348</v>
      </c>
      <c r="BB42" s="55" t="s">
        <v>348</v>
      </c>
      <c r="BC42" s="55">
        <v>2.34</v>
      </c>
      <c r="BD42" s="55" t="s">
        <v>348</v>
      </c>
      <c r="BE42" s="55" t="s">
        <v>348</v>
      </c>
      <c r="BF42" s="55">
        <v>5.49</v>
      </c>
      <c r="BG42" s="55" t="s">
        <v>348</v>
      </c>
      <c r="BH42" s="55" t="s">
        <v>348</v>
      </c>
      <c r="BI42" s="55" t="s">
        <v>348</v>
      </c>
      <c r="BJ42" s="55">
        <v>2.34</v>
      </c>
      <c r="BK42" s="55" t="s">
        <v>348</v>
      </c>
      <c r="BL42" s="55" t="s">
        <v>348</v>
      </c>
      <c r="BM42" s="55" t="s">
        <v>348</v>
      </c>
      <c r="BN42" s="55" t="s">
        <v>348</v>
      </c>
      <c r="BO42" s="55" t="s">
        <v>348</v>
      </c>
      <c r="BP42" s="55" t="s">
        <v>348</v>
      </c>
      <c r="BQ42" s="55" t="s">
        <v>348</v>
      </c>
      <c r="BR42" s="55" t="s">
        <v>348</v>
      </c>
      <c r="BS42" s="55" t="s">
        <v>348</v>
      </c>
      <c r="BT42" s="55" t="s">
        <v>348</v>
      </c>
      <c r="BU42" s="55" t="s">
        <v>348</v>
      </c>
      <c r="BV42" s="55" t="s">
        <v>348</v>
      </c>
      <c r="BW42" s="55" t="s">
        <v>348</v>
      </c>
      <c r="BX42" s="55" t="s">
        <v>348</v>
      </c>
      <c r="BY42" s="55">
        <v>4.97</v>
      </c>
      <c r="BZ42" s="55">
        <v>2.09</v>
      </c>
      <c r="CA42" s="55">
        <v>3.9800000000000004</v>
      </c>
      <c r="CB42" s="55" t="s">
        <v>348</v>
      </c>
      <c r="CC42" s="55" t="s">
        <v>348</v>
      </c>
      <c r="CD42" s="55" t="s">
        <v>348</v>
      </c>
      <c r="CE42" s="55" t="s">
        <v>348</v>
      </c>
      <c r="CF42" s="55" t="s">
        <v>348</v>
      </c>
      <c r="CG42" s="55">
        <v>2</v>
      </c>
      <c r="CH42" s="55">
        <v>1</v>
      </c>
      <c r="CI42">
        <v>112</v>
      </c>
    </row>
    <row r="43" spans="1:87" x14ac:dyDescent="0.25">
      <c r="A43">
        <v>42</v>
      </c>
      <c r="B43" s="58" t="s">
        <v>207</v>
      </c>
      <c r="C43" s="59">
        <v>44584.427083333336</v>
      </c>
      <c r="D43" s="59" t="s">
        <v>348</v>
      </c>
      <c r="E43" s="59" t="s">
        <v>348</v>
      </c>
      <c r="F43" s="59">
        <v>0.56999999999999995</v>
      </c>
      <c r="G43" s="59" t="s">
        <v>348</v>
      </c>
      <c r="H43" s="59" t="s">
        <v>348</v>
      </c>
      <c r="I43" s="59" t="s">
        <v>348</v>
      </c>
      <c r="J43" s="59" t="s">
        <v>348</v>
      </c>
      <c r="K43" s="59" t="s">
        <v>348</v>
      </c>
      <c r="L43" s="59" t="s">
        <v>348</v>
      </c>
      <c r="M43" s="59">
        <v>36.449999999999996</v>
      </c>
      <c r="N43" s="59">
        <v>119.56</v>
      </c>
      <c r="O43" s="59">
        <v>4.25</v>
      </c>
      <c r="P43" s="59" t="s">
        <v>348</v>
      </c>
      <c r="Q43" s="59" t="s">
        <v>348</v>
      </c>
      <c r="R43" s="59">
        <v>7.55</v>
      </c>
      <c r="S43" s="59" t="s">
        <v>348</v>
      </c>
      <c r="T43" s="59" t="s">
        <v>348</v>
      </c>
      <c r="U43" s="59" t="s">
        <v>348</v>
      </c>
      <c r="V43" s="59" t="s">
        <v>348</v>
      </c>
      <c r="W43" s="59" t="s">
        <v>348</v>
      </c>
      <c r="X43" s="59" t="s">
        <v>348</v>
      </c>
      <c r="Y43" s="59" t="s">
        <v>348</v>
      </c>
      <c r="Z43" s="59" t="s">
        <v>348</v>
      </c>
      <c r="AA43" s="59" t="s">
        <v>348</v>
      </c>
      <c r="AB43" s="59">
        <v>31.49</v>
      </c>
      <c r="AC43" s="59" t="s">
        <v>348</v>
      </c>
      <c r="AD43" s="59" t="s">
        <v>348</v>
      </c>
      <c r="AE43" s="59" t="s">
        <v>348</v>
      </c>
      <c r="AF43" s="59">
        <v>0.68</v>
      </c>
      <c r="AG43" s="59" t="s">
        <v>348</v>
      </c>
      <c r="AH43" s="59" t="s">
        <v>348</v>
      </c>
      <c r="AI43" s="59">
        <v>14.81</v>
      </c>
      <c r="AJ43" s="59" t="s">
        <v>348</v>
      </c>
      <c r="AK43" s="59">
        <v>8.7799999999999994</v>
      </c>
      <c r="AL43" s="59" t="s">
        <v>348</v>
      </c>
      <c r="AM43" s="59">
        <v>1.1000000000000001</v>
      </c>
      <c r="AN43" s="59" t="s">
        <v>348</v>
      </c>
      <c r="AO43" s="59" t="s">
        <v>348</v>
      </c>
      <c r="AP43" s="59">
        <v>3.51</v>
      </c>
      <c r="AQ43" s="59">
        <v>0.41</v>
      </c>
      <c r="AR43" s="59" t="s">
        <v>348</v>
      </c>
      <c r="AS43" s="59" t="s">
        <v>348</v>
      </c>
      <c r="AT43" s="59" t="s">
        <v>348</v>
      </c>
      <c r="AU43" s="59" t="s">
        <v>348</v>
      </c>
      <c r="AV43" s="59" t="s">
        <v>348</v>
      </c>
      <c r="AW43" s="59">
        <v>0.41</v>
      </c>
      <c r="AX43" s="59" t="s">
        <v>348</v>
      </c>
      <c r="AY43" s="59" t="s">
        <v>348</v>
      </c>
      <c r="AZ43" s="59" t="s">
        <v>348</v>
      </c>
      <c r="BA43" s="59" t="s">
        <v>348</v>
      </c>
      <c r="BB43" s="59" t="s">
        <v>348</v>
      </c>
      <c r="BC43" s="59">
        <v>0.74</v>
      </c>
      <c r="BD43" s="59" t="s">
        <v>348</v>
      </c>
      <c r="BE43" s="59" t="s">
        <v>348</v>
      </c>
      <c r="BF43" s="59">
        <v>3.69</v>
      </c>
      <c r="BG43" s="59" t="s">
        <v>348</v>
      </c>
      <c r="BH43" s="59" t="s">
        <v>348</v>
      </c>
      <c r="BI43" s="59" t="s">
        <v>348</v>
      </c>
      <c r="BJ43" s="59" t="s">
        <v>348</v>
      </c>
      <c r="BK43" s="59" t="s">
        <v>348</v>
      </c>
      <c r="BL43" s="59" t="s">
        <v>348</v>
      </c>
      <c r="BM43" s="59" t="s">
        <v>348</v>
      </c>
      <c r="BN43" s="59">
        <v>8.27</v>
      </c>
      <c r="BO43" s="59" t="s">
        <v>348</v>
      </c>
      <c r="BP43" s="59" t="s">
        <v>348</v>
      </c>
      <c r="BQ43" s="59" t="s">
        <v>348</v>
      </c>
      <c r="BR43" s="59" t="s">
        <v>348</v>
      </c>
      <c r="BS43" s="59" t="s">
        <v>348</v>
      </c>
      <c r="BT43" s="59" t="s">
        <v>348</v>
      </c>
      <c r="BU43" s="59" t="s">
        <v>348</v>
      </c>
      <c r="BV43" s="59" t="s">
        <v>348</v>
      </c>
      <c r="BW43" s="59" t="s">
        <v>348</v>
      </c>
      <c r="BX43" s="59" t="s">
        <v>348</v>
      </c>
      <c r="BY43" s="59" t="s">
        <v>348</v>
      </c>
      <c r="BZ43" s="59" t="s">
        <v>348</v>
      </c>
      <c r="CA43" s="59" t="s">
        <v>348</v>
      </c>
      <c r="CB43" s="59" t="s">
        <v>348</v>
      </c>
      <c r="CC43" s="59" t="s">
        <v>348</v>
      </c>
      <c r="CD43" s="59" t="s">
        <v>348</v>
      </c>
      <c r="CE43" s="59" t="s">
        <v>348</v>
      </c>
      <c r="CF43" s="59" t="s">
        <v>348</v>
      </c>
      <c r="CG43" s="59">
        <v>2</v>
      </c>
      <c r="CH43" s="59">
        <v>1</v>
      </c>
      <c r="CI43">
        <v>12</v>
      </c>
    </row>
    <row r="44" spans="1:87" x14ac:dyDescent="0.25">
      <c r="A44">
        <v>43</v>
      </c>
      <c r="B44" s="51" t="s">
        <v>208</v>
      </c>
      <c r="C44" s="55">
        <v>44586.442361111112</v>
      </c>
      <c r="D44" s="55">
        <v>7.56</v>
      </c>
      <c r="E44" s="55">
        <v>0.39</v>
      </c>
      <c r="F44" s="55" t="s">
        <v>348</v>
      </c>
      <c r="G44" s="55" t="s">
        <v>348</v>
      </c>
      <c r="H44" s="55" t="s">
        <v>348</v>
      </c>
      <c r="I44" s="55" t="s">
        <v>348</v>
      </c>
      <c r="J44" s="55">
        <v>1.52</v>
      </c>
      <c r="K44" s="55" t="s">
        <v>348</v>
      </c>
      <c r="L44" s="55">
        <v>7.79</v>
      </c>
      <c r="M44" s="55">
        <v>499.09000000000003</v>
      </c>
      <c r="N44" s="55">
        <v>5.37</v>
      </c>
      <c r="O44" s="55">
        <v>0.52</v>
      </c>
      <c r="P44" s="55" t="s">
        <v>348</v>
      </c>
      <c r="Q44" s="55" t="s">
        <v>348</v>
      </c>
      <c r="R44" s="55" t="s">
        <v>348</v>
      </c>
      <c r="S44" s="55">
        <v>13.95</v>
      </c>
      <c r="T44" s="55">
        <v>0.51</v>
      </c>
      <c r="U44" s="55">
        <v>8.94</v>
      </c>
      <c r="V44" s="55" t="s">
        <v>348</v>
      </c>
      <c r="W44" s="55">
        <v>0.35</v>
      </c>
      <c r="X44" s="55" t="s">
        <v>348</v>
      </c>
      <c r="Y44" s="55">
        <v>3.5999999999999996</v>
      </c>
      <c r="Z44" s="55" t="s">
        <v>348</v>
      </c>
      <c r="AA44" s="55">
        <v>6.17</v>
      </c>
      <c r="AB44" s="55">
        <v>18.79</v>
      </c>
      <c r="AC44" s="55" t="s">
        <v>348</v>
      </c>
      <c r="AD44" s="55" t="s">
        <v>348</v>
      </c>
      <c r="AE44" s="55" t="s">
        <v>348</v>
      </c>
      <c r="AF44" s="55">
        <v>2.63</v>
      </c>
      <c r="AG44" s="55" t="s">
        <v>348</v>
      </c>
      <c r="AH44" s="55" t="s">
        <v>348</v>
      </c>
      <c r="AI44" s="55">
        <v>15.28</v>
      </c>
      <c r="AJ44" s="55" t="s">
        <v>348</v>
      </c>
      <c r="AK44" s="55" t="s">
        <v>348</v>
      </c>
      <c r="AL44" s="55" t="s">
        <v>348</v>
      </c>
      <c r="AM44" s="55">
        <v>1.01</v>
      </c>
      <c r="AN44" s="55" t="s">
        <v>348</v>
      </c>
      <c r="AO44" s="55" t="s">
        <v>348</v>
      </c>
      <c r="AP44" s="55">
        <v>4.32</v>
      </c>
      <c r="AQ44" s="55">
        <v>16.799999999999997</v>
      </c>
      <c r="AR44" s="55" t="s">
        <v>348</v>
      </c>
      <c r="AS44" s="55">
        <v>2.48</v>
      </c>
      <c r="AT44" s="55" t="s">
        <v>348</v>
      </c>
      <c r="AU44" s="55" t="s">
        <v>348</v>
      </c>
      <c r="AV44" s="55">
        <v>2.92</v>
      </c>
      <c r="AW44" s="55">
        <v>1.1000000000000001</v>
      </c>
      <c r="AX44" s="55" t="s">
        <v>348</v>
      </c>
      <c r="AY44" s="55" t="s">
        <v>348</v>
      </c>
      <c r="AZ44" s="55" t="s">
        <v>348</v>
      </c>
      <c r="BA44" s="55" t="s">
        <v>348</v>
      </c>
      <c r="BB44" s="55" t="s">
        <v>348</v>
      </c>
      <c r="BC44" s="55">
        <v>51.959999999999994</v>
      </c>
      <c r="BD44" s="55" t="s">
        <v>348</v>
      </c>
      <c r="BE44" s="55" t="s">
        <v>348</v>
      </c>
      <c r="BF44" s="55">
        <v>10.050000000000001</v>
      </c>
      <c r="BG44" s="55" t="s">
        <v>348</v>
      </c>
      <c r="BH44" s="55" t="s">
        <v>348</v>
      </c>
      <c r="BI44" s="55" t="s">
        <v>348</v>
      </c>
      <c r="BJ44" s="55">
        <v>7.38</v>
      </c>
      <c r="BK44" s="55" t="s">
        <v>348</v>
      </c>
      <c r="BL44" s="55" t="s">
        <v>348</v>
      </c>
      <c r="BM44" s="55" t="s">
        <v>348</v>
      </c>
      <c r="BN44" s="55">
        <v>14.6</v>
      </c>
      <c r="BO44" s="55" t="s">
        <v>348</v>
      </c>
      <c r="BP44" s="55">
        <v>3.79</v>
      </c>
      <c r="BQ44" s="55" t="s">
        <v>348</v>
      </c>
      <c r="BR44" s="55" t="s">
        <v>348</v>
      </c>
      <c r="BS44" s="55" t="s">
        <v>348</v>
      </c>
      <c r="BT44" s="55" t="s">
        <v>348</v>
      </c>
      <c r="BU44" s="55" t="s">
        <v>348</v>
      </c>
      <c r="BV44" s="55" t="s">
        <v>348</v>
      </c>
      <c r="BW44" s="55" t="s">
        <v>348</v>
      </c>
      <c r="BX44" s="55" t="s">
        <v>348</v>
      </c>
      <c r="BY44" s="55" t="s">
        <v>348</v>
      </c>
      <c r="BZ44" s="55" t="s">
        <v>348</v>
      </c>
      <c r="CA44" s="55">
        <v>4.1099999999999994</v>
      </c>
      <c r="CB44" s="55" t="s">
        <v>348</v>
      </c>
      <c r="CC44" s="55" t="s">
        <v>348</v>
      </c>
      <c r="CD44" s="55" t="s">
        <v>348</v>
      </c>
      <c r="CE44" s="55" t="s">
        <v>348</v>
      </c>
      <c r="CF44" s="55" t="s">
        <v>348</v>
      </c>
      <c r="CG44" s="55">
        <v>1</v>
      </c>
      <c r="CH44" s="55">
        <v>1</v>
      </c>
      <c r="CI44">
        <v>111</v>
      </c>
    </row>
    <row r="45" spans="1:87" x14ac:dyDescent="0.25">
      <c r="A45">
        <v>44</v>
      </c>
      <c r="B45" s="51" t="s">
        <v>209</v>
      </c>
      <c r="C45" s="55">
        <v>44586.451388888891</v>
      </c>
      <c r="D45" s="55">
        <v>17.34</v>
      </c>
      <c r="E45" s="55" t="s">
        <v>348</v>
      </c>
      <c r="F45" s="55">
        <v>1.25</v>
      </c>
      <c r="G45" s="55">
        <v>3.79</v>
      </c>
      <c r="H45" s="55" t="s">
        <v>348</v>
      </c>
      <c r="I45" s="55" t="s">
        <v>348</v>
      </c>
      <c r="J45" s="55">
        <v>1.1299999999999999</v>
      </c>
      <c r="K45" s="55" t="s">
        <v>348</v>
      </c>
      <c r="L45" s="55">
        <v>13.45</v>
      </c>
      <c r="M45" s="55">
        <v>117.36000000000001</v>
      </c>
      <c r="N45" s="55">
        <v>77.55</v>
      </c>
      <c r="O45" s="55" t="s">
        <v>348</v>
      </c>
      <c r="P45" s="55" t="s">
        <v>348</v>
      </c>
      <c r="Q45" s="55" t="s">
        <v>348</v>
      </c>
      <c r="R45" s="55" t="s">
        <v>348</v>
      </c>
      <c r="S45" s="55">
        <v>0.73</v>
      </c>
      <c r="T45" s="55" t="s">
        <v>348</v>
      </c>
      <c r="U45" s="55" t="s">
        <v>348</v>
      </c>
      <c r="V45" s="55" t="s">
        <v>348</v>
      </c>
      <c r="W45" s="55" t="s">
        <v>348</v>
      </c>
      <c r="X45" s="55">
        <v>3.58</v>
      </c>
      <c r="Y45" s="55">
        <v>4.1800000000000006</v>
      </c>
      <c r="Z45" s="55" t="s">
        <v>348</v>
      </c>
      <c r="AA45" s="55" t="s">
        <v>348</v>
      </c>
      <c r="AB45" s="55">
        <v>12.64</v>
      </c>
      <c r="AC45" s="55" t="s">
        <v>348</v>
      </c>
      <c r="AD45" s="55" t="s">
        <v>348</v>
      </c>
      <c r="AE45" s="55" t="s">
        <v>348</v>
      </c>
      <c r="AF45" s="55" t="s">
        <v>348</v>
      </c>
      <c r="AG45" s="55" t="s">
        <v>348</v>
      </c>
      <c r="AH45" s="55" t="s">
        <v>348</v>
      </c>
      <c r="AI45" s="55">
        <v>3.15</v>
      </c>
      <c r="AJ45" s="55" t="s">
        <v>348</v>
      </c>
      <c r="AK45" s="55">
        <v>6.92</v>
      </c>
      <c r="AL45" s="55" t="s">
        <v>348</v>
      </c>
      <c r="AM45" s="55">
        <v>0.64999999999999991</v>
      </c>
      <c r="AN45" s="55" t="s">
        <v>348</v>
      </c>
      <c r="AO45" s="55" t="s">
        <v>348</v>
      </c>
      <c r="AP45" s="55">
        <v>1.17</v>
      </c>
      <c r="AQ45" s="55">
        <v>12.61</v>
      </c>
      <c r="AR45" s="55" t="s">
        <v>348</v>
      </c>
      <c r="AS45" s="55" t="s">
        <v>348</v>
      </c>
      <c r="AT45" s="55" t="s">
        <v>348</v>
      </c>
      <c r="AU45" s="55" t="s">
        <v>348</v>
      </c>
      <c r="AV45" s="55" t="s">
        <v>348</v>
      </c>
      <c r="AW45" s="55">
        <v>1.1499999999999999</v>
      </c>
      <c r="AX45" s="55" t="s">
        <v>348</v>
      </c>
      <c r="AY45" s="55" t="s">
        <v>348</v>
      </c>
      <c r="AZ45" s="55" t="s">
        <v>348</v>
      </c>
      <c r="BA45" s="55">
        <v>0.73</v>
      </c>
      <c r="BB45" s="55" t="s">
        <v>348</v>
      </c>
      <c r="BC45" s="55">
        <v>8.870000000000001</v>
      </c>
      <c r="BD45" s="55" t="s">
        <v>348</v>
      </c>
      <c r="BE45" s="55" t="s">
        <v>348</v>
      </c>
      <c r="BF45" s="55">
        <v>2.15</v>
      </c>
      <c r="BG45" s="55" t="s">
        <v>348</v>
      </c>
      <c r="BH45" s="55" t="s">
        <v>348</v>
      </c>
      <c r="BI45" s="55" t="s">
        <v>348</v>
      </c>
      <c r="BJ45" s="55" t="s">
        <v>348</v>
      </c>
      <c r="BK45" s="55" t="s">
        <v>348</v>
      </c>
      <c r="BL45" s="55" t="s">
        <v>348</v>
      </c>
      <c r="BM45" s="55" t="s">
        <v>348</v>
      </c>
      <c r="BN45" s="55">
        <v>13.8</v>
      </c>
      <c r="BO45" s="55" t="s">
        <v>348</v>
      </c>
      <c r="BP45" s="55">
        <v>8.59</v>
      </c>
      <c r="BQ45" s="55" t="s">
        <v>348</v>
      </c>
      <c r="BR45" s="55" t="s">
        <v>348</v>
      </c>
      <c r="BS45" s="55" t="s">
        <v>348</v>
      </c>
      <c r="BT45" s="55" t="s">
        <v>348</v>
      </c>
      <c r="BU45" s="55" t="s">
        <v>348</v>
      </c>
      <c r="BV45" s="55" t="s">
        <v>348</v>
      </c>
      <c r="BW45" s="55" t="s">
        <v>348</v>
      </c>
      <c r="BX45" s="55" t="s">
        <v>348</v>
      </c>
      <c r="BY45" s="55" t="s">
        <v>348</v>
      </c>
      <c r="BZ45" s="55">
        <v>4.5199999999999996</v>
      </c>
      <c r="CA45" s="55">
        <v>3.620000000000001</v>
      </c>
      <c r="CB45" s="55" t="s">
        <v>348</v>
      </c>
      <c r="CC45" s="55" t="s">
        <v>348</v>
      </c>
      <c r="CD45" s="55" t="s">
        <v>348</v>
      </c>
      <c r="CE45" s="55" t="s">
        <v>348</v>
      </c>
      <c r="CF45" s="55" t="s">
        <v>348</v>
      </c>
      <c r="CG45" s="55">
        <v>1</v>
      </c>
      <c r="CH45" s="55">
        <v>1</v>
      </c>
      <c r="CI45">
        <v>11</v>
      </c>
    </row>
    <row r="46" spans="1:87" x14ac:dyDescent="0.25">
      <c r="A46">
        <v>45</v>
      </c>
      <c r="B46" s="51" t="s">
        <v>210</v>
      </c>
      <c r="C46" s="55">
        <v>44586.506944444445</v>
      </c>
      <c r="D46" s="55" t="s">
        <v>348</v>
      </c>
      <c r="E46" s="55" t="s">
        <v>348</v>
      </c>
      <c r="F46" s="55" t="s">
        <v>348</v>
      </c>
      <c r="G46" s="55" t="s">
        <v>348</v>
      </c>
      <c r="H46" s="55" t="s">
        <v>348</v>
      </c>
      <c r="I46" s="55" t="s">
        <v>348</v>
      </c>
      <c r="J46" s="55" t="s">
        <v>348</v>
      </c>
      <c r="K46" s="55" t="s">
        <v>348</v>
      </c>
      <c r="L46" s="55">
        <v>6.73</v>
      </c>
      <c r="M46" s="55">
        <v>202.35000000000002</v>
      </c>
      <c r="N46" s="55">
        <v>10.85</v>
      </c>
      <c r="O46" s="55" t="s">
        <v>348</v>
      </c>
      <c r="P46" s="55" t="s">
        <v>348</v>
      </c>
      <c r="Q46" s="55" t="s">
        <v>348</v>
      </c>
      <c r="R46" s="55" t="s">
        <v>348</v>
      </c>
      <c r="S46" s="55">
        <v>3.7</v>
      </c>
      <c r="T46" s="55" t="s">
        <v>348</v>
      </c>
      <c r="U46" s="55" t="s">
        <v>348</v>
      </c>
      <c r="V46" s="55" t="s">
        <v>348</v>
      </c>
      <c r="W46" s="55">
        <v>0.51</v>
      </c>
      <c r="X46" s="55" t="s">
        <v>348</v>
      </c>
      <c r="Y46" s="55">
        <v>0.91999999999999993</v>
      </c>
      <c r="Z46" s="55" t="s">
        <v>348</v>
      </c>
      <c r="AA46" s="55" t="s">
        <v>348</v>
      </c>
      <c r="AB46" s="55">
        <v>27.55</v>
      </c>
      <c r="AC46" s="55" t="s">
        <v>348</v>
      </c>
      <c r="AD46" s="55" t="s">
        <v>348</v>
      </c>
      <c r="AE46" s="55" t="s">
        <v>348</v>
      </c>
      <c r="AF46" s="55" t="s">
        <v>348</v>
      </c>
      <c r="AG46" s="55" t="s">
        <v>348</v>
      </c>
      <c r="AH46" s="55" t="s">
        <v>348</v>
      </c>
      <c r="AI46" s="55">
        <v>8.89</v>
      </c>
      <c r="AJ46" s="55" t="s">
        <v>348</v>
      </c>
      <c r="AK46" s="55" t="s">
        <v>348</v>
      </c>
      <c r="AL46" s="55" t="s">
        <v>348</v>
      </c>
      <c r="AM46" s="55">
        <v>0.33999999999999997</v>
      </c>
      <c r="AN46" s="55" t="s">
        <v>348</v>
      </c>
      <c r="AO46" s="55" t="s">
        <v>348</v>
      </c>
      <c r="AP46" s="55">
        <v>2.2799999999999998</v>
      </c>
      <c r="AQ46" s="55">
        <v>2.44</v>
      </c>
      <c r="AR46" s="55" t="s">
        <v>348</v>
      </c>
      <c r="AS46" s="55" t="s">
        <v>348</v>
      </c>
      <c r="AT46" s="55" t="s">
        <v>348</v>
      </c>
      <c r="AU46" s="55" t="s">
        <v>348</v>
      </c>
      <c r="AV46" s="55" t="s">
        <v>348</v>
      </c>
      <c r="AW46" s="55">
        <v>0.35</v>
      </c>
      <c r="AX46" s="55" t="s">
        <v>348</v>
      </c>
      <c r="AY46" s="55" t="s">
        <v>348</v>
      </c>
      <c r="AZ46" s="55" t="s">
        <v>348</v>
      </c>
      <c r="BA46" s="55" t="s">
        <v>348</v>
      </c>
      <c r="BB46" s="55" t="s">
        <v>348</v>
      </c>
      <c r="BC46" s="55">
        <v>12.6</v>
      </c>
      <c r="BD46" s="55" t="s">
        <v>348</v>
      </c>
      <c r="BE46" s="55" t="s">
        <v>348</v>
      </c>
      <c r="BF46" s="55">
        <v>6.69</v>
      </c>
      <c r="BG46" s="55" t="s">
        <v>348</v>
      </c>
      <c r="BH46" s="55" t="s">
        <v>348</v>
      </c>
      <c r="BI46" s="55" t="s">
        <v>348</v>
      </c>
      <c r="BJ46" s="55">
        <v>5.0599999999999996</v>
      </c>
      <c r="BK46" s="55" t="s">
        <v>348</v>
      </c>
      <c r="BL46" s="55" t="s">
        <v>348</v>
      </c>
      <c r="BM46" s="55" t="s">
        <v>348</v>
      </c>
      <c r="BN46" s="55">
        <v>3.51</v>
      </c>
      <c r="BO46" s="55" t="s">
        <v>348</v>
      </c>
      <c r="BP46" s="55">
        <v>1.29</v>
      </c>
      <c r="BQ46" s="55" t="s">
        <v>348</v>
      </c>
      <c r="BR46" s="55" t="s">
        <v>348</v>
      </c>
      <c r="BS46" s="55" t="s">
        <v>348</v>
      </c>
      <c r="BT46" s="55" t="s">
        <v>348</v>
      </c>
      <c r="BU46" s="55" t="s">
        <v>348</v>
      </c>
      <c r="BV46" s="55" t="s">
        <v>348</v>
      </c>
      <c r="BW46" s="55" t="s">
        <v>348</v>
      </c>
      <c r="BX46" s="55" t="s">
        <v>348</v>
      </c>
      <c r="BY46" s="55" t="s">
        <v>348</v>
      </c>
      <c r="BZ46" s="55" t="s">
        <v>348</v>
      </c>
      <c r="CA46" s="55">
        <v>5.8100000000000005</v>
      </c>
      <c r="CB46" s="55" t="s">
        <v>348</v>
      </c>
      <c r="CC46" s="55" t="s">
        <v>348</v>
      </c>
      <c r="CD46" s="55" t="s">
        <v>348</v>
      </c>
      <c r="CE46" s="55" t="s">
        <v>348</v>
      </c>
      <c r="CF46" s="55" t="s">
        <v>348</v>
      </c>
      <c r="CG46" s="55">
        <v>2</v>
      </c>
      <c r="CH46" s="55">
        <v>1</v>
      </c>
      <c r="CI46">
        <v>112</v>
      </c>
    </row>
    <row r="47" spans="1:87" x14ac:dyDescent="0.25">
      <c r="A47">
        <v>46</v>
      </c>
      <c r="B47" s="58" t="s">
        <v>211</v>
      </c>
      <c r="C47" s="59">
        <v>44586.5</v>
      </c>
      <c r="D47" s="59" t="s">
        <v>348</v>
      </c>
      <c r="E47" s="59" t="s">
        <v>348</v>
      </c>
      <c r="F47" s="59">
        <v>0.47</v>
      </c>
      <c r="G47" s="59" t="s">
        <v>348</v>
      </c>
      <c r="H47" s="59" t="s">
        <v>348</v>
      </c>
      <c r="I47" s="59" t="s">
        <v>348</v>
      </c>
      <c r="J47" s="59" t="s">
        <v>348</v>
      </c>
      <c r="K47" s="59" t="s">
        <v>348</v>
      </c>
      <c r="L47" s="59">
        <v>4.9000000000000004</v>
      </c>
      <c r="M47" s="59">
        <v>34.670000000000009</v>
      </c>
      <c r="N47" s="59">
        <v>78.83</v>
      </c>
      <c r="O47" s="59">
        <v>2.33</v>
      </c>
      <c r="P47" s="59" t="s">
        <v>348</v>
      </c>
      <c r="Q47" s="59" t="s">
        <v>348</v>
      </c>
      <c r="R47" s="59">
        <v>5.8</v>
      </c>
      <c r="S47" s="59">
        <v>0.26</v>
      </c>
      <c r="T47" s="59" t="s">
        <v>348</v>
      </c>
      <c r="U47" s="59" t="s">
        <v>348</v>
      </c>
      <c r="V47" s="59" t="s">
        <v>348</v>
      </c>
      <c r="W47" s="59" t="s">
        <v>348</v>
      </c>
      <c r="X47" s="59" t="s">
        <v>348</v>
      </c>
      <c r="Y47" s="59">
        <v>0.53000000000000025</v>
      </c>
      <c r="Z47" s="59" t="s">
        <v>348</v>
      </c>
      <c r="AA47" s="59" t="s">
        <v>348</v>
      </c>
      <c r="AB47" s="59">
        <v>18.010000000000002</v>
      </c>
      <c r="AC47" s="59" t="s">
        <v>348</v>
      </c>
      <c r="AD47" s="59" t="s">
        <v>348</v>
      </c>
      <c r="AE47" s="59" t="s">
        <v>348</v>
      </c>
      <c r="AF47" s="59" t="s">
        <v>348</v>
      </c>
      <c r="AG47" s="59" t="s">
        <v>348</v>
      </c>
      <c r="AH47" s="59" t="s">
        <v>348</v>
      </c>
      <c r="AI47" s="59">
        <v>10.33</v>
      </c>
      <c r="AJ47" s="59" t="s">
        <v>348</v>
      </c>
      <c r="AK47" s="59">
        <v>5.34</v>
      </c>
      <c r="AL47" s="59" t="s">
        <v>348</v>
      </c>
      <c r="AM47" s="59">
        <v>0.79</v>
      </c>
      <c r="AN47" s="59" t="s">
        <v>348</v>
      </c>
      <c r="AO47" s="59" t="s">
        <v>348</v>
      </c>
      <c r="AP47" s="59">
        <v>1.97</v>
      </c>
      <c r="AQ47" s="59">
        <v>0.58000000000000007</v>
      </c>
      <c r="AR47" s="59" t="s">
        <v>348</v>
      </c>
      <c r="AS47" s="59" t="s">
        <v>348</v>
      </c>
      <c r="AT47" s="59" t="s">
        <v>348</v>
      </c>
      <c r="AU47" s="59" t="s">
        <v>348</v>
      </c>
      <c r="AV47" s="59" t="s">
        <v>348</v>
      </c>
      <c r="AW47" s="59">
        <v>0.34</v>
      </c>
      <c r="AX47" s="59" t="s">
        <v>348</v>
      </c>
      <c r="AY47" s="59" t="s">
        <v>348</v>
      </c>
      <c r="AZ47" s="59" t="s">
        <v>348</v>
      </c>
      <c r="BA47" s="59" t="s">
        <v>348</v>
      </c>
      <c r="BB47" s="59" t="s">
        <v>348</v>
      </c>
      <c r="BC47" s="59">
        <v>2.57</v>
      </c>
      <c r="BD47" s="59" t="s">
        <v>348</v>
      </c>
      <c r="BE47" s="59" t="s">
        <v>348</v>
      </c>
      <c r="BF47" s="59">
        <v>1.84</v>
      </c>
      <c r="BG47" s="59" t="s">
        <v>348</v>
      </c>
      <c r="BH47" s="59" t="s">
        <v>348</v>
      </c>
      <c r="BI47" s="59" t="s">
        <v>348</v>
      </c>
      <c r="BJ47" s="59" t="s">
        <v>348</v>
      </c>
      <c r="BK47" s="59" t="s">
        <v>348</v>
      </c>
      <c r="BL47" s="59" t="s">
        <v>348</v>
      </c>
      <c r="BM47" s="59" t="s">
        <v>348</v>
      </c>
      <c r="BN47" s="59">
        <v>6.43</v>
      </c>
      <c r="BO47" s="59" t="s">
        <v>348</v>
      </c>
      <c r="BP47" s="59" t="s">
        <v>348</v>
      </c>
      <c r="BQ47" s="59" t="s">
        <v>348</v>
      </c>
      <c r="BR47" s="59" t="s">
        <v>348</v>
      </c>
      <c r="BS47" s="59" t="s">
        <v>348</v>
      </c>
      <c r="BT47" s="59" t="s">
        <v>348</v>
      </c>
      <c r="BU47" s="59" t="s">
        <v>348</v>
      </c>
      <c r="BV47" s="59" t="s">
        <v>348</v>
      </c>
      <c r="BW47" s="59" t="s">
        <v>348</v>
      </c>
      <c r="BX47" s="59" t="s">
        <v>348</v>
      </c>
      <c r="BY47" s="59" t="s">
        <v>348</v>
      </c>
      <c r="BZ47" s="59" t="s">
        <v>348</v>
      </c>
      <c r="CA47" s="59" t="s">
        <v>348</v>
      </c>
      <c r="CB47" s="59" t="s">
        <v>348</v>
      </c>
      <c r="CC47" s="59" t="s">
        <v>348</v>
      </c>
      <c r="CD47" s="59" t="s">
        <v>348</v>
      </c>
      <c r="CE47" s="59" t="s">
        <v>348</v>
      </c>
      <c r="CF47" s="59" t="s">
        <v>348</v>
      </c>
      <c r="CG47" s="59">
        <v>2</v>
      </c>
      <c r="CH47" s="59">
        <v>1</v>
      </c>
      <c r="CI47">
        <v>12</v>
      </c>
    </row>
    <row r="48" spans="1:87" x14ac:dyDescent="0.25">
      <c r="A48">
        <v>47</v>
      </c>
      <c r="B48" s="51" t="s">
        <v>212</v>
      </c>
      <c r="C48" s="55">
        <v>44588.645833333336</v>
      </c>
      <c r="D48" s="55">
        <v>3.85</v>
      </c>
      <c r="E48" s="55" t="s">
        <v>348</v>
      </c>
      <c r="F48" s="55" t="s">
        <v>348</v>
      </c>
      <c r="G48" s="55">
        <v>1.26</v>
      </c>
      <c r="H48" s="55" t="s">
        <v>348</v>
      </c>
      <c r="I48" s="55" t="s">
        <v>348</v>
      </c>
      <c r="J48" s="55">
        <v>1.85</v>
      </c>
      <c r="K48" s="55" t="s">
        <v>348</v>
      </c>
      <c r="L48" s="55" t="s">
        <v>348</v>
      </c>
      <c r="M48" s="55">
        <v>428.56</v>
      </c>
      <c r="N48" s="55">
        <v>6.44</v>
      </c>
      <c r="O48" s="55" t="s">
        <v>348</v>
      </c>
      <c r="P48" s="55" t="s">
        <v>348</v>
      </c>
      <c r="Q48" s="55" t="s">
        <v>348</v>
      </c>
      <c r="R48" s="55" t="s">
        <v>348</v>
      </c>
      <c r="S48" s="55">
        <v>8.93</v>
      </c>
      <c r="T48" s="55" t="s">
        <v>348</v>
      </c>
      <c r="U48" s="55" t="s">
        <v>348</v>
      </c>
      <c r="V48" s="55" t="s">
        <v>348</v>
      </c>
      <c r="W48" s="55">
        <v>0.42</v>
      </c>
      <c r="X48" s="55" t="s">
        <v>348</v>
      </c>
      <c r="Y48" s="55">
        <v>4.2299999999999995</v>
      </c>
      <c r="Z48" s="55">
        <v>0.63000000000000012</v>
      </c>
      <c r="AA48" s="55" t="s">
        <v>348</v>
      </c>
      <c r="AB48" s="55">
        <v>50.04</v>
      </c>
      <c r="AC48" s="55" t="s">
        <v>348</v>
      </c>
      <c r="AD48" s="55" t="s">
        <v>348</v>
      </c>
      <c r="AE48" s="55" t="s">
        <v>348</v>
      </c>
      <c r="AF48" s="55">
        <v>3.16</v>
      </c>
      <c r="AG48" s="55" t="s">
        <v>348</v>
      </c>
      <c r="AH48" s="55" t="s">
        <v>348</v>
      </c>
      <c r="AI48" s="55">
        <v>14.59</v>
      </c>
      <c r="AJ48" s="55" t="s">
        <v>348</v>
      </c>
      <c r="AK48" s="55" t="s">
        <v>348</v>
      </c>
      <c r="AL48" s="55" t="s">
        <v>348</v>
      </c>
      <c r="AM48" s="55">
        <v>0.97</v>
      </c>
      <c r="AN48" s="55" t="s">
        <v>348</v>
      </c>
      <c r="AO48" s="55" t="s">
        <v>348</v>
      </c>
      <c r="AP48" s="55">
        <v>3.72</v>
      </c>
      <c r="AQ48" s="55">
        <v>6.14</v>
      </c>
      <c r="AR48" s="55" t="s">
        <v>348</v>
      </c>
      <c r="AS48" s="55" t="s">
        <v>348</v>
      </c>
      <c r="AT48" s="55" t="s">
        <v>348</v>
      </c>
      <c r="AU48" s="55" t="s">
        <v>348</v>
      </c>
      <c r="AV48" s="55">
        <v>2.0699999999999998</v>
      </c>
      <c r="AW48" s="55">
        <v>0.96</v>
      </c>
      <c r="AX48" s="55" t="s">
        <v>348</v>
      </c>
      <c r="AY48" s="55" t="s">
        <v>348</v>
      </c>
      <c r="AZ48" s="55" t="s">
        <v>348</v>
      </c>
      <c r="BA48" s="55" t="s">
        <v>348</v>
      </c>
      <c r="BB48" s="55" t="s">
        <v>348</v>
      </c>
      <c r="BC48" s="55">
        <v>57.91</v>
      </c>
      <c r="BD48" s="55" t="s">
        <v>348</v>
      </c>
      <c r="BE48" s="55" t="s">
        <v>348</v>
      </c>
      <c r="BF48" s="55">
        <v>14.94</v>
      </c>
      <c r="BG48" s="55" t="s">
        <v>348</v>
      </c>
      <c r="BH48" s="55" t="s">
        <v>348</v>
      </c>
      <c r="BI48" s="55" t="s">
        <v>348</v>
      </c>
      <c r="BJ48" s="55">
        <v>5.36</v>
      </c>
      <c r="BK48" s="55" t="s">
        <v>348</v>
      </c>
      <c r="BL48" s="55" t="s">
        <v>348</v>
      </c>
      <c r="BM48" s="55" t="s">
        <v>348</v>
      </c>
      <c r="BN48" s="55">
        <v>18.54</v>
      </c>
      <c r="BO48" s="55" t="s">
        <v>348</v>
      </c>
      <c r="BP48" s="55">
        <v>2.96</v>
      </c>
      <c r="BQ48" s="55" t="s">
        <v>348</v>
      </c>
      <c r="BR48" s="55" t="s">
        <v>348</v>
      </c>
      <c r="BS48" s="55" t="s">
        <v>348</v>
      </c>
      <c r="BT48" s="55" t="s">
        <v>348</v>
      </c>
      <c r="BU48" s="55" t="s">
        <v>348</v>
      </c>
      <c r="BV48" s="55" t="s">
        <v>348</v>
      </c>
      <c r="BW48" s="55" t="s">
        <v>348</v>
      </c>
      <c r="BX48" s="55" t="s">
        <v>348</v>
      </c>
      <c r="BY48" s="55" t="s">
        <v>348</v>
      </c>
      <c r="BZ48" s="55" t="s">
        <v>348</v>
      </c>
      <c r="CA48" s="55">
        <v>5.68</v>
      </c>
      <c r="CB48" s="55" t="s">
        <v>348</v>
      </c>
      <c r="CC48" s="55" t="s">
        <v>348</v>
      </c>
      <c r="CD48" s="55" t="s">
        <v>348</v>
      </c>
      <c r="CE48" s="55" t="s">
        <v>348</v>
      </c>
      <c r="CF48" s="55" t="s">
        <v>348</v>
      </c>
      <c r="CG48" s="55">
        <v>1</v>
      </c>
      <c r="CH48" s="55">
        <v>1</v>
      </c>
      <c r="CI48">
        <v>111</v>
      </c>
    </row>
    <row r="49" spans="1:87" x14ac:dyDescent="0.25">
      <c r="A49">
        <v>48</v>
      </c>
      <c r="B49" s="51" t="s">
        <v>213</v>
      </c>
      <c r="C49" s="55">
        <v>44588.645833333336</v>
      </c>
      <c r="D49" s="55" t="s">
        <v>348</v>
      </c>
      <c r="E49" s="55" t="s">
        <v>348</v>
      </c>
      <c r="F49" s="55">
        <v>0.75</v>
      </c>
      <c r="G49" s="55">
        <v>2.44</v>
      </c>
      <c r="H49" s="55" t="s">
        <v>348</v>
      </c>
      <c r="I49" s="55" t="s">
        <v>348</v>
      </c>
      <c r="J49" s="55">
        <v>0.76</v>
      </c>
      <c r="K49" s="55" t="s">
        <v>348</v>
      </c>
      <c r="L49" s="55">
        <v>9.76</v>
      </c>
      <c r="M49" s="55">
        <v>26.580000000000005</v>
      </c>
      <c r="N49" s="55">
        <v>58.31</v>
      </c>
      <c r="O49" s="55" t="s">
        <v>348</v>
      </c>
      <c r="P49" s="55" t="s">
        <v>348</v>
      </c>
      <c r="Q49" s="55" t="s">
        <v>348</v>
      </c>
      <c r="R49" s="55" t="s">
        <v>348</v>
      </c>
      <c r="S49" s="55" t="s">
        <v>348</v>
      </c>
      <c r="T49" s="55" t="s">
        <v>348</v>
      </c>
      <c r="U49" s="55" t="s">
        <v>348</v>
      </c>
      <c r="V49" s="55" t="s">
        <v>348</v>
      </c>
      <c r="W49" s="55" t="s">
        <v>348</v>
      </c>
      <c r="X49" s="55" t="s">
        <v>348</v>
      </c>
      <c r="Y49" s="55">
        <v>2.59</v>
      </c>
      <c r="Z49" s="55">
        <v>0.65000000000000013</v>
      </c>
      <c r="AA49" s="55" t="s">
        <v>348</v>
      </c>
      <c r="AB49" s="55">
        <v>12.93</v>
      </c>
      <c r="AC49" s="55" t="s">
        <v>348</v>
      </c>
      <c r="AD49" s="55" t="s">
        <v>348</v>
      </c>
      <c r="AE49" s="55" t="s">
        <v>348</v>
      </c>
      <c r="AF49" s="55" t="s">
        <v>348</v>
      </c>
      <c r="AG49" s="55" t="s">
        <v>348</v>
      </c>
      <c r="AH49" s="55" t="s">
        <v>348</v>
      </c>
      <c r="AI49" s="55">
        <v>3.83</v>
      </c>
      <c r="AJ49" s="55" t="s">
        <v>348</v>
      </c>
      <c r="AK49" s="55">
        <v>6.42</v>
      </c>
      <c r="AL49" s="55" t="s">
        <v>348</v>
      </c>
      <c r="AM49" s="55">
        <v>0.15000000000000002</v>
      </c>
      <c r="AN49" s="55" t="s">
        <v>348</v>
      </c>
      <c r="AO49" s="55" t="s">
        <v>348</v>
      </c>
      <c r="AP49" s="55">
        <v>0.67</v>
      </c>
      <c r="AQ49" s="55">
        <v>12.5</v>
      </c>
      <c r="AR49" s="55" t="s">
        <v>348</v>
      </c>
      <c r="AS49" s="55" t="s">
        <v>348</v>
      </c>
      <c r="AT49" s="55" t="s">
        <v>348</v>
      </c>
      <c r="AU49" s="55" t="s">
        <v>348</v>
      </c>
      <c r="AV49" s="55" t="s">
        <v>348</v>
      </c>
      <c r="AW49" s="55">
        <v>0.54</v>
      </c>
      <c r="AX49" s="55" t="s">
        <v>348</v>
      </c>
      <c r="AY49" s="55" t="s">
        <v>348</v>
      </c>
      <c r="AZ49" s="55" t="s">
        <v>348</v>
      </c>
      <c r="BA49" s="55">
        <v>0.42</v>
      </c>
      <c r="BB49" s="55" t="s">
        <v>348</v>
      </c>
      <c r="BC49" s="55">
        <v>5.18</v>
      </c>
      <c r="BD49" s="55" t="s">
        <v>348</v>
      </c>
      <c r="BE49" s="55" t="s">
        <v>348</v>
      </c>
      <c r="BF49" s="55">
        <v>1.78</v>
      </c>
      <c r="BG49" s="55" t="s">
        <v>348</v>
      </c>
      <c r="BH49" s="55" t="s">
        <v>348</v>
      </c>
      <c r="BI49" s="55" t="s">
        <v>348</v>
      </c>
      <c r="BJ49" s="55" t="s">
        <v>348</v>
      </c>
      <c r="BK49" s="55" t="s">
        <v>348</v>
      </c>
      <c r="BL49" s="55" t="s">
        <v>348</v>
      </c>
      <c r="BM49" s="55" t="s">
        <v>348</v>
      </c>
      <c r="BN49" s="55">
        <v>6.04</v>
      </c>
      <c r="BO49" s="55" t="s">
        <v>348</v>
      </c>
      <c r="BP49" s="55">
        <v>8.4499999999999993</v>
      </c>
      <c r="BQ49" s="55" t="s">
        <v>348</v>
      </c>
      <c r="BR49" s="55" t="s">
        <v>348</v>
      </c>
      <c r="BS49" s="55" t="s">
        <v>348</v>
      </c>
      <c r="BT49" s="55" t="s">
        <v>348</v>
      </c>
      <c r="BU49" s="55" t="s">
        <v>348</v>
      </c>
      <c r="BV49" s="55" t="s">
        <v>348</v>
      </c>
      <c r="BW49" s="55" t="s">
        <v>348</v>
      </c>
      <c r="BX49" s="55" t="s">
        <v>348</v>
      </c>
      <c r="BY49" s="55" t="s">
        <v>348</v>
      </c>
      <c r="BZ49" s="55" t="s">
        <v>348</v>
      </c>
      <c r="CA49" s="55">
        <v>2.9600000000000009</v>
      </c>
      <c r="CB49" s="55" t="s">
        <v>348</v>
      </c>
      <c r="CC49" s="55" t="s">
        <v>348</v>
      </c>
      <c r="CD49" s="55" t="s">
        <v>348</v>
      </c>
      <c r="CE49" s="55" t="s">
        <v>348</v>
      </c>
      <c r="CF49" s="55" t="s">
        <v>348</v>
      </c>
      <c r="CG49" s="55">
        <v>1</v>
      </c>
      <c r="CH49" s="55">
        <v>1</v>
      </c>
      <c r="CI49">
        <v>11</v>
      </c>
    </row>
    <row r="50" spans="1:87" x14ac:dyDescent="0.25">
      <c r="A50">
        <v>49</v>
      </c>
      <c r="B50" s="51" t="s">
        <v>214</v>
      </c>
      <c r="C50" s="55">
        <v>44588.725694444445</v>
      </c>
      <c r="D50" s="55" t="s">
        <v>348</v>
      </c>
      <c r="E50" s="55" t="s">
        <v>348</v>
      </c>
      <c r="F50" s="55">
        <v>0.3</v>
      </c>
      <c r="G50" s="55">
        <v>7.25</v>
      </c>
      <c r="H50" s="55" t="s">
        <v>348</v>
      </c>
      <c r="I50" s="55" t="s">
        <v>348</v>
      </c>
      <c r="J50" s="55" t="s">
        <v>348</v>
      </c>
      <c r="K50" s="55" t="s">
        <v>348</v>
      </c>
      <c r="L50" s="55">
        <v>5.97</v>
      </c>
      <c r="M50" s="55">
        <v>620.94000000000005</v>
      </c>
      <c r="N50" s="55">
        <v>12.12</v>
      </c>
      <c r="O50" s="55" t="s">
        <v>348</v>
      </c>
      <c r="P50" s="55" t="s">
        <v>348</v>
      </c>
      <c r="Q50" s="55" t="s">
        <v>348</v>
      </c>
      <c r="R50" s="55" t="s">
        <v>348</v>
      </c>
      <c r="S50" s="55">
        <v>3.3</v>
      </c>
      <c r="T50" s="55" t="s">
        <v>348</v>
      </c>
      <c r="U50" s="55" t="s">
        <v>348</v>
      </c>
      <c r="V50" s="55" t="s">
        <v>348</v>
      </c>
      <c r="W50" s="55">
        <v>0.55000000000000004</v>
      </c>
      <c r="X50" s="55" t="s">
        <v>348</v>
      </c>
      <c r="Y50" s="55">
        <v>0.61000000000000032</v>
      </c>
      <c r="Z50" s="55">
        <v>0.24</v>
      </c>
      <c r="AA50" s="55" t="s">
        <v>348</v>
      </c>
      <c r="AB50" s="55">
        <v>108.67</v>
      </c>
      <c r="AC50" s="55" t="s">
        <v>348</v>
      </c>
      <c r="AD50" s="55" t="s">
        <v>348</v>
      </c>
      <c r="AE50" s="55" t="s">
        <v>348</v>
      </c>
      <c r="AF50" s="55" t="s">
        <v>348</v>
      </c>
      <c r="AG50" s="55" t="s">
        <v>348</v>
      </c>
      <c r="AH50" s="55" t="s">
        <v>348</v>
      </c>
      <c r="AI50" s="55">
        <v>15.22</v>
      </c>
      <c r="AJ50" s="55" t="s">
        <v>348</v>
      </c>
      <c r="AK50" s="55" t="s">
        <v>348</v>
      </c>
      <c r="AL50" s="55" t="s">
        <v>348</v>
      </c>
      <c r="AM50" s="55">
        <v>0.55000000000000004</v>
      </c>
      <c r="AN50" s="55" t="s">
        <v>348</v>
      </c>
      <c r="AO50" s="55" t="s">
        <v>348</v>
      </c>
      <c r="AP50" s="55">
        <v>2.58</v>
      </c>
      <c r="AQ50" s="55">
        <v>2.6</v>
      </c>
      <c r="AR50" s="55" t="s">
        <v>348</v>
      </c>
      <c r="AS50" s="55" t="s">
        <v>348</v>
      </c>
      <c r="AT50" s="55" t="s">
        <v>348</v>
      </c>
      <c r="AU50" s="55" t="s">
        <v>348</v>
      </c>
      <c r="AV50" s="55" t="s">
        <v>348</v>
      </c>
      <c r="AW50" s="55" t="s">
        <v>348</v>
      </c>
      <c r="AX50" s="55" t="s">
        <v>348</v>
      </c>
      <c r="AY50" s="55" t="s">
        <v>348</v>
      </c>
      <c r="AZ50" s="55" t="s">
        <v>348</v>
      </c>
      <c r="BA50" s="55" t="s">
        <v>348</v>
      </c>
      <c r="BB50" s="55" t="s">
        <v>348</v>
      </c>
      <c r="BC50" s="55">
        <v>5.18</v>
      </c>
      <c r="BD50" s="55" t="s">
        <v>348</v>
      </c>
      <c r="BE50" s="55" t="s">
        <v>348</v>
      </c>
      <c r="BF50" s="55">
        <v>22.59</v>
      </c>
      <c r="BG50" s="55" t="s">
        <v>348</v>
      </c>
      <c r="BH50" s="55" t="s">
        <v>348</v>
      </c>
      <c r="BI50" s="55" t="s">
        <v>348</v>
      </c>
      <c r="BJ50" s="55">
        <v>7.21</v>
      </c>
      <c r="BK50" s="55" t="s">
        <v>348</v>
      </c>
      <c r="BL50" s="55" t="s">
        <v>348</v>
      </c>
      <c r="BM50" s="55" t="s">
        <v>348</v>
      </c>
      <c r="BN50" s="55">
        <v>3.83</v>
      </c>
      <c r="BO50" s="55" t="s">
        <v>348</v>
      </c>
      <c r="BP50" s="55">
        <v>1.0900000000000001</v>
      </c>
      <c r="BQ50" s="55" t="s">
        <v>348</v>
      </c>
      <c r="BR50" s="55" t="s">
        <v>348</v>
      </c>
      <c r="BS50" s="55" t="s">
        <v>348</v>
      </c>
      <c r="BT50" s="55" t="s">
        <v>348</v>
      </c>
      <c r="BU50" s="55" t="s">
        <v>348</v>
      </c>
      <c r="BV50" s="55" t="s">
        <v>348</v>
      </c>
      <c r="BW50" s="55" t="s">
        <v>348</v>
      </c>
      <c r="BX50" s="55" t="s">
        <v>348</v>
      </c>
      <c r="BY50" s="55" t="s">
        <v>348</v>
      </c>
      <c r="BZ50" s="55" t="s">
        <v>348</v>
      </c>
      <c r="CA50" s="55">
        <v>11.389999999999999</v>
      </c>
      <c r="CB50" s="55" t="s">
        <v>348</v>
      </c>
      <c r="CC50" s="55" t="s">
        <v>348</v>
      </c>
      <c r="CD50" s="55" t="s">
        <v>348</v>
      </c>
      <c r="CE50" s="55" t="s">
        <v>348</v>
      </c>
      <c r="CF50" s="55" t="s">
        <v>348</v>
      </c>
      <c r="CG50" s="55">
        <v>2</v>
      </c>
      <c r="CH50" s="55">
        <v>1</v>
      </c>
      <c r="CI50">
        <v>112</v>
      </c>
    </row>
    <row r="51" spans="1:87" x14ac:dyDescent="0.25">
      <c r="A51">
        <v>50</v>
      </c>
      <c r="B51" s="58" t="s">
        <v>215</v>
      </c>
      <c r="C51" s="59">
        <v>44588.725694444445</v>
      </c>
      <c r="D51" s="59" t="s">
        <v>348</v>
      </c>
      <c r="E51" s="59" t="s">
        <v>348</v>
      </c>
      <c r="F51" s="59">
        <v>0.55000000000000004</v>
      </c>
      <c r="G51" s="59">
        <v>1.18</v>
      </c>
      <c r="H51" s="59" t="s">
        <v>348</v>
      </c>
      <c r="I51" s="59" t="s">
        <v>348</v>
      </c>
      <c r="J51" s="59" t="s">
        <v>348</v>
      </c>
      <c r="K51" s="59" t="s">
        <v>348</v>
      </c>
      <c r="L51" s="59" t="s">
        <v>348</v>
      </c>
      <c r="M51" s="59">
        <v>53.98</v>
      </c>
      <c r="N51" s="59">
        <v>89.06</v>
      </c>
      <c r="O51" s="59">
        <v>2.75</v>
      </c>
      <c r="P51" s="59" t="s">
        <v>348</v>
      </c>
      <c r="Q51" s="59" t="s">
        <v>348</v>
      </c>
      <c r="R51" s="59">
        <v>7.92</v>
      </c>
      <c r="S51" s="59">
        <v>0.48</v>
      </c>
      <c r="T51" s="59" t="s">
        <v>348</v>
      </c>
      <c r="U51" s="59" t="s">
        <v>348</v>
      </c>
      <c r="V51" s="59" t="s">
        <v>348</v>
      </c>
      <c r="W51" s="59" t="s">
        <v>348</v>
      </c>
      <c r="X51" s="59">
        <v>3.25</v>
      </c>
      <c r="Y51" s="59" t="s">
        <v>348</v>
      </c>
      <c r="Z51" s="59">
        <v>0.65000000000000013</v>
      </c>
      <c r="AA51" s="59" t="s">
        <v>348</v>
      </c>
      <c r="AB51" s="59">
        <v>37.42</v>
      </c>
      <c r="AC51" s="59" t="s">
        <v>348</v>
      </c>
      <c r="AD51" s="59" t="s">
        <v>348</v>
      </c>
      <c r="AE51" s="59" t="s">
        <v>348</v>
      </c>
      <c r="AF51" s="59" t="s">
        <v>348</v>
      </c>
      <c r="AG51" s="59" t="s">
        <v>348</v>
      </c>
      <c r="AH51" s="59" t="s">
        <v>348</v>
      </c>
      <c r="AI51" s="59">
        <v>13.31</v>
      </c>
      <c r="AJ51" s="59" t="s">
        <v>348</v>
      </c>
      <c r="AK51" s="59" t="s">
        <v>348</v>
      </c>
      <c r="AL51" s="59" t="s">
        <v>348</v>
      </c>
      <c r="AM51" s="59">
        <v>0.82000000000000006</v>
      </c>
      <c r="AN51" s="59" t="s">
        <v>348</v>
      </c>
      <c r="AO51" s="59" t="s">
        <v>348</v>
      </c>
      <c r="AP51" s="59">
        <v>2.77</v>
      </c>
      <c r="AQ51" s="59">
        <v>1.02</v>
      </c>
      <c r="AR51" s="59" t="s">
        <v>348</v>
      </c>
      <c r="AS51" s="59" t="s">
        <v>348</v>
      </c>
      <c r="AT51" s="59" t="s">
        <v>348</v>
      </c>
      <c r="AU51" s="59" t="s">
        <v>348</v>
      </c>
      <c r="AV51" s="59">
        <v>1.54</v>
      </c>
      <c r="AW51" s="59" t="s">
        <v>348</v>
      </c>
      <c r="AX51" s="59" t="s">
        <v>348</v>
      </c>
      <c r="AY51" s="59" t="s">
        <v>348</v>
      </c>
      <c r="AZ51" s="59" t="s">
        <v>348</v>
      </c>
      <c r="BA51" s="59" t="s">
        <v>348</v>
      </c>
      <c r="BB51" s="59" t="s">
        <v>348</v>
      </c>
      <c r="BC51" s="59">
        <v>1.71</v>
      </c>
      <c r="BD51" s="59" t="s">
        <v>348</v>
      </c>
      <c r="BE51" s="59" t="s">
        <v>348</v>
      </c>
      <c r="BF51" s="59">
        <v>3.18</v>
      </c>
      <c r="BG51" s="59" t="s">
        <v>348</v>
      </c>
      <c r="BH51" s="59" t="s">
        <v>348</v>
      </c>
      <c r="BI51" s="59" t="s">
        <v>348</v>
      </c>
      <c r="BJ51" s="59" t="s">
        <v>348</v>
      </c>
      <c r="BK51" s="59" t="s">
        <v>348</v>
      </c>
      <c r="BL51" s="59" t="s">
        <v>348</v>
      </c>
      <c r="BM51" s="59" t="s">
        <v>348</v>
      </c>
      <c r="BN51" s="59">
        <v>6.18</v>
      </c>
      <c r="BO51" s="59" t="s">
        <v>348</v>
      </c>
      <c r="BP51" s="59" t="s">
        <v>348</v>
      </c>
      <c r="BQ51" s="59" t="s">
        <v>348</v>
      </c>
      <c r="BR51" s="59" t="s">
        <v>348</v>
      </c>
      <c r="BS51" s="59" t="s">
        <v>348</v>
      </c>
      <c r="BT51" s="59" t="s">
        <v>348</v>
      </c>
      <c r="BU51" s="59" t="s">
        <v>348</v>
      </c>
      <c r="BV51" s="59" t="s">
        <v>348</v>
      </c>
      <c r="BW51" s="59" t="s">
        <v>348</v>
      </c>
      <c r="BX51" s="59" t="s">
        <v>348</v>
      </c>
      <c r="BY51" s="59" t="s">
        <v>348</v>
      </c>
      <c r="BZ51" s="59" t="s">
        <v>348</v>
      </c>
      <c r="CA51" s="59" t="s">
        <v>348</v>
      </c>
      <c r="CB51" s="59" t="s">
        <v>348</v>
      </c>
      <c r="CC51" s="59" t="s">
        <v>348</v>
      </c>
      <c r="CD51" s="59" t="s">
        <v>348</v>
      </c>
      <c r="CE51" s="59" t="s">
        <v>348</v>
      </c>
      <c r="CF51" s="59" t="s">
        <v>348</v>
      </c>
      <c r="CG51" s="59">
        <v>2</v>
      </c>
      <c r="CH51" s="59">
        <v>1</v>
      </c>
      <c r="CI51">
        <v>12</v>
      </c>
    </row>
    <row r="52" spans="1:87" x14ac:dyDescent="0.25">
      <c r="A52">
        <v>51</v>
      </c>
      <c r="B52" s="51" t="s">
        <v>216</v>
      </c>
      <c r="C52" s="55">
        <v>44591.4375</v>
      </c>
      <c r="D52" s="55" t="s">
        <v>348</v>
      </c>
      <c r="E52" s="55" t="s">
        <v>348</v>
      </c>
      <c r="F52" s="55" t="s">
        <v>348</v>
      </c>
      <c r="G52" s="55" t="s">
        <v>348</v>
      </c>
      <c r="H52" s="55" t="s">
        <v>348</v>
      </c>
      <c r="I52" s="55" t="s">
        <v>348</v>
      </c>
      <c r="J52" s="55">
        <v>1.33</v>
      </c>
      <c r="K52" s="55" t="s">
        <v>348</v>
      </c>
      <c r="L52" s="55" t="s">
        <v>348</v>
      </c>
      <c r="M52" s="55">
        <v>48.01</v>
      </c>
      <c r="N52" s="55">
        <v>3.37</v>
      </c>
      <c r="O52" s="55" t="s">
        <v>348</v>
      </c>
      <c r="P52" s="55" t="s">
        <v>348</v>
      </c>
      <c r="Q52" s="55" t="s">
        <v>348</v>
      </c>
      <c r="R52" s="55" t="s">
        <v>348</v>
      </c>
      <c r="S52" s="55">
        <v>1.3</v>
      </c>
      <c r="T52" s="55" t="s">
        <v>348</v>
      </c>
      <c r="U52" s="55" t="s">
        <v>348</v>
      </c>
      <c r="V52" s="55" t="s">
        <v>348</v>
      </c>
      <c r="W52" s="55" t="s">
        <v>348</v>
      </c>
      <c r="X52" s="55" t="s">
        <v>348</v>
      </c>
      <c r="Y52" s="55">
        <v>3.62</v>
      </c>
      <c r="Z52" s="55">
        <v>0.62000000000000011</v>
      </c>
      <c r="AA52" s="55" t="s">
        <v>348</v>
      </c>
      <c r="AB52" s="55">
        <v>31.99</v>
      </c>
      <c r="AC52" s="55" t="s">
        <v>348</v>
      </c>
      <c r="AD52" s="55" t="s">
        <v>348</v>
      </c>
      <c r="AE52" s="55" t="s">
        <v>348</v>
      </c>
      <c r="AF52" s="55" t="s">
        <v>348</v>
      </c>
      <c r="AG52" s="55" t="s">
        <v>348</v>
      </c>
      <c r="AH52" s="55" t="s">
        <v>348</v>
      </c>
      <c r="AI52" s="55">
        <v>3.04</v>
      </c>
      <c r="AJ52" s="55" t="s">
        <v>348</v>
      </c>
      <c r="AK52" s="55" t="s">
        <v>348</v>
      </c>
      <c r="AL52" s="55" t="s">
        <v>348</v>
      </c>
      <c r="AM52" s="55">
        <v>0.44000000000000006</v>
      </c>
      <c r="AN52" s="55" t="s">
        <v>348</v>
      </c>
      <c r="AO52" s="55" t="s">
        <v>348</v>
      </c>
      <c r="AP52" s="55">
        <v>1.22</v>
      </c>
      <c r="AQ52" s="55">
        <v>2.34</v>
      </c>
      <c r="AR52" s="55" t="s">
        <v>348</v>
      </c>
      <c r="AS52" s="55" t="s">
        <v>348</v>
      </c>
      <c r="AT52" s="55" t="s">
        <v>348</v>
      </c>
      <c r="AU52" s="55" t="s">
        <v>348</v>
      </c>
      <c r="AV52" s="55" t="s">
        <v>348</v>
      </c>
      <c r="AW52" s="55">
        <v>0.68</v>
      </c>
      <c r="AX52" s="55" t="s">
        <v>348</v>
      </c>
      <c r="AY52" s="55" t="s">
        <v>348</v>
      </c>
      <c r="AZ52" s="55" t="s">
        <v>348</v>
      </c>
      <c r="BA52" s="55" t="s">
        <v>348</v>
      </c>
      <c r="BB52" s="55" t="s">
        <v>348</v>
      </c>
      <c r="BC52" s="55">
        <v>27.19</v>
      </c>
      <c r="BD52" s="55" t="s">
        <v>348</v>
      </c>
      <c r="BE52" s="55" t="s">
        <v>348</v>
      </c>
      <c r="BF52" s="55">
        <v>5.52</v>
      </c>
      <c r="BG52" s="55" t="s">
        <v>348</v>
      </c>
      <c r="BH52" s="55" t="s">
        <v>348</v>
      </c>
      <c r="BI52" s="55" t="s">
        <v>348</v>
      </c>
      <c r="BJ52" s="55">
        <v>1.59</v>
      </c>
      <c r="BK52" s="55" t="s">
        <v>348</v>
      </c>
      <c r="BL52" s="55" t="s">
        <v>348</v>
      </c>
      <c r="BM52" s="55" t="s">
        <v>348</v>
      </c>
      <c r="BN52" s="55">
        <v>17.64</v>
      </c>
      <c r="BO52" s="55" t="s">
        <v>348</v>
      </c>
      <c r="BP52" s="55">
        <v>1.96</v>
      </c>
      <c r="BQ52" s="55" t="s">
        <v>348</v>
      </c>
      <c r="BR52" s="55" t="s">
        <v>348</v>
      </c>
      <c r="BS52" s="55" t="s">
        <v>348</v>
      </c>
      <c r="BT52" s="55" t="s">
        <v>348</v>
      </c>
      <c r="BU52" s="55" t="s">
        <v>348</v>
      </c>
      <c r="BV52" s="55" t="s">
        <v>348</v>
      </c>
      <c r="BW52" s="55" t="s">
        <v>348</v>
      </c>
      <c r="BX52" s="55" t="s">
        <v>348</v>
      </c>
      <c r="BY52" s="55" t="s">
        <v>348</v>
      </c>
      <c r="BZ52" s="55" t="s">
        <v>348</v>
      </c>
      <c r="CA52" s="55">
        <v>4.4700000000000006</v>
      </c>
      <c r="CB52" s="55" t="s">
        <v>348</v>
      </c>
      <c r="CC52" s="55" t="s">
        <v>348</v>
      </c>
      <c r="CD52" s="55" t="s">
        <v>348</v>
      </c>
      <c r="CE52" s="55" t="s">
        <v>348</v>
      </c>
      <c r="CF52" s="55" t="s">
        <v>348</v>
      </c>
      <c r="CG52" s="55">
        <v>1</v>
      </c>
      <c r="CH52" s="55">
        <v>1</v>
      </c>
      <c r="CI52">
        <v>111</v>
      </c>
    </row>
    <row r="53" spans="1:87" x14ac:dyDescent="0.25">
      <c r="A53">
        <v>52</v>
      </c>
      <c r="B53" s="51" t="s">
        <v>217</v>
      </c>
      <c r="C53" s="55">
        <v>44591.447916666664</v>
      </c>
      <c r="D53" s="55" t="s">
        <v>348</v>
      </c>
      <c r="E53" s="55" t="s">
        <v>348</v>
      </c>
      <c r="F53" s="55">
        <v>1.27</v>
      </c>
      <c r="G53" s="55">
        <v>3.63</v>
      </c>
      <c r="H53" s="55" t="s">
        <v>348</v>
      </c>
      <c r="I53" s="55" t="s">
        <v>348</v>
      </c>
      <c r="J53" s="55">
        <v>1.26</v>
      </c>
      <c r="K53" s="55" t="s">
        <v>348</v>
      </c>
      <c r="L53" s="55">
        <v>13.85</v>
      </c>
      <c r="M53" s="55" t="s">
        <v>348</v>
      </c>
      <c r="N53" s="55">
        <v>103.84</v>
      </c>
      <c r="O53" s="55" t="s">
        <v>348</v>
      </c>
      <c r="P53" s="55" t="s">
        <v>348</v>
      </c>
      <c r="Q53" s="55" t="s">
        <v>348</v>
      </c>
      <c r="R53" s="55" t="s">
        <v>348</v>
      </c>
      <c r="S53" s="55">
        <v>0.39</v>
      </c>
      <c r="T53" s="55" t="s">
        <v>348</v>
      </c>
      <c r="U53" s="55" t="s">
        <v>348</v>
      </c>
      <c r="V53" s="55" t="s">
        <v>348</v>
      </c>
      <c r="W53" s="55" t="s">
        <v>348</v>
      </c>
      <c r="X53" s="55" t="s">
        <v>348</v>
      </c>
      <c r="Y53" s="55">
        <v>6.0799999999999992</v>
      </c>
      <c r="Z53" s="55">
        <v>0.56000000000000005</v>
      </c>
      <c r="AA53" s="55" t="s">
        <v>348</v>
      </c>
      <c r="AB53" s="55">
        <v>12.23</v>
      </c>
      <c r="AC53" s="55" t="s">
        <v>348</v>
      </c>
      <c r="AD53" s="55" t="s">
        <v>348</v>
      </c>
      <c r="AE53" s="55" t="s">
        <v>348</v>
      </c>
      <c r="AF53" s="55" t="s">
        <v>348</v>
      </c>
      <c r="AG53" s="55" t="s">
        <v>348</v>
      </c>
      <c r="AH53" s="55" t="s">
        <v>348</v>
      </c>
      <c r="AI53" s="55">
        <v>2.79</v>
      </c>
      <c r="AJ53" s="55" t="s">
        <v>348</v>
      </c>
      <c r="AK53" s="55">
        <v>11.11</v>
      </c>
      <c r="AL53" s="55" t="s">
        <v>348</v>
      </c>
      <c r="AM53" s="55">
        <v>0.21999999999999997</v>
      </c>
      <c r="AN53" s="55" t="s">
        <v>348</v>
      </c>
      <c r="AO53" s="55" t="s">
        <v>348</v>
      </c>
      <c r="AP53" s="55">
        <v>1.27</v>
      </c>
      <c r="AQ53" s="55">
        <v>13.12</v>
      </c>
      <c r="AR53" s="55" t="s">
        <v>348</v>
      </c>
      <c r="AS53" s="55" t="s">
        <v>348</v>
      </c>
      <c r="AT53" s="55" t="s">
        <v>348</v>
      </c>
      <c r="AU53" s="55" t="s">
        <v>348</v>
      </c>
      <c r="AV53" s="55" t="s">
        <v>348</v>
      </c>
      <c r="AW53" s="55">
        <v>1.04</v>
      </c>
      <c r="AX53" s="55" t="s">
        <v>348</v>
      </c>
      <c r="AY53" s="55" t="s">
        <v>348</v>
      </c>
      <c r="AZ53" s="55" t="s">
        <v>348</v>
      </c>
      <c r="BA53" s="55">
        <v>0.82</v>
      </c>
      <c r="BB53" s="55" t="s">
        <v>348</v>
      </c>
      <c r="BC53" s="55">
        <v>15.280000000000001</v>
      </c>
      <c r="BD53" s="55" t="s">
        <v>348</v>
      </c>
      <c r="BE53" s="55" t="s">
        <v>348</v>
      </c>
      <c r="BF53" s="55">
        <v>2.21</v>
      </c>
      <c r="BG53" s="55" t="s">
        <v>348</v>
      </c>
      <c r="BH53" s="55" t="s">
        <v>348</v>
      </c>
      <c r="BI53" s="55" t="s">
        <v>348</v>
      </c>
      <c r="BJ53" s="55" t="s">
        <v>348</v>
      </c>
      <c r="BK53" s="55" t="s">
        <v>348</v>
      </c>
      <c r="BL53" s="55" t="s">
        <v>348</v>
      </c>
      <c r="BM53" s="55" t="s">
        <v>348</v>
      </c>
      <c r="BN53" s="55">
        <v>18.8</v>
      </c>
      <c r="BO53" s="55" t="s">
        <v>348</v>
      </c>
      <c r="BP53" s="55">
        <v>9.27</v>
      </c>
      <c r="BQ53" s="55" t="s">
        <v>348</v>
      </c>
      <c r="BR53" s="55" t="s">
        <v>348</v>
      </c>
      <c r="BS53" s="55" t="s">
        <v>348</v>
      </c>
      <c r="BT53" s="55" t="s">
        <v>348</v>
      </c>
      <c r="BU53" s="55" t="s">
        <v>348</v>
      </c>
      <c r="BV53" s="55" t="s">
        <v>348</v>
      </c>
      <c r="BW53" s="55" t="s">
        <v>348</v>
      </c>
      <c r="BX53" s="55" t="s">
        <v>348</v>
      </c>
      <c r="BY53" s="55" t="s">
        <v>348</v>
      </c>
      <c r="BZ53" s="55" t="s">
        <v>348</v>
      </c>
      <c r="CA53" s="55">
        <v>2.0199999999999996</v>
      </c>
      <c r="CB53" s="55" t="s">
        <v>348</v>
      </c>
      <c r="CC53" s="55" t="s">
        <v>348</v>
      </c>
      <c r="CD53" s="55" t="s">
        <v>348</v>
      </c>
      <c r="CE53" s="55" t="s">
        <v>348</v>
      </c>
      <c r="CF53" s="55" t="s">
        <v>348</v>
      </c>
      <c r="CG53" s="55">
        <v>1</v>
      </c>
      <c r="CH53" s="55">
        <v>1</v>
      </c>
      <c r="CI53">
        <v>11</v>
      </c>
    </row>
    <row r="54" spans="1:87" x14ac:dyDescent="0.25">
      <c r="A54">
        <v>53</v>
      </c>
      <c r="B54" s="51" t="s">
        <v>218</v>
      </c>
      <c r="C54" s="55">
        <v>44591.506944444445</v>
      </c>
      <c r="D54" s="55" t="s">
        <v>348</v>
      </c>
      <c r="E54" s="55" t="s">
        <v>348</v>
      </c>
      <c r="F54" s="55" t="s">
        <v>348</v>
      </c>
      <c r="G54" s="55">
        <v>3.78</v>
      </c>
      <c r="H54" s="55" t="s">
        <v>348</v>
      </c>
      <c r="I54" s="55" t="s">
        <v>348</v>
      </c>
      <c r="J54" s="55">
        <v>0.74</v>
      </c>
      <c r="K54" s="55" t="s">
        <v>348</v>
      </c>
      <c r="L54" s="55" t="s">
        <v>348</v>
      </c>
      <c r="M54" s="55">
        <v>143.77000000000001</v>
      </c>
      <c r="N54" s="55">
        <v>8.27</v>
      </c>
      <c r="O54" s="55" t="s">
        <v>348</v>
      </c>
      <c r="P54" s="55" t="s">
        <v>348</v>
      </c>
      <c r="Q54" s="55" t="s">
        <v>348</v>
      </c>
      <c r="R54" s="55" t="s">
        <v>348</v>
      </c>
      <c r="S54" s="55">
        <v>1.92</v>
      </c>
      <c r="T54" s="55" t="s">
        <v>348</v>
      </c>
      <c r="U54" s="55" t="s">
        <v>348</v>
      </c>
      <c r="V54" s="55" t="s">
        <v>348</v>
      </c>
      <c r="W54" s="55">
        <v>0.64</v>
      </c>
      <c r="X54" s="55" t="s">
        <v>348</v>
      </c>
      <c r="Y54" s="55">
        <v>1.0700000000000003</v>
      </c>
      <c r="Z54" s="55">
        <v>0.13</v>
      </c>
      <c r="AA54" s="55" t="s">
        <v>348</v>
      </c>
      <c r="AB54" s="55">
        <v>114.85</v>
      </c>
      <c r="AC54" s="55" t="s">
        <v>348</v>
      </c>
      <c r="AD54" s="55" t="s">
        <v>348</v>
      </c>
      <c r="AE54" s="55" t="s">
        <v>348</v>
      </c>
      <c r="AF54" s="55" t="s">
        <v>348</v>
      </c>
      <c r="AG54" s="55" t="s">
        <v>348</v>
      </c>
      <c r="AH54" s="55" t="s">
        <v>348</v>
      </c>
      <c r="AI54" s="55">
        <v>8.91</v>
      </c>
      <c r="AJ54" s="55" t="s">
        <v>348</v>
      </c>
      <c r="AK54" s="55" t="s">
        <v>348</v>
      </c>
      <c r="AL54" s="55" t="s">
        <v>348</v>
      </c>
      <c r="AM54" s="55">
        <v>0.26</v>
      </c>
      <c r="AN54" s="55" t="s">
        <v>348</v>
      </c>
      <c r="AO54" s="55" t="s">
        <v>348</v>
      </c>
      <c r="AP54" s="55">
        <v>2.68</v>
      </c>
      <c r="AQ54" s="55">
        <v>2.04</v>
      </c>
      <c r="AR54" s="55" t="s">
        <v>348</v>
      </c>
      <c r="AS54" s="55" t="s">
        <v>348</v>
      </c>
      <c r="AT54" s="55" t="s">
        <v>348</v>
      </c>
      <c r="AU54" s="55" t="s">
        <v>348</v>
      </c>
      <c r="AV54" s="55" t="s">
        <v>348</v>
      </c>
      <c r="AW54" s="55">
        <v>0.31</v>
      </c>
      <c r="AX54" s="55" t="s">
        <v>348</v>
      </c>
      <c r="AY54" s="55" t="s">
        <v>348</v>
      </c>
      <c r="AZ54" s="55" t="s">
        <v>348</v>
      </c>
      <c r="BA54" s="55" t="s">
        <v>348</v>
      </c>
      <c r="BB54" s="55" t="s">
        <v>348</v>
      </c>
      <c r="BC54" s="55">
        <v>21.54</v>
      </c>
      <c r="BD54" s="55" t="s">
        <v>348</v>
      </c>
      <c r="BE54" s="55" t="s">
        <v>348</v>
      </c>
      <c r="BF54" s="55">
        <v>10.27</v>
      </c>
      <c r="BG54" s="55" t="s">
        <v>348</v>
      </c>
      <c r="BH54" s="55" t="s">
        <v>348</v>
      </c>
      <c r="BI54" s="55" t="s">
        <v>348</v>
      </c>
      <c r="BJ54" s="55">
        <v>4.67</v>
      </c>
      <c r="BK54" s="55" t="s">
        <v>348</v>
      </c>
      <c r="BL54" s="55" t="s">
        <v>348</v>
      </c>
      <c r="BM54" s="55" t="s">
        <v>348</v>
      </c>
      <c r="BN54" s="55">
        <v>10.8</v>
      </c>
      <c r="BO54" s="55" t="s">
        <v>348</v>
      </c>
      <c r="BP54" s="55">
        <v>1.5</v>
      </c>
      <c r="BQ54" s="55" t="s">
        <v>348</v>
      </c>
      <c r="BR54" s="55" t="s">
        <v>348</v>
      </c>
      <c r="BS54" s="55" t="s">
        <v>348</v>
      </c>
      <c r="BT54" s="55" t="s">
        <v>348</v>
      </c>
      <c r="BU54" s="55" t="s">
        <v>348</v>
      </c>
      <c r="BV54" s="55" t="s">
        <v>348</v>
      </c>
      <c r="BW54" s="55" t="s">
        <v>348</v>
      </c>
      <c r="BX54" s="55" t="s">
        <v>348</v>
      </c>
      <c r="BY54" s="55" t="s">
        <v>348</v>
      </c>
      <c r="BZ54" s="55" t="s">
        <v>348</v>
      </c>
      <c r="CA54" s="55">
        <v>5.4600000000000009</v>
      </c>
      <c r="CB54" s="55" t="s">
        <v>348</v>
      </c>
      <c r="CC54" s="55" t="s">
        <v>348</v>
      </c>
      <c r="CD54" s="55" t="s">
        <v>348</v>
      </c>
      <c r="CE54" s="55" t="s">
        <v>348</v>
      </c>
      <c r="CF54" s="55" t="s">
        <v>348</v>
      </c>
      <c r="CG54" s="55">
        <v>2</v>
      </c>
      <c r="CH54" s="55">
        <v>1</v>
      </c>
      <c r="CI54">
        <v>112</v>
      </c>
    </row>
    <row r="55" spans="1:87" x14ac:dyDescent="0.25">
      <c r="A55">
        <v>54</v>
      </c>
      <c r="B55" s="58" t="s">
        <v>219</v>
      </c>
      <c r="C55" s="59">
        <v>44591.503472222219</v>
      </c>
      <c r="D55" s="59" t="s">
        <v>348</v>
      </c>
      <c r="E55" s="59" t="s">
        <v>348</v>
      </c>
      <c r="F55" s="59">
        <v>0.61</v>
      </c>
      <c r="G55" s="59">
        <v>0.9</v>
      </c>
      <c r="H55" s="59" t="s">
        <v>348</v>
      </c>
      <c r="I55" s="59" t="s">
        <v>348</v>
      </c>
      <c r="J55" s="59" t="s">
        <v>348</v>
      </c>
      <c r="K55" s="59" t="s">
        <v>348</v>
      </c>
      <c r="L55" s="59">
        <v>6.65</v>
      </c>
      <c r="M55" s="59" t="s">
        <v>348</v>
      </c>
      <c r="N55" s="59">
        <v>114.8</v>
      </c>
      <c r="O55" s="59">
        <v>4.03</v>
      </c>
      <c r="P55" s="59" t="s">
        <v>348</v>
      </c>
      <c r="Q55" s="59" t="s">
        <v>348</v>
      </c>
      <c r="R55" s="59">
        <v>7.8</v>
      </c>
      <c r="S55" s="59" t="s">
        <v>348</v>
      </c>
      <c r="T55" s="59" t="s">
        <v>348</v>
      </c>
      <c r="U55" s="59" t="s">
        <v>348</v>
      </c>
      <c r="V55" s="59" t="s">
        <v>348</v>
      </c>
      <c r="W55" s="59" t="s">
        <v>348</v>
      </c>
      <c r="X55" s="59" t="s">
        <v>348</v>
      </c>
      <c r="Y55" s="59">
        <v>1.7800000000000002</v>
      </c>
      <c r="Z55" s="59" t="s">
        <v>348</v>
      </c>
      <c r="AA55" s="59" t="s">
        <v>348</v>
      </c>
      <c r="AB55" s="59">
        <v>27.07</v>
      </c>
      <c r="AC55" s="59" t="s">
        <v>348</v>
      </c>
      <c r="AD55" s="59" t="s">
        <v>348</v>
      </c>
      <c r="AE55" s="59" t="s">
        <v>348</v>
      </c>
      <c r="AF55" s="59" t="s">
        <v>348</v>
      </c>
      <c r="AG55" s="59" t="s">
        <v>348</v>
      </c>
      <c r="AH55" s="59" t="s">
        <v>348</v>
      </c>
      <c r="AI55" s="59">
        <v>12.21</v>
      </c>
      <c r="AJ55" s="59" t="s">
        <v>348</v>
      </c>
      <c r="AK55" s="59">
        <v>6.53</v>
      </c>
      <c r="AL55" s="59" t="s">
        <v>348</v>
      </c>
      <c r="AM55" s="59">
        <v>0.74</v>
      </c>
      <c r="AN55" s="59" t="s">
        <v>348</v>
      </c>
      <c r="AO55" s="59" t="s">
        <v>348</v>
      </c>
      <c r="AP55" s="59">
        <v>2.95</v>
      </c>
      <c r="AQ55" s="59">
        <v>1.26</v>
      </c>
      <c r="AR55" s="59" t="s">
        <v>348</v>
      </c>
      <c r="AS55" s="59" t="s">
        <v>348</v>
      </c>
      <c r="AT55" s="59" t="s">
        <v>348</v>
      </c>
      <c r="AU55" s="59" t="s">
        <v>348</v>
      </c>
      <c r="AV55" s="59">
        <v>2.6</v>
      </c>
      <c r="AW55" s="59">
        <v>0.43</v>
      </c>
      <c r="AX55" s="59" t="s">
        <v>348</v>
      </c>
      <c r="AY55" s="59" t="s">
        <v>348</v>
      </c>
      <c r="AZ55" s="59" t="s">
        <v>348</v>
      </c>
      <c r="BA55" s="59" t="s">
        <v>348</v>
      </c>
      <c r="BB55" s="59">
        <v>0.06</v>
      </c>
      <c r="BC55" s="59">
        <v>6.6099999999999994</v>
      </c>
      <c r="BD55" s="59" t="s">
        <v>348</v>
      </c>
      <c r="BE55" s="59" t="s">
        <v>348</v>
      </c>
      <c r="BF55" s="59" t="s">
        <v>348</v>
      </c>
      <c r="BG55" s="59" t="s">
        <v>348</v>
      </c>
      <c r="BH55" s="59" t="s">
        <v>348</v>
      </c>
      <c r="BI55" s="59" t="s">
        <v>348</v>
      </c>
      <c r="BJ55" s="59" t="s">
        <v>348</v>
      </c>
      <c r="BK55" s="59" t="s">
        <v>348</v>
      </c>
      <c r="BL55" s="59" t="s">
        <v>348</v>
      </c>
      <c r="BM55" s="59" t="s">
        <v>348</v>
      </c>
      <c r="BN55" s="59">
        <v>14.86</v>
      </c>
      <c r="BO55" s="59" t="s">
        <v>348</v>
      </c>
      <c r="BP55" s="59" t="s">
        <v>348</v>
      </c>
      <c r="BQ55" s="59" t="s">
        <v>348</v>
      </c>
      <c r="BR55" s="59" t="s">
        <v>348</v>
      </c>
      <c r="BS55" s="59" t="s">
        <v>348</v>
      </c>
      <c r="BT55" s="59" t="s">
        <v>348</v>
      </c>
      <c r="BU55" s="59" t="s">
        <v>348</v>
      </c>
      <c r="BV55" s="59" t="s">
        <v>348</v>
      </c>
      <c r="BW55" s="59" t="s">
        <v>348</v>
      </c>
      <c r="BX55" s="59" t="s">
        <v>348</v>
      </c>
      <c r="BY55" s="59" t="s">
        <v>348</v>
      </c>
      <c r="BZ55" s="59" t="s">
        <v>348</v>
      </c>
      <c r="CA55" s="59">
        <v>2.1300000000000008</v>
      </c>
      <c r="CB55" s="59" t="s">
        <v>348</v>
      </c>
      <c r="CC55" s="59" t="s">
        <v>348</v>
      </c>
      <c r="CD55" s="59" t="s">
        <v>348</v>
      </c>
      <c r="CE55" s="59" t="s">
        <v>348</v>
      </c>
      <c r="CF55" s="59" t="s">
        <v>348</v>
      </c>
      <c r="CG55" s="59">
        <v>2</v>
      </c>
      <c r="CH55" s="59">
        <v>1</v>
      </c>
      <c r="CI55">
        <v>12</v>
      </c>
    </row>
    <row r="56" spans="1:87" x14ac:dyDescent="0.25">
      <c r="A56">
        <v>55</v>
      </c>
      <c r="B56" s="51" t="s">
        <v>220</v>
      </c>
      <c r="C56" s="55">
        <v>44593.430555555555</v>
      </c>
      <c r="D56" s="55" t="s">
        <v>348</v>
      </c>
      <c r="E56" s="55" t="s">
        <v>348</v>
      </c>
      <c r="F56" s="55" t="s">
        <v>348</v>
      </c>
      <c r="G56" s="55">
        <v>0.86</v>
      </c>
      <c r="H56" s="55" t="s">
        <v>348</v>
      </c>
      <c r="I56" s="55" t="s">
        <v>348</v>
      </c>
      <c r="J56" s="55">
        <v>1.46</v>
      </c>
      <c r="K56" s="55" t="s">
        <v>348</v>
      </c>
      <c r="L56" s="55" t="s">
        <v>348</v>
      </c>
      <c r="M56" s="55">
        <v>80.27000000000001</v>
      </c>
      <c r="N56" s="55">
        <v>4.3</v>
      </c>
      <c r="O56" s="55" t="s">
        <v>348</v>
      </c>
      <c r="P56" s="55" t="s">
        <v>348</v>
      </c>
      <c r="Q56" s="55" t="s">
        <v>348</v>
      </c>
      <c r="R56" s="55" t="s">
        <v>348</v>
      </c>
      <c r="S56" s="55">
        <v>1.26</v>
      </c>
      <c r="T56" s="55" t="s">
        <v>348</v>
      </c>
      <c r="U56" s="55" t="s">
        <v>348</v>
      </c>
      <c r="V56" s="55" t="s">
        <v>348</v>
      </c>
      <c r="W56" s="55" t="s">
        <v>348</v>
      </c>
      <c r="X56" s="55" t="s">
        <v>348</v>
      </c>
      <c r="Y56" s="55">
        <v>2.0599999999999996</v>
      </c>
      <c r="Z56" s="55">
        <v>0.64000000000000012</v>
      </c>
      <c r="AA56" s="55" t="s">
        <v>348</v>
      </c>
      <c r="AB56" s="55">
        <v>34.74</v>
      </c>
      <c r="AC56" s="55" t="s">
        <v>348</v>
      </c>
      <c r="AD56" s="55" t="s">
        <v>348</v>
      </c>
      <c r="AE56" s="55" t="s">
        <v>348</v>
      </c>
      <c r="AF56" s="55" t="s">
        <v>348</v>
      </c>
      <c r="AG56" s="55" t="s">
        <v>348</v>
      </c>
      <c r="AH56" s="55" t="s">
        <v>348</v>
      </c>
      <c r="AI56" s="55">
        <v>3.65</v>
      </c>
      <c r="AJ56" s="55" t="s">
        <v>348</v>
      </c>
      <c r="AK56" s="55" t="s">
        <v>348</v>
      </c>
      <c r="AL56" s="55" t="s">
        <v>348</v>
      </c>
      <c r="AM56" s="55">
        <v>0.44999999999999996</v>
      </c>
      <c r="AN56" s="55" t="s">
        <v>348</v>
      </c>
      <c r="AO56" s="55" t="s">
        <v>348</v>
      </c>
      <c r="AP56" s="55">
        <v>1.7</v>
      </c>
      <c r="AQ56" s="55">
        <v>3.09</v>
      </c>
      <c r="AR56" s="55" t="s">
        <v>348</v>
      </c>
      <c r="AS56" s="55" t="s">
        <v>348</v>
      </c>
      <c r="AT56" s="55" t="s">
        <v>348</v>
      </c>
      <c r="AU56" s="55" t="s">
        <v>348</v>
      </c>
      <c r="AV56" s="55" t="s">
        <v>348</v>
      </c>
      <c r="AW56" s="55">
        <v>0.28999999999999998</v>
      </c>
      <c r="AX56" s="55" t="s">
        <v>348</v>
      </c>
      <c r="AY56" s="55" t="s">
        <v>348</v>
      </c>
      <c r="AZ56" s="55" t="s">
        <v>348</v>
      </c>
      <c r="BA56" s="55" t="s">
        <v>348</v>
      </c>
      <c r="BB56" s="55" t="s">
        <v>348</v>
      </c>
      <c r="BC56" s="55">
        <v>17.87</v>
      </c>
      <c r="BD56" s="55" t="s">
        <v>348</v>
      </c>
      <c r="BE56" s="55" t="s">
        <v>348</v>
      </c>
      <c r="BF56" s="55">
        <v>5.44</v>
      </c>
      <c r="BG56" s="55" t="s">
        <v>348</v>
      </c>
      <c r="BH56" s="55" t="s">
        <v>348</v>
      </c>
      <c r="BI56" s="55" t="s">
        <v>348</v>
      </c>
      <c r="BJ56" s="55">
        <v>2.95</v>
      </c>
      <c r="BK56" s="55" t="s">
        <v>348</v>
      </c>
      <c r="BL56" s="55" t="s">
        <v>348</v>
      </c>
      <c r="BM56" s="55" t="s">
        <v>348</v>
      </c>
      <c r="BN56" s="55">
        <v>9.07</v>
      </c>
      <c r="BO56" s="55" t="s">
        <v>348</v>
      </c>
      <c r="BP56" s="55">
        <v>1.61</v>
      </c>
      <c r="BQ56" s="55" t="s">
        <v>348</v>
      </c>
      <c r="BR56" s="55" t="s">
        <v>348</v>
      </c>
      <c r="BS56" s="55" t="s">
        <v>348</v>
      </c>
      <c r="BT56" s="55" t="s">
        <v>348</v>
      </c>
      <c r="BU56" s="55" t="s">
        <v>348</v>
      </c>
      <c r="BV56" s="55" t="s">
        <v>348</v>
      </c>
      <c r="BW56" s="55" t="s">
        <v>348</v>
      </c>
      <c r="BX56" s="55" t="s">
        <v>348</v>
      </c>
      <c r="BY56" s="55" t="s">
        <v>348</v>
      </c>
      <c r="BZ56" s="55">
        <v>0.41999999999999993</v>
      </c>
      <c r="CA56" s="55">
        <v>5.2799999999999994</v>
      </c>
      <c r="CB56" s="55" t="s">
        <v>348</v>
      </c>
      <c r="CC56" s="55" t="s">
        <v>348</v>
      </c>
      <c r="CD56" s="55" t="s">
        <v>348</v>
      </c>
      <c r="CE56" s="55" t="s">
        <v>348</v>
      </c>
      <c r="CF56" s="55" t="s">
        <v>348</v>
      </c>
      <c r="CG56" s="55">
        <v>1</v>
      </c>
      <c r="CH56" s="55">
        <v>1</v>
      </c>
      <c r="CI56">
        <v>111</v>
      </c>
    </row>
    <row r="57" spans="1:87" x14ac:dyDescent="0.25">
      <c r="A57">
        <v>56</v>
      </c>
      <c r="B57" s="51" t="s">
        <v>221</v>
      </c>
      <c r="C57" s="55">
        <v>44593.444444444445</v>
      </c>
      <c r="D57" s="55" t="s">
        <v>348</v>
      </c>
      <c r="E57" s="55" t="s">
        <v>348</v>
      </c>
      <c r="F57" s="55">
        <v>1.37</v>
      </c>
      <c r="G57" s="55">
        <v>3.85</v>
      </c>
      <c r="H57" s="55" t="s">
        <v>348</v>
      </c>
      <c r="I57" s="55" t="s">
        <v>348</v>
      </c>
      <c r="J57" s="55">
        <v>1.46</v>
      </c>
      <c r="K57" s="55" t="s">
        <v>348</v>
      </c>
      <c r="L57" s="55">
        <v>17.309999999999999</v>
      </c>
      <c r="M57" s="55">
        <v>84.110000000000014</v>
      </c>
      <c r="N57" s="55">
        <v>119.67</v>
      </c>
      <c r="O57" s="55" t="s">
        <v>348</v>
      </c>
      <c r="P57" s="55" t="s">
        <v>348</v>
      </c>
      <c r="Q57" s="55" t="s">
        <v>348</v>
      </c>
      <c r="R57" s="55" t="s">
        <v>348</v>
      </c>
      <c r="S57" s="55">
        <v>0.47</v>
      </c>
      <c r="T57" s="55" t="s">
        <v>348</v>
      </c>
      <c r="U57" s="55" t="s">
        <v>348</v>
      </c>
      <c r="V57" s="55" t="s">
        <v>348</v>
      </c>
      <c r="W57" s="55" t="s">
        <v>348</v>
      </c>
      <c r="X57" s="55" t="s">
        <v>348</v>
      </c>
      <c r="Y57" s="55">
        <v>5.71</v>
      </c>
      <c r="Z57" s="55" t="s">
        <v>348</v>
      </c>
      <c r="AA57" s="55" t="s">
        <v>348</v>
      </c>
      <c r="AB57" s="55">
        <v>13.46</v>
      </c>
      <c r="AC57" s="55" t="s">
        <v>348</v>
      </c>
      <c r="AD57" s="55" t="s">
        <v>348</v>
      </c>
      <c r="AE57" s="55" t="s">
        <v>348</v>
      </c>
      <c r="AF57" s="55" t="s">
        <v>348</v>
      </c>
      <c r="AG57" s="55" t="s">
        <v>348</v>
      </c>
      <c r="AH57" s="55" t="s">
        <v>348</v>
      </c>
      <c r="AI57" s="55">
        <v>5.57</v>
      </c>
      <c r="AJ57" s="55" t="s">
        <v>348</v>
      </c>
      <c r="AK57" s="55">
        <v>10.82</v>
      </c>
      <c r="AL57" s="55" t="s">
        <v>348</v>
      </c>
      <c r="AM57" s="55">
        <v>0.32000000000000006</v>
      </c>
      <c r="AN57" s="55" t="s">
        <v>348</v>
      </c>
      <c r="AO57" s="55" t="s">
        <v>348</v>
      </c>
      <c r="AP57" s="55">
        <v>2.62</v>
      </c>
      <c r="AQ57" s="55">
        <v>12.58</v>
      </c>
      <c r="AR57" s="55" t="s">
        <v>348</v>
      </c>
      <c r="AS57" s="55" t="s">
        <v>348</v>
      </c>
      <c r="AT57" s="55" t="s">
        <v>348</v>
      </c>
      <c r="AU57" s="55" t="s">
        <v>348</v>
      </c>
      <c r="AV57" s="55" t="s">
        <v>348</v>
      </c>
      <c r="AW57" s="55">
        <v>0.44</v>
      </c>
      <c r="AX57" s="55" t="s">
        <v>348</v>
      </c>
      <c r="AY57" s="55" t="s">
        <v>348</v>
      </c>
      <c r="AZ57" s="55" t="s">
        <v>348</v>
      </c>
      <c r="BA57" s="55">
        <v>0.92</v>
      </c>
      <c r="BB57" s="55" t="s">
        <v>348</v>
      </c>
      <c r="BC57" s="55">
        <v>9.26</v>
      </c>
      <c r="BD57" s="55" t="s">
        <v>348</v>
      </c>
      <c r="BE57" s="55" t="s">
        <v>348</v>
      </c>
      <c r="BF57" s="55">
        <v>5.39</v>
      </c>
      <c r="BG57" s="55" t="s">
        <v>348</v>
      </c>
      <c r="BH57" s="55" t="s">
        <v>348</v>
      </c>
      <c r="BI57" s="55" t="s">
        <v>348</v>
      </c>
      <c r="BJ57" s="55" t="s">
        <v>348</v>
      </c>
      <c r="BK57" s="55" t="s">
        <v>348</v>
      </c>
      <c r="BL57" s="55" t="s">
        <v>348</v>
      </c>
      <c r="BM57" s="55" t="s">
        <v>348</v>
      </c>
      <c r="BN57" s="55">
        <v>12.52</v>
      </c>
      <c r="BO57" s="55" t="s">
        <v>348</v>
      </c>
      <c r="BP57" s="55">
        <v>7.78</v>
      </c>
      <c r="BQ57" s="55" t="s">
        <v>348</v>
      </c>
      <c r="BR57" s="55" t="s">
        <v>348</v>
      </c>
      <c r="BS57" s="55" t="s">
        <v>348</v>
      </c>
      <c r="BT57" s="55" t="s">
        <v>348</v>
      </c>
      <c r="BU57" s="55" t="s">
        <v>348</v>
      </c>
      <c r="BV57" s="55" t="s">
        <v>348</v>
      </c>
      <c r="BW57" s="55" t="s">
        <v>348</v>
      </c>
      <c r="BX57" s="55" t="s">
        <v>348</v>
      </c>
      <c r="BY57" s="55" t="s">
        <v>348</v>
      </c>
      <c r="BZ57" s="55">
        <v>0.88999999999999968</v>
      </c>
      <c r="CA57" s="55">
        <v>4.75</v>
      </c>
      <c r="CB57" s="55" t="s">
        <v>348</v>
      </c>
      <c r="CC57" s="55" t="s">
        <v>348</v>
      </c>
      <c r="CD57" s="55" t="s">
        <v>348</v>
      </c>
      <c r="CE57" s="55" t="s">
        <v>348</v>
      </c>
      <c r="CF57" s="55" t="s">
        <v>348</v>
      </c>
      <c r="CG57" s="55">
        <v>1</v>
      </c>
      <c r="CH57" s="55">
        <v>1</v>
      </c>
      <c r="CI57">
        <v>11</v>
      </c>
    </row>
    <row r="58" spans="1:87" x14ac:dyDescent="0.25">
      <c r="A58">
        <v>57</v>
      </c>
      <c r="B58" s="51" t="s">
        <v>222</v>
      </c>
      <c r="C58" s="55">
        <v>44593.5</v>
      </c>
      <c r="D58" s="55" t="s">
        <v>348</v>
      </c>
      <c r="E58" s="55" t="s">
        <v>348</v>
      </c>
      <c r="F58" s="55" t="s">
        <v>348</v>
      </c>
      <c r="G58" s="55">
        <v>1.51</v>
      </c>
      <c r="H58" s="55" t="s">
        <v>348</v>
      </c>
      <c r="I58" s="55" t="s">
        <v>348</v>
      </c>
      <c r="J58" s="55">
        <v>1.56</v>
      </c>
      <c r="K58" s="55" t="s">
        <v>348</v>
      </c>
      <c r="L58" s="55" t="s">
        <v>348</v>
      </c>
      <c r="M58" s="55">
        <v>204.65000000000003</v>
      </c>
      <c r="N58" s="55">
        <v>5.28</v>
      </c>
      <c r="O58" s="55" t="s">
        <v>348</v>
      </c>
      <c r="P58" s="55" t="s">
        <v>348</v>
      </c>
      <c r="Q58" s="55" t="s">
        <v>348</v>
      </c>
      <c r="R58" s="55" t="s">
        <v>348</v>
      </c>
      <c r="S58" s="55">
        <v>1.41</v>
      </c>
      <c r="T58" s="55" t="s">
        <v>348</v>
      </c>
      <c r="U58" s="55" t="s">
        <v>348</v>
      </c>
      <c r="V58" s="55" t="s">
        <v>348</v>
      </c>
      <c r="W58" s="55">
        <v>0.46</v>
      </c>
      <c r="X58" s="55" t="s">
        <v>348</v>
      </c>
      <c r="Y58" s="55">
        <v>2.3499999999999996</v>
      </c>
      <c r="Z58" s="55" t="s">
        <v>348</v>
      </c>
      <c r="AA58" s="55" t="s">
        <v>348</v>
      </c>
      <c r="AB58" s="55">
        <v>115.53</v>
      </c>
      <c r="AC58" s="55" t="s">
        <v>348</v>
      </c>
      <c r="AD58" s="55" t="s">
        <v>348</v>
      </c>
      <c r="AE58" s="55" t="s">
        <v>348</v>
      </c>
      <c r="AF58" s="55" t="s">
        <v>348</v>
      </c>
      <c r="AG58" s="55" t="s">
        <v>348</v>
      </c>
      <c r="AH58" s="55" t="s">
        <v>348</v>
      </c>
      <c r="AI58" s="55">
        <v>11.92</v>
      </c>
      <c r="AJ58" s="55" t="s">
        <v>348</v>
      </c>
      <c r="AK58" s="55" t="s">
        <v>348</v>
      </c>
      <c r="AL58" s="55" t="s">
        <v>348</v>
      </c>
      <c r="AM58" s="55">
        <v>0.26</v>
      </c>
      <c r="AN58" s="55" t="s">
        <v>348</v>
      </c>
      <c r="AO58" s="55" t="s">
        <v>348</v>
      </c>
      <c r="AP58" s="55">
        <v>2.96</v>
      </c>
      <c r="AQ58" s="55">
        <v>2.54</v>
      </c>
      <c r="AR58" s="55" t="s">
        <v>348</v>
      </c>
      <c r="AS58" s="55" t="s">
        <v>348</v>
      </c>
      <c r="AT58" s="55" t="s">
        <v>348</v>
      </c>
      <c r="AU58" s="55" t="s">
        <v>348</v>
      </c>
      <c r="AV58" s="55" t="s">
        <v>348</v>
      </c>
      <c r="AW58" s="55">
        <v>0.23</v>
      </c>
      <c r="AX58" s="55" t="s">
        <v>348</v>
      </c>
      <c r="AY58" s="55" t="s">
        <v>348</v>
      </c>
      <c r="AZ58" s="55" t="s">
        <v>348</v>
      </c>
      <c r="BA58" s="55" t="s">
        <v>348</v>
      </c>
      <c r="BB58" s="55" t="s">
        <v>348</v>
      </c>
      <c r="BC58" s="55">
        <v>25.51</v>
      </c>
      <c r="BD58" s="55" t="s">
        <v>348</v>
      </c>
      <c r="BE58" s="55" t="s">
        <v>348</v>
      </c>
      <c r="BF58" s="55">
        <v>16.95</v>
      </c>
      <c r="BG58" s="55" t="s">
        <v>348</v>
      </c>
      <c r="BH58" s="55" t="s">
        <v>348</v>
      </c>
      <c r="BI58" s="55">
        <v>21.16</v>
      </c>
      <c r="BJ58" s="55">
        <v>5.01</v>
      </c>
      <c r="BK58" s="55" t="s">
        <v>348</v>
      </c>
      <c r="BL58" s="55" t="s">
        <v>348</v>
      </c>
      <c r="BM58" s="55" t="s">
        <v>348</v>
      </c>
      <c r="BN58" s="55">
        <v>12.64</v>
      </c>
      <c r="BO58" s="55" t="s">
        <v>348</v>
      </c>
      <c r="BP58" s="55">
        <v>1.86</v>
      </c>
      <c r="BQ58" s="55" t="s">
        <v>348</v>
      </c>
      <c r="BR58" s="55" t="s">
        <v>348</v>
      </c>
      <c r="BS58" s="55" t="s">
        <v>348</v>
      </c>
      <c r="BT58" s="55" t="s">
        <v>348</v>
      </c>
      <c r="BU58" s="55" t="s">
        <v>348</v>
      </c>
      <c r="BV58" s="55" t="s">
        <v>348</v>
      </c>
      <c r="BW58" s="55" t="s">
        <v>348</v>
      </c>
      <c r="BX58" s="55" t="s">
        <v>348</v>
      </c>
      <c r="BY58" s="55" t="s">
        <v>348</v>
      </c>
      <c r="BZ58" s="55" t="s">
        <v>348</v>
      </c>
      <c r="CA58" s="55">
        <v>3.51</v>
      </c>
      <c r="CB58" s="55" t="s">
        <v>348</v>
      </c>
      <c r="CC58" s="55" t="s">
        <v>348</v>
      </c>
      <c r="CD58" s="55" t="s">
        <v>348</v>
      </c>
      <c r="CE58" s="55" t="s">
        <v>348</v>
      </c>
      <c r="CF58" s="55" t="s">
        <v>348</v>
      </c>
      <c r="CG58" s="55">
        <v>2</v>
      </c>
      <c r="CH58" s="55">
        <v>1</v>
      </c>
      <c r="CI58">
        <v>112</v>
      </c>
    </row>
    <row r="59" spans="1:87" x14ac:dyDescent="0.25">
      <c r="A59">
        <v>58</v>
      </c>
      <c r="B59" s="58" t="s">
        <v>223</v>
      </c>
      <c r="C59" s="59">
        <v>44593.493055555555</v>
      </c>
      <c r="D59" s="59" t="s">
        <v>348</v>
      </c>
      <c r="E59" s="59" t="s">
        <v>348</v>
      </c>
      <c r="F59" s="59">
        <v>0.54</v>
      </c>
      <c r="G59" s="59" t="s">
        <v>348</v>
      </c>
      <c r="H59" s="59" t="s">
        <v>348</v>
      </c>
      <c r="I59" s="59" t="s">
        <v>348</v>
      </c>
      <c r="J59" s="59" t="s">
        <v>348</v>
      </c>
      <c r="K59" s="59" t="s">
        <v>348</v>
      </c>
      <c r="L59" s="59" t="s">
        <v>348</v>
      </c>
      <c r="M59" s="59">
        <v>34.07</v>
      </c>
      <c r="N59" s="59">
        <v>117.05</v>
      </c>
      <c r="O59" s="59">
        <v>8.8699999999999992</v>
      </c>
      <c r="P59" s="59" t="s">
        <v>348</v>
      </c>
      <c r="Q59" s="59" t="s">
        <v>348</v>
      </c>
      <c r="R59" s="59">
        <v>12.34</v>
      </c>
      <c r="S59" s="59">
        <v>0.33</v>
      </c>
      <c r="T59" s="59" t="s">
        <v>348</v>
      </c>
      <c r="U59" s="59" t="s">
        <v>348</v>
      </c>
      <c r="V59" s="59" t="s">
        <v>348</v>
      </c>
      <c r="W59" s="59" t="s">
        <v>348</v>
      </c>
      <c r="X59" s="59" t="s">
        <v>348</v>
      </c>
      <c r="Y59" s="59">
        <v>2.0199999999999996</v>
      </c>
      <c r="Z59" s="59" t="s">
        <v>348</v>
      </c>
      <c r="AA59" s="59" t="s">
        <v>348</v>
      </c>
      <c r="AB59" s="59">
        <v>42.84</v>
      </c>
      <c r="AC59" s="59" t="s">
        <v>348</v>
      </c>
      <c r="AD59" s="59" t="s">
        <v>348</v>
      </c>
      <c r="AE59" s="59" t="s">
        <v>348</v>
      </c>
      <c r="AF59" s="59" t="s">
        <v>348</v>
      </c>
      <c r="AG59" s="59" t="s">
        <v>348</v>
      </c>
      <c r="AH59" s="59" t="s">
        <v>348</v>
      </c>
      <c r="AI59" s="59">
        <v>12.23</v>
      </c>
      <c r="AJ59" s="59" t="s">
        <v>348</v>
      </c>
      <c r="AK59" s="59">
        <v>9.58</v>
      </c>
      <c r="AL59" s="59" t="s">
        <v>348</v>
      </c>
      <c r="AM59" s="59">
        <v>1.01</v>
      </c>
      <c r="AN59" s="59" t="s">
        <v>348</v>
      </c>
      <c r="AO59" s="59" t="s">
        <v>348</v>
      </c>
      <c r="AP59" s="59">
        <v>5.64</v>
      </c>
      <c r="AQ59" s="59">
        <v>1.37</v>
      </c>
      <c r="AR59" s="59" t="s">
        <v>348</v>
      </c>
      <c r="AS59" s="59" t="s">
        <v>348</v>
      </c>
      <c r="AT59" s="59" t="s">
        <v>348</v>
      </c>
      <c r="AU59" s="59" t="s">
        <v>348</v>
      </c>
      <c r="AV59" s="59" t="s">
        <v>348</v>
      </c>
      <c r="AW59" s="59">
        <v>0.3</v>
      </c>
      <c r="AX59" s="59" t="s">
        <v>348</v>
      </c>
      <c r="AY59" s="59" t="s">
        <v>348</v>
      </c>
      <c r="AZ59" s="59" t="s">
        <v>348</v>
      </c>
      <c r="BA59" s="59" t="s">
        <v>348</v>
      </c>
      <c r="BB59" s="59" t="s">
        <v>348</v>
      </c>
      <c r="BC59" s="59">
        <v>5.7200000000000006</v>
      </c>
      <c r="BD59" s="59" t="s">
        <v>348</v>
      </c>
      <c r="BE59" s="59" t="s">
        <v>348</v>
      </c>
      <c r="BF59" s="59">
        <v>4.37</v>
      </c>
      <c r="BG59" s="59" t="s">
        <v>348</v>
      </c>
      <c r="BH59" s="59" t="s">
        <v>348</v>
      </c>
      <c r="BI59" s="59" t="s">
        <v>348</v>
      </c>
      <c r="BJ59" s="59" t="s">
        <v>348</v>
      </c>
      <c r="BK59" s="59" t="s">
        <v>348</v>
      </c>
      <c r="BL59" s="59" t="s">
        <v>348</v>
      </c>
      <c r="BM59" s="59" t="s">
        <v>348</v>
      </c>
      <c r="BN59" s="59">
        <v>10.99</v>
      </c>
      <c r="BO59" s="59" t="s">
        <v>348</v>
      </c>
      <c r="BP59" s="59">
        <v>0.67</v>
      </c>
      <c r="BQ59" s="59" t="s">
        <v>348</v>
      </c>
      <c r="BR59" s="59" t="s">
        <v>348</v>
      </c>
      <c r="BS59" s="59" t="s">
        <v>348</v>
      </c>
      <c r="BT59" s="59" t="s">
        <v>348</v>
      </c>
      <c r="BU59" s="59" t="s">
        <v>348</v>
      </c>
      <c r="BV59" s="59" t="s">
        <v>348</v>
      </c>
      <c r="BW59" s="59" t="s">
        <v>348</v>
      </c>
      <c r="BX59" s="59" t="s">
        <v>348</v>
      </c>
      <c r="BY59" s="59" t="s">
        <v>348</v>
      </c>
      <c r="BZ59" s="59" t="s">
        <v>348</v>
      </c>
      <c r="CA59" s="59">
        <v>8.67</v>
      </c>
      <c r="CB59" s="59" t="s">
        <v>348</v>
      </c>
      <c r="CC59" s="59" t="s">
        <v>348</v>
      </c>
      <c r="CD59" s="59" t="s">
        <v>348</v>
      </c>
      <c r="CE59" s="59" t="s">
        <v>348</v>
      </c>
      <c r="CF59" s="59" t="s">
        <v>348</v>
      </c>
      <c r="CG59" s="59">
        <v>2</v>
      </c>
      <c r="CH59" s="59">
        <v>1</v>
      </c>
      <c r="CI59">
        <v>12</v>
      </c>
    </row>
    <row r="60" spans="1:87" x14ac:dyDescent="0.25">
      <c r="A60">
        <v>59</v>
      </c>
      <c r="B60" s="51" t="s">
        <v>224</v>
      </c>
      <c r="C60" s="55">
        <v>44595.472222222219</v>
      </c>
      <c r="D60" s="55">
        <v>9.99</v>
      </c>
      <c r="E60" s="55" t="s">
        <v>348</v>
      </c>
      <c r="F60" s="55" t="s">
        <v>348</v>
      </c>
      <c r="G60" s="55">
        <v>0.62</v>
      </c>
      <c r="H60" s="55" t="s">
        <v>348</v>
      </c>
      <c r="I60" s="55" t="s">
        <v>348</v>
      </c>
      <c r="J60" s="55">
        <v>1.42</v>
      </c>
      <c r="K60" s="55" t="s">
        <v>348</v>
      </c>
      <c r="L60" s="55" t="s">
        <v>348</v>
      </c>
      <c r="M60" s="55">
        <v>157.92000000000002</v>
      </c>
      <c r="N60" s="55">
        <v>5.46</v>
      </c>
      <c r="O60" s="55" t="s">
        <v>348</v>
      </c>
      <c r="P60" s="55" t="s">
        <v>348</v>
      </c>
      <c r="Q60" s="55" t="s">
        <v>348</v>
      </c>
      <c r="R60" s="55" t="s">
        <v>348</v>
      </c>
      <c r="S60" s="55">
        <v>1.42</v>
      </c>
      <c r="T60" s="55" t="s">
        <v>348</v>
      </c>
      <c r="U60" s="55" t="s">
        <v>348</v>
      </c>
      <c r="V60" s="55" t="s">
        <v>348</v>
      </c>
      <c r="W60" s="55" t="s">
        <v>348</v>
      </c>
      <c r="X60" s="55" t="s">
        <v>348</v>
      </c>
      <c r="Y60" s="55">
        <v>2.4000000000000004</v>
      </c>
      <c r="Z60" s="55">
        <v>0.40000000000000013</v>
      </c>
      <c r="AA60" s="55" t="s">
        <v>348</v>
      </c>
      <c r="AB60" s="55">
        <v>52.19</v>
      </c>
      <c r="AC60" s="55" t="s">
        <v>348</v>
      </c>
      <c r="AD60" s="55" t="s">
        <v>348</v>
      </c>
      <c r="AE60" s="55" t="s">
        <v>348</v>
      </c>
      <c r="AF60" s="55" t="s">
        <v>348</v>
      </c>
      <c r="AG60" s="55" t="s">
        <v>348</v>
      </c>
      <c r="AH60" s="55" t="s">
        <v>348</v>
      </c>
      <c r="AI60" s="55">
        <v>4.7300000000000004</v>
      </c>
      <c r="AJ60" s="55" t="s">
        <v>348</v>
      </c>
      <c r="AK60" s="55" t="s">
        <v>348</v>
      </c>
      <c r="AL60" s="55" t="s">
        <v>348</v>
      </c>
      <c r="AM60" s="55">
        <v>0.63000000000000012</v>
      </c>
      <c r="AN60" s="55" t="s">
        <v>348</v>
      </c>
      <c r="AO60" s="55" t="s">
        <v>348</v>
      </c>
      <c r="AP60" s="55">
        <v>2.19</v>
      </c>
      <c r="AQ60" s="55">
        <v>3.2600000000000002</v>
      </c>
      <c r="AR60" s="55" t="s">
        <v>348</v>
      </c>
      <c r="AS60" s="55" t="s">
        <v>348</v>
      </c>
      <c r="AT60" s="55" t="s">
        <v>348</v>
      </c>
      <c r="AU60" s="55" t="s">
        <v>348</v>
      </c>
      <c r="AV60" s="55" t="s">
        <v>348</v>
      </c>
      <c r="AW60" s="55">
        <v>0.61</v>
      </c>
      <c r="AX60" s="55" t="s">
        <v>348</v>
      </c>
      <c r="AY60" s="55" t="s">
        <v>348</v>
      </c>
      <c r="AZ60" s="55" t="s">
        <v>348</v>
      </c>
      <c r="BA60" s="55" t="s">
        <v>348</v>
      </c>
      <c r="BB60" s="55" t="s">
        <v>348</v>
      </c>
      <c r="BC60" s="55">
        <v>13.49</v>
      </c>
      <c r="BD60" s="55" t="s">
        <v>348</v>
      </c>
      <c r="BE60" s="55" t="s">
        <v>348</v>
      </c>
      <c r="BF60" s="55">
        <v>8.5299999999999994</v>
      </c>
      <c r="BG60" s="55" t="s">
        <v>348</v>
      </c>
      <c r="BH60" s="55" t="s">
        <v>348</v>
      </c>
      <c r="BI60" s="55" t="s">
        <v>348</v>
      </c>
      <c r="BJ60" s="55">
        <v>4.88</v>
      </c>
      <c r="BK60" s="55" t="s">
        <v>348</v>
      </c>
      <c r="BL60" s="55" t="s">
        <v>348</v>
      </c>
      <c r="BM60" s="55" t="s">
        <v>348</v>
      </c>
      <c r="BN60" s="55">
        <v>8.65</v>
      </c>
      <c r="BO60" s="55" t="s">
        <v>348</v>
      </c>
      <c r="BP60" s="55">
        <v>1.81</v>
      </c>
      <c r="BQ60" s="55" t="s">
        <v>348</v>
      </c>
      <c r="BR60" s="55" t="s">
        <v>348</v>
      </c>
      <c r="BS60" s="55" t="s">
        <v>348</v>
      </c>
      <c r="BT60" s="55" t="s">
        <v>348</v>
      </c>
      <c r="BU60" s="55" t="s">
        <v>348</v>
      </c>
      <c r="BV60" s="55" t="s">
        <v>348</v>
      </c>
      <c r="BW60" s="55" t="s">
        <v>348</v>
      </c>
      <c r="BX60" s="55" t="s">
        <v>348</v>
      </c>
      <c r="BY60" s="55" t="s">
        <v>348</v>
      </c>
      <c r="BZ60" s="55">
        <v>11.49</v>
      </c>
      <c r="CA60" s="55">
        <v>22.630000000000003</v>
      </c>
      <c r="CB60" s="55" t="s">
        <v>348</v>
      </c>
      <c r="CC60" s="55" t="s">
        <v>348</v>
      </c>
      <c r="CD60" s="55" t="s">
        <v>348</v>
      </c>
      <c r="CE60" s="55" t="s">
        <v>348</v>
      </c>
      <c r="CF60" s="55" t="s">
        <v>348</v>
      </c>
      <c r="CG60" s="55">
        <v>1</v>
      </c>
      <c r="CH60" s="55">
        <v>1</v>
      </c>
      <c r="CI60">
        <v>111</v>
      </c>
    </row>
    <row r="61" spans="1:87" x14ac:dyDescent="0.25">
      <c r="A61">
        <v>60</v>
      </c>
      <c r="B61" s="51" t="s">
        <v>225</v>
      </c>
      <c r="C61" s="55">
        <v>44595.472222222219</v>
      </c>
      <c r="D61" s="55" t="s">
        <v>348</v>
      </c>
      <c r="E61" s="55" t="s">
        <v>348</v>
      </c>
      <c r="F61" s="55">
        <v>1.29</v>
      </c>
      <c r="G61" s="55">
        <v>3.87</v>
      </c>
      <c r="H61" s="55" t="s">
        <v>348</v>
      </c>
      <c r="I61" s="55" t="s">
        <v>348</v>
      </c>
      <c r="J61" s="55">
        <v>1.19</v>
      </c>
      <c r="K61" s="55" t="s">
        <v>348</v>
      </c>
      <c r="L61" s="55">
        <v>14.21</v>
      </c>
      <c r="M61" s="55">
        <v>186.28</v>
      </c>
      <c r="N61" s="55">
        <v>93.02</v>
      </c>
      <c r="O61" s="55" t="s">
        <v>348</v>
      </c>
      <c r="P61" s="55" t="s">
        <v>348</v>
      </c>
      <c r="Q61" s="55" t="s">
        <v>348</v>
      </c>
      <c r="R61" s="55" t="s">
        <v>348</v>
      </c>
      <c r="S61" s="55">
        <v>0.22</v>
      </c>
      <c r="T61" s="55" t="s">
        <v>348</v>
      </c>
      <c r="U61" s="55" t="s">
        <v>348</v>
      </c>
      <c r="V61" s="55" t="s">
        <v>348</v>
      </c>
      <c r="W61" s="55" t="s">
        <v>348</v>
      </c>
      <c r="X61" s="55" t="s">
        <v>348</v>
      </c>
      <c r="Y61" s="55">
        <v>3.7</v>
      </c>
      <c r="Z61" s="55" t="s">
        <v>348</v>
      </c>
      <c r="AA61" s="55" t="s">
        <v>348</v>
      </c>
      <c r="AB61" s="55">
        <v>9.3800000000000008</v>
      </c>
      <c r="AC61" s="55" t="s">
        <v>348</v>
      </c>
      <c r="AD61" s="55" t="s">
        <v>348</v>
      </c>
      <c r="AE61" s="55" t="s">
        <v>348</v>
      </c>
      <c r="AF61" s="55" t="s">
        <v>348</v>
      </c>
      <c r="AG61" s="55" t="s">
        <v>348</v>
      </c>
      <c r="AH61" s="55" t="s">
        <v>348</v>
      </c>
      <c r="AI61" s="55">
        <v>5.26</v>
      </c>
      <c r="AJ61" s="55" t="s">
        <v>348</v>
      </c>
      <c r="AK61" s="55">
        <v>9.1999999999999993</v>
      </c>
      <c r="AL61" s="55" t="s">
        <v>348</v>
      </c>
      <c r="AM61" s="55" t="s">
        <v>348</v>
      </c>
      <c r="AN61" s="55" t="s">
        <v>348</v>
      </c>
      <c r="AO61" s="55" t="s">
        <v>348</v>
      </c>
      <c r="AP61" s="55">
        <v>1.07</v>
      </c>
      <c r="AQ61" s="55">
        <v>11.02</v>
      </c>
      <c r="AR61" s="55" t="s">
        <v>348</v>
      </c>
      <c r="AS61" s="55" t="s">
        <v>348</v>
      </c>
      <c r="AT61" s="55" t="s">
        <v>348</v>
      </c>
      <c r="AU61" s="55" t="s">
        <v>348</v>
      </c>
      <c r="AV61" s="55">
        <v>1.39</v>
      </c>
      <c r="AW61" s="55">
        <v>0.25</v>
      </c>
      <c r="AX61" s="55" t="s">
        <v>348</v>
      </c>
      <c r="AY61" s="55" t="s">
        <v>348</v>
      </c>
      <c r="AZ61" s="55" t="s">
        <v>348</v>
      </c>
      <c r="BA61" s="55" t="s">
        <v>348</v>
      </c>
      <c r="BB61" s="55" t="s">
        <v>348</v>
      </c>
      <c r="BC61" s="55">
        <v>6.74</v>
      </c>
      <c r="BD61" s="55" t="s">
        <v>348</v>
      </c>
      <c r="BE61" s="55" t="s">
        <v>348</v>
      </c>
      <c r="BF61" s="55" t="s">
        <v>348</v>
      </c>
      <c r="BG61" s="55" t="s">
        <v>348</v>
      </c>
      <c r="BH61" s="55" t="s">
        <v>348</v>
      </c>
      <c r="BI61" s="55" t="s">
        <v>348</v>
      </c>
      <c r="BJ61" s="55" t="s">
        <v>348</v>
      </c>
      <c r="BK61" s="55" t="s">
        <v>348</v>
      </c>
      <c r="BL61" s="55" t="s">
        <v>348</v>
      </c>
      <c r="BM61" s="55" t="s">
        <v>348</v>
      </c>
      <c r="BN61" s="55">
        <v>10.86</v>
      </c>
      <c r="BO61" s="55" t="s">
        <v>348</v>
      </c>
      <c r="BP61" s="55">
        <v>6.56</v>
      </c>
      <c r="BQ61" s="55" t="s">
        <v>348</v>
      </c>
      <c r="BR61" s="55" t="s">
        <v>348</v>
      </c>
      <c r="BS61" s="55" t="s">
        <v>348</v>
      </c>
      <c r="BT61" s="55" t="s">
        <v>348</v>
      </c>
      <c r="BU61" s="55" t="s">
        <v>348</v>
      </c>
      <c r="BV61" s="55" t="s">
        <v>348</v>
      </c>
      <c r="BW61" s="55" t="s">
        <v>348</v>
      </c>
      <c r="BX61" s="55" t="s">
        <v>348</v>
      </c>
      <c r="BY61" s="55" t="s">
        <v>348</v>
      </c>
      <c r="BZ61" s="55" t="s">
        <v>348</v>
      </c>
      <c r="CA61" s="55">
        <v>6.6899999999999995</v>
      </c>
      <c r="CB61" s="55" t="s">
        <v>348</v>
      </c>
      <c r="CC61" s="55" t="s">
        <v>348</v>
      </c>
      <c r="CD61" s="55" t="s">
        <v>348</v>
      </c>
      <c r="CE61" s="55" t="s">
        <v>348</v>
      </c>
      <c r="CF61" s="55" t="s">
        <v>348</v>
      </c>
      <c r="CG61" s="55">
        <v>1</v>
      </c>
      <c r="CH61" s="55">
        <v>1</v>
      </c>
      <c r="CI61">
        <v>11</v>
      </c>
    </row>
    <row r="62" spans="1:87" x14ac:dyDescent="0.25">
      <c r="A62">
        <v>61</v>
      </c>
      <c r="B62" s="51" t="s">
        <v>226</v>
      </c>
      <c r="C62" s="55">
        <v>44595.5625</v>
      </c>
      <c r="D62" s="55" t="s">
        <v>348</v>
      </c>
      <c r="E62" s="55" t="s">
        <v>348</v>
      </c>
      <c r="F62" s="55" t="s">
        <v>348</v>
      </c>
      <c r="G62" s="55" t="s">
        <v>348</v>
      </c>
      <c r="H62" s="55" t="s">
        <v>348</v>
      </c>
      <c r="I62" s="55" t="s">
        <v>348</v>
      </c>
      <c r="J62" s="55">
        <v>0.56000000000000005</v>
      </c>
      <c r="K62" s="55" t="s">
        <v>348</v>
      </c>
      <c r="L62" s="55" t="s">
        <v>348</v>
      </c>
      <c r="M62" s="55">
        <v>57.530000000000008</v>
      </c>
      <c r="N62" s="55">
        <v>2.4500000000000002</v>
      </c>
      <c r="O62" s="55" t="s">
        <v>348</v>
      </c>
      <c r="P62" s="55" t="s">
        <v>348</v>
      </c>
      <c r="Q62" s="55" t="s">
        <v>348</v>
      </c>
      <c r="R62" s="55" t="s">
        <v>348</v>
      </c>
      <c r="S62" s="55">
        <v>0.41</v>
      </c>
      <c r="T62" s="55" t="s">
        <v>348</v>
      </c>
      <c r="U62" s="55" t="s">
        <v>348</v>
      </c>
      <c r="V62" s="55" t="s">
        <v>348</v>
      </c>
      <c r="W62" s="55" t="s">
        <v>348</v>
      </c>
      <c r="X62" s="55" t="s">
        <v>348</v>
      </c>
      <c r="Y62" s="55">
        <v>1.2800000000000002</v>
      </c>
      <c r="Z62" s="55">
        <v>0.27</v>
      </c>
      <c r="AA62" s="55" t="s">
        <v>348</v>
      </c>
      <c r="AB62" s="55">
        <v>50.24</v>
      </c>
      <c r="AC62" s="55" t="s">
        <v>348</v>
      </c>
      <c r="AD62" s="55" t="s">
        <v>348</v>
      </c>
      <c r="AE62" s="55" t="s">
        <v>348</v>
      </c>
      <c r="AF62" s="55" t="s">
        <v>348</v>
      </c>
      <c r="AG62" s="55" t="s">
        <v>348</v>
      </c>
      <c r="AH62" s="55" t="s">
        <v>348</v>
      </c>
      <c r="AI62" s="55">
        <v>5.31</v>
      </c>
      <c r="AJ62" s="55" t="s">
        <v>348</v>
      </c>
      <c r="AK62" s="55" t="s">
        <v>348</v>
      </c>
      <c r="AL62" s="55" t="s">
        <v>348</v>
      </c>
      <c r="AM62" s="55">
        <v>9.9999999999999978E-2</v>
      </c>
      <c r="AN62" s="55" t="s">
        <v>348</v>
      </c>
      <c r="AO62" s="55" t="s">
        <v>348</v>
      </c>
      <c r="AP62" s="55">
        <v>0.99</v>
      </c>
      <c r="AQ62" s="55">
        <v>1.32</v>
      </c>
      <c r="AR62" s="55" t="s">
        <v>348</v>
      </c>
      <c r="AS62" s="55" t="s">
        <v>348</v>
      </c>
      <c r="AT62" s="55" t="s">
        <v>348</v>
      </c>
      <c r="AU62" s="55" t="s">
        <v>348</v>
      </c>
      <c r="AV62" s="55" t="s">
        <v>348</v>
      </c>
      <c r="AW62" s="55">
        <v>0.9</v>
      </c>
      <c r="AX62" s="55" t="s">
        <v>348</v>
      </c>
      <c r="AY62" s="55" t="s">
        <v>348</v>
      </c>
      <c r="AZ62" s="55" t="s">
        <v>348</v>
      </c>
      <c r="BA62" s="55" t="s">
        <v>348</v>
      </c>
      <c r="BB62" s="55" t="s">
        <v>348</v>
      </c>
      <c r="BC62" s="55">
        <v>8.9700000000000006</v>
      </c>
      <c r="BD62" s="55" t="s">
        <v>348</v>
      </c>
      <c r="BE62" s="55" t="s">
        <v>348</v>
      </c>
      <c r="BF62" s="55">
        <v>5.44</v>
      </c>
      <c r="BG62" s="55" t="s">
        <v>348</v>
      </c>
      <c r="BH62" s="55" t="s">
        <v>348</v>
      </c>
      <c r="BI62" s="55" t="s">
        <v>348</v>
      </c>
      <c r="BJ62" s="55" t="s">
        <v>348</v>
      </c>
      <c r="BK62" s="55" t="s">
        <v>348</v>
      </c>
      <c r="BL62" s="55" t="s">
        <v>348</v>
      </c>
      <c r="BM62" s="55" t="s">
        <v>348</v>
      </c>
      <c r="BN62" s="55">
        <v>4.4800000000000004</v>
      </c>
      <c r="BO62" s="55" t="s">
        <v>348</v>
      </c>
      <c r="BP62" s="55">
        <v>0.68</v>
      </c>
      <c r="BQ62" s="55" t="s">
        <v>348</v>
      </c>
      <c r="BR62" s="55" t="s">
        <v>348</v>
      </c>
      <c r="BS62" s="55" t="s">
        <v>348</v>
      </c>
      <c r="BT62" s="55" t="s">
        <v>348</v>
      </c>
      <c r="BU62" s="55" t="s">
        <v>348</v>
      </c>
      <c r="BV62" s="55" t="s">
        <v>348</v>
      </c>
      <c r="BW62" s="55" t="s">
        <v>348</v>
      </c>
      <c r="BX62" s="55" t="s">
        <v>348</v>
      </c>
      <c r="BY62" s="55" t="s">
        <v>348</v>
      </c>
      <c r="BZ62" s="55" t="s">
        <v>348</v>
      </c>
      <c r="CA62" s="55">
        <v>3.5299999999999994</v>
      </c>
      <c r="CB62" s="55" t="s">
        <v>348</v>
      </c>
      <c r="CC62" s="55" t="s">
        <v>348</v>
      </c>
      <c r="CD62" s="55" t="s">
        <v>348</v>
      </c>
      <c r="CE62" s="55" t="s">
        <v>348</v>
      </c>
      <c r="CF62" s="55" t="s">
        <v>348</v>
      </c>
      <c r="CG62" s="55">
        <v>2</v>
      </c>
      <c r="CH62" s="55">
        <v>1</v>
      </c>
      <c r="CI62">
        <v>112</v>
      </c>
    </row>
    <row r="63" spans="1:87" ht="14.4" thickBot="1" x14ac:dyDescent="0.3">
      <c r="A63">
        <v>62</v>
      </c>
      <c r="B63" s="51" t="s">
        <v>227</v>
      </c>
      <c r="C63" s="55">
        <v>44595.5625</v>
      </c>
      <c r="D63" s="55" t="s">
        <v>348</v>
      </c>
      <c r="E63" s="55" t="s">
        <v>348</v>
      </c>
      <c r="F63" s="55">
        <v>0.4</v>
      </c>
      <c r="G63" s="55">
        <v>1.04</v>
      </c>
      <c r="H63" s="55" t="s">
        <v>348</v>
      </c>
      <c r="I63" s="55" t="s">
        <v>348</v>
      </c>
      <c r="J63" s="55" t="s">
        <v>348</v>
      </c>
      <c r="K63" s="55" t="s">
        <v>348</v>
      </c>
      <c r="L63" s="55" t="s">
        <v>348</v>
      </c>
      <c r="M63" s="55">
        <v>64.34</v>
      </c>
      <c r="N63" s="55">
        <v>95.18</v>
      </c>
      <c r="O63" s="55">
        <v>5.22</v>
      </c>
      <c r="P63" s="55" t="s">
        <v>348</v>
      </c>
      <c r="Q63" s="55" t="s">
        <v>348</v>
      </c>
      <c r="R63" s="55">
        <v>8.57</v>
      </c>
      <c r="S63" s="55">
        <v>0.25</v>
      </c>
      <c r="T63" s="55" t="s">
        <v>348</v>
      </c>
      <c r="U63" s="55" t="s">
        <v>348</v>
      </c>
      <c r="V63" s="55" t="s">
        <v>348</v>
      </c>
      <c r="W63" s="55" t="s">
        <v>348</v>
      </c>
      <c r="X63" s="55" t="s">
        <v>348</v>
      </c>
      <c r="Y63" s="55">
        <v>0.87999999999999989</v>
      </c>
      <c r="Z63" s="55" t="s">
        <v>348</v>
      </c>
      <c r="AA63" s="55" t="s">
        <v>348</v>
      </c>
      <c r="AB63" s="55">
        <v>22.58</v>
      </c>
      <c r="AC63" s="55" t="s">
        <v>348</v>
      </c>
      <c r="AD63" s="55" t="s">
        <v>348</v>
      </c>
      <c r="AE63" s="55" t="s">
        <v>348</v>
      </c>
      <c r="AF63" s="55" t="s">
        <v>348</v>
      </c>
      <c r="AG63" s="55" t="s">
        <v>348</v>
      </c>
      <c r="AH63" s="55" t="s">
        <v>348</v>
      </c>
      <c r="AI63" s="55">
        <v>11.45</v>
      </c>
      <c r="AJ63" s="55" t="s">
        <v>348</v>
      </c>
      <c r="AK63" s="55">
        <v>8.7200000000000006</v>
      </c>
      <c r="AL63" s="55" t="s">
        <v>348</v>
      </c>
      <c r="AM63" s="55">
        <v>0.62000000000000011</v>
      </c>
      <c r="AN63" s="55" t="s">
        <v>348</v>
      </c>
      <c r="AO63" s="55" t="s">
        <v>348</v>
      </c>
      <c r="AP63" s="55">
        <v>3.64</v>
      </c>
      <c r="AQ63" s="55">
        <v>1.1200000000000001</v>
      </c>
      <c r="AR63" s="55" t="s">
        <v>348</v>
      </c>
      <c r="AS63" s="55" t="s">
        <v>348</v>
      </c>
      <c r="AT63" s="55" t="s">
        <v>348</v>
      </c>
      <c r="AU63" s="55" t="s">
        <v>348</v>
      </c>
      <c r="AV63" s="55">
        <v>1.95</v>
      </c>
      <c r="AW63" s="55">
        <v>0.19</v>
      </c>
      <c r="AX63" s="55" t="s">
        <v>348</v>
      </c>
      <c r="AY63" s="55" t="s">
        <v>348</v>
      </c>
      <c r="AZ63" s="55" t="s">
        <v>348</v>
      </c>
      <c r="BA63" s="55" t="s">
        <v>348</v>
      </c>
      <c r="BB63" s="55" t="s">
        <v>348</v>
      </c>
      <c r="BC63" s="55">
        <v>2.04</v>
      </c>
      <c r="BD63" s="55" t="s">
        <v>348</v>
      </c>
      <c r="BE63" s="55" t="s">
        <v>348</v>
      </c>
      <c r="BF63" s="55" t="s">
        <v>348</v>
      </c>
      <c r="BG63" s="55" t="s">
        <v>348</v>
      </c>
      <c r="BH63" s="55" t="s">
        <v>348</v>
      </c>
      <c r="BI63" s="55" t="s">
        <v>348</v>
      </c>
      <c r="BJ63" s="55" t="s">
        <v>348</v>
      </c>
      <c r="BK63" s="55" t="s">
        <v>348</v>
      </c>
      <c r="BL63" s="55" t="s">
        <v>348</v>
      </c>
      <c r="BM63" s="55" t="s">
        <v>348</v>
      </c>
      <c r="BN63" s="55">
        <v>7.74</v>
      </c>
      <c r="BO63" s="55" t="s">
        <v>348</v>
      </c>
      <c r="BP63" s="56" t="s">
        <v>348</v>
      </c>
      <c r="BQ63" s="56" t="s">
        <v>348</v>
      </c>
      <c r="BR63" s="56" t="s">
        <v>348</v>
      </c>
      <c r="BS63" s="56" t="s">
        <v>348</v>
      </c>
      <c r="BT63" s="56" t="s">
        <v>348</v>
      </c>
      <c r="BU63" s="56" t="s">
        <v>348</v>
      </c>
      <c r="BV63" s="56" t="s">
        <v>348</v>
      </c>
      <c r="BW63" s="56" t="s">
        <v>348</v>
      </c>
      <c r="BX63" s="56" t="s">
        <v>348</v>
      </c>
      <c r="BY63" s="56" t="s">
        <v>348</v>
      </c>
      <c r="BZ63" s="56" t="s">
        <v>348</v>
      </c>
      <c r="CA63" s="56">
        <v>4.66</v>
      </c>
      <c r="CB63" s="56" t="s">
        <v>348</v>
      </c>
      <c r="CC63" s="56" t="s">
        <v>348</v>
      </c>
      <c r="CD63" s="55" t="s">
        <v>348</v>
      </c>
      <c r="CE63" s="55" t="s">
        <v>348</v>
      </c>
      <c r="CF63" s="55" t="s">
        <v>348</v>
      </c>
      <c r="CG63" s="55">
        <v>2</v>
      </c>
      <c r="CH63" s="55">
        <v>1</v>
      </c>
      <c r="CI63">
        <v>12</v>
      </c>
    </row>
    <row r="64" spans="1:87" x14ac:dyDescent="0.25">
      <c r="A64">
        <v>63</v>
      </c>
      <c r="B64" s="51" t="s">
        <v>234</v>
      </c>
      <c r="C64">
        <v>44916</v>
      </c>
      <c r="D64" t="s">
        <v>348</v>
      </c>
      <c r="E64">
        <v>3.37</v>
      </c>
      <c r="F64">
        <v>1.32</v>
      </c>
      <c r="G64">
        <v>2.82</v>
      </c>
      <c r="H64" t="s">
        <v>348</v>
      </c>
      <c r="I64" t="s">
        <v>348</v>
      </c>
      <c r="J64">
        <v>4.01</v>
      </c>
      <c r="K64">
        <v>199.59</v>
      </c>
      <c r="L64">
        <v>10.81</v>
      </c>
      <c r="M64">
        <v>490.51</v>
      </c>
      <c r="N64">
        <v>292.24</v>
      </c>
      <c r="O64">
        <v>21.36</v>
      </c>
      <c r="P64">
        <v>13.73</v>
      </c>
      <c r="Q64">
        <v>27.54</v>
      </c>
      <c r="R64">
        <v>751.02</v>
      </c>
      <c r="S64">
        <v>11.95</v>
      </c>
      <c r="T64">
        <v>0.61</v>
      </c>
      <c r="U64">
        <v>10.61</v>
      </c>
      <c r="V64" t="s">
        <v>348</v>
      </c>
      <c r="W64">
        <v>0.37</v>
      </c>
      <c r="X64">
        <v>133.43</v>
      </c>
      <c r="Y64">
        <v>1.5499999999999998</v>
      </c>
      <c r="Z64">
        <v>215.85</v>
      </c>
      <c r="AA64">
        <v>1.93</v>
      </c>
      <c r="AB64">
        <v>417.16</v>
      </c>
      <c r="AC64">
        <v>7.86</v>
      </c>
      <c r="AD64">
        <v>4.04</v>
      </c>
      <c r="AE64" t="s">
        <v>348</v>
      </c>
      <c r="AF64">
        <v>2.44</v>
      </c>
      <c r="AG64">
        <v>4.3499999999999996</v>
      </c>
      <c r="AH64">
        <v>0.87</v>
      </c>
      <c r="AI64">
        <v>125.66</v>
      </c>
      <c r="AJ64" t="s">
        <v>348</v>
      </c>
      <c r="AK64">
        <v>239.31</v>
      </c>
      <c r="AL64" t="s">
        <v>348</v>
      </c>
      <c r="AM64">
        <v>5.47</v>
      </c>
      <c r="AN64" t="s">
        <v>348</v>
      </c>
      <c r="AO64" t="s">
        <v>348</v>
      </c>
      <c r="AP64">
        <v>9.2899999999999991</v>
      </c>
      <c r="AQ64">
        <v>6.6</v>
      </c>
      <c r="AR64">
        <v>25.86</v>
      </c>
      <c r="AS64" t="s">
        <v>348</v>
      </c>
      <c r="AT64">
        <v>55.38</v>
      </c>
      <c r="AU64" t="s">
        <v>348</v>
      </c>
      <c r="AV64">
        <v>1.57</v>
      </c>
      <c r="AW64" t="s">
        <v>348</v>
      </c>
      <c r="AX64" t="s">
        <v>348</v>
      </c>
      <c r="AY64" t="s">
        <v>348</v>
      </c>
      <c r="AZ64">
        <v>0.17</v>
      </c>
      <c r="BA64">
        <v>9.91</v>
      </c>
      <c r="BB64" t="s">
        <v>348</v>
      </c>
      <c r="BC64">
        <v>4.25</v>
      </c>
      <c r="BD64" t="s">
        <v>348</v>
      </c>
      <c r="BE64">
        <v>7.84</v>
      </c>
      <c r="BF64">
        <v>9.85</v>
      </c>
      <c r="BG64">
        <v>26.4</v>
      </c>
      <c r="BH64" t="s">
        <v>348</v>
      </c>
      <c r="BI64" t="s">
        <v>348</v>
      </c>
      <c r="BJ64">
        <v>6.01</v>
      </c>
      <c r="BK64">
        <v>32.909999999999997</v>
      </c>
      <c r="BL64">
        <v>23.12</v>
      </c>
      <c r="BM64" t="s">
        <v>348</v>
      </c>
      <c r="BN64">
        <v>11.05</v>
      </c>
      <c r="BO64" t="s">
        <v>348</v>
      </c>
      <c r="BP64">
        <v>11.85</v>
      </c>
      <c r="BQ64">
        <v>1.0900000000000001</v>
      </c>
      <c r="BR64" t="s">
        <v>348</v>
      </c>
      <c r="BS64" t="s">
        <v>348</v>
      </c>
      <c r="BT64">
        <v>5.0199999999999996</v>
      </c>
      <c r="BU64">
        <v>5.55</v>
      </c>
      <c r="BV64" t="s">
        <v>348</v>
      </c>
      <c r="BW64">
        <v>3.78</v>
      </c>
      <c r="BX64">
        <v>109.98</v>
      </c>
      <c r="BY64">
        <v>80.98</v>
      </c>
      <c r="BZ64" t="s">
        <v>348</v>
      </c>
      <c r="CA64">
        <v>5.8000000000000007</v>
      </c>
      <c r="CB64" t="s">
        <v>348</v>
      </c>
      <c r="CC64" t="s">
        <v>348</v>
      </c>
      <c r="CD64" t="s">
        <v>348</v>
      </c>
      <c r="CE64">
        <v>0.59</v>
      </c>
      <c r="CF64" t="s">
        <v>348</v>
      </c>
      <c r="CG64">
        <v>3</v>
      </c>
      <c r="CH64">
        <v>8</v>
      </c>
      <c r="CI64">
        <v>4</v>
      </c>
    </row>
    <row r="65" spans="1:87" x14ac:dyDescent="0.25">
      <c r="A65">
        <v>64</v>
      </c>
      <c r="B65" s="51" t="s">
        <v>235</v>
      </c>
      <c r="C65">
        <v>44551</v>
      </c>
      <c r="D65">
        <v>4.24</v>
      </c>
      <c r="E65">
        <v>3.18</v>
      </c>
      <c r="F65">
        <v>0.55000000000000004</v>
      </c>
      <c r="G65">
        <v>2.57</v>
      </c>
      <c r="H65" t="s">
        <v>348</v>
      </c>
      <c r="I65">
        <v>21.51</v>
      </c>
      <c r="J65">
        <v>19.78</v>
      </c>
      <c r="K65">
        <v>94.39</v>
      </c>
      <c r="L65">
        <v>17.809999999999999</v>
      </c>
      <c r="M65">
        <v>111.96000000000001</v>
      </c>
      <c r="N65">
        <v>143.99</v>
      </c>
      <c r="O65">
        <v>10.74</v>
      </c>
      <c r="P65">
        <v>6.12</v>
      </c>
      <c r="Q65">
        <v>11.44</v>
      </c>
      <c r="R65">
        <v>351.79</v>
      </c>
      <c r="S65">
        <v>6.01</v>
      </c>
      <c r="T65" t="s">
        <v>348</v>
      </c>
      <c r="U65">
        <v>40.53</v>
      </c>
      <c r="V65" t="s">
        <v>348</v>
      </c>
      <c r="W65">
        <v>0.26</v>
      </c>
      <c r="X65">
        <v>63.52</v>
      </c>
      <c r="Y65">
        <v>3.8999999999999995</v>
      </c>
      <c r="Z65">
        <v>39.19</v>
      </c>
      <c r="AA65">
        <v>1.95</v>
      </c>
      <c r="AB65">
        <v>602.17999999999995</v>
      </c>
      <c r="AC65">
        <v>7.05</v>
      </c>
      <c r="AD65">
        <v>1.4</v>
      </c>
      <c r="AE65" t="s">
        <v>348</v>
      </c>
      <c r="AF65">
        <v>34.85</v>
      </c>
      <c r="AG65">
        <v>2.54</v>
      </c>
      <c r="AH65" t="s">
        <v>348</v>
      </c>
      <c r="AI65">
        <v>102.89</v>
      </c>
      <c r="AJ65">
        <v>3.55</v>
      </c>
      <c r="AK65">
        <v>101.28</v>
      </c>
      <c r="AL65" t="s">
        <v>348</v>
      </c>
      <c r="AM65">
        <v>3.88</v>
      </c>
      <c r="AN65" t="s">
        <v>348</v>
      </c>
      <c r="AO65">
        <v>11.61</v>
      </c>
      <c r="AP65">
        <v>72.930000000000007</v>
      </c>
      <c r="AQ65">
        <v>15.94</v>
      </c>
      <c r="AR65">
        <v>13.2</v>
      </c>
      <c r="AS65" t="s">
        <v>348</v>
      </c>
      <c r="AT65">
        <v>18.34</v>
      </c>
      <c r="AU65" t="s">
        <v>348</v>
      </c>
      <c r="AV65">
        <v>2.64</v>
      </c>
      <c r="AW65">
        <v>0.36</v>
      </c>
      <c r="AX65">
        <v>1.95</v>
      </c>
      <c r="AY65" t="s">
        <v>348</v>
      </c>
      <c r="AZ65" t="s">
        <v>348</v>
      </c>
      <c r="BA65">
        <v>4.25</v>
      </c>
      <c r="BB65" t="s">
        <v>348</v>
      </c>
      <c r="BC65">
        <v>2.46</v>
      </c>
      <c r="BD65" t="s">
        <v>348</v>
      </c>
      <c r="BE65" t="s">
        <v>348</v>
      </c>
      <c r="BF65">
        <v>6.75</v>
      </c>
      <c r="BG65">
        <v>11.7</v>
      </c>
      <c r="BH65" t="s">
        <v>348</v>
      </c>
      <c r="BI65" t="s">
        <v>348</v>
      </c>
      <c r="BJ65">
        <v>221.47</v>
      </c>
      <c r="BK65">
        <v>16.329999999999998</v>
      </c>
      <c r="BL65">
        <v>8.7100000000000009</v>
      </c>
      <c r="BM65" t="s">
        <v>348</v>
      </c>
      <c r="BN65">
        <v>22.54</v>
      </c>
      <c r="BO65" t="s">
        <v>348</v>
      </c>
      <c r="BP65">
        <v>239.08</v>
      </c>
      <c r="BQ65">
        <v>1.04</v>
      </c>
      <c r="BR65">
        <v>18.57</v>
      </c>
      <c r="BS65">
        <v>1.82</v>
      </c>
      <c r="BT65">
        <v>6.37</v>
      </c>
      <c r="BU65">
        <v>6.31</v>
      </c>
      <c r="BV65" t="s">
        <v>348</v>
      </c>
      <c r="BW65">
        <v>4.8600000000000003</v>
      </c>
      <c r="BX65">
        <v>52.68</v>
      </c>
      <c r="BY65">
        <v>38.869999999999997</v>
      </c>
      <c r="BZ65" t="s">
        <v>348</v>
      </c>
      <c r="CA65">
        <v>4.1500000000000004</v>
      </c>
      <c r="CB65" t="s">
        <v>348</v>
      </c>
      <c r="CC65" t="s">
        <v>348</v>
      </c>
      <c r="CD65" t="s">
        <v>348</v>
      </c>
      <c r="CE65" t="s">
        <v>348</v>
      </c>
      <c r="CF65" t="s">
        <v>348</v>
      </c>
      <c r="CG65">
        <v>3</v>
      </c>
      <c r="CH65">
        <v>8</v>
      </c>
      <c r="CI65">
        <v>4</v>
      </c>
    </row>
    <row r="66" spans="1:87" x14ac:dyDescent="0.25">
      <c r="A66">
        <v>65</v>
      </c>
      <c r="B66" s="51" t="s">
        <v>236</v>
      </c>
      <c r="C66">
        <v>44551</v>
      </c>
      <c r="D66">
        <v>7.5</v>
      </c>
      <c r="E66">
        <v>5.03</v>
      </c>
      <c r="F66">
        <v>0.6</v>
      </c>
      <c r="G66">
        <v>3.26</v>
      </c>
      <c r="H66" t="s">
        <v>348</v>
      </c>
      <c r="I66" t="s">
        <v>348</v>
      </c>
      <c r="J66">
        <v>95.71</v>
      </c>
      <c r="K66">
        <v>69.83</v>
      </c>
      <c r="L66">
        <v>31.39</v>
      </c>
      <c r="M66">
        <v>120.66</v>
      </c>
      <c r="N66">
        <v>140.59</v>
      </c>
      <c r="O66">
        <v>10.199999999999999</v>
      </c>
      <c r="P66">
        <v>4.92</v>
      </c>
      <c r="Q66">
        <v>10.17</v>
      </c>
      <c r="R66">
        <v>284.69</v>
      </c>
      <c r="S66">
        <v>4.91</v>
      </c>
      <c r="T66" t="s">
        <v>348</v>
      </c>
      <c r="U66">
        <v>50.88</v>
      </c>
      <c r="V66" t="s">
        <v>348</v>
      </c>
      <c r="W66">
        <v>0.21</v>
      </c>
      <c r="X66">
        <v>55.33</v>
      </c>
      <c r="Y66">
        <v>4.96</v>
      </c>
      <c r="Z66">
        <v>41.13</v>
      </c>
      <c r="AA66">
        <v>2.14</v>
      </c>
      <c r="AB66">
        <v>725.6</v>
      </c>
      <c r="AC66">
        <v>5.42</v>
      </c>
      <c r="AD66">
        <v>1.1000000000000001</v>
      </c>
      <c r="AE66" t="s">
        <v>348</v>
      </c>
      <c r="AF66">
        <v>62.1</v>
      </c>
      <c r="AG66">
        <v>2.65</v>
      </c>
      <c r="AH66" t="s">
        <v>348</v>
      </c>
      <c r="AI66">
        <v>164.94</v>
      </c>
      <c r="AJ66">
        <v>5.21</v>
      </c>
      <c r="AK66">
        <v>90.43</v>
      </c>
      <c r="AL66" t="s">
        <v>348</v>
      </c>
      <c r="AM66">
        <v>5.26</v>
      </c>
      <c r="AN66" t="s">
        <v>348</v>
      </c>
      <c r="AO66">
        <v>47.88</v>
      </c>
      <c r="AP66">
        <v>141.44</v>
      </c>
      <c r="AQ66">
        <v>95.97</v>
      </c>
      <c r="AR66">
        <v>9.15</v>
      </c>
      <c r="AS66" t="s">
        <v>348</v>
      </c>
      <c r="AT66">
        <v>16.3</v>
      </c>
      <c r="AU66" t="s">
        <v>348</v>
      </c>
      <c r="AV66">
        <v>14.1</v>
      </c>
      <c r="AW66">
        <v>1.46</v>
      </c>
      <c r="AX66">
        <v>2.2799999999999998</v>
      </c>
      <c r="AY66" t="s">
        <v>348</v>
      </c>
      <c r="AZ66">
        <v>0.17</v>
      </c>
      <c r="BA66">
        <v>14.15</v>
      </c>
      <c r="BB66" t="s">
        <v>348</v>
      </c>
      <c r="BC66">
        <v>3.27</v>
      </c>
      <c r="BD66" t="s">
        <v>348</v>
      </c>
      <c r="BE66">
        <v>2.77</v>
      </c>
      <c r="BF66">
        <v>5.92</v>
      </c>
      <c r="BG66">
        <v>10.78</v>
      </c>
      <c r="BH66" t="s">
        <v>348</v>
      </c>
      <c r="BI66" t="s">
        <v>348</v>
      </c>
      <c r="BJ66">
        <v>75.900000000000006</v>
      </c>
      <c r="BK66">
        <v>12.27</v>
      </c>
      <c r="BL66">
        <v>7.53</v>
      </c>
      <c r="BM66" t="s">
        <v>348</v>
      </c>
      <c r="BN66">
        <v>41.12</v>
      </c>
      <c r="BO66" t="s">
        <v>348</v>
      </c>
      <c r="BP66">
        <v>476.45</v>
      </c>
      <c r="BQ66">
        <v>3.93</v>
      </c>
      <c r="BR66">
        <v>13.85</v>
      </c>
      <c r="BS66">
        <v>0.86</v>
      </c>
      <c r="BT66">
        <v>3.42</v>
      </c>
      <c r="BU66">
        <v>12.22</v>
      </c>
      <c r="BV66" t="s">
        <v>348</v>
      </c>
      <c r="BW66">
        <v>5.65</v>
      </c>
      <c r="BX66">
        <v>36.020000000000003</v>
      </c>
      <c r="BY66">
        <v>23.34</v>
      </c>
      <c r="BZ66" t="s">
        <v>348</v>
      </c>
      <c r="CA66">
        <v>3.4800000000000004</v>
      </c>
      <c r="CB66" t="s">
        <v>348</v>
      </c>
      <c r="CC66" t="s">
        <v>348</v>
      </c>
      <c r="CD66" t="s">
        <v>348</v>
      </c>
      <c r="CE66" t="s">
        <v>348</v>
      </c>
      <c r="CF66" t="s">
        <v>348</v>
      </c>
      <c r="CG66">
        <v>3</v>
      </c>
      <c r="CH66">
        <v>8</v>
      </c>
      <c r="CI66">
        <v>4</v>
      </c>
    </row>
    <row r="67" spans="1:87" x14ac:dyDescent="0.25">
      <c r="A67">
        <v>66</v>
      </c>
      <c r="B67" s="51" t="s">
        <v>237</v>
      </c>
      <c r="C67">
        <v>44916</v>
      </c>
      <c r="D67">
        <v>7.58</v>
      </c>
      <c r="E67">
        <v>4.46</v>
      </c>
      <c r="F67">
        <v>0.47</v>
      </c>
      <c r="G67">
        <v>3.02</v>
      </c>
      <c r="H67" t="s">
        <v>348</v>
      </c>
      <c r="I67" t="s">
        <v>348</v>
      </c>
      <c r="J67">
        <v>45.06</v>
      </c>
      <c r="K67">
        <v>55</v>
      </c>
      <c r="L67">
        <v>34.78</v>
      </c>
      <c r="M67">
        <v>179.81</v>
      </c>
      <c r="N67">
        <v>111.94</v>
      </c>
      <c r="O67">
        <v>9.06</v>
      </c>
      <c r="P67">
        <v>3.9</v>
      </c>
      <c r="Q67">
        <v>7.14</v>
      </c>
      <c r="R67">
        <v>219.81</v>
      </c>
      <c r="S67">
        <v>4.1399999999999997</v>
      </c>
      <c r="T67" t="s">
        <v>348</v>
      </c>
      <c r="U67">
        <v>68.849999999999994</v>
      </c>
      <c r="V67" t="s">
        <v>348</v>
      </c>
      <c r="W67" t="s">
        <v>348</v>
      </c>
      <c r="X67">
        <v>33.93</v>
      </c>
      <c r="Y67">
        <v>3.8</v>
      </c>
      <c r="Z67">
        <v>51.61</v>
      </c>
      <c r="AA67">
        <v>3.73</v>
      </c>
      <c r="AB67">
        <v>883.65</v>
      </c>
      <c r="AC67">
        <v>5.05</v>
      </c>
      <c r="AD67">
        <v>0.95</v>
      </c>
      <c r="AE67" t="s">
        <v>348</v>
      </c>
      <c r="AF67">
        <v>37.04</v>
      </c>
      <c r="AG67" t="s">
        <v>348</v>
      </c>
      <c r="AH67" t="s">
        <v>348</v>
      </c>
      <c r="AI67">
        <v>313.38</v>
      </c>
      <c r="AJ67">
        <v>8.0299999999999994</v>
      </c>
      <c r="AK67">
        <v>68.7</v>
      </c>
      <c r="AL67" t="s">
        <v>348</v>
      </c>
      <c r="AM67">
        <v>6.51</v>
      </c>
      <c r="AN67" t="s">
        <v>348</v>
      </c>
      <c r="AO67">
        <v>100.02</v>
      </c>
      <c r="AP67">
        <v>209.14</v>
      </c>
      <c r="AQ67">
        <v>75.42</v>
      </c>
      <c r="AR67">
        <v>8.1300000000000008</v>
      </c>
      <c r="AS67" t="s">
        <v>348</v>
      </c>
      <c r="AT67">
        <v>39.31</v>
      </c>
      <c r="AU67" t="s">
        <v>348</v>
      </c>
      <c r="AV67">
        <v>8.43</v>
      </c>
      <c r="AW67">
        <v>2.4</v>
      </c>
      <c r="AX67">
        <v>2.99</v>
      </c>
      <c r="AY67" t="s">
        <v>348</v>
      </c>
      <c r="AZ67">
        <v>0.2</v>
      </c>
      <c r="BA67">
        <v>7.09</v>
      </c>
      <c r="BB67" t="s">
        <v>348</v>
      </c>
      <c r="BC67">
        <v>3.8699999999999997</v>
      </c>
      <c r="BD67" t="s">
        <v>348</v>
      </c>
      <c r="BE67" t="s">
        <v>348</v>
      </c>
      <c r="BF67">
        <v>4.41</v>
      </c>
      <c r="BG67">
        <v>8.6300000000000008</v>
      </c>
      <c r="BH67" t="s">
        <v>348</v>
      </c>
      <c r="BI67" t="s">
        <v>348</v>
      </c>
      <c r="BJ67">
        <v>54.66</v>
      </c>
      <c r="BK67">
        <v>9.32</v>
      </c>
      <c r="BL67">
        <v>5.45</v>
      </c>
      <c r="BM67" t="s">
        <v>348</v>
      </c>
      <c r="BN67">
        <v>67.569999999999993</v>
      </c>
      <c r="BO67" t="s">
        <v>348</v>
      </c>
      <c r="BP67">
        <v>388.28</v>
      </c>
      <c r="BQ67">
        <v>4</v>
      </c>
      <c r="BR67">
        <v>18.579999999999998</v>
      </c>
      <c r="BS67">
        <v>1.02</v>
      </c>
      <c r="BT67">
        <v>3.55</v>
      </c>
      <c r="BU67">
        <v>17.86</v>
      </c>
      <c r="BV67" t="s">
        <v>348</v>
      </c>
      <c r="BW67">
        <v>4.29</v>
      </c>
      <c r="BX67">
        <v>33.54</v>
      </c>
      <c r="BY67">
        <v>22.98</v>
      </c>
      <c r="BZ67" t="s">
        <v>348</v>
      </c>
      <c r="CA67">
        <v>3.7300000000000004</v>
      </c>
      <c r="CB67" t="s">
        <v>348</v>
      </c>
      <c r="CC67" t="s">
        <v>348</v>
      </c>
      <c r="CD67" t="s">
        <v>348</v>
      </c>
      <c r="CE67" t="s">
        <v>348</v>
      </c>
      <c r="CF67" t="s">
        <v>348</v>
      </c>
      <c r="CG67">
        <v>3</v>
      </c>
      <c r="CH67">
        <v>8</v>
      </c>
      <c r="CI67">
        <v>4</v>
      </c>
    </row>
    <row r="68" spans="1:87" x14ac:dyDescent="0.25">
      <c r="A68">
        <v>67</v>
      </c>
      <c r="B68" s="51" t="s">
        <v>238</v>
      </c>
      <c r="C68">
        <v>44551</v>
      </c>
      <c r="D68">
        <v>11.36</v>
      </c>
      <c r="E68">
        <v>4.74</v>
      </c>
      <c r="F68">
        <v>0.63</v>
      </c>
      <c r="G68">
        <v>5.15</v>
      </c>
      <c r="H68" t="s">
        <v>348</v>
      </c>
      <c r="I68" t="s">
        <v>348</v>
      </c>
      <c r="J68">
        <v>30.28</v>
      </c>
      <c r="K68">
        <v>57.48</v>
      </c>
      <c r="L68">
        <v>61.4</v>
      </c>
      <c r="M68">
        <v>201.3</v>
      </c>
      <c r="N68">
        <v>107.34</v>
      </c>
      <c r="O68">
        <v>9.7799999999999994</v>
      </c>
      <c r="P68">
        <v>3.49</v>
      </c>
      <c r="Q68">
        <v>7.42</v>
      </c>
      <c r="R68">
        <v>201.66</v>
      </c>
      <c r="S68">
        <v>5.5</v>
      </c>
      <c r="T68" t="s">
        <v>348</v>
      </c>
      <c r="U68">
        <v>82.86</v>
      </c>
      <c r="V68" t="s">
        <v>348</v>
      </c>
      <c r="W68">
        <v>0.41</v>
      </c>
      <c r="X68">
        <v>31.9</v>
      </c>
      <c r="Y68">
        <v>6.86</v>
      </c>
      <c r="Z68">
        <v>52.19</v>
      </c>
      <c r="AA68">
        <v>4.29</v>
      </c>
      <c r="AB68">
        <v>858.61</v>
      </c>
      <c r="AC68">
        <v>10118.700000000001</v>
      </c>
      <c r="AD68">
        <v>5324.98</v>
      </c>
      <c r="AE68" t="s">
        <v>348</v>
      </c>
      <c r="AF68">
        <v>49.33</v>
      </c>
      <c r="AG68" t="s">
        <v>348</v>
      </c>
      <c r="AH68" t="s">
        <v>348</v>
      </c>
      <c r="AI68">
        <v>569.91999999999996</v>
      </c>
      <c r="AJ68">
        <v>6.16</v>
      </c>
      <c r="AK68">
        <v>72.819999999999993</v>
      </c>
      <c r="AL68" t="s">
        <v>348</v>
      </c>
      <c r="AM68">
        <v>10.15</v>
      </c>
      <c r="AN68" t="s">
        <v>348</v>
      </c>
      <c r="AO68">
        <v>169.75</v>
      </c>
      <c r="AP68">
        <v>383.39</v>
      </c>
      <c r="AQ68">
        <v>98.289999999999992</v>
      </c>
      <c r="AR68">
        <v>7.92</v>
      </c>
      <c r="AS68">
        <v>11.03</v>
      </c>
      <c r="AT68">
        <v>89.86</v>
      </c>
      <c r="AU68" t="s">
        <v>348</v>
      </c>
      <c r="AV68" t="s">
        <v>348</v>
      </c>
      <c r="AW68">
        <v>5.89</v>
      </c>
      <c r="AX68">
        <v>6.08</v>
      </c>
      <c r="AY68" t="s">
        <v>348</v>
      </c>
      <c r="AZ68" t="s">
        <v>348</v>
      </c>
      <c r="BA68">
        <v>8.43</v>
      </c>
      <c r="BB68" t="s">
        <v>348</v>
      </c>
      <c r="BC68">
        <v>5.5500000000000007</v>
      </c>
      <c r="BD68" t="s">
        <v>348</v>
      </c>
      <c r="BE68" t="s">
        <v>348</v>
      </c>
      <c r="BF68">
        <v>6.38</v>
      </c>
      <c r="BG68">
        <v>8.19</v>
      </c>
      <c r="BH68" t="s">
        <v>348</v>
      </c>
      <c r="BI68" t="s">
        <v>348</v>
      </c>
      <c r="BJ68">
        <v>45.25</v>
      </c>
      <c r="BK68">
        <v>8.82</v>
      </c>
      <c r="BL68">
        <v>5.16</v>
      </c>
      <c r="BM68" t="s">
        <v>348</v>
      </c>
      <c r="BN68">
        <v>83.7</v>
      </c>
      <c r="BO68" t="s">
        <v>348</v>
      </c>
      <c r="BP68">
        <v>567.70000000000005</v>
      </c>
      <c r="BQ68">
        <v>3.73</v>
      </c>
      <c r="BR68">
        <v>23.08</v>
      </c>
      <c r="BS68">
        <v>0.5</v>
      </c>
      <c r="BT68">
        <v>1.66</v>
      </c>
      <c r="BU68">
        <v>17.059999999999999</v>
      </c>
      <c r="BV68" t="s">
        <v>348</v>
      </c>
      <c r="BW68">
        <v>2.2200000000000002</v>
      </c>
      <c r="BX68">
        <v>29.1</v>
      </c>
      <c r="BY68">
        <v>24.28</v>
      </c>
      <c r="BZ68">
        <v>0.42999999999999972</v>
      </c>
      <c r="CA68">
        <v>4.34</v>
      </c>
      <c r="CB68" t="s">
        <v>348</v>
      </c>
      <c r="CC68" t="s">
        <v>348</v>
      </c>
      <c r="CD68" t="s">
        <v>348</v>
      </c>
      <c r="CE68" t="s">
        <v>348</v>
      </c>
      <c r="CF68" t="s">
        <v>348</v>
      </c>
      <c r="CG68">
        <v>3</v>
      </c>
      <c r="CH68">
        <v>8</v>
      </c>
      <c r="CI68">
        <v>4</v>
      </c>
    </row>
    <row r="69" spans="1:87" ht="14.4" thickBot="1" x14ac:dyDescent="0.3">
      <c r="A69">
        <v>68</v>
      </c>
      <c r="B69" s="51" t="s">
        <v>239</v>
      </c>
      <c r="C69">
        <v>44551</v>
      </c>
      <c r="D69">
        <v>13.7</v>
      </c>
      <c r="E69">
        <v>6.82</v>
      </c>
      <c r="F69">
        <v>0.56999999999999995</v>
      </c>
      <c r="G69">
        <v>10.46</v>
      </c>
      <c r="H69" t="s">
        <v>348</v>
      </c>
      <c r="I69" t="s">
        <v>348</v>
      </c>
      <c r="J69">
        <v>23.05</v>
      </c>
      <c r="K69">
        <v>89.41</v>
      </c>
      <c r="L69">
        <v>70.17</v>
      </c>
      <c r="M69">
        <v>157.59</v>
      </c>
      <c r="N69">
        <v>146.51</v>
      </c>
      <c r="O69">
        <v>12.84</v>
      </c>
      <c r="P69">
        <v>5.75</v>
      </c>
      <c r="Q69">
        <v>10.050000000000001</v>
      </c>
      <c r="R69">
        <v>301.51</v>
      </c>
      <c r="S69">
        <v>7.61</v>
      </c>
      <c r="T69" t="s">
        <v>348</v>
      </c>
      <c r="U69">
        <v>102.89</v>
      </c>
      <c r="V69" t="s">
        <v>348</v>
      </c>
      <c r="W69">
        <v>0.46</v>
      </c>
      <c r="X69">
        <v>45.72</v>
      </c>
      <c r="Y69">
        <v>7.4200000000000008</v>
      </c>
      <c r="Z69">
        <v>35.450000000000003</v>
      </c>
      <c r="AA69">
        <v>5.56</v>
      </c>
      <c r="AB69">
        <v>879.87</v>
      </c>
      <c r="AC69">
        <v>15154.5</v>
      </c>
      <c r="AD69" t="s">
        <v>348</v>
      </c>
      <c r="AE69" t="s">
        <v>348</v>
      </c>
      <c r="AF69">
        <v>34.42</v>
      </c>
      <c r="AG69">
        <v>2.8</v>
      </c>
      <c r="AH69" t="s">
        <v>348</v>
      </c>
      <c r="AI69">
        <v>458.76</v>
      </c>
      <c r="AJ69">
        <v>4.28</v>
      </c>
      <c r="AK69">
        <v>106.97</v>
      </c>
      <c r="AL69" t="s">
        <v>348</v>
      </c>
      <c r="AM69">
        <v>21.62</v>
      </c>
      <c r="AN69" t="s">
        <v>348</v>
      </c>
      <c r="AO69">
        <v>155.28</v>
      </c>
      <c r="AP69">
        <v>358.67</v>
      </c>
      <c r="AQ69">
        <v>118.14999999999999</v>
      </c>
      <c r="AR69">
        <v>12.07</v>
      </c>
      <c r="AS69">
        <v>9.1</v>
      </c>
      <c r="AT69">
        <v>68.17</v>
      </c>
      <c r="AU69" t="s">
        <v>348</v>
      </c>
      <c r="AV69" t="s">
        <v>348</v>
      </c>
      <c r="AW69">
        <v>10.17</v>
      </c>
      <c r="AX69">
        <v>5.15</v>
      </c>
      <c r="AY69" t="s">
        <v>348</v>
      </c>
      <c r="AZ69" t="s">
        <v>348</v>
      </c>
      <c r="BA69">
        <v>9.17</v>
      </c>
      <c r="BB69">
        <v>0.24</v>
      </c>
      <c r="BC69">
        <v>8.56</v>
      </c>
      <c r="BD69" t="s">
        <v>348</v>
      </c>
      <c r="BE69">
        <v>2.74</v>
      </c>
      <c r="BF69">
        <v>7.28</v>
      </c>
      <c r="BG69">
        <v>22.35</v>
      </c>
      <c r="BH69" t="s">
        <v>348</v>
      </c>
      <c r="BI69" t="s">
        <v>348</v>
      </c>
      <c r="BJ69">
        <v>33.85</v>
      </c>
      <c r="BK69">
        <v>12.28</v>
      </c>
      <c r="BL69">
        <v>7.14</v>
      </c>
      <c r="BM69" t="s">
        <v>348</v>
      </c>
      <c r="BN69">
        <v>127.81</v>
      </c>
      <c r="BO69" t="s">
        <v>348</v>
      </c>
      <c r="BP69" s="26">
        <v>465.93</v>
      </c>
      <c r="BQ69" s="26">
        <v>8.15</v>
      </c>
      <c r="BR69" s="26">
        <v>25.14</v>
      </c>
      <c r="BS69" s="26" t="s">
        <v>348</v>
      </c>
      <c r="BT69" s="26">
        <v>1.19</v>
      </c>
      <c r="BU69" s="26">
        <v>14.81</v>
      </c>
      <c r="BV69" s="26" t="s">
        <v>348</v>
      </c>
      <c r="BW69" s="26">
        <v>1.36</v>
      </c>
      <c r="BX69" s="26">
        <v>44.58</v>
      </c>
      <c r="BY69" s="26">
        <v>34.03</v>
      </c>
      <c r="BZ69" s="26" t="s">
        <v>348</v>
      </c>
      <c r="CA69" s="26">
        <v>2.2100000000000009</v>
      </c>
      <c r="CB69" s="26" t="s">
        <v>348</v>
      </c>
      <c r="CC69" s="26" t="s">
        <v>348</v>
      </c>
      <c r="CD69" t="s">
        <v>348</v>
      </c>
      <c r="CE69">
        <v>2.0299999999999998</v>
      </c>
      <c r="CF69" t="s">
        <v>348</v>
      </c>
      <c r="CG69">
        <v>3</v>
      </c>
      <c r="CH69">
        <v>8</v>
      </c>
      <c r="CI69">
        <v>4</v>
      </c>
    </row>
    <row r="70" spans="1:87" x14ac:dyDescent="0.25">
      <c r="A70">
        <v>69</v>
      </c>
      <c r="B70" s="51" t="s">
        <v>245</v>
      </c>
      <c r="C70">
        <v>44588</v>
      </c>
      <c r="D70">
        <v>49.34</v>
      </c>
      <c r="E70">
        <v>1.49</v>
      </c>
      <c r="F70">
        <v>43.56</v>
      </c>
      <c r="G70">
        <v>134.63</v>
      </c>
      <c r="H70">
        <v>21.28</v>
      </c>
      <c r="I70">
        <v>10.42</v>
      </c>
      <c r="J70">
        <v>20.079999999999998</v>
      </c>
      <c r="K70">
        <v>101.81</v>
      </c>
      <c r="L70">
        <v>134.38</v>
      </c>
      <c r="M70">
        <v>911.27</v>
      </c>
      <c r="N70">
        <v>111.4</v>
      </c>
      <c r="O70">
        <v>10.61</v>
      </c>
      <c r="P70">
        <v>3.27</v>
      </c>
      <c r="Q70">
        <v>6.09</v>
      </c>
      <c r="R70">
        <v>183.02</v>
      </c>
      <c r="S70">
        <v>10.39</v>
      </c>
      <c r="T70" t="s">
        <v>348</v>
      </c>
      <c r="U70">
        <v>116.81</v>
      </c>
      <c r="V70" t="s">
        <v>348</v>
      </c>
      <c r="W70" t="s">
        <v>348</v>
      </c>
      <c r="X70">
        <v>44.78</v>
      </c>
      <c r="Y70">
        <v>4.5599999999999996</v>
      </c>
      <c r="Z70">
        <v>12.04</v>
      </c>
      <c r="AA70">
        <v>4.54</v>
      </c>
      <c r="AB70">
        <v>7114.22</v>
      </c>
      <c r="AC70">
        <v>125.21</v>
      </c>
      <c r="AD70">
        <v>20.2</v>
      </c>
      <c r="AE70" t="s">
        <v>348</v>
      </c>
      <c r="AF70">
        <v>41.81</v>
      </c>
      <c r="AG70">
        <v>12.35</v>
      </c>
      <c r="AH70" t="s">
        <v>348</v>
      </c>
      <c r="AI70">
        <v>175.99</v>
      </c>
      <c r="AJ70">
        <v>1.21</v>
      </c>
      <c r="AK70">
        <v>73.67</v>
      </c>
      <c r="AL70" t="s">
        <v>348</v>
      </c>
      <c r="AM70">
        <v>15.43</v>
      </c>
      <c r="AN70" t="s">
        <v>348</v>
      </c>
      <c r="AO70" t="s">
        <v>348</v>
      </c>
      <c r="AP70">
        <v>310.18</v>
      </c>
      <c r="AQ70">
        <v>28.689999999999998</v>
      </c>
      <c r="AR70">
        <v>12.6</v>
      </c>
      <c r="AS70">
        <v>5.01</v>
      </c>
      <c r="AT70">
        <v>34.03</v>
      </c>
      <c r="AU70" t="s">
        <v>348</v>
      </c>
      <c r="AV70" t="s">
        <v>348</v>
      </c>
      <c r="AW70">
        <v>2.97</v>
      </c>
      <c r="AX70">
        <v>3.48</v>
      </c>
      <c r="AY70" t="s">
        <v>348</v>
      </c>
      <c r="AZ70" t="s">
        <v>348</v>
      </c>
      <c r="BA70">
        <v>4.9400000000000004</v>
      </c>
      <c r="BB70" t="s">
        <v>348</v>
      </c>
      <c r="BC70">
        <v>8.42</v>
      </c>
      <c r="BD70" t="s">
        <v>348</v>
      </c>
      <c r="BE70" t="s">
        <v>348</v>
      </c>
      <c r="BF70">
        <v>6.6</v>
      </c>
      <c r="BG70">
        <v>139.79</v>
      </c>
      <c r="BH70">
        <v>6.65</v>
      </c>
      <c r="BI70" t="s">
        <v>348</v>
      </c>
      <c r="BJ70">
        <v>6.56</v>
      </c>
      <c r="BK70">
        <v>11.28</v>
      </c>
      <c r="BL70">
        <v>6.49</v>
      </c>
      <c r="BM70" t="s">
        <v>348</v>
      </c>
      <c r="BN70">
        <v>24.41</v>
      </c>
      <c r="BO70" t="s">
        <v>348</v>
      </c>
      <c r="BP70">
        <v>25.41</v>
      </c>
      <c r="BQ70">
        <v>1.06</v>
      </c>
      <c r="BR70">
        <v>15.32</v>
      </c>
      <c r="BS70">
        <v>0.37</v>
      </c>
      <c r="BT70">
        <v>2.0499999999999998</v>
      </c>
      <c r="BU70">
        <v>2.64</v>
      </c>
      <c r="BV70" t="s">
        <v>348</v>
      </c>
      <c r="BW70">
        <v>1.78</v>
      </c>
      <c r="BX70">
        <v>67.67</v>
      </c>
      <c r="BY70">
        <v>53.21</v>
      </c>
      <c r="BZ70">
        <v>2.37</v>
      </c>
      <c r="CA70">
        <v>3.58</v>
      </c>
      <c r="CB70" t="s">
        <v>348</v>
      </c>
      <c r="CC70" t="s">
        <v>348</v>
      </c>
      <c r="CD70" t="s">
        <v>348</v>
      </c>
      <c r="CE70">
        <v>1.39</v>
      </c>
      <c r="CF70" t="s">
        <v>348</v>
      </c>
      <c r="CG70">
        <v>3</v>
      </c>
      <c r="CH70">
        <v>8</v>
      </c>
      <c r="CI70">
        <v>4</v>
      </c>
    </row>
    <row r="71" spans="1:87" x14ac:dyDescent="0.25">
      <c r="A71">
        <v>70</v>
      </c>
      <c r="B71" s="51" t="s">
        <v>246</v>
      </c>
      <c r="C71">
        <v>44588</v>
      </c>
      <c r="D71">
        <v>12.2</v>
      </c>
      <c r="E71">
        <v>2.77</v>
      </c>
      <c r="F71">
        <v>103.95</v>
      </c>
      <c r="G71">
        <v>17.29</v>
      </c>
      <c r="H71" t="s">
        <v>348</v>
      </c>
      <c r="I71" t="s">
        <v>348</v>
      </c>
      <c r="J71">
        <v>17.8</v>
      </c>
      <c r="K71">
        <v>190.01</v>
      </c>
      <c r="L71">
        <v>46.09</v>
      </c>
      <c r="M71">
        <v>229.21000000000004</v>
      </c>
      <c r="N71">
        <v>321.04000000000002</v>
      </c>
      <c r="O71">
        <v>20.2</v>
      </c>
      <c r="P71">
        <v>11.04</v>
      </c>
      <c r="Q71">
        <v>21.08</v>
      </c>
      <c r="R71">
        <v>498.97</v>
      </c>
      <c r="S71">
        <v>25.74</v>
      </c>
      <c r="T71">
        <v>0.69</v>
      </c>
      <c r="U71">
        <v>38.4</v>
      </c>
      <c r="V71" t="s">
        <v>348</v>
      </c>
      <c r="W71" t="s">
        <v>348</v>
      </c>
      <c r="X71">
        <v>132.63999999999999</v>
      </c>
      <c r="Y71">
        <v>4.1599999999999993</v>
      </c>
      <c r="Z71">
        <v>45.09</v>
      </c>
      <c r="AA71">
        <v>9.6300000000000008</v>
      </c>
      <c r="AB71">
        <v>1486.28</v>
      </c>
      <c r="AC71">
        <v>111.72</v>
      </c>
      <c r="AD71">
        <v>42.78</v>
      </c>
      <c r="AE71" t="s">
        <v>348</v>
      </c>
      <c r="AF71">
        <v>15.45</v>
      </c>
      <c r="AG71">
        <v>13.25</v>
      </c>
      <c r="AH71">
        <v>0.49</v>
      </c>
      <c r="AI71">
        <v>199.58</v>
      </c>
      <c r="AJ71">
        <v>1.2</v>
      </c>
      <c r="AK71">
        <v>212.91</v>
      </c>
      <c r="AL71" t="s">
        <v>348</v>
      </c>
      <c r="AM71">
        <v>60.589999999999996</v>
      </c>
      <c r="AN71" t="s">
        <v>348</v>
      </c>
      <c r="AO71">
        <v>4.1500000000000004</v>
      </c>
      <c r="AP71">
        <v>101.05</v>
      </c>
      <c r="AQ71">
        <v>34.369999999999997</v>
      </c>
      <c r="AR71">
        <v>36.61</v>
      </c>
      <c r="AS71">
        <v>8.24</v>
      </c>
      <c r="AT71">
        <v>48.15</v>
      </c>
      <c r="AU71" t="s">
        <v>348</v>
      </c>
      <c r="AV71">
        <v>6.01</v>
      </c>
      <c r="AW71">
        <v>3.1</v>
      </c>
      <c r="AX71">
        <v>6.69</v>
      </c>
      <c r="AY71" t="s">
        <v>348</v>
      </c>
      <c r="AZ71" t="s">
        <v>348</v>
      </c>
      <c r="BA71">
        <v>32.69</v>
      </c>
      <c r="BB71" t="s">
        <v>348</v>
      </c>
      <c r="BC71">
        <v>29.330000000000002</v>
      </c>
      <c r="BD71" t="s">
        <v>348</v>
      </c>
      <c r="BE71">
        <v>4.7300000000000004</v>
      </c>
      <c r="BF71">
        <v>17.52</v>
      </c>
      <c r="BG71">
        <v>17.940000000000001</v>
      </c>
      <c r="BH71" t="s">
        <v>348</v>
      </c>
      <c r="BI71">
        <v>16.38</v>
      </c>
      <c r="BJ71">
        <v>4</v>
      </c>
      <c r="BK71">
        <v>35.729999999999997</v>
      </c>
      <c r="BL71">
        <v>20.65</v>
      </c>
      <c r="BM71" t="s">
        <v>348</v>
      </c>
      <c r="BN71">
        <v>22.69</v>
      </c>
      <c r="BO71" t="s">
        <v>348</v>
      </c>
      <c r="BP71">
        <v>30.04</v>
      </c>
      <c r="BQ71" t="s">
        <v>348</v>
      </c>
      <c r="BR71">
        <v>25.54</v>
      </c>
      <c r="BS71" t="s">
        <v>348</v>
      </c>
      <c r="BT71">
        <v>2.2999999999999998</v>
      </c>
      <c r="BU71">
        <v>4.59</v>
      </c>
      <c r="BV71" t="s">
        <v>348</v>
      </c>
      <c r="BW71">
        <v>1.53</v>
      </c>
      <c r="BX71">
        <v>134.03</v>
      </c>
      <c r="BY71">
        <v>153.44999999999999</v>
      </c>
      <c r="BZ71">
        <v>0.96</v>
      </c>
      <c r="CA71">
        <v>54.75</v>
      </c>
      <c r="CB71" t="s">
        <v>348</v>
      </c>
      <c r="CC71" t="s">
        <v>348</v>
      </c>
      <c r="CD71" t="s">
        <v>348</v>
      </c>
      <c r="CE71">
        <v>4.9800000000000004</v>
      </c>
      <c r="CF71" t="s">
        <v>348</v>
      </c>
      <c r="CG71">
        <v>3</v>
      </c>
      <c r="CH71">
        <v>8</v>
      </c>
      <c r="CI71">
        <v>4</v>
      </c>
    </row>
    <row r="72" spans="1:87" x14ac:dyDescent="0.25">
      <c r="A72">
        <v>71</v>
      </c>
      <c r="B72" s="51" t="s">
        <v>247</v>
      </c>
      <c r="C72">
        <v>44588</v>
      </c>
      <c r="D72">
        <v>14.43</v>
      </c>
      <c r="E72">
        <v>2.37</v>
      </c>
      <c r="F72">
        <v>86.35</v>
      </c>
      <c r="G72">
        <v>51.24</v>
      </c>
      <c r="H72">
        <v>10.9</v>
      </c>
      <c r="I72" t="s">
        <v>348</v>
      </c>
      <c r="J72">
        <v>12.54</v>
      </c>
      <c r="K72">
        <v>125.79</v>
      </c>
      <c r="L72">
        <v>27.7</v>
      </c>
      <c r="M72">
        <v>662.44</v>
      </c>
      <c r="N72">
        <v>225.53</v>
      </c>
      <c r="O72">
        <v>13.52</v>
      </c>
      <c r="P72">
        <v>8.43</v>
      </c>
      <c r="Q72">
        <v>16.510000000000002</v>
      </c>
      <c r="R72">
        <v>376.73</v>
      </c>
      <c r="S72">
        <v>22.71</v>
      </c>
      <c r="T72" t="s">
        <v>348</v>
      </c>
      <c r="U72">
        <v>41.07</v>
      </c>
      <c r="V72" t="s">
        <v>348</v>
      </c>
      <c r="W72">
        <v>0.32</v>
      </c>
      <c r="X72">
        <v>101.2</v>
      </c>
      <c r="Y72">
        <v>4.2299999999999995</v>
      </c>
      <c r="Z72">
        <v>27.080000000000002</v>
      </c>
      <c r="AA72">
        <v>7.78</v>
      </c>
      <c r="AB72">
        <v>2814.17</v>
      </c>
      <c r="AC72">
        <v>88</v>
      </c>
      <c r="AD72">
        <v>32.840000000000003</v>
      </c>
      <c r="AE72" t="s">
        <v>348</v>
      </c>
      <c r="AF72">
        <v>18.850000000000001</v>
      </c>
      <c r="AG72">
        <v>9.4600000000000009</v>
      </c>
      <c r="AH72">
        <v>0.43</v>
      </c>
      <c r="AI72">
        <v>159.66999999999999</v>
      </c>
      <c r="AJ72">
        <v>0.78</v>
      </c>
      <c r="AK72">
        <v>167.66</v>
      </c>
      <c r="AL72" t="s">
        <v>348</v>
      </c>
      <c r="AM72">
        <v>34.82</v>
      </c>
      <c r="AN72" t="s">
        <v>348</v>
      </c>
      <c r="AO72">
        <v>2.64</v>
      </c>
      <c r="AP72">
        <v>105.1</v>
      </c>
      <c r="AQ72">
        <v>22.4</v>
      </c>
      <c r="AR72">
        <v>29.27</v>
      </c>
      <c r="AS72">
        <v>4.88</v>
      </c>
      <c r="AT72">
        <v>46.9</v>
      </c>
      <c r="AU72">
        <v>6.38</v>
      </c>
      <c r="AV72">
        <v>5.9</v>
      </c>
      <c r="AW72">
        <v>2.0699999999999998</v>
      </c>
      <c r="AX72">
        <v>5.68</v>
      </c>
      <c r="AY72" t="s">
        <v>348</v>
      </c>
      <c r="AZ72" t="s">
        <v>348</v>
      </c>
      <c r="BA72">
        <v>17.87</v>
      </c>
      <c r="BB72" t="s">
        <v>348</v>
      </c>
      <c r="BC72">
        <v>23.26</v>
      </c>
      <c r="BD72" t="s">
        <v>348</v>
      </c>
      <c r="BE72" t="s">
        <v>348</v>
      </c>
      <c r="BF72">
        <v>11.3</v>
      </c>
      <c r="BG72">
        <v>11.21</v>
      </c>
      <c r="BH72" t="s">
        <v>348</v>
      </c>
      <c r="BI72">
        <v>10.91</v>
      </c>
      <c r="BJ72">
        <v>2.74</v>
      </c>
      <c r="BK72">
        <v>23.97</v>
      </c>
      <c r="BL72">
        <v>12.27</v>
      </c>
      <c r="BM72" t="s">
        <v>348</v>
      </c>
      <c r="BN72">
        <v>14.21</v>
      </c>
      <c r="BO72" t="s">
        <v>348</v>
      </c>
      <c r="BP72">
        <v>21.29</v>
      </c>
      <c r="BQ72">
        <v>1.01</v>
      </c>
      <c r="BR72">
        <v>18.260000000000002</v>
      </c>
      <c r="BS72" t="s">
        <v>348</v>
      </c>
      <c r="BT72">
        <v>2.19</v>
      </c>
      <c r="BU72">
        <v>3.66</v>
      </c>
      <c r="BV72" t="s">
        <v>348</v>
      </c>
      <c r="BW72">
        <v>8.08</v>
      </c>
      <c r="BX72">
        <v>62.12</v>
      </c>
      <c r="BY72">
        <v>84.51</v>
      </c>
      <c r="BZ72">
        <v>2.7</v>
      </c>
      <c r="CA72">
        <v>77.819999999999993</v>
      </c>
      <c r="CB72" t="s">
        <v>348</v>
      </c>
      <c r="CC72" t="s">
        <v>348</v>
      </c>
      <c r="CD72" t="s">
        <v>348</v>
      </c>
      <c r="CE72">
        <v>3.13</v>
      </c>
      <c r="CF72" t="s">
        <v>348</v>
      </c>
      <c r="CG72">
        <v>3</v>
      </c>
      <c r="CH72">
        <v>8</v>
      </c>
      <c r="CI72">
        <v>4</v>
      </c>
    </row>
    <row r="73" spans="1:87" x14ac:dyDescent="0.25">
      <c r="A73">
        <v>72</v>
      </c>
      <c r="B73" s="51" t="s">
        <v>249</v>
      </c>
      <c r="C73">
        <v>44588</v>
      </c>
      <c r="D73">
        <v>14.07</v>
      </c>
      <c r="E73">
        <v>2.75</v>
      </c>
      <c r="F73">
        <v>102.37</v>
      </c>
      <c r="G73">
        <v>15.55</v>
      </c>
      <c r="H73" t="s">
        <v>348</v>
      </c>
      <c r="I73" t="s">
        <v>348</v>
      </c>
      <c r="J73">
        <v>16.5</v>
      </c>
      <c r="K73">
        <v>168.56</v>
      </c>
      <c r="L73">
        <v>34.979999999999997</v>
      </c>
      <c r="M73">
        <v>144.69</v>
      </c>
      <c r="N73">
        <v>289.45</v>
      </c>
      <c r="O73">
        <v>18.28</v>
      </c>
      <c r="P73">
        <v>9.92</v>
      </c>
      <c r="Q73">
        <v>20.88</v>
      </c>
      <c r="R73">
        <v>459.08</v>
      </c>
      <c r="S73">
        <v>27.28</v>
      </c>
      <c r="T73" t="s">
        <v>348</v>
      </c>
      <c r="U73">
        <v>40.119999999999997</v>
      </c>
      <c r="V73" t="s">
        <v>348</v>
      </c>
      <c r="W73">
        <v>0.39</v>
      </c>
      <c r="X73">
        <v>128.44</v>
      </c>
      <c r="Y73">
        <v>3.96</v>
      </c>
      <c r="Z73">
        <v>89.37</v>
      </c>
      <c r="AA73">
        <v>8.9700000000000006</v>
      </c>
      <c r="AB73">
        <v>1505.19</v>
      </c>
      <c r="AC73">
        <v>100.66</v>
      </c>
      <c r="AD73">
        <v>28.6</v>
      </c>
      <c r="AE73" t="s">
        <v>348</v>
      </c>
      <c r="AF73">
        <v>13.53</v>
      </c>
      <c r="AG73">
        <v>13.01</v>
      </c>
      <c r="AH73">
        <v>0.56000000000000005</v>
      </c>
      <c r="AI73">
        <v>188.81</v>
      </c>
      <c r="AJ73">
        <v>1.07</v>
      </c>
      <c r="AK73">
        <v>205</v>
      </c>
      <c r="AL73" t="s">
        <v>348</v>
      </c>
      <c r="AM73">
        <v>53.8</v>
      </c>
      <c r="AN73" t="s">
        <v>348</v>
      </c>
      <c r="AO73">
        <v>4.79</v>
      </c>
      <c r="AP73">
        <v>93.48</v>
      </c>
      <c r="AQ73">
        <v>30.779999999999998</v>
      </c>
      <c r="AR73">
        <v>32.67</v>
      </c>
      <c r="AS73">
        <v>8.23</v>
      </c>
      <c r="AT73">
        <v>75.66</v>
      </c>
      <c r="AU73">
        <v>4.76</v>
      </c>
      <c r="AV73">
        <v>6.64</v>
      </c>
      <c r="AW73">
        <v>2.27</v>
      </c>
      <c r="AX73">
        <v>5.6</v>
      </c>
      <c r="AY73" t="s">
        <v>348</v>
      </c>
      <c r="AZ73" t="s">
        <v>348</v>
      </c>
      <c r="BA73">
        <v>27.89</v>
      </c>
      <c r="BB73" t="s">
        <v>348</v>
      </c>
      <c r="BC73">
        <v>28.12</v>
      </c>
      <c r="BD73" t="s">
        <v>348</v>
      </c>
      <c r="BE73">
        <v>4.1500000000000004</v>
      </c>
      <c r="BF73">
        <v>12.35</v>
      </c>
      <c r="BG73">
        <v>16.54</v>
      </c>
      <c r="BH73" t="s">
        <v>348</v>
      </c>
      <c r="BI73">
        <v>9.82</v>
      </c>
      <c r="BJ73">
        <v>2.4700000000000002</v>
      </c>
      <c r="BK73">
        <v>32.42</v>
      </c>
      <c r="BL73">
        <v>17.920000000000002</v>
      </c>
      <c r="BM73" t="s">
        <v>348</v>
      </c>
      <c r="BN73">
        <v>18.45</v>
      </c>
      <c r="BO73" t="s">
        <v>348</v>
      </c>
      <c r="BP73">
        <v>26.84</v>
      </c>
      <c r="BQ73" t="s">
        <v>348</v>
      </c>
      <c r="BR73">
        <v>20.78</v>
      </c>
      <c r="BS73" t="s">
        <v>348</v>
      </c>
      <c r="BT73">
        <v>2.96</v>
      </c>
      <c r="BU73">
        <v>3.7</v>
      </c>
      <c r="BV73" t="s">
        <v>348</v>
      </c>
      <c r="BW73">
        <v>2.99</v>
      </c>
      <c r="BX73">
        <v>98.93</v>
      </c>
      <c r="BY73">
        <v>145.08000000000001</v>
      </c>
      <c r="BZ73">
        <v>4.5500000000000007</v>
      </c>
      <c r="CA73">
        <v>274.84000000000003</v>
      </c>
      <c r="CB73" t="s">
        <v>348</v>
      </c>
      <c r="CC73" t="s">
        <v>348</v>
      </c>
      <c r="CD73" t="s">
        <v>348</v>
      </c>
      <c r="CE73">
        <v>4.66</v>
      </c>
      <c r="CF73" t="s">
        <v>348</v>
      </c>
      <c r="CG73">
        <v>3</v>
      </c>
      <c r="CH73">
        <v>8</v>
      </c>
      <c r="CI73">
        <v>4</v>
      </c>
    </row>
    <row r="74" spans="1:87" x14ac:dyDescent="0.25">
      <c r="A74">
        <v>73</v>
      </c>
      <c r="B74" s="51" t="s">
        <v>250</v>
      </c>
      <c r="C74">
        <v>44588</v>
      </c>
      <c r="D74">
        <v>18.87</v>
      </c>
      <c r="E74">
        <v>2.58</v>
      </c>
      <c r="F74">
        <v>53.33</v>
      </c>
      <c r="G74">
        <v>151.62</v>
      </c>
      <c r="H74">
        <v>22.46</v>
      </c>
      <c r="I74" t="s">
        <v>348</v>
      </c>
      <c r="J74">
        <v>31.11</v>
      </c>
      <c r="K74">
        <v>97.85</v>
      </c>
      <c r="L74">
        <v>111.34</v>
      </c>
      <c r="M74">
        <v>663.95</v>
      </c>
      <c r="N74">
        <v>114.96</v>
      </c>
      <c r="O74">
        <v>11.13</v>
      </c>
      <c r="P74">
        <v>3.9</v>
      </c>
      <c r="Q74">
        <v>7.46</v>
      </c>
      <c r="R74">
        <v>192.4</v>
      </c>
      <c r="S74">
        <v>13.15</v>
      </c>
      <c r="T74" t="s">
        <v>348</v>
      </c>
      <c r="U74">
        <v>172.86</v>
      </c>
      <c r="V74" t="s">
        <v>348</v>
      </c>
      <c r="W74" t="s">
        <v>348</v>
      </c>
      <c r="X74">
        <v>48.38</v>
      </c>
      <c r="Y74">
        <v>5.8</v>
      </c>
      <c r="Z74">
        <v>11.92</v>
      </c>
      <c r="AA74">
        <v>5.0199999999999996</v>
      </c>
      <c r="AB74">
        <v>7246.9</v>
      </c>
      <c r="AC74">
        <v>134.21</v>
      </c>
      <c r="AD74">
        <v>19.600000000000001</v>
      </c>
      <c r="AE74" t="s">
        <v>348</v>
      </c>
      <c r="AF74">
        <v>61.78</v>
      </c>
      <c r="AG74">
        <v>17.47</v>
      </c>
      <c r="AH74">
        <v>0.3</v>
      </c>
      <c r="AI74">
        <v>187.34</v>
      </c>
      <c r="AJ74">
        <v>1.67</v>
      </c>
      <c r="AK74">
        <v>82.01</v>
      </c>
      <c r="AL74" t="s">
        <v>348</v>
      </c>
      <c r="AM74">
        <v>22.16</v>
      </c>
      <c r="AN74" t="s">
        <v>348</v>
      </c>
      <c r="AO74">
        <v>4.32</v>
      </c>
      <c r="AP74">
        <v>389.96</v>
      </c>
      <c r="AQ74">
        <v>48.25</v>
      </c>
      <c r="AR74">
        <v>15.29</v>
      </c>
      <c r="AS74">
        <v>6.71</v>
      </c>
      <c r="AT74">
        <v>104.59</v>
      </c>
      <c r="AU74">
        <v>6.49</v>
      </c>
      <c r="AV74" t="s">
        <v>348</v>
      </c>
      <c r="AW74">
        <v>1.98</v>
      </c>
      <c r="AX74">
        <v>3.57</v>
      </c>
      <c r="AY74" t="s">
        <v>348</v>
      </c>
      <c r="AZ74" t="s">
        <v>348</v>
      </c>
      <c r="BA74">
        <v>4.84</v>
      </c>
      <c r="BB74" t="s">
        <v>348</v>
      </c>
      <c r="BC74">
        <v>8.26</v>
      </c>
      <c r="BD74">
        <v>1.1000000000000001</v>
      </c>
      <c r="BE74" t="s">
        <v>348</v>
      </c>
      <c r="BF74">
        <v>10.07</v>
      </c>
      <c r="BG74">
        <v>322.19</v>
      </c>
      <c r="BH74">
        <v>6.6</v>
      </c>
      <c r="BI74">
        <v>7.71</v>
      </c>
      <c r="BJ74">
        <v>4.78</v>
      </c>
      <c r="BK74">
        <v>11.7</v>
      </c>
      <c r="BL74">
        <v>6.44</v>
      </c>
      <c r="BM74" t="s">
        <v>348</v>
      </c>
      <c r="BN74">
        <v>40</v>
      </c>
      <c r="BO74" t="s">
        <v>348</v>
      </c>
      <c r="BP74">
        <v>42.19</v>
      </c>
      <c r="BQ74" t="s">
        <v>348</v>
      </c>
      <c r="BR74">
        <v>18.61</v>
      </c>
      <c r="BS74" t="s">
        <v>348</v>
      </c>
      <c r="BT74">
        <v>2.4700000000000002</v>
      </c>
      <c r="BU74">
        <v>5.94</v>
      </c>
      <c r="BV74" t="s">
        <v>348</v>
      </c>
      <c r="BW74">
        <v>1.37</v>
      </c>
      <c r="BX74">
        <v>50.47</v>
      </c>
      <c r="BY74">
        <v>51.34</v>
      </c>
      <c r="BZ74">
        <v>2.16</v>
      </c>
      <c r="CA74">
        <v>37.450000000000003</v>
      </c>
      <c r="CB74" t="s">
        <v>348</v>
      </c>
      <c r="CC74" t="s">
        <v>348</v>
      </c>
      <c r="CD74" t="s">
        <v>348</v>
      </c>
      <c r="CE74">
        <v>1.38</v>
      </c>
      <c r="CF74" t="s">
        <v>348</v>
      </c>
      <c r="CG74">
        <v>3</v>
      </c>
      <c r="CH74">
        <v>8</v>
      </c>
      <c r="CI74">
        <v>4</v>
      </c>
    </row>
    <row r="75" spans="1:87" x14ac:dyDescent="0.25">
      <c r="A75">
        <v>74</v>
      </c>
      <c r="B75" s="51" t="s">
        <v>251</v>
      </c>
      <c r="C75">
        <v>44588</v>
      </c>
      <c r="D75">
        <v>14.52</v>
      </c>
      <c r="E75">
        <v>2.82</v>
      </c>
      <c r="F75">
        <v>72.599999999999994</v>
      </c>
      <c r="G75">
        <v>52.88</v>
      </c>
      <c r="H75" t="s">
        <v>348</v>
      </c>
      <c r="I75" t="s">
        <v>348</v>
      </c>
      <c r="J75">
        <v>12.85</v>
      </c>
      <c r="K75">
        <v>151.19</v>
      </c>
      <c r="L75">
        <v>36.619999999999997</v>
      </c>
      <c r="M75">
        <v>1201.83</v>
      </c>
      <c r="N75">
        <v>185.47</v>
      </c>
      <c r="O75">
        <v>12.2</v>
      </c>
      <c r="P75">
        <v>6.98</v>
      </c>
      <c r="Q75">
        <v>13.04</v>
      </c>
      <c r="R75">
        <v>325.38</v>
      </c>
      <c r="S75">
        <v>18.22</v>
      </c>
      <c r="T75">
        <v>0.86</v>
      </c>
      <c r="U75">
        <v>52.09</v>
      </c>
      <c r="V75" t="s">
        <v>348</v>
      </c>
      <c r="W75">
        <v>0.45</v>
      </c>
      <c r="X75">
        <v>80.64</v>
      </c>
      <c r="Y75">
        <v>7.39</v>
      </c>
      <c r="Z75">
        <v>15.4</v>
      </c>
      <c r="AA75">
        <v>6.42</v>
      </c>
      <c r="AB75">
        <v>5715</v>
      </c>
      <c r="AC75">
        <v>64.33</v>
      </c>
      <c r="AD75">
        <v>38.15</v>
      </c>
      <c r="AE75" t="s">
        <v>348</v>
      </c>
      <c r="AF75">
        <v>24.92</v>
      </c>
      <c r="AG75">
        <v>7.62</v>
      </c>
      <c r="AH75" t="s">
        <v>348</v>
      </c>
      <c r="AI75">
        <v>217.82</v>
      </c>
      <c r="AJ75">
        <v>0.72</v>
      </c>
      <c r="AK75">
        <v>139.18</v>
      </c>
      <c r="AL75" t="s">
        <v>348</v>
      </c>
      <c r="AM75">
        <v>27.400000000000002</v>
      </c>
      <c r="AN75" t="s">
        <v>348</v>
      </c>
      <c r="AO75" t="s">
        <v>348</v>
      </c>
      <c r="AP75">
        <v>162.97</v>
      </c>
      <c r="AQ75">
        <v>24.68</v>
      </c>
      <c r="AR75">
        <v>27.64</v>
      </c>
      <c r="AS75">
        <v>6.82</v>
      </c>
      <c r="AT75">
        <v>27.99</v>
      </c>
      <c r="AU75">
        <v>8.8800000000000008</v>
      </c>
      <c r="AV75">
        <v>5.46</v>
      </c>
      <c r="AW75">
        <v>0.98</v>
      </c>
      <c r="AX75">
        <v>4.66</v>
      </c>
      <c r="AY75" t="s">
        <v>348</v>
      </c>
      <c r="AZ75" t="s">
        <v>348</v>
      </c>
      <c r="BA75">
        <v>11.79</v>
      </c>
      <c r="BB75" t="s">
        <v>348</v>
      </c>
      <c r="BC75">
        <v>19.91</v>
      </c>
      <c r="BD75" t="s">
        <v>348</v>
      </c>
      <c r="BE75">
        <v>3.36</v>
      </c>
      <c r="BF75">
        <v>11.56</v>
      </c>
      <c r="BG75">
        <v>21.2</v>
      </c>
      <c r="BH75" t="s">
        <v>348</v>
      </c>
      <c r="BI75">
        <v>9.09</v>
      </c>
      <c r="BJ75">
        <v>2.17</v>
      </c>
      <c r="BK75">
        <v>22.13</v>
      </c>
      <c r="BL75">
        <v>10.42</v>
      </c>
      <c r="BM75" t="s">
        <v>348</v>
      </c>
      <c r="BN75">
        <v>15.78</v>
      </c>
      <c r="BO75" t="s">
        <v>348</v>
      </c>
      <c r="BP75">
        <v>17.41</v>
      </c>
      <c r="BQ75">
        <v>1.47</v>
      </c>
      <c r="BR75">
        <v>14.02</v>
      </c>
      <c r="BS75" t="s">
        <v>348</v>
      </c>
      <c r="BT75" t="s">
        <v>348</v>
      </c>
      <c r="BU75">
        <v>3.09</v>
      </c>
      <c r="BV75" t="s">
        <v>348</v>
      </c>
      <c r="BW75">
        <v>4.84</v>
      </c>
      <c r="BX75">
        <v>108.91</v>
      </c>
      <c r="BY75">
        <v>84.31</v>
      </c>
      <c r="BZ75">
        <v>13.81</v>
      </c>
      <c r="CA75" t="s">
        <v>348</v>
      </c>
      <c r="CB75" t="s">
        <v>348</v>
      </c>
      <c r="CC75" t="s">
        <v>348</v>
      </c>
      <c r="CD75" t="s">
        <v>348</v>
      </c>
      <c r="CE75">
        <v>2.4700000000000002</v>
      </c>
      <c r="CF75" t="s">
        <v>348</v>
      </c>
      <c r="CG75">
        <v>3</v>
      </c>
      <c r="CH75">
        <v>8</v>
      </c>
      <c r="CI75">
        <v>4</v>
      </c>
    </row>
    <row r="76" spans="1:87" ht="14.4" thickBot="1" x14ac:dyDescent="0.3">
      <c r="A76">
        <v>75</v>
      </c>
      <c r="B76" s="51" t="s">
        <v>252</v>
      </c>
      <c r="C76">
        <v>44588</v>
      </c>
      <c r="D76">
        <v>28.67</v>
      </c>
      <c r="E76">
        <v>2.3199999999999998</v>
      </c>
      <c r="F76">
        <v>62.4</v>
      </c>
      <c r="G76">
        <v>58.19</v>
      </c>
      <c r="H76" t="s">
        <v>348</v>
      </c>
      <c r="I76" t="s">
        <v>348</v>
      </c>
      <c r="J76">
        <v>17.11</v>
      </c>
      <c r="K76">
        <v>114.39</v>
      </c>
      <c r="L76">
        <v>51.47</v>
      </c>
      <c r="M76">
        <v>814.06000000000006</v>
      </c>
      <c r="N76">
        <v>137.97999999999999</v>
      </c>
      <c r="O76">
        <v>11.02</v>
      </c>
      <c r="P76">
        <v>5.22</v>
      </c>
      <c r="Q76">
        <v>9.81</v>
      </c>
      <c r="R76">
        <v>265.97000000000003</v>
      </c>
      <c r="S76">
        <v>17.309999999999999</v>
      </c>
      <c r="T76" t="s">
        <v>348</v>
      </c>
      <c r="U76">
        <v>90.89</v>
      </c>
      <c r="V76" t="s">
        <v>348</v>
      </c>
      <c r="W76">
        <v>0.3</v>
      </c>
      <c r="X76">
        <v>66.459999999999994</v>
      </c>
      <c r="Y76">
        <v>4.2499999999999991</v>
      </c>
      <c r="Z76">
        <v>21.02</v>
      </c>
      <c r="AA76">
        <v>7.46</v>
      </c>
      <c r="AB76">
        <v>6317.47</v>
      </c>
      <c r="AC76">
        <v>94.48</v>
      </c>
      <c r="AD76">
        <v>25.88</v>
      </c>
      <c r="AE76" t="s">
        <v>348</v>
      </c>
      <c r="AF76">
        <v>42.97</v>
      </c>
      <c r="AG76">
        <v>11.03</v>
      </c>
      <c r="AH76" t="s">
        <v>348</v>
      </c>
      <c r="AI76">
        <v>170.57</v>
      </c>
      <c r="AJ76">
        <v>0.9</v>
      </c>
      <c r="AK76">
        <v>98.98</v>
      </c>
      <c r="AL76" t="s">
        <v>348</v>
      </c>
      <c r="AM76">
        <v>18.810000000000002</v>
      </c>
      <c r="AN76" t="s">
        <v>348</v>
      </c>
      <c r="AO76">
        <v>1.97</v>
      </c>
      <c r="AP76">
        <v>283.29000000000002</v>
      </c>
      <c r="AQ76">
        <v>23.619999999999997</v>
      </c>
      <c r="AR76">
        <v>18.309999999999999</v>
      </c>
      <c r="AS76">
        <v>5.18</v>
      </c>
      <c r="AT76">
        <v>50.68</v>
      </c>
      <c r="AU76">
        <v>7.76</v>
      </c>
      <c r="AV76">
        <v>5.03</v>
      </c>
      <c r="AW76">
        <v>0.93</v>
      </c>
      <c r="AX76">
        <v>3.78</v>
      </c>
      <c r="AY76" t="s">
        <v>348</v>
      </c>
      <c r="AZ76" t="s">
        <v>348</v>
      </c>
      <c r="BA76">
        <v>6.77</v>
      </c>
      <c r="BB76" t="s">
        <v>348</v>
      </c>
      <c r="BC76">
        <v>12.07</v>
      </c>
      <c r="BD76" t="s">
        <v>348</v>
      </c>
      <c r="BE76">
        <v>4.67</v>
      </c>
      <c r="BF76">
        <v>8.14</v>
      </c>
      <c r="BG76">
        <v>70.19</v>
      </c>
      <c r="BH76" t="s">
        <v>348</v>
      </c>
      <c r="BI76" t="s">
        <v>348</v>
      </c>
      <c r="BJ76">
        <v>2.98</v>
      </c>
      <c r="BK76">
        <v>15.12</v>
      </c>
      <c r="BL76">
        <v>8.07</v>
      </c>
      <c r="BM76" t="s">
        <v>348</v>
      </c>
      <c r="BN76">
        <v>16.420000000000002</v>
      </c>
      <c r="BO76" t="s">
        <v>348</v>
      </c>
      <c r="BP76" s="26">
        <v>20.59</v>
      </c>
      <c r="BQ76" s="26">
        <v>1.1100000000000001</v>
      </c>
      <c r="BR76" s="26">
        <v>12.92</v>
      </c>
      <c r="BS76" s="26">
        <v>0.28999999999999998</v>
      </c>
      <c r="BT76" s="26">
        <v>1.79</v>
      </c>
      <c r="BU76" s="26">
        <v>2.2799999999999998</v>
      </c>
      <c r="BV76" s="26" t="s">
        <v>348</v>
      </c>
      <c r="BW76" s="26">
        <v>3.26</v>
      </c>
      <c r="BX76" s="26">
        <v>79.88</v>
      </c>
      <c r="BY76" s="26">
        <v>57.75</v>
      </c>
      <c r="BZ76" s="26">
        <v>3.4000000000000004</v>
      </c>
      <c r="CA76" s="26">
        <v>69.899999999999991</v>
      </c>
      <c r="CB76" s="26" t="s">
        <v>348</v>
      </c>
      <c r="CC76" s="26" t="s">
        <v>348</v>
      </c>
      <c r="CD76" t="s">
        <v>348</v>
      </c>
      <c r="CE76">
        <v>1.66</v>
      </c>
      <c r="CF76" t="s">
        <v>348</v>
      </c>
      <c r="CG76">
        <v>3</v>
      </c>
      <c r="CH76">
        <v>8</v>
      </c>
      <c r="CI76">
        <v>4</v>
      </c>
    </row>
    <row r="77" spans="1:87" x14ac:dyDescent="0.25">
      <c r="A77">
        <v>76</v>
      </c>
      <c r="B77" s="51" t="s">
        <v>403</v>
      </c>
      <c r="C77">
        <v>44614.40625</v>
      </c>
      <c r="D77" t="s">
        <v>348</v>
      </c>
      <c r="E77" t="s">
        <v>348</v>
      </c>
      <c r="F77">
        <v>0.41</v>
      </c>
      <c r="G77">
        <v>12.96</v>
      </c>
      <c r="H77">
        <v>38.07</v>
      </c>
      <c r="I77">
        <v>38.25</v>
      </c>
      <c r="J77">
        <v>0.77</v>
      </c>
      <c r="K77" t="s">
        <v>348</v>
      </c>
      <c r="L77">
        <v>39.06</v>
      </c>
      <c r="M77">
        <v>723.32</v>
      </c>
      <c r="N77">
        <v>627.04</v>
      </c>
      <c r="O77">
        <v>82.7</v>
      </c>
      <c r="P77" t="s">
        <v>348</v>
      </c>
      <c r="Q77" t="s">
        <v>348</v>
      </c>
      <c r="R77">
        <v>27.68</v>
      </c>
      <c r="S77" t="s">
        <v>348</v>
      </c>
      <c r="T77" t="s">
        <v>348</v>
      </c>
      <c r="U77">
        <v>241.76</v>
      </c>
      <c r="V77" t="s">
        <v>348</v>
      </c>
      <c r="W77" t="s">
        <v>348</v>
      </c>
      <c r="X77" t="s">
        <v>348</v>
      </c>
      <c r="Y77" t="s">
        <v>348</v>
      </c>
      <c r="Z77">
        <v>5.1099999999999994</v>
      </c>
      <c r="AA77" t="s">
        <v>348</v>
      </c>
      <c r="AB77">
        <v>0.43999999999999995</v>
      </c>
      <c r="AC77" t="s">
        <v>348</v>
      </c>
      <c r="AD77" t="s">
        <v>348</v>
      </c>
      <c r="AE77" t="s">
        <v>348</v>
      </c>
      <c r="AF77">
        <v>6.5</v>
      </c>
      <c r="AG77" t="s">
        <v>348</v>
      </c>
      <c r="AH77" t="s">
        <v>348</v>
      </c>
      <c r="AI77">
        <v>101.16</v>
      </c>
      <c r="AJ77" t="s">
        <v>348</v>
      </c>
      <c r="AK77">
        <v>57.21</v>
      </c>
      <c r="AL77" t="s">
        <v>348</v>
      </c>
      <c r="AM77">
        <v>4.54</v>
      </c>
      <c r="AN77" t="s">
        <v>348</v>
      </c>
      <c r="AO77" t="s">
        <v>348</v>
      </c>
      <c r="AP77">
        <v>595.05999999999995</v>
      </c>
      <c r="AQ77">
        <v>3.43</v>
      </c>
      <c r="AR77" t="s">
        <v>348</v>
      </c>
      <c r="AS77" t="s">
        <v>348</v>
      </c>
      <c r="AT77">
        <v>36.43</v>
      </c>
      <c r="AU77" t="s">
        <v>348</v>
      </c>
      <c r="AV77" t="s">
        <v>348</v>
      </c>
      <c r="AW77">
        <v>6.6</v>
      </c>
      <c r="AX77" t="s">
        <v>348</v>
      </c>
      <c r="AY77" t="s">
        <v>348</v>
      </c>
      <c r="AZ77" t="s">
        <v>348</v>
      </c>
      <c r="BA77" t="s">
        <v>348</v>
      </c>
      <c r="BB77" t="s">
        <v>348</v>
      </c>
      <c r="BC77">
        <v>1.35</v>
      </c>
      <c r="BD77" t="s">
        <v>348</v>
      </c>
      <c r="BE77" t="s">
        <v>348</v>
      </c>
      <c r="BF77" t="s">
        <v>4</v>
      </c>
      <c r="BG77" t="s">
        <v>348</v>
      </c>
      <c r="BH77" t="s">
        <v>348</v>
      </c>
      <c r="BI77" t="s">
        <v>348</v>
      </c>
      <c r="BJ77" t="s">
        <v>348</v>
      </c>
      <c r="BK77" t="s">
        <v>348</v>
      </c>
      <c r="BL77" t="s">
        <v>348</v>
      </c>
      <c r="BM77" t="s">
        <v>348</v>
      </c>
      <c r="BN77" t="s">
        <v>348</v>
      </c>
      <c r="BO77">
        <v>0.76</v>
      </c>
      <c r="BP77">
        <v>1.1299999999999999</v>
      </c>
      <c r="BQ77" t="s">
        <v>348</v>
      </c>
      <c r="BR77" t="s">
        <v>348</v>
      </c>
      <c r="BS77" t="s">
        <v>348</v>
      </c>
      <c r="BT77" t="s">
        <v>348</v>
      </c>
      <c r="BU77">
        <v>44.87</v>
      </c>
      <c r="BV77" t="s">
        <v>348</v>
      </c>
      <c r="BW77" t="s">
        <v>348</v>
      </c>
      <c r="BX77">
        <v>431.03</v>
      </c>
      <c r="BY77" t="s">
        <v>348</v>
      </c>
      <c r="BZ77">
        <v>21.39</v>
      </c>
      <c r="CA77">
        <v>132.93</v>
      </c>
      <c r="CB77">
        <v>0.94</v>
      </c>
      <c r="CC77">
        <v>16.37</v>
      </c>
      <c r="CD77" t="s">
        <v>348</v>
      </c>
      <c r="CE77" t="s">
        <v>348</v>
      </c>
      <c r="CF77" t="s">
        <v>348</v>
      </c>
      <c r="CG77">
        <v>1</v>
      </c>
      <c r="CH77">
        <v>2</v>
      </c>
      <c r="CI77">
        <v>2</v>
      </c>
    </row>
    <row r="78" spans="1:87" x14ac:dyDescent="0.25">
      <c r="A78">
        <v>77</v>
      </c>
      <c r="B78" s="51" t="s">
        <v>404</v>
      </c>
      <c r="C78">
        <v>44615.385416666664</v>
      </c>
      <c r="D78" t="s">
        <v>348</v>
      </c>
      <c r="E78" t="s">
        <v>348</v>
      </c>
      <c r="F78" t="s">
        <v>348</v>
      </c>
      <c r="G78">
        <v>12.61</v>
      </c>
      <c r="H78">
        <v>37.619999999999997</v>
      </c>
      <c r="I78">
        <v>46.48</v>
      </c>
      <c r="J78">
        <v>0.65</v>
      </c>
      <c r="K78" t="s">
        <v>348</v>
      </c>
      <c r="L78">
        <v>36.549999999999997</v>
      </c>
      <c r="M78">
        <v>376.86</v>
      </c>
      <c r="N78">
        <v>612</v>
      </c>
      <c r="O78">
        <v>92.56</v>
      </c>
      <c r="P78" t="s">
        <v>348</v>
      </c>
      <c r="Q78" t="s">
        <v>348</v>
      </c>
      <c r="R78">
        <v>28.82</v>
      </c>
      <c r="S78" t="s">
        <v>348</v>
      </c>
      <c r="T78" t="s">
        <v>348</v>
      </c>
      <c r="U78">
        <v>262.31</v>
      </c>
      <c r="V78" t="s">
        <v>348</v>
      </c>
      <c r="W78" t="s">
        <v>348</v>
      </c>
      <c r="X78" t="s">
        <v>348</v>
      </c>
      <c r="Y78" t="s">
        <v>348</v>
      </c>
      <c r="Z78">
        <v>7.64</v>
      </c>
      <c r="AA78" t="s">
        <v>348</v>
      </c>
      <c r="AB78">
        <v>1.5100000000000002</v>
      </c>
      <c r="AC78" t="s">
        <v>348</v>
      </c>
      <c r="AD78" t="s">
        <v>348</v>
      </c>
      <c r="AE78" t="s">
        <v>348</v>
      </c>
      <c r="AF78">
        <v>7.03</v>
      </c>
      <c r="AG78" t="s">
        <v>348</v>
      </c>
      <c r="AH78" t="s">
        <v>348</v>
      </c>
      <c r="AI78">
        <v>100.69</v>
      </c>
      <c r="AJ78" t="s">
        <v>348</v>
      </c>
      <c r="AK78">
        <v>55.56</v>
      </c>
      <c r="AL78" t="s">
        <v>348</v>
      </c>
      <c r="AM78">
        <v>4.6499999999999995</v>
      </c>
      <c r="AN78" t="s">
        <v>348</v>
      </c>
      <c r="AO78" t="s">
        <v>348</v>
      </c>
      <c r="AP78">
        <v>561.17999999999995</v>
      </c>
      <c r="AQ78">
        <v>2.64</v>
      </c>
      <c r="AR78" t="s">
        <v>348</v>
      </c>
      <c r="AS78" t="s">
        <v>348</v>
      </c>
      <c r="AT78">
        <v>52.54</v>
      </c>
      <c r="AU78" t="s">
        <v>348</v>
      </c>
      <c r="AV78" t="s">
        <v>348</v>
      </c>
      <c r="AW78">
        <v>9.6</v>
      </c>
      <c r="AX78" t="s">
        <v>348</v>
      </c>
      <c r="AY78">
        <v>0.5</v>
      </c>
      <c r="AZ78" t="s">
        <v>348</v>
      </c>
      <c r="BA78" t="s">
        <v>348</v>
      </c>
      <c r="BB78" t="s">
        <v>348</v>
      </c>
      <c r="BC78">
        <v>1.0900000000000001</v>
      </c>
      <c r="BD78" t="s">
        <v>348</v>
      </c>
      <c r="BE78" t="s">
        <v>348</v>
      </c>
      <c r="BF78" t="s">
        <v>4</v>
      </c>
      <c r="BG78" t="s">
        <v>348</v>
      </c>
      <c r="BH78" t="s">
        <v>348</v>
      </c>
      <c r="BI78" t="s">
        <v>348</v>
      </c>
      <c r="BJ78" t="s">
        <v>348</v>
      </c>
      <c r="BK78" t="s">
        <v>348</v>
      </c>
      <c r="BL78" t="s">
        <v>348</v>
      </c>
      <c r="BM78" t="s">
        <v>348</v>
      </c>
      <c r="BN78" t="s">
        <v>348</v>
      </c>
      <c r="BO78">
        <v>0.63</v>
      </c>
      <c r="BP78">
        <v>1.27</v>
      </c>
      <c r="BQ78" t="s">
        <v>348</v>
      </c>
      <c r="BR78" t="s">
        <v>348</v>
      </c>
      <c r="BS78" t="s">
        <v>348</v>
      </c>
      <c r="BT78" t="s">
        <v>348</v>
      </c>
      <c r="BU78">
        <v>43.62</v>
      </c>
      <c r="BV78" t="s">
        <v>348</v>
      </c>
      <c r="BW78" t="s">
        <v>348</v>
      </c>
      <c r="BX78">
        <v>459.05</v>
      </c>
      <c r="BY78" t="s">
        <v>348</v>
      </c>
      <c r="BZ78">
        <v>20.6</v>
      </c>
      <c r="CA78">
        <v>95.820000000000007</v>
      </c>
      <c r="CB78">
        <v>0.78</v>
      </c>
      <c r="CC78">
        <v>14.98</v>
      </c>
      <c r="CD78" t="s">
        <v>348</v>
      </c>
      <c r="CE78" t="s">
        <v>348</v>
      </c>
      <c r="CF78" t="s">
        <v>348</v>
      </c>
      <c r="CG78">
        <v>1</v>
      </c>
      <c r="CH78">
        <v>2</v>
      </c>
      <c r="CI78">
        <v>2</v>
      </c>
    </row>
    <row r="79" spans="1:87" x14ac:dyDescent="0.25">
      <c r="A79">
        <v>78</v>
      </c>
      <c r="B79" s="51" t="s">
        <v>405</v>
      </c>
      <c r="C79">
        <v>44616.586805555555</v>
      </c>
      <c r="D79" t="s">
        <v>348</v>
      </c>
      <c r="E79" t="s">
        <v>348</v>
      </c>
      <c r="F79">
        <v>0.27</v>
      </c>
      <c r="G79">
        <v>11.78</v>
      </c>
      <c r="H79">
        <v>29.72</v>
      </c>
      <c r="I79">
        <v>36.67</v>
      </c>
      <c r="J79">
        <v>0.56999999999999995</v>
      </c>
      <c r="K79" t="s">
        <v>348</v>
      </c>
      <c r="L79">
        <v>38.409999999999997</v>
      </c>
      <c r="M79">
        <v>179.75</v>
      </c>
      <c r="N79">
        <v>556.65</v>
      </c>
      <c r="O79">
        <v>75.900000000000006</v>
      </c>
      <c r="P79" t="s">
        <v>348</v>
      </c>
      <c r="Q79" t="s">
        <v>348</v>
      </c>
      <c r="R79">
        <v>28.38</v>
      </c>
      <c r="S79" t="s">
        <v>348</v>
      </c>
      <c r="T79" t="s">
        <v>348</v>
      </c>
      <c r="U79">
        <v>256.35000000000002</v>
      </c>
      <c r="V79" t="s">
        <v>348</v>
      </c>
      <c r="W79" t="s">
        <v>348</v>
      </c>
      <c r="X79" t="s">
        <v>348</v>
      </c>
      <c r="Y79" t="s">
        <v>348</v>
      </c>
      <c r="Z79">
        <v>6.56</v>
      </c>
      <c r="AA79" t="s">
        <v>348</v>
      </c>
      <c r="AB79">
        <v>0.49000000000000021</v>
      </c>
      <c r="AC79" t="s">
        <v>348</v>
      </c>
      <c r="AD79" t="s">
        <v>348</v>
      </c>
      <c r="AE79" t="s">
        <v>348</v>
      </c>
      <c r="AF79">
        <v>6.28</v>
      </c>
      <c r="AG79" t="s">
        <v>348</v>
      </c>
      <c r="AH79" t="s">
        <v>348</v>
      </c>
      <c r="AI79">
        <v>97.27</v>
      </c>
      <c r="AJ79" t="s">
        <v>348</v>
      </c>
      <c r="AK79">
        <v>48.81</v>
      </c>
      <c r="AL79" t="s">
        <v>348</v>
      </c>
      <c r="AM79">
        <v>4.33</v>
      </c>
      <c r="AN79" t="s">
        <v>348</v>
      </c>
      <c r="AO79" t="s">
        <v>348</v>
      </c>
      <c r="AP79">
        <v>536.73</v>
      </c>
      <c r="AQ79">
        <v>2.5099999999999998</v>
      </c>
      <c r="AR79" t="s">
        <v>348</v>
      </c>
      <c r="AS79" t="s">
        <v>348</v>
      </c>
      <c r="AT79">
        <v>38.08</v>
      </c>
      <c r="AU79" t="s">
        <v>348</v>
      </c>
      <c r="AV79" t="s">
        <v>348</v>
      </c>
      <c r="AW79">
        <v>7.13</v>
      </c>
      <c r="AX79" t="s">
        <v>348</v>
      </c>
      <c r="AY79" t="s">
        <v>348</v>
      </c>
      <c r="AZ79" t="s">
        <v>348</v>
      </c>
      <c r="BA79" t="s">
        <v>348</v>
      </c>
      <c r="BB79" t="s">
        <v>348</v>
      </c>
      <c r="BC79">
        <v>1.17</v>
      </c>
      <c r="BD79" t="s">
        <v>348</v>
      </c>
      <c r="BE79" t="s">
        <v>348</v>
      </c>
      <c r="BF79" t="s">
        <v>4</v>
      </c>
      <c r="BG79" t="s">
        <v>348</v>
      </c>
      <c r="BH79" t="s">
        <v>348</v>
      </c>
      <c r="BI79" t="s">
        <v>348</v>
      </c>
      <c r="BJ79" t="s">
        <v>348</v>
      </c>
      <c r="BK79" t="s">
        <v>348</v>
      </c>
      <c r="BL79" t="s">
        <v>348</v>
      </c>
      <c r="BM79" t="s">
        <v>348</v>
      </c>
      <c r="BN79" t="s">
        <v>348</v>
      </c>
      <c r="BO79">
        <v>0.76</v>
      </c>
      <c r="BP79">
        <v>1.23</v>
      </c>
      <c r="BQ79" t="s">
        <v>348</v>
      </c>
      <c r="BR79" t="s">
        <v>348</v>
      </c>
      <c r="BS79" t="s">
        <v>348</v>
      </c>
      <c r="BT79" t="s">
        <v>348</v>
      </c>
      <c r="BU79">
        <v>44.67</v>
      </c>
      <c r="BV79" t="s">
        <v>348</v>
      </c>
      <c r="BW79" t="s">
        <v>348</v>
      </c>
      <c r="BX79">
        <v>15.55</v>
      </c>
      <c r="BY79" t="s">
        <v>348</v>
      </c>
      <c r="BZ79">
        <v>33.979999999999997</v>
      </c>
      <c r="CA79">
        <v>189.14000000000001</v>
      </c>
      <c r="CB79">
        <v>2.44</v>
      </c>
      <c r="CC79">
        <v>29.98</v>
      </c>
      <c r="CD79" t="s">
        <v>348</v>
      </c>
      <c r="CE79" t="s">
        <v>348</v>
      </c>
      <c r="CF79" t="s">
        <v>348</v>
      </c>
      <c r="CG79">
        <v>1</v>
      </c>
      <c r="CH79">
        <v>2</v>
      </c>
      <c r="CI79">
        <v>2</v>
      </c>
    </row>
    <row r="80" spans="1:87" x14ac:dyDescent="0.25">
      <c r="A80">
        <v>79</v>
      </c>
      <c r="B80" s="51" t="s">
        <v>406</v>
      </c>
      <c r="C80">
        <v>44616.930555555555</v>
      </c>
      <c r="D80" t="s">
        <v>348</v>
      </c>
      <c r="E80" t="s">
        <v>348</v>
      </c>
      <c r="F80">
        <v>0.28000000000000003</v>
      </c>
      <c r="G80">
        <v>11.39</v>
      </c>
      <c r="H80">
        <v>32.39</v>
      </c>
      <c r="I80">
        <v>39.770000000000003</v>
      </c>
      <c r="J80">
        <v>0.59</v>
      </c>
      <c r="K80" t="s">
        <v>348</v>
      </c>
      <c r="L80">
        <v>38.24</v>
      </c>
      <c r="M80">
        <v>160.16000000000003</v>
      </c>
      <c r="N80">
        <v>560.32000000000005</v>
      </c>
      <c r="O80">
        <v>72.61</v>
      </c>
      <c r="P80" t="s">
        <v>348</v>
      </c>
      <c r="Q80" t="s">
        <v>348</v>
      </c>
      <c r="R80">
        <v>26.52</v>
      </c>
      <c r="S80" t="s">
        <v>348</v>
      </c>
      <c r="T80" t="s">
        <v>348</v>
      </c>
      <c r="U80">
        <v>218.43</v>
      </c>
      <c r="V80" t="s">
        <v>348</v>
      </c>
      <c r="W80" t="s">
        <v>348</v>
      </c>
      <c r="X80" t="s">
        <v>348</v>
      </c>
      <c r="Y80" t="s">
        <v>348</v>
      </c>
      <c r="Z80">
        <v>6.75</v>
      </c>
      <c r="AA80" t="s">
        <v>348</v>
      </c>
      <c r="AB80">
        <v>0.60000000000000009</v>
      </c>
      <c r="AC80" t="s">
        <v>348</v>
      </c>
      <c r="AD80" t="s">
        <v>348</v>
      </c>
      <c r="AE80" t="s">
        <v>348</v>
      </c>
      <c r="AF80">
        <v>6.21</v>
      </c>
      <c r="AG80" t="s">
        <v>348</v>
      </c>
      <c r="AH80" t="s">
        <v>348</v>
      </c>
      <c r="AI80">
        <v>95.01</v>
      </c>
      <c r="AJ80" t="s">
        <v>348</v>
      </c>
      <c r="AK80">
        <v>49.35</v>
      </c>
      <c r="AL80" t="s">
        <v>348</v>
      </c>
      <c r="AM80">
        <v>3.87</v>
      </c>
      <c r="AN80" t="s">
        <v>348</v>
      </c>
      <c r="AO80" t="s">
        <v>348</v>
      </c>
      <c r="AP80">
        <v>528.78</v>
      </c>
      <c r="AQ80">
        <v>2.34</v>
      </c>
      <c r="AR80" t="s">
        <v>348</v>
      </c>
      <c r="AS80" t="s">
        <v>348</v>
      </c>
      <c r="AT80">
        <v>38.67</v>
      </c>
      <c r="AU80" t="s">
        <v>348</v>
      </c>
      <c r="AV80" t="s">
        <v>348</v>
      </c>
      <c r="AW80">
        <v>8.2200000000000006</v>
      </c>
      <c r="AX80" t="s">
        <v>348</v>
      </c>
      <c r="AY80" t="s">
        <v>348</v>
      </c>
      <c r="AZ80" t="s">
        <v>348</v>
      </c>
      <c r="BA80" t="s">
        <v>348</v>
      </c>
      <c r="BB80" t="s">
        <v>348</v>
      </c>
      <c r="BC80">
        <v>1.1599999999999999</v>
      </c>
      <c r="BD80" t="s">
        <v>348</v>
      </c>
      <c r="BE80" t="s">
        <v>348</v>
      </c>
      <c r="BF80" t="s">
        <v>4</v>
      </c>
      <c r="BG80" t="s">
        <v>348</v>
      </c>
      <c r="BH80" t="s">
        <v>348</v>
      </c>
      <c r="BI80" t="s">
        <v>348</v>
      </c>
      <c r="BJ80" t="s">
        <v>348</v>
      </c>
      <c r="BK80" t="s">
        <v>348</v>
      </c>
      <c r="BL80" t="s">
        <v>348</v>
      </c>
      <c r="BM80" t="s">
        <v>348</v>
      </c>
      <c r="BN80" t="s">
        <v>348</v>
      </c>
      <c r="BO80">
        <v>0.65</v>
      </c>
      <c r="BP80">
        <v>1.24</v>
      </c>
      <c r="BQ80" t="s">
        <v>348</v>
      </c>
      <c r="BR80" t="s">
        <v>348</v>
      </c>
      <c r="BS80" t="s">
        <v>348</v>
      </c>
      <c r="BT80" t="s">
        <v>348</v>
      </c>
      <c r="BU80">
        <v>46.53</v>
      </c>
      <c r="BV80" t="s">
        <v>348</v>
      </c>
      <c r="BW80" t="s">
        <v>348</v>
      </c>
      <c r="BX80">
        <v>496.3</v>
      </c>
      <c r="BY80" t="s">
        <v>348</v>
      </c>
      <c r="BZ80">
        <v>30.18</v>
      </c>
      <c r="CA80">
        <v>122.89000000000001</v>
      </c>
      <c r="CB80">
        <v>1.0899999999999999</v>
      </c>
      <c r="CC80">
        <v>23.860000000000003</v>
      </c>
      <c r="CD80" t="s">
        <v>348</v>
      </c>
      <c r="CE80" t="s">
        <v>348</v>
      </c>
      <c r="CF80" t="s">
        <v>348</v>
      </c>
      <c r="CG80">
        <v>1</v>
      </c>
      <c r="CH80">
        <v>2</v>
      </c>
      <c r="CI80">
        <v>2</v>
      </c>
    </row>
    <row r="81" spans="1:87" x14ac:dyDescent="0.25">
      <c r="A81">
        <v>80</v>
      </c>
      <c r="B81" s="51" t="s">
        <v>407</v>
      </c>
      <c r="C81">
        <v>44617.534722222219</v>
      </c>
      <c r="D81" t="s">
        <v>348</v>
      </c>
      <c r="E81" t="s">
        <v>348</v>
      </c>
      <c r="F81" t="s">
        <v>348</v>
      </c>
      <c r="G81">
        <v>11.29</v>
      </c>
      <c r="H81">
        <v>33.76</v>
      </c>
      <c r="I81">
        <v>39.44</v>
      </c>
      <c r="J81">
        <v>0.59</v>
      </c>
      <c r="K81" t="s">
        <v>348</v>
      </c>
      <c r="L81">
        <v>32.74</v>
      </c>
      <c r="M81">
        <v>207.5</v>
      </c>
      <c r="N81">
        <v>546.11</v>
      </c>
      <c r="O81">
        <v>81.42</v>
      </c>
      <c r="P81" t="s">
        <v>348</v>
      </c>
      <c r="Q81" t="s">
        <v>348</v>
      </c>
      <c r="R81">
        <v>27.9</v>
      </c>
      <c r="S81" t="s">
        <v>348</v>
      </c>
      <c r="T81" t="s">
        <v>348</v>
      </c>
      <c r="U81">
        <v>225.46</v>
      </c>
      <c r="V81" t="s">
        <v>348</v>
      </c>
      <c r="W81" t="s">
        <v>348</v>
      </c>
      <c r="X81" t="s">
        <v>348</v>
      </c>
      <c r="Y81" t="s">
        <v>348</v>
      </c>
      <c r="Z81">
        <v>6.39</v>
      </c>
      <c r="AA81" t="s">
        <v>348</v>
      </c>
      <c r="AB81" t="s">
        <v>348</v>
      </c>
      <c r="AC81" t="s">
        <v>348</v>
      </c>
      <c r="AD81" t="s">
        <v>348</v>
      </c>
      <c r="AE81" t="s">
        <v>348</v>
      </c>
      <c r="AF81">
        <v>6.44</v>
      </c>
      <c r="AG81" t="s">
        <v>348</v>
      </c>
      <c r="AH81" t="s">
        <v>348</v>
      </c>
      <c r="AI81">
        <v>98.25</v>
      </c>
      <c r="AJ81" t="s">
        <v>348</v>
      </c>
      <c r="AK81">
        <v>46.26</v>
      </c>
      <c r="AL81" t="s">
        <v>348</v>
      </c>
      <c r="AM81">
        <v>3.95</v>
      </c>
      <c r="AN81" t="s">
        <v>348</v>
      </c>
      <c r="AO81" t="s">
        <v>348</v>
      </c>
      <c r="AP81">
        <v>511.2</v>
      </c>
      <c r="AQ81">
        <v>2.9899999999999998</v>
      </c>
      <c r="AR81" t="s">
        <v>348</v>
      </c>
      <c r="AS81" t="s">
        <v>348</v>
      </c>
      <c r="AT81">
        <v>37.57</v>
      </c>
      <c r="AU81" t="s">
        <v>348</v>
      </c>
      <c r="AV81" t="s">
        <v>348</v>
      </c>
      <c r="AW81">
        <v>7.96</v>
      </c>
      <c r="AX81" t="s">
        <v>348</v>
      </c>
      <c r="AY81" t="s">
        <v>348</v>
      </c>
      <c r="AZ81" t="s">
        <v>348</v>
      </c>
      <c r="BA81" t="s">
        <v>348</v>
      </c>
      <c r="BB81" t="s">
        <v>348</v>
      </c>
      <c r="BC81">
        <v>1.24</v>
      </c>
      <c r="BD81" t="s">
        <v>348</v>
      </c>
      <c r="BE81" t="s">
        <v>348</v>
      </c>
      <c r="BF81" t="s">
        <v>4</v>
      </c>
      <c r="BG81" t="s">
        <v>348</v>
      </c>
      <c r="BH81" t="s">
        <v>348</v>
      </c>
      <c r="BI81" t="s">
        <v>348</v>
      </c>
      <c r="BJ81" t="s">
        <v>348</v>
      </c>
      <c r="BK81" t="s">
        <v>348</v>
      </c>
      <c r="BL81" t="s">
        <v>348</v>
      </c>
      <c r="BM81" t="s">
        <v>348</v>
      </c>
      <c r="BN81" t="s">
        <v>348</v>
      </c>
      <c r="BO81">
        <v>0.56000000000000005</v>
      </c>
      <c r="BP81">
        <v>1.08</v>
      </c>
      <c r="BQ81" t="s">
        <v>348</v>
      </c>
      <c r="BR81" t="s">
        <v>348</v>
      </c>
      <c r="BS81" t="s">
        <v>348</v>
      </c>
      <c r="BT81" t="s">
        <v>348</v>
      </c>
      <c r="BU81">
        <v>44.02</v>
      </c>
      <c r="BV81" t="s">
        <v>348</v>
      </c>
      <c r="BW81" t="s">
        <v>348</v>
      </c>
      <c r="BX81">
        <v>571.69000000000005</v>
      </c>
      <c r="BY81" t="s">
        <v>348</v>
      </c>
      <c r="BZ81">
        <v>36.67</v>
      </c>
      <c r="CA81">
        <v>125.24000000000001</v>
      </c>
      <c r="CB81">
        <v>0.97</v>
      </c>
      <c r="CC81">
        <v>22.750000000000004</v>
      </c>
      <c r="CD81" t="s">
        <v>348</v>
      </c>
      <c r="CE81" t="s">
        <v>348</v>
      </c>
      <c r="CF81" t="s">
        <v>348</v>
      </c>
      <c r="CG81">
        <v>1</v>
      </c>
      <c r="CH81">
        <v>2</v>
      </c>
      <c r="CI81">
        <v>2</v>
      </c>
    </row>
    <row r="82" spans="1:87" x14ac:dyDescent="0.25">
      <c r="A82">
        <v>81</v>
      </c>
      <c r="B82" s="51" t="s">
        <v>408</v>
      </c>
      <c r="C82">
        <v>44619.618055555555</v>
      </c>
      <c r="D82" t="s">
        <v>348</v>
      </c>
      <c r="E82" t="s">
        <v>348</v>
      </c>
      <c r="F82" t="s">
        <v>348</v>
      </c>
      <c r="G82">
        <v>17.170000000000002</v>
      </c>
      <c r="H82">
        <v>54.9</v>
      </c>
      <c r="I82">
        <v>65.56</v>
      </c>
      <c r="J82">
        <v>0.71</v>
      </c>
      <c r="K82" t="s">
        <v>348</v>
      </c>
      <c r="L82">
        <v>56.77</v>
      </c>
      <c r="M82">
        <v>244.39</v>
      </c>
      <c r="N82">
        <v>904.5</v>
      </c>
      <c r="O82">
        <v>133.46</v>
      </c>
      <c r="P82" t="s">
        <v>348</v>
      </c>
      <c r="Q82" t="s">
        <v>348</v>
      </c>
      <c r="R82">
        <v>43.15</v>
      </c>
      <c r="S82" t="s">
        <v>348</v>
      </c>
      <c r="T82" t="s">
        <v>348</v>
      </c>
      <c r="U82">
        <v>383.01</v>
      </c>
      <c r="V82" t="s">
        <v>348</v>
      </c>
      <c r="W82" t="s">
        <v>348</v>
      </c>
      <c r="X82" t="s">
        <v>348</v>
      </c>
      <c r="Y82" t="s">
        <v>348</v>
      </c>
      <c r="Z82">
        <v>4.43</v>
      </c>
      <c r="AA82" t="s">
        <v>348</v>
      </c>
      <c r="AB82" t="s">
        <v>348</v>
      </c>
      <c r="AC82" t="s">
        <v>348</v>
      </c>
      <c r="AD82" t="s">
        <v>348</v>
      </c>
      <c r="AE82" t="s">
        <v>348</v>
      </c>
      <c r="AF82">
        <v>4.45</v>
      </c>
      <c r="AG82" t="s">
        <v>348</v>
      </c>
      <c r="AH82" t="s">
        <v>348</v>
      </c>
      <c r="AI82">
        <v>108.24</v>
      </c>
      <c r="AJ82" t="s">
        <v>348</v>
      </c>
      <c r="AK82">
        <v>79.64</v>
      </c>
      <c r="AL82" t="s">
        <v>348</v>
      </c>
      <c r="AM82">
        <v>6.05</v>
      </c>
      <c r="AN82" t="s">
        <v>348</v>
      </c>
      <c r="AO82" t="s">
        <v>348</v>
      </c>
      <c r="AP82">
        <v>808.66</v>
      </c>
      <c r="AQ82">
        <v>3.61</v>
      </c>
      <c r="AR82" t="s">
        <v>348</v>
      </c>
      <c r="AS82" t="s">
        <v>348</v>
      </c>
      <c r="AT82">
        <v>29.14</v>
      </c>
      <c r="AU82" t="s">
        <v>348</v>
      </c>
      <c r="AV82" t="s">
        <v>348</v>
      </c>
      <c r="AW82">
        <v>6.33</v>
      </c>
      <c r="AX82" t="s">
        <v>348</v>
      </c>
      <c r="AY82" t="s">
        <v>348</v>
      </c>
      <c r="AZ82" t="s">
        <v>348</v>
      </c>
      <c r="BA82" t="s">
        <v>348</v>
      </c>
      <c r="BB82" t="s">
        <v>348</v>
      </c>
      <c r="BC82">
        <v>1.29</v>
      </c>
      <c r="BD82" t="s">
        <v>348</v>
      </c>
      <c r="BE82" t="s">
        <v>348</v>
      </c>
      <c r="BF82" t="s">
        <v>4</v>
      </c>
      <c r="BG82" t="s">
        <v>348</v>
      </c>
      <c r="BH82" t="s">
        <v>348</v>
      </c>
      <c r="BI82" t="s">
        <v>348</v>
      </c>
      <c r="BJ82" t="s">
        <v>348</v>
      </c>
      <c r="BK82" t="s">
        <v>348</v>
      </c>
      <c r="BL82" t="s">
        <v>348</v>
      </c>
      <c r="BM82" t="s">
        <v>348</v>
      </c>
      <c r="BN82" t="s">
        <v>348</v>
      </c>
      <c r="BO82">
        <v>1.26</v>
      </c>
      <c r="BP82">
        <v>1.1599999999999999</v>
      </c>
      <c r="BQ82" t="s">
        <v>348</v>
      </c>
      <c r="BR82" t="s">
        <v>348</v>
      </c>
      <c r="BS82" t="s">
        <v>348</v>
      </c>
      <c r="BT82" t="s">
        <v>348</v>
      </c>
      <c r="BU82">
        <v>37.89</v>
      </c>
      <c r="BV82" t="s">
        <v>348</v>
      </c>
      <c r="BW82" t="s">
        <v>348</v>
      </c>
      <c r="BX82">
        <v>9.93</v>
      </c>
      <c r="BY82" t="s">
        <v>348</v>
      </c>
      <c r="BZ82">
        <v>21.7</v>
      </c>
      <c r="CA82">
        <v>189.97</v>
      </c>
      <c r="CB82">
        <v>1.19</v>
      </c>
      <c r="CC82">
        <v>24.430000000000003</v>
      </c>
      <c r="CD82" t="s">
        <v>348</v>
      </c>
      <c r="CE82" t="s">
        <v>348</v>
      </c>
      <c r="CF82" t="s">
        <v>348</v>
      </c>
      <c r="CG82">
        <v>1</v>
      </c>
      <c r="CH82">
        <v>2</v>
      </c>
      <c r="CI82">
        <v>2</v>
      </c>
    </row>
    <row r="83" spans="1:87" x14ac:dyDescent="0.25">
      <c r="A83">
        <v>82</v>
      </c>
      <c r="B83" s="51" t="s">
        <v>411</v>
      </c>
      <c r="C83">
        <v>44619</v>
      </c>
      <c r="D83" t="s">
        <v>348</v>
      </c>
      <c r="E83">
        <v>2.97</v>
      </c>
      <c r="F83">
        <v>5.86</v>
      </c>
      <c r="G83">
        <v>23.62</v>
      </c>
      <c r="H83" t="s">
        <v>348</v>
      </c>
      <c r="I83" t="s">
        <v>348</v>
      </c>
      <c r="J83">
        <v>22.78</v>
      </c>
      <c r="K83">
        <v>321.27999999999997</v>
      </c>
      <c r="L83">
        <v>63.02</v>
      </c>
      <c r="M83">
        <v>1017.09</v>
      </c>
      <c r="N83">
        <v>390.25</v>
      </c>
      <c r="O83">
        <v>17.690000000000001</v>
      </c>
      <c r="P83">
        <v>12.33</v>
      </c>
      <c r="Q83">
        <v>18.22</v>
      </c>
      <c r="R83">
        <v>832.23</v>
      </c>
      <c r="S83">
        <v>26.08</v>
      </c>
      <c r="T83" t="s">
        <v>348</v>
      </c>
      <c r="U83">
        <v>37.369999999999997</v>
      </c>
      <c r="V83" t="s">
        <v>348</v>
      </c>
      <c r="W83">
        <v>0.48</v>
      </c>
      <c r="X83">
        <v>111.85</v>
      </c>
      <c r="Y83" t="s">
        <v>348</v>
      </c>
      <c r="Z83">
        <v>4.46</v>
      </c>
      <c r="AA83">
        <v>8.94</v>
      </c>
      <c r="AB83">
        <v>1439.7</v>
      </c>
      <c r="AC83">
        <v>180.29</v>
      </c>
      <c r="AD83">
        <v>45.33</v>
      </c>
      <c r="AE83" t="s">
        <v>348</v>
      </c>
      <c r="AF83">
        <v>26.65</v>
      </c>
      <c r="AG83">
        <v>13.98</v>
      </c>
      <c r="AH83" t="s">
        <v>348</v>
      </c>
      <c r="AI83">
        <v>139.51</v>
      </c>
      <c r="AJ83">
        <v>4.24</v>
      </c>
      <c r="AK83">
        <v>298.47000000000003</v>
      </c>
      <c r="AL83" t="s">
        <v>348</v>
      </c>
      <c r="AM83">
        <v>147.13</v>
      </c>
      <c r="AN83" t="s">
        <v>348</v>
      </c>
      <c r="AO83" t="s">
        <v>348</v>
      </c>
      <c r="AP83">
        <v>98.11</v>
      </c>
      <c r="AQ83">
        <v>51.129999999999995</v>
      </c>
      <c r="AR83">
        <v>41.73</v>
      </c>
      <c r="AS83" t="s">
        <v>348</v>
      </c>
      <c r="AT83">
        <v>29.43</v>
      </c>
      <c r="AU83" t="s">
        <v>348</v>
      </c>
      <c r="AV83">
        <v>9.52</v>
      </c>
      <c r="AW83" t="s">
        <v>348</v>
      </c>
      <c r="AX83">
        <v>2.34</v>
      </c>
      <c r="AY83" t="s">
        <v>348</v>
      </c>
      <c r="AZ83" t="s">
        <v>348</v>
      </c>
      <c r="BA83">
        <v>11.49</v>
      </c>
      <c r="BB83" t="s">
        <v>348</v>
      </c>
      <c r="BC83">
        <v>16.670000000000002</v>
      </c>
      <c r="BD83" t="s">
        <v>348</v>
      </c>
      <c r="BE83" t="s">
        <v>348</v>
      </c>
      <c r="BF83">
        <v>64.95</v>
      </c>
      <c r="BG83">
        <v>20.05</v>
      </c>
      <c r="BH83" t="s">
        <v>348</v>
      </c>
      <c r="BI83" t="s">
        <v>348</v>
      </c>
      <c r="BJ83">
        <v>3.27</v>
      </c>
      <c r="BK83">
        <v>34.869999999999997</v>
      </c>
      <c r="BL83">
        <v>18.670000000000002</v>
      </c>
      <c r="BM83" t="s">
        <v>348</v>
      </c>
      <c r="BN83">
        <v>28.91</v>
      </c>
      <c r="BO83" t="s">
        <v>348</v>
      </c>
      <c r="BP83">
        <v>30.37</v>
      </c>
      <c r="BQ83">
        <v>1.38</v>
      </c>
      <c r="BR83">
        <v>18.579999999999998</v>
      </c>
      <c r="BS83" t="s">
        <v>348</v>
      </c>
      <c r="BT83" t="s">
        <v>348</v>
      </c>
      <c r="BU83" t="s">
        <v>348</v>
      </c>
      <c r="BV83" t="s">
        <v>348</v>
      </c>
      <c r="BW83" t="s">
        <v>348</v>
      </c>
      <c r="BX83" t="s">
        <v>348</v>
      </c>
      <c r="BY83" t="s">
        <v>348</v>
      </c>
      <c r="BZ83" t="s">
        <v>348</v>
      </c>
      <c r="CA83" t="s">
        <v>348</v>
      </c>
      <c r="CB83" t="s">
        <v>348</v>
      </c>
      <c r="CC83" t="s">
        <v>348</v>
      </c>
      <c r="CD83" t="s">
        <v>348</v>
      </c>
      <c r="CE83" t="s">
        <v>348</v>
      </c>
      <c r="CF83" t="s">
        <v>348</v>
      </c>
      <c r="CG83">
        <v>3</v>
      </c>
      <c r="CH83">
        <v>8</v>
      </c>
      <c r="CI83">
        <v>4</v>
      </c>
    </row>
    <row r="84" spans="1:87" x14ac:dyDescent="0.25">
      <c r="A84">
        <v>83</v>
      </c>
      <c r="B84" s="51" t="s">
        <v>409</v>
      </c>
      <c r="C84">
        <v>44619</v>
      </c>
      <c r="D84" t="s">
        <v>348</v>
      </c>
      <c r="E84">
        <v>2.72</v>
      </c>
      <c r="F84">
        <v>5.52</v>
      </c>
      <c r="G84">
        <v>24.02</v>
      </c>
      <c r="H84" t="s">
        <v>348</v>
      </c>
      <c r="I84" t="s">
        <v>348</v>
      </c>
      <c r="J84">
        <v>30.02</v>
      </c>
      <c r="K84">
        <v>327.27</v>
      </c>
      <c r="L84">
        <v>54.26</v>
      </c>
      <c r="M84">
        <v>965.61</v>
      </c>
      <c r="N84">
        <v>393.52</v>
      </c>
      <c r="O84">
        <v>22.59</v>
      </c>
      <c r="P84">
        <v>11.66</v>
      </c>
      <c r="Q84">
        <v>21.14</v>
      </c>
      <c r="R84">
        <v>886.63</v>
      </c>
      <c r="S84">
        <v>26.67</v>
      </c>
      <c r="T84" t="s">
        <v>348</v>
      </c>
      <c r="U84">
        <v>39.32</v>
      </c>
      <c r="V84" t="s">
        <v>348</v>
      </c>
      <c r="W84" t="s">
        <v>348</v>
      </c>
      <c r="X84">
        <v>104.81</v>
      </c>
      <c r="Y84" t="s">
        <v>348</v>
      </c>
      <c r="Z84">
        <v>7.5200000000000005</v>
      </c>
      <c r="AA84">
        <v>9.3800000000000008</v>
      </c>
      <c r="AB84">
        <v>1443.27</v>
      </c>
      <c r="AC84">
        <v>91.4</v>
      </c>
      <c r="AD84">
        <v>20.25</v>
      </c>
      <c r="AE84" t="s">
        <v>348</v>
      </c>
      <c r="AF84">
        <v>40.44</v>
      </c>
      <c r="AG84">
        <v>14.56</v>
      </c>
      <c r="AH84" t="s">
        <v>348</v>
      </c>
      <c r="AI84">
        <v>147.13999999999999</v>
      </c>
      <c r="AJ84">
        <v>4.9800000000000004</v>
      </c>
      <c r="AK84">
        <v>313.98</v>
      </c>
      <c r="AL84" t="s">
        <v>348</v>
      </c>
      <c r="AM84">
        <v>132.66</v>
      </c>
      <c r="AN84" t="s">
        <v>348</v>
      </c>
      <c r="AO84" t="s">
        <v>348</v>
      </c>
      <c r="AP84">
        <v>105.52</v>
      </c>
      <c r="AQ84">
        <v>46.75</v>
      </c>
      <c r="AR84">
        <v>43.74</v>
      </c>
      <c r="AS84" t="s">
        <v>348</v>
      </c>
      <c r="AT84">
        <v>43.55</v>
      </c>
      <c r="AU84" t="s">
        <v>348</v>
      </c>
      <c r="AV84">
        <v>9.26</v>
      </c>
      <c r="AW84" t="s">
        <v>348</v>
      </c>
      <c r="AX84">
        <v>2.21</v>
      </c>
      <c r="AY84" t="s">
        <v>348</v>
      </c>
      <c r="AZ84" t="s">
        <v>348</v>
      </c>
      <c r="BA84">
        <v>11.77</v>
      </c>
      <c r="BB84" t="s">
        <v>348</v>
      </c>
      <c r="BC84">
        <v>13.74</v>
      </c>
      <c r="BD84" t="s">
        <v>348</v>
      </c>
      <c r="BE84" t="s">
        <v>348</v>
      </c>
      <c r="BF84">
        <v>2285.46</v>
      </c>
      <c r="BG84">
        <v>23.64</v>
      </c>
      <c r="BH84" t="s">
        <v>348</v>
      </c>
      <c r="BI84" t="s">
        <v>348</v>
      </c>
      <c r="BJ84">
        <v>3.45</v>
      </c>
      <c r="BK84">
        <v>46.72</v>
      </c>
      <c r="BL84">
        <v>22.09</v>
      </c>
      <c r="BM84" t="s">
        <v>348</v>
      </c>
      <c r="BN84">
        <v>30.5</v>
      </c>
      <c r="BO84" t="s">
        <v>348</v>
      </c>
      <c r="BP84">
        <v>31.46</v>
      </c>
      <c r="BQ84">
        <v>1.25</v>
      </c>
      <c r="BR84">
        <v>15.99</v>
      </c>
      <c r="BS84" t="s">
        <v>348</v>
      </c>
      <c r="BT84" t="s">
        <v>348</v>
      </c>
      <c r="BU84" t="s">
        <v>348</v>
      </c>
      <c r="BV84" t="s">
        <v>348</v>
      </c>
      <c r="BW84" t="s">
        <v>348</v>
      </c>
      <c r="BX84" t="s">
        <v>348</v>
      </c>
      <c r="BY84" t="s">
        <v>348</v>
      </c>
      <c r="BZ84" t="s">
        <v>348</v>
      </c>
      <c r="CA84" t="s">
        <v>348</v>
      </c>
      <c r="CB84" t="s">
        <v>348</v>
      </c>
      <c r="CC84" t="s">
        <v>348</v>
      </c>
      <c r="CD84" t="s">
        <v>348</v>
      </c>
      <c r="CE84" t="s">
        <v>348</v>
      </c>
      <c r="CF84" t="s">
        <v>348</v>
      </c>
      <c r="CG84">
        <v>3</v>
      </c>
      <c r="CH84">
        <v>8</v>
      </c>
      <c r="CI84">
        <v>4</v>
      </c>
    </row>
    <row r="85" spans="1:87" x14ac:dyDescent="0.25">
      <c r="A85">
        <v>84</v>
      </c>
      <c r="B85" s="51" t="s">
        <v>410</v>
      </c>
      <c r="C85">
        <v>44619</v>
      </c>
      <c r="D85" t="s">
        <v>348</v>
      </c>
      <c r="E85">
        <v>3.23</v>
      </c>
      <c r="F85">
        <v>6.02</v>
      </c>
      <c r="G85">
        <v>28.13</v>
      </c>
      <c r="H85" t="s">
        <v>348</v>
      </c>
      <c r="I85" t="s">
        <v>348</v>
      </c>
      <c r="J85">
        <v>31.76</v>
      </c>
      <c r="K85">
        <v>274.32</v>
      </c>
      <c r="L85">
        <v>67.39</v>
      </c>
      <c r="M85">
        <v>883.74</v>
      </c>
      <c r="N85">
        <v>429.81</v>
      </c>
      <c r="O85">
        <v>19.86</v>
      </c>
      <c r="P85">
        <v>10.49</v>
      </c>
      <c r="Q85">
        <v>17.5</v>
      </c>
      <c r="R85">
        <v>859.75</v>
      </c>
      <c r="S85">
        <v>22.36</v>
      </c>
      <c r="T85" t="s">
        <v>348</v>
      </c>
      <c r="U85">
        <v>47.36</v>
      </c>
      <c r="V85" t="s">
        <v>348</v>
      </c>
      <c r="W85" t="s">
        <v>348</v>
      </c>
      <c r="X85">
        <v>121.56</v>
      </c>
      <c r="Y85" t="s">
        <v>348</v>
      </c>
      <c r="Z85">
        <v>8.16</v>
      </c>
      <c r="AA85">
        <v>11.93</v>
      </c>
      <c r="AB85">
        <v>1631.29</v>
      </c>
      <c r="AC85">
        <v>116.78</v>
      </c>
      <c r="AD85">
        <v>19.170000000000002</v>
      </c>
      <c r="AE85" t="s">
        <v>348</v>
      </c>
      <c r="AF85">
        <v>685.11</v>
      </c>
      <c r="AG85">
        <v>13.69</v>
      </c>
      <c r="AH85" t="s">
        <v>348</v>
      </c>
      <c r="AI85">
        <v>178.28</v>
      </c>
      <c r="AJ85">
        <v>5.26</v>
      </c>
      <c r="AK85">
        <v>311.89999999999998</v>
      </c>
      <c r="AL85" t="s">
        <v>348</v>
      </c>
      <c r="AM85">
        <v>177.79</v>
      </c>
      <c r="AN85" t="s">
        <v>348</v>
      </c>
      <c r="AO85" t="s">
        <v>348</v>
      </c>
      <c r="AP85">
        <v>119.93</v>
      </c>
      <c r="AQ85">
        <v>59.43</v>
      </c>
      <c r="AR85">
        <v>37.700000000000003</v>
      </c>
      <c r="AS85" t="s">
        <v>348</v>
      </c>
      <c r="AT85">
        <v>40.590000000000003</v>
      </c>
      <c r="AU85" t="s">
        <v>348</v>
      </c>
      <c r="AV85">
        <v>9.64</v>
      </c>
      <c r="AW85">
        <v>2.5299999999999998</v>
      </c>
      <c r="AX85">
        <v>2.92</v>
      </c>
      <c r="AY85" t="s">
        <v>348</v>
      </c>
      <c r="AZ85" t="s">
        <v>348</v>
      </c>
      <c r="BA85">
        <v>12.55</v>
      </c>
      <c r="BB85" t="s">
        <v>348</v>
      </c>
      <c r="BC85">
        <v>14.74</v>
      </c>
      <c r="BD85" t="s">
        <v>348</v>
      </c>
      <c r="BE85" t="s">
        <v>348</v>
      </c>
      <c r="BF85">
        <v>74.36</v>
      </c>
      <c r="BG85">
        <v>23.95</v>
      </c>
      <c r="BH85" t="s">
        <v>348</v>
      </c>
      <c r="BI85" t="s">
        <v>348</v>
      </c>
      <c r="BJ85" t="s">
        <v>348</v>
      </c>
      <c r="BK85">
        <v>43.91</v>
      </c>
      <c r="BL85">
        <v>18.79</v>
      </c>
      <c r="BM85" t="s">
        <v>348</v>
      </c>
      <c r="BN85">
        <v>33.869999999999997</v>
      </c>
      <c r="BO85" t="s">
        <v>348</v>
      </c>
      <c r="BP85">
        <v>30.61</v>
      </c>
      <c r="BQ85">
        <v>1.4</v>
      </c>
      <c r="BR85">
        <v>13.69</v>
      </c>
      <c r="BS85" t="s">
        <v>348</v>
      </c>
      <c r="BT85" t="s">
        <v>348</v>
      </c>
      <c r="BU85" t="s">
        <v>348</v>
      </c>
      <c r="BV85" t="s">
        <v>348</v>
      </c>
      <c r="BW85" t="s">
        <v>348</v>
      </c>
      <c r="BX85" t="s">
        <v>348</v>
      </c>
      <c r="BY85" t="s">
        <v>348</v>
      </c>
      <c r="BZ85" t="s">
        <v>348</v>
      </c>
      <c r="CA85" t="s">
        <v>348</v>
      </c>
      <c r="CB85" t="s">
        <v>348</v>
      </c>
      <c r="CC85" t="s">
        <v>348</v>
      </c>
      <c r="CD85" t="s">
        <v>348</v>
      </c>
      <c r="CE85" t="s">
        <v>348</v>
      </c>
      <c r="CF85" t="s">
        <v>348</v>
      </c>
      <c r="CG85">
        <v>3</v>
      </c>
      <c r="CH85">
        <v>8</v>
      </c>
      <c r="CI85">
        <v>4</v>
      </c>
    </row>
    <row r="86" spans="1:87" x14ac:dyDescent="0.25">
      <c r="A86">
        <v>85</v>
      </c>
      <c r="B86" s="51" t="s">
        <v>412</v>
      </c>
      <c r="C86">
        <v>44619</v>
      </c>
      <c r="D86" t="s">
        <v>348</v>
      </c>
      <c r="E86">
        <v>3.08</v>
      </c>
      <c r="F86">
        <v>3.79</v>
      </c>
      <c r="G86">
        <v>27.14</v>
      </c>
      <c r="H86" t="s">
        <v>348</v>
      </c>
      <c r="I86" t="s">
        <v>348</v>
      </c>
      <c r="J86">
        <v>32.81</v>
      </c>
      <c r="K86">
        <v>220.38</v>
      </c>
      <c r="L86">
        <v>73.290000000000006</v>
      </c>
      <c r="M86">
        <v>836.99</v>
      </c>
      <c r="N86">
        <v>405.29</v>
      </c>
      <c r="O86">
        <v>17.14</v>
      </c>
      <c r="P86">
        <v>10.039999999999999</v>
      </c>
      <c r="Q86">
        <v>13.45</v>
      </c>
      <c r="R86">
        <v>742</v>
      </c>
      <c r="S86">
        <v>18.690000000000001</v>
      </c>
      <c r="T86" t="s">
        <v>348</v>
      </c>
      <c r="U86">
        <v>52.42</v>
      </c>
      <c r="V86" t="s">
        <v>348</v>
      </c>
      <c r="W86" t="s">
        <v>348</v>
      </c>
      <c r="X86">
        <v>86.99</v>
      </c>
      <c r="Y86" t="s">
        <v>348</v>
      </c>
      <c r="Z86">
        <v>6.4399999999999995</v>
      </c>
      <c r="AA86">
        <v>9.6199999999999992</v>
      </c>
      <c r="AB86">
        <v>1522.87</v>
      </c>
      <c r="AC86">
        <v>141.1</v>
      </c>
      <c r="AD86">
        <v>17.77</v>
      </c>
      <c r="AE86" t="s">
        <v>348</v>
      </c>
      <c r="AF86">
        <v>13829.77</v>
      </c>
      <c r="AG86">
        <v>15.42</v>
      </c>
      <c r="AH86" t="s">
        <v>348</v>
      </c>
      <c r="AI86">
        <v>157.18</v>
      </c>
      <c r="AJ86">
        <v>5.19</v>
      </c>
      <c r="AK86">
        <v>268.26</v>
      </c>
      <c r="AL86" t="s">
        <v>348</v>
      </c>
      <c r="AM86">
        <v>169.13</v>
      </c>
      <c r="AN86" t="s">
        <v>348</v>
      </c>
      <c r="AO86" t="s">
        <v>348</v>
      </c>
      <c r="AP86">
        <v>127.03</v>
      </c>
      <c r="AQ86">
        <v>63.11</v>
      </c>
      <c r="AR86">
        <v>27.91</v>
      </c>
      <c r="AS86" t="s">
        <v>348</v>
      </c>
      <c r="AT86">
        <v>46.02</v>
      </c>
      <c r="AU86" t="s">
        <v>348</v>
      </c>
      <c r="AV86">
        <v>10.119999999999999</v>
      </c>
      <c r="AW86">
        <v>2.2400000000000002</v>
      </c>
      <c r="AX86">
        <v>2.87</v>
      </c>
      <c r="AY86" t="s">
        <v>348</v>
      </c>
      <c r="AZ86" t="s">
        <v>348</v>
      </c>
      <c r="BA86">
        <v>12.73</v>
      </c>
      <c r="BB86" t="s">
        <v>348</v>
      </c>
      <c r="BC86">
        <v>13.28</v>
      </c>
      <c r="BD86" t="s">
        <v>348</v>
      </c>
      <c r="BE86" t="s">
        <v>348</v>
      </c>
      <c r="BF86">
        <v>62.67</v>
      </c>
      <c r="BG86">
        <v>26.74</v>
      </c>
      <c r="BH86">
        <v>0.88</v>
      </c>
      <c r="BI86" t="s">
        <v>348</v>
      </c>
      <c r="BJ86">
        <v>2.39</v>
      </c>
      <c r="BK86">
        <v>36.96</v>
      </c>
      <c r="BL86">
        <v>13.11</v>
      </c>
      <c r="BM86" t="s">
        <v>348</v>
      </c>
      <c r="BN86">
        <v>32.67</v>
      </c>
      <c r="BO86" t="s">
        <v>348</v>
      </c>
      <c r="BP86">
        <v>29.56</v>
      </c>
      <c r="BQ86">
        <v>1.49</v>
      </c>
      <c r="BR86">
        <v>21.65</v>
      </c>
      <c r="BS86" t="s">
        <v>348</v>
      </c>
      <c r="BT86" t="s">
        <v>348</v>
      </c>
      <c r="BU86" t="s">
        <v>348</v>
      </c>
      <c r="BV86" t="s">
        <v>348</v>
      </c>
      <c r="BW86" t="s">
        <v>348</v>
      </c>
      <c r="BX86" t="s">
        <v>348</v>
      </c>
      <c r="BY86" t="s">
        <v>348</v>
      </c>
      <c r="BZ86" t="s">
        <v>348</v>
      </c>
      <c r="CA86" t="s">
        <v>348</v>
      </c>
      <c r="CB86" t="s">
        <v>348</v>
      </c>
      <c r="CC86" t="s">
        <v>348</v>
      </c>
      <c r="CD86" t="s">
        <v>348</v>
      </c>
      <c r="CE86" t="s">
        <v>348</v>
      </c>
      <c r="CF86" t="s">
        <v>348</v>
      </c>
      <c r="CG86">
        <v>3</v>
      </c>
      <c r="CH86">
        <v>8</v>
      </c>
      <c r="CI86">
        <v>4</v>
      </c>
    </row>
    <row r="87" spans="1:87" x14ac:dyDescent="0.25">
      <c r="A87">
        <v>86</v>
      </c>
      <c r="B87" s="51" t="s">
        <v>413</v>
      </c>
      <c r="C87">
        <v>44619</v>
      </c>
      <c r="D87" t="s">
        <v>348</v>
      </c>
      <c r="E87">
        <v>2.4500000000000002</v>
      </c>
      <c r="F87">
        <v>3.74</v>
      </c>
      <c r="G87">
        <v>21.21</v>
      </c>
      <c r="H87" t="s">
        <v>348</v>
      </c>
      <c r="I87" t="s">
        <v>348</v>
      </c>
      <c r="J87">
        <v>24.23</v>
      </c>
      <c r="K87">
        <v>243.86</v>
      </c>
      <c r="L87">
        <v>57.59</v>
      </c>
      <c r="M87">
        <v>1088.3799999999999</v>
      </c>
      <c r="N87">
        <v>479.37</v>
      </c>
      <c r="O87">
        <v>19.829999999999998</v>
      </c>
      <c r="P87">
        <v>11.26</v>
      </c>
      <c r="Q87">
        <v>16.12</v>
      </c>
      <c r="R87">
        <v>809.06</v>
      </c>
      <c r="S87">
        <v>19.32</v>
      </c>
      <c r="T87" t="s">
        <v>348</v>
      </c>
      <c r="U87">
        <v>37.94</v>
      </c>
      <c r="V87" t="s">
        <v>348</v>
      </c>
      <c r="W87" t="s">
        <v>348</v>
      </c>
      <c r="X87">
        <v>88.57</v>
      </c>
      <c r="Y87" t="s">
        <v>348</v>
      </c>
      <c r="Z87">
        <v>9.42</v>
      </c>
      <c r="AA87">
        <v>8.14</v>
      </c>
      <c r="AB87">
        <v>1128.1299999999999</v>
      </c>
      <c r="AC87">
        <v>89.99</v>
      </c>
      <c r="AD87">
        <v>17.690000000000001</v>
      </c>
      <c r="AE87" t="s">
        <v>348</v>
      </c>
      <c r="AF87">
        <v>925.24</v>
      </c>
      <c r="AG87">
        <v>10.44</v>
      </c>
      <c r="AH87" t="s">
        <v>348</v>
      </c>
      <c r="AI87">
        <v>140.38</v>
      </c>
      <c r="AJ87">
        <v>4.2300000000000004</v>
      </c>
      <c r="AK87">
        <v>268.49</v>
      </c>
      <c r="AL87" t="s">
        <v>348</v>
      </c>
      <c r="AM87">
        <v>106.5</v>
      </c>
      <c r="AN87" t="s">
        <v>348</v>
      </c>
      <c r="AO87" t="s">
        <v>348</v>
      </c>
      <c r="AP87">
        <v>104.52</v>
      </c>
      <c r="AQ87">
        <v>46.29</v>
      </c>
      <c r="AR87">
        <v>38.369999999999997</v>
      </c>
      <c r="AS87" t="s">
        <v>348</v>
      </c>
      <c r="AT87">
        <v>37.44</v>
      </c>
      <c r="AU87">
        <v>5.38</v>
      </c>
      <c r="AV87">
        <v>10.23</v>
      </c>
      <c r="AW87">
        <v>3.91</v>
      </c>
      <c r="AX87">
        <v>1.84</v>
      </c>
      <c r="AY87" t="s">
        <v>348</v>
      </c>
      <c r="AZ87" t="s">
        <v>348</v>
      </c>
      <c r="BA87">
        <v>9.51</v>
      </c>
      <c r="BB87" t="s">
        <v>348</v>
      </c>
      <c r="BC87">
        <v>14.92</v>
      </c>
      <c r="BD87" t="s">
        <v>348</v>
      </c>
      <c r="BE87" t="s">
        <v>348</v>
      </c>
      <c r="BF87">
        <v>90.97</v>
      </c>
      <c r="BG87">
        <v>16.690000000000001</v>
      </c>
      <c r="BH87">
        <v>1.5</v>
      </c>
      <c r="BI87" t="s">
        <v>348</v>
      </c>
      <c r="BJ87">
        <v>3.74</v>
      </c>
      <c r="BK87">
        <v>37.869999999999997</v>
      </c>
      <c r="BL87">
        <v>16.57</v>
      </c>
      <c r="BM87" t="s">
        <v>348</v>
      </c>
      <c r="BN87">
        <v>31.48</v>
      </c>
      <c r="BO87" t="s">
        <v>348</v>
      </c>
      <c r="BP87">
        <v>24.98</v>
      </c>
      <c r="BQ87">
        <v>1</v>
      </c>
      <c r="BR87" t="s">
        <v>348</v>
      </c>
      <c r="BS87" t="s">
        <v>348</v>
      </c>
      <c r="BT87" t="s">
        <v>348</v>
      </c>
      <c r="BU87" t="s">
        <v>348</v>
      </c>
      <c r="BV87" t="s">
        <v>348</v>
      </c>
      <c r="BW87" t="s">
        <v>348</v>
      </c>
      <c r="BX87" t="s">
        <v>348</v>
      </c>
      <c r="BY87" t="s">
        <v>348</v>
      </c>
      <c r="BZ87" t="s">
        <v>348</v>
      </c>
      <c r="CA87" t="s">
        <v>348</v>
      </c>
      <c r="CB87" t="s">
        <v>348</v>
      </c>
      <c r="CC87" t="s">
        <v>348</v>
      </c>
      <c r="CD87" t="s">
        <v>348</v>
      </c>
      <c r="CE87" t="s">
        <v>348</v>
      </c>
      <c r="CF87" t="s">
        <v>348</v>
      </c>
      <c r="CG87">
        <v>3</v>
      </c>
      <c r="CH87">
        <v>8</v>
      </c>
      <c r="CI87">
        <v>4</v>
      </c>
    </row>
    <row r="88" spans="1:87" x14ac:dyDescent="0.25">
      <c r="A88">
        <v>87</v>
      </c>
      <c r="B88" s="51">
        <v>23</v>
      </c>
      <c r="C88">
        <v>44619</v>
      </c>
      <c r="D88" t="s">
        <v>348</v>
      </c>
      <c r="E88">
        <v>2.38</v>
      </c>
      <c r="F88">
        <v>4.01</v>
      </c>
      <c r="G88">
        <v>18.46</v>
      </c>
      <c r="H88" t="s">
        <v>348</v>
      </c>
      <c r="I88" t="s">
        <v>348</v>
      </c>
      <c r="J88">
        <v>19.78</v>
      </c>
      <c r="K88">
        <v>256.55</v>
      </c>
      <c r="L88">
        <v>57.96</v>
      </c>
      <c r="M88">
        <v>1069.6499999999999</v>
      </c>
      <c r="N88">
        <v>481.95</v>
      </c>
      <c r="O88">
        <v>16.29</v>
      </c>
      <c r="P88">
        <v>10.09</v>
      </c>
      <c r="Q88">
        <v>21.2</v>
      </c>
      <c r="R88">
        <v>852.82</v>
      </c>
      <c r="S88">
        <v>19.579999999999998</v>
      </c>
      <c r="T88" t="s">
        <v>348</v>
      </c>
      <c r="U88">
        <v>31.33</v>
      </c>
      <c r="V88" t="s">
        <v>348</v>
      </c>
      <c r="W88" t="s">
        <v>348</v>
      </c>
      <c r="X88">
        <v>87.81</v>
      </c>
      <c r="Y88" t="s">
        <v>348</v>
      </c>
      <c r="Z88">
        <v>7.1599999999999993</v>
      </c>
      <c r="AA88">
        <v>6.3</v>
      </c>
      <c r="AB88">
        <v>916.45999999999992</v>
      </c>
      <c r="AC88">
        <v>70.67</v>
      </c>
      <c r="AD88">
        <v>17.38</v>
      </c>
      <c r="AE88" t="s">
        <v>348</v>
      </c>
      <c r="AF88">
        <v>776.08</v>
      </c>
      <c r="AG88">
        <v>10.48</v>
      </c>
      <c r="AH88" t="s">
        <v>348</v>
      </c>
      <c r="AI88">
        <v>121.81</v>
      </c>
      <c r="AJ88">
        <v>3.18</v>
      </c>
      <c r="AK88">
        <v>321.76</v>
      </c>
      <c r="AL88" t="s">
        <v>348</v>
      </c>
      <c r="AM88">
        <v>75.75</v>
      </c>
      <c r="AN88" t="s">
        <v>348</v>
      </c>
      <c r="AO88" t="s">
        <v>348</v>
      </c>
      <c r="AP88">
        <v>78.47</v>
      </c>
      <c r="AQ88">
        <v>33.53</v>
      </c>
      <c r="AR88">
        <v>41.46</v>
      </c>
      <c r="AS88" t="s">
        <v>348</v>
      </c>
      <c r="AT88">
        <v>42.6</v>
      </c>
      <c r="AU88">
        <v>1.47</v>
      </c>
      <c r="AV88">
        <v>6.55</v>
      </c>
      <c r="AW88">
        <v>1.44</v>
      </c>
      <c r="AX88">
        <v>1.46</v>
      </c>
      <c r="AY88" t="s">
        <v>348</v>
      </c>
      <c r="AZ88" t="s">
        <v>348</v>
      </c>
      <c r="BA88">
        <v>10.28</v>
      </c>
      <c r="BB88" t="s">
        <v>348</v>
      </c>
      <c r="BC88">
        <v>15.99</v>
      </c>
      <c r="BD88" t="s">
        <v>348</v>
      </c>
      <c r="BE88" t="s">
        <v>348</v>
      </c>
      <c r="BF88">
        <v>73.36</v>
      </c>
      <c r="BG88">
        <v>20.27</v>
      </c>
      <c r="BH88">
        <v>1.37</v>
      </c>
      <c r="BI88" t="s">
        <v>348</v>
      </c>
      <c r="BJ88" t="s">
        <v>348</v>
      </c>
      <c r="BK88">
        <v>36.94</v>
      </c>
      <c r="BL88">
        <v>21.3</v>
      </c>
      <c r="BM88" t="s">
        <v>348</v>
      </c>
      <c r="BN88">
        <v>24.04</v>
      </c>
      <c r="BO88" t="s">
        <v>348</v>
      </c>
      <c r="BP88">
        <v>25.19</v>
      </c>
      <c r="BQ88">
        <v>1.1299999999999999</v>
      </c>
      <c r="BR88">
        <v>13.38</v>
      </c>
      <c r="BS88" t="s">
        <v>348</v>
      </c>
      <c r="BT88" t="s">
        <v>348</v>
      </c>
      <c r="BU88" t="s">
        <v>348</v>
      </c>
      <c r="BV88" t="s">
        <v>348</v>
      </c>
      <c r="BW88" t="s">
        <v>348</v>
      </c>
      <c r="BX88" t="s">
        <v>348</v>
      </c>
      <c r="BY88" t="s">
        <v>348</v>
      </c>
      <c r="BZ88" t="s">
        <v>348</v>
      </c>
      <c r="CA88" t="s">
        <v>348</v>
      </c>
      <c r="CB88" t="s">
        <v>348</v>
      </c>
      <c r="CC88" t="s">
        <v>348</v>
      </c>
      <c r="CD88" t="s">
        <v>348</v>
      </c>
      <c r="CE88" t="s">
        <v>348</v>
      </c>
      <c r="CF88" t="s">
        <v>348</v>
      </c>
      <c r="CG88">
        <v>3</v>
      </c>
      <c r="CH88">
        <v>8</v>
      </c>
      <c r="CI88">
        <v>4</v>
      </c>
    </row>
    <row r="89" spans="1:87" x14ac:dyDescent="0.25">
      <c r="A89">
        <v>88</v>
      </c>
      <c r="B89" s="51" t="s">
        <v>350</v>
      </c>
      <c r="C89">
        <v>44518</v>
      </c>
      <c r="D89" t="s">
        <v>348</v>
      </c>
      <c r="E89">
        <v>1.0999999999999999E-2</v>
      </c>
      <c r="F89" t="s">
        <v>348</v>
      </c>
      <c r="G89">
        <v>2.4E-2</v>
      </c>
      <c r="H89" t="s">
        <v>348</v>
      </c>
      <c r="I89" t="s">
        <v>348</v>
      </c>
      <c r="J89" t="s">
        <v>348</v>
      </c>
      <c r="K89" t="s">
        <v>348</v>
      </c>
      <c r="L89">
        <v>10.228999999999999</v>
      </c>
      <c r="M89" t="s">
        <v>348</v>
      </c>
      <c r="N89">
        <v>3.9969999999999999</v>
      </c>
      <c r="O89">
        <v>0.26900000000000002</v>
      </c>
      <c r="P89" t="s">
        <v>348</v>
      </c>
      <c r="Q89" t="s">
        <v>348</v>
      </c>
      <c r="R89" t="s">
        <v>348</v>
      </c>
      <c r="S89" t="s">
        <v>348</v>
      </c>
      <c r="T89" t="s">
        <v>348</v>
      </c>
      <c r="U89" t="s">
        <v>348</v>
      </c>
      <c r="V89" t="s">
        <v>348</v>
      </c>
      <c r="W89" t="s">
        <v>348</v>
      </c>
      <c r="X89" t="s">
        <v>348</v>
      </c>
      <c r="Y89" t="s">
        <v>348</v>
      </c>
      <c r="Z89">
        <v>3.6999999999999998E-2</v>
      </c>
      <c r="AA89">
        <v>1.7999999999999999E-2</v>
      </c>
      <c r="AB89">
        <v>0.5</v>
      </c>
      <c r="AC89" t="s">
        <v>348</v>
      </c>
      <c r="AD89" t="s">
        <v>348</v>
      </c>
      <c r="AE89" t="s">
        <v>348</v>
      </c>
      <c r="AF89" t="s">
        <v>348</v>
      </c>
      <c r="AG89" t="s">
        <v>348</v>
      </c>
      <c r="AH89" t="s">
        <v>348</v>
      </c>
      <c r="AI89">
        <v>0.69599999999999995</v>
      </c>
      <c r="AJ89" t="s">
        <v>348</v>
      </c>
      <c r="AK89">
        <v>0.83099999999999996</v>
      </c>
      <c r="AL89" t="s">
        <v>348</v>
      </c>
      <c r="AM89" t="s">
        <v>348</v>
      </c>
      <c r="AN89" t="s">
        <v>348</v>
      </c>
      <c r="AO89" t="s">
        <v>348</v>
      </c>
      <c r="AP89">
        <v>9.6000000000000002E-2</v>
      </c>
      <c r="AQ89">
        <v>0.122</v>
      </c>
      <c r="AR89" t="s">
        <v>348</v>
      </c>
      <c r="AS89" t="s">
        <v>348</v>
      </c>
      <c r="AT89" t="s">
        <v>348</v>
      </c>
      <c r="AU89" t="s">
        <v>348</v>
      </c>
      <c r="AV89" t="s">
        <v>348</v>
      </c>
      <c r="AW89">
        <v>0.23299999999999998</v>
      </c>
      <c r="AX89" t="s">
        <v>348</v>
      </c>
      <c r="AY89" t="s">
        <v>348</v>
      </c>
      <c r="AZ89" t="s">
        <v>348</v>
      </c>
      <c r="BA89" t="s">
        <v>348</v>
      </c>
      <c r="BB89" t="s">
        <v>348</v>
      </c>
      <c r="BC89" t="s">
        <v>348</v>
      </c>
      <c r="BD89" t="s">
        <v>348</v>
      </c>
      <c r="BE89" t="s">
        <v>348</v>
      </c>
      <c r="BF89" t="s">
        <v>348</v>
      </c>
      <c r="BG89" t="s">
        <v>348</v>
      </c>
      <c r="BH89" t="s">
        <v>348</v>
      </c>
      <c r="BI89" t="s">
        <v>348</v>
      </c>
      <c r="BJ89" t="s">
        <v>348</v>
      </c>
      <c r="BK89" t="s">
        <v>348</v>
      </c>
      <c r="BL89" t="s">
        <v>348</v>
      </c>
      <c r="BM89" t="s">
        <v>348</v>
      </c>
      <c r="BN89">
        <v>0.54800000000000004</v>
      </c>
      <c r="BO89" t="s">
        <v>348</v>
      </c>
      <c r="BP89">
        <v>3.9E-2</v>
      </c>
      <c r="BQ89" t="s">
        <v>348</v>
      </c>
      <c r="BR89" t="s">
        <v>348</v>
      </c>
      <c r="BS89" t="s">
        <v>348</v>
      </c>
      <c r="BT89" t="s">
        <v>348</v>
      </c>
      <c r="BU89" t="s">
        <v>348</v>
      </c>
      <c r="BV89" t="s">
        <v>348</v>
      </c>
      <c r="BW89" t="s">
        <v>348</v>
      </c>
      <c r="BX89" t="s">
        <v>348</v>
      </c>
      <c r="BY89" t="s">
        <v>348</v>
      </c>
      <c r="BZ89" t="s">
        <v>348</v>
      </c>
      <c r="CA89" t="s">
        <v>348</v>
      </c>
      <c r="CB89" t="s">
        <v>348</v>
      </c>
      <c r="CC89" t="s">
        <v>348</v>
      </c>
      <c r="CD89" t="s">
        <v>348</v>
      </c>
      <c r="CE89" t="s">
        <v>348</v>
      </c>
      <c r="CF89" t="s">
        <v>348</v>
      </c>
      <c r="CG89">
        <v>2</v>
      </c>
      <c r="CH89">
        <v>4</v>
      </c>
      <c r="CI89">
        <v>5</v>
      </c>
    </row>
    <row r="90" spans="1:87" x14ac:dyDescent="0.25">
      <c r="A90">
        <v>89</v>
      </c>
      <c r="B90" s="51" t="s">
        <v>352</v>
      </c>
      <c r="C90">
        <v>44518</v>
      </c>
      <c r="D90" t="s">
        <v>348</v>
      </c>
      <c r="E90">
        <v>0.01</v>
      </c>
      <c r="F90" t="s">
        <v>348</v>
      </c>
      <c r="G90">
        <v>0.02</v>
      </c>
      <c r="H90" t="s">
        <v>348</v>
      </c>
      <c r="I90" t="s">
        <v>348</v>
      </c>
      <c r="J90" t="s">
        <v>348</v>
      </c>
      <c r="K90" t="s">
        <v>348</v>
      </c>
      <c r="L90">
        <v>9.7129999999999992</v>
      </c>
      <c r="M90" t="s">
        <v>348</v>
      </c>
      <c r="N90">
        <v>6.1580000000000004</v>
      </c>
      <c r="O90">
        <v>0.60399999999999998</v>
      </c>
      <c r="P90" t="s">
        <v>348</v>
      </c>
      <c r="Q90" t="s">
        <v>348</v>
      </c>
      <c r="R90" t="s">
        <v>348</v>
      </c>
      <c r="S90" t="s">
        <v>348</v>
      </c>
      <c r="T90" t="s">
        <v>348</v>
      </c>
      <c r="U90" t="s">
        <v>348</v>
      </c>
      <c r="V90" t="s">
        <v>348</v>
      </c>
      <c r="W90" t="s">
        <v>348</v>
      </c>
      <c r="X90" t="s">
        <v>348</v>
      </c>
      <c r="Y90" t="s">
        <v>348</v>
      </c>
      <c r="Z90">
        <v>3.9E-2</v>
      </c>
      <c r="AA90">
        <v>2.3E-2</v>
      </c>
      <c r="AB90">
        <v>0.56200000000000006</v>
      </c>
      <c r="AC90" t="s">
        <v>348</v>
      </c>
      <c r="AD90" t="s">
        <v>348</v>
      </c>
      <c r="AE90" t="s">
        <v>348</v>
      </c>
      <c r="AF90" t="s">
        <v>348</v>
      </c>
      <c r="AG90" t="s">
        <v>348</v>
      </c>
      <c r="AH90" t="s">
        <v>348</v>
      </c>
      <c r="AI90">
        <v>0.81299999999999994</v>
      </c>
      <c r="AJ90" t="s">
        <v>348</v>
      </c>
      <c r="AK90">
        <v>1.038</v>
      </c>
      <c r="AL90" t="s">
        <v>348</v>
      </c>
      <c r="AM90" t="s">
        <v>348</v>
      </c>
      <c r="AN90" t="s">
        <v>348</v>
      </c>
      <c r="AO90" t="s">
        <v>348</v>
      </c>
      <c r="AP90">
        <v>0.129</v>
      </c>
      <c r="AQ90">
        <v>0.14099999999999999</v>
      </c>
      <c r="AR90" t="s">
        <v>348</v>
      </c>
      <c r="AS90" t="s">
        <v>348</v>
      </c>
      <c r="AT90" t="s">
        <v>348</v>
      </c>
      <c r="AU90" t="s">
        <v>348</v>
      </c>
      <c r="AV90" t="s">
        <v>348</v>
      </c>
      <c r="AW90">
        <v>0.313</v>
      </c>
      <c r="AX90" t="s">
        <v>348</v>
      </c>
      <c r="AY90" t="s">
        <v>348</v>
      </c>
      <c r="AZ90" t="s">
        <v>348</v>
      </c>
      <c r="BA90" t="s">
        <v>348</v>
      </c>
      <c r="BB90" t="s">
        <v>348</v>
      </c>
      <c r="BC90" t="s">
        <v>348</v>
      </c>
      <c r="BD90" t="s">
        <v>348</v>
      </c>
      <c r="BE90" t="s">
        <v>348</v>
      </c>
      <c r="BF90" t="s">
        <v>348</v>
      </c>
      <c r="BG90" t="s">
        <v>348</v>
      </c>
      <c r="BH90" t="s">
        <v>348</v>
      </c>
      <c r="BI90" t="s">
        <v>348</v>
      </c>
      <c r="BJ90" t="s">
        <v>348</v>
      </c>
      <c r="BK90" t="s">
        <v>348</v>
      </c>
      <c r="BL90" t="s">
        <v>348</v>
      </c>
      <c r="BM90" t="s">
        <v>348</v>
      </c>
      <c r="BN90">
        <v>0.72699999999999998</v>
      </c>
      <c r="BO90" t="s">
        <v>348</v>
      </c>
      <c r="BP90">
        <v>4.8000000000000001E-2</v>
      </c>
      <c r="BQ90" t="s">
        <v>348</v>
      </c>
      <c r="BR90" t="s">
        <v>348</v>
      </c>
      <c r="BS90" t="s">
        <v>348</v>
      </c>
      <c r="BT90" t="s">
        <v>348</v>
      </c>
      <c r="BU90" t="s">
        <v>348</v>
      </c>
      <c r="BV90" t="s">
        <v>348</v>
      </c>
      <c r="BW90" t="s">
        <v>348</v>
      </c>
      <c r="BX90" t="s">
        <v>348</v>
      </c>
      <c r="BY90" t="s">
        <v>348</v>
      </c>
      <c r="BZ90" t="s">
        <v>348</v>
      </c>
      <c r="CA90" t="s">
        <v>348</v>
      </c>
      <c r="CB90" t="s">
        <v>348</v>
      </c>
      <c r="CC90" t="s">
        <v>348</v>
      </c>
      <c r="CD90" t="s">
        <v>348</v>
      </c>
      <c r="CE90" t="s">
        <v>348</v>
      </c>
      <c r="CF90" t="s">
        <v>348</v>
      </c>
      <c r="CG90">
        <v>2</v>
      </c>
      <c r="CH90">
        <v>4</v>
      </c>
      <c r="CI90">
        <v>5</v>
      </c>
    </row>
    <row r="91" spans="1:87" x14ac:dyDescent="0.25">
      <c r="A91">
        <v>90</v>
      </c>
      <c r="B91" s="51" t="s">
        <v>354</v>
      </c>
      <c r="C91">
        <v>44518</v>
      </c>
      <c r="D91" t="s">
        <v>348</v>
      </c>
      <c r="E91">
        <v>1.4999999999999999E-2</v>
      </c>
      <c r="F91" t="s">
        <v>348</v>
      </c>
      <c r="G91">
        <v>2.8000000000000001E-2</v>
      </c>
      <c r="H91" t="s">
        <v>348</v>
      </c>
      <c r="I91" t="s">
        <v>348</v>
      </c>
      <c r="J91" t="s">
        <v>348</v>
      </c>
      <c r="K91" t="s">
        <v>348</v>
      </c>
      <c r="L91">
        <v>3.1989999999999998</v>
      </c>
      <c r="M91" t="s">
        <v>348</v>
      </c>
      <c r="N91">
        <v>4.2789999999999999</v>
      </c>
      <c r="O91">
        <v>0.36399999999999999</v>
      </c>
      <c r="P91" t="s">
        <v>348</v>
      </c>
      <c r="Q91" t="s">
        <v>348</v>
      </c>
      <c r="R91" t="s">
        <v>348</v>
      </c>
      <c r="S91" t="s">
        <v>348</v>
      </c>
      <c r="T91" t="s">
        <v>348</v>
      </c>
      <c r="U91" t="s">
        <v>348</v>
      </c>
      <c r="V91" t="s">
        <v>348</v>
      </c>
      <c r="W91" t="s">
        <v>348</v>
      </c>
      <c r="X91" t="s">
        <v>348</v>
      </c>
      <c r="Y91" t="s">
        <v>348</v>
      </c>
      <c r="Z91">
        <v>4.3000000000000003E-2</v>
      </c>
      <c r="AA91" t="s">
        <v>348</v>
      </c>
      <c r="AB91">
        <v>0.27400000000000002</v>
      </c>
      <c r="AC91" t="s">
        <v>348</v>
      </c>
      <c r="AD91" t="s">
        <v>348</v>
      </c>
      <c r="AE91" t="s">
        <v>348</v>
      </c>
      <c r="AF91" t="s">
        <v>348</v>
      </c>
      <c r="AG91" t="s">
        <v>348</v>
      </c>
      <c r="AH91" t="s">
        <v>348</v>
      </c>
      <c r="AI91">
        <v>2.68</v>
      </c>
      <c r="AJ91" t="s">
        <v>348</v>
      </c>
      <c r="AK91">
        <v>0.88300000000000001</v>
      </c>
      <c r="AL91" t="s">
        <v>348</v>
      </c>
      <c r="AM91" t="s">
        <v>348</v>
      </c>
      <c r="AN91" t="s">
        <v>348</v>
      </c>
      <c r="AO91" t="s">
        <v>348</v>
      </c>
      <c r="AP91">
        <v>0.13700000000000001</v>
      </c>
      <c r="AQ91">
        <v>9.8000000000000004E-2</v>
      </c>
      <c r="AR91" t="s">
        <v>348</v>
      </c>
      <c r="AS91" t="s">
        <v>348</v>
      </c>
      <c r="AT91" t="s">
        <v>348</v>
      </c>
      <c r="AU91" t="s">
        <v>348</v>
      </c>
      <c r="AV91" t="s">
        <v>348</v>
      </c>
      <c r="AW91" t="s">
        <v>348</v>
      </c>
      <c r="AX91" t="s">
        <v>348</v>
      </c>
      <c r="AY91" t="s">
        <v>348</v>
      </c>
      <c r="AZ91" t="s">
        <v>348</v>
      </c>
      <c r="BA91" t="s">
        <v>348</v>
      </c>
      <c r="BB91" t="s">
        <v>348</v>
      </c>
      <c r="BC91" t="s">
        <v>348</v>
      </c>
      <c r="BD91" t="s">
        <v>348</v>
      </c>
      <c r="BE91" t="s">
        <v>348</v>
      </c>
      <c r="BF91" t="s">
        <v>348</v>
      </c>
      <c r="BG91" t="s">
        <v>348</v>
      </c>
      <c r="BH91" t="s">
        <v>348</v>
      </c>
      <c r="BI91" t="s">
        <v>348</v>
      </c>
      <c r="BJ91" t="s">
        <v>348</v>
      </c>
      <c r="BK91" t="s">
        <v>348</v>
      </c>
      <c r="BL91" t="s">
        <v>348</v>
      </c>
      <c r="BM91" t="s">
        <v>348</v>
      </c>
      <c r="BN91">
        <v>0.36799999999999999</v>
      </c>
      <c r="BO91" t="s">
        <v>348</v>
      </c>
      <c r="BP91">
        <v>6.9000000000000006E-2</v>
      </c>
      <c r="BQ91" t="s">
        <v>348</v>
      </c>
      <c r="BR91" t="s">
        <v>348</v>
      </c>
      <c r="BS91" t="s">
        <v>348</v>
      </c>
      <c r="BT91" t="s">
        <v>348</v>
      </c>
      <c r="BU91" t="s">
        <v>348</v>
      </c>
      <c r="BV91" t="s">
        <v>348</v>
      </c>
      <c r="BW91" t="s">
        <v>348</v>
      </c>
      <c r="BX91" t="s">
        <v>348</v>
      </c>
      <c r="BY91" t="s">
        <v>348</v>
      </c>
      <c r="BZ91" t="s">
        <v>348</v>
      </c>
      <c r="CA91" t="s">
        <v>348</v>
      </c>
      <c r="CB91" t="s">
        <v>348</v>
      </c>
      <c r="CC91" t="s">
        <v>348</v>
      </c>
      <c r="CD91" t="s">
        <v>348</v>
      </c>
      <c r="CE91" t="s">
        <v>348</v>
      </c>
      <c r="CF91" t="s">
        <v>348</v>
      </c>
      <c r="CG91">
        <v>2</v>
      </c>
      <c r="CH91">
        <v>4</v>
      </c>
      <c r="CI91">
        <v>5</v>
      </c>
    </row>
    <row r="92" spans="1:87" x14ac:dyDescent="0.25">
      <c r="A92">
        <v>91</v>
      </c>
      <c r="B92" s="51" t="s">
        <v>356</v>
      </c>
      <c r="C92">
        <v>44518</v>
      </c>
      <c r="D92" t="s">
        <v>348</v>
      </c>
      <c r="E92">
        <v>7.0000000000000001E-3</v>
      </c>
      <c r="F92" t="s">
        <v>348</v>
      </c>
      <c r="G92">
        <v>1.7000000000000001E-2</v>
      </c>
      <c r="H92" t="s">
        <v>348</v>
      </c>
      <c r="I92" t="s">
        <v>348</v>
      </c>
      <c r="J92" t="s">
        <v>348</v>
      </c>
      <c r="K92" t="s">
        <v>348</v>
      </c>
      <c r="L92">
        <v>3.2269999999999999</v>
      </c>
      <c r="M92" t="s">
        <v>348</v>
      </c>
      <c r="N92">
        <v>4.508</v>
      </c>
      <c r="O92">
        <v>0.45899999999999996</v>
      </c>
      <c r="P92" t="s">
        <v>348</v>
      </c>
      <c r="Q92" t="s">
        <v>348</v>
      </c>
      <c r="R92" t="s">
        <v>348</v>
      </c>
      <c r="S92" t="s">
        <v>348</v>
      </c>
      <c r="T92" t="s">
        <v>348</v>
      </c>
      <c r="U92" t="s">
        <v>348</v>
      </c>
      <c r="V92" t="s">
        <v>348</v>
      </c>
      <c r="W92" t="s">
        <v>348</v>
      </c>
      <c r="X92" t="s">
        <v>348</v>
      </c>
      <c r="Y92" t="s">
        <v>348</v>
      </c>
      <c r="Z92">
        <v>4.2000000000000003E-2</v>
      </c>
      <c r="AA92" t="s">
        <v>348</v>
      </c>
      <c r="AB92">
        <v>0.28000000000000003</v>
      </c>
      <c r="AC92" t="s">
        <v>348</v>
      </c>
      <c r="AD92" t="s">
        <v>348</v>
      </c>
      <c r="AE92" t="s">
        <v>348</v>
      </c>
      <c r="AF92" t="s">
        <v>348</v>
      </c>
      <c r="AG92" t="s">
        <v>348</v>
      </c>
      <c r="AH92" t="s">
        <v>348</v>
      </c>
      <c r="AI92">
        <v>3.1179999999999999</v>
      </c>
      <c r="AJ92" t="s">
        <v>348</v>
      </c>
      <c r="AK92">
        <v>0.76700000000000002</v>
      </c>
      <c r="AL92" t="s">
        <v>348</v>
      </c>
      <c r="AM92" t="s">
        <v>348</v>
      </c>
      <c r="AN92" t="s">
        <v>348</v>
      </c>
      <c r="AO92" t="s">
        <v>348</v>
      </c>
      <c r="AP92">
        <v>0.152</v>
      </c>
      <c r="AQ92">
        <v>0.12</v>
      </c>
      <c r="AR92" t="s">
        <v>348</v>
      </c>
      <c r="AS92" t="s">
        <v>348</v>
      </c>
      <c r="AT92" t="s">
        <v>348</v>
      </c>
      <c r="AU92" t="s">
        <v>348</v>
      </c>
      <c r="AV92" t="s">
        <v>348</v>
      </c>
      <c r="AW92" t="s">
        <v>348</v>
      </c>
      <c r="AX92" t="s">
        <v>348</v>
      </c>
      <c r="AY92" t="s">
        <v>348</v>
      </c>
      <c r="AZ92" t="s">
        <v>348</v>
      </c>
      <c r="BA92" t="s">
        <v>348</v>
      </c>
      <c r="BB92" t="s">
        <v>348</v>
      </c>
      <c r="BC92" t="s">
        <v>348</v>
      </c>
      <c r="BD92" t="s">
        <v>348</v>
      </c>
      <c r="BE92" t="s">
        <v>348</v>
      </c>
      <c r="BF92" t="s">
        <v>348</v>
      </c>
      <c r="BG92" t="s">
        <v>348</v>
      </c>
      <c r="BH92" t="s">
        <v>348</v>
      </c>
      <c r="BI92" t="s">
        <v>348</v>
      </c>
      <c r="BJ92" t="s">
        <v>348</v>
      </c>
      <c r="BK92" t="s">
        <v>348</v>
      </c>
      <c r="BL92" t="s">
        <v>348</v>
      </c>
      <c r="BM92" t="s">
        <v>348</v>
      </c>
      <c r="BN92">
        <v>0.46200000000000002</v>
      </c>
      <c r="BO92" t="s">
        <v>348</v>
      </c>
      <c r="BP92">
        <v>6.7000000000000004E-2</v>
      </c>
      <c r="BQ92" t="s">
        <v>348</v>
      </c>
      <c r="BR92" t="s">
        <v>348</v>
      </c>
      <c r="BS92" t="s">
        <v>348</v>
      </c>
      <c r="BT92" t="s">
        <v>348</v>
      </c>
      <c r="BU92" t="s">
        <v>348</v>
      </c>
      <c r="BV92" t="s">
        <v>348</v>
      </c>
      <c r="BW92" t="s">
        <v>348</v>
      </c>
      <c r="BX92" t="s">
        <v>348</v>
      </c>
      <c r="BY92" t="s">
        <v>348</v>
      </c>
      <c r="BZ92" t="s">
        <v>348</v>
      </c>
      <c r="CA92" t="s">
        <v>348</v>
      </c>
      <c r="CB92" t="s">
        <v>348</v>
      </c>
      <c r="CC92" t="s">
        <v>348</v>
      </c>
      <c r="CD92" t="s">
        <v>348</v>
      </c>
      <c r="CE92" t="s">
        <v>348</v>
      </c>
      <c r="CF92" t="s">
        <v>348</v>
      </c>
      <c r="CG92">
        <v>2</v>
      </c>
      <c r="CH92">
        <v>4</v>
      </c>
      <c r="CI92">
        <v>5</v>
      </c>
    </row>
    <row r="93" spans="1:87" x14ac:dyDescent="0.25">
      <c r="A93">
        <v>92</v>
      </c>
      <c r="B93" s="51" t="s">
        <v>358</v>
      </c>
      <c r="C93">
        <v>44518</v>
      </c>
      <c r="D93" t="s">
        <v>348</v>
      </c>
      <c r="E93">
        <v>6.0000000000000001E-3</v>
      </c>
      <c r="F93" t="s">
        <v>348</v>
      </c>
      <c r="G93">
        <v>0.52100000000000002</v>
      </c>
      <c r="H93">
        <v>0.55100000000000005</v>
      </c>
      <c r="I93">
        <v>0.90500000000000003</v>
      </c>
      <c r="J93" t="s">
        <v>348</v>
      </c>
      <c r="K93" t="s">
        <v>348</v>
      </c>
      <c r="L93">
        <v>0.80100000000000005</v>
      </c>
      <c r="M93" t="s">
        <v>348</v>
      </c>
      <c r="N93">
        <v>2.823</v>
      </c>
      <c r="O93">
        <v>0.248</v>
      </c>
      <c r="P93" t="s">
        <v>348</v>
      </c>
      <c r="Q93" t="s">
        <v>348</v>
      </c>
      <c r="R93" t="s">
        <v>348</v>
      </c>
      <c r="S93" t="s">
        <v>348</v>
      </c>
      <c r="T93" t="s">
        <v>348</v>
      </c>
      <c r="U93" t="s">
        <v>348</v>
      </c>
      <c r="V93" t="s">
        <v>348</v>
      </c>
      <c r="W93" t="s">
        <v>348</v>
      </c>
      <c r="X93" t="s">
        <v>348</v>
      </c>
      <c r="Y93" t="s">
        <v>348</v>
      </c>
      <c r="Z93">
        <v>2.4E-2</v>
      </c>
      <c r="AA93" t="s">
        <v>348</v>
      </c>
      <c r="AB93">
        <v>7.8999999999999987E-2</v>
      </c>
      <c r="AC93" t="s">
        <v>348</v>
      </c>
      <c r="AD93" t="s">
        <v>348</v>
      </c>
      <c r="AE93" t="s">
        <v>348</v>
      </c>
      <c r="AF93" t="s">
        <v>348</v>
      </c>
      <c r="AG93" t="s">
        <v>348</v>
      </c>
      <c r="AH93" t="s">
        <v>348</v>
      </c>
      <c r="AI93">
        <v>11.602</v>
      </c>
      <c r="AJ93" t="s">
        <v>348</v>
      </c>
      <c r="AK93">
        <v>0.93</v>
      </c>
      <c r="AL93" t="s">
        <v>348</v>
      </c>
      <c r="AM93" t="s">
        <v>348</v>
      </c>
      <c r="AN93" t="s">
        <v>348</v>
      </c>
      <c r="AO93" t="s">
        <v>348</v>
      </c>
      <c r="AP93">
        <v>0.115</v>
      </c>
      <c r="AQ93">
        <v>0.17499999999999999</v>
      </c>
      <c r="AR93" t="s">
        <v>348</v>
      </c>
      <c r="AS93" t="s">
        <v>348</v>
      </c>
      <c r="AT93" t="s">
        <v>348</v>
      </c>
      <c r="AU93" t="s">
        <v>348</v>
      </c>
      <c r="AV93" t="s">
        <v>348</v>
      </c>
      <c r="AW93" t="s">
        <v>348</v>
      </c>
      <c r="AX93" t="s">
        <v>348</v>
      </c>
      <c r="AY93" t="s">
        <v>348</v>
      </c>
      <c r="AZ93" t="s">
        <v>348</v>
      </c>
      <c r="BA93" t="s">
        <v>348</v>
      </c>
      <c r="BB93" t="s">
        <v>348</v>
      </c>
      <c r="BC93" t="s">
        <v>348</v>
      </c>
      <c r="BD93" t="s">
        <v>348</v>
      </c>
      <c r="BE93" t="s">
        <v>348</v>
      </c>
      <c r="BF93" t="s">
        <v>348</v>
      </c>
      <c r="BG93" t="s">
        <v>348</v>
      </c>
      <c r="BH93" t="s">
        <v>348</v>
      </c>
      <c r="BI93" t="s">
        <v>348</v>
      </c>
      <c r="BJ93" t="s">
        <v>348</v>
      </c>
      <c r="BK93" t="s">
        <v>348</v>
      </c>
      <c r="BL93" t="s">
        <v>348</v>
      </c>
      <c r="BM93" t="s">
        <v>348</v>
      </c>
      <c r="BN93">
        <v>0.42399999999999999</v>
      </c>
      <c r="BO93" t="s">
        <v>348</v>
      </c>
      <c r="BP93">
        <v>0.106</v>
      </c>
      <c r="BQ93" t="s">
        <v>348</v>
      </c>
      <c r="BR93" t="s">
        <v>348</v>
      </c>
      <c r="BS93" t="s">
        <v>348</v>
      </c>
      <c r="BT93" t="s">
        <v>348</v>
      </c>
      <c r="BU93" t="s">
        <v>348</v>
      </c>
      <c r="BV93" t="s">
        <v>348</v>
      </c>
      <c r="BW93" t="s">
        <v>348</v>
      </c>
      <c r="BX93" t="s">
        <v>348</v>
      </c>
      <c r="BY93" t="s">
        <v>348</v>
      </c>
      <c r="BZ93" t="s">
        <v>348</v>
      </c>
      <c r="CA93" t="s">
        <v>348</v>
      </c>
      <c r="CB93" t="s">
        <v>348</v>
      </c>
      <c r="CC93" t="s">
        <v>348</v>
      </c>
      <c r="CD93" t="s">
        <v>348</v>
      </c>
      <c r="CE93" t="s">
        <v>348</v>
      </c>
      <c r="CF93" t="s">
        <v>348</v>
      </c>
      <c r="CG93">
        <v>2</v>
      </c>
      <c r="CH93">
        <v>4</v>
      </c>
      <c r="CI93">
        <v>5</v>
      </c>
    </row>
    <row r="94" spans="1:87" x14ac:dyDescent="0.25">
      <c r="A94">
        <v>93</v>
      </c>
      <c r="B94" s="51" t="s">
        <v>360</v>
      </c>
      <c r="C94">
        <v>44518</v>
      </c>
      <c r="D94" t="s">
        <v>348</v>
      </c>
      <c r="E94">
        <v>1.9E-2</v>
      </c>
      <c r="F94" t="s">
        <v>348</v>
      </c>
      <c r="G94">
        <v>0.42799999999999999</v>
      </c>
      <c r="H94">
        <v>0.70899999999999996</v>
      </c>
      <c r="I94">
        <v>1.0780000000000001</v>
      </c>
      <c r="J94" t="s">
        <v>348</v>
      </c>
      <c r="K94" t="s">
        <v>348</v>
      </c>
      <c r="L94">
        <v>0.80400000000000005</v>
      </c>
      <c r="M94" t="s">
        <v>348</v>
      </c>
      <c r="N94">
        <v>3.23</v>
      </c>
      <c r="O94">
        <v>0.441</v>
      </c>
      <c r="P94" t="s">
        <v>348</v>
      </c>
      <c r="Q94" t="s">
        <v>348</v>
      </c>
      <c r="R94" t="s">
        <v>348</v>
      </c>
      <c r="S94" t="s">
        <v>348</v>
      </c>
      <c r="T94" t="s">
        <v>348</v>
      </c>
      <c r="U94" t="s">
        <v>348</v>
      </c>
      <c r="V94" t="s">
        <v>348</v>
      </c>
      <c r="W94" t="s">
        <v>348</v>
      </c>
      <c r="X94" t="s">
        <v>348</v>
      </c>
      <c r="Y94" t="s">
        <v>348</v>
      </c>
      <c r="Z94">
        <v>3.4000000000000002E-2</v>
      </c>
      <c r="AA94" t="s">
        <v>348</v>
      </c>
      <c r="AB94">
        <v>7.0000000000000007E-2</v>
      </c>
      <c r="AC94" t="s">
        <v>348</v>
      </c>
      <c r="AD94" t="s">
        <v>348</v>
      </c>
      <c r="AE94" t="s">
        <v>348</v>
      </c>
      <c r="AF94" t="s">
        <v>348</v>
      </c>
      <c r="AG94" t="s">
        <v>348</v>
      </c>
      <c r="AH94" t="s">
        <v>348</v>
      </c>
      <c r="AI94">
        <v>9.3949999999999996</v>
      </c>
      <c r="AJ94" t="s">
        <v>348</v>
      </c>
      <c r="AK94">
        <v>0.4</v>
      </c>
      <c r="AL94" t="s">
        <v>348</v>
      </c>
      <c r="AM94" t="s">
        <v>348</v>
      </c>
      <c r="AN94" t="s">
        <v>348</v>
      </c>
      <c r="AO94" t="s">
        <v>348</v>
      </c>
      <c r="AP94">
        <v>0.108</v>
      </c>
      <c r="AQ94">
        <v>0.11499999999999999</v>
      </c>
      <c r="AR94" t="s">
        <v>348</v>
      </c>
      <c r="AS94" t="s">
        <v>348</v>
      </c>
      <c r="AT94" t="s">
        <v>348</v>
      </c>
      <c r="AU94" t="s">
        <v>348</v>
      </c>
      <c r="AV94" t="s">
        <v>348</v>
      </c>
      <c r="AW94" t="s">
        <v>348</v>
      </c>
      <c r="AX94" t="s">
        <v>348</v>
      </c>
      <c r="AY94" t="s">
        <v>348</v>
      </c>
      <c r="AZ94" t="s">
        <v>348</v>
      </c>
      <c r="BA94" t="s">
        <v>348</v>
      </c>
      <c r="BB94" t="s">
        <v>348</v>
      </c>
      <c r="BC94" t="s">
        <v>348</v>
      </c>
      <c r="BD94" t="s">
        <v>348</v>
      </c>
      <c r="BE94" t="s">
        <v>348</v>
      </c>
      <c r="BF94" t="s">
        <v>348</v>
      </c>
      <c r="BG94" t="s">
        <v>348</v>
      </c>
      <c r="BH94" t="s">
        <v>348</v>
      </c>
      <c r="BI94" t="s">
        <v>348</v>
      </c>
      <c r="BJ94" t="s">
        <v>348</v>
      </c>
      <c r="BK94" t="s">
        <v>348</v>
      </c>
      <c r="BL94" t="s">
        <v>348</v>
      </c>
      <c r="BM94" t="s">
        <v>348</v>
      </c>
      <c r="BN94">
        <v>0.38900000000000001</v>
      </c>
      <c r="BO94" t="s">
        <v>348</v>
      </c>
      <c r="BP94">
        <v>0.124</v>
      </c>
      <c r="BQ94" t="s">
        <v>348</v>
      </c>
      <c r="BR94" t="s">
        <v>348</v>
      </c>
      <c r="BS94" t="s">
        <v>348</v>
      </c>
      <c r="BT94" t="s">
        <v>348</v>
      </c>
      <c r="BU94" t="s">
        <v>348</v>
      </c>
      <c r="BV94" t="s">
        <v>348</v>
      </c>
      <c r="BW94" t="s">
        <v>348</v>
      </c>
      <c r="BX94" t="s">
        <v>348</v>
      </c>
      <c r="BY94" t="s">
        <v>348</v>
      </c>
      <c r="BZ94" t="s">
        <v>348</v>
      </c>
      <c r="CA94" t="s">
        <v>348</v>
      </c>
      <c r="CB94" t="s">
        <v>348</v>
      </c>
      <c r="CC94" t="s">
        <v>348</v>
      </c>
      <c r="CD94" t="s">
        <v>348</v>
      </c>
      <c r="CE94" t="s">
        <v>348</v>
      </c>
      <c r="CF94" t="s">
        <v>348</v>
      </c>
      <c r="CG94">
        <v>2</v>
      </c>
      <c r="CH94">
        <v>4</v>
      </c>
      <c r="CI94">
        <v>5</v>
      </c>
    </row>
    <row r="95" spans="1:87" x14ac:dyDescent="0.25">
      <c r="A95">
        <v>94</v>
      </c>
      <c r="B95" s="51" t="s">
        <v>362</v>
      </c>
      <c r="C95">
        <v>44579</v>
      </c>
      <c r="D95" t="s">
        <v>348</v>
      </c>
      <c r="E95">
        <v>4.0000000000000001E-3</v>
      </c>
      <c r="F95" t="s">
        <v>348</v>
      </c>
      <c r="G95">
        <v>0.14499999999999999</v>
      </c>
      <c r="H95" t="s">
        <v>348</v>
      </c>
      <c r="I95" t="s">
        <v>348</v>
      </c>
      <c r="J95" t="s">
        <v>348</v>
      </c>
      <c r="K95" t="s">
        <v>348</v>
      </c>
      <c r="L95">
        <v>5.9169999999999998</v>
      </c>
      <c r="M95" t="s">
        <v>348</v>
      </c>
      <c r="N95">
        <v>1.2430000000000001</v>
      </c>
      <c r="O95">
        <v>0.04</v>
      </c>
      <c r="P95" t="s">
        <v>348</v>
      </c>
      <c r="Q95" t="s">
        <v>348</v>
      </c>
      <c r="R95" t="s">
        <v>348</v>
      </c>
      <c r="S95" t="s">
        <v>348</v>
      </c>
      <c r="T95" t="s">
        <v>348</v>
      </c>
      <c r="U95" t="s">
        <v>348</v>
      </c>
      <c r="V95" t="s">
        <v>348</v>
      </c>
      <c r="W95" t="s">
        <v>348</v>
      </c>
      <c r="X95" t="s">
        <v>348</v>
      </c>
      <c r="Y95" t="s">
        <v>348</v>
      </c>
      <c r="Z95">
        <v>0.50800000000000001</v>
      </c>
      <c r="AA95">
        <v>7.0000000000000001E-3</v>
      </c>
      <c r="AB95">
        <v>1.1400000000000001</v>
      </c>
      <c r="AC95" t="s">
        <v>348</v>
      </c>
      <c r="AD95" t="s">
        <v>348</v>
      </c>
      <c r="AE95" t="s">
        <v>348</v>
      </c>
      <c r="AF95" t="s">
        <v>348</v>
      </c>
      <c r="AG95" t="s">
        <v>348</v>
      </c>
      <c r="AH95" t="s">
        <v>348</v>
      </c>
      <c r="AI95">
        <v>2.1680000000000001</v>
      </c>
      <c r="AJ95" t="s">
        <v>348</v>
      </c>
      <c r="AK95">
        <v>0.44500000000000001</v>
      </c>
      <c r="AL95" t="s">
        <v>348</v>
      </c>
      <c r="AM95" t="s">
        <v>348</v>
      </c>
      <c r="AN95" t="s">
        <v>348</v>
      </c>
      <c r="AO95" t="s">
        <v>348</v>
      </c>
      <c r="AP95">
        <v>0.65400000000000003</v>
      </c>
      <c r="AQ95">
        <v>0.28299999999999997</v>
      </c>
      <c r="AR95" t="s">
        <v>348</v>
      </c>
      <c r="AS95" t="s">
        <v>348</v>
      </c>
      <c r="AT95" t="s">
        <v>348</v>
      </c>
      <c r="AU95" t="s">
        <v>348</v>
      </c>
      <c r="AV95" t="s">
        <v>348</v>
      </c>
      <c r="AW95">
        <v>1.911</v>
      </c>
      <c r="AX95" t="s">
        <v>348</v>
      </c>
      <c r="AY95" t="s">
        <v>348</v>
      </c>
      <c r="AZ95" t="s">
        <v>348</v>
      </c>
      <c r="BA95" t="s">
        <v>348</v>
      </c>
      <c r="BB95" t="s">
        <v>348</v>
      </c>
      <c r="BC95" t="s">
        <v>348</v>
      </c>
      <c r="BD95" t="s">
        <v>348</v>
      </c>
      <c r="BE95" t="s">
        <v>348</v>
      </c>
      <c r="BF95" t="s">
        <v>348</v>
      </c>
      <c r="BG95" t="s">
        <v>348</v>
      </c>
      <c r="BH95" t="s">
        <v>348</v>
      </c>
      <c r="BI95" t="s">
        <v>348</v>
      </c>
      <c r="BJ95" t="s">
        <v>348</v>
      </c>
      <c r="BK95" t="s">
        <v>348</v>
      </c>
      <c r="BL95" t="s">
        <v>348</v>
      </c>
      <c r="BM95" t="s">
        <v>348</v>
      </c>
      <c r="BN95">
        <v>0.67500000000000004</v>
      </c>
      <c r="BO95" t="s">
        <v>348</v>
      </c>
      <c r="BP95">
        <v>0.32100000000000001</v>
      </c>
      <c r="BQ95" t="s">
        <v>348</v>
      </c>
      <c r="BR95" t="s">
        <v>348</v>
      </c>
      <c r="BS95" t="s">
        <v>348</v>
      </c>
      <c r="BT95" t="s">
        <v>348</v>
      </c>
      <c r="BU95" t="s">
        <v>348</v>
      </c>
      <c r="BV95" t="s">
        <v>348</v>
      </c>
      <c r="BW95" t="s">
        <v>348</v>
      </c>
      <c r="BX95" t="s">
        <v>348</v>
      </c>
      <c r="BY95" t="s">
        <v>348</v>
      </c>
      <c r="BZ95" t="s">
        <v>348</v>
      </c>
      <c r="CA95" t="s">
        <v>348</v>
      </c>
      <c r="CB95" t="s">
        <v>348</v>
      </c>
      <c r="CC95" t="s">
        <v>348</v>
      </c>
      <c r="CD95" t="s">
        <v>348</v>
      </c>
      <c r="CE95" t="s">
        <v>348</v>
      </c>
      <c r="CF95" t="s">
        <v>348</v>
      </c>
      <c r="CG95">
        <v>2</v>
      </c>
      <c r="CH95">
        <v>4</v>
      </c>
      <c r="CI95">
        <v>5</v>
      </c>
    </row>
    <row r="96" spans="1:87" x14ac:dyDescent="0.25">
      <c r="A96">
        <v>95</v>
      </c>
      <c r="B96" s="51" t="s">
        <v>364</v>
      </c>
      <c r="C96">
        <v>44579</v>
      </c>
      <c r="D96" t="s">
        <v>348</v>
      </c>
      <c r="E96">
        <v>2E-3</v>
      </c>
      <c r="F96" t="s">
        <v>348</v>
      </c>
      <c r="G96">
        <v>0.27500000000000002</v>
      </c>
      <c r="H96">
        <v>0.18</v>
      </c>
      <c r="I96">
        <v>0.47099999999999997</v>
      </c>
      <c r="J96" t="s">
        <v>348</v>
      </c>
      <c r="K96" t="s">
        <v>348</v>
      </c>
      <c r="L96">
        <v>7.6980000000000004</v>
      </c>
      <c r="M96" t="s">
        <v>348</v>
      </c>
      <c r="N96">
        <v>4.157</v>
      </c>
      <c r="O96">
        <v>0.15</v>
      </c>
      <c r="P96" t="s">
        <v>348</v>
      </c>
      <c r="Q96" t="s">
        <v>348</v>
      </c>
      <c r="R96" t="s">
        <v>348</v>
      </c>
      <c r="S96" t="s">
        <v>348</v>
      </c>
      <c r="T96" t="s">
        <v>348</v>
      </c>
      <c r="U96" t="s">
        <v>348</v>
      </c>
      <c r="V96" t="s">
        <v>348</v>
      </c>
      <c r="W96" t="s">
        <v>348</v>
      </c>
      <c r="X96" t="s">
        <v>348</v>
      </c>
      <c r="Y96" t="s">
        <v>348</v>
      </c>
      <c r="Z96">
        <v>0.33799999999999997</v>
      </c>
      <c r="AA96" t="s">
        <v>348</v>
      </c>
      <c r="AB96">
        <v>9.0999999999999998E-2</v>
      </c>
      <c r="AC96" t="s">
        <v>348</v>
      </c>
      <c r="AD96" t="s">
        <v>348</v>
      </c>
      <c r="AE96" t="s">
        <v>348</v>
      </c>
      <c r="AF96" t="s">
        <v>348</v>
      </c>
      <c r="AG96" t="s">
        <v>348</v>
      </c>
      <c r="AH96" t="s">
        <v>348</v>
      </c>
      <c r="AI96">
        <v>7.1849999999999996</v>
      </c>
      <c r="AJ96" t="s">
        <v>348</v>
      </c>
      <c r="AK96">
        <v>0.83499999999999996</v>
      </c>
      <c r="AL96" t="s">
        <v>348</v>
      </c>
      <c r="AM96" t="s">
        <v>348</v>
      </c>
      <c r="AN96" t="s">
        <v>348</v>
      </c>
      <c r="AO96" t="s">
        <v>348</v>
      </c>
      <c r="AP96">
        <v>3.1619999999999999</v>
      </c>
      <c r="AQ96">
        <v>0.22399999999999998</v>
      </c>
      <c r="AR96" t="s">
        <v>348</v>
      </c>
      <c r="AS96" t="s">
        <v>348</v>
      </c>
      <c r="AT96" t="s">
        <v>348</v>
      </c>
      <c r="AU96" t="s">
        <v>348</v>
      </c>
      <c r="AV96" t="s">
        <v>348</v>
      </c>
      <c r="AW96">
        <v>1.784</v>
      </c>
      <c r="AX96" t="s">
        <v>348</v>
      </c>
      <c r="AY96" t="s">
        <v>348</v>
      </c>
      <c r="AZ96" t="s">
        <v>348</v>
      </c>
      <c r="BA96" t="s">
        <v>348</v>
      </c>
      <c r="BB96" t="s">
        <v>348</v>
      </c>
      <c r="BC96" t="s">
        <v>348</v>
      </c>
      <c r="BD96" t="s">
        <v>348</v>
      </c>
      <c r="BE96" t="s">
        <v>348</v>
      </c>
      <c r="BF96" t="s">
        <v>348</v>
      </c>
      <c r="BG96" t="s">
        <v>348</v>
      </c>
      <c r="BH96" t="s">
        <v>348</v>
      </c>
      <c r="BI96" t="s">
        <v>348</v>
      </c>
      <c r="BJ96" t="s">
        <v>348</v>
      </c>
      <c r="BK96" t="s">
        <v>348</v>
      </c>
      <c r="BL96" t="s">
        <v>348</v>
      </c>
      <c r="BM96" t="s">
        <v>348</v>
      </c>
      <c r="BN96">
        <v>0.41</v>
      </c>
      <c r="BO96" t="s">
        <v>348</v>
      </c>
      <c r="BP96">
        <v>0.26700000000000002</v>
      </c>
      <c r="BQ96" t="s">
        <v>348</v>
      </c>
      <c r="BR96" t="s">
        <v>348</v>
      </c>
      <c r="BS96" t="s">
        <v>348</v>
      </c>
      <c r="BT96" t="s">
        <v>348</v>
      </c>
      <c r="BU96" t="s">
        <v>348</v>
      </c>
      <c r="BV96" t="s">
        <v>348</v>
      </c>
      <c r="BW96" t="s">
        <v>348</v>
      </c>
      <c r="BX96" t="s">
        <v>348</v>
      </c>
      <c r="BY96" t="s">
        <v>348</v>
      </c>
      <c r="BZ96" t="s">
        <v>348</v>
      </c>
      <c r="CA96" t="s">
        <v>348</v>
      </c>
      <c r="CB96" t="s">
        <v>348</v>
      </c>
      <c r="CC96" t="s">
        <v>348</v>
      </c>
      <c r="CD96" t="s">
        <v>348</v>
      </c>
      <c r="CE96" t="s">
        <v>348</v>
      </c>
      <c r="CF96" t="s">
        <v>348</v>
      </c>
      <c r="CG96">
        <v>2</v>
      </c>
      <c r="CH96">
        <v>4</v>
      </c>
      <c r="CI96">
        <v>5</v>
      </c>
    </row>
    <row r="97" spans="1:87" x14ac:dyDescent="0.25">
      <c r="A97">
        <v>96</v>
      </c>
      <c r="B97" s="51" t="s">
        <v>366</v>
      </c>
      <c r="C97">
        <v>44579</v>
      </c>
      <c r="D97" t="s">
        <v>348</v>
      </c>
      <c r="E97">
        <v>0.01</v>
      </c>
      <c r="F97" t="s">
        <v>348</v>
      </c>
      <c r="G97">
        <v>8.2000000000000003E-2</v>
      </c>
      <c r="H97" t="s">
        <v>348</v>
      </c>
      <c r="I97" t="s">
        <v>348</v>
      </c>
      <c r="J97" t="s">
        <v>348</v>
      </c>
      <c r="K97" t="s">
        <v>348</v>
      </c>
      <c r="L97">
        <v>6.7809999999999997</v>
      </c>
      <c r="M97" t="s">
        <v>348</v>
      </c>
      <c r="N97">
        <v>2.3420000000000001</v>
      </c>
      <c r="O97">
        <v>3.6999999999999998E-2</v>
      </c>
      <c r="P97" t="s">
        <v>348</v>
      </c>
      <c r="Q97" t="s">
        <v>348</v>
      </c>
      <c r="R97" t="s">
        <v>348</v>
      </c>
      <c r="S97" t="s">
        <v>348</v>
      </c>
      <c r="T97" t="s">
        <v>348</v>
      </c>
      <c r="U97" t="s">
        <v>348</v>
      </c>
      <c r="V97" t="s">
        <v>348</v>
      </c>
      <c r="W97" t="s">
        <v>348</v>
      </c>
      <c r="X97" t="s">
        <v>348</v>
      </c>
      <c r="Y97" t="s">
        <v>348</v>
      </c>
      <c r="Z97">
        <v>115.59099999999999</v>
      </c>
      <c r="AA97" t="s">
        <v>348</v>
      </c>
      <c r="AB97">
        <v>1.262</v>
      </c>
      <c r="AC97" t="s">
        <v>348</v>
      </c>
      <c r="AD97" t="s">
        <v>348</v>
      </c>
      <c r="AE97" t="s">
        <v>348</v>
      </c>
      <c r="AF97" t="s">
        <v>348</v>
      </c>
      <c r="AG97" t="s">
        <v>348</v>
      </c>
      <c r="AH97" t="s">
        <v>348</v>
      </c>
      <c r="AI97">
        <v>72.05</v>
      </c>
      <c r="AJ97" t="s">
        <v>348</v>
      </c>
      <c r="AK97">
        <v>0.73899999999999999</v>
      </c>
      <c r="AL97" t="s">
        <v>348</v>
      </c>
      <c r="AM97" t="s">
        <v>348</v>
      </c>
      <c r="AN97" t="s">
        <v>348</v>
      </c>
      <c r="AO97" t="s">
        <v>348</v>
      </c>
      <c r="AP97">
        <v>0.312</v>
      </c>
      <c r="AQ97">
        <v>0.32500000000000001</v>
      </c>
      <c r="AR97" t="s">
        <v>348</v>
      </c>
      <c r="AS97" t="s">
        <v>348</v>
      </c>
      <c r="AT97" t="s">
        <v>348</v>
      </c>
      <c r="AU97" t="s">
        <v>348</v>
      </c>
      <c r="AV97" t="s">
        <v>348</v>
      </c>
      <c r="AW97">
        <v>1006.5260000000001</v>
      </c>
      <c r="AX97" t="s">
        <v>348</v>
      </c>
      <c r="AY97" t="s">
        <v>348</v>
      </c>
      <c r="AZ97" t="s">
        <v>348</v>
      </c>
      <c r="BA97" t="s">
        <v>348</v>
      </c>
      <c r="BB97" t="s">
        <v>348</v>
      </c>
      <c r="BC97" t="s">
        <v>348</v>
      </c>
      <c r="BD97" t="s">
        <v>348</v>
      </c>
      <c r="BE97" t="s">
        <v>348</v>
      </c>
      <c r="BF97" t="s">
        <v>348</v>
      </c>
      <c r="BG97" t="s">
        <v>348</v>
      </c>
      <c r="BH97" t="s">
        <v>348</v>
      </c>
      <c r="BI97" t="s">
        <v>348</v>
      </c>
      <c r="BJ97" t="s">
        <v>348</v>
      </c>
      <c r="BK97" t="s">
        <v>348</v>
      </c>
      <c r="BL97" t="s">
        <v>348</v>
      </c>
      <c r="BM97" t="s">
        <v>348</v>
      </c>
      <c r="BN97">
        <v>0.64700000000000002</v>
      </c>
      <c r="BO97" t="s">
        <v>348</v>
      </c>
      <c r="BP97">
        <v>0.25</v>
      </c>
      <c r="BQ97" t="s">
        <v>348</v>
      </c>
      <c r="BR97" t="s">
        <v>348</v>
      </c>
      <c r="BS97" t="s">
        <v>348</v>
      </c>
      <c r="BT97" t="s">
        <v>348</v>
      </c>
      <c r="BU97" t="s">
        <v>348</v>
      </c>
      <c r="BV97" t="s">
        <v>348</v>
      </c>
      <c r="BW97" t="s">
        <v>348</v>
      </c>
      <c r="BX97" t="s">
        <v>348</v>
      </c>
      <c r="BY97" t="s">
        <v>348</v>
      </c>
      <c r="BZ97" t="s">
        <v>348</v>
      </c>
      <c r="CA97" t="s">
        <v>348</v>
      </c>
      <c r="CB97" t="s">
        <v>348</v>
      </c>
      <c r="CC97" t="s">
        <v>348</v>
      </c>
      <c r="CD97" t="s">
        <v>348</v>
      </c>
      <c r="CE97" t="s">
        <v>348</v>
      </c>
      <c r="CF97" t="s">
        <v>348</v>
      </c>
      <c r="CG97">
        <v>2</v>
      </c>
      <c r="CH97">
        <v>4</v>
      </c>
      <c r="CI97">
        <v>5</v>
      </c>
    </row>
    <row r="98" spans="1:87" x14ac:dyDescent="0.25">
      <c r="A98">
        <v>97</v>
      </c>
      <c r="B98" s="51" t="s">
        <v>368</v>
      </c>
      <c r="C98">
        <v>44579</v>
      </c>
      <c r="D98" t="s">
        <v>348</v>
      </c>
      <c r="E98">
        <v>2E-3</v>
      </c>
      <c r="F98" t="s">
        <v>348</v>
      </c>
      <c r="G98">
        <v>0.13100000000000001</v>
      </c>
      <c r="H98" t="s">
        <v>348</v>
      </c>
      <c r="I98" t="s">
        <v>348</v>
      </c>
      <c r="J98" t="s">
        <v>348</v>
      </c>
      <c r="K98" t="s">
        <v>348</v>
      </c>
      <c r="L98">
        <v>7.6619999999999999</v>
      </c>
      <c r="M98" t="s">
        <v>348</v>
      </c>
      <c r="N98">
        <v>4.0919999999999996</v>
      </c>
      <c r="O98">
        <v>8.6000000000000007E-2</v>
      </c>
      <c r="P98" t="s">
        <v>348</v>
      </c>
      <c r="Q98" t="s">
        <v>348</v>
      </c>
      <c r="R98" t="s">
        <v>348</v>
      </c>
      <c r="S98" t="s">
        <v>348</v>
      </c>
      <c r="T98" t="s">
        <v>348</v>
      </c>
      <c r="U98" t="s">
        <v>348</v>
      </c>
      <c r="V98" t="s">
        <v>348</v>
      </c>
      <c r="W98" t="s">
        <v>348</v>
      </c>
      <c r="X98" t="s">
        <v>348</v>
      </c>
      <c r="Y98" t="s">
        <v>348</v>
      </c>
      <c r="Z98">
        <v>5.4670000000000005</v>
      </c>
      <c r="AA98" t="s">
        <v>348</v>
      </c>
      <c r="AB98">
        <v>2.7999999999999997E-2</v>
      </c>
      <c r="AC98" t="s">
        <v>348</v>
      </c>
      <c r="AD98" t="s">
        <v>348</v>
      </c>
      <c r="AE98" t="s">
        <v>348</v>
      </c>
      <c r="AF98" t="s">
        <v>348</v>
      </c>
      <c r="AG98" t="s">
        <v>348</v>
      </c>
      <c r="AH98" t="s">
        <v>348</v>
      </c>
      <c r="AI98">
        <v>21.550999999999998</v>
      </c>
      <c r="AJ98" t="s">
        <v>348</v>
      </c>
      <c r="AK98">
        <v>1.056</v>
      </c>
      <c r="AL98" t="s">
        <v>348</v>
      </c>
      <c r="AM98" t="s">
        <v>348</v>
      </c>
      <c r="AN98" t="s">
        <v>348</v>
      </c>
      <c r="AO98" t="s">
        <v>348</v>
      </c>
      <c r="AP98">
        <v>0.39</v>
      </c>
      <c r="AQ98">
        <v>0.28699999999999998</v>
      </c>
      <c r="AR98" t="s">
        <v>348</v>
      </c>
      <c r="AS98" t="s">
        <v>348</v>
      </c>
      <c r="AT98" t="s">
        <v>348</v>
      </c>
      <c r="AU98" t="s">
        <v>348</v>
      </c>
      <c r="AV98" t="s">
        <v>348</v>
      </c>
      <c r="AW98">
        <v>30.273999999999997</v>
      </c>
      <c r="AX98" t="s">
        <v>348</v>
      </c>
      <c r="AY98" t="s">
        <v>348</v>
      </c>
      <c r="AZ98" t="s">
        <v>348</v>
      </c>
      <c r="BA98" t="s">
        <v>348</v>
      </c>
      <c r="BB98" t="s">
        <v>348</v>
      </c>
      <c r="BC98" t="s">
        <v>348</v>
      </c>
      <c r="BD98" t="s">
        <v>348</v>
      </c>
      <c r="BE98" t="s">
        <v>348</v>
      </c>
      <c r="BF98" t="s">
        <v>348</v>
      </c>
      <c r="BG98" t="s">
        <v>348</v>
      </c>
      <c r="BH98" t="s">
        <v>348</v>
      </c>
      <c r="BI98" t="s">
        <v>348</v>
      </c>
      <c r="BJ98" t="s">
        <v>348</v>
      </c>
      <c r="BK98" t="s">
        <v>348</v>
      </c>
      <c r="BL98" t="s">
        <v>348</v>
      </c>
      <c r="BM98" t="s">
        <v>348</v>
      </c>
      <c r="BN98">
        <v>0.44600000000000001</v>
      </c>
      <c r="BO98" t="s">
        <v>348</v>
      </c>
      <c r="BP98">
        <v>0.13300000000000001</v>
      </c>
      <c r="BQ98" t="s">
        <v>348</v>
      </c>
      <c r="BR98" t="s">
        <v>348</v>
      </c>
      <c r="BS98" t="s">
        <v>348</v>
      </c>
      <c r="BT98" t="s">
        <v>348</v>
      </c>
      <c r="BU98" t="s">
        <v>348</v>
      </c>
      <c r="BV98" t="s">
        <v>348</v>
      </c>
      <c r="BW98" t="s">
        <v>348</v>
      </c>
      <c r="BX98" t="s">
        <v>348</v>
      </c>
      <c r="BY98" t="s">
        <v>348</v>
      </c>
      <c r="BZ98" t="s">
        <v>348</v>
      </c>
      <c r="CA98" t="s">
        <v>348</v>
      </c>
      <c r="CB98" t="s">
        <v>348</v>
      </c>
      <c r="CC98" t="s">
        <v>348</v>
      </c>
      <c r="CD98" t="s">
        <v>348</v>
      </c>
      <c r="CE98" t="s">
        <v>348</v>
      </c>
      <c r="CF98" t="s">
        <v>348</v>
      </c>
      <c r="CG98">
        <v>2</v>
      </c>
      <c r="CH98">
        <v>4</v>
      </c>
      <c r="CI98">
        <v>5</v>
      </c>
    </row>
    <row r="99" spans="1:87" x14ac:dyDescent="0.25">
      <c r="A99">
        <v>98</v>
      </c>
      <c r="B99" s="51" t="s">
        <v>370</v>
      </c>
      <c r="C99">
        <v>44551</v>
      </c>
      <c r="D99" t="s">
        <v>348</v>
      </c>
      <c r="E99">
        <v>8.9999999999999993E-3</v>
      </c>
      <c r="F99" t="s">
        <v>348</v>
      </c>
      <c r="G99" t="s">
        <v>348</v>
      </c>
      <c r="H99" t="s">
        <v>348</v>
      </c>
      <c r="I99" t="s">
        <v>348</v>
      </c>
      <c r="J99" t="s">
        <v>348</v>
      </c>
      <c r="K99" t="s">
        <v>348</v>
      </c>
      <c r="L99">
        <v>5.4669999999999996</v>
      </c>
      <c r="M99" t="s">
        <v>348</v>
      </c>
      <c r="N99">
        <v>2.3359999999999999</v>
      </c>
      <c r="O99">
        <v>0.13899999999999998</v>
      </c>
      <c r="P99" t="s">
        <v>348</v>
      </c>
      <c r="Q99" t="s">
        <v>348</v>
      </c>
      <c r="R99" t="s">
        <v>348</v>
      </c>
      <c r="S99" t="s">
        <v>348</v>
      </c>
      <c r="T99" t="s">
        <v>348</v>
      </c>
      <c r="U99" t="s">
        <v>348</v>
      </c>
      <c r="V99" t="s">
        <v>348</v>
      </c>
      <c r="W99" t="s">
        <v>348</v>
      </c>
      <c r="X99" t="s">
        <v>348</v>
      </c>
      <c r="Y99" t="s">
        <v>348</v>
      </c>
      <c r="Z99">
        <v>2.7000000000000003E-2</v>
      </c>
      <c r="AA99">
        <v>2.5000000000000001E-2</v>
      </c>
      <c r="AB99">
        <v>0.18599999999999997</v>
      </c>
      <c r="AC99" t="s">
        <v>348</v>
      </c>
      <c r="AD99" t="s">
        <v>348</v>
      </c>
      <c r="AE99" t="s">
        <v>348</v>
      </c>
      <c r="AF99" t="s">
        <v>348</v>
      </c>
      <c r="AG99" t="s">
        <v>348</v>
      </c>
      <c r="AH99" t="s">
        <v>348</v>
      </c>
      <c r="AI99">
        <v>0.222</v>
      </c>
      <c r="AJ99" t="s">
        <v>348</v>
      </c>
      <c r="AK99">
        <v>0.44700000000000001</v>
      </c>
      <c r="AL99" t="s">
        <v>348</v>
      </c>
      <c r="AM99" t="s">
        <v>348</v>
      </c>
      <c r="AN99" t="s">
        <v>348</v>
      </c>
      <c r="AO99" t="s">
        <v>348</v>
      </c>
      <c r="AP99">
        <v>8.2000000000000003E-2</v>
      </c>
      <c r="AQ99">
        <v>9.8000000000000004E-2</v>
      </c>
      <c r="AR99" t="s">
        <v>348</v>
      </c>
      <c r="AS99" t="s">
        <v>348</v>
      </c>
      <c r="AT99" t="s">
        <v>348</v>
      </c>
      <c r="AU99" t="s">
        <v>348</v>
      </c>
      <c r="AV99" t="s">
        <v>348</v>
      </c>
      <c r="AW99">
        <v>0.23599999999999999</v>
      </c>
      <c r="AX99" t="s">
        <v>348</v>
      </c>
      <c r="AY99" t="s">
        <v>348</v>
      </c>
      <c r="AZ99" t="s">
        <v>348</v>
      </c>
      <c r="BA99" t="s">
        <v>348</v>
      </c>
      <c r="BB99" t="s">
        <v>348</v>
      </c>
      <c r="BC99" t="s">
        <v>348</v>
      </c>
      <c r="BD99" t="s">
        <v>348</v>
      </c>
      <c r="BE99" t="s">
        <v>348</v>
      </c>
      <c r="BF99" t="s">
        <v>348</v>
      </c>
      <c r="BG99" t="s">
        <v>348</v>
      </c>
      <c r="BH99" t="s">
        <v>348</v>
      </c>
      <c r="BI99" t="s">
        <v>348</v>
      </c>
      <c r="BJ99" t="s">
        <v>348</v>
      </c>
      <c r="BK99" t="s">
        <v>348</v>
      </c>
      <c r="BL99" t="s">
        <v>348</v>
      </c>
      <c r="BM99" t="s">
        <v>348</v>
      </c>
      <c r="BN99">
        <v>0.39300000000000002</v>
      </c>
      <c r="BO99" t="s">
        <v>348</v>
      </c>
      <c r="BP99">
        <v>1.7000000000000001E-2</v>
      </c>
      <c r="BQ99" t="s">
        <v>348</v>
      </c>
      <c r="BR99" t="s">
        <v>348</v>
      </c>
      <c r="BS99" t="s">
        <v>348</v>
      </c>
      <c r="BT99" t="s">
        <v>348</v>
      </c>
      <c r="BU99" t="s">
        <v>348</v>
      </c>
      <c r="BV99" t="s">
        <v>348</v>
      </c>
      <c r="BW99" t="s">
        <v>348</v>
      </c>
      <c r="BX99" t="s">
        <v>348</v>
      </c>
      <c r="BY99" t="s">
        <v>348</v>
      </c>
      <c r="BZ99" t="s">
        <v>348</v>
      </c>
      <c r="CA99" t="s">
        <v>348</v>
      </c>
      <c r="CB99" t="s">
        <v>348</v>
      </c>
      <c r="CC99" t="s">
        <v>348</v>
      </c>
      <c r="CD99" t="s">
        <v>348</v>
      </c>
      <c r="CE99" t="s">
        <v>348</v>
      </c>
      <c r="CF99" t="s">
        <v>348</v>
      </c>
      <c r="CG99">
        <v>2</v>
      </c>
      <c r="CH99">
        <v>4</v>
      </c>
      <c r="CI99">
        <v>5</v>
      </c>
    </row>
    <row r="100" spans="1:87" x14ac:dyDescent="0.25">
      <c r="A100">
        <v>99</v>
      </c>
      <c r="B100" s="51" t="s">
        <v>372</v>
      </c>
      <c r="C100">
        <v>44551</v>
      </c>
      <c r="D100" t="s">
        <v>348</v>
      </c>
      <c r="E100">
        <v>8.9999999999999993E-3</v>
      </c>
      <c r="F100" t="s">
        <v>348</v>
      </c>
      <c r="G100" t="s">
        <v>348</v>
      </c>
      <c r="H100" t="s">
        <v>348</v>
      </c>
      <c r="I100" t="s">
        <v>348</v>
      </c>
      <c r="J100" t="s">
        <v>348</v>
      </c>
      <c r="K100" t="s">
        <v>348</v>
      </c>
      <c r="L100">
        <v>5.0259999999999998</v>
      </c>
      <c r="M100" t="s">
        <v>348</v>
      </c>
      <c r="N100">
        <v>3.879</v>
      </c>
      <c r="O100">
        <v>0.27699999999999997</v>
      </c>
      <c r="P100" t="s">
        <v>348</v>
      </c>
      <c r="Q100" t="s">
        <v>348</v>
      </c>
      <c r="R100" t="s">
        <v>348</v>
      </c>
      <c r="S100" t="s">
        <v>348</v>
      </c>
      <c r="T100" t="s">
        <v>348</v>
      </c>
      <c r="U100" t="s">
        <v>348</v>
      </c>
      <c r="V100" t="s">
        <v>348</v>
      </c>
      <c r="W100" t="s">
        <v>348</v>
      </c>
      <c r="X100" t="s">
        <v>348</v>
      </c>
      <c r="Y100" t="s">
        <v>348</v>
      </c>
      <c r="Z100">
        <v>1.0999999999999999E-2</v>
      </c>
      <c r="AA100">
        <v>2.4E-2</v>
      </c>
      <c r="AB100">
        <v>0.20599999999999999</v>
      </c>
      <c r="AC100" t="s">
        <v>348</v>
      </c>
      <c r="AD100" t="s">
        <v>348</v>
      </c>
      <c r="AE100" t="s">
        <v>348</v>
      </c>
      <c r="AF100" t="s">
        <v>348</v>
      </c>
      <c r="AG100" t="s">
        <v>348</v>
      </c>
      <c r="AH100" t="s">
        <v>348</v>
      </c>
      <c r="AI100">
        <v>0.26100000000000001</v>
      </c>
      <c r="AJ100" t="s">
        <v>348</v>
      </c>
      <c r="AK100">
        <v>0.86899999999999999</v>
      </c>
      <c r="AL100" t="s">
        <v>348</v>
      </c>
      <c r="AM100" t="s">
        <v>348</v>
      </c>
      <c r="AN100" t="s">
        <v>348</v>
      </c>
      <c r="AO100" t="s">
        <v>348</v>
      </c>
      <c r="AP100">
        <v>6.3E-2</v>
      </c>
      <c r="AQ100">
        <v>8.8999999999999996E-2</v>
      </c>
      <c r="AR100" t="s">
        <v>348</v>
      </c>
      <c r="AS100" t="s">
        <v>348</v>
      </c>
      <c r="AT100" t="s">
        <v>348</v>
      </c>
      <c r="AU100" t="s">
        <v>348</v>
      </c>
      <c r="AV100" t="s">
        <v>348</v>
      </c>
      <c r="AW100">
        <v>0.192</v>
      </c>
      <c r="AX100" t="s">
        <v>348</v>
      </c>
      <c r="AY100" t="s">
        <v>348</v>
      </c>
      <c r="AZ100" t="s">
        <v>348</v>
      </c>
      <c r="BA100" t="s">
        <v>348</v>
      </c>
      <c r="BB100" t="s">
        <v>348</v>
      </c>
      <c r="BC100" t="s">
        <v>348</v>
      </c>
      <c r="BD100" t="s">
        <v>348</v>
      </c>
      <c r="BE100" t="s">
        <v>348</v>
      </c>
      <c r="BF100" t="s">
        <v>348</v>
      </c>
      <c r="BG100" t="s">
        <v>348</v>
      </c>
      <c r="BH100" t="s">
        <v>348</v>
      </c>
      <c r="BI100" t="s">
        <v>348</v>
      </c>
      <c r="BJ100" t="s">
        <v>348</v>
      </c>
      <c r="BK100" t="s">
        <v>348</v>
      </c>
      <c r="BL100" t="s">
        <v>348</v>
      </c>
      <c r="BM100" t="s">
        <v>348</v>
      </c>
      <c r="BN100">
        <v>0.39500000000000002</v>
      </c>
      <c r="BO100" t="s">
        <v>348</v>
      </c>
      <c r="BP100">
        <v>2.3E-2</v>
      </c>
      <c r="BQ100" t="s">
        <v>348</v>
      </c>
      <c r="BR100" t="s">
        <v>348</v>
      </c>
      <c r="BS100" t="s">
        <v>348</v>
      </c>
      <c r="BT100" t="s">
        <v>348</v>
      </c>
      <c r="BU100" t="s">
        <v>348</v>
      </c>
      <c r="BV100" t="s">
        <v>348</v>
      </c>
      <c r="BW100" t="s">
        <v>348</v>
      </c>
      <c r="BX100" t="s">
        <v>348</v>
      </c>
      <c r="BY100" t="s">
        <v>348</v>
      </c>
      <c r="BZ100" t="s">
        <v>348</v>
      </c>
      <c r="CA100" t="s">
        <v>348</v>
      </c>
      <c r="CB100" t="s">
        <v>348</v>
      </c>
      <c r="CC100" t="s">
        <v>348</v>
      </c>
      <c r="CD100" t="s">
        <v>348</v>
      </c>
      <c r="CE100" t="s">
        <v>348</v>
      </c>
      <c r="CF100" t="s">
        <v>348</v>
      </c>
      <c r="CG100">
        <v>2</v>
      </c>
      <c r="CH100">
        <v>4</v>
      </c>
      <c r="CI100">
        <v>5</v>
      </c>
    </row>
    <row r="101" spans="1:87" x14ac:dyDescent="0.25">
      <c r="A101">
        <v>100</v>
      </c>
      <c r="B101" s="51" t="s">
        <v>374</v>
      </c>
      <c r="C101">
        <v>44551</v>
      </c>
      <c r="D101" t="s">
        <v>348</v>
      </c>
      <c r="E101">
        <v>0.01</v>
      </c>
      <c r="F101" t="s">
        <v>348</v>
      </c>
      <c r="G101" t="s">
        <v>348</v>
      </c>
      <c r="H101" t="s">
        <v>348</v>
      </c>
      <c r="I101" t="s">
        <v>348</v>
      </c>
      <c r="J101" t="s">
        <v>348</v>
      </c>
      <c r="K101" t="s">
        <v>348</v>
      </c>
      <c r="L101">
        <v>1.68</v>
      </c>
      <c r="M101" t="s">
        <v>348</v>
      </c>
      <c r="N101">
        <v>2.0630000000000002</v>
      </c>
      <c r="O101">
        <v>0.11900000000000001</v>
      </c>
      <c r="P101" t="s">
        <v>348</v>
      </c>
      <c r="Q101" t="s">
        <v>348</v>
      </c>
      <c r="R101" t="s">
        <v>348</v>
      </c>
      <c r="S101" t="s">
        <v>348</v>
      </c>
      <c r="T101" t="s">
        <v>348</v>
      </c>
      <c r="U101" t="s">
        <v>348</v>
      </c>
      <c r="V101" t="s">
        <v>348</v>
      </c>
      <c r="W101" t="s">
        <v>348</v>
      </c>
      <c r="X101" t="s">
        <v>348</v>
      </c>
      <c r="Y101" t="s">
        <v>348</v>
      </c>
      <c r="Z101">
        <v>3.6999999999999998E-2</v>
      </c>
      <c r="AA101" t="s">
        <v>348</v>
      </c>
      <c r="AB101">
        <v>0.25700000000000001</v>
      </c>
      <c r="AC101" t="s">
        <v>348</v>
      </c>
      <c r="AD101" t="s">
        <v>348</v>
      </c>
      <c r="AE101" t="s">
        <v>348</v>
      </c>
      <c r="AF101" t="s">
        <v>348</v>
      </c>
      <c r="AG101" t="s">
        <v>348</v>
      </c>
      <c r="AH101" t="s">
        <v>348</v>
      </c>
      <c r="AI101">
        <v>1.4159999999999999</v>
      </c>
      <c r="AJ101" t="s">
        <v>348</v>
      </c>
      <c r="AK101">
        <v>0.59899999999999998</v>
      </c>
      <c r="AL101" t="s">
        <v>348</v>
      </c>
      <c r="AM101" t="s">
        <v>348</v>
      </c>
      <c r="AN101" t="s">
        <v>348</v>
      </c>
      <c r="AO101" t="s">
        <v>348</v>
      </c>
      <c r="AP101">
        <v>9.1999999999999998E-2</v>
      </c>
      <c r="AQ101">
        <v>6.6000000000000003E-2</v>
      </c>
      <c r="AR101" t="s">
        <v>348</v>
      </c>
      <c r="AS101" t="s">
        <v>348</v>
      </c>
      <c r="AT101" t="s">
        <v>348</v>
      </c>
      <c r="AU101" t="s">
        <v>348</v>
      </c>
      <c r="AV101" t="s">
        <v>348</v>
      </c>
      <c r="AW101" t="s">
        <v>348</v>
      </c>
      <c r="AX101" t="s">
        <v>348</v>
      </c>
      <c r="AY101" t="s">
        <v>348</v>
      </c>
      <c r="AZ101" t="s">
        <v>348</v>
      </c>
      <c r="BA101" t="s">
        <v>348</v>
      </c>
      <c r="BB101" t="s">
        <v>348</v>
      </c>
      <c r="BC101" t="s">
        <v>348</v>
      </c>
      <c r="BD101" t="s">
        <v>348</v>
      </c>
      <c r="BE101" t="s">
        <v>348</v>
      </c>
      <c r="BF101" t="s">
        <v>348</v>
      </c>
      <c r="BG101" t="s">
        <v>348</v>
      </c>
      <c r="BH101" t="s">
        <v>348</v>
      </c>
      <c r="BI101" t="s">
        <v>348</v>
      </c>
      <c r="BJ101" t="s">
        <v>348</v>
      </c>
      <c r="BK101" t="s">
        <v>348</v>
      </c>
      <c r="BL101" t="s">
        <v>348</v>
      </c>
      <c r="BM101" t="s">
        <v>348</v>
      </c>
      <c r="BN101">
        <v>0.22700000000000001</v>
      </c>
      <c r="BO101" t="s">
        <v>348</v>
      </c>
      <c r="BP101">
        <v>3.3000000000000002E-2</v>
      </c>
      <c r="BQ101" t="s">
        <v>348</v>
      </c>
      <c r="BR101" t="s">
        <v>348</v>
      </c>
      <c r="BS101" t="s">
        <v>348</v>
      </c>
      <c r="BT101" t="s">
        <v>348</v>
      </c>
      <c r="BU101" t="s">
        <v>348</v>
      </c>
      <c r="BV101" t="s">
        <v>348</v>
      </c>
      <c r="BW101" t="s">
        <v>348</v>
      </c>
      <c r="BX101" t="s">
        <v>348</v>
      </c>
      <c r="BY101" t="s">
        <v>348</v>
      </c>
      <c r="BZ101" t="s">
        <v>348</v>
      </c>
      <c r="CA101" t="s">
        <v>348</v>
      </c>
      <c r="CB101" t="s">
        <v>348</v>
      </c>
      <c r="CC101" t="s">
        <v>348</v>
      </c>
      <c r="CD101" t="s">
        <v>348</v>
      </c>
      <c r="CE101" t="s">
        <v>348</v>
      </c>
      <c r="CF101" t="s">
        <v>348</v>
      </c>
      <c r="CG101">
        <v>2</v>
      </c>
      <c r="CH101">
        <v>4</v>
      </c>
      <c r="CI101">
        <v>5</v>
      </c>
    </row>
    <row r="102" spans="1:87" x14ac:dyDescent="0.25">
      <c r="A102">
        <v>101</v>
      </c>
      <c r="B102" s="51" t="s">
        <v>376</v>
      </c>
      <c r="C102">
        <v>44551</v>
      </c>
      <c r="D102" t="s">
        <v>348</v>
      </c>
      <c r="E102">
        <v>5.0000000000000001E-3</v>
      </c>
      <c r="F102" t="s">
        <v>348</v>
      </c>
      <c r="G102">
        <v>2.1999999999999999E-2</v>
      </c>
      <c r="H102" t="s">
        <v>348</v>
      </c>
      <c r="I102" t="s">
        <v>348</v>
      </c>
      <c r="J102" t="s">
        <v>348</v>
      </c>
      <c r="K102" t="s">
        <v>348</v>
      </c>
      <c r="L102">
        <v>1.8360000000000001</v>
      </c>
      <c r="M102" t="s">
        <v>348</v>
      </c>
      <c r="N102">
        <v>4.7190000000000003</v>
      </c>
      <c r="O102">
        <v>0.39400000000000002</v>
      </c>
      <c r="P102" t="s">
        <v>348</v>
      </c>
      <c r="Q102" t="s">
        <v>348</v>
      </c>
      <c r="R102" t="s">
        <v>348</v>
      </c>
      <c r="S102" t="s">
        <v>348</v>
      </c>
      <c r="T102" t="s">
        <v>348</v>
      </c>
      <c r="U102" t="s">
        <v>348</v>
      </c>
      <c r="V102" t="s">
        <v>348</v>
      </c>
      <c r="W102" t="s">
        <v>348</v>
      </c>
      <c r="X102" t="s">
        <v>348</v>
      </c>
      <c r="Y102" t="s">
        <v>348</v>
      </c>
      <c r="Z102">
        <v>2.7000000000000003E-2</v>
      </c>
      <c r="AA102" t="s">
        <v>348</v>
      </c>
      <c r="AB102">
        <v>0.35799999999999998</v>
      </c>
      <c r="AC102" t="s">
        <v>348</v>
      </c>
      <c r="AD102" t="s">
        <v>348</v>
      </c>
      <c r="AE102" t="s">
        <v>348</v>
      </c>
      <c r="AF102" t="s">
        <v>348</v>
      </c>
      <c r="AG102" t="s">
        <v>348</v>
      </c>
      <c r="AH102" t="s">
        <v>348</v>
      </c>
      <c r="AI102">
        <v>1.681</v>
      </c>
      <c r="AJ102" t="s">
        <v>348</v>
      </c>
      <c r="AK102">
        <v>0.97599999999999998</v>
      </c>
      <c r="AL102" t="s">
        <v>348</v>
      </c>
      <c r="AM102" t="s">
        <v>348</v>
      </c>
      <c r="AN102" t="s">
        <v>348</v>
      </c>
      <c r="AO102" t="s">
        <v>348</v>
      </c>
      <c r="AP102">
        <v>0.16900000000000001</v>
      </c>
      <c r="AQ102">
        <v>0.26400000000000001</v>
      </c>
      <c r="AR102" t="s">
        <v>348</v>
      </c>
      <c r="AS102" t="s">
        <v>348</v>
      </c>
      <c r="AT102" t="s">
        <v>348</v>
      </c>
      <c r="AU102" t="s">
        <v>348</v>
      </c>
      <c r="AV102" t="s">
        <v>348</v>
      </c>
      <c r="AW102" t="s">
        <v>348</v>
      </c>
      <c r="AX102" t="s">
        <v>348</v>
      </c>
      <c r="AY102" t="s">
        <v>348</v>
      </c>
      <c r="AZ102" t="s">
        <v>348</v>
      </c>
      <c r="BA102" t="s">
        <v>348</v>
      </c>
      <c r="BB102" t="s">
        <v>348</v>
      </c>
      <c r="BC102" t="s">
        <v>348</v>
      </c>
      <c r="BD102" t="s">
        <v>348</v>
      </c>
      <c r="BE102" t="s">
        <v>348</v>
      </c>
      <c r="BF102" t="s">
        <v>348</v>
      </c>
      <c r="BG102" t="s">
        <v>348</v>
      </c>
      <c r="BH102" t="s">
        <v>348</v>
      </c>
      <c r="BI102" t="s">
        <v>348</v>
      </c>
      <c r="BJ102" t="s">
        <v>348</v>
      </c>
      <c r="BK102" t="s">
        <v>348</v>
      </c>
      <c r="BL102" t="s">
        <v>348</v>
      </c>
      <c r="BM102" t="s">
        <v>348</v>
      </c>
      <c r="BN102">
        <v>0.28100000000000003</v>
      </c>
      <c r="BO102" t="s">
        <v>348</v>
      </c>
      <c r="BP102">
        <v>4.7E-2</v>
      </c>
      <c r="BQ102" t="s">
        <v>348</v>
      </c>
      <c r="BR102" t="s">
        <v>348</v>
      </c>
      <c r="BS102" t="s">
        <v>348</v>
      </c>
      <c r="BT102" t="s">
        <v>348</v>
      </c>
      <c r="BU102" t="s">
        <v>348</v>
      </c>
      <c r="BV102" t="s">
        <v>348</v>
      </c>
      <c r="BW102" t="s">
        <v>348</v>
      </c>
      <c r="BX102" t="s">
        <v>348</v>
      </c>
      <c r="BY102" t="s">
        <v>348</v>
      </c>
      <c r="BZ102" t="s">
        <v>348</v>
      </c>
      <c r="CA102" t="s">
        <v>348</v>
      </c>
      <c r="CB102" t="s">
        <v>348</v>
      </c>
      <c r="CC102" t="s">
        <v>348</v>
      </c>
      <c r="CD102" t="s">
        <v>348</v>
      </c>
      <c r="CE102" t="s">
        <v>348</v>
      </c>
      <c r="CF102" t="s">
        <v>348</v>
      </c>
      <c r="CG102">
        <v>2</v>
      </c>
      <c r="CH102">
        <v>4</v>
      </c>
      <c r="CI102">
        <v>5</v>
      </c>
    </row>
    <row r="103" spans="1:87" x14ac:dyDescent="0.25">
      <c r="A103">
        <v>102</v>
      </c>
      <c r="B103" s="51" t="s">
        <v>378</v>
      </c>
      <c r="C103">
        <v>44551</v>
      </c>
      <c r="D103" t="s">
        <v>348</v>
      </c>
      <c r="E103">
        <v>4.0000000000000001E-3</v>
      </c>
      <c r="F103" t="s">
        <v>348</v>
      </c>
      <c r="G103">
        <v>0.33300000000000002</v>
      </c>
      <c r="H103">
        <v>0.17899999999999999</v>
      </c>
      <c r="I103">
        <v>0.309</v>
      </c>
      <c r="J103" t="s">
        <v>348</v>
      </c>
      <c r="K103" t="s">
        <v>348</v>
      </c>
      <c r="L103">
        <v>19.681999999999999</v>
      </c>
      <c r="M103" t="s">
        <v>348</v>
      </c>
      <c r="N103">
        <v>2.8860000000000001</v>
      </c>
      <c r="O103">
        <v>0.154</v>
      </c>
      <c r="P103" t="s">
        <v>348</v>
      </c>
      <c r="Q103" t="s">
        <v>348</v>
      </c>
      <c r="R103" t="s">
        <v>348</v>
      </c>
      <c r="S103" t="s">
        <v>348</v>
      </c>
      <c r="T103" t="s">
        <v>348</v>
      </c>
      <c r="U103" t="s">
        <v>348</v>
      </c>
      <c r="V103" t="s">
        <v>348</v>
      </c>
      <c r="W103" t="s">
        <v>348</v>
      </c>
      <c r="X103" t="s">
        <v>348</v>
      </c>
      <c r="Y103" t="s">
        <v>348</v>
      </c>
      <c r="Z103">
        <v>7.9999999999999988E-2</v>
      </c>
      <c r="AA103" t="s">
        <v>348</v>
      </c>
      <c r="AB103">
        <v>0.14099999999999999</v>
      </c>
      <c r="AC103" t="s">
        <v>348</v>
      </c>
      <c r="AD103" t="s">
        <v>348</v>
      </c>
      <c r="AE103" t="s">
        <v>348</v>
      </c>
      <c r="AF103" t="s">
        <v>348</v>
      </c>
      <c r="AG103" t="s">
        <v>348</v>
      </c>
      <c r="AH103" t="s">
        <v>348</v>
      </c>
      <c r="AI103">
        <v>9.8420000000000005</v>
      </c>
      <c r="AJ103" t="s">
        <v>348</v>
      </c>
      <c r="AK103">
        <v>0.68899999999999995</v>
      </c>
      <c r="AL103" t="s">
        <v>348</v>
      </c>
      <c r="AM103" t="s">
        <v>348</v>
      </c>
      <c r="AN103" t="s">
        <v>348</v>
      </c>
      <c r="AO103" t="s">
        <v>348</v>
      </c>
      <c r="AP103">
        <v>0.34799999999999998</v>
      </c>
      <c r="AQ103">
        <v>0.16800000000000001</v>
      </c>
      <c r="AR103" t="s">
        <v>348</v>
      </c>
      <c r="AS103" t="s">
        <v>348</v>
      </c>
      <c r="AT103" t="s">
        <v>348</v>
      </c>
      <c r="AU103" t="s">
        <v>348</v>
      </c>
      <c r="AV103" t="s">
        <v>348</v>
      </c>
      <c r="AW103">
        <v>0.25900000000000001</v>
      </c>
      <c r="AX103" t="s">
        <v>348</v>
      </c>
      <c r="AY103" t="s">
        <v>348</v>
      </c>
      <c r="AZ103" t="s">
        <v>348</v>
      </c>
      <c r="BA103" t="s">
        <v>348</v>
      </c>
      <c r="BB103" t="s">
        <v>348</v>
      </c>
      <c r="BC103" t="s">
        <v>348</v>
      </c>
      <c r="BD103" t="s">
        <v>348</v>
      </c>
      <c r="BE103" t="s">
        <v>348</v>
      </c>
      <c r="BF103" t="s">
        <v>348</v>
      </c>
      <c r="BG103" t="s">
        <v>348</v>
      </c>
      <c r="BH103" t="s">
        <v>348</v>
      </c>
      <c r="BI103" t="s">
        <v>348</v>
      </c>
      <c r="BJ103" t="s">
        <v>348</v>
      </c>
      <c r="BK103" t="s">
        <v>348</v>
      </c>
      <c r="BL103" t="s">
        <v>348</v>
      </c>
      <c r="BM103" t="s">
        <v>348</v>
      </c>
      <c r="BN103">
        <v>0.17199999999999999</v>
      </c>
      <c r="BO103" t="s">
        <v>348</v>
      </c>
      <c r="BP103">
        <v>0.108</v>
      </c>
      <c r="BQ103" t="s">
        <v>348</v>
      </c>
      <c r="BR103" t="s">
        <v>348</v>
      </c>
      <c r="BS103" t="s">
        <v>348</v>
      </c>
      <c r="BT103" t="s">
        <v>348</v>
      </c>
      <c r="BU103" t="s">
        <v>348</v>
      </c>
      <c r="BV103" t="s">
        <v>348</v>
      </c>
      <c r="BW103" t="s">
        <v>348</v>
      </c>
      <c r="BX103" t="s">
        <v>348</v>
      </c>
      <c r="BY103" t="s">
        <v>348</v>
      </c>
      <c r="BZ103" t="s">
        <v>348</v>
      </c>
      <c r="CA103" t="s">
        <v>348</v>
      </c>
      <c r="CB103" t="s">
        <v>348</v>
      </c>
      <c r="CC103" t="s">
        <v>348</v>
      </c>
      <c r="CD103" t="s">
        <v>348</v>
      </c>
      <c r="CE103" t="s">
        <v>348</v>
      </c>
      <c r="CF103" t="s">
        <v>348</v>
      </c>
      <c r="CG103">
        <v>2</v>
      </c>
      <c r="CH103">
        <v>4</v>
      </c>
      <c r="CI103">
        <v>5</v>
      </c>
    </row>
    <row r="104" spans="1:87" x14ac:dyDescent="0.25">
      <c r="A104">
        <v>103</v>
      </c>
      <c r="B104" s="51" t="s">
        <v>380</v>
      </c>
      <c r="C104">
        <v>44551</v>
      </c>
      <c r="D104" t="s">
        <v>348</v>
      </c>
      <c r="E104">
        <v>3.0000000000000001E-3</v>
      </c>
      <c r="F104" t="s">
        <v>348</v>
      </c>
      <c r="G104">
        <v>0.56200000000000006</v>
      </c>
      <c r="H104">
        <v>0.58899999999999997</v>
      </c>
      <c r="I104">
        <v>0.66100000000000003</v>
      </c>
      <c r="J104" t="s">
        <v>348</v>
      </c>
      <c r="K104" t="s">
        <v>348</v>
      </c>
      <c r="L104">
        <v>22.25</v>
      </c>
      <c r="M104" t="s">
        <v>348</v>
      </c>
      <c r="N104">
        <v>7.3540000000000001</v>
      </c>
      <c r="O104">
        <v>0.438</v>
      </c>
      <c r="P104" t="s">
        <v>348</v>
      </c>
      <c r="Q104" t="s">
        <v>348</v>
      </c>
      <c r="R104" t="s">
        <v>348</v>
      </c>
      <c r="S104" t="s">
        <v>348</v>
      </c>
      <c r="T104" t="s">
        <v>348</v>
      </c>
      <c r="U104" t="s">
        <v>348</v>
      </c>
      <c r="V104" t="s">
        <v>348</v>
      </c>
      <c r="W104" t="s">
        <v>348</v>
      </c>
      <c r="X104" t="s">
        <v>348</v>
      </c>
      <c r="Y104" t="s">
        <v>348</v>
      </c>
      <c r="Z104">
        <v>7.3999999999999996E-2</v>
      </c>
      <c r="AA104" t="s">
        <v>348</v>
      </c>
      <c r="AB104">
        <v>8.5999999999999993E-2</v>
      </c>
      <c r="AC104" t="s">
        <v>348</v>
      </c>
      <c r="AD104" t="s">
        <v>348</v>
      </c>
      <c r="AE104" t="s">
        <v>348</v>
      </c>
      <c r="AF104" t="s">
        <v>348</v>
      </c>
      <c r="AG104" t="s">
        <v>348</v>
      </c>
      <c r="AH104" t="s">
        <v>348</v>
      </c>
      <c r="AI104">
        <v>54.238999999999997</v>
      </c>
      <c r="AJ104" t="s">
        <v>348</v>
      </c>
      <c r="AK104">
        <v>1.68</v>
      </c>
      <c r="AL104" t="s">
        <v>348</v>
      </c>
      <c r="AM104" t="s">
        <v>348</v>
      </c>
      <c r="AN104" t="s">
        <v>348</v>
      </c>
      <c r="AO104" t="s">
        <v>348</v>
      </c>
      <c r="AP104">
        <v>0.441</v>
      </c>
      <c r="AQ104">
        <v>0.17599999999999999</v>
      </c>
      <c r="AR104" t="s">
        <v>348</v>
      </c>
      <c r="AS104" t="s">
        <v>348</v>
      </c>
      <c r="AT104" t="s">
        <v>348</v>
      </c>
      <c r="AU104" t="s">
        <v>348</v>
      </c>
      <c r="AV104" t="s">
        <v>348</v>
      </c>
      <c r="AW104">
        <v>0.254</v>
      </c>
      <c r="AX104" t="s">
        <v>348</v>
      </c>
      <c r="AY104" t="s">
        <v>348</v>
      </c>
      <c r="AZ104" t="s">
        <v>348</v>
      </c>
      <c r="BA104" t="s">
        <v>348</v>
      </c>
      <c r="BB104" t="s">
        <v>348</v>
      </c>
      <c r="BC104" t="s">
        <v>348</v>
      </c>
      <c r="BD104" t="s">
        <v>348</v>
      </c>
      <c r="BE104" t="s">
        <v>348</v>
      </c>
      <c r="BF104" t="s">
        <v>348</v>
      </c>
      <c r="BG104" t="s">
        <v>348</v>
      </c>
      <c r="BH104" t="s">
        <v>348</v>
      </c>
      <c r="BI104" t="s">
        <v>348</v>
      </c>
      <c r="BJ104" t="s">
        <v>348</v>
      </c>
      <c r="BK104" t="s">
        <v>348</v>
      </c>
      <c r="BL104" t="s">
        <v>348</v>
      </c>
      <c r="BM104" t="s">
        <v>348</v>
      </c>
      <c r="BN104">
        <v>0.32300000000000001</v>
      </c>
      <c r="BO104" t="s">
        <v>348</v>
      </c>
      <c r="BP104">
        <v>0.11899999999999999</v>
      </c>
      <c r="BQ104" t="s">
        <v>348</v>
      </c>
      <c r="BR104" t="s">
        <v>348</v>
      </c>
      <c r="BS104" t="s">
        <v>348</v>
      </c>
      <c r="BT104" t="s">
        <v>348</v>
      </c>
      <c r="BU104" t="s">
        <v>348</v>
      </c>
      <c r="BV104" t="s">
        <v>348</v>
      </c>
      <c r="BW104" t="s">
        <v>348</v>
      </c>
      <c r="BX104" t="s">
        <v>348</v>
      </c>
      <c r="BY104" t="s">
        <v>348</v>
      </c>
      <c r="BZ104" t="s">
        <v>348</v>
      </c>
      <c r="CA104" t="s">
        <v>348</v>
      </c>
      <c r="CB104" t="s">
        <v>348</v>
      </c>
      <c r="CC104" t="s">
        <v>348</v>
      </c>
      <c r="CD104" t="s">
        <v>348</v>
      </c>
      <c r="CE104" t="s">
        <v>348</v>
      </c>
      <c r="CF104" t="s">
        <v>348</v>
      </c>
      <c r="CG104">
        <v>2</v>
      </c>
      <c r="CH104">
        <v>4</v>
      </c>
      <c r="CI104">
        <v>5</v>
      </c>
    </row>
    <row r="105" spans="1:87" x14ac:dyDescent="0.25">
      <c r="A105">
        <v>104</v>
      </c>
      <c r="B105" s="51" t="s">
        <v>382</v>
      </c>
      <c r="C105">
        <v>44586</v>
      </c>
      <c r="D105" t="s">
        <v>348</v>
      </c>
      <c r="E105">
        <v>3.0000000000000001E-3</v>
      </c>
      <c r="F105" t="s">
        <v>348</v>
      </c>
      <c r="G105">
        <v>0.158</v>
      </c>
      <c r="H105" t="s">
        <v>348</v>
      </c>
      <c r="I105" t="s">
        <v>348</v>
      </c>
      <c r="J105" t="s">
        <v>348</v>
      </c>
      <c r="K105" t="s">
        <v>348</v>
      </c>
      <c r="L105">
        <v>2.5329999999999999</v>
      </c>
      <c r="M105" t="s">
        <v>348</v>
      </c>
      <c r="N105">
        <v>2.7730000000000001</v>
      </c>
      <c r="O105">
        <v>7.400000000000001E-2</v>
      </c>
      <c r="P105" t="s">
        <v>348</v>
      </c>
      <c r="Q105" t="s">
        <v>348</v>
      </c>
      <c r="R105" t="s">
        <v>348</v>
      </c>
      <c r="S105" t="s">
        <v>348</v>
      </c>
      <c r="T105" t="s">
        <v>348</v>
      </c>
      <c r="U105" t="s">
        <v>348</v>
      </c>
      <c r="V105" t="s">
        <v>348</v>
      </c>
      <c r="W105" t="s">
        <v>348</v>
      </c>
      <c r="X105" t="s">
        <v>348</v>
      </c>
      <c r="Y105" t="s">
        <v>348</v>
      </c>
      <c r="Z105">
        <v>0.36199999999999999</v>
      </c>
      <c r="AA105" t="s">
        <v>348</v>
      </c>
      <c r="AB105">
        <v>0.26700000000000002</v>
      </c>
      <c r="AC105" t="s">
        <v>348</v>
      </c>
      <c r="AD105" t="s">
        <v>348</v>
      </c>
      <c r="AE105" t="s">
        <v>348</v>
      </c>
      <c r="AF105" t="s">
        <v>348</v>
      </c>
      <c r="AG105" t="s">
        <v>348</v>
      </c>
      <c r="AH105" t="s">
        <v>348</v>
      </c>
      <c r="AI105">
        <v>2.7879999999999998</v>
      </c>
      <c r="AJ105" t="s">
        <v>348</v>
      </c>
      <c r="AK105">
        <v>0.78700000000000003</v>
      </c>
      <c r="AL105" t="s">
        <v>348</v>
      </c>
      <c r="AM105" t="s">
        <v>348</v>
      </c>
      <c r="AN105" t="s">
        <v>348</v>
      </c>
      <c r="AO105" t="s">
        <v>348</v>
      </c>
      <c r="AP105">
        <v>3.4079999999999999</v>
      </c>
      <c r="AQ105">
        <v>1.109</v>
      </c>
      <c r="AR105" t="s">
        <v>348</v>
      </c>
      <c r="AS105" t="s">
        <v>348</v>
      </c>
      <c r="AT105" t="s">
        <v>348</v>
      </c>
      <c r="AU105" t="s">
        <v>348</v>
      </c>
      <c r="AV105" t="s">
        <v>348</v>
      </c>
      <c r="AW105">
        <v>2.681</v>
      </c>
      <c r="AX105" t="s">
        <v>348</v>
      </c>
      <c r="AY105" t="s">
        <v>348</v>
      </c>
      <c r="AZ105" t="s">
        <v>348</v>
      </c>
      <c r="BA105" t="s">
        <v>348</v>
      </c>
      <c r="BB105" t="s">
        <v>348</v>
      </c>
      <c r="BC105" t="s">
        <v>348</v>
      </c>
      <c r="BD105" t="s">
        <v>348</v>
      </c>
      <c r="BE105" t="s">
        <v>348</v>
      </c>
      <c r="BF105" t="s">
        <v>348</v>
      </c>
      <c r="BG105" t="s">
        <v>348</v>
      </c>
      <c r="BH105" t="s">
        <v>348</v>
      </c>
      <c r="BI105" t="s">
        <v>348</v>
      </c>
      <c r="BJ105" t="s">
        <v>348</v>
      </c>
      <c r="BK105" t="s">
        <v>348</v>
      </c>
      <c r="BL105" t="s">
        <v>348</v>
      </c>
      <c r="BM105" t="s">
        <v>348</v>
      </c>
      <c r="BN105">
        <v>0.67</v>
      </c>
      <c r="BO105" t="s">
        <v>348</v>
      </c>
      <c r="BP105">
        <v>0.43</v>
      </c>
      <c r="BQ105" t="s">
        <v>348</v>
      </c>
      <c r="BR105" t="s">
        <v>348</v>
      </c>
      <c r="BS105" t="s">
        <v>348</v>
      </c>
      <c r="BT105" t="s">
        <v>348</v>
      </c>
      <c r="BU105" t="s">
        <v>348</v>
      </c>
      <c r="BV105" t="s">
        <v>348</v>
      </c>
      <c r="BW105" t="s">
        <v>348</v>
      </c>
      <c r="BX105" t="s">
        <v>348</v>
      </c>
      <c r="BY105" t="s">
        <v>348</v>
      </c>
      <c r="BZ105" t="s">
        <v>348</v>
      </c>
      <c r="CA105" t="s">
        <v>348</v>
      </c>
      <c r="CB105" t="s">
        <v>348</v>
      </c>
      <c r="CC105" t="s">
        <v>348</v>
      </c>
      <c r="CD105" t="s">
        <v>348</v>
      </c>
      <c r="CE105" t="s">
        <v>348</v>
      </c>
      <c r="CF105" t="s">
        <v>348</v>
      </c>
      <c r="CG105">
        <v>2</v>
      </c>
      <c r="CH105">
        <v>4</v>
      </c>
      <c r="CI105">
        <v>5</v>
      </c>
    </row>
    <row r="106" spans="1:87" x14ac:dyDescent="0.25">
      <c r="A106">
        <v>105</v>
      </c>
      <c r="B106" s="51" t="s">
        <v>384</v>
      </c>
      <c r="C106">
        <v>44586</v>
      </c>
      <c r="D106" t="s">
        <v>348</v>
      </c>
      <c r="E106">
        <v>2E-3</v>
      </c>
      <c r="F106" t="s">
        <v>348</v>
      </c>
      <c r="G106">
        <v>0.27800000000000002</v>
      </c>
      <c r="H106">
        <v>0.40600000000000003</v>
      </c>
      <c r="I106">
        <v>1.012</v>
      </c>
      <c r="J106" t="s">
        <v>348</v>
      </c>
      <c r="K106" t="s">
        <v>348</v>
      </c>
      <c r="L106">
        <v>2.9239999999999999</v>
      </c>
      <c r="M106" t="s">
        <v>348</v>
      </c>
      <c r="N106">
        <v>5.0439999999999996</v>
      </c>
      <c r="O106">
        <v>0.17199999999999999</v>
      </c>
      <c r="P106" t="s">
        <v>348</v>
      </c>
      <c r="Q106" t="s">
        <v>348</v>
      </c>
      <c r="R106" t="s">
        <v>348</v>
      </c>
      <c r="S106" t="s">
        <v>348</v>
      </c>
      <c r="T106" t="s">
        <v>348</v>
      </c>
      <c r="U106" t="s">
        <v>348</v>
      </c>
      <c r="V106" t="s">
        <v>348</v>
      </c>
      <c r="W106" t="s">
        <v>348</v>
      </c>
      <c r="X106" t="s">
        <v>348</v>
      </c>
      <c r="Y106" t="s">
        <v>348</v>
      </c>
      <c r="Z106">
        <v>5.5E-2</v>
      </c>
      <c r="AA106" t="s">
        <v>348</v>
      </c>
      <c r="AB106">
        <v>0.11499999999999999</v>
      </c>
      <c r="AC106" t="s">
        <v>348</v>
      </c>
      <c r="AD106" t="s">
        <v>348</v>
      </c>
      <c r="AE106" t="s">
        <v>348</v>
      </c>
      <c r="AF106" t="s">
        <v>348</v>
      </c>
      <c r="AG106" t="s">
        <v>348</v>
      </c>
      <c r="AH106" t="s">
        <v>348</v>
      </c>
      <c r="AI106">
        <v>5.2480000000000002</v>
      </c>
      <c r="AJ106" t="s">
        <v>348</v>
      </c>
      <c r="AK106">
        <v>1.087</v>
      </c>
      <c r="AL106" t="s">
        <v>348</v>
      </c>
      <c r="AM106" t="s">
        <v>348</v>
      </c>
      <c r="AN106" t="s">
        <v>348</v>
      </c>
      <c r="AO106" t="s">
        <v>348</v>
      </c>
      <c r="AP106">
        <v>9.5619999999999994</v>
      </c>
      <c r="AQ106">
        <v>1.742</v>
      </c>
      <c r="AR106" t="s">
        <v>348</v>
      </c>
      <c r="AS106" t="s">
        <v>348</v>
      </c>
      <c r="AT106" t="s">
        <v>348</v>
      </c>
      <c r="AU106" t="s">
        <v>348</v>
      </c>
      <c r="AV106" t="s">
        <v>348</v>
      </c>
      <c r="AW106">
        <v>1.383</v>
      </c>
      <c r="AX106" t="s">
        <v>348</v>
      </c>
      <c r="AY106" t="s">
        <v>348</v>
      </c>
      <c r="AZ106" t="s">
        <v>348</v>
      </c>
      <c r="BA106" t="s">
        <v>348</v>
      </c>
      <c r="BB106" t="s">
        <v>348</v>
      </c>
      <c r="BC106" t="s">
        <v>348</v>
      </c>
      <c r="BD106" t="s">
        <v>348</v>
      </c>
      <c r="BE106" t="s">
        <v>348</v>
      </c>
      <c r="BF106" t="s">
        <v>348</v>
      </c>
      <c r="BG106" t="s">
        <v>348</v>
      </c>
      <c r="BH106" t="s">
        <v>348</v>
      </c>
      <c r="BI106" t="s">
        <v>348</v>
      </c>
      <c r="BJ106" t="s">
        <v>348</v>
      </c>
      <c r="BK106" t="s">
        <v>348</v>
      </c>
      <c r="BL106" t="s">
        <v>348</v>
      </c>
      <c r="BM106" t="s">
        <v>348</v>
      </c>
      <c r="BN106">
        <v>0.57099999999999995</v>
      </c>
      <c r="BO106" t="s">
        <v>348</v>
      </c>
      <c r="BP106">
        <v>0.56799999999999995</v>
      </c>
      <c r="BQ106" t="s">
        <v>348</v>
      </c>
      <c r="BR106" t="s">
        <v>348</v>
      </c>
      <c r="BS106" t="s">
        <v>348</v>
      </c>
      <c r="BT106" t="s">
        <v>348</v>
      </c>
      <c r="BU106" t="s">
        <v>348</v>
      </c>
      <c r="BV106" t="s">
        <v>348</v>
      </c>
      <c r="BW106" t="s">
        <v>348</v>
      </c>
      <c r="BX106" t="s">
        <v>348</v>
      </c>
      <c r="BY106" t="s">
        <v>348</v>
      </c>
      <c r="BZ106" t="s">
        <v>348</v>
      </c>
      <c r="CA106" t="s">
        <v>348</v>
      </c>
      <c r="CB106" t="s">
        <v>348</v>
      </c>
      <c r="CC106" t="s">
        <v>348</v>
      </c>
      <c r="CD106" t="s">
        <v>348</v>
      </c>
      <c r="CE106" t="s">
        <v>348</v>
      </c>
      <c r="CF106" t="s">
        <v>348</v>
      </c>
      <c r="CG106">
        <v>2</v>
      </c>
      <c r="CH106">
        <v>4</v>
      </c>
      <c r="CI106">
        <v>5</v>
      </c>
    </row>
    <row r="107" spans="1:87" x14ac:dyDescent="0.25">
      <c r="A107">
        <v>106</v>
      </c>
      <c r="B107" s="51" t="s">
        <v>386</v>
      </c>
      <c r="C107">
        <v>44586</v>
      </c>
      <c r="D107" t="s">
        <v>348</v>
      </c>
      <c r="E107">
        <v>4.0000000000000001E-3</v>
      </c>
      <c r="F107" t="s">
        <v>348</v>
      </c>
      <c r="G107">
        <v>9.4E-2</v>
      </c>
      <c r="H107" t="s">
        <v>348</v>
      </c>
      <c r="I107" t="s">
        <v>348</v>
      </c>
      <c r="J107" t="s">
        <v>348</v>
      </c>
      <c r="K107" t="s">
        <v>348</v>
      </c>
      <c r="L107">
        <v>9.359</v>
      </c>
      <c r="M107" t="s">
        <v>348</v>
      </c>
      <c r="N107">
        <v>2.1779999999999999</v>
      </c>
      <c r="O107">
        <v>4.1999999999999996E-2</v>
      </c>
      <c r="P107" t="s">
        <v>348</v>
      </c>
      <c r="Q107" t="s">
        <v>348</v>
      </c>
      <c r="R107" t="s">
        <v>348</v>
      </c>
      <c r="S107" t="s">
        <v>348</v>
      </c>
      <c r="T107" t="s">
        <v>348</v>
      </c>
      <c r="U107" t="s">
        <v>348</v>
      </c>
      <c r="V107" t="s">
        <v>348</v>
      </c>
      <c r="W107" t="s">
        <v>348</v>
      </c>
      <c r="X107" t="s">
        <v>348</v>
      </c>
      <c r="Y107" t="s">
        <v>348</v>
      </c>
      <c r="Z107">
        <v>68.792000000000002</v>
      </c>
      <c r="AA107" t="s">
        <v>348</v>
      </c>
      <c r="AB107">
        <v>0.377</v>
      </c>
      <c r="AC107" t="s">
        <v>348</v>
      </c>
      <c r="AD107" t="s">
        <v>348</v>
      </c>
      <c r="AE107" t="s">
        <v>348</v>
      </c>
      <c r="AF107" t="s">
        <v>348</v>
      </c>
      <c r="AG107" t="s">
        <v>348</v>
      </c>
      <c r="AH107" t="s">
        <v>348</v>
      </c>
      <c r="AI107">
        <v>54.744999999999997</v>
      </c>
      <c r="AJ107" t="s">
        <v>348</v>
      </c>
      <c r="AK107">
        <v>0.81299999999999994</v>
      </c>
      <c r="AL107" t="s">
        <v>348</v>
      </c>
      <c r="AM107" t="s">
        <v>348</v>
      </c>
      <c r="AN107" t="s">
        <v>348</v>
      </c>
      <c r="AO107" t="s">
        <v>348</v>
      </c>
      <c r="AP107">
        <v>0.30599999999999999</v>
      </c>
      <c r="AQ107">
        <v>0.42</v>
      </c>
      <c r="AR107" t="s">
        <v>348</v>
      </c>
      <c r="AS107" t="s">
        <v>348</v>
      </c>
      <c r="AT107" t="s">
        <v>348</v>
      </c>
      <c r="AU107" t="s">
        <v>348</v>
      </c>
      <c r="AV107" t="s">
        <v>348</v>
      </c>
      <c r="AW107">
        <v>305.06299999999999</v>
      </c>
      <c r="AX107" t="s">
        <v>348</v>
      </c>
      <c r="AY107" t="s">
        <v>348</v>
      </c>
      <c r="AZ107" t="s">
        <v>348</v>
      </c>
      <c r="BA107" t="s">
        <v>348</v>
      </c>
      <c r="BB107" t="s">
        <v>348</v>
      </c>
      <c r="BC107" t="s">
        <v>348</v>
      </c>
      <c r="BD107" t="s">
        <v>348</v>
      </c>
      <c r="BE107" t="s">
        <v>348</v>
      </c>
      <c r="BF107" t="s">
        <v>348</v>
      </c>
      <c r="BG107" t="s">
        <v>348</v>
      </c>
      <c r="BH107" t="s">
        <v>348</v>
      </c>
      <c r="BI107" t="s">
        <v>348</v>
      </c>
      <c r="BJ107" t="s">
        <v>348</v>
      </c>
      <c r="BK107" t="s">
        <v>348</v>
      </c>
      <c r="BL107" t="s">
        <v>348</v>
      </c>
      <c r="BM107" t="s">
        <v>348</v>
      </c>
      <c r="BN107">
        <v>1.2909999999999999</v>
      </c>
      <c r="BO107" t="s">
        <v>348</v>
      </c>
      <c r="BP107">
        <v>0.23899999999999999</v>
      </c>
      <c r="BQ107" t="s">
        <v>348</v>
      </c>
      <c r="BR107" t="s">
        <v>348</v>
      </c>
      <c r="BS107" t="s">
        <v>348</v>
      </c>
      <c r="BT107" t="s">
        <v>348</v>
      </c>
      <c r="BU107" t="s">
        <v>348</v>
      </c>
      <c r="BV107" t="s">
        <v>348</v>
      </c>
      <c r="BW107" t="s">
        <v>348</v>
      </c>
      <c r="BX107" t="s">
        <v>348</v>
      </c>
      <c r="BY107" t="s">
        <v>348</v>
      </c>
      <c r="BZ107" t="s">
        <v>348</v>
      </c>
      <c r="CA107" t="s">
        <v>348</v>
      </c>
      <c r="CB107" t="s">
        <v>348</v>
      </c>
      <c r="CC107" t="s">
        <v>348</v>
      </c>
      <c r="CD107" t="s">
        <v>348</v>
      </c>
      <c r="CE107" t="s">
        <v>348</v>
      </c>
      <c r="CF107" t="s">
        <v>348</v>
      </c>
      <c r="CG107">
        <v>2</v>
      </c>
      <c r="CH107">
        <v>4</v>
      </c>
      <c r="CI107">
        <v>5</v>
      </c>
    </row>
    <row r="108" spans="1:87" x14ac:dyDescent="0.25">
      <c r="A108">
        <v>107</v>
      </c>
      <c r="B108" s="51" t="s">
        <v>388</v>
      </c>
      <c r="C108">
        <v>44586</v>
      </c>
      <c r="D108" t="s">
        <v>348</v>
      </c>
      <c r="E108">
        <v>4.0000000000000001E-3</v>
      </c>
      <c r="F108" t="s">
        <v>348</v>
      </c>
      <c r="G108">
        <v>0.12</v>
      </c>
      <c r="H108" t="s">
        <v>348</v>
      </c>
      <c r="I108" t="s">
        <v>348</v>
      </c>
      <c r="J108" t="s">
        <v>348</v>
      </c>
      <c r="K108" t="s">
        <v>348</v>
      </c>
      <c r="L108">
        <v>7.61</v>
      </c>
      <c r="M108" t="s">
        <v>348</v>
      </c>
      <c r="N108">
        <v>3.5529999999999999</v>
      </c>
      <c r="O108">
        <v>9.7000000000000003E-2</v>
      </c>
      <c r="P108" t="s">
        <v>348</v>
      </c>
      <c r="Q108" t="s">
        <v>348</v>
      </c>
      <c r="R108" t="s">
        <v>348</v>
      </c>
      <c r="S108" t="s">
        <v>348</v>
      </c>
      <c r="T108" t="s">
        <v>348</v>
      </c>
      <c r="U108" t="s">
        <v>348</v>
      </c>
      <c r="V108" t="s">
        <v>348</v>
      </c>
      <c r="W108" t="s">
        <v>348</v>
      </c>
      <c r="X108" t="s">
        <v>348</v>
      </c>
      <c r="Y108" t="s">
        <v>348</v>
      </c>
      <c r="Z108">
        <v>19.292999999999999</v>
      </c>
      <c r="AA108" t="s">
        <v>348</v>
      </c>
      <c r="AB108">
        <v>0.17400000000000002</v>
      </c>
      <c r="AC108" t="s">
        <v>348</v>
      </c>
      <c r="AD108" t="s">
        <v>348</v>
      </c>
      <c r="AE108" t="s">
        <v>348</v>
      </c>
      <c r="AF108" t="s">
        <v>348</v>
      </c>
      <c r="AG108" t="s">
        <v>348</v>
      </c>
      <c r="AH108" t="s">
        <v>348</v>
      </c>
      <c r="AI108">
        <v>15.795999999999999</v>
      </c>
      <c r="AJ108" t="s">
        <v>348</v>
      </c>
      <c r="AK108">
        <v>0.89400000000000002</v>
      </c>
      <c r="AL108" t="s">
        <v>348</v>
      </c>
      <c r="AM108" t="s">
        <v>348</v>
      </c>
      <c r="AN108" t="s">
        <v>348</v>
      </c>
      <c r="AO108" t="s">
        <v>348</v>
      </c>
      <c r="AP108">
        <v>0.316</v>
      </c>
      <c r="AQ108">
        <v>0.434</v>
      </c>
      <c r="AR108" t="s">
        <v>348</v>
      </c>
      <c r="AS108" t="s">
        <v>348</v>
      </c>
      <c r="AT108" t="s">
        <v>348</v>
      </c>
      <c r="AU108" t="s">
        <v>348</v>
      </c>
      <c r="AV108" t="s">
        <v>348</v>
      </c>
      <c r="AW108">
        <v>108.741</v>
      </c>
      <c r="AX108" t="s">
        <v>348</v>
      </c>
      <c r="AY108" t="s">
        <v>348</v>
      </c>
      <c r="AZ108" t="s">
        <v>348</v>
      </c>
      <c r="BA108" t="s">
        <v>348</v>
      </c>
      <c r="BB108" t="s">
        <v>348</v>
      </c>
      <c r="BC108" t="s">
        <v>348</v>
      </c>
      <c r="BD108" t="s">
        <v>348</v>
      </c>
      <c r="BE108" t="s">
        <v>348</v>
      </c>
      <c r="BF108" t="s">
        <v>348</v>
      </c>
      <c r="BG108" t="s">
        <v>348</v>
      </c>
      <c r="BH108" t="s">
        <v>348</v>
      </c>
      <c r="BI108" t="s">
        <v>348</v>
      </c>
      <c r="BJ108" t="s">
        <v>348</v>
      </c>
      <c r="BK108" t="s">
        <v>348</v>
      </c>
      <c r="BL108" t="s">
        <v>348</v>
      </c>
      <c r="BM108" t="s">
        <v>348</v>
      </c>
      <c r="BN108">
        <v>0.42599999999999999</v>
      </c>
      <c r="BO108" t="s">
        <v>348</v>
      </c>
      <c r="BP108">
        <v>0.28999999999999998</v>
      </c>
      <c r="BQ108" t="s">
        <v>348</v>
      </c>
      <c r="BR108" t="s">
        <v>348</v>
      </c>
      <c r="BS108" t="s">
        <v>348</v>
      </c>
      <c r="BT108" t="s">
        <v>348</v>
      </c>
      <c r="BU108" t="s">
        <v>348</v>
      </c>
      <c r="BV108" t="s">
        <v>348</v>
      </c>
      <c r="BW108" t="s">
        <v>348</v>
      </c>
      <c r="BX108" t="s">
        <v>348</v>
      </c>
      <c r="BY108" t="s">
        <v>348</v>
      </c>
      <c r="BZ108" t="s">
        <v>348</v>
      </c>
      <c r="CA108" t="s">
        <v>348</v>
      </c>
      <c r="CB108" t="s">
        <v>348</v>
      </c>
      <c r="CC108" t="s">
        <v>348</v>
      </c>
      <c r="CD108" t="s">
        <v>348</v>
      </c>
      <c r="CE108" t="s">
        <v>348</v>
      </c>
      <c r="CF108" t="s">
        <v>348</v>
      </c>
      <c r="CG108">
        <v>2</v>
      </c>
      <c r="CH108">
        <v>4</v>
      </c>
      <c r="CI108">
        <v>5</v>
      </c>
    </row>
    <row r="109" spans="1:87" x14ac:dyDescent="0.25">
      <c r="C109"/>
      <c r="E109" s="73"/>
    </row>
    <row r="110" spans="1:87" x14ac:dyDescent="0.25">
      <c r="C110"/>
      <c r="D110" s="7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6899"/>
  <sheetViews>
    <sheetView topLeftCell="A6877" workbookViewId="0">
      <selection activeCell="A6900" sqref="A6900"/>
    </sheetView>
  </sheetViews>
  <sheetFormatPr defaultRowHeight="13.8" x14ac:dyDescent="0.25"/>
  <cols>
    <col min="1" max="1" width="28.19921875" customWidth="1"/>
    <col min="7" max="7" width="16" customWidth="1"/>
    <col min="8" max="8" width="17.09765625" customWidth="1"/>
    <col min="9" max="9" width="17" customWidth="1"/>
  </cols>
  <sheetData>
    <row r="2" spans="1:13" x14ac:dyDescent="0.25">
      <c r="A2" t="s">
        <v>0</v>
      </c>
      <c r="B2" t="s">
        <v>1</v>
      </c>
    </row>
    <row r="4" spans="1:13" s="1" customFormat="1" x14ac:dyDescent="0.25">
      <c r="A4" s="1" t="s">
        <v>2</v>
      </c>
      <c r="B4" s="1" t="s">
        <v>157</v>
      </c>
    </row>
    <row r="5" spans="1:13" ht="14.4" thickBot="1" x14ac:dyDescent="0.3">
      <c r="A5" t="s">
        <v>3</v>
      </c>
      <c r="B5" t="s">
        <v>4</v>
      </c>
    </row>
    <row r="6" spans="1:13" ht="15" x14ac:dyDescent="0.25">
      <c r="A6" t="s">
        <v>5</v>
      </c>
      <c r="B6" t="s">
        <v>4</v>
      </c>
      <c r="G6" s="4" t="s">
        <v>174</v>
      </c>
      <c r="H6" s="5" t="s">
        <v>175</v>
      </c>
      <c r="I6" s="5" t="s">
        <v>176</v>
      </c>
      <c r="K6" s="42">
        <v>1</v>
      </c>
      <c r="L6" t="s">
        <v>350</v>
      </c>
      <c r="M6" t="s">
        <v>665</v>
      </c>
    </row>
    <row r="7" spans="1:13" x14ac:dyDescent="0.25">
      <c r="A7" t="s">
        <v>6</v>
      </c>
      <c r="B7" t="s">
        <v>4</v>
      </c>
      <c r="G7" s="6"/>
      <c r="H7" s="7" t="s">
        <v>177</v>
      </c>
      <c r="I7" s="8"/>
      <c r="K7" s="42">
        <v>2</v>
      </c>
      <c r="L7" t="s">
        <v>352</v>
      </c>
    </row>
    <row r="8" spans="1:13" ht="14.4" x14ac:dyDescent="0.3">
      <c r="A8" t="s">
        <v>7</v>
      </c>
      <c r="B8" t="s">
        <v>4</v>
      </c>
      <c r="G8" s="9">
        <v>2</v>
      </c>
      <c r="H8" s="10">
        <v>2</v>
      </c>
      <c r="I8" s="11" t="s">
        <v>178</v>
      </c>
      <c r="K8" s="42">
        <v>3</v>
      </c>
      <c r="L8" t="s">
        <v>354</v>
      </c>
    </row>
    <row r="9" spans="1:13" ht="14.4" x14ac:dyDescent="0.3">
      <c r="A9" t="s">
        <v>8</v>
      </c>
      <c r="B9" t="s">
        <v>4</v>
      </c>
      <c r="G9" s="9">
        <v>3</v>
      </c>
      <c r="H9" s="10">
        <v>3</v>
      </c>
      <c r="I9" s="11" t="s">
        <v>179</v>
      </c>
      <c r="K9" s="42">
        <v>4</v>
      </c>
      <c r="L9" t="s">
        <v>356</v>
      </c>
    </row>
    <row r="10" spans="1:13" ht="14.4" x14ac:dyDescent="0.3">
      <c r="A10" t="s">
        <v>9</v>
      </c>
      <c r="B10">
        <v>1308.08</v>
      </c>
      <c r="G10" s="9">
        <v>4</v>
      </c>
      <c r="H10" s="10">
        <v>4</v>
      </c>
      <c r="I10" s="11" t="s">
        <v>180</v>
      </c>
      <c r="K10" s="42">
        <v>5</v>
      </c>
      <c r="L10" t="s">
        <v>358</v>
      </c>
    </row>
    <row r="11" spans="1:13" ht="14.4" x14ac:dyDescent="0.3">
      <c r="A11" t="s">
        <v>10</v>
      </c>
      <c r="B11" t="s">
        <v>4</v>
      </c>
      <c r="G11" s="9">
        <v>6</v>
      </c>
      <c r="H11" s="10">
        <v>6</v>
      </c>
      <c r="I11" s="11" t="s">
        <v>181</v>
      </c>
      <c r="K11" s="42">
        <v>6</v>
      </c>
      <c r="L11" t="s">
        <v>360</v>
      </c>
    </row>
    <row r="12" spans="1:13" ht="14.4" x14ac:dyDescent="0.3">
      <c r="A12" t="s">
        <v>11</v>
      </c>
      <c r="B12" t="s">
        <v>4</v>
      </c>
      <c r="G12" s="9">
        <v>7</v>
      </c>
      <c r="H12" s="10">
        <v>7</v>
      </c>
      <c r="I12" s="11" t="s">
        <v>182</v>
      </c>
      <c r="K12" s="42">
        <v>7</v>
      </c>
      <c r="L12" t="s">
        <v>362</v>
      </c>
    </row>
    <row r="13" spans="1:13" ht="14.4" x14ac:dyDescent="0.3">
      <c r="A13" t="s">
        <v>12</v>
      </c>
      <c r="B13" t="s">
        <v>4</v>
      </c>
      <c r="G13" s="9">
        <v>8</v>
      </c>
      <c r="H13" s="10">
        <v>8</v>
      </c>
      <c r="I13" s="11" t="s">
        <v>183</v>
      </c>
      <c r="K13" s="42">
        <v>8</v>
      </c>
      <c r="L13" t="s">
        <v>364</v>
      </c>
    </row>
    <row r="14" spans="1:13" ht="14.4" x14ac:dyDescent="0.3">
      <c r="A14" t="s">
        <v>13</v>
      </c>
      <c r="B14" t="s">
        <v>4</v>
      </c>
      <c r="G14" s="9">
        <v>9</v>
      </c>
      <c r="H14" s="10">
        <v>9</v>
      </c>
      <c r="I14" s="11" t="s">
        <v>184</v>
      </c>
      <c r="K14" s="42">
        <v>9</v>
      </c>
      <c r="L14" t="s">
        <v>366</v>
      </c>
    </row>
    <row r="15" spans="1:13" ht="14.4" x14ac:dyDescent="0.3">
      <c r="A15" t="s">
        <v>14</v>
      </c>
      <c r="B15" t="s">
        <v>4</v>
      </c>
      <c r="G15" s="9">
        <v>10</v>
      </c>
      <c r="H15" s="10">
        <v>10</v>
      </c>
      <c r="I15" s="11" t="s">
        <v>185</v>
      </c>
      <c r="K15" s="42">
        <v>10</v>
      </c>
      <c r="L15" t="s">
        <v>368</v>
      </c>
    </row>
    <row r="16" spans="1:13" ht="14.4" x14ac:dyDescent="0.3">
      <c r="A16" t="s">
        <v>15</v>
      </c>
      <c r="B16" t="s">
        <v>4</v>
      </c>
      <c r="G16" s="9">
        <v>11</v>
      </c>
      <c r="H16" s="10">
        <v>11</v>
      </c>
      <c r="I16" s="11" t="s">
        <v>186</v>
      </c>
      <c r="K16" s="42">
        <v>11</v>
      </c>
      <c r="L16" t="s">
        <v>370</v>
      </c>
    </row>
    <row r="17" spans="1:12" ht="14.4" x14ac:dyDescent="0.3">
      <c r="A17" t="s">
        <v>16</v>
      </c>
      <c r="B17" t="s">
        <v>4</v>
      </c>
      <c r="G17" s="9">
        <v>12</v>
      </c>
      <c r="H17" s="10">
        <v>12</v>
      </c>
      <c r="I17" s="11" t="s">
        <v>187</v>
      </c>
      <c r="K17" s="42">
        <v>12</v>
      </c>
      <c r="L17" t="s">
        <v>372</v>
      </c>
    </row>
    <row r="18" spans="1:12" ht="14.4" x14ac:dyDescent="0.3">
      <c r="A18" t="s">
        <v>17</v>
      </c>
      <c r="B18" t="s">
        <v>4</v>
      </c>
      <c r="G18" s="9">
        <v>13</v>
      </c>
      <c r="H18" s="10">
        <v>13</v>
      </c>
      <c r="I18" s="11" t="s">
        <v>188</v>
      </c>
      <c r="K18" s="42">
        <v>13</v>
      </c>
      <c r="L18" t="s">
        <v>374</v>
      </c>
    </row>
    <row r="19" spans="1:12" ht="14.4" x14ac:dyDescent="0.3">
      <c r="A19" t="s">
        <v>18</v>
      </c>
      <c r="B19" t="s">
        <v>4</v>
      </c>
      <c r="G19" s="9">
        <v>14</v>
      </c>
      <c r="H19" s="10">
        <v>14</v>
      </c>
      <c r="I19" s="11" t="s">
        <v>189</v>
      </c>
      <c r="K19" s="42">
        <v>14</v>
      </c>
      <c r="L19" t="s">
        <v>376</v>
      </c>
    </row>
    <row r="20" spans="1:12" ht="14.4" x14ac:dyDescent="0.3">
      <c r="A20" t="s">
        <v>19</v>
      </c>
      <c r="B20" t="s">
        <v>4</v>
      </c>
      <c r="G20" s="9">
        <v>15</v>
      </c>
      <c r="H20" s="10">
        <v>15</v>
      </c>
      <c r="I20" s="11" t="s">
        <v>190</v>
      </c>
      <c r="K20" s="42">
        <v>15</v>
      </c>
      <c r="L20" t="s">
        <v>378</v>
      </c>
    </row>
    <row r="21" spans="1:12" ht="14.4" x14ac:dyDescent="0.3">
      <c r="A21" t="s">
        <v>20</v>
      </c>
      <c r="B21" t="s">
        <v>4</v>
      </c>
      <c r="G21" s="9">
        <v>16</v>
      </c>
      <c r="H21" s="10">
        <v>16</v>
      </c>
      <c r="I21" s="11" t="s">
        <v>191</v>
      </c>
      <c r="K21" s="42">
        <v>16</v>
      </c>
      <c r="L21" t="s">
        <v>380</v>
      </c>
    </row>
    <row r="22" spans="1:12" ht="14.4" x14ac:dyDescent="0.3">
      <c r="A22" t="s">
        <v>21</v>
      </c>
      <c r="B22">
        <v>4.25</v>
      </c>
      <c r="G22" s="9">
        <v>17</v>
      </c>
      <c r="H22" s="10">
        <v>17</v>
      </c>
      <c r="I22" s="11" t="s">
        <v>192</v>
      </c>
      <c r="K22" s="42">
        <v>17</v>
      </c>
      <c r="L22" t="s">
        <v>382</v>
      </c>
    </row>
    <row r="23" spans="1:12" x14ac:dyDescent="0.25">
      <c r="A23" t="s">
        <v>22</v>
      </c>
      <c r="B23" t="s">
        <v>4</v>
      </c>
      <c r="G23" s="9">
        <v>18</v>
      </c>
      <c r="H23" s="10">
        <v>18</v>
      </c>
      <c r="I23" s="12" t="s">
        <v>193</v>
      </c>
      <c r="K23" s="42">
        <v>18</v>
      </c>
      <c r="L23" t="s">
        <v>384</v>
      </c>
    </row>
    <row r="24" spans="1:12" ht="14.4" x14ac:dyDescent="0.3">
      <c r="A24" t="s">
        <v>23</v>
      </c>
      <c r="B24" t="s">
        <v>4</v>
      </c>
      <c r="G24" s="9">
        <v>19</v>
      </c>
      <c r="H24" s="10">
        <v>19</v>
      </c>
      <c r="I24" s="11" t="s">
        <v>194</v>
      </c>
      <c r="K24" s="42">
        <v>19</v>
      </c>
      <c r="L24" t="s">
        <v>386</v>
      </c>
    </row>
    <row r="25" spans="1:12" ht="14.4" x14ac:dyDescent="0.3">
      <c r="A25" t="s">
        <v>24</v>
      </c>
      <c r="B25" t="s">
        <v>4</v>
      </c>
      <c r="G25" s="9">
        <v>22</v>
      </c>
      <c r="H25" s="10">
        <v>22</v>
      </c>
      <c r="I25" s="11" t="s">
        <v>195</v>
      </c>
      <c r="K25" s="42">
        <v>20</v>
      </c>
      <c r="L25" t="s">
        <v>388</v>
      </c>
    </row>
    <row r="26" spans="1:12" ht="14.4" x14ac:dyDescent="0.3">
      <c r="A26" t="s">
        <v>25</v>
      </c>
      <c r="B26" t="s">
        <v>4</v>
      </c>
      <c r="G26" s="9">
        <v>23</v>
      </c>
      <c r="H26" s="10">
        <v>23</v>
      </c>
      <c r="I26" s="11" t="s">
        <v>196</v>
      </c>
    </row>
    <row r="27" spans="1:12" x14ac:dyDescent="0.25">
      <c r="A27" t="s">
        <v>26</v>
      </c>
      <c r="B27" t="s">
        <v>4</v>
      </c>
      <c r="G27" s="9">
        <v>24</v>
      </c>
      <c r="H27" s="10">
        <v>24</v>
      </c>
      <c r="I27" s="12" t="s">
        <v>197</v>
      </c>
    </row>
    <row r="28" spans="1:12" ht="14.4" x14ac:dyDescent="0.3">
      <c r="A28" t="s">
        <v>27</v>
      </c>
      <c r="B28" t="s">
        <v>4</v>
      </c>
      <c r="G28" s="9">
        <v>25</v>
      </c>
      <c r="H28" s="10">
        <v>25</v>
      </c>
      <c r="I28" s="11" t="s">
        <v>198</v>
      </c>
    </row>
    <row r="29" spans="1:12" ht="14.4" x14ac:dyDescent="0.3">
      <c r="A29" t="s">
        <v>28</v>
      </c>
      <c r="B29" t="s">
        <v>4</v>
      </c>
      <c r="G29" s="9">
        <v>26</v>
      </c>
      <c r="H29" s="10">
        <v>26</v>
      </c>
      <c r="I29" s="11" t="s">
        <v>199</v>
      </c>
    </row>
    <row r="30" spans="1:12" ht="14.4" x14ac:dyDescent="0.3">
      <c r="A30" t="s">
        <v>29</v>
      </c>
      <c r="B30" t="s">
        <v>4</v>
      </c>
      <c r="G30" s="9">
        <v>27</v>
      </c>
      <c r="H30" s="10">
        <v>27</v>
      </c>
      <c r="I30" s="11" t="s">
        <v>200</v>
      </c>
    </row>
    <row r="31" spans="1:12" ht="14.4" x14ac:dyDescent="0.3">
      <c r="A31" t="s">
        <v>30</v>
      </c>
      <c r="B31" t="s">
        <v>4</v>
      </c>
      <c r="G31" s="9">
        <v>28</v>
      </c>
      <c r="H31" s="10">
        <v>28</v>
      </c>
      <c r="I31" s="11" t="s">
        <v>201</v>
      </c>
    </row>
    <row r="32" spans="1:12" ht="14.4" x14ac:dyDescent="0.3">
      <c r="A32" t="s">
        <v>31</v>
      </c>
      <c r="B32">
        <v>6.66</v>
      </c>
      <c r="G32" s="9">
        <v>29</v>
      </c>
      <c r="H32" s="10">
        <v>29</v>
      </c>
      <c r="I32" s="11" t="s">
        <v>202</v>
      </c>
    </row>
    <row r="33" spans="1:9" ht="14.4" x14ac:dyDescent="0.3">
      <c r="A33" t="s">
        <v>32</v>
      </c>
      <c r="B33" t="s">
        <v>4</v>
      </c>
      <c r="G33" s="9">
        <v>30</v>
      </c>
      <c r="H33" s="10">
        <v>30</v>
      </c>
      <c r="I33" s="11" t="s">
        <v>203</v>
      </c>
    </row>
    <row r="34" spans="1:9" ht="14.4" x14ac:dyDescent="0.3">
      <c r="A34" t="s">
        <v>33</v>
      </c>
      <c r="B34">
        <v>7.56</v>
      </c>
      <c r="G34" s="9">
        <v>111</v>
      </c>
      <c r="H34" s="10">
        <v>1</v>
      </c>
      <c r="I34" s="11" t="s">
        <v>204</v>
      </c>
    </row>
    <row r="35" spans="1:9" ht="14.4" x14ac:dyDescent="0.3">
      <c r="A35" t="s">
        <v>34</v>
      </c>
      <c r="B35">
        <v>17.34</v>
      </c>
      <c r="G35" s="9">
        <v>112</v>
      </c>
      <c r="H35" s="10">
        <v>2</v>
      </c>
      <c r="I35" s="11" t="s">
        <v>205</v>
      </c>
    </row>
    <row r="36" spans="1:9" ht="14.4" x14ac:dyDescent="0.3">
      <c r="A36" t="s">
        <v>35</v>
      </c>
      <c r="B36" t="s">
        <v>4</v>
      </c>
      <c r="G36" s="9">
        <v>110</v>
      </c>
      <c r="H36" s="10">
        <v>3</v>
      </c>
      <c r="I36" s="11" t="s">
        <v>206</v>
      </c>
    </row>
    <row r="37" spans="1:9" ht="14.4" x14ac:dyDescent="0.3">
      <c r="A37" t="s">
        <v>36</v>
      </c>
      <c r="B37" t="s">
        <v>4</v>
      </c>
      <c r="G37" s="9">
        <v>109</v>
      </c>
      <c r="H37" s="10">
        <v>4</v>
      </c>
      <c r="I37" s="11" t="s">
        <v>207</v>
      </c>
    </row>
    <row r="38" spans="1:9" ht="14.4" x14ac:dyDescent="0.3">
      <c r="A38" t="s">
        <v>37</v>
      </c>
      <c r="B38">
        <v>3.85</v>
      </c>
      <c r="G38" s="9">
        <v>32</v>
      </c>
      <c r="H38" s="10">
        <v>5</v>
      </c>
      <c r="I38" s="11" t="s">
        <v>208</v>
      </c>
    </row>
    <row r="39" spans="1:9" ht="14.4" x14ac:dyDescent="0.3">
      <c r="A39" t="s">
        <v>38</v>
      </c>
      <c r="B39" t="s">
        <v>4</v>
      </c>
      <c r="G39" s="9">
        <v>33</v>
      </c>
      <c r="H39" s="10">
        <v>6</v>
      </c>
      <c r="I39" s="11" t="s">
        <v>209</v>
      </c>
    </row>
    <row r="40" spans="1:9" ht="14.4" x14ac:dyDescent="0.3">
      <c r="A40" t="s">
        <v>39</v>
      </c>
      <c r="B40" t="s">
        <v>4</v>
      </c>
      <c r="G40" s="9">
        <v>34</v>
      </c>
      <c r="H40" s="10">
        <v>7</v>
      </c>
      <c r="I40" s="11" t="s">
        <v>210</v>
      </c>
    </row>
    <row r="41" spans="1:9" ht="14.4" x14ac:dyDescent="0.3">
      <c r="A41" t="s">
        <v>40</v>
      </c>
      <c r="B41" t="s">
        <v>4</v>
      </c>
      <c r="G41" s="9">
        <v>35</v>
      </c>
      <c r="H41" s="10">
        <v>8</v>
      </c>
      <c r="I41" s="11" t="s">
        <v>211</v>
      </c>
    </row>
    <row r="42" spans="1:9" ht="14.4" x14ac:dyDescent="0.3">
      <c r="A42" t="s">
        <v>41</v>
      </c>
      <c r="B42" t="s">
        <v>4</v>
      </c>
      <c r="G42" s="9">
        <v>36</v>
      </c>
      <c r="H42" s="10">
        <v>9</v>
      </c>
      <c r="I42" s="11" t="s">
        <v>212</v>
      </c>
    </row>
    <row r="43" spans="1:9" ht="14.4" x14ac:dyDescent="0.3">
      <c r="A43" t="s">
        <v>42</v>
      </c>
      <c r="B43" t="s">
        <v>4</v>
      </c>
      <c r="G43" s="9">
        <v>37</v>
      </c>
      <c r="H43" s="10">
        <v>10</v>
      </c>
      <c r="I43" s="11" t="s">
        <v>213</v>
      </c>
    </row>
    <row r="44" spans="1:9" ht="14.4" x14ac:dyDescent="0.3">
      <c r="A44" t="s">
        <v>43</v>
      </c>
      <c r="B44" t="s">
        <v>4</v>
      </c>
      <c r="G44" s="9">
        <v>38</v>
      </c>
      <c r="H44" s="10">
        <v>11</v>
      </c>
      <c r="I44" s="11" t="s">
        <v>214</v>
      </c>
    </row>
    <row r="45" spans="1:9" ht="14.4" x14ac:dyDescent="0.3">
      <c r="A45" t="s">
        <v>44</v>
      </c>
      <c r="B45" t="s">
        <v>4</v>
      </c>
      <c r="G45" s="9">
        <v>39</v>
      </c>
      <c r="H45" s="10">
        <v>12</v>
      </c>
      <c r="I45" s="11" t="s">
        <v>215</v>
      </c>
    </row>
    <row r="46" spans="1:9" ht="14.4" x14ac:dyDescent="0.3">
      <c r="A46" t="s">
        <v>45</v>
      </c>
      <c r="B46" t="s">
        <v>4</v>
      </c>
      <c r="G46" s="9">
        <v>40</v>
      </c>
      <c r="H46" s="10">
        <v>13</v>
      </c>
      <c r="I46" s="11" t="s">
        <v>216</v>
      </c>
    </row>
    <row r="47" spans="1:9" ht="14.4" x14ac:dyDescent="0.3">
      <c r="A47" t="s">
        <v>46</v>
      </c>
      <c r="B47" t="s">
        <v>4</v>
      </c>
      <c r="G47" s="9">
        <v>41</v>
      </c>
      <c r="H47" s="10">
        <v>14</v>
      </c>
      <c r="I47" s="11" t="s">
        <v>217</v>
      </c>
    </row>
    <row r="48" spans="1:9" ht="14.4" x14ac:dyDescent="0.3">
      <c r="A48" t="s">
        <v>47</v>
      </c>
      <c r="B48" t="s">
        <v>4</v>
      </c>
      <c r="G48" s="9">
        <v>42</v>
      </c>
      <c r="H48" s="10">
        <v>15</v>
      </c>
      <c r="I48" s="11" t="s">
        <v>218</v>
      </c>
    </row>
    <row r="49" spans="1:9" ht="14.4" x14ac:dyDescent="0.3">
      <c r="A49" t="s">
        <v>48</v>
      </c>
      <c r="B49" t="s">
        <v>4</v>
      </c>
      <c r="G49" s="9">
        <v>43</v>
      </c>
      <c r="H49" s="10">
        <v>16</v>
      </c>
      <c r="I49" s="11" t="s">
        <v>219</v>
      </c>
    </row>
    <row r="50" spans="1:9" ht="14.4" x14ac:dyDescent="0.3">
      <c r="A50" t="s">
        <v>49</v>
      </c>
      <c r="B50">
        <v>9.99</v>
      </c>
      <c r="G50" s="9">
        <v>44</v>
      </c>
      <c r="H50" s="10">
        <v>17</v>
      </c>
      <c r="I50" s="11" t="s">
        <v>220</v>
      </c>
    </row>
    <row r="51" spans="1:9" ht="14.4" x14ac:dyDescent="0.3">
      <c r="A51" t="s">
        <v>50</v>
      </c>
      <c r="B51" t="s">
        <v>4</v>
      </c>
      <c r="G51" s="9">
        <v>45</v>
      </c>
      <c r="H51" s="10">
        <v>18</v>
      </c>
      <c r="I51" s="11" t="s">
        <v>221</v>
      </c>
    </row>
    <row r="52" spans="1:9" ht="14.4" x14ac:dyDescent="0.3">
      <c r="A52" t="s">
        <v>51</v>
      </c>
      <c r="B52" t="s">
        <v>4</v>
      </c>
      <c r="G52" s="9">
        <v>46</v>
      </c>
      <c r="H52" s="10">
        <v>19</v>
      </c>
      <c r="I52" s="11" t="s">
        <v>222</v>
      </c>
    </row>
    <row r="53" spans="1:9" ht="14.4" x14ac:dyDescent="0.3">
      <c r="A53" t="s">
        <v>52</v>
      </c>
      <c r="B53" t="s">
        <v>4</v>
      </c>
      <c r="G53" s="9">
        <v>47</v>
      </c>
      <c r="H53" s="10">
        <v>20</v>
      </c>
      <c r="I53" s="11" t="s">
        <v>223</v>
      </c>
    </row>
    <row r="54" spans="1:9" ht="14.4" x14ac:dyDescent="0.3">
      <c r="A54" t="s">
        <v>53</v>
      </c>
      <c r="B54" t="s">
        <v>4</v>
      </c>
      <c r="G54" s="9">
        <v>48</v>
      </c>
      <c r="H54" s="10">
        <v>21</v>
      </c>
      <c r="I54" s="11" t="s">
        <v>224</v>
      </c>
    </row>
    <row r="55" spans="1:9" ht="14.4" x14ac:dyDescent="0.3">
      <c r="A55" t="s">
        <v>54</v>
      </c>
      <c r="B55">
        <v>271.60000000000002</v>
      </c>
      <c r="G55" s="9">
        <v>49</v>
      </c>
      <c r="H55" s="10">
        <v>22</v>
      </c>
      <c r="I55" s="11" t="s">
        <v>225</v>
      </c>
    </row>
    <row r="56" spans="1:9" ht="14.4" x14ac:dyDescent="0.3">
      <c r="A56" t="s">
        <v>55</v>
      </c>
      <c r="B56">
        <v>1211.56</v>
      </c>
      <c r="G56" s="9">
        <v>50</v>
      </c>
      <c r="H56" s="10">
        <v>23</v>
      </c>
      <c r="I56" s="11" t="s">
        <v>226</v>
      </c>
    </row>
    <row r="57" spans="1:9" ht="14.4" x14ac:dyDescent="0.3">
      <c r="A57" t="s">
        <v>56</v>
      </c>
      <c r="B57" t="s">
        <v>4</v>
      </c>
      <c r="G57" s="9">
        <v>51</v>
      </c>
      <c r="H57" s="10">
        <v>24</v>
      </c>
      <c r="I57" s="11" t="s">
        <v>227</v>
      </c>
    </row>
    <row r="58" spans="1:9" ht="14.4" x14ac:dyDescent="0.3">
      <c r="A58" t="s">
        <v>57</v>
      </c>
      <c r="B58">
        <v>44.91</v>
      </c>
      <c r="G58" s="9">
        <v>52</v>
      </c>
      <c r="H58" s="10">
        <v>1</v>
      </c>
      <c r="I58" s="11" t="s">
        <v>228</v>
      </c>
    </row>
    <row r="59" spans="1:9" ht="14.4" x14ac:dyDescent="0.3">
      <c r="A59" t="s">
        <v>58</v>
      </c>
      <c r="B59">
        <v>7.02</v>
      </c>
      <c r="G59" s="9">
        <v>53</v>
      </c>
      <c r="H59" s="10">
        <v>2</v>
      </c>
      <c r="I59" s="11" t="s">
        <v>229</v>
      </c>
    </row>
    <row r="60" spans="1:9" ht="14.4" x14ac:dyDescent="0.3">
      <c r="A60" t="s">
        <v>59</v>
      </c>
      <c r="B60" t="s">
        <v>4</v>
      </c>
      <c r="G60" s="9">
        <v>54</v>
      </c>
      <c r="H60" s="10">
        <v>3</v>
      </c>
      <c r="I60" s="11" t="s">
        <v>230</v>
      </c>
    </row>
    <row r="61" spans="1:9" ht="14.4" x14ac:dyDescent="0.3">
      <c r="A61" t="s">
        <v>60</v>
      </c>
      <c r="B61">
        <v>4.24</v>
      </c>
      <c r="G61" s="9">
        <v>66</v>
      </c>
      <c r="H61" s="10">
        <v>15</v>
      </c>
      <c r="I61" s="11" t="s">
        <v>231</v>
      </c>
    </row>
    <row r="62" spans="1:9" ht="14.4" x14ac:dyDescent="0.3">
      <c r="A62" t="s">
        <v>61</v>
      </c>
      <c r="B62">
        <v>7.5</v>
      </c>
      <c r="G62" s="9">
        <v>67</v>
      </c>
      <c r="H62" s="10">
        <v>16</v>
      </c>
      <c r="I62" s="11" t="s">
        <v>232</v>
      </c>
    </row>
    <row r="63" spans="1:9" ht="14.4" x14ac:dyDescent="0.3">
      <c r="A63" t="s">
        <v>62</v>
      </c>
      <c r="B63">
        <v>7.58</v>
      </c>
      <c r="G63" s="9">
        <v>69</v>
      </c>
      <c r="H63" s="10">
        <v>18</v>
      </c>
      <c r="I63" s="11" t="s">
        <v>180</v>
      </c>
    </row>
    <row r="64" spans="1:9" ht="14.4" x14ac:dyDescent="0.3">
      <c r="A64" t="s">
        <v>63</v>
      </c>
      <c r="B64">
        <v>11.36</v>
      </c>
      <c r="G64" s="9">
        <v>84</v>
      </c>
      <c r="H64" s="13"/>
      <c r="I64" s="11" t="s">
        <v>233</v>
      </c>
    </row>
    <row r="65" spans="1:9" ht="14.4" x14ac:dyDescent="0.3">
      <c r="A65" t="s">
        <v>64</v>
      </c>
      <c r="B65">
        <v>13.7</v>
      </c>
      <c r="G65" s="14">
        <v>86</v>
      </c>
      <c r="H65" s="15"/>
      <c r="I65" s="16" t="s">
        <v>234</v>
      </c>
    </row>
    <row r="66" spans="1:9" ht="14.4" x14ac:dyDescent="0.3">
      <c r="A66" t="s">
        <v>65</v>
      </c>
      <c r="B66" t="s">
        <v>4</v>
      </c>
      <c r="G66" s="14">
        <v>87</v>
      </c>
      <c r="H66" s="15"/>
      <c r="I66" s="16" t="s">
        <v>235</v>
      </c>
    </row>
    <row r="67" spans="1:9" ht="14.4" x14ac:dyDescent="0.3">
      <c r="A67" t="s">
        <v>66</v>
      </c>
      <c r="B67" t="s">
        <v>4</v>
      </c>
      <c r="G67" s="14">
        <v>88</v>
      </c>
      <c r="H67" s="15"/>
      <c r="I67" s="16" t="s">
        <v>236</v>
      </c>
    </row>
    <row r="68" spans="1:9" ht="14.4" x14ac:dyDescent="0.3">
      <c r="A68" t="s">
        <v>67</v>
      </c>
      <c r="B68" t="s">
        <v>4</v>
      </c>
      <c r="G68" s="14">
        <v>89</v>
      </c>
      <c r="H68" s="15"/>
      <c r="I68" s="16" t="s">
        <v>237</v>
      </c>
    </row>
    <row r="69" spans="1:9" ht="14.4" x14ac:dyDescent="0.3">
      <c r="A69" t="s">
        <v>68</v>
      </c>
      <c r="B69" t="s">
        <v>4</v>
      </c>
      <c r="G69" s="14">
        <v>90</v>
      </c>
      <c r="H69" s="15"/>
      <c r="I69" s="16" t="s">
        <v>238</v>
      </c>
    </row>
    <row r="70" spans="1:9" ht="14.4" x14ac:dyDescent="0.3">
      <c r="A70" t="s">
        <v>69</v>
      </c>
      <c r="B70" t="s">
        <v>4</v>
      </c>
      <c r="G70" s="14">
        <v>91</v>
      </c>
      <c r="H70" s="15"/>
      <c r="I70" s="16" t="s">
        <v>239</v>
      </c>
    </row>
    <row r="71" spans="1:9" x14ac:dyDescent="0.25">
      <c r="A71" t="s">
        <v>70</v>
      </c>
      <c r="B71">
        <v>49.34</v>
      </c>
      <c r="G71" s="9">
        <v>92</v>
      </c>
      <c r="H71" s="13"/>
      <c r="I71" s="13" t="s">
        <v>240</v>
      </c>
    </row>
    <row r="72" spans="1:9" x14ac:dyDescent="0.25">
      <c r="A72" t="s">
        <v>71</v>
      </c>
      <c r="B72">
        <v>12.2</v>
      </c>
      <c r="G72" s="9">
        <v>93</v>
      </c>
      <c r="H72" s="13"/>
      <c r="I72" s="13" t="s">
        <v>241</v>
      </c>
    </row>
    <row r="73" spans="1:9" x14ac:dyDescent="0.25">
      <c r="A73" t="s">
        <v>72</v>
      </c>
      <c r="B73">
        <v>14.43</v>
      </c>
      <c r="G73" s="9">
        <v>94</v>
      </c>
      <c r="H73" s="13"/>
      <c r="I73" s="13" t="s">
        <v>242</v>
      </c>
    </row>
    <row r="74" spans="1:9" x14ac:dyDescent="0.25">
      <c r="A74" t="s">
        <v>73</v>
      </c>
      <c r="B74" t="s">
        <v>4</v>
      </c>
      <c r="G74" s="9">
        <v>95</v>
      </c>
      <c r="H74" s="13"/>
      <c r="I74" s="13" t="s">
        <v>243</v>
      </c>
    </row>
    <row r="75" spans="1:9" x14ac:dyDescent="0.25">
      <c r="A75" t="s">
        <v>74</v>
      </c>
      <c r="B75">
        <v>14.07</v>
      </c>
      <c r="G75" s="9">
        <v>96</v>
      </c>
      <c r="H75" s="13"/>
      <c r="I75" s="13" t="s">
        <v>244</v>
      </c>
    </row>
    <row r="76" spans="1:9" x14ac:dyDescent="0.25">
      <c r="A76" t="s">
        <v>75</v>
      </c>
      <c r="B76">
        <v>18.87</v>
      </c>
      <c r="G76" s="17">
        <v>98</v>
      </c>
      <c r="H76" s="18"/>
      <c r="I76" s="19" t="s">
        <v>245</v>
      </c>
    </row>
    <row r="77" spans="1:9" x14ac:dyDescent="0.25">
      <c r="A77" t="s">
        <v>76</v>
      </c>
      <c r="B77">
        <v>14.52</v>
      </c>
      <c r="G77" s="17">
        <v>99</v>
      </c>
      <c r="H77" s="18"/>
      <c r="I77" s="19" t="s">
        <v>246</v>
      </c>
    </row>
    <row r="78" spans="1:9" x14ac:dyDescent="0.25">
      <c r="A78" t="s">
        <v>77</v>
      </c>
      <c r="B78">
        <v>28.67</v>
      </c>
      <c r="G78" s="17">
        <v>100</v>
      </c>
      <c r="H78" s="18"/>
      <c r="I78" s="19" t="s">
        <v>247</v>
      </c>
    </row>
    <row r="79" spans="1:9" x14ac:dyDescent="0.25">
      <c r="A79" t="s">
        <v>78</v>
      </c>
      <c r="B79" t="s">
        <v>4</v>
      </c>
      <c r="G79" s="9">
        <v>104</v>
      </c>
      <c r="H79" s="13"/>
      <c r="I79" s="13" t="s">
        <v>248</v>
      </c>
    </row>
    <row r="80" spans="1:9" x14ac:dyDescent="0.25">
      <c r="A80" t="s">
        <v>79</v>
      </c>
      <c r="B80" t="s">
        <v>4</v>
      </c>
      <c r="G80" s="17">
        <v>105</v>
      </c>
      <c r="H80" s="18"/>
      <c r="I80" s="20" t="s">
        <v>249</v>
      </c>
    </row>
    <row r="81" spans="1:9" x14ac:dyDescent="0.25">
      <c r="A81" t="s">
        <v>80</v>
      </c>
      <c r="B81" t="s">
        <v>4</v>
      </c>
      <c r="G81" s="17">
        <v>106</v>
      </c>
      <c r="H81" s="18"/>
      <c r="I81" s="20" t="s">
        <v>250</v>
      </c>
    </row>
    <row r="82" spans="1:9" x14ac:dyDescent="0.25">
      <c r="A82" t="s">
        <v>81</v>
      </c>
      <c r="B82" t="s">
        <v>4</v>
      </c>
      <c r="G82" s="17">
        <v>107</v>
      </c>
      <c r="H82" s="18"/>
      <c r="I82" s="20" t="s">
        <v>251</v>
      </c>
    </row>
    <row r="83" spans="1:9" ht="14.4" thickBot="1" x14ac:dyDescent="0.3">
      <c r="G83" s="21">
        <v>108</v>
      </c>
      <c r="H83" s="22"/>
      <c r="I83" s="23" t="s">
        <v>252</v>
      </c>
    </row>
    <row r="85" spans="1:9" x14ac:dyDescent="0.25">
      <c r="A85" t="s">
        <v>0</v>
      </c>
      <c r="B85" t="s">
        <v>82</v>
      </c>
    </row>
    <row r="87" spans="1:9" s="1" customFormat="1" x14ac:dyDescent="0.25">
      <c r="A87" s="1" t="s">
        <v>2</v>
      </c>
      <c r="B87" s="1" t="s">
        <v>157</v>
      </c>
    </row>
    <row r="88" spans="1:9" x14ac:dyDescent="0.25">
      <c r="A88" t="s">
        <v>3</v>
      </c>
      <c r="B88" t="s">
        <v>4</v>
      </c>
    </row>
    <row r="89" spans="1:9" x14ac:dyDescent="0.25">
      <c r="A89" t="s">
        <v>5</v>
      </c>
      <c r="B89" t="s">
        <v>4</v>
      </c>
    </row>
    <row r="90" spans="1:9" x14ac:dyDescent="0.25">
      <c r="A90" t="s">
        <v>6</v>
      </c>
      <c r="B90" t="s">
        <v>4</v>
      </c>
    </row>
    <row r="91" spans="1:9" x14ac:dyDescent="0.25">
      <c r="A91" t="s">
        <v>7</v>
      </c>
      <c r="B91" t="s">
        <v>4</v>
      </c>
    </row>
    <row r="92" spans="1:9" x14ac:dyDescent="0.25">
      <c r="A92" t="s">
        <v>8</v>
      </c>
      <c r="B92" t="s">
        <v>4</v>
      </c>
    </row>
    <row r="93" spans="1:9" x14ac:dyDescent="0.25">
      <c r="A93" t="s">
        <v>9</v>
      </c>
      <c r="B93" t="s">
        <v>4</v>
      </c>
    </row>
    <row r="94" spans="1:9" x14ac:dyDescent="0.25">
      <c r="A94" t="s">
        <v>10</v>
      </c>
      <c r="B94" t="s">
        <v>4</v>
      </c>
    </row>
    <row r="95" spans="1:9" x14ac:dyDescent="0.25">
      <c r="A95" t="s">
        <v>11</v>
      </c>
      <c r="B95" t="s">
        <v>4</v>
      </c>
    </row>
    <row r="96" spans="1:9" x14ac:dyDescent="0.25">
      <c r="A96" t="s">
        <v>12</v>
      </c>
      <c r="B96" t="s">
        <v>4</v>
      </c>
    </row>
    <row r="97" spans="1:2" x14ac:dyDescent="0.25">
      <c r="A97" t="s">
        <v>13</v>
      </c>
      <c r="B97" t="s">
        <v>4</v>
      </c>
    </row>
    <row r="98" spans="1:2" x14ac:dyDescent="0.25">
      <c r="A98" t="s">
        <v>14</v>
      </c>
      <c r="B98" t="s">
        <v>4</v>
      </c>
    </row>
    <row r="99" spans="1:2" x14ac:dyDescent="0.25">
      <c r="A99" t="s">
        <v>15</v>
      </c>
      <c r="B99" t="s">
        <v>4</v>
      </c>
    </row>
    <row r="100" spans="1:2" x14ac:dyDescent="0.25">
      <c r="A100" t="s">
        <v>16</v>
      </c>
      <c r="B100" t="s">
        <v>4</v>
      </c>
    </row>
    <row r="101" spans="1:2" x14ac:dyDescent="0.25">
      <c r="A101" t="s">
        <v>17</v>
      </c>
      <c r="B101" t="s">
        <v>4</v>
      </c>
    </row>
    <row r="102" spans="1:2" x14ac:dyDescent="0.25">
      <c r="A102" t="s">
        <v>18</v>
      </c>
      <c r="B102">
        <v>1.1200000000000001</v>
      </c>
    </row>
    <row r="103" spans="1:2" x14ac:dyDescent="0.25">
      <c r="A103" t="s">
        <v>19</v>
      </c>
      <c r="B103" t="s">
        <v>4</v>
      </c>
    </row>
    <row r="104" spans="1:2" x14ac:dyDescent="0.25">
      <c r="A104" t="s">
        <v>20</v>
      </c>
      <c r="B104">
        <v>1.34</v>
      </c>
    </row>
    <row r="105" spans="1:2" x14ac:dyDescent="0.25">
      <c r="A105" t="s">
        <v>21</v>
      </c>
      <c r="B105" t="s">
        <v>4</v>
      </c>
    </row>
    <row r="106" spans="1:2" x14ac:dyDescent="0.25">
      <c r="A106" t="s">
        <v>22</v>
      </c>
      <c r="B106">
        <v>0.38</v>
      </c>
    </row>
    <row r="107" spans="1:2" x14ac:dyDescent="0.25">
      <c r="A107" t="s">
        <v>23</v>
      </c>
      <c r="B107">
        <v>0.61</v>
      </c>
    </row>
    <row r="108" spans="1:2" x14ac:dyDescent="0.25">
      <c r="A108" t="s">
        <v>24</v>
      </c>
      <c r="B108">
        <v>0.5</v>
      </c>
    </row>
    <row r="109" spans="1:2" x14ac:dyDescent="0.25">
      <c r="A109" t="s">
        <v>25</v>
      </c>
      <c r="B109" t="s">
        <v>4</v>
      </c>
    </row>
    <row r="110" spans="1:2" x14ac:dyDescent="0.25">
      <c r="A110" t="s">
        <v>26</v>
      </c>
      <c r="B110">
        <v>0.47</v>
      </c>
    </row>
    <row r="111" spans="1:2" x14ac:dyDescent="0.25">
      <c r="A111" t="s">
        <v>27</v>
      </c>
      <c r="B111" t="s">
        <v>4</v>
      </c>
    </row>
    <row r="112" spans="1:2" x14ac:dyDescent="0.25">
      <c r="A112" t="s">
        <v>28</v>
      </c>
      <c r="B112" t="s">
        <v>4</v>
      </c>
    </row>
    <row r="113" spans="1:2" x14ac:dyDescent="0.25">
      <c r="A113" t="s">
        <v>29</v>
      </c>
      <c r="B113" t="s">
        <v>4</v>
      </c>
    </row>
    <row r="114" spans="1:2" x14ac:dyDescent="0.25">
      <c r="A114" t="s">
        <v>30</v>
      </c>
      <c r="B114" t="s">
        <v>4</v>
      </c>
    </row>
    <row r="115" spans="1:2" x14ac:dyDescent="0.25">
      <c r="A115" t="s">
        <v>31</v>
      </c>
      <c r="B115">
        <v>1.64</v>
      </c>
    </row>
    <row r="116" spans="1:2" x14ac:dyDescent="0.25">
      <c r="A116" t="s">
        <v>32</v>
      </c>
      <c r="B116" t="s">
        <v>4</v>
      </c>
    </row>
    <row r="117" spans="1:2" x14ac:dyDescent="0.25">
      <c r="A117" t="s">
        <v>33</v>
      </c>
      <c r="B117">
        <v>0.39</v>
      </c>
    </row>
    <row r="118" spans="1:2" x14ac:dyDescent="0.25">
      <c r="A118" t="s">
        <v>34</v>
      </c>
      <c r="B118" t="s">
        <v>4</v>
      </c>
    </row>
    <row r="119" spans="1:2" x14ac:dyDescent="0.25">
      <c r="A119" t="s">
        <v>35</v>
      </c>
      <c r="B119" t="s">
        <v>4</v>
      </c>
    </row>
    <row r="120" spans="1:2" x14ac:dyDescent="0.25">
      <c r="A120" t="s">
        <v>36</v>
      </c>
      <c r="B120" t="s">
        <v>4</v>
      </c>
    </row>
    <row r="121" spans="1:2" x14ac:dyDescent="0.25">
      <c r="A121" t="s">
        <v>37</v>
      </c>
      <c r="B121" t="s">
        <v>4</v>
      </c>
    </row>
    <row r="122" spans="1:2" x14ac:dyDescent="0.25">
      <c r="A122" t="s">
        <v>38</v>
      </c>
      <c r="B122" t="s">
        <v>4</v>
      </c>
    </row>
    <row r="123" spans="1:2" x14ac:dyDescent="0.25">
      <c r="A123" t="s">
        <v>39</v>
      </c>
      <c r="B123" t="s">
        <v>4</v>
      </c>
    </row>
    <row r="124" spans="1:2" x14ac:dyDescent="0.25">
      <c r="A124" t="s">
        <v>40</v>
      </c>
      <c r="B124" t="s">
        <v>4</v>
      </c>
    </row>
    <row r="125" spans="1:2" x14ac:dyDescent="0.25">
      <c r="A125" t="s">
        <v>41</v>
      </c>
      <c r="B125" t="s">
        <v>4</v>
      </c>
    </row>
    <row r="126" spans="1:2" x14ac:dyDescent="0.25">
      <c r="A126" t="s">
        <v>42</v>
      </c>
      <c r="B126" t="s">
        <v>4</v>
      </c>
    </row>
    <row r="127" spans="1:2" x14ac:dyDescent="0.25">
      <c r="A127" t="s">
        <v>43</v>
      </c>
      <c r="B127" t="s">
        <v>4</v>
      </c>
    </row>
    <row r="128" spans="1:2" x14ac:dyDescent="0.25">
      <c r="A128" t="s">
        <v>44</v>
      </c>
      <c r="B128" t="s">
        <v>4</v>
      </c>
    </row>
    <row r="129" spans="1:2" x14ac:dyDescent="0.25">
      <c r="A129" t="s">
        <v>45</v>
      </c>
      <c r="B129" t="s">
        <v>4</v>
      </c>
    </row>
    <row r="130" spans="1:2" x14ac:dyDescent="0.25">
      <c r="A130" t="s">
        <v>46</v>
      </c>
      <c r="B130" t="s">
        <v>4</v>
      </c>
    </row>
    <row r="131" spans="1:2" x14ac:dyDescent="0.25">
      <c r="A131" t="s">
        <v>47</v>
      </c>
      <c r="B131" t="s">
        <v>4</v>
      </c>
    </row>
    <row r="132" spans="1:2" x14ac:dyDescent="0.25">
      <c r="A132" t="s">
        <v>48</v>
      </c>
      <c r="B132" t="s">
        <v>4</v>
      </c>
    </row>
    <row r="133" spans="1:2" x14ac:dyDescent="0.25">
      <c r="A133" t="s">
        <v>49</v>
      </c>
      <c r="B133" t="s">
        <v>4</v>
      </c>
    </row>
    <row r="134" spans="1:2" x14ac:dyDescent="0.25">
      <c r="A134" t="s">
        <v>50</v>
      </c>
      <c r="B134" t="s">
        <v>4</v>
      </c>
    </row>
    <row r="135" spans="1:2" x14ac:dyDescent="0.25">
      <c r="A135" t="s">
        <v>51</v>
      </c>
      <c r="B135" t="s">
        <v>4</v>
      </c>
    </row>
    <row r="136" spans="1:2" x14ac:dyDescent="0.25">
      <c r="A136" t="s">
        <v>52</v>
      </c>
      <c r="B136" t="s">
        <v>4</v>
      </c>
    </row>
    <row r="137" spans="1:2" x14ac:dyDescent="0.25">
      <c r="A137" t="s">
        <v>53</v>
      </c>
      <c r="B137">
        <v>1.71</v>
      </c>
    </row>
    <row r="138" spans="1:2" x14ac:dyDescent="0.25">
      <c r="A138" t="s">
        <v>54</v>
      </c>
      <c r="B138">
        <v>0.81</v>
      </c>
    </row>
    <row r="139" spans="1:2" x14ac:dyDescent="0.25">
      <c r="A139" t="s">
        <v>55</v>
      </c>
      <c r="B139">
        <v>3.69</v>
      </c>
    </row>
    <row r="140" spans="1:2" x14ac:dyDescent="0.25">
      <c r="A140" t="s">
        <v>56</v>
      </c>
      <c r="B140" t="s">
        <v>4</v>
      </c>
    </row>
    <row r="141" spans="1:2" x14ac:dyDescent="0.25">
      <c r="A141" t="s">
        <v>57</v>
      </c>
      <c r="B141" t="s">
        <v>4</v>
      </c>
    </row>
    <row r="142" spans="1:2" x14ac:dyDescent="0.25">
      <c r="A142" t="s">
        <v>58</v>
      </c>
      <c r="B142" t="s">
        <v>4</v>
      </c>
    </row>
    <row r="143" spans="1:2" x14ac:dyDescent="0.25">
      <c r="A143" t="s">
        <v>59</v>
      </c>
      <c r="B143">
        <v>3.37</v>
      </c>
    </row>
    <row r="144" spans="1:2" x14ac:dyDescent="0.25">
      <c r="A144" t="s">
        <v>60</v>
      </c>
      <c r="B144">
        <v>3.18</v>
      </c>
    </row>
    <row r="145" spans="1:2" x14ac:dyDescent="0.25">
      <c r="A145" t="s">
        <v>61</v>
      </c>
      <c r="B145">
        <v>5.03</v>
      </c>
    </row>
    <row r="146" spans="1:2" x14ac:dyDescent="0.25">
      <c r="A146" t="s">
        <v>62</v>
      </c>
      <c r="B146">
        <v>4.46</v>
      </c>
    </row>
    <row r="147" spans="1:2" x14ac:dyDescent="0.25">
      <c r="A147" t="s">
        <v>63</v>
      </c>
      <c r="B147">
        <v>4.74</v>
      </c>
    </row>
    <row r="148" spans="1:2" x14ac:dyDescent="0.25">
      <c r="A148" t="s">
        <v>64</v>
      </c>
      <c r="B148">
        <v>6.82</v>
      </c>
    </row>
    <row r="149" spans="1:2" x14ac:dyDescent="0.25">
      <c r="A149" t="s">
        <v>65</v>
      </c>
      <c r="B149">
        <v>0.48</v>
      </c>
    </row>
    <row r="150" spans="1:2" x14ac:dyDescent="0.25">
      <c r="A150" t="s">
        <v>66</v>
      </c>
      <c r="B150" t="s">
        <v>4</v>
      </c>
    </row>
    <row r="151" spans="1:2" x14ac:dyDescent="0.25">
      <c r="A151" t="s">
        <v>67</v>
      </c>
      <c r="B151" t="s">
        <v>4</v>
      </c>
    </row>
    <row r="152" spans="1:2" x14ac:dyDescent="0.25">
      <c r="A152" t="s">
        <v>68</v>
      </c>
      <c r="B152">
        <v>2.77</v>
      </c>
    </row>
    <row r="153" spans="1:2" x14ac:dyDescent="0.25">
      <c r="A153" t="s">
        <v>69</v>
      </c>
      <c r="B153" t="s">
        <v>4</v>
      </c>
    </row>
    <row r="154" spans="1:2" x14ac:dyDescent="0.25">
      <c r="A154" t="s">
        <v>70</v>
      </c>
      <c r="B154">
        <v>1.49</v>
      </c>
    </row>
    <row r="155" spans="1:2" x14ac:dyDescent="0.25">
      <c r="A155" t="s">
        <v>71</v>
      </c>
      <c r="B155">
        <v>2.77</v>
      </c>
    </row>
    <row r="156" spans="1:2" x14ac:dyDescent="0.25">
      <c r="A156" t="s">
        <v>72</v>
      </c>
      <c r="B156">
        <v>2.37</v>
      </c>
    </row>
    <row r="157" spans="1:2" x14ac:dyDescent="0.25">
      <c r="A157" t="s">
        <v>73</v>
      </c>
      <c r="B157">
        <v>0.78</v>
      </c>
    </row>
    <row r="158" spans="1:2" x14ac:dyDescent="0.25">
      <c r="A158" t="s">
        <v>74</v>
      </c>
      <c r="B158">
        <v>2.75</v>
      </c>
    </row>
    <row r="159" spans="1:2" x14ac:dyDescent="0.25">
      <c r="A159" t="s">
        <v>75</v>
      </c>
      <c r="B159">
        <v>2.58</v>
      </c>
    </row>
    <row r="160" spans="1:2" x14ac:dyDescent="0.25">
      <c r="A160" t="s">
        <v>76</v>
      </c>
      <c r="B160">
        <v>2.82</v>
      </c>
    </row>
    <row r="161" spans="1:2" x14ac:dyDescent="0.25">
      <c r="A161" t="s">
        <v>77</v>
      </c>
      <c r="B161">
        <v>2.3199999999999998</v>
      </c>
    </row>
    <row r="162" spans="1:2" x14ac:dyDescent="0.25">
      <c r="A162" t="s">
        <v>78</v>
      </c>
      <c r="B162" t="s">
        <v>4</v>
      </c>
    </row>
    <row r="163" spans="1:2" x14ac:dyDescent="0.25">
      <c r="A163" t="s">
        <v>79</v>
      </c>
      <c r="B163" t="s">
        <v>4</v>
      </c>
    </row>
    <row r="164" spans="1:2" x14ac:dyDescent="0.25">
      <c r="A164" t="s">
        <v>80</v>
      </c>
      <c r="B164" t="s">
        <v>4</v>
      </c>
    </row>
    <row r="165" spans="1:2" x14ac:dyDescent="0.25">
      <c r="A165" t="s">
        <v>81</v>
      </c>
      <c r="B165" t="s">
        <v>4</v>
      </c>
    </row>
    <row r="168" spans="1:2" x14ac:dyDescent="0.25">
      <c r="A168" t="s">
        <v>0</v>
      </c>
      <c r="B168" t="s">
        <v>83</v>
      </c>
    </row>
    <row r="170" spans="1:2" s="1" customFormat="1" x14ac:dyDescent="0.25">
      <c r="A170" s="1" t="s">
        <v>2</v>
      </c>
      <c r="B170" s="1" t="s">
        <v>157</v>
      </c>
    </row>
    <row r="171" spans="1:2" x14ac:dyDescent="0.25">
      <c r="A171" t="s">
        <v>3</v>
      </c>
      <c r="B171" t="s">
        <v>4</v>
      </c>
    </row>
    <row r="172" spans="1:2" x14ac:dyDescent="0.25">
      <c r="A172" t="s">
        <v>5</v>
      </c>
      <c r="B172" t="s">
        <v>4</v>
      </c>
    </row>
    <row r="173" spans="1:2" x14ac:dyDescent="0.25">
      <c r="A173" t="s">
        <v>6</v>
      </c>
      <c r="B173" t="s">
        <v>4</v>
      </c>
    </row>
    <row r="174" spans="1:2" x14ac:dyDescent="0.25">
      <c r="A174" t="s">
        <v>7</v>
      </c>
      <c r="B174" t="s">
        <v>4</v>
      </c>
    </row>
    <row r="175" spans="1:2" x14ac:dyDescent="0.25">
      <c r="A175" t="s">
        <v>8</v>
      </c>
      <c r="B175" t="s">
        <v>4</v>
      </c>
    </row>
    <row r="176" spans="1:2" x14ac:dyDescent="0.25">
      <c r="A176" t="s">
        <v>9</v>
      </c>
      <c r="B176" t="s">
        <v>4</v>
      </c>
    </row>
    <row r="177" spans="1:2" x14ac:dyDescent="0.25">
      <c r="A177" t="s">
        <v>10</v>
      </c>
      <c r="B177" t="s">
        <v>4</v>
      </c>
    </row>
    <row r="178" spans="1:2" x14ac:dyDescent="0.25">
      <c r="A178" t="s">
        <v>11</v>
      </c>
      <c r="B178" t="s">
        <v>4</v>
      </c>
    </row>
    <row r="179" spans="1:2" x14ac:dyDescent="0.25">
      <c r="A179" t="s">
        <v>12</v>
      </c>
      <c r="B179" t="s">
        <v>4</v>
      </c>
    </row>
    <row r="180" spans="1:2" x14ac:dyDescent="0.25">
      <c r="A180" t="s">
        <v>13</v>
      </c>
      <c r="B180" t="s">
        <v>4</v>
      </c>
    </row>
    <row r="181" spans="1:2" x14ac:dyDescent="0.25">
      <c r="A181" t="s">
        <v>14</v>
      </c>
      <c r="B181" t="s">
        <v>4</v>
      </c>
    </row>
    <row r="182" spans="1:2" x14ac:dyDescent="0.25">
      <c r="A182" t="s">
        <v>15</v>
      </c>
      <c r="B182" t="s">
        <v>4</v>
      </c>
    </row>
    <row r="183" spans="1:2" x14ac:dyDescent="0.25">
      <c r="A183" t="s">
        <v>16</v>
      </c>
      <c r="B183" t="s">
        <v>4</v>
      </c>
    </row>
    <row r="184" spans="1:2" x14ac:dyDescent="0.25">
      <c r="A184" t="s">
        <v>17</v>
      </c>
      <c r="B184" t="s">
        <v>4</v>
      </c>
    </row>
    <row r="185" spans="1:2" x14ac:dyDescent="0.25">
      <c r="A185" t="s">
        <v>18</v>
      </c>
      <c r="B185" t="s">
        <v>4</v>
      </c>
    </row>
    <row r="186" spans="1:2" x14ac:dyDescent="0.25">
      <c r="A186" t="s">
        <v>19</v>
      </c>
      <c r="B186" t="s">
        <v>4</v>
      </c>
    </row>
    <row r="187" spans="1:2" x14ac:dyDescent="0.25">
      <c r="A187" t="s">
        <v>20</v>
      </c>
      <c r="B187" t="s">
        <v>4</v>
      </c>
    </row>
    <row r="188" spans="1:2" x14ac:dyDescent="0.25">
      <c r="A188" t="s">
        <v>21</v>
      </c>
      <c r="B188" t="s">
        <v>4</v>
      </c>
    </row>
    <row r="189" spans="1:2" x14ac:dyDescent="0.25">
      <c r="A189" t="s">
        <v>22</v>
      </c>
      <c r="B189" t="s">
        <v>4</v>
      </c>
    </row>
    <row r="190" spans="1:2" x14ac:dyDescent="0.25">
      <c r="A190" t="s">
        <v>23</v>
      </c>
      <c r="B190" t="s">
        <v>4</v>
      </c>
    </row>
    <row r="191" spans="1:2" x14ac:dyDescent="0.25">
      <c r="A191" t="s">
        <v>24</v>
      </c>
      <c r="B191" t="s">
        <v>4</v>
      </c>
    </row>
    <row r="192" spans="1:2" x14ac:dyDescent="0.25">
      <c r="A192" t="s">
        <v>25</v>
      </c>
      <c r="B192" t="s">
        <v>4</v>
      </c>
    </row>
    <row r="193" spans="1:2" x14ac:dyDescent="0.25">
      <c r="A193" t="s">
        <v>26</v>
      </c>
      <c r="B193" t="s">
        <v>4</v>
      </c>
    </row>
    <row r="194" spans="1:2" x14ac:dyDescent="0.25">
      <c r="A194" t="s">
        <v>27</v>
      </c>
      <c r="B194" t="s">
        <v>4</v>
      </c>
    </row>
    <row r="195" spans="1:2" x14ac:dyDescent="0.25">
      <c r="A195" t="s">
        <v>28</v>
      </c>
      <c r="B195" t="s">
        <v>4</v>
      </c>
    </row>
    <row r="196" spans="1:2" x14ac:dyDescent="0.25">
      <c r="A196" t="s">
        <v>29</v>
      </c>
      <c r="B196" t="s">
        <v>4</v>
      </c>
    </row>
    <row r="197" spans="1:2" x14ac:dyDescent="0.25">
      <c r="A197" t="s">
        <v>30</v>
      </c>
      <c r="B197" t="s">
        <v>4</v>
      </c>
    </row>
    <row r="198" spans="1:2" x14ac:dyDescent="0.25">
      <c r="A198" t="s">
        <v>31</v>
      </c>
      <c r="B198" t="s">
        <v>4</v>
      </c>
    </row>
    <row r="199" spans="1:2" x14ac:dyDescent="0.25">
      <c r="A199" t="s">
        <v>32</v>
      </c>
      <c r="B199" t="s">
        <v>4</v>
      </c>
    </row>
    <row r="200" spans="1:2" x14ac:dyDescent="0.25">
      <c r="A200" t="s">
        <v>33</v>
      </c>
      <c r="B200" t="s">
        <v>4</v>
      </c>
    </row>
    <row r="201" spans="1:2" x14ac:dyDescent="0.25">
      <c r="A201" t="s">
        <v>34</v>
      </c>
      <c r="B201" t="s">
        <v>4</v>
      </c>
    </row>
    <row r="202" spans="1:2" x14ac:dyDescent="0.25">
      <c r="A202" t="s">
        <v>35</v>
      </c>
      <c r="B202" t="s">
        <v>4</v>
      </c>
    </row>
    <row r="203" spans="1:2" x14ac:dyDescent="0.25">
      <c r="A203" t="s">
        <v>36</v>
      </c>
      <c r="B203" t="s">
        <v>4</v>
      </c>
    </row>
    <row r="204" spans="1:2" x14ac:dyDescent="0.25">
      <c r="A204" t="s">
        <v>37</v>
      </c>
      <c r="B204" t="s">
        <v>4</v>
      </c>
    </row>
    <row r="205" spans="1:2" x14ac:dyDescent="0.25">
      <c r="A205" t="s">
        <v>38</v>
      </c>
      <c r="B205" t="s">
        <v>4</v>
      </c>
    </row>
    <row r="206" spans="1:2" x14ac:dyDescent="0.25">
      <c r="A206" t="s">
        <v>39</v>
      </c>
      <c r="B206" t="s">
        <v>4</v>
      </c>
    </row>
    <row r="207" spans="1:2" x14ac:dyDescent="0.25">
      <c r="A207" t="s">
        <v>40</v>
      </c>
      <c r="B207" t="s">
        <v>4</v>
      </c>
    </row>
    <row r="208" spans="1:2" x14ac:dyDescent="0.25">
      <c r="A208" t="s">
        <v>41</v>
      </c>
      <c r="B208" t="s">
        <v>4</v>
      </c>
    </row>
    <row r="209" spans="1:2" x14ac:dyDescent="0.25">
      <c r="A209" t="s">
        <v>42</v>
      </c>
      <c r="B209" t="s">
        <v>4</v>
      </c>
    </row>
    <row r="210" spans="1:2" x14ac:dyDescent="0.25">
      <c r="A210" t="s">
        <v>43</v>
      </c>
      <c r="B210" t="s">
        <v>4</v>
      </c>
    </row>
    <row r="211" spans="1:2" x14ac:dyDescent="0.25">
      <c r="A211" t="s">
        <v>44</v>
      </c>
      <c r="B211" t="s">
        <v>4</v>
      </c>
    </row>
    <row r="212" spans="1:2" x14ac:dyDescent="0.25">
      <c r="A212" t="s">
        <v>45</v>
      </c>
      <c r="B212" t="s">
        <v>4</v>
      </c>
    </row>
    <row r="213" spans="1:2" x14ac:dyDescent="0.25">
      <c r="A213" t="s">
        <v>46</v>
      </c>
      <c r="B213" t="s">
        <v>4</v>
      </c>
    </row>
    <row r="214" spans="1:2" x14ac:dyDescent="0.25">
      <c r="A214" t="s">
        <v>47</v>
      </c>
      <c r="B214" t="s">
        <v>4</v>
      </c>
    </row>
    <row r="215" spans="1:2" x14ac:dyDescent="0.25">
      <c r="A215" t="s">
        <v>48</v>
      </c>
      <c r="B215" t="s">
        <v>4</v>
      </c>
    </row>
    <row r="216" spans="1:2" x14ac:dyDescent="0.25">
      <c r="A216" t="s">
        <v>49</v>
      </c>
      <c r="B216" t="s">
        <v>4</v>
      </c>
    </row>
    <row r="217" spans="1:2" x14ac:dyDescent="0.25">
      <c r="A217" t="s">
        <v>50</v>
      </c>
      <c r="B217" t="s">
        <v>4</v>
      </c>
    </row>
    <row r="218" spans="1:2" x14ac:dyDescent="0.25">
      <c r="A218" t="s">
        <v>51</v>
      </c>
      <c r="B218" t="s">
        <v>4</v>
      </c>
    </row>
    <row r="219" spans="1:2" x14ac:dyDescent="0.25">
      <c r="A219" t="s">
        <v>52</v>
      </c>
      <c r="B219" t="s">
        <v>4</v>
      </c>
    </row>
    <row r="220" spans="1:2" x14ac:dyDescent="0.25">
      <c r="A220" t="s">
        <v>53</v>
      </c>
      <c r="B220" t="s">
        <v>4</v>
      </c>
    </row>
    <row r="221" spans="1:2" x14ac:dyDescent="0.25">
      <c r="A221" t="s">
        <v>54</v>
      </c>
      <c r="B221" t="s">
        <v>4</v>
      </c>
    </row>
    <row r="222" spans="1:2" x14ac:dyDescent="0.25">
      <c r="A222" t="s">
        <v>55</v>
      </c>
      <c r="B222" t="s">
        <v>4</v>
      </c>
    </row>
    <row r="223" spans="1:2" x14ac:dyDescent="0.25">
      <c r="A223" t="s">
        <v>56</v>
      </c>
      <c r="B223" t="s">
        <v>4</v>
      </c>
    </row>
    <row r="224" spans="1:2" x14ac:dyDescent="0.25">
      <c r="A224" t="s">
        <v>57</v>
      </c>
      <c r="B224" t="s">
        <v>4</v>
      </c>
    </row>
    <row r="225" spans="1:2" x14ac:dyDescent="0.25">
      <c r="A225" t="s">
        <v>58</v>
      </c>
      <c r="B225" t="s">
        <v>4</v>
      </c>
    </row>
    <row r="226" spans="1:2" x14ac:dyDescent="0.25">
      <c r="A226" t="s">
        <v>59</v>
      </c>
      <c r="B226" t="s">
        <v>4</v>
      </c>
    </row>
    <row r="227" spans="1:2" x14ac:dyDescent="0.25">
      <c r="A227" t="s">
        <v>60</v>
      </c>
      <c r="B227" t="s">
        <v>4</v>
      </c>
    </row>
    <row r="228" spans="1:2" x14ac:dyDescent="0.25">
      <c r="A228" t="s">
        <v>61</v>
      </c>
      <c r="B228" t="s">
        <v>4</v>
      </c>
    </row>
    <row r="229" spans="1:2" x14ac:dyDescent="0.25">
      <c r="A229" t="s">
        <v>62</v>
      </c>
      <c r="B229" t="s">
        <v>4</v>
      </c>
    </row>
    <row r="230" spans="1:2" x14ac:dyDescent="0.25">
      <c r="A230" t="s">
        <v>63</v>
      </c>
      <c r="B230" t="s">
        <v>4</v>
      </c>
    </row>
    <row r="231" spans="1:2" x14ac:dyDescent="0.25">
      <c r="A231" t="s">
        <v>64</v>
      </c>
      <c r="B231" t="s">
        <v>4</v>
      </c>
    </row>
    <row r="232" spans="1:2" x14ac:dyDescent="0.25">
      <c r="A232" t="s">
        <v>65</v>
      </c>
      <c r="B232" t="s">
        <v>4</v>
      </c>
    </row>
    <row r="233" spans="1:2" x14ac:dyDescent="0.25">
      <c r="A233" t="s">
        <v>66</v>
      </c>
      <c r="B233" t="s">
        <v>4</v>
      </c>
    </row>
    <row r="234" spans="1:2" x14ac:dyDescent="0.25">
      <c r="A234" t="s">
        <v>67</v>
      </c>
      <c r="B234" t="s">
        <v>4</v>
      </c>
    </row>
    <row r="235" spans="1:2" x14ac:dyDescent="0.25">
      <c r="A235" t="s">
        <v>68</v>
      </c>
      <c r="B235" t="s">
        <v>4</v>
      </c>
    </row>
    <row r="236" spans="1:2" x14ac:dyDescent="0.25">
      <c r="A236" t="s">
        <v>69</v>
      </c>
      <c r="B236" t="s">
        <v>4</v>
      </c>
    </row>
    <row r="237" spans="1:2" x14ac:dyDescent="0.25">
      <c r="A237" t="s">
        <v>70</v>
      </c>
      <c r="B237" t="s">
        <v>4</v>
      </c>
    </row>
    <row r="238" spans="1:2" x14ac:dyDescent="0.25">
      <c r="A238" t="s">
        <v>71</v>
      </c>
      <c r="B238" t="s">
        <v>4</v>
      </c>
    </row>
    <row r="239" spans="1:2" x14ac:dyDescent="0.25">
      <c r="A239" t="s">
        <v>72</v>
      </c>
      <c r="B239" t="s">
        <v>4</v>
      </c>
    </row>
    <row r="240" spans="1:2" x14ac:dyDescent="0.25">
      <c r="A240" t="s">
        <v>73</v>
      </c>
      <c r="B240" t="s">
        <v>4</v>
      </c>
    </row>
    <row r="241" spans="1:2" x14ac:dyDescent="0.25">
      <c r="A241" t="s">
        <v>74</v>
      </c>
      <c r="B241" t="s">
        <v>4</v>
      </c>
    </row>
    <row r="242" spans="1:2" x14ac:dyDescent="0.25">
      <c r="A242" t="s">
        <v>75</v>
      </c>
      <c r="B242" t="s">
        <v>4</v>
      </c>
    </row>
    <row r="243" spans="1:2" x14ac:dyDescent="0.25">
      <c r="A243" t="s">
        <v>76</v>
      </c>
      <c r="B243" t="s">
        <v>4</v>
      </c>
    </row>
    <row r="244" spans="1:2" x14ac:dyDescent="0.25">
      <c r="A244" t="s">
        <v>77</v>
      </c>
      <c r="B244" t="s">
        <v>4</v>
      </c>
    </row>
    <row r="245" spans="1:2" x14ac:dyDescent="0.25">
      <c r="A245" t="s">
        <v>78</v>
      </c>
      <c r="B245" t="s">
        <v>4</v>
      </c>
    </row>
    <row r="246" spans="1:2" x14ac:dyDescent="0.25">
      <c r="A246" t="s">
        <v>79</v>
      </c>
      <c r="B246" t="s">
        <v>4</v>
      </c>
    </row>
    <row r="247" spans="1:2" x14ac:dyDescent="0.25">
      <c r="A247" t="s">
        <v>80</v>
      </c>
      <c r="B247" t="s">
        <v>4</v>
      </c>
    </row>
    <row r="248" spans="1:2" x14ac:dyDescent="0.25">
      <c r="A248" t="s">
        <v>81</v>
      </c>
      <c r="B248" t="s">
        <v>4</v>
      </c>
    </row>
    <row r="251" spans="1:2" x14ac:dyDescent="0.25">
      <c r="A251" t="s">
        <v>0</v>
      </c>
      <c r="B251" t="s">
        <v>158</v>
      </c>
    </row>
    <row r="253" spans="1:2" s="1" customFormat="1" x14ac:dyDescent="0.25">
      <c r="A253" s="1" t="s">
        <v>2</v>
      </c>
      <c r="B253" s="1" t="s">
        <v>157</v>
      </c>
    </row>
    <row r="254" spans="1:2" x14ac:dyDescent="0.25">
      <c r="A254" t="s">
        <v>3</v>
      </c>
      <c r="B254" t="s">
        <v>4</v>
      </c>
    </row>
    <row r="255" spans="1:2" x14ac:dyDescent="0.25">
      <c r="A255" t="s">
        <v>5</v>
      </c>
      <c r="B255" t="s">
        <v>4</v>
      </c>
    </row>
    <row r="256" spans="1:2" x14ac:dyDescent="0.25">
      <c r="A256" t="s">
        <v>6</v>
      </c>
      <c r="B256" t="s">
        <v>4</v>
      </c>
    </row>
    <row r="257" spans="1:2" x14ac:dyDescent="0.25">
      <c r="A257" t="s">
        <v>7</v>
      </c>
      <c r="B257" t="s">
        <v>4</v>
      </c>
    </row>
    <row r="258" spans="1:2" x14ac:dyDescent="0.25">
      <c r="A258" t="s">
        <v>8</v>
      </c>
      <c r="B258" t="s">
        <v>4</v>
      </c>
    </row>
    <row r="259" spans="1:2" x14ac:dyDescent="0.25">
      <c r="A259" t="s">
        <v>9</v>
      </c>
      <c r="B259" t="s">
        <v>4</v>
      </c>
    </row>
    <row r="260" spans="1:2" x14ac:dyDescent="0.25">
      <c r="A260" t="s">
        <v>10</v>
      </c>
      <c r="B260" t="s">
        <v>4</v>
      </c>
    </row>
    <row r="261" spans="1:2" x14ac:dyDescent="0.25">
      <c r="A261" t="s">
        <v>11</v>
      </c>
      <c r="B261" t="s">
        <v>4</v>
      </c>
    </row>
    <row r="262" spans="1:2" x14ac:dyDescent="0.25">
      <c r="A262" t="s">
        <v>12</v>
      </c>
      <c r="B262" t="s">
        <v>4</v>
      </c>
    </row>
    <row r="263" spans="1:2" x14ac:dyDescent="0.25">
      <c r="A263" t="s">
        <v>13</v>
      </c>
      <c r="B263" t="s">
        <v>4</v>
      </c>
    </row>
    <row r="264" spans="1:2" x14ac:dyDescent="0.25">
      <c r="A264" t="s">
        <v>14</v>
      </c>
      <c r="B264" t="s">
        <v>4</v>
      </c>
    </row>
    <row r="265" spans="1:2" x14ac:dyDescent="0.25">
      <c r="A265" t="s">
        <v>15</v>
      </c>
      <c r="B265" t="s">
        <v>4</v>
      </c>
    </row>
    <row r="266" spans="1:2" x14ac:dyDescent="0.25">
      <c r="A266" t="s">
        <v>16</v>
      </c>
      <c r="B266" t="s">
        <v>4</v>
      </c>
    </row>
    <row r="267" spans="1:2" x14ac:dyDescent="0.25">
      <c r="A267" t="s">
        <v>17</v>
      </c>
      <c r="B267" t="s">
        <v>4</v>
      </c>
    </row>
    <row r="268" spans="1:2" x14ac:dyDescent="0.25">
      <c r="A268" t="s">
        <v>18</v>
      </c>
      <c r="B268" t="s">
        <v>4</v>
      </c>
    </row>
    <row r="269" spans="1:2" x14ac:dyDescent="0.25">
      <c r="A269" t="s">
        <v>19</v>
      </c>
      <c r="B269" t="s">
        <v>4</v>
      </c>
    </row>
    <row r="270" spans="1:2" x14ac:dyDescent="0.25">
      <c r="A270" t="s">
        <v>20</v>
      </c>
      <c r="B270" t="s">
        <v>4</v>
      </c>
    </row>
    <row r="271" spans="1:2" x14ac:dyDescent="0.25">
      <c r="A271" t="s">
        <v>21</v>
      </c>
      <c r="B271" t="s">
        <v>4</v>
      </c>
    </row>
    <row r="272" spans="1:2" x14ac:dyDescent="0.25">
      <c r="A272" t="s">
        <v>22</v>
      </c>
      <c r="B272" t="s">
        <v>4</v>
      </c>
    </row>
    <row r="273" spans="1:2" x14ac:dyDescent="0.25">
      <c r="A273" t="s">
        <v>23</v>
      </c>
      <c r="B273" t="s">
        <v>4</v>
      </c>
    </row>
    <row r="274" spans="1:2" x14ac:dyDescent="0.25">
      <c r="A274" t="s">
        <v>24</v>
      </c>
      <c r="B274" t="s">
        <v>4</v>
      </c>
    </row>
    <row r="275" spans="1:2" x14ac:dyDescent="0.25">
      <c r="A275" t="s">
        <v>25</v>
      </c>
      <c r="B275" t="s">
        <v>4</v>
      </c>
    </row>
    <row r="276" spans="1:2" x14ac:dyDescent="0.25">
      <c r="A276" t="s">
        <v>26</v>
      </c>
      <c r="B276" t="s">
        <v>4</v>
      </c>
    </row>
    <row r="277" spans="1:2" x14ac:dyDescent="0.25">
      <c r="A277" t="s">
        <v>27</v>
      </c>
      <c r="B277" t="s">
        <v>4</v>
      </c>
    </row>
    <row r="278" spans="1:2" x14ac:dyDescent="0.25">
      <c r="A278" t="s">
        <v>28</v>
      </c>
      <c r="B278" t="s">
        <v>4</v>
      </c>
    </row>
    <row r="279" spans="1:2" x14ac:dyDescent="0.25">
      <c r="A279" t="s">
        <v>29</v>
      </c>
      <c r="B279" t="s">
        <v>4</v>
      </c>
    </row>
    <row r="280" spans="1:2" x14ac:dyDescent="0.25">
      <c r="A280" t="s">
        <v>30</v>
      </c>
      <c r="B280" t="s">
        <v>4</v>
      </c>
    </row>
    <row r="281" spans="1:2" x14ac:dyDescent="0.25">
      <c r="A281" t="s">
        <v>31</v>
      </c>
      <c r="B281" t="s">
        <v>4</v>
      </c>
    </row>
    <row r="282" spans="1:2" x14ac:dyDescent="0.25">
      <c r="A282" t="s">
        <v>32</v>
      </c>
      <c r="B282" t="s">
        <v>4</v>
      </c>
    </row>
    <row r="283" spans="1:2" x14ac:dyDescent="0.25">
      <c r="A283" t="s">
        <v>33</v>
      </c>
      <c r="B283" t="s">
        <v>4</v>
      </c>
    </row>
    <row r="284" spans="1:2" x14ac:dyDescent="0.25">
      <c r="A284" t="s">
        <v>34</v>
      </c>
      <c r="B284" t="s">
        <v>4</v>
      </c>
    </row>
    <row r="285" spans="1:2" x14ac:dyDescent="0.25">
      <c r="A285" t="s">
        <v>35</v>
      </c>
      <c r="B285" t="s">
        <v>4</v>
      </c>
    </row>
    <row r="286" spans="1:2" x14ac:dyDescent="0.25">
      <c r="A286" t="s">
        <v>36</v>
      </c>
      <c r="B286" t="s">
        <v>4</v>
      </c>
    </row>
    <row r="287" spans="1:2" x14ac:dyDescent="0.25">
      <c r="A287" t="s">
        <v>37</v>
      </c>
      <c r="B287" t="s">
        <v>4</v>
      </c>
    </row>
    <row r="288" spans="1:2" x14ac:dyDescent="0.25">
      <c r="A288" t="s">
        <v>38</v>
      </c>
      <c r="B288" t="s">
        <v>4</v>
      </c>
    </row>
    <row r="289" spans="1:2" x14ac:dyDescent="0.25">
      <c r="A289" t="s">
        <v>39</v>
      </c>
      <c r="B289" t="s">
        <v>4</v>
      </c>
    </row>
    <row r="290" spans="1:2" x14ac:dyDescent="0.25">
      <c r="A290" t="s">
        <v>40</v>
      </c>
      <c r="B290" t="s">
        <v>4</v>
      </c>
    </row>
    <row r="291" spans="1:2" x14ac:dyDescent="0.25">
      <c r="A291" t="s">
        <v>41</v>
      </c>
      <c r="B291" t="s">
        <v>4</v>
      </c>
    </row>
    <row r="292" spans="1:2" x14ac:dyDescent="0.25">
      <c r="A292" t="s">
        <v>42</v>
      </c>
      <c r="B292" t="s">
        <v>4</v>
      </c>
    </row>
    <row r="293" spans="1:2" x14ac:dyDescent="0.25">
      <c r="A293" t="s">
        <v>43</v>
      </c>
      <c r="B293" t="s">
        <v>4</v>
      </c>
    </row>
    <row r="294" spans="1:2" x14ac:dyDescent="0.25">
      <c r="A294" t="s">
        <v>44</v>
      </c>
      <c r="B294" t="s">
        <v>4</v>
      </c>
    </row>
    <row r="295" spans="1:2" x14ac:dyDescent="0.25">
      <c r="A295" t="s">
        <v>45</v>
      </c>
      <c r="B295" t="s">
        <v>4</v>
      </c>
    </row>
    <row r="296" spans="1:2" x14ac:dyDescent="0.25">
      <c r="A296" t="s">
        <v>46</v>
      </c>
      <c r="B296" t="s">
        <v>4</v>
      </c>
    </row>
    <row r="297" spans="1:2" x14ac:dyDescent="0.25">
      <c r="A297" t="s">
        <v>47</v>
      </c>
      <c r="B297" t="s">
        <v>4</v>
      </c>
    </row>
    <row r="298" spans="1:2" x14ac:dyDescent="0.25">
      <c r="A298" t="s">
        <v>48</v>
      </c>
      <c r="B298" t="s">
        <v>4</v>
      </c>
    </row>
    <row r="299" spans="1:2" x14ac:dyDescent="0.25">
      <c r="A299" t="s">
        <v>49</v>
      </c>
      <c r="B299" t="s">
        <v>4</v>
      </c>
    </row>
    <row r="300" spans="1:2" x14ac:dyDescent="0.25">
      <c r="A300" t="s">
        <v>50</v>
      </c>
      <c r="B300" t="s">
        <v>4</v>
      </c>
    </row>
    <row r="301" spans="1:2" x14ac:dyDescent="0.25">
      <c r="A301" t="s">
        <v>51</v>
      </c>
      <c r="B301" t="s">
        <v>4</v>
      </c>
    </row>
    <row r="302" spans="1:2" x14ac:dyDescent="0.25">
      <c r="A302" t="s">
        <v>52</v>
      </c>
      <c r="B302" t="s">
        <v>4</v>
      </c>
    </row>
    <row r="303" spans="1:2" x14ac:dyDescent="0.25">
      <c r="A303" t="s">
        <v>53</v>
      </c>
      <c r="B303" t="s">
        <v>4</v>
      </c>
    </row>
    <row r="304" spans="1:2" x14ac:dyDescent="0.25">
      <c r="A304" t="s">
        <v>54</v>
      </c>
      <c r="B304" t="s">
        <v>4</v>
      </c>
    </row>
    <row r="305" spans="1:2" x14ac:dyDescent="0.25">
      <c r="A305" t="s">
        <v>55</v>
      </c>
      <c r="B305" t="s">
        <v>4</v>
      </c>
    </row>
    <row r="306" spans="1:2" x14ac:dyDescent="0.25">
      <c r="A306" t="s">
        <v>56</v>
      </c>
      <c r="B306" t="s">
        <v>4</v>
      </c>
    </row>
    <row r="307" spans="1:2" x14ac:dyDescent="0.25">
      <c r="A307" t="s">
        <v>57</v>
      </c>
      <c r="B307" t="s">
        <v>4</v>
      </c>
    </row>
    <row r="308" spans="1:2" x14ac:dyDescent="0.25">
      <c r="A308" t="s">
        <v>58</v>
      </c>
      <c r="B308" t="s">
        <v>4</v>
      </c>
    </row>
    <row r="309" spans="1:2" x14ac:dyDescent="0.25">
      <c r="A309" t="s">
        <v>59</v>
      </c>
      <c r="B309" t="s">
        <v>4</v>
      </c>
    </row>
    <row r="310" spans="1:2" x14ac:dyDescent="0.25">
      <c r="A310" t="s">
        <v>60</v>
      </c>
      <c r="B310" t="s">
        <v>4</v>
      </c>
    </row>
    <row r="311" spans="1:2" x14ac:dyDescent="0.25">
      <c r="A311" t="s">
        <v>61</v>
      </c>
      <c r="B311" t="s">
        <v>4</v>
      </c>
    </row>
    <row r="312" spans="1:2" x14ac:dyDescent="0.25">
      <c r="A312" t="s">
        <v>62</v>
      </c>
      <c r="B312" t="s">
        <v>4</v>
      </c>
    </row>
    <row r="313" spans="1:2" x14ac:dyDescent="0.25">
      <c r="A313" t="s">
        <v>63</v>
      </c>
      <c r="B313" t="s">
        <v>4</v>
      </c>
    </row>
    <row r="314" spans="1:2" x14ac:dyDescent="0.25">
      <c r="A314" t="s">
        <v>64</v>
      </c>
      <c r="B314" t="s">
        <v>4</v>
      </c>
    </row>
    <row r="315" spans="1:2" x14ac:dyDescent="0.25">
      <c r="A315" t="s">
        <v>65</v>
      </c>
      <c r="B315" t="s">
        <v>4</v>
      </c>
    </row>
    <row r="316" spans="1:2" x14ac:dyDescent="0.25">
      <c r="A316" t="s">
        <v>66</v>
      </c>
      <c r="B316" t="s">
        <v>4</v>
      </c>
    </row>
    <row r="317" spans="1:2" x14ac:dyDescent="0.25">
      <c r="A317" t="s">
        <v>67</v>
      </c>
      <c r="B317" t="s">
        <v>4</v>
      </c>
    </row>
    <row r="318" spans="1:2" x14ac:dyDescent="0.25">
      <c r="A318" t="s">
        <v>68</v>
      </c>
      <c r="B318" t="s">
        <v>4</v>
      </c>
    </row>
    <row r="319" spans="1:2" x14ac:dyDescent="0.25">
      <c r="A319" t="s">
        <v>69</v>
      </c>
      <c r="B319" t="s">
        <v>4</v>
      </c>
    </row>
    <row r="320" spans="1:2" x14ac:dyDescent="0.25">
      <c r="A320" t="s">
        <v>70</v>
      </c>
      <c r="B320" t="s">
        <v>4</v>
      </c>
    </row>
    <row r="321" spans="1:2" x14ac:dyDescent="0.25">
      <c r="A321" t="s">
        <v>71</v>
      </c>
      <c r="B321" t="s">
        <v>4</v>
      </c>
    </row>
    <row r="322" spans="1:2" x14ac:dyDescent="0.25">
      <c r="A322" t="s">
        <v>72</v>
      </c>
      <c r="B322" t="s">
        <v>4</v>
      </c>
    </row>
    <row r="323" spans="1:2" x14ac:dyDescent="0.25">
      <c r="A323" t="s">
        <v>73</v>
      </c>
      <c r="B323" t="s">
        <v>4</v>
      </c>
    </row>
    <row r="324" spans="1:2" x14ac:dyDescent="0.25">
      <c r="A324" t="s">
        <v>74</v>
      </c>
      <c r="B324" t="s">
        <v>4</v>
      </c>
    </row>
    <row r="325" spans="1:2" x14ac:dyDescent="0.25">
      <c r="A325" t="s">
        <v>75</v>
      </c>
      <c r="B325" t="s">
        <v>4</v>
      </c>
    </row>
    <row r="326" spans="1:2" x14ac:dyDescent="0.25">
      <c r="A326" t="s">
        <v>76</v>
      </c>
      <c r="B326" t="s">
        <v>4</v>
      </c>
    </row>
    <row r="327" spans="1:2" x14ac:dyDescent="0.25">
      <c r="A327" t="s">
        <v>77</v>
      </c>
      <c r="B327" t="s">
        <v>4</v>
      </c>
    </row>
    <row r="328" spans="1:2" x14ac:dyDescent="0.25">
      <c r="A328" t="s">
        <v>78</v>
      </c>
      <c r="B328" t="s">
        <v>4</v>
      </c>
    </row>
    <row r="329" spans="1:2" x14ac:dyDescent="0.25">
      <c r="A329" t="s">
        <v>79</v>
      </c>
      <c r="B329" t="s">
        <v>4</v>
      </c>
    </row>
    <row r="330" spans="1:2" x14ac:dyDescent="0.25">
      <c r="A330" t="s">
        <v>80</v>
      </c>
      <c r="B330" t="s">
        <v>4</v>
      </c>
    </row>
    <row r="331" spans="1:2" x14ac:dyDescent="0.25">
      <c r="A331" t="s">
        <v>81</v>
      </c>
      <c r="B331" t="s">
        <v>4</v>
      </c>
    </row>
    <row r="334" spans="1:2" x14ac:dyDescent="0.25">
      <c r="A334" t="s">
        <v>0</v>
      </c>
      <c r="B334" t="s">
        <v>159</v>
      </c>
    </row>
    <row r="336" spans="1:2" s="1" customFormat="1" x14ac:dyDescent="0.25">
      <c r="A336" s="1" t="s">
        <v>2</v>
      </c>
      <c r="B336" s="1" t="s">
        <v>157</v>
      </c>
    </row>
    <row r="337" spans="1:2" x14ac:dyDescent="0.25">
      <c r="A337" t="s">
        <v>3</v>
      </c>
      <c r="B337" t="s">
        <v>4</v>
      </c>
    </row>
    <row r="338" spans="1:2" x14ac:dyDescent="0.25">
      <c r="A338" t="s">
        <v>5</v>
      </c>
      <c r="B338" t="s">
        <v>4</v>
      </c>
    </row>
    <row r="339" spans="1:2" x14ac:dyDescent="0.25">
      <c r="A339" t="s">
        <v>6</v>
      </c>
      <c r="B339" t="s">
        <v>4</v>
      </c>
    </row>
    <row r="340" spans="1:2" x14ac:dyDescent="0.25">
      <c r="A340" t="s">
        <v>7</v>
      </c>
      <c r="B340" t="s">
        <v>4</v>
      </c>
    </row>
    <row r="341" spans="1:2" x14ac:dyDescent="0.25">
      <c r="A341" t="s">
        <v>8</v>
      </c>
      <c r="B341" t="s">
        <v>4</v>
      </c>
    </row>
    <row r="342" spans="1:2" x14ac:dyDescent="0.25">
      <c r="A342" t="s">
        <v>9</v>
      </c>
      <c r="B342" t="s">
        <v>4</v>
      </c>
    </row>
    <row r="343" spans="1:2" x14ac:dyDescent="0.25">
      <c r="A343" t="s">
        <v>10</v>
      </c>
      <c r="B343" t="s">
        <v>4</v>
      </c>
    </row>
    <row r="344" spans="1:2" x14ac:dyDescent="0.25">
      <c r="A344" t="s">
        <v>11</v>
      </c>
      <c r="B344" t="s">
        <v>4</v>
      </c>
    </row>
    <row r="345" spans="1:2" x14ac:dyDescent="0.25">
      <c r="A345" t="s">
        <v>12</v>
      </c>
      <c r="B345" t="s">
        <v>4</v>
      </c>
    </row>
    <row r="346" spans="1:2" x14ac:dyDescent="0.25">
      <c r="A346" t="s">
        <v>13</v>
      </c>
      <c r="B346" t="s">
        <v>4</v>
      </c>
    </row>
    <row r="347" spans="1:2" x14ac:dyDescent="0.25">
      <c r="A347" t="s">
        <v>14</v>
      </c>
      <c r="B347" t="s">
        <v>4</v>
      </c>
    </row>
    <row r="348" spans="1:2" x14ac:dyDescent="0.25">
      <c r="A348" t="s">
        <v>15</v>
      </c>
      <c r="B348" t="s">
        <v>4</v>
      </c>
    </row>
    <row r="349" spans="1:2" x14ac:dyDescent="0.25">
      <c r="A349" t="s">
        <v>16</v>
      </c>
      <c r="B349" t="s">
        <v>4</v>
      </c>
    </row>
    <row r="350" spans="1:2" x14ac:dyDescent="0.25">
      <c r="A350" t="s">
        <v>17</v>
      </c>
      <c r="B350" t="s">
        <v>4</v>
      </c>
    </row>
    <row r="351" spans="1:2" x14ac:dyDescent="0.25">
      <c r="A351" t="s">
        <v>18</v>
      </c>
      <c r="B351" t="s">
        <v>4</v>
      </c>
    </row>
    <row r="352" spans="1:2" x14ac:dyDescent="0.25">
      <c r="A352" t="s">
        <v>19</v>
      </c>
      <c r="B352" t="s">
        <v>4</v>
      </c>
    </row>
    <row r="353" spans="1:2" x14ac:dyDescent="0.25">
      <c r="A353" t="s">
        <v>20</v>
      </c>
      <c r="B353" t="s">
        <v>4</v>
      </c>
    </row>
    <row r="354" spans="1:2" x14ac:dyDescent="0.25">
      <c r="A354" t="s">
        <v>21</v>
      </c>
      <c r="B354" t="s">
        <v>4</v>
      </c>
    </row>
    <row r="355" spans="1:2" x14ac:dyDescent="0.25">
      <c r="A355" t="s">
        <v>22</v>
      </c>
      <c r="B355" t="s">
        <v>4</v>
      </c>
    </row>
    <row r="356" spans="1:2" x14ac:dyDescent="0.25">
      <c r="A356" t="s">
        <v>23</v>
      </c>
      <c r="B356" t="s">
        <v>4</v>
      </c>
    </row>
    <row r="357" spans="1:2" x14ac:dyDescent="0.25">
      <c r="A357" t="s">
        <v>24</v>
      </c>
      <c r="B357" t="s">
        <v>4</v>
      </c>
    </row>
    <row r="358" spans="1:2" x14ac:dyDescent="0.25">
      <c r="A358" t="s">
        <v>25</v>
      </c>
      <c r="B358" t="s">
        <v>4</v>
      </c>
    </row>
    <row r="359" spans="1:2" x14ac:dyDescent="0.25">
      <c r="A359" t="s">
        <v>26</v>
      </c>
      <c r="B359" t="s">
        <v>4</v>
      </c>
    </row>
    <row r="360" spans="1:2" x14ac:dyDescent="0.25">
      <c r="A360" t="s">
        <v>27</v>
      </c>
      <c r="B360" t="s">
        <v>4</v>
      </c>
    </row>
    <row r="361" spans="1:2" x14ac:dyDescent="0.25">
      <c r="A361" t="s">
        <v>28</v>
      </c>
      <c r="B361" t="s">
        <v>4</v>
      </c>
    </row>
    <row r="362" spans="1:2" x14ac:dyDescent="0.25">
      <c r="A362" t="s">
        <v>29</v>
      </c>
      <c r="B362" t="s">
        <v>4</v>
      </c>
    </row>
    <row r="363" spans="1:2" x14ac:dyDescent="0.25">
      <c r="A363" t="s">
        <v>30</v>
      </c>
      <c r="B363" t="s">
        <v>4</v>
      </c>
    </row>
    <row r="364" spans="1:2" x14ac:dyDescent="0.25">
      <c r="A364" t="s">
        <v>31</v>
      </c>
      <c r="B364" t="s">
        <v>4</v>
      </c>
    </row>
    <row r="365" spans="1:2" x14ac:dyDescent="0.25">
      <c r="A365" t="s">
        <v>32</v>
      </c>
      <c r="B365" t="s">
        <v>4</v>
      </c>
    </row>
    <row r="366" spans="1:2" x14ac:dyDescent="0.25">
      <c r="A366" t="s">
        <v>33</v>
      </c>
      <c r="B366" t="s">
        <v>4</v>
      </c>
    </row>
    <row r="367" spans="1:2" x14ac:dyDescent="0.25">
      <c r="A367" t="s">
        <v>34</v>
      </c>
      <c r="B367" t="s">
        <v>4</v>
      </c>
    </row>
    <row r="368" spans="1:2" x14ac:dyDescent="0.25">
      <c r="A368" t="s">
        <v>35</v>
      </c>
      <c r="B368" t="s">
        <v>4</v>
      </c>
    </row>
    <row r="369" spans="1:2" x14ac:dyDescent="0.25">
      <c r="A369" t="s">
        <v>36</v>
      </c>
      <c r="B369" t="s">
        <v>4</v>
      </c>
    </row>
    <row r="370" spans="1:2" x14ac:dyDescent="0.25">
      <c r="A370" t="s">
        <v>37</v>
      </c>
      <c r="B370" t="s">
        <v>4</v>
      </c>
    </row>
    <row r="371" spans="1:2" x14ac:dyDescent="0.25">
      <c r="A371" t="s">
        <v>38</v>
      </c>
      <c r="B371" t="s">
        <v>4</v>
      </c>
    </row>
    <row r="372" spans="1:2" x14ac:dyDescent="0.25">
      <c r="A372" t="s">
        <v>39</v>
      </c>
      <c r="B372" t="s">
        <v>4</v>
      </c>
    </row>
    <row r="373" spans="1:2" x14ac:dyDescent="0.25">
      <c r="A373" t="s">
        <v>40</v>
      </c>
      <c r="B373" t="s">
        <v>4</v>
      </c>
    </row>
    <row r="374" spans="1:2" x14ac:dyDescent="0.25">
      <c r="A374" t="s">
        <v>41</v>
      </c>
      <c r="B374" t="s">
        <v>4</v>
      </c>
    </row>
    <row r="375" spans="1:2" x14ac:dyDescent="0.25">
      <c r="A375" t="s">
        <v>42</v>
      </c>
      <c r="B375" t="s">
        <v>4</v>
      </c>
    </row>
    <row r="376" spans="1:2" x14ac:dyDescent="0.25">
      <c r="A376" t="s">
        <v>43</v>
      </c>
      <c r="B376" t="s">
        <v>4</v>
      </c>
    </row>
    <row r="377" spans="1:2" x14ac:dyDescent="0.25">
      <c r="A377" t="s">
        <v>44</v>
      </c>
      <c r="B377" t="s">
        <v>4</v>
      </c>
    </row>
    <row r="378" spans="1:2" x14ac:dyDescent="0.25">
      <c r="A378" t="s">
        <v>45</v>
      </c>
      <c r="B378" t="s">
        <v>4</v>
      </c>
    </row>
    <row r="379" spans="1:2" x14ac:dyDescent="0.25">
      <c r="A379" t="s">
        <v>46</v>
      </c>
      <c r="B379" t="s">
        <v>4</v>
      </c>
    </row>
    <row r="380" spans="1:2" x14ac:dyDescent="0.25">
      <c r="A380" t="s">
        <v>47</v>
      </c>
      <c r="B380" t="s">
        <v>4</v>
      </c>
    </row>
    <row r="381" spans="1:2" x14ac:dyDescent="0.25">
      <c r="A381" t="s">
        <v>48</v>
      </c>
      <c r="B381" t="s">
        <v>4</v>
      </c>
    </row>
    <row r="382" spans="1:2" x14ac:dyDescent="0.25">
      <c r="A382" t="s">
        <v>49</v>
      </c>
      <c r="B382" t="s">
        <v>4</v>
      </c>
    </row>
    <row r="383" spans="1:2" x14ac:dyDescent="0.25">
      <c r="A383" t="s">
        <v>50</v>
      </c>
      <c r="B383" t="s">
        <v>4</v>
      </c>
    </row>
    <row r="384" spans="1:2" x14ac:dyDescent="0.25">
      <c r="A384" t="s">
        <v>51</v>
      </c>
      <c r="B384" t="s">
        <v>4</v>
      </c>
    </row>
    <row r="385" spans="1:2" x14ac:dyDescent="0.25">
      <c r="A385" t="s">
        <v>52</v>
      </c>
      <c r="B385" t="s">
        <v>4</v>
      </c>
    </row>
    <row r="386" spans="1:2" x14ac:dyDescent="0.25">
      <c r="A386" t="s">
        <v>53</v>
      </c>
      <c r="B386" t="s">
        <v>4</v>
      </c>
    </row>
    <row r="387" spans="1:2" x14ac:dyDescent="0.25">
      <c r="A387" t="s">
        <v>54</v>
      </c>
      <c r="B387" t="s">
        <v>4</v>
      </c>
    </row>
    <row r="388" spans="1:2" x14ac:dyDescent="0.25">
      <c r="A388" t="s">
        <v>55</v>
      </c>
      <c r="B388" t="s">
        <v>4</v>
      </c>
    </row>
    <row r="389" spans="1:2" x14ac:dyDescent="0.25">
      <c r="A389" t="s">
        <v>56</v>
      </c>
      <c r="B389" t="s">
        <v>4</v>
      </c>
    </row>
    <row r="390" spans="1:2" x14ac:dyDescent="0.25">
      <c r="A390" t="s">
        <v>57</v>
      </c>
      <c r="B390" t="s">
        <v>4</v>
      </c>
    </row>
    <row r="391" spans="1:2" x14ac:dyDescent="0.25">
      <c r="A391" t="s">
        <v>58</v>
      </c>
      <c r="B391" t="s">
        <v>4</v>
      </c>
    </row>
    <row r="392" spans="1:2" x14ac:dyDescent="0.25">
      <c r="A392" t="s">
        <v>59</v>
      </c>
      <c r="B392" t="s">
        <v>4</v>
      </c>
    </row>
    <row r="393" spans="1:2" x14ac:dyDescent="0.25">
      <c r="A393" t="s">
        <v>60</v>
      </c>
      <c r="B393" t="s">
        <v>4</v>
      </c>
    </row>
    <row r="394" spans="1:2" x14ac:dyDescent="0.25">
      <c r="A394" t="s">
        <v>61</v>
      </c>
      <c r="B394" t="s">
        <v>4</v>
      </c>
    </row>
    <row r="395" spans="1:2" x14ac:dyDescent="0.25">
      <c r="A395" t="s">
        <v>62</v>
      </c>
      <c r="B395" t="s">
        <v>4</v>
      </c>
    </row>
    <row r="396" spans="1:2" x14ac:dyDescent="0.25">
      <c r="A396" t="s">
        <v>63</v>
      </c>
      <c r="B396" t="s">
        <v>4</v>
      </c>
    </row>
    <row r="397" spans="1:2" x14ac:dyDescent="0.25">
      <c r="A397" t="s">
        <v>64</v>
      </c>
      <c r="B397" t="s">
        <v>4</v>
      </c>
    </row>
    <row r="398" spans="1:2" x14ac:dyDescent="0.25">
      <c r="A398" t="s">
        <v>65</v>
      </c>
      <c r="B398" t="s">
        <v>4</v>
      </c>
    </row>
    <row r="399" spans="1:2" x14ac:dyDescent="0.25">
      <c r="A399" t="s">
        <v>66</v>
      </c>
      <c r="B399" t="s">
        <v>4</v>
      </c>
    </row>
    <row r="400" spans="1:2" x14ac:dyDescent="0.25">
      <c r="A400" t="s">
        <v>67</v>
      </c>
      <c r="B400" t="s">
        <v>4</v>
      </c>
    </row>
    <row r="401" spans="1:2" x14ac:dyDescent="0.25">
      <c r="A401" t="s">
        <v>68</v>
      </c>
      <c r="B401" t="s">
        <v>4</v>
      </c>
    </row>
    <row r="402" spans="1:2" x14ac:dyDescent="0.25">
      <c r="A402" t="s">
        <v>69</v>
      </c>
      <c r="B402" t="s">
        <v>4</v>
      </c>
    </row>
    <row r="403" spans="1:2" x14ac:dyDescent="0.25">
      <c r="A403" t="s">
        <v>70</v>
      </c>
      <c r="B403" t="s">
        <v>4</v>
      </c>
    </row>
    <row r="404" spans="1:2" x14ac:dyDescent="0.25">
      <c r="A404" t="s">
        <v>71</v>
      </c>
      <c r="B404" t="s">
        <v>4</v>
      </c>
    </row>
    <row r="405" spans="1:2" x14ac:dyDescent="0.25">
      <c r="A405" t="s">
        <v>72</v>
      </c>
      <c r="B405" t="s">
        <v>4</v>
      </c>
    </row>
    <row r="406" spans="1:2" x14ac:dyDescent="0.25">
      <c r="A406" t="s">
        <v>73</v>
      </c>
      <c r="B406" t="s">
        <v>4</v>
      </c>
    </row>
    <row r="407" spans="1:2" x14ac:dyDescent="0.25">
      <c r="A407" t="s">
        <v>74</v>
      </c>
      <c r="B407" t="s">
        <v>4</v>
      </c>
    </row>
    <row r="408" spans="1:2" x14ac:dyDescent="0.25">
      <c r="A408" t="s">
        <v>75</v>
      </c>
      <c r="B408" t="s">
        <v>4</v>
      </c>
    </row>
    <row r="409" spans="1:2" x14ac:dyDescent="0.25">
      <c r="A409" t="s">
        <v>76</v>
      </c>
      <c r="B409" t="s">
        <v>4</v>
      </c>
    </row>
    <row r="410" spans="1:2" x14ac:dyDescent="0.25">
      <c r="A410" t="s">
        <v>77</v>
      </c>
      <c r="B410" t="s">
        <v>4</v>
      </c>
    </row>
    <row r="411" spans="1:2" x14ac:dyDescent="0.25">
      <c r="A411" t="s">
        <v>78</v>
      </c>
      <c r="B411" t="s">
        <v>4</v>
      </c>
    </row>
    <row r="412" spans="1:2" x14ac:dyDescent="0.25">
      <c r="A412" t="s">
        <v>79</v>
      </c>
      <c r="B412" t="s">
        <v>4</v>
      </c>
    </row>
    <row r="413" spans="1:2" x14ac:dyDescent="0.25">
      <c r="A413" t="s">
        <v>80</v>
      </c>
      <c r="B413" t="s">
        <v>4</v>
      </c>
    </row>
    <row r="414" spans="1:2" x14ac:dyDescent="0.25">
      <c r="A414" t="s">
        <v>81</v>
      </c>
      <c r="B414" t="s">
        <v>4</v>
      </c>
    </row>
    <row r="417" spans="1:2" x14ac:dyDescent="0.25">
      <c r="A417" t="s">
        <v>0</v>
      </c>
      <c r="B417" t="s">
        <v>84</v>
      </c>
    </row>
    <row r="419" spans="1:2" s="1" customFormat="1" x14ac:dyDescent="0.25">
      <c r="A419" s="1" t="s">
        <v>2</v>
      </c>
      <c r="B419" s="1" t="s">
        <v>157</v>
      </c>
    </row>
    <row r="420" spans="1:2" x14ac:dyDescent="0.25">
      <c r="A420" t="s">
        <v>3</v>
      </c>
      <c r="B420" t="s">
        <v>4</v>
      </c>
    </row>
    <row r="421" spans="1:2" x14ac:dyDescent="0.25">
      <c r="A421" t="s">
        <v>5</v>
      </c>
      <c r="B421" t="s">
        <v>4</v>
      </c>
    </row>
    <row r="422" spans="1:2" x14ac:dyDescent="0.25">
      <c r="A422" t="s">
        <v>6</v>
      </c>
      <c r="B422" t="s">
        <v>4</v>
      </c>
    </row>
    <row r="423" spans="1:2" x14ac:dyDescent="0.25">
      <c r="A423" t="s">
        <v>7</v>
      </c>
      <c r="B423" t="s">
        <v>4</v>
      </c>
    </row>
    <row r="424" spans="1:2" x14ac:dyDescent="0.25">
      <c r="A424" t="s">
        <v>8</v>
      </c>
      <c r="B424" t="s">
        <v>4</v>
      </c>
    </row>
    <row r="425" spans="1:2" x14ac:dyDescent="0.25">
      <c r="A425" t="s">
        <v>9</v>
      </c>
      <c r="B425" t="s">
        <v>4</v>
      </c>
    </row>
    <row r="426" spans="1:2" x14ac:dyDescent="0.25">
      <c r="A426" t="s">
        <v>10</v>
      </c>
      <c r="B426" t="s">
        <v>4</v>
      </c>
    </row>
    <row r="427" spans="1:2" x14ac:dyDescent="0.25">
      <c r="A427" t="s">
        <v>11</v>
      </c>
      <c r="B427" t="s">
        <v>4</v>
      </c>
    </row>
    <row r="428" spans="1:2" x14ac:dyDescent="0.25">
      <c r="A428" t="s">
        <v>12</v>
      </c>
      <c r="B428" t="s">
        <v>4</v>
      </c>
    </row>
    <row r="429" spans="1:2" x14ac:dyDescent="0.25">
      <c r="A429" t="s">
        <v>13</v>
      </c>
      <c r="B429" t="s">
        <v>4</v>
      </c>
    </row>
    <row r="430" spans="1:2" x14ac:dyDescent="0.25">
      <c r="A430" t="s">
        <v>14</v>
      </c>
      <c r="B430" t="s">
        <v>4</v>
      </c>
    </row>
    <row r="431" spans="1:2" x14ac:dyDescent="0.25">
      <c r="A431" t="s">
        <v>15</v>
      </c>
      <c r="B431" t="s">
        <v>4</v>
      </c>
    </row>
    <row r="432" spans="1:2" x14ac:dyDescent="0.25">
      <c r="A432" t="s">
        <v>16</v>
      </c>
      <c r="B432" t="s">
        <v>4</v>
      </c>
    </row>
    <row r="433" spans="1:2" x14ac:dyDescent="0.25">
      <c r="A433" t="s">
        <v>17</v>
      </c>
      <c r="B433" t="s">
        <v>4</v>
      </c>
    </row>
    <row r="434" spans="1:2" x14ac:dyDescent="0.25">
      <c r="A434" t="s">
        <v>18</v>
      </c>
      <c r="B434" t="s">
        <v>4</v>
      </c>
    </row>
    <row r="435" spans="1:2" x14ac:dyDescent="0.25">
      <c r="A435" t="s">
        <v>19</v>
      </c>
      <c r="B435" t="s">
        <v>4</v>
      </c>
    </row>
    <row r="436" spans="1:2" x14ac:dyDescent="0.25">
      <c r="A436" t="s">
        <v>20</v>
      </c>
      <c r="B436" t="s">
        <v>4</v>
      </c>
    </row>
    <row r="437" spans="1:2" x14ac:dyDescent="0.25">
      <c r="A437" t="s">
        <v>21</v>
      </c>
      <c r="B437" t="s">
        <v>4</v>
      </c>
    </row>
    <row r="438" spans="1:2" x14ac:dyDescent="0.25">
      <c r="A438" t="s">
        <v>22</v>
      </c>
      <c r="B438" t="s">
        <v>4</v>
      </c>
    </row>
    <row r="439" spans="1:2" x14ac:dyDescent="0.25">
      <c r="A439" t="s">
        <v>23</v>
      </c>
      <c r="B439" t="s">
        <v>4</v>
      </c>
    </row>
    <row r="440" spans="1:2" x14ac:dyDescent="0.25">
      <c r="A440" t="s">
        <v>24</v>
      </c>
      <c r="B440" t="s">
        <v>4</v>
      </c>
    </row>
    <row r="441" spans="1:2" x14ac:dyDescent="0.25">
      <c r="A441" t="s">
        <v>25</v>
      </c>
      <c r="B441" t="s">
        <v>4</v>
      </c>
    </row>
    <row r="442" spans="1:2" x14ac:dyDescent="0.25">
      <c r="A442" t="s">
        <v>26</v>
      </c>
      <c r="B442" t="s">
        <v>4</v>
      </c>
    </row>
    <row r="443" spans="1:2" x14ac:dyDescent="0.25">
      <c r="A443" t="s">
        <v>27</v>
      </c>
      <c r="B443" t="s">
        <v>4</v>
      </c>
    </row>
    <row r="444" spans="1:2" x14ac:dyDescent="0.25">
      <c r="A444" t="s">
        <v>28</v>
      </c>
      <c r="B444" t="s">
        <v>4</v>
      </c>
    </row>
    <row r="445" spans="1:2" x14ac:dyDescent="0.25">
      <c r="A445" t="s">
        <v>29</v>
      </c>
      <c r="B445" t="s">
        <v>4</v>
      </c>
    </row>
    <row r="446" spans="1:2" x14ac:dyDescent="0.25">
      <c r="A446" t="s">
        <v>30</v>
      </c>
      <c r="B446" t="s">
        <v>4</v>
      </c>
    </row>
    <row r="447" spans="1:2" x14ac:dyDescent="0.25">
      <c r="A447" t="s">
        <v>31</v>
      </c>
      <c r="B447" t="s">
        <v>4</v>
      </c>
    </row>
    <row r="448" spans="1:2" x14ac:dyDescent="0.25">
      <c r="A448" t="s">
        <v>32</v>
      </c>
      <c r="B448" t="s">
        <v>4</v>
      </c>
    </row>
    <row r="449" spans="1:2" x14ac:dyDescent="0.25">
      <c r="A449" t="s">
        <v>33</v>
      </c>
      <c r="B449" t="s">
        <v>4</v>
      </c>
    </row>
    <row r="450" spans="1:2" x14ac:dyDescent="0.25">
      <c r="A450" t="s">
        <v>34</v>
      </c>
      <c r="B450" t="s">
        <v>4</v>
      </c>
    </row>
    <row r="451" spans="1:2" x14ac:dyDescent="0.25">
      <c r="A451" t="s">
        <v>35</v>
      </c>
      <c r="B451" t="s">
        <v>4</v>
      </c>
    </row>
    <row r="452" spans="1:2" x14ac:dyDescent="0.25">
      <c r="A452" t="s">
        <v>36</v>
      </c>
      <c r="B452" t="s">
        <v>4</v>
      </c>
    </row>
    <row r="453" spans="1:2" x14ac:dyDescent="0.25">
      <c r="A453" t="s">
        <v>37</v>
      </c>
      <c r="B453" t="s">
        <v>4</v>
      </c>
    </row>
    <row r="454" spans="1:2" x14ac:dyDescent="0.25">
      <c r="A454" t="s">
        <v>38</v>
      </c>
      <c r="B454" t="s">
        <v>4</v>
      </c>
    </row>
    <row r="455" spans="1:2" x14ac:dyDescent="0.25">
      <c r="A455" t="s">
        <v>39</v>
      </c>
      <c r="B455" t="s">
        <v>4</v>
      </c>
    </row>
    <row r="456" spans="1:2" x14ac:dyDescent="0.25">
      <c r="A456" t="s">
        <v>40</v>
      </c>
      <c r="B456" t="s">
        <v>4</v>
      </c>
    </row>
    <row r="457" spans="1:2" x14ac:dyDescent="0.25">
      <c r="A457" t="s">
        <v>41</v>
      </c>
      <c r="B457" t="s">
        <v>4</v>
      </c>
    </row>
    <row r="458" spans="1:2" x14ac:dyDescent="0.25">
      <c r="A458" t="s">
        <v>42</v>
      </c>
      <c r="B458" t="s">
        <v>4</v>
      </c>
    </row>
    <row r="459" spans="1:2" x14ac:dyDescent="0.25">
      <c r="A459" t="s">
        <v>43</v>
      </c>
      <c r="B459" t="s">
        <v>4</v>
      </c>
    </row>
    <row r="460" spans="1:2" x14ac:dyDescent="0.25">
      <c r="A460" t="s">
        <v>44</v>
      </c>
      <c r="B460" t="s">
        <v>4</v>
      </c>
    </row>
    <row r="461" spans="1:2" x14ac:dyDescent="0.25">
      <c r="A461" t="s">
        <v>45</v>
      </c>
      <c r="B461" t="s">
        <v>4</v>
      </c>
    </row>
    <row r="462" spans="1:2" x14ac:dyDescent="0.25">
      <c r="A462" t="s">
        <v>46</v>
      </c>
      <c r="B462" t="s">
        <v>4</v>
      </c>
    </row>
    <row r="463" spans="1:2" x14ac:dyDescent="0.25">
      <c r="A463" t="s">
        <v>47</v>
      </c>
      <c r="B463" t="s">
        <v>4</v>
      </c>
    </row>
    <row r="464" spans="1:2" x14ac:dyDescent="0.25">
      <c r="A464" t="s">
        <v>48</v>
      </c>
      <c r="B464" t="s">
        <v>4</v>
      </c>
    </row>
    <row r="465" spans="1:2" x14ac:dyDescent="0.25">
      <c r="A465" t="s">
        <v>49</v>
      </c>
      <c r="B465" t="s">
        <v>4</v>
      </c>
    </row>
    <row r="466" spans="1:2" x14ac:dyDescent="0.25">
      <c r="A466" t="s">
        <v>50</v>
      </c>
      <c r="B466" t="s">
        <v>4</v>
      </c>
    </row>
    <row r="467" spans="1:2" x14ac:dyDescent="0.25">
      <c r="A467" t="s">
        <v>51</v>
      </c>
      <c r="B467" t="s">
        <v>4</v>
      </c>
    </row>
    <row r="468" spans="1:2" x14ac:dyDescent="0.25">
      <c r="A468" t="s">
        <v>52</v>
      </c>
      <c r="B468" t="s">
        <v>4</v>
      </c>
    </row>
    <row r="469" spans="1:2" x14ac:dyDescent="0.25">
      <c r="A469" t="s">
        <v>53</v>
      </c>
      <c r="B469" t="s">
        <v>4</v>
      </c>
    </row>
    <row r="470" spans="1:2" x14ac:dyDescent="0.25">
      <c r="A470" t="s">
        <v>54</v>
      </c>
      <c r="B470" t="s">
        <v>4</v>
      </c>
    </row>
    <row r="471" spans="1:2" x14ac:dyDescent="0.25">
      <c r="A471" t="s">
        <v>55</v>
      </c>
      <c r="B471" t="s">
        <v>4</v>
      </c>
    </row>
    <row r="472" spans="1:2" x14ac:dyDescent="0.25">
      <c r="A472" t="s">
        <v>56</v>
      </c>
      <c r="B472" t="s">
        <v>4</v>
      </c>
    </row>
    <row r="473" spans="1:2" x14ac:dyDescent="0.25">
      <c r="A473" t="s">
        <v>57</v>
      </c>
      <c r="B473" t="s">
        <v>4</v>
      </c>
    </row>
    <row r="474" spans="1:2" x14ac:dyDescent="0.25">
      <c r="A474" t="s">
        <v>58</v>
      </c>
      <c r="B474" t="s">
        <v>4</v>
      </c>
    </row>
    <row r="475" spans="1:2" x14ac:dyDescent="0.25">
      <c r="A475" t="s">
        <v>59</v>
      </c>
      <c r="B475" t="s">
        <v>4</v>
      </c>
    </row>
    <row r="476" spans="1:2" x14ac:dyDescent="0.25">
      <c r="A476" t="s">
        <v>60</v>
      </c>
      <c r="B476" t="s">
        <v>4</v>
      </c>
    </row>
    <row r="477" spans="1:2" x14ac:dyDescent="0.25">
      <c r="A477" t="s">
        <v>61</v>
      </c>
      <c r="B477" t="s">
        <v>4</v>
      </c>
    </row>
    <row r="478" spans="1:2" x14ac:dyDescent="0.25">
      <c r="A478" t="s">
        <v>62</v>
      </c>
      <c r="B478" t="s">
        <v>4</v>
      </c>
    </row>
    <row r="479" spans="1:2" x14ac:dyDescent="0.25">
      <c r="A479" t="s">
        <v>63</v>
      </c>
      <c r="B479" t="s">
        <v>4</v>
      </c>
    </row>
    <row r="480" spans="1:2" x14ac:dyDescent="0.25">
      <c r="A480" t="s">
        <v>64</v>
      </c>
      <c r="B480" t="s">
        <v>4</v>
      </c>
    </row>
    <row r="481" spans="1:2" x14ac:dyDescent="0.25">
      <c r="A481" t="s">
        <v>65</v>
      </c>
      <c r="B481" t="s">
        <v>4</v>
      </c>
    </row>
    <row r="482" spans="1:2" x14ac:dyDescent="0.25">
      <c r="A482" t="s">
        <v>66</v>
      </c>
      <c r="B482" t="s">
        <v>4</v>
      </c>
    </row>
    <row r="483" spans="1:2" x14ac:dyDescent="0.25">
      <c r="A483" t="s">
        <v>67</v>
      </c>
      <c r="B483" t="s">
        <v>4</v>
      </c>
    </row>
    <row r="484" spans="1:2" x14ac:dyDescent="0.25">
      <c r="A484" t="s">
        <v>68</v>
      </c>
      <c r="B484" t="s">
        <v>4</v>
      </c>
    </row>
    <row r="485" spans="1:2" x14ac:dyDescent="0.25">
      <c r="A485" t="s">
        <v>69</v>
      </c>
      <c r="B485" t="s">
        <v>4</v>
      </c>
    </row>
    <row r="486" spans="1:2" x14ac:dyDescent="0.25">
      <c r="A486" t="s">
        <v>70</v>
      </c>
      <c r="B486" t="s">
        <v>4</v>
      </c>
    </row>
    <row r="487" spans="1:2" x14ac:dyDescent="0.25">
      <c r="A487" t="s">
        <v>71</v>
      </c>
      <c r="B487" t="s">
        <v>4</v>
      </c>
    </row>
    <row r="488" spans="1:2" x14ac:dyDescent="0.25">
      <c r="A488" t="s">
        <v>72</v>
      </c>
      <c r="B488" t="s">
        <v>4</v>
      </c>
    </row>
    <row r="489" spans="1:2" x14ac:dyDescent="0.25">
      <c r="A489" t="s">
        <v>73</v>
      </c>
      <c r="B489" t="s">
        <v>4</v>
      </c>
    </row>
    <row r="490" spans="1:2" x14ac:dyDescent="0.25">
      <c r="A490" t="s">
        <v>74</v>
      </c>
      <c r="B490" t="s">
        <v>4</v>
      </c>
    </row>
    <row r="491" spans="1:2" x14ac:dyDescent="0.25">
      <c r="A491" t="s">
        <v>75</v>
      </c>
      <c r="B491" t="s">
        <v>4</v>
      </c>
    </row>
    <row r="492" spans="1:2" x14ac:dyDescent="0.25">
      <c r="A492" t="s">
        <v>76</v>
      </c>
      <c r="B492" t="s">
        <v>4</v>
      </c>
    </row>
    <row r="493" spans="1:2" x14ac:dyDescent="0.25">
      <c r="A493" t="s">
        <v>77</v>
      </c>
      <c r="B493" t="s">
        <v>4</v>
      </c>
    </row>
    <row r="494" spans="1:2" x14ac:dyDescent="0.25">
      <c r="A494" t="s">
        <v>78</v>
      </c>
      <c r="B494" t="s">
        <v>4</v>
      </c>
    </row>
    <row r="495" spans="1:2" x14ac:dyDescent="0.25">
      <c r="A495" t="s">
        <v>79</v>
      </c>
      <c r="B495" t="s">
        <v>4</v>
      </c>
    </row>
    <row r="496" spans="1:2" x14ac:dyDescent="0.25">
      <c r="A496" t="s">
        <v>80</v>
      </c>
      <c r="B496" t="s">
        <v>4</v>
      </c>
    </row>
    <row r="497" spans="1:2" x14ac:dyDescent="0.25">
      <c r="A497" t="s">
        <v>81</v>
      </c>
      <c r="B497" t="s">
        <v>4</v>
      </c>
    </row>
    <row r="500" spans="1:2" x14ac:dyDescent="0.25">
      <c r="A500" t="s">
        <v>0</v>
      </c>
      <c r="B500" t="s">
        <v>85</v>
      </c>
    </row>
    <row r="502" spans="1:2" s="1" customFormat="1" x14ac:dyDescent="0.25">
      <c r="A502" s="1" t="s">
        <v>2</v>
      </c>
      <c r="B502" s="1" t="s">
        <v>157</v>
      </c>
    </row>
    <row r="503" spans="1:2" x14ac:dyDescent="0.25">
      <c r="A503" t="s">
        <v>3</v>
      </c>
      <c r="B503" t="s">
        <v>4</v>
      </c>
    </row>
    <row r="504" spans="1:2" x14ac:dyDescent="0.25">
      <c r="A504" t="s">
        <v>5</v>
      </c>
      <c r="B504" t="s">
        <v>4</v>
      </c>
    </row>
    <row r="505" spans="1:2" x14ac:dyDescent="0.25">
      <c r="A505" t="s">
        <v>6</v>
      </c>
      <c r="B505" t="s">
        <v>4</v>
      </c>
    </row>
    <row r="506" spans="1:2" x14ac:dyDescent="0.25">
      <c r="A506" t="s">
        <v>7</v>
      </c>
      <c r="B506" t="s">
        <v>4</v>
      </c>
    </row>
    <row r="507" spans="1:2" x14ac:dyDescent="0.25">
      <c r="A507" t="s">
        <v>8</v>
      </c>
      <c r="B507" t="s">
        <v>4</v>
      </c>
    </row>
    <row r="508" spans="1:2" x14ac:dyDescent="0.25">
      <c r="A508" t="s">
        <v>9</v>
      </c>
      <c r="B508" t="s">
        <v>4</v>
      </c>
    </row>
    <row r="509" spans="1:2" x14ac:dyDescent="0.25">
      <c r="A509" t="s">
        <v>10</v>
      </c>
      <c r="B509" t="s">
        <v>4</v>
      </c>
    </row>
    <row r="510" spans="1:2" x14ac:dyDescent="0.25">
      <c r="A510" t="s">
        <v>11</v>
      </c>
      <c r="B510" t="s">
        <v>4</v>
      </c>
    </row>
    <row r="511" spans="1:2" x14ac:dyDescent="0.25">
      <c r="A511" t="s">
        <v>12</v>
      </c>
      <c r="B511" t="s">
        <v>4</v>
      </c>
    </row>
    <row r="512" spans="1:2" x14ac:dyDescent="0.25">
      <c r="A512" t="s">
        <v>13</v>
      </c>
      <c r="B512" t="s">
        <v>4</v>
      </c>
    </row>
    <row r="513" spans="1:2" x14ac:dyDescent="0.25">
      <c r="A513" t="s">
        <v>14</v>
      </c>
      <c r="B513" t="s">
        <v>4</v>
      </c>
    </row>
    <row r="514" spans="1:2" x14ac:dyDescent="0.25">
      <c r="A514" t="s">
        <v>15</v>
      </c>
      <c r="B514" t="s">
        <v>4</v>
      </c>
    </row>
    <row r="515" spans="1:2" x14ac:dyDescent="0.25">
      <c r="A515" t="s">
        <v>16</v>
      </c>
      <c r="B515" t="s">
        <v>4</v>
      </c>
    </row>
    <row r="516" spans="1:2" x14ac:dyDescent="0.25">
      <c r="A516" t="s">
        <v>17</v>
      </c>
      <c r="B516" t="s">
        <v>4</v>
      </c>
    </row>
    <row r="517" spans="1:2" x14ac:dyDescent="0.25">
      <c r="A517" t="s">
        <v>18</v>
      </c>
      <c r="B517" t="s">
        <v>4</v>
      </c>
    </row>
    <row r="518" spans="1:2" x14ac:dyDescent="0.25">
      <c r="A518" t="s">
        <v>19</v>
      </c>
      <c r="B518" t="s">
        <v>4</v>
      </c>
    </row>
    <row r="519" spans="1:2" x14ac:dyDescent="0.25">
      <c r="A519" t="s">
        <v>20</v>
      </c>
      <c r="B519" t="s">
        <v>4</v>
      </c>
    </row>
    <row r="520" spans="1:2" x14ac:dyDescent="0.25">
      <c r="A520" t="s">
        <v>21</v>
      </c>
      <c r="B520" t="s">
        <v>4</v>
      </c>
    </row>
    <row r="521" spans="1:2" x14ac:dyDescent="0.25">
      <c r="A521" t="s">
        <v>22</v>
      </c>
      <c r="B521" t="s">
        <v>4</v>
      </c>
    </row>
    <row r="522" spans="1:2" x14ac:dyDescent="0.25">
      <c r="A522" t="s">
        <v>23</v>
      </c>
      <c r="B522" t="s">
        <v>4</v>
      </c>
    </row>
    <row r="523" spans="1:2" x14ac:dyDescent="0.25">
      <c r="A523" t="s">
        <v>24</v>
      </c>
      <c r="B523" t="s">
        <v>4</v>
      </c>
    </row>
    <row r="524" spans="1:2" x14ac:dyDescent="0.25">
      <c r="A524" t="s">
        <v>25</v>
      </c>
      <c r="B524" t="s">
        <v>4</v>
      </c>
    </row>
    <row r="525" spans="1:2" x14ac:dyDescent="0.25">
      <c r="A525" t="s">
        <v>26</v>
      </c>
      <c r="B525">
        <v>0.51</v>
      </c>
    </row>
    <row r="526" spans="1:2" x14ac:dyDescent="0.25">
      <c r="A526" t="s">
        <v>27</v>
      </c>
      <c r="B526" t="s">
        <v>4</v>
      </c>
    </row>
    <row r="527" spans="1:2" x14ac:dyDescent="0.25">
      <c r="A527" t="s">
        <v>28</v>
      </c>
      <c r="B527" t="s">
        <v>4</v>
      </c>
    </row>
    <row r="528" spans="1:2" x14ac:dyDescent="0.25">
      <c r="A528" t="s">
        <v>29</v>
      </c>
      <c r="B528" t="s">
        <v>4</v>
      </c>
    </row>
    <row r="529" spans="1:2" x14ac:dyDescent="0.25">
      <c r="A529" t="s">
        <v>30</v>
      </c>
      <c r="B529" t="s">
        <v>4</v>
      </c>
    </row>
    <row r="530" spans="1:2" x14ac:dyDescent="0.25">
      <c r="A530" t="s">
        <v>31</v>
      </c>
      <c r="B530" t="s">
        <v>4</v>
      </c>
    </row>
    <row r="531" spans="1:2" x14ac:dyDescent="0.25">
      <c r="A531" t="s">
        <v>32</v>
      </c>
      <c r="B531" t="s">
        <v>4</v>
      </c>
    </row>
    <row r="532" spans="1:2" x14ac:dyDescent="0.25">
      <c r="A532" t="s">
        <v>33</v>
      </c>
      <c r="B532" t="s">
        <v>4</v>
      </c>
    </row>
    <row r="533" spans="1:2" x14ac:dyDescent="0.25">
      <c r="A533" t="s">
        <v>34</v>
      </c>
      <c r="B533">
        <v>1.25</v>
      </c>
    </row>
    <row r="534" spans="1:2" x14ac:dyDescent="0.25">
      <c r="A534" t="s">
        <v>35</v>
      </c>
      <c r="B534" t="s">
        <v>4</v>
      </c>
    </row>
    <row r="535" spans="1:2" x14ac:dyDescent="0.25">
      <c r="A535" t="s">
        <v>36</v>
      </c>
      <c r="B535">
        <v>0.47</v>
      </c>
    </row>
    <row r="536" spans="1:2" x14ac:dyDescent="0.25">
      <c r="A536" t="s">
        <v>37</v>
      </c>
      <c r="B536" t="s">
        <v>4</v>
      </c>
    </row>
    <row r="537" spans="1:2" x14ac:dyDescent="0.25">
      <c r="A537" t="s">
        <v>38</v>
      </c>
      <c r="B537">
        <v>0.75</v>
      </c>
    </row>
    <row r="538" spans="1:2" x14ac:dyDescent="0.25">
      <c r="A538" t="s">
        <v>39</v>
      </c>
      <c r="B538">
        <v>0.3</v>
      </c>
    </row>
    <row r="539" spans="1:2" x14ac:dyDescent="0.25">
      <c r="A539" t="s">
        <v>40</v>
      </c>
      <c r="B539">
        <v>0.55000000000000004</v>
      </c>
    </row>
    <row r="540" spans="1:2" x14ac:dyDescent="0.25">
      <c r="A540" t="s">
        <v>41</v>
      </c>
      <c r="B540" t="s">
        <v>4</v>
      </c>
    </row>
    <row r="541" spans="1:2" x14ac:dyDescent="0.25">
      <c r="A541" t="s">
        <v>42</v>
      </c>
      <c r="B541">
        <v>1.27</v>
      </c>
    </row>
    <row r="542" spans="1:2" x14ac:dyDescent="0.25">
      <c r="A542" t="s">
        <v>43</v>
      </c>
      <c r="B542" t="s">
        <v>4</v>
      </c>
    </row>
    <row r="543" spans="1:2" x14ac:dyDescent="0.25">
      <c r="A543" t="s">
        <v>44</v>
      </c>
      <c r="B543">
        <v>0.61</v>
      </c>
    </row>
    <row r="544" spans="1:2" x14ac:dyDescent="0.25">
      <c r="A544" t="s">
        <v>45</v>
      </c>
      <c r="B544" t="s">
        <v>4</v>
      </c>
    </row>
    <row r="545" spans="1:2" x14ac:dyDescent="0.25">
      <c r="A545" t="s">
        <v>46</v>
      </c>
      <c r="B545">
        <v>1.37</v>
      </c>
    </row>
    <row r="546" spans="1:2" x14ac:dyDescent="0.25">
      <c r="A546" t="s">
        <v>47</v>
      </c>
      <c r="B546" t="s">
        <v>4</v>
      </c>
    </row>
    <row r="547" spans="1:2" x14ac:dyDescent="0.25">
      <c r="A547" t="s">
        <v>48</v>
      </c>
      <c r="B547">
        <v>0.54</v>
      </c>
    </row>
    <row r="548" spans="1:2" x14ac:dyDescent="0.25">
      <c r="A548" t="s">
        <v>49</v>
      </c>
      <c r="B548" t="s">
        <v>4</v>
      </c>
    </row>
    <row r="549" spans="1:2" x14ac:dyDescent="0.25">
      <c r="A549" t="s">
        <v>50</v>
      </c>
      <c r="B549">
        <v>1.29</v>
      </c>
    </row>
    <row r="550" spans="1:2" x14ac:dyDescent="0.25">
      <c r="A550" t="s">
        <v>51</v>
      </c>
      <c r="B550" t="s">
        <v>4</v>
      </c>
    </row>
    <row r="551" spans="1:2" x14ac:dyDescent="0.25">
      <c r="A551" t="s">
        <v>52</v>
      </c>
      <c r="B551">
        <v>0.4</v>
      </c>
    </row>
    <row r="552" spans="1:2" x14ac:dyDescent="0.25">
      <c r="A552" t="s">
        <v>53</v>
      </c>
      <c r="B552">
        <v>1.41</v>
      </c>
    </row>
    <row r="553" spans="1:2" x14ac:dyDescent="0.25">
      <c r="A553" t="s">
        <v>54</v>
      </c>
      <c r="B553">
        <v>0.38</v>
      </c>
    </row>
    <row r="554" spans="1:2" x14ac:dyDescent="0.25">
      <c r="A554" t="s">
        <v>55</v>
      </c>
      <c r="B554">
        <v>0.79</v>
      </c>
    </row>
    <row r="555" spans="1:2" x14ac:dyDescent="0.25">
      <c r="A555" t="s">
        <v>56</v>
      </c>
      <c r="B555">
        <v>0.4</v>
      </c>
    </row>
    <row r="556" spans="1:2" x14ac:dyDescent="0.25">
      <c r="A556" t="s">
        <v>57</v>
      </c>
      <c r="B556" t="s">
        <v>4</v>
      </c>
    </row>
    <row r="557" spans="1:2" x14ac:dyDescent="0.25">
      <c r="A557" t="s">
        <v>58</v>
      </c>
      <c r="B557" t="s">
        <v>4</v>
      </c>
    </row>
    <row r="558" spans="1:2" x14ac:dyDescent="0.25">
      <c r="A558" t="s">
        <v>59</v>
      </c>
      <c r="B558">
        <v>1.32</v>
      </c>
    </row>
    <row r="559" spans="1:2" x14ac:dyDescent="0.25">
      <c r="A559" t="s">
        <v>60</v>
      </c>
      <c r="B559">
        <v>0.55000000000000004</v>
      </c>
    </row>
    <row r="560" spans="1:2" x14ac:dyDescent="0.25">
      <c r="A560" t="s">
        <v>61</v>
      </c>
      <c r="B560">
        <v>0.6</v>
      </c>
    </row>
    <row r="561" spans="1:2" x14ac:dyDescent="0.25">
      <c r="A561" t="s">
        <v>62</v>
      </c>
      <c r="B561">
        <v>0.47</v>
      </c>
    </row>
    <row r="562" spans="1:2" x14ac:dyDescent="0.25">
      <c r="A562" t="s">
        <v>63</v>
      </c>
      <c r="B562">
        <v>0.63</v>
      </c>
    </row>
    <row r="563" spans="1:2" x14ac:dyDescent="0.25">
      <c r="A563" t="s">
        <v>64</v>
      </c>
      <c r="B563">
        <v>0.56999999999999995</v>
      </c>
    </row>
    <row r="564" spans="1:2" x14ac:dyDescent="0.25">
      <c r="A564" t="s">
        <v>65</v>
      </c>
      <c r="B564" t="s">
        <v>4</v>
      </c>
    </row>
    <row r="565" spans="1:2" x14ac:dyDescent="0.25">
      <c r="A565" t="s">
        <v>66</v>
      </c>
      <c r="B565" t="s">
        <v>4</v>
      </c>
    </row>
    <row r="566" spans="1:2" x14ac:dyDescent="0.25">
      <c r="A566" t="s">
        <v>67</v>
      </c>
      <c r="B566" t="s">
        <v>4</v>
      </c>
    </row>
    <row r="567" spans="1:2" x14ac:dyDescent="0.25">
      <c r="A567" t="s">
        <v>68</v>
      </c>
      <c r="B567">
        <v>0.86</v>
      </c>
    </row>
    <row r="568" spans="1:2" x14ac:dyDescent="0.25">
      <c r="A568" t="s">
        <v>69</v>
      </c>
      <c r="B568" t="s">
        <v>4</v>
      </c>
    </row>
    <row r="569" spans="1:2" x14ac:dyDescent="0.25">
      <c r="A569" t="s">
        <v>70</v>
      </c>
      <c r="B569">
        <v>43.56</v>
      </c>
    </row>
    <row r="570" spans="1:2" x14ac:dyDescent="0.25">
      <c r="A570" t="s">
        <v>71</v>
      </c>
      <c r="B570">
        <v>103.95</v>
      </c>
    </row>
    <row r="571" spans="1:2" x14ac:dyDescent="0.25">
      <c r="A571" t="s">
        <v>72</v>
      </c>
      <c r="B571">
        <v>86.35</v>
      </c>
    </row>
    <row r="572" spans="1:2" x14ac:dyDescent="0.25">
      <c r="A572" t="s">
        <v>73</v>
      </c>
      <c r="B572" t="s">
        <v>4</v>
      </c>
    </row>
    <row r="573" spans="1:2" x14ac:dyDescent="0.25">
      <c r="A573" t="s">
        <v>74</v>
      </c>
      <c r="B573">
        <v>102.37</v>
      </c>
    </row>
    <row r="574" spans="1:2" x14ac:dyDescent="0.25">
      <c r="A574" t="s">
        <v>75</v>
      </c>
      <c r="B574">
        <v>53.33</v>
      </c>
    </row>
    <row r="575" spans="1:2" x14ac:dyDescent="0.25">
      <c r="A575" t="s">
        <v>76</v>
      </c>
      <c r="B575">
        <v>72.599999999999994</v>
      </c>
    </row>
    <row r="576" spans="1:2" x14ac:dyDescent="0.25">
      <c r="A576" t="s">
        <v>77</v>
      </c>
      <c r="B576">
        <v>62.4</v>
      </c>
    </row>
    <row r="577" spans="1:2" x14ac:dyDescent="0.25">
      <c r="A577" t="s">
        <v>78</v>
      </c>
      <c r="B577">
        <v>0.56999999999999995</v>
      </c>
    </row>
    <row r="578" spans="1:2" x14ac:dyDescent="0.25">
      <c r="A578" t="s">
        <v>79</v>
      </c>
      <c r="B578" t="s">
        <v>4</v>
      </c>
    </row>
    <row r="579" spans="1:2" x14ac:dyDescent="0.25">
      <c r="A579" t="s">
        <v>80</v>
      </c>
      <c r="B579" t="s">
        <v>4</v>
      </c>
    </row>
    <row r="580" spans="1:2" x14ac:dyDescent="0.25">
      <c r="A580" t="s">
        <v>81</v>
      </c>
      <c r="B580">
        <v>0.61</v>
      </c>
    </row>
    <row r="583" spans="1:2" x14ac:dyDescent="0.25">
      <c r="A583" t="s">
        <v>0</v>
      </c>
      <c r="B583" t="s">
        <v>86</v>
      </c>
    </row>
    <row r="585" spans="1:2" s="1" customFormat="1" x14ac:dyDescent="0.25">
      <c r="A585" s="1" t="s">
        <v>2</v>
      </c>
      <c r="B585" s="1" t="s">
        <v>157</v>
      </c>
    </row>
    <row r="586" spans="1:2" x14ac:dyDescent="0.25">
      <c r="A586" t="s">
        <v>3</v>
      </c>
      <c r="B586" t="s">
        <v>4</v>
      </c>
    </row>
    <row r="587" spans="1:2" x14ac:dyDescent="0.25">
      <c r="A587" t="s">
        <v>5</v>
      </c>
      <c r="B587" t="s">
        <v>4</v>
      </c>
    </row>
    <row r="588" spans="1:2" x14ac:dyDescent="0.25">
      <c r="A588" t="s">
        <v>6</v>
      </c>
      <c r="B588" t="s">
        <v>4</v>
      </c>
    </row>
    <row r="589" spans="1:2" x14ac:dyDescent="0.25">
      <c r="A589" t="s">
        <v>7</v>
      </c>
      <c r="B589">
        <v>4.37</v>
      </c>
    </row>
    <row r="590" spans="1:2" x14ac:dyDescent="0.25">
      <c r="A590" t="s">
        <v>8</v>
      </c>
      <c r="B590">
        <v>3.62</v>
      </c>
    </row>
    <row r="591" spans="1:2" x14ac:dyDescent="0.25">
      <c r="A591" t="s">
        <v>9</v>
      </c>
      <c r="B591">
        <v>24.56</v>
      </c>
    </row>
    <row r="592" spans="1:2" x14ac:dyDescent="0.25">
      <c r="A592" t="s">
        <v>10</v>
      </c>
      <c r="B592">
        <v>0.84</v>
      </c>
    </row>
    <row r="593" spans="1:2" x14ac:dyDescent="0.25">
      <c r="A593" t="s">
        <v>11</v>
      </c>
      <c r="B593" t="s">
        <v>4</v>
      </c>
    </row>
    <row r="594" spans="1:2" x14ac:dyDescent="0.25">
      <c r="A594" t="s">
        <v>12</v>
      </c>
      <c r="B594" t="s">
        <v>4</v>
      </c>
    </row>
    <row r="595" spans="1:2" x14ac:dyDescent="0.25">
      <c r="A595" t="s">
        <v>13</v>
      </c>
      <c r="B595" t="s">
        <v>4</v>
      </c>
    </row>
    <row r="596" spans="1:2" x14ac:dyDescent="0.25">
      <c r="A596" t="s">
        <v>14</v>
      </c>
      <c r="B596">
        <v>1.69</v>
      </c>
    </row>
    <row r="597" spans="1:2" x14ac:dyDescent="0.25">
      <c r="A597" t="s">
        <v>15</v>
      </c>
      <c r="B597">
        <v>1.99</v>
      </c>
    </row>
    <row r="598" spans="1:2" x14ac:dyDescent="0.25">
      <c r="A598" t="s">
        <v>16</v>
      </c>
      <c r="B598">
        <v>1.08</v>
      </c>
    </row>
    <row r="599" spans="1:2" x14ac:dyDescent="0.25">
      <c r="A599" t="s">
        <v>17</v>
      </c>
      <c r="B599">
        <v>11.84</v>
      </c>
    </row>
    <row r="600" spans="1:2" x14ac:dyDescent="0.25">
      <c r="A600" t="s">
        <v>18</v>
      </c>
      <c r="B600" t="s">
        <v>4</v>
      </c>
    </row>
    <row r="601" spans="1:2" x14ac:dyDescent="0.25">
      <c r="A601" t="s">
        <v>19</v>
      </c>
      <c r="B601" t="s">
        <v>4</v>
      </c>
    </row>
    <row r="602" spans="1:2" x14ac:dyDescent="0.25">
      <c r="A602" t="s">
        <v>20</v>
      </c>
      <c r="B602" t="s">
        <v>4</v>
      </c>
    </row>
    <row r="603" spans="1:2" x14ac:dyDescent="0.25">
      <c r="A603" t="s">
        <v>21</v>
      </c>
      <c r="B603" t="s">
        <v>4</v>
      </c>
    </row>
    <row r="604" spans="1:2" x14ac:dyDescent="0.25">
      <c r="A604" t="s">
        <v>22</v>
      </c>
      <c r="B604" t="s">
        <v>4</v>
      </c>
    </row>
    <row r="605" spans="1:2" x14ac:dyDescent="0.25">
      <c r="A605" t="s">
        <v>23</v>
      </c>
      <c r="B605" t="s">
        <v>4</v>
      </c>
    </row>
    <row r="606" spans="1:2" x14ac:dyDescent="0.25">
      <c r="A606" t="s">
        <v>24</v>
      </c>
      <c r="B606" t="s">
        <v>4</v>
      </c>
    </row>
    <row r="607" spans="1:2" x14ac:dyDescent="0.25">
      <c r="A607" t="s">
        <v>25</v>
      </c>
      <c r="B607">
        <v>14.01</v>
      </c>
    </row>
    <row r="608" spans="1:2" x14ac:dyDescent="0.25">
      <c r="A608" t="s">
        <v>26</v>
      </c>
      <c r="B608">
        <v>24.12</v>
      </c>
    </row>
    <row r="609" spans="1:2" x14ac:dyDescent="0.25">
      <c r="A609" t="s">
        <v>27</v>
      </c>
      <c r="B609">
        <v>2.4500000000000002</v>
      </c>
    </row>
    <row r="610" spans="1:2" x14ac:dyDescent="0.25">
      <c r="A610" t="s">
        <v>28</v>
      </c>
      <c r="B610">
        <v>8.02</v>
      </c>
    </row>
    <row r="611" spans="1:2" x14ac:dyDescent="0.25">
      <c r="A611" t="s">
        <v>29</v>
      </c>
      <c r="B611">
        <v>6.58</v>
      </c>
    </row>
    <row r="612" spans="1:2" x14ac:dyDescent="0.25">
      <c r="A612" t="s">
        <v>30</v>
      </c>
      <c r="B612">
        <v>6.88</v>
      </c>
    </row>
    <row r="613" spans="1:2" x14ac:dyDescent="0.25">
      <c r="A613" t="s">
        <v>31</v>
      </c>
      <c r="B613">
        <v>7.8</v>
      </c>
    </row>
    <row r="614" spans="1:2" x14ac:dyDescent="0.25">
      <c r="A614" t="s">
        <v>32</v>
      </c>
      <c r="B614" t="s">
        <v>4</v>
      </c>
    </row>
    <row r="615" spans="1:2" x14ac:dyDescent="0.25">
      <c r="A615" t="s">
        <v>33</v>
      </c>
      <c r="B615" t="s">
        <v>4</v>
      </c>
    </row>
    <row r="616" spans="1:2" x14ac:dyDescent="0.25">
      <c r="A616" t="s">
        <v>34</v>
      </c>
      <c r="B616">
        <v>3.79</v>
      </c>
    </row>
    <row r="617" spans="1:2" x14ac:dyDescent="0.25">
      <c r="A617" t="s">
        <v>35</v>
      </c>
      <c r="B617" t="s">
        <v>4</v>
      </c>
    </row>
    <row r="618" spans="1:2" x14ac:dyDescent="0.25">
      <c r="A618" t="s">
        <v>36</v>
      </c>
      <c r="B618" t="s">
        <v>4</v>
      </c>
    </row>
    <row r="619" spans="1:2" x14ac:dyDescent="0.25">
      <c r="A619" t="s">
        <v>37</v>
      </c>
      <c r="B619">
        <v>1.26</v>
      </c>
    </row>
    <row r="620" spans="1:2" x14ac:dyDescent="0.25">
      <c r="A620" t="s">
        <v>38</v>
      </c>
      <c r="B620">
        <v>2.44</v>
      </c>
    </row>
    <row r="621" spans="1:2" x14ac:dyDescent="0.25">
      <c r="A621" t="s">
        <v>39</v>
      </c>
      <c r="B621">
        <v>7.25</v>
      </c>
    </row>
    <row r="622" spans="1:2" x14ac:dyDescent="0.25">
      <c r="A622" t="s">
        <v>40</v>
      </c>
      <c r="B622">
        <v>1.18</v>
      </c>
    </row>
    <row r="623" spans="1:2" x14ac:dyDescent="0.25">
      <c r="A623" t="s">
        <v>41</v>
      </c>
      <c r="B623" t="s">
        <v>4</v>
      </c>
    </row>
    <row r="624" spans="1:2" x14ac:dyDescent="0.25">
      <c r="A624" t="s">
        <v>42</v>
      </c>
      <c r="B624">
        <v>3.63</v>
      </c>
    </row>
    <row r="625" spans="1:2" x14ac:dyDescent="0.25">
      <c r="A625" t="s">
        <v>43</v>
      </c>
      <c r="B625">
        <v>3.78</v>
      </c>
    </row>
    <row r="626" spans="1:2" x14ac:dyDescent="0.25">
      <c r="A626" t="s">
        <v>44</v>
      </c>
      <c r="B626">
        <v>0.9</v>
      </c>
    </row>
    <row r="627" spans="1:2" x14ac:dyDescent="0.25">
      <c r="A627" t="s">
        <v>45</v>
      </c>
      <c r="B627">
        <v>0.86</v>
      </c>
    </row>
    <row r="628" spans="1:2" x14ac:dyDescent="0.25">
      <c r="A628" t="s">
        <v>46</v>
      </c>
      <c r="B628">
        <v>3.85</v>
      </c>
    </row>
    <row r="629" spans="1:2" x14ac:dyDescent="0.25">
      <c r="A629" t="s">
        <v>47</v>
      </c>
      <c r="B629">
        <v>1.51</v>
      </c>
    </row>
    <row r="630" spans="1:2" x14ac:dyDescent="0.25">
      <c r="A630" t="s">
        <v>48</v>
      </c>
      <c r="B630" t="s">
        <v>4</v>
      </c>
    </row>
    <row r="631" spans="1:2" x14ac:dyDescent="0.25">
      <c r="A631" t="s">
        <v>49</v>
      </c>
      <c r="B631">
        <v>0.62</v>
      </c>
    </row>
    <row r="632" spans="1:2" x14ac:dyDescent="0.25">
      <c r="A632" t="s">
        <v>50</v>
      </c>
      <c r="B632">
        <v>3.87</v>
      </c>
    </row>
    <row r="633" spans="1:2" x14ac:dyDescent="0.25">
      <c r="A633" t="s">
        <v>51</v>
      </c>
      <c r="B633" t="s">
        <v>4</v>
      </c>
    </row>
    <row r="634" spans="1:2" x14ac:dyDescent="0.25">
      <c r="A634" t="s">
        <v>52</v>
      </c>
      <c r="B634">
        <v>1.04</v>
      </c>
    </row>
    <row r="635" spans="1:2" x14ac:dyDescent="0.25">
      <c r="A635" t="s">
        <v>53</v>
      </c>
      <c r="B635">
        <v>2.5299999999999998</v>
      </c>
    </row>
    <row r="636" spans="1:2" x14ac:dyDescent="0.25">
      <c r="A636" t="s">
        <v>54</v>
      </c>
      <c r="B636">
        <v>0.95</v>
      </c>
    </row>
    <row r="637" spans="1:2" x14ac:dyDescent="0.25">
      <c r="A637" t="s">
        <v>55</v>
      </c>
      <c r="B637">
        <v>3.57</v>
      </c>
    </row>
    <row r="638" spans="1:2" x14ac:dyDescent="0.25">
      <c r="A638" t="s">
        <v>56</v>
      </c>
      <c r="B638">
        <v>5.0599999999999996</v>
      </c>
    </row>
    <row r="639" spans="1:2" x14ac:dyDescent="0.25">
      <c r="A639" t="s">
        <v>57</v>
      </c>
      <c r="B639" t="s">
        <v>4</v>
      </c>
    </row>
    <row r="640" spans="1:2" x14ac:dyDescent="0.25">
      <c r="A640" t="s">
        <v>58</v>
      </c>
      <c r="B640">
        <v>30.95</v>
      </c>
    </row>
    <row r="641" spans="1:2" x14ac:dyDescent="0.25">
      <c r="A641" t="s">
        <v>59</v>
      </c>
      <c r="B641">
        <v>2.82</v>
      </c>
    </row>
    <row r="642" spans="1:2" x14ac:dyDescent="0.25">
      <c r="A642" t="s">
        <v>60</v>
      </c>
      <c r="B642">
        <v>2.57</v>
      </c>
    </row>
    <row r="643" spans="1:2" x14ac:dyDescent="0.25">
      <c r="A643" t="s">
        <v>61</v>
      </c>
      <c r="B643">
        <v>3.26</v>
      </c>
    </row>
    <row r="644" spans="1:2" x14ac:dyDescent="0.25">
      <c r="A644" t="s">
        <v>62</v>
      </c>
      <c r="B644">
        <v>3.02</v>
      </c>
    </row>
    <row r="645" spans="1:2" x14ac:dyDescent="0.25">
      <c r="A645" t="s">
        <v>63</v>
      </c>
      <c r="B645">
        <v>5.15</v>
      </c>
    </row>
    <row r="646" spans="1:2" x14ac:dyDescent="0.25">
      <c r="A646" t="s">
        <v>64</v>
      </c>
      <c r="B646">
        <v>10.46</v>
      </c>
    </row>
    <row r="647" spans="1:2" x14ac:dyDescent="0.25">
      <c r="A647" t="s">
        <v>65</v>
      </c>
      <c r="B647">
        <v>1.04</v>
      </c>
    </row>
    <row r="648" spans="1:2" x14ac:dyDescent="0.25">
      <c r="A648" t="s">
        <v>66</v>
      </c>
      <c r="B648">
        <v>1.91</v>
      </c>
    </row>
    <row r="649" spans="1:2" x14ac:dyDescent="0.25">
      <c r="A649" t="s">
        <v>67</v>
      </c>
      <c r="B649">
        <v>2.95</v>
      </c>
    </row>
    <row r="650" spans="1:2" x14ac:dyDescent="0.25">
      <c r="A650" t="s">
        <v>68</v>
      </c>
      <c r="B650" t="s">
        <v>4</v>
      </c>
    </row>
    <row r="651" spans="1:2" x14ac:dyDescent="0.25">
      <c r="A651" t="s">
        <v>69</v>
      </c>
      <c r="B651" t="s">
        <v>4</v>
      </c>
    </row>
    <row r="652" spans="1:2" x14ac:dyDescent="0.25">
      <c r="A652" t="s">
        <v>70</v>
      </c>
      <c r="B652">
        <v>134.63</v>
      </c>
    </row>
    <row r="653" spans="1:2" x14ac:dyDescent="0.25">
      <c r="A653" t="s">
        <v>71</v>
      </c>
      <c r="B653">
        <v>17.29</v>
      </c>
    </row>
    <row r="654" spans="1:2" x14ac:dyDescent="0.25">
      <c r="A654" t="s">
        <v>72</v>
      </c>
      <c r="B654">
        <v>51.24</v>
      </c>
    </row>
    <row r="655" spans="1:2" x14ac:dyDescent="0.25">
      <c r="A655" t="s">
        <v>73</v>
      </c>
      <c r="B655" t="s">
        <v>4</v>
      </c>
    </row>
    <row r="656" spans="1:2" x14ac:dyDescent="0.25">
      <c r="A656" t="s">
        <v>74</v>
      </c>
      <c r="B656">
        <v>15.55</v>
      </c>
    </row>
    <row r="657" spans="1:2" x14ac:dyDescent="0.25">
      <c r="A657" t="s">
        <v>75</v>
      </c>
      <c r="B657">
        <v>151.62</v>
      </c>
    </row>
    <row r="658" spans="1:2" x14ac:dyDescent="0.25">
      <c r="A658" t="s">
        <v>76</v>
      </c>
      <c r="B658">
        <v>52.88</v>
      </c>
    </row>
    <row r="659" spans="1:2" x14ac:dyDescent="0.25">
      <c r="A659" t="s">
        <v>77</v>
      </c>
      <c r="B659">
        <v>58.19</v>
      </c>
    </row>
    <row r="660" spans="1:2" x14ac:dyDescent="0.25">
      <c r="A660" t="s">
        <v>78</v>
      </c>
      <c r="B660" t="s">
        <v>4</v>
      </c>
    </row>
    <row r="661" spans="1:2" x14ac:dyDescent="0.25">
      <c r="A661" t="s">
        <v>79</v>
      </c>
      <c r="B661" t="s">
        <v>4</v>
      </c>
    </row>
    <row r="662" spans="1:2" x14ac:dyDescent="0.25">
      <c r="A662" t="s">
        <v>80</v>
      </c>
      <c r="B662" t="s">
        <v>4</v>
      </c>
    </row>
    <row r="663" spans="1:2" x14ac:dyDescent="0.25">
      <c r="A663" t="s">
        <v>81</v>
      </c>
      <c r="B663">
        <v>1.88</v>
      </c>
    </row>
    <row r="666" spans="1:2" x14ac:dyDescent="0.25">
      <c r="A666" t="s">
        <v>0</v>
      </c>
      <c r="B666" t="s">
        <v>87</v>
      </c>
    </row>
    <row r="668" spans="1:2" s="1" customFormat="1" x14ac:dyDescent="0.25">
      <c r="A668" s="1" t="s">
        <v>2</v>
      </c>
      <c r="B668" s="1" t="s">
        <v>157</v>
      </c>
    </row>
    <row r="669" spans="1:2" x14ac:dyDescent="0.25">
      <c r="A669" t="s">
        <v>3</v>
      </c>
      <c r="B669" t="s">
        <v>4</v>
      </c>
    </row>
    <row r="670" spans="1:2" x14ac:dyDescent="0.25">
      <c r="A670" t="s">
        <v>5</v>
      </c>
      <c r="B670" t="s">
        <v>4</v>
      </c>
    </row>
    <row r="671" spans="1:2" x14ac:dyDescent="0.25">
      <c r="A671" t="s">
        <v>6</v>
      </c>
      <c r="B671" t="s">
        <v>4</v>
      </c>
    </row>
    <row r="672" spans="1:2" x14ac:dyDescent="0.25">
      <c r="A672" t="s">
        <v>7</v>
      </c>
      <c r="B672">
        <v>6.09</v>
      </c>
    </row>
    <row r="673" spans="1:2" x14ac:dyDescent="0.25">
      <c r="A673" t="s">
        <v>8</v>
      </c>
      <c r="B673">
        <v>13.65</v>
      </c>
    </row>
    <row r="674" spans="1:2" x14ac:dyDescent="0.25">
      <c r="A674" t="s">
        <v>9</v>
      </c>
      <c r="B674">
        <v>71.62</v>
      </c>
    </row>
    <row r="675" spans="1:2" x14ac:dyDescent="0.25">
      <c r="A675" t="s">
        <v>10</v>
      </c>
      <c r="B675" t="s">
        <v>4</v>
      </c>
    </row>
    <row r="676" spans="1:2" x14ac:dyDescent="0.25">
      <c r="A676" t="s">
        <v>11</v>
      </c>
      <c r="B676" t="s">
        <v>4</v>
      </c>
    </row>
    <row r="677" spans="1:2" x14ac:dyDescent="0.25">
      <c r="A677" t="s">
        <v>12</v>
      </c>
      <c r="B677" t="s">
        <v>4</v>
      </c>
    </row>
    <row r="678" spans="1:2" x14ac:dyDescent="0.25">
      <c r="A678" t="s">
        <v>13</v>
      </c>
      <c r="B678" t="s">
        <v>4</v>
      </c>
    </row>
    <row r="679" spans="1:2" x14ac:dyDescent="0.25">
      <c r="A679" t="s">
        <v>14</v>
      </c>
      <c r="B679" t="s">
        <v>4</v>
      </c>
    </row>
    <row r="680" spans="1:2" x14ac:dyDescent="0.25">
      <c r="A680" t="s">
        <v>15</v>
      </c>
      <c r="B680" t="s">
        <v>4</v>
      </c>
    </row>
    <row r="681" spans="1:2" x14ac:dyDescent="0.25">
      <c r="A681" t="s">
        <v>16</v>
      </c>
      <c r="B681" t="s">
        <v>4</v>
      </c>
    </row>
    <row r="682" spans="1:2" x14ac:dyDescent="0.25">
      <c r="A682" t="s">
        <v>17</v>
      </c>
      <c r="B682">
        <v>14.87</v>
      </c>
    </row>
    <row r="683" spans="1:2" x14ac:dyDescent="0.25">
      <c r="A683" t="s">
        <v>18</v>
      </c>
      <c r="B683" t="s">
        <v>4</v>
      </c>
    </row>
    <row r="684" spans="1:2" x14ac:dyDescent="0.25">
      <c r="A684" t="s">
        <v>19</v>
      </c>
      <c r="B684" t="s">
        <v>4</v>
      </c>
    </row>
    <row r="685" spans="1:2" x14ac:dyDescent="0.25">
      <c r="A685" t="s">
        <v>20</v>
      </c>
      <c r="B685" t="s">
        <v>4</v>
      </c>
    </row>
    <row r="686" spans="1:2" x14ac:dyDescent="0.25">
      <c r="A686" t="s">
        <v>21</v>
      </c>
      <c r="B686">
        <v>23.88</v>
      </c>
    </row>
    <row r="687" spans="1:2" x14ac:dyDescent="0.25">
      <c r="A687" t="s">
        <v>22</v>
      </c>
      <c r="B687" t="s">
        <v>4</v>
      </c>
    </row>
    <row r="688" spans="1:2" x14ac:dyDescent="0.25">
      <c r="A688" t="s">
        <v>23</v>
      </c>
      <c r="B688" t="s">
        <v>4</v>
      </c>
    </row>
    <row r="689" spans="1:2" x14ac:dyDescent="0.25">
      <c r="A689" t="s">
        <v>24</v>
      </c>
      <c r="B689" t="s">
        <v>4</v>
      </c>
    </row>
    <row r="690" spans="1:2" x14ac:dyDescent="0.25">
      <c r="A690" t="s">
        <v>25</v>
      </c>
      <c r="B690">
        <v>19.52</v>
      </c>
    </row>
    <row r="691" spans="1:2" x14ac:dyDescent="0.25">
      <c r="A691" t="s">
        <v>26</v>
      </c>
      <c r="B691">
        <v>36.799999999999997</v>
      </c>
    </row>
    <row r="692" spans="1:2" x14ac:dyDescent="0.25">
      <c r="A692" t="s">
        <v>27</v>
      </c>
      <c r="B692">
        <v>5.12</v>
      </c>
    </row>
    <row r="693" spans="1:2" x14ac:dyDescent="0.25">
      <c r="A693" t="s">
        <v>28</v>
      </c>
      <c r="B693">
        <v>7.76</v>
      </c>
    </row>
    <row r="694" spans="1:2" x14ac:dyDescent="0.25">
      <c r="A694" t="s">
        <v>29</v>
      </c>
      <c r="B694">
        <v>20.68</v>
      </c>
    </row>
    <row r="695" spans="1:2" x14ac:dyDescent="0.25">
      <c r="A695" t="s">
        <v>30</v>
      </c>
      <c r="B695">
        <v>18.579999999999998</v>
      </c>
    </row>
    <row r="696" spans="1:2" x14ac:dyDescent="0.25">
      <c r="A696" t="s">
        <v>31</v>
      </c>
      <c r="B696">
        <v>14.68</v>
      </c>
    </row>
    <row r="697" spans="1:2" x14ac:dyDescent="0.25">
      <c r="A697" t="s">
        <v>32</v>
      </c>
      <c r="B697" t="s">
        <v>4</v>
      </c>
    </row>
    <row r="698" spans="1:2" x14ac:dyDescent="0.25">
      <c r="A698" t="s">
        <v>33</v>
      </c>
      <c r="B698" t="s">
        <v>4</v>
      </c>
    </row>
    <row r="699" spans="1:2" x14ac:dyDescent="0.25">
      <c r="A699" t="s">
        <v>34</v>
      </c>
      <c r="B699" t="s">
        <v>4</v>
      </c>
    </row>
    <row r="700" spans="1:2" x14ac:dyDescent="0.25">
      <c r="A700" t="s">
        <v>35</v>
      </c>
      <c r="B700" t="s">
        <v>4</v>
      </c>
    </row>
    <row r="701" spans="1:2" x14ac:dyDescent="0.25">
      <c r="A701" t="s">
        <v>36</v>
      </c>
      <c r="B701" t="s">
        <v>4</v>
      </c>
    </row>
    <row r="702" spans="1:2" x14ac:dyDescent="0.25">
      <c r="A702" t="s">
        <v>37</v>
      </c>
      <c r="B702" t="s">
        <v>4</v>
      </c>
    </row>
    <row r="703" spans="1:2" x14ac:dyDescent="0.25">
      <c r="A703" t="s">
        <v>38</v>
      </c>
      <c r="B703" t="s">
        <v>4</v>
      </c>
    </row>
    <row r="704" spans="1:2" x14ac:dyDescent="0.25">
      <c r="A704" t="s">
        <v>39</v>
      </c>
      <c r="B704" t="s">
        <v>4</v>
      </c>
    </row>
    <row r="705" spans="1:2" x14ac:dyDescent="0.25">
      <c r="A705" t="s">
        <v>40</v>
      </c>
      <c r="B705" t="s">
        <v>4</v>
      </c>
    </row>
    <row r="706" spans="1:2" x14ac:dyDescent="0.25">
      <c r="A706" t="s">
        <v>41</v>
      </c>
      <c r="B706" t="s">
        <v>4</v>
      </c>
    </row>
    <row r="707" spans="1:2" x14ac:dyDescent="0.25">
      <c r="A707" t="s">
        <v>42</v>
      </c>
      <c r="B707" t="s">
        <v>4</v>
      </c>
    </row>
    <row r="708" spans="1:2" x14ac:dyDescent="0.25">
      <c r="A708" t="s">
        <v>43</v>
      </c>
      <c r="B708" t="s">
        <v>4</v>
      </c>
    </row>
    <row r="709" spans="1:2" x14ac:dyDescent="0.25">
      <c r="A709" t="s">
        <v>44</v>
      </c>
      <c r="B709" t="s">
        <v>4</v>
      </c>
    </row>
    <row r="710" spans="1:2" x14ac:dyDescent="0.25">
      <c r="A710" t="s">
        <v>45</v>
      </c>
      <c r="B710" t="s">
        <v>4</v>
      </c>
    </row>
    <row r="711" spans="1:2" x14ac:dyDescent="0.25">
      <c r="A711" t="s">
        <v>46</v>
      </c>
      <c r="B711" t="s">
        <v>4</v>
      </c>
    </row>
    <row r="712" spans="1:2" x14ac:dyDescent="0.25">
      <c r="A712" t="s">
        <v>47</v>
      </c>
      <c r="B712" t="s">
        <v>4</v>
      </c>
    </row>
    <row r="713" spans="1:2" x14ac:dyDescent="0.25">
      <c r="A713" t="s">
        <v>48</v>
      </c>
      <c r="B713" t="s">
        <v>4</v>
      </c>
    </row>
    <row r="714" spans="1:2" x14ac:dyDescent="0.25">
      <c r="A714" t="s">
        <v>49</v>
      </c>
      <c r="B714" t="s">
        <v>4</v>
      </c>
    </row>
    <row r="715" spans="1:2" x14ac:dyDescent="0.25">
      <c r="A715" t="s">
        <v>50</v>
      </c>
      <c r="B715" t="s">
        <v>4</v>
      </c>
    </row>
    <row r="716" spans="1:2" x14ac:dyDescent="0.25">
      <c r="A716" t="s">
        <v>51</v>
      </c>
      <c r="B716" t="s">
        <v>4</v>
      </c>
    </row>
    <row r="717" spans="1:2" x14ac:dyDescent="0.25">
      <c r="A717" t="s">
        <v>52</v>
      </c>
      <c r="B717" t="s">
        <v>4</v>
      </c>
    </row>
    <row r="718" spans="1:2" x14ac:dyDescent="0.25">
      <c r="A718" t="s">
        <v>53</v>
      </c>
      <c r="B718" t="s">
        <v>4</v>
      </c>
    </row>
    <row r="719" spans="1:2" x14ac:dyDescent="0.25">
      <c r="A719" t="s">
        <v>54</v>
      </c>
      <c r="B719" t="s">
        <v>4</v>
      </c>
    </row>
    <row r="720" spans="1:2" x14ac:dyDescent="0.25">
      <c r="A720" t="s">
        <v>55</v>
      </c>
      <c r="B720" t="s">
        <v>4</v>
      </c>
    </row>
    <row r="721" spans="1:2" x14ac:dyDescent="0.25">
      <c r="A721" t="s">
        <v>56</v>
      </c>
      <c r="B721">
        <v>6.71</v>
      </c>
    </row>
    <row r="722" spans="1:2" x14ac:dyDescent="0.25">
      <c r="A722" t="s">
        <v>57</v>
      </c>
      <c r="B722" t="s">
        <v>4</v>
      </c>
    </row>
    <row r="723" spans="1:2" x14ac:dyDescent="0.25">
      <c r="A723" t="s">
        <v>58</v>
      </c>
      <c r="B723">
        <v>127.1</v>
      </c>
    </row>
    <row r="724" spans="1:2" x14ac:dyDescent="0.25">
      <c r="A724" t="s">
        <v>59</v>
      </c>
      <c r="B724" t="s">
        <v>4</v>
      </c>
    </row>
    <row r="725" spans="1:2" x14ac:dyDescent="0.25">
      <c r="A725" t="s">
        <v>60</v>
      </c>
      <c r="B725" t="s">
        <v>4</v>
      </c>
    </row>
    <row r="726" spans="1:2" x14ac:dyDescent="0.25">
      <c r="A726" t="s">
        <v>61</v>
      </c>
      <c r="B726" t="s">
        <v>4</v>
      </c>
    </row>
    <row r="727" spans="1:2" x14ac:dyDescent="0.25">
      <c r="A727" t="s">
        <v>62</v>
      </c>
      <c r="B727" t="s">
        <v>4</v>
      </c>
    </row>
    <row r="728" spans="1:2" x14ac:dyDescent="0.25">
      <c r="A728" t="s">
        <v>63</v>
      </c>
      <c r="B728" t="s">
        <v>4</v>
      </c>
    </row>
    <row r="729" spans="1:2" x14ac:dyDescent="0.25">
      <c r="A729" t="s">
        <v>64</v>
      </c>
      <c r="B729" t="s">
        <v>4</v>
      </c>
    </row>
    <row r="730" spans="1:2" x14ac:dyDescent="0.25">
      <c r="A730" t="s">
        <v>65</v>
      </c>
      <c r="B730" t="s">
        <v>4</v>
      </c>
    </row>
    <row r="731" spans="1:2" x14ac:dyDescent="0.25">
      <c r="A731" t="s">
        <v>66</v>
      </c>
      <c r="B731" t="s">
        <v>4</v>
      </c>
    </row>
    <row r="732" spans="1:2" x14ac:dyDescent="0.25">
      <c r="A732" t="s">
        <v>67</v>
      </c>
      <c r="B732" t="s">
        <v>4</v>
      </c>
    </row>
    <row r="733" spans="1:2" x14ac:dyDescent="0.25">
      <c r="A733" t="s">
        <v>68</v>
      </c>
      <c r="B733" t="s">
        <v>4</v>
      </c>
    </row>
    <row r="734" spans="1:2" x14ac:dyDescent="0.25">
      <c r="A734" t="s">
        <v>69</v>
      </c>
      <c r="B734" t="s">
        <v>4</v>
      </c>
    </row>
    <row r="735" spans="1:2" x14ac:dyDescent="0.25">
      <c r="A735" t="s">
        <v>70</v>
      </c>
      <c r="B735">
        <v>21.28</v>
      </c>
    </row>
    <row r="736" spans="1:2" x14ac:dyDescent="0.25">
      <c r="A736" t="s">
        <v>71</v>
      </c>
      <c r="B736" t="s">
        <v>4</v>
      </c>
    </row>
    <row r="737" spans="1:2" x14ac:dyDescent="0.25">
      <c r="A737" t="s">
        <v>72</v>
      </c>
      <c r="B737">
        <v>10.9</v>
      </c>
    </row>
    <row r="738" spans="1:2" x14ac:dyDescent="0.25">
      <c r="A738" t="s">
        <v>73</v>
      </c>
      <c r="B738" t="s">
        <v>4</v>
      </c>
    </row>
    <row r="739" spans="1:2" x14ac:dyDescent="0.25">
      <c r="A739" t="s">
        <v>74</v>
      </c>
      <c r="B739" t="s">
        <v>4</v>
      </c>
    </row>
    <row r="740" spans="1:2" x14ac:dyDescent="0.25">
      <c r="A740" t="s">
        <v>75</v>
      </c>
      <c r="B740">
        <v>22.46</v>
      </c>
    </row>
    <row r="741" spans="1:2" x14ac:dyDescent="0.25">
      <c r="A741" t="s">
        <v>76</v>
      </c>
      <c r="B741" t="s">
        <v>4</v>
      </c>
    </row>
    <row r="742" spans="1:2" x14ac:dyDescent="0.25">
      <c r="A742" t="s">
        <v>77</v>
      </c>
      <c r="B742" t="s">
        <v>4</v>
      </c>
    </row>
    <row r="743" spans="1:2" x14ac:dyDescent="0.25">
      <c r="A743" t="s">
        <v>78</v>
      </c>
      <c r="B743" t="s">
        <v>4</v>
      </c>
    </row>
    <row r="744" spans="1:2" x14ac:dyDescent="0.25">
      <c r="A744" t="s">
        <v>79</v>
      </c>
      <c r="B744" t="s">
        <v>4</v>
      </c>
    </row>
    <row r="745" spans="1:2" x14ac:dyDescent="0.25">
      <c r="A745" t="s">
        <v>80</v>
      </c>
      <c r="B745" t="s">
        <v>4</v>
      </c>
    </row>
    <row r="746" spans="1:2" x14ac:dyDescent="0.25">
      <c r="A746" t="s">
        <v>81</v>
      </c>
      <c r="B746" t="s">
        <v>4</v>
      </c>
    </row>
    <row r="749" spans="1:2" x14ac:dyDescent="0.25">
      <c r="A749" t="s">
        <v>0</v>
      </c>
      <c r="B749" t="s">
        <v>88</v>
      </c>
    </row>
    <row r="751" spans="1:2" s="1" customFormat="1" x14ac:dyDescent="0.25">
      <c r="A751" s="1" t="s">
        <v>2</v>
      </c>
      <c r="B751" s="1" t="s">
        <v>157</v>
      </c>
    </row>
    <row r="752" spans="1:2" x14ac:dyDescent="0.25">
      <c r="A752" t="s">
        <v>3</v>
      </c>
      <c r="B752" t="s">
        <v>4</v>
      </c>
    </row>
    <row r="753" spans="1:2" x14ac:dyDescent="0.25">
      <c r="A753" t="s">
        <v>5</v>
      </c>
      <c r="B753" t="s">
        <v>4</v>
      </c>
    </row>
    <row r="754" spans="1:2" x14ac:dyDescent="0.25">
      <c r="A754" t="s">
        <v>6</v>
      </c>
      <c r="B754" t="s">
        <v>4</v>
      </c>
    </row>
    <row r="755" spans="1:2" x14ac:dyDescent="0.25">
      <c r="A755" t="s">
        <v>7</v>
      </c>
      <c r="B755">
        <v>13.59</v>
      </c>
    </row>
    <row r="756" spans="1:2" x14ac:dyDescent="0.25">
      <c r="A756" t="s">
        <v>8</v>
      </c>
      <c r="B756">
        <v>19.899999999999999</v>
      </c>
    </row>
    <row r="757" spans="1:2" x14ac:dyDescent="0.25">
      <c r="A757" t="s">
        <v>9</v>
      </c>
      <c r="B757">
        <v>67.709999999999994</v>
      </c>
    </row>
    <row r="758" spans="1:2" x14ac:dyDescent="0.25">
      <c r="A758" t="s">
        <v>10</v>
      </c>
      <c r="B758" t="s">
        <v>4</v>
      </c>
    </row>
    <row r="759" spans="1:2" x14ac:dyDescent="0.25">
      <c r="A759" t="s">
        <v>11</v>
      </c>
      <c r="B759" t="s">
        <v>4</v>
      </c>
    </row>
    <row r="760" spans="1:2" x14ac:dyDescent="0.25">
      <c r="A760" t="s">
        <v>12</v>
      </c>
      <c r="B760" t="s">
        <v>4</v>
      </c>
    </row>
    <row r="761" spans="1:2" x14ac:dyDescent="0.25">
      <c r="A761" t="s">
        <v>13</v>
      </c>
      <c r="B761" t="s">
        <v>4</v>
      </c>
    </row>
    <row r="762" spans="1:2" x14ac:dyDescent="0.25">
      <c r="A762" t="s">
        <v>14</v>
      </c>
      <c r="B762" t="s">
        <v>4</v>
      </c>
    </row>
    <row r="763" spans="1:2" x14ac:dyDescent="0.25">
      <c r="A763" t="s">
        <v>15</v>
      </c>
      <c r="B763" t="s">
        <v>4</v>
      </c>
    </row>
    <row r="764" spans="1:2" x14ac:dyDescent="0.25">
      <c r="A764" t="s">
        <v>16</v>
      </c>
      <c r="B764" t="s">
        <v>4</v>
      </c>
    </row>
    <row r="765" spans="1:2" x14ac:dyDescent="0.25">
      <c r="A765" t="s">
        <v>17</v>
      </c>
      <c r="B765" t="s">
        <v>4</v>
      </c>
    </row>
    <row r="766" spans="1:2" x14ac:dyDescent="0.25">
      <c r="A766" t="s">
        <v>18</v>
      </c>
      <c r="B766" t="s">
        <v>4</v>
      </c>
    </row>
    <row r="767" spans="1:2" x14ac:dyDescent="0.25">
      <c r="A767" t="s">
        <v>19</v>
      </c>
      <c r="B767" t="s">
        <v>4</v>
      </c>
    </row>
    <row r="768" spans="1:2" x14ac:dyDescent="0.25">
      <c r="A768" t="s">
        <v>20</v>
      </c>
      <c r="B768" t="s">
        <v>4</v>
      </c>
    </row>
    <row r="769" spans="1:2" x14ac:dyDescent="0.25">
      <c r="A769" t="s">
        <v>21</v>
      </c>
      <c r="B769" t="s">
        <v>4</v>
      </c>
    </row>
    <row r="770" spans="1:2" x14ac:dyDescent="0.25">
      <c r="A770" t="s">
        <v>22</v>
      </c>
      <c r="B770" t="s">
        <v>4</v>
      </c>
    </row>
    <row r="771" spans="1:2" x14ac:dyDescent="0.25">
      <c r="A771" t="s">
        <v>23</v>
      </c>
      <c r="B771" t="s">
        <v>4</v>
      </c>
    </row>
    <row r="772" spans="1:2" x14ac:dyDescent="0.25">
      <c r="A772" t="s">
        <v>24</v>
      </c>
      <c r="B772" t="s">
        <v>4</v>
      </c>
    </row>
    <row r="773" spans="1:2" x14ac:dyDescent="0.25">
      <c r="A773" t="s">
        <v>25</v>
      </c>
      <c r="B773">
        <v>27.13</v>
      </c>
    </row>
    <row r="774" spans="1:2" x14ac:dyDescent="0.25">
      <c r="A774" t="s">
        <v>26</v>
      </c>
      <c r="B774">
        <v>54.15</v>
      </c>
    </row>
    <row r="775" spans="1:2" x14ac:dyDescent="0.25">
      <c r="A775" t="s">
        <v>27</v>
      </c>
      <c r="B775">
        <v>11.33</v>
      </c>
    </row>
    <row r="776" spans="1:2" x14ac:dyDescent="0.25">
      <c r="A776" t="s">
        <v>28</v>
      </c>
      <c r="B776">
        <v>22.53</v>
      </c>
    </row>
    <row r="777" spans="1:2" x14ac:dyDescent="0.25">
      <c r="A777" t="s">
        <v>29</v>
      </c>
      <c r="B777">
        <v>23.8</v>
      </c>
    </row>
    <row r="778" spans="1:2" x14ac:dyDescent="0.25">
      <c r="A778" t="s">
        <v>30</v>
      </c>
      <c r="B778">
        <v>30</v>
      </c>
    </row>
    <row r="779" spans="1:2" x14ac:dyDescent="0.25">
      <c r="A779" t="s">
        <v>31</v>
      </c>
      <c r="B779">
        <v>18.489999999999998</v>
      </c>
    </row>
    <row r="780" spans="1:2" x14ac:dyDescent="0.25">
      <c r="A780" t="s">
        <v>32</v>
      </c>
      <c r="B780" t="s">
        <v>4</v>
      </c>
    </row>
    <row r="781" spans="1:2" x14ac:dyDescent="0.25">
      <c r="A781" t="s">
        <v>33</v>
      </c>
      <c r="B781" t="s">
        <v>4</v>
      </c>
    </row>
    <row r="782" spans="1:2" x14ac:dyDescent="0.25">
      <c r="A782" t="s">
        <v>34</v>
      </c>
      <c r="B782" t="s">
        <v>4</v>
      </c>
    </row>
    <row r="783" spans="1:2" x14ac:dyDescent="0.25">
      <c r="A783" t="s">
        <v>35</v>
      </c>
      <c r="B783" t="s">
        <v>4</v>
      </c>
    </row>
    <row r="784" spans="1:2" x14ac:dyDescent="0.25">
      <c r="A784" t="s">
        <v>36</v>
      </c>
      <c r="B784" t="s">
        <v>4</v>
      </c>
    </row>
    <row r="785" spans="1:2" x14ac:dyDescent="0.25">
      <c r="A785" t="s">
        <v>37</v>
      </c>
      <c r="B785" t="s">
        <v>4</v>
      </c>
    </row>
    <row r="786" spans="1:2" x14ac:dyDescent="0.25">
      <c r="A786" t="s">
        <v>38</v>
      </c>
      <c r="B786" t="s">
        <v>4</v>
      </c>
    </row>
    <row r="787" spans="1:2" x14ac:dyDescent="0.25">
      <c r="A787" t="s">
        <v>39</v>
      </c>
      <c r="B787" t="s">
        <v>4</v>
      </c>
    </row>
    <row r="788" spans="1:2" x14ac:dyDescent="0.25">
      <c r="A788" t="s">
        <v>40</v>
      </c>
      <c r="B788" t="s">
        <v>4</v>
      </c>
    </row>
    <row r="789" spans="1:2" x14ac:dyDescent="0.25">
      <c r="A789" t="s">
        <v>41</v>
      </c>
      <c r="B789" t="s">
        <v>4</v>
      </c>
    </row>
    <row r="790" spans="1:2" x14ac:dyDescent="0.25">
      <c r="A790" t="s">
        <v>42</v>
      </c>
      <c r="B790" t="s">
        <v>4</v>
      </c>
    </row>
    <row r="791" spans="1:2" x14ac:dyDescent="0.25">
      <c r="A791" t="s">
        <v>43</v>
      </c>
      <c r="B791" t="s">
        <v>4</v>
      </c>
    </row>
    <row r="792" spans="1:2" x14ac:dyDescent="0.25">
      <c r="A792" t="s">
        <v>44</v>
      </c>
      <c r="B792" t="s">
        <v>4</v>
      </c>
    </row>
    <row r="793" spans="1:2" x14ac:dyDescent="0.25">
      <c r="A793" t="s">
        <v>45</v>
      </c>
      <c r="B793" t="s">
        <v>4</v>
      </c>
    </row>
    <row r="794" spans="1:2" x14ac:dyDescent="0.25">
      <c r="A794" t="s">
        <v>46</v>
      </c>
      <c r="B794" t="s">
        <v>4</v>
      </c>
    </row>
    <row r="795" spans="1:2" x14ac:dyDescent="0.25">
      <c r="A795" t="s">
        <v>47</v>
      </c>
      <c r="B795" t="s">
        <v>4</v>
      </c>
    </row>
    <row r="796" spans="1:2" x14ac:dyDescent="0.25">
      <c r="A796" t="s">
        <v>48</v>
      </c>
      <c r="B796" t="s">
        <v>4</v>
      </c>
    </row>
    <row r="797" spans="1:2" x14ac:dyDescent="0.25">
      <c r="A797" t="s">
        <v>49</v>
      </c>
      <c r="B797" t="s">
        <v>4</v>
      </c>
    </row>
    <row r="798" spans="1:2" x14ac:dyDescent="0.25">
      <c r="A798" t="s">
        <v>50</v>
      </c>
      <c r="B798" t="s">
        <v>4</v>
      </c>
    </row>
    <row r="799" spans="1:2" x14ac:dyDescent="0.25">
      <c r="A799" t="s">
        <v>51</v>
      </c>
      <c r="B799" t="s">
        <v>4</v>
      </c>
    </row>
    <row r="800" spans="1:2" x14ac:dyDescent="0.25">
      <c r="A800" t="s">
        <v>52</v>
      </c>
      <c r="B800" t="s">
        <v>4</v>
      </c>
    </row>
    <row r="801" spans="1:2" x14ac:dyDescent="0.25">
      <c r="A801" t="s">
        <v>53</v>
      </c>
      <c r="B801" t="s">
        <v>4</v>
      </c>
    </row>
    <row r="802" spans="1:2" x14ac:dyDescent="0.25">
      <c r="A802" t="s">
        <v>54</v>
      </c>
      <c r="B802" t="s">
        <v>4</v>
      </c>
    </row>
    <row r="803" spans="1:2" x14ac:dyDescent="0.25">
      <c r="A803" t="s">
        <v>55</v>
      </c>
      <c r="B803" t="s">
        <v>4</v>
      </c>
    </row>
    <row r="804" spans="1:2" x14ac:dyDescent="0.25">
      <c r="A804" t="s">
        <v>56</v>
      </c>
      <c r="B804" t="s">
        <v>4</v>
      </c>
    </row>
    <row r="805" spans="1:2" x14ac:dyDescent="0.25">
      <c r="A805" t="s">
        <v>57</v>
      </c>
      <c r="B805" t="s">
        <v>4</v>
      </c>
    </row>
    <row r="806" spans="1:2" x14ac:dyDescent="0.25">
      <c r="A806" t="s">
        <v>58</v>
      </c>
      <c r="B806">
        <v>86.47</v>
      </c>
    </row>
    <row r="807" spans="1:2" x14ac:dyDescent="0.25">
      <c r="A807" t="s">
        <v>59</v>
      </c>
      <c r="B807" t="s">
        <v>4</v>
      </c>
    </row>
    <row r="808" spans="1:2" x14ac:dyDescent="0.25">
      <c r="A808" t="s">
        <v>60</v>
      </c>
      <c r="B808">
        <v>21.51</v>
      </c>
    </row>
    <row r="809" spans="1:2" x14ac:dyDescent="0.25">
      <c r="A809" t="s">
        <v>61</v>
      </c>
      <c r="B809" t="s">
        <v>4</v>
      </c>
    </row>
    <row r="810" spans="1:2" x14ac:dyDescent="0.25">
      <c r="A810" t="s">
        <v>62</v>
      </c>
      <c r="B810" t="s">
        <v>4</v>
      </c>
    </row>
    <row r="811" spans="1:2" x14ac:dyDescent="0.25">
      <c r="A811" t="s">
        <v>63</v>
      </c>
      <c r="B811" t="s">
        <v>4</v>
      </c>
    </row>
    <row r="812" spans="1:2" x14ac:dyDescent="0.25">
      <c r="A812" t="s">
        <v>64</v>
      </c>
      <c r="B812" t="s">
        <v>4</v>
      </c>
    </row>
    <row r="813" spans="1:2" x14ac:dyDescent="0.25">
      <c r="A813" t="s">
        <v>65</v>
      </c>
      <c r="B813" t="s">
        <v>4</v>
      </c>
    </row>
    <row r="814" spans="1:2" x14ac:dyDescent="0.25">
      <c r="A814" t="s">
        <v>66</v>
      </c>
      <c r="B814" t="s">
        <v>4</v>
      </c>
    </row>
    <row r="815" spans="1:2" x14ac:dyDescent="0.25">
      <c r="A815" t="s">
        <v>67</v>
      </c>
      <c r="B815" t="s">
        <v>4</v>
      </c>
    </row>
    <row r="816" spans="1:2" x14ac:dyDescent="0.25">
      <c r="A816" t="s">
        <v>68</v>
      </c>
      <c r="B816" t="s">
        <v>4</v>
      </c>
    </row>
    <row r="817" spans="1:2" x14ac:dyDescent="0.25">
      <c r="A817" t="s">
        <v>69</v>
      </c>
      <c r="B817" t="s">
        <v>4</v>
      </c>
    </row>
    <row r="818" spans="1:2" x14ac:dyDescent="0.25">
      <c r="A818" t="s">
        <v>70</v>
      </c>
      <c r="B818">
        <v>10.42</v>
      </c>
    </row>
    <row r="819" spans="1:2" x14ac:dyDescent="0.25">
      <c r="A819" t="s">
        <v>71</v>
      </c>
      <c r="B819" t="s">
        <v>4</v>
      </c>
    </row>
    <row r="820" spans="1:2" x14ac:dyDescent="0.25">
      <c r="A820" t="s">
        <v>72</v>
      </c>
      <c r="B820" t="s">
        <v>4</v>
      </c>
    </row>
    <row r="821" spans="1:2" x14ac:dyDescent="0.25">
      <c r="A821" t="s">
        <v>73</v>
      </c>
      <c r="B821" t="s">
        <v>4</v>
      </c>
    </row>
    <row r="822" spans="1:2" x14ac:dyDescent="0.25">
      <c r="A822" t="s">
        <v>74</v>
      </c>
      <c r="B822" t="s">
        <v>4</v>
      </c>
    </row>
    <row r="823" spans="1:2" x14ac:dyDescent="0.25">
      <c r="A823" t="s">
        <v>75</v>
      </c>
      <c r="B823" t="s">
        <v>4</v>
      </c>
    </row>
    <row r="824" spans="1:2" x14ac:dyDescent="0.25">
      <c r="A824" t="s">
        <v>76</v>
      </c>
      <c r="B824" t="s">
        <v>4</v>
      </c>
    </row>
    <row r="825" spans="1:2" x14ac:dyDescent="0.25">
      <c r="A825" t="s">
        <v>77</v>
      </c>
      <c r="B825" t="s">
        <v>4</v>
      </c>
    </row>
    <row r="826" spans="1:2" x14ac:dyDescent="0.25">
      <c r="A826" t="s">
        <v>78</v>
      </c>
      <c r="B826" t="s">
        <v>4</v>
      </c>
    </row>
    <row r="827" spans="1:2" x14ac:dyDescent="0.25">
      <c r="A827" t="s">
        <v>79</v>
      </c>
      <c r="B827" t="s">
        <v>4</v>
      </c>
    </row>
    <row r="828" spans="1:2" x14ac:dyDescent="0.25">
      <c r="A828" t="s">
        <v>80</v>
      </c>
      <c r="B828" t="s">
        <v>4</v>
      </c>
    </row>
    <row r="829" spans="1:2" x14ac:dyDescent="0.25">
      <c r="A829" t="s">
        <v>81</v>
      </c>
      <c r="B829" t="s">
        <v>4</v>
      </c>
    </row>
    <row r="832" spans="1:2" x14ac:dyDescent="0.25">
      <c r="A832" t="s">
        <v>0</v>
      </c>
      <c r="B832" t="s">
        <v>89</v>
      </c>
    </row>
    <row r="834" spans="1:2" s="1" customFormat="1" x14ac:dyDescent="0.25">
      <c r="A834" s="1" t="s">
        <v>2</v>
      </c>
      <c r="B834" s="1" t="s">
        <v>157</v>
      </c>
    </row>
    <row r="835" spans="1:2" x14ac:dyDescent="0.25">
      <c r="A835" t="s">
        <v>3</v>
      </c>
      <c r="B835" t="s">
        <v>4</v>
      </c>
    </row>
    <row r="836" spans="1:2" x14ac:dyDescent="0.25">
      <c r="A836" t="s">
        <v>5</v>
      </c>
      <c r="B836" t="s">
        <v>4</v>
      </c>
    </row>
    <row r="837" spans="1:2" x14ac:dyDescent="0.25">
      <c r="A837" t="s">
        <v>6</v>
      </c>
      <c r="B837" t="s">
        <v>4</v>
      </c>
    </row>
    <row r="838" spans="1:2" x14ac:dyDescent="0.25">
      <c r="A838" t="s">
        <v>7</v>
      </c>
      <c r="B838">
        <v>2.79</v>
      </c>
    </row>
    <row r="839" spans="1:2" x14ac:dyDescent="0.25">
      <c r="A839" t="s">
        <v>8</v>
      </c>
      <c r="B839">
        <v>9.5</v>
      </c>
    </row>
    <row r="840" spans="1:2" x14ac:dyDescent="0.25">
      <c r="A840" t="s">
        <v>9</v>
      </c>
      <c r="B840">
        <v>1.18</v>
      </c>
    </row>
    <row r="841" spans="1:2" x14ac:dyDescent="0.25">
      <c r="A841" t="s">
        <v>10</v>
      </c>
      <c r="B841">
        <v>1.19</v>
      </c>
    </row>
    <row r="842" spans="1:2" x14ac:dyDescent="0.25">
      <c r="A842" t="s">
        <v>11</v>
      </c>
      <c r="B842">
        <v>0.47</v>
      </c>
    </row>
    <row r="843" spans="1:2" x14ac:dyDescent="0.25">
      <c r="A843" t="s">
        <v>12</v>
      </c>
      <c r="B843">
        <v>0.18</v>
      </c>
    </row>
    <row r="844" spans="1:2" x14ac:dyDescent="0.25">
      <c r="A844" t="s">
        <v>13</v>
      </c>
      <c r="B844">
        <v>1.42</v>
      </c>
    </row>
    <row r="845" spans="1:2" x14ac:dyDescent="0.25">
      <c r="A845" t="s">
        <v>14</v>
      </c>
      <c r="B845">
        <v>2.2799999999999998</v>
      </c>
    </row>
    <row r="846" spans="1:2" x14ac:dyDescent="0.25">
      <c r="A846" t="s">
        <v>15</v>
      </c>
      <c r="B846">
        <v>4.26</v>
      </c>
    </row>
    <row r="847" spans="1:2" x14ac:dyDescent="0.25">
      <c r="A847" t="s">
        <v>16</v>
      </c>
      <c r="B847">
        <v>2.5099999999999998</v>
      </c>
    </row>
    <row r="848" spans="1:2" x14ac:dyDescent="0.25">
      <c r="A848" t="s">
        <v>17</v>
      </c>
      <c r="B848">
        <v>3.68</v>
      </c>
    </row>
    <row r="849" spans="1:2" x14ac:dyDescent="0.25">
      <c r="A849" t="s">
        <v>18</v>
      </c>
      <c r="B849">
        <v>1.73</v>
      </c>
    </row>
    <row r="850" spans="1:2" x14ac:dyDescent="0.25">
      <c r="A850" t="s">
        <v>19</v>
      </c>
      <c r="B850">
        <v>0.74</v>
      </c>
    </row>
    <row r="851" spans="1:2" x14ac:dyDescent="0.25">
      <c r="A851" t="s">
        <v>20</v>
      </c>
      <c r="B851">
        <v>1.21</v>
      </c>
    </row>
    <row r="852" spans="1:2" x14ac:dyDescent="0.25">
      <c r="A852" t="s">
        <v>21</v>
      </c>
      <c r="B852">
        <v>1.55</v>
      </c>
    </row>
    <row r="853" spans="1:2" x14ac:dyDescent="0.25">
      <c r="A853" t="s">
        <v>22</v>
      </c>
      <c r="B853">
        <v>1.53</v>
      </c>
    </row>
    <row r="854" spans="1:2" x14ac:dyDescent="0.25">
      <c r="A854" t="s">
        <v>23</v>
      </c>
      <c r="B854">
        <v>1.81</v>
      </c>
    </row>
    <row r="855" spans="1:2" x14ac:dyDescent="0.25">
      <c r="A855" t="s">
        <v>24</v>
      </c>
      <c r="B855">
        <v>1.26</v>
      </c>
    </row>
    <row r="856" spans="1:2" x14ac:dyDescent="0.25">
      <c r="A856" t="s">
        <v>25</v>
      </c>
      <c r="B856">
        <v>1.57</v>
      </c>
    </row>
    <row r="857" spans="1:2" x14ac:dyDescent="0.25">
      <c r="A857" t="s">
        <v>26</v>
      </c>
      <c r="B857">
        <v>2.86</v>
      </c>
    </row>
    <row r="858" spans="1:2" x14ac:dyDescent="0.25">
      <c r="A858" t="s">
        <v>27</v>
      </c>
      <c r="B858">
        <v>2.4300000000000002</v>
      </c>
    </row>
    <row r="859" spans="1:2" x14ac:dyDescent="0.25">
      <c r="A859" t="s">
        <v>28</v>
      </c>
      <c r="B859">
        <v>3.63</v>
      </c>
    </row>
    <row r="860" spans="1:2" x14ac:dyDescent="0.25">
      <c r="A860" t="s">
        <v>29</v>
      </c>
      <c r="B860">
        <v>5.04</v>
      </c>
    </row>
    <row r="861" spans="1:2" x14ac:dyDescent="0.25">
      <c r="A861" t="s">
        <v>30</v>
      </c>
      <c r="B861">
        <v>1.5</v>
      </c>
    </row>
    <row r="862" spans="1:2" x14ac:dyDescent="0.25">
      <c r="A862" t="s">
        <v>31</v>
      </c>
      <c r="B862">
        <v>2.2799999999999998</v>
      </c>
    </row>
    <row r="863" spans="1:2" x14ac:dyDescent="0.25">
      <c r="A863" t="s">
        <v>32</v>
      </c>
      <c r="B863">
        <v>0.36</v>
      </c>
    </row>
    <row r="864" spans="1:2" x14ac:dyDescent="0.25">
      <c r="A864" t="s">
        <v>33</v>
      </c>
      <c r="B864">
        <v>1.52</v>
      </c>
    </row>
    <row r="865" spans="1:2" x14ac:dyDescent="0.25">
      <c r="A865" t="s">
        <v>34</v>
      </c>
      <c r="B865">
        <v>1.1299999999999999</v>
      </c>
    </row>
    <row r="866" spans="1:2" x14ac:dyDescent="0.25">
      <c r="A866" t="s">
        <v>35</v>
      </c>
      <c r="B866" t="s">
        <v>4</v>
      </c>
    </row>
    <row r="867" spans="1:2" x14ac:dyDescent="0.25">
      <c r="A867" t="s">
        <v>36</v>
      </c>
      <c r="B867" t="s">
        <v>4</v>
      </c>
    </row>
    <row r="868" spans="1:2" x14ac:dyDescent="0.25">
      <c r="A868" t="s">
        <v>37</v>
      </c>
      <c r="B868">
        <v>1.85</v>
      </c>
    </row>
    <row r="869" spans="1:2" x14ac:dyDescent="0.25">
      <c r="A869" t="s">
        <v>38</v>
      </c>
      <c r="B869">
        <v>0.76</v>
      </c>
    </row>
    <row r="870" spans="1:2" x14ac:dyDescent="0.25">
      <c r="A870" t="s">
        <v>39</v>
      </c>
      <c r="B870" t="s">
        <v>4</v>
      </c>
    </row>
    <row r="871" spans="1:2" x14ac:dyDescent="0.25">
      <c r="A871" t="s">
        <v>40</v>
      </c>
      <c r="B871" t="s">
        <v>4</v>
      </c>
    </row>
    <row r="872" spans="1:2" x14ac:dyDescent="0.25">
      <c r="A872" t="s">
        <v>41</v>
      </c>
      <c r="B872">
        <v>1.33</v>
      </c>
    </row>
    <row r="873" spans="1:2" x14ac:dyDescent="0.25">
      <c r="A873" t="s">
        <v>42</v>
      </c>
      <c r="B873">
        <v>1.26</v>
      </c>
    </row>
    <row r="874" spans="1:2" x14ac:dyDescent="0.25">
      <c r="A874" t="s">
        <v>43</v>
      </c>
      <c r="B874">
        <v>0.74</v>
      </c>
    </row>
    <row r="875" spans="1:2" x14ac:dyDescent="0.25">
      <c r="A875" t="s">
        <v>44</v>
      </c>
      <c r="B875" t="s">
        <v>4</v>
      </c>
    </row>
    <row r="876" spans="1:2" x14ac:dyDescent="0.25">
      <c r="A876" t="s">
        <v>45</v>
      </c>
      <c r="B876">
        <v>1.46</v>
      </c>
    </row>
    <row r="877" spans="1:2" x14ac:dyDescent="0.25">
      <c r="A877" t="s">
        <v>46</v>
      </c>
      <c r="B877">
        <v>1.46</v>
      </c>
    </row>
    <row r="878" spans="1:2" x14ac:dyDescent="0.25">
      <c r="A878" t="s">
        <v>47</v>
      </c>
      <c r="B878">
        <v>1.56</v>
      </c>
    </row>
    <row r="879" spans="1:2" x14ac:dyDescent="0.25">
      <c r="A879" t="s">
        <v>48</v>
      </c>
      <c r="B879" t="s">
        <v>4</v>
      </c>
    </row>
    <row r="880" spans="1:2" x14ac:dyDescent="0.25">
      <c r="A880" t="s">
        <v>49</v>
      </c>
      <c r="B880">
        <v>1.42</v>
      </c>
    </row>
    <row r="881" spans="1:2" x14ac:dyDescent="0.25">
      <c r="A881" t="s">
        <v>50</v>
      </c>
      <c r="B881">
        <v>1.19</v>
      </c>
    </row>
    <row r="882" spans="1:2" x14ac:dyDescent="0.25">
      <c r="A882" t="s">
        <v>51</v>
      </c>
      <c r="B882">
        <v>0.56000000000000005</v>
      </c>
    </row>
    <row r="883" spans="1:2" x14ac:dyDescent="0.25">
      <c r="A883" t="s">
        <v>52</v>
      </c>
      <c r="B883" t="s">
        <v>4</v>
      </c>
    </row>
    <row r="884" spans="1:2" x14ac:dyDescent="0.25">
      <c r="A884" t="s">
        <v>53</v>
      </c>
      <c r="B884">
        <v>11.52</v>
      </c>
    </row>
    <row r="885" spans="1:2" x14ac:dyDescent="0.25">
      <c r="A885" t="s">
        <v>54</v>
      </c>
      <c r="B885">
        <v>5.92</v>
      </c>
    </row>
    <row r="886" spans="1:2" x14ac:dyDescent="0.25">
      <c r="A886" t="s">
        <v>55</v>
      </c>
      <c r="B886">
        <v>7.68</v>
      </c>
    </row>
    <row r="887" spans="1:2" x14ac:dyDescent="0.25">
      <c r="A887" t="s">
        <v>56</v>
      </c>
      <c r="B887" t="s">
        <v>4</v>
      </c>
    </row>
    <row r="888" spans="1:2" x14ac:dyDescent="0.25">
      <c r="A888" t="s">
        <v>57</v>
      </c>
      <c r="B888" t="s">
        <v>4</v>
      </c>
    </row>
    <row r="889" spans="1:2" x14ac:dyDescent="0.25">
      <c r="A889" t="s">
        <v>58</v>
      </c>
      <c r="B889">
        <v>0.63</v>
      </c>
    </row>
    <row r="890" spans="1:2" x14ac:dyDescent="0.25">
      <c r="A890" t="s">
        <v>59</v>
      </c>
      <c r="B890">
        <v>4.01</v>
      </c>
    </row>
    <row r="891" spans="1:2" x14ac:dyDescent="0.25">
      <c r="A891" t="s">
        <v>60</v>
      </c>
      <c r="B891">
        <v>19.78</v>
      </c>
    </row>
    <row r="892" spans="1:2" x14ac:dyDescent="0.25">
      <c r="A892" t="s">
        <v>61</v>
      </c>
      <c r="B892">
        <v>95.71</v>
      </c>
    </row>
    <row r="893" spans="1:2" x14ac:dyDescent="0.25">
      <c r="A893" t="s">
        <v>62</v>
      </c>
      <c r="B893">
        <v>45.06</v>
      </c>
    </row>
    <row r="894" spans="1:2" x14ac:dyDescent="0.25">
      <c r="A894" t="s">
        <v>63</v>
      </c>
      <c r="B894">
        <v>30.28</v>
      </c>
    </row>
    <row r="895" spans="1:2" x14ac:dyDescent="0.25">
      <c r="A895" t="s">
        <v>64</v>
      </c>
      <c r="B895">
        <v>23.05</v>
      </c>
    </row>
    <row r="896" spans="1:2" x14ac:dyDescent="0.25">
      <c r="A896" t="s">
        <v>65</v>
      </c>
      <c r="B896">
        <v>4.55</v>
      </c>
    </row>
    <row r="897" spans="1:2" x14ac:dyDescent="0.25">
      <c r="A897" t="s">
        <v>66</v>
      </c>
      <c r="B897">
        <v>1.7</v>
      </c>
    </row>
    <row r="898" spans="1:2" x14ac:dyDescent="0.25">
      <c r="A898" t="s">
        <v>67</v>
      </c>
      <c r="B898">
        <v>7.87</v>
      </c>
    </row>
    <row r="899" spans="1:2" x14ac:dyDescent="0.25">
      <c r="A899" t="s">
        <v>68</v>
      </c>
      <c r="B899">
        <v>2.19</v>
      </c>
    </row>
    <row r="900" spans="1:2" x14ac:dyDescent="0.25">
      <c r="A900" t="s">
        <v>69</v>
      </c>
      <c r="B900">
        <v>0.66</v>
      </c>
    </row>
    <row r="901" spans="1:2" x14ac:dyDescent="0.25">
      <c r="A901" t="s">
        <v>70</v>
      </c>
      <c r="B901">
        <v>20.079999999999998</v>
      </c>
    </row>
    <row r="902" spans="1:2" x14ac:dyDescent="0.25">
      <c r="A902" t="s">
        <v>71</v>
      </c>
      <c r="B902">
        <v>17.8</v>
      </c>
    </row>
    <row r="903" spans="1:2" x14ac:dyDescent="0.25">
      <c r="A903" t="s">
        <v>72</v>
      </c>
      <c r="B903">
        <v>12.54</v>
      </c>
    </row>
    <row r="904" spans="1:2" x14ac:dyDescent="0.25">
      <c r="A904" t="s">
        <v>73</v>
      </c>
      <c r="B904">
        <v>0.9</v>
      </c>
    </row>
    <row r="905" spans="1:2" x14ac:dyDescent="0.25">
      <c r="A905" t="s">
        <v>74</v>
      </c>
      <c r="B905">
        <v>16.5</v>
      </c>
    </row>
    <row r="906" spans="1:2" x14ac:dyDescent="0.25">
      <c r="A906" t="s">
        <v>75</v>
      </c>
      <c r="B906">
        <v>31.11</v>
      </c>
    </row>
    <row r="907" spans="1:2" x14ac:dyDescent="0.25">
      <c r="A907" t="s">
        <v>76</v>
      </c>
      <c r="B907">
        <v>12.85</v>
      </c>
    </row>
    <row r="908" spans="1:2" x14ac:dyDescent="0.25">
      <c r="A908" t="s">
        <v>77</v>
      </c>
      <c r="B908">
        <v>17.11</v>
      </c>
    </row>
    <row r="909" spans="1:2" x14ac:dyDescent="0.25">
      <c r="A909" t="s">
        <v>78</v>
      </c>
      <c r="B909" t="s">
        <v>4</v>
      </c>
    </row>
    <row r="910" spans="1:2" x14ac:dyDescent="0.25">
      <c r="A910" t="s">
        <v>79</v>
      </c>
      <c r="B910" t="s">
        <v>4</v>
      </c>
    </row>
    <row r="911" spans="1:2" x14ac:dyDescent="0.25">
      <c r="A911" t="s">
        <v>80</v>
      </c>
      <c r="B911">
        <v>1.04</v>
      </c>
    </row>
    <row r="912" spans="1:2" x14ac:dyDescent="0.25">
      <c r="A912" t="s">
        <v>81</v>
      </c>
      <c r="B912">
        <v>1.32</v>
      </c>
    </row>
    <row r="915" spans="1:2" x14ac:dyDescent="0.25">
      <c r="A915" t="s">
        <v>0</v>
      </c>
      <c r="B915" t="s">
        <v>90</v>
      </c>
    </row>
    <row r="917" spans="1:2" s="1" customFormat="1" x14ac:dyDescent="0.25">
      <c r="A917" s="1" t="s">
        <v>2</v>
      </c>
      <c r="B917" s="1" t="s">
        <v>157</v>
      </c>
    </row>
    <row r="918" spans="1:2" x14ac:dyDescent="0.25">
      <c r="A918" t="s">
        <v>3</v>
      </c>
      <c r="B918" t="s">
        <v>4</v>
      </c>
    </row>
    <row r="919" spans="1:2" x14ac:dyDescent="0.25">
      <c r="A919" t="s">
        <v>5</v>
      </c>
      <c r="B919" t="s">
        <v>4</v>
      </c>
    </row>
    <row r="920" spans="1:2" x14ac:dyDescent="0.25">
      <c r="A920" t="s">
        <v>6</v>
      </c>
      <c r="B920" t="s">
        <v>4</v>
      </c>
    </row>
    <row r="921" spans="1:2" x14ac:dyDescent="0.25">
      <c r="A921" t="s">
        <v>7</v>
      </c>
      <c r="B921" t="s">
        <v>4</v>
      </c>
    </row>
    <row r="922" spans="1:2" x14ac:dyDescent="0.25">
      <c r="A922" t="s">
        <v>8</v>
      </c>
      <c r="B922" t="s">
        <v>4</v>
      </c>
    </row>
    <row r="923" spans="1:2" x14ac:dyDescent="0.25">
      <c r="A923" t="s">
        <v>9</v>
      </c>
      <c r="B923" t="s">
        <v>4</v>
      </c>
    </row>
    <row r="924" spans="1:2" x14ac:dyDescent="0.25">
      <c r="A924" t="s">
        <v>10</v>
      </c>
      <c r="B924" t="s">
        <v>4</v>
      </c>
    </row>
    <row r="925" spans="1:2" x14ac:dyDescent="0.25">
      <c r="A925" t="s">
        <v>11</v>
      </c>
      <c r="B925" t="s">
        <v>4</v>
      </c>
    </row>
    <row r="926" spans="1:2" x14ac:dyDescent="0.25">
      <c r="A926" t="s">
        <v>12</v>
      </c>
      <c r="B926" t="s">
        <v>4</v>
      </c>
    </row>
    <row r="927" spans="1:2" x14ac:dyDescent="0.25">
      <c r="A927" t="s">
        <v>13</v>
      </c>
      <c r="B927" t="s">
        <v>4</v>
      </c>
    </row>
    <row r="928" spans="1:2" x14ac:dyDescent="0.25">
      <c r="A928" t="s">
        <v>14</v>
      </c>
      <c r="B928" t="s">
        <v>4</v>
      </c>
    </row>
    <row r="929" spans="1:2" x14ac:dyDescent="0.25">
      <c r="A929" t="s">
        <v>15</v>
      </c>
      <c r="B929" t="s">
        <v>4</v>
      </c>
    </row>
    <row r="930" spans="1:2" x14ac:dyDescent="0.25">
      <c r="A930" t="s">
        <v>16</v>
      </c>
      <c r="B930" t="s">
        <v>4</v>
      </c>
    </row>
    <row r="931" spans="1:2" x14ac:dyDescent="0.25">
      <c r="A931" t="s">
        <v>17</v>
      </c>
      <c r="B931" t="s">
        <v>4</v>
      </c>
    </row>
    <row r="932" spans="1:2" x14ac:dyDescent="0.25">
      <c r="A932" t="s">
        <v>18</v>
      </c>
      <c r="B932">
        <v>7.8</v>
      </c>
    </row>
    <row r="933" spans="1:2" x14ac:dyDescent="0.25">
      <c r="A933" t="s">
        <v>19</v>
      </c>
      <c r="B933" t="s">
        <v>4</v>
      </c>
    </row>
    <row r="934" spans="1:2" x14ac:dyDescent="0.25">
      <c r="A934" t="s">
        <v>20</v>
      </c>
      <c r="B934">
        <v>21.61</v>
      </c>
    </row>
    <row r="935" spans="1:2" x14ac:dyDescent="0.25">
      <c r="A935" t="s">
        <v>21</v>
      </c>
      <c r="B935" t="s">
        <v>4</v>
      </c>
    </row>
    <row r="936" spans="1:2" x14ac:dyDescent="0.25">
      <c r="A936" t="s">
        <v>22</v>
      </c>
      <c r="B936" t="s">
        <v>4</v>
      </c>
    </row>
    <row r="937" spans="1:2" x14ac:dyDescent="0.25">
      <c r="A937" t="s">
        <v>23</v>
      </c>
      <c r="B937" t="s">
        <v>4</v>
      </c>
    </row>
    <row r="938" spans="1:2" x14ac:dyDescent="0.25">
      <c r="A938" t="s">
        <v>24</v>
      </c>
      <c r="B938" t="s">
        <v>4</v>
      </c>
    </row>
    <row r="939" spans="1:2" x14ac:dyDescent="0.25">
      <c r="A939" t="s">
        <v>25</v>
      </c>
      <c r="B939" t="s">
        <v>4</v>
      </c>
    </row>
    <row r="940" spans="1:2" x14ac:dyDescent="0.25">
      <c r="A940" t="s">
        <v>26</v>
      </c>
      <c r="B940" t="s">
        <v>4</v>
      </c>
    </row>
    <row r="941" spans="1:2" x14ac:dyDescent="0.25">
      <c r="A941" t="s">
        <v>27</v>
      </c>
      <c r="B941" t="s">
        <v>4</v>
      </c>
    </row>
    <row r="942" spans="1:2" x14ac:dyDescent="0.25">
      <c r="A942" t="s">
        <v>28</v>
      </c>
      <c r="B942" t="s">
        <v>4</v>
      </c>
    </row>
    <row r="943" spans="1:2" x14ac:dyDescent="0.25">
      <c r="A943" t="s">
        <v>29</v>
      </c>
      <c r="B943" t="s">
        <v>4</v>
      </c>
    </row>
    <row r="944" spans="1:2" x14ac:dyDescent="0.25">
      <c r="A944" t="s">
        <v>30</v>
      </c>
      <c r="B944" t="s">
        <v>4</v>
      </c>
    </row>
    <row r="945" spans="1:2" x14ac:dyDescent="0.25">
      <c r="A945" t="s">
        <v>31</v>
      </c>
      <c r="B945">
        <v>14.06</v>
      </c>
    </row>
    <row r="946" spans="1:2" x14ac:dyDescent="0.25">
      <c r="A946" t="s">
        <v>32</v>
      </c>
      <c r="B946" t="s">
        <v>4</v>
      </c>
    </row>
    <row r="947" spans="1:2" x14ac:dyDescent="0.25">
      <c r="A947" t="s">
        <v>33</v>
      </c>
      <c r="B947" t="s">
        <v>4</v>
      </c>
    </row>
    <row r="948" spans="1:2" x14ac:dyDescent="0.25">
      <c r="A948" t="s">
        <v>34</v>
      </c>
      <c r="B948" t="s">
        <v>4</v>
      </c>
    </row>
    <row r="949" spans="1:2" x14ac:dyDescent="0.25">
      <c r="A949" t="s">
        <v>35</v>
      </c>
      <c r="B949" t="s">
        <v>4</v>
      </c>
    </row>
    <row r="950" spans="1:2" x14ac:dyDescent="0.25">
      <c r="A950" t="s">
        <v>36</v>
      </c>
      <c r="B950" t="s">
        <v>4</v>
      </c>
    </row>
    <row r="951" spans="1:2" x14ac:dyDescent="0.25">
      <c r="A951" t="s">
        <v>37</v>
      </c>
      <c r="B951" t="s">
        <v>4</v>
      </c>
    </row>
    <row r="952" spans="1:2" x14ac:dyDescent="0.25">
      <c r="A952" t="s">
        <v>38</v>
      </c>
      <c r="B952" t="s">
        <v>4</v>
      </c>
    </row>
    <row r="953" spans="1:2" x14ac:dyDescent="0.25">
      <c r="A953" t="s">
        <v>39</v>
      </c>
      <c r="B953" t="s">
        <v>4</v>
      </c>
    </row>
    <row r="954" spans="1:2" x14ac:dyDescent="0.25">
      <c r="A954" t="s">
        <v>40</v>
      </c>
      <c r="B954" t="s">
        <v>4</v>
      </c>
    </row>
    <row r="955" spans="1:2" x14ac:dyDescent="0.25">
      <c r="A955" t="s">
        <v>41</v>
      </c>
      <c r="B955" t="s">
        <v>4</v>
      </c>
    </row>
    <row r="956" spans="1:2" x14ac:dyDescent="0.25">
      <c r="A956" t="s">
        <v>42</v>
      </c>
      <c r="B956" t="s">
        <v>4</v>
      </c>
    </row>
    <row r="957" spans="1:2" x14ac:dyDescent="0.25">
      <c r="A957" t="s">
        <v>43</v>
      </c>
      <c r="B957" t="s">
        <v>4</v>
      </c>
    </row>
    <row r="958" spans="1:2" x14ac:dyDescent="0.25">
      <c r="A958" t="s">
        <v>44</v>
      </c>
      <c r="B958" t="s">
        <v>4</v>
      </c>
    </row>
    <row r="959" spans="1:2" x14ac:dyDescent="0.25">
      <c r="A959" t="s">
        <v>45</v>
      </c>
      <c r="B959" t="s">
        <v>4</v>
      </c>
    </row>
    <row r="960" spans="1:2" x14ac:dyDescent="0.25">
      <c r="A960" t="s">
        <v>46</v>
      </c>
      <c r="B960" t="s">
        <v>4</v>
      </c>
    </row>
    <row r="961" spans="1:2" x14ac:dyDescent="0.25">
      <c r="A961" t="s">
        <v>47</v>
      </c>
      <c r="B961" t="s">
        <v>4</v>
      </c>
    </row>
    <row r="962" spans="1:2" x14ac:dyDescent="0.25">
      <c r="A962" t="s">
        <v>48</v>
      </c>
      <c r="B962" t="s">
        <v>4</v>
      </c>
    </row>
    <row r="963" spans="1:2" x14ac:dyDescent="0.25">
      <c r="A963" t="s">
        <v>49</v>
      </c>
      <c r="B963" t="s">
        <v>4</v>
      </c>
    </row>
    <row r="964" spans="1:2" x14ac:dyDescent="0.25">
      <c r="A964" t="s">
        <v>50</v>
      </c>
      <c r="B964" t="s">
        <v>4</v>
      </c>
    </row>
    <row r="965" spans="1:2" x14ac:dyDescent="0.25">
      <c r="A965" t="s">
        <v>51</v>
      </c>
      <c r="B965" t="s">
        <v>4</v>
      </c>
    </row>
    <row r="966" spans="1:2" x14ac:dyDescent="0.25">
      <c r="A966" t="s">
        <v>52</v>
      </c>
      <c r="B966" t="s">
        <v>4</v>
      </c>
    </row>
    <row r="967" spans="1:2" x14ac:dyDescent="0.25">
      <c r="A967" t="s">
        <v>53</v>
      </c>
      <c r="B967">
        <v>57.3</v>
      </c>
    </row>
    <row r="968" spans="1:2" x14ac:dyDescent="0.25">
      <c r="A968" t="s">
        <v>54</v>
      </c>
      <c r="B968">
        <v>8.93</v>
      </c>
    </row>
    <row r="969" spans="1:2" x14ac:dyDescent="0.25">
      <c r="A969" t="s">
        <v>55</v>
      </c>
      <c r="B969">
        <v>284.19</v>
      </c>
    </row>
    <row r="970" spans="1:2" x14ac:dyDescent="0.25">
      <c r="A970" t="s">
        <v>56</v>
      </c>
      <c r="B970" t="s">
        <v>4</v>
      </c>
    </row>
    <row r="971" spans="1:2" x14ac:dyDescent="0.25">
      <c r="A971" t="s">
        <v>57</v>
      </c>
      <c r="B971" t="s">
        <v>4</v>
      </c>
    </row>
    <row r="972" spans="1:2" x14ac:dyDescent="0.25">
      <c r="A972" t="s">
        <v>58</v>
      </c>
      <c r="B972" t="s">
        <v>4</v>
      </c>
    </row>
    <row r="973" spans="1:2" x14ac:dyDescent="0.25">
      <c r="A973" t="s">
        <v>59</v>
      </c>
      <c r="B973">
        <v>199.59</v>
      </c>
    </row>
    <row r="974" spans="1:2" x14ac:dyDescent="0.25">
      <c r="A974" t="s">
        <v>60</v>
      </c>
      <c r="B974">
        <v>94.39</v>
      </c>
    </row>
    <row r="975" spans="1:2" x14ac:dyDescent="0.25">
      <c r="A975" t="s">
        <v>61</v>
      </c>
      <c r="B975">
        <v>69.83</v>
      </c>
    </row>
    <row r="976" spans="1:2" x14ac:dyDescent="0.25">
      <c r="A976" t="s">
        <v>62</v>
      </c>
      <c r="B976">
        <v>55</v>
      </c>
    </row>
    <row r="977" spans="1:2" x14ac:dyDescent="0.25">
      <c r="A977" t="s">
        <v>63</v>
      </c>
      <c r="B977">
        <v>57.48</v>
      </c>
    </row>
    <row r="978" spans="1:2" x14ac:dyDescent="0.25">
      <c r="A978" t="s">
        <v>64</v>
      </c>
      <c r="B978">
        <v>89.41</v>
      </c>
    </row>
    <row r="979" spans="1:2" x14ac:dyDescent="0.25">
      <c r="A979" t="s">
        <v>65</v>
      </c>
      <c r="B979" t="s">
        <v>4</v>
      </c>
    </row>
    <row r="980" spans="1:2" x14ac:dyDescent="0.25">
      <c r="A980" t="s">
        <v>66</v>
      </c>
      <c r="B980" t="s">
        <v>4</v>
      </c>
    </row>
    <row r="981" spans="1:2" x14ac:dyDescent="0.25">
      <c r="A981" t="s">
        <v>67</v>
      </c>
      <c r="B981" t="s">
        <v>4</v>
      </c>
    </row>
    <row r="982" spans="1:2" x14ac:dyDescent="0.25">
      <c r="A982" t="s">
        <v>68</v>
      </c>
      <c r="B982">
        <v>122.34</v>
      </c>
    </row>
    <row r="983" spans="1:2" x14ac:dyDescent="0.25">
      <c r="A983" t="s">
        <v>69</v>
      </c>
      <c r="B983" t="s">
        <v>4</v>
      </c>
    </row>
    <row r="984" spans="1:2" x14ac:dyDescent="0.25">
      <c r="A984" t="s">
        <v>70</v>
      </c>
      <c r="B984">
        <v>101.81</v>
      </c>
    </row>
    <row r="985" spans="1:2" x14ac:dyDescent="0.25">
      <c r="A985" t="s">
        <v>71</v>
      </c>
      <c r="B985">
        <v>190.01</v>
      </c>
    </row>
    <row r="986" spans="1:2" x14ac:dyDescent="0.25">
      <c r="A986" t="s">
        <v>72</v>
      </c>
      <c r="B986">
        <v>125.79</v>
      </c>
    </row>
    <row r="987" spans="1:2" x14ac:dyDescent="0.25">
      <c r="A987" t="s">
        <v>73</v>
      </c>
      <c r="B987">
        <v>3.69</v>
      </c>
    </row>
    <row r="988" spans="1:2" x14ac:dyDescent="0.25">
      <c r="A988" t="s">
        <v>74</v>
      </c>
      <c r="B988">
        <v>168.56</v>
      </c>
    </row>
    <row r="989" spans="1:2" x14ac:dyDescent="0.25">
      <c r="A989" t="s">
        <v>75</v>
      </c>
      <c r="B989">
        <v>97.85</v>
      </c>
    </row>
    <row r="990" spans="1:2" x14ac:dyDescent="0.25">
      <c r="A990" t="s">
        <v>76</v>
      </c>
      <c r="B990">
        <v>151.19</v>
      </c>
    </row>
    <row r="991" spans="1:2" x14ac:dyDescent="0.25">
      <c r="A991" t="s">
        <v>77</v>
      </c>
      <c r="B991">
        <v>114.39</v>
      </c>
    </row>
    <row r="992" spans="1:2" x14ac:dyDescent="0.25">
      <c r="A992" t="s">
        <v>78</v>
      </c>
      <c r="B992" t="s">
        <v>4</v>
      </c>
    </row>
    <row r="993" spans="1:2" x14ac:dyDescent="0.25">
      <c r="A993" t="s">
        <v>79</v>
      </c>
      <c r="B993" t="s">
        <v>4</v>
      </c>
    </row>
    <row r="994" spans="1:2" x14ac:dyDescent="0.25">
      <c r="A994" t="s">
        <v>80</v>
      </c>
      <c r="B994" t="s">
        <v>4</v>
      </c>
    </row>
    <row r="995" spans="1:2" x14ac:dyDescent="0.25">
      <c r="A995" t="s">
        <v>81</v>
      </c>
      <c r="B995" t="s">
        <v>4</v>
      </c>
    </row>
    <row r="998" spans="1:2" x14ac:dyDescent="0.25">
      <c r="A998" t="s">
        <v>0</v>
      </c>
      <c r="B998" t="s">
        <v>91</v>
      </c>
    </row>
    <row r="1000" spans="1:2" s="1" customFormat="1" x14ac:dyDescent="0.25">
      <c r="A1000" s="1" t="s">
        <v>2</v>
      </c>
      <c r="B1000" s="1" t="s">
        <v>157</v>
      </c>
    </row>
    <row r="1001" spans="1:2" x14ac:dyDescent="0.25">
      <c r="A1001" t="s">
        <v>3</v>
      </c>
      <c r="B1001" t="s">
        <v>4</v>
      </c>
    </row>
    <row r="1002" spans="1:2" x14ac:dyDescent="0.25">
      <c r="A1002" t="s">
        <v>5</v>
      </c>
      <c r="B1002" t="s">
        <v>4</v>
      </c>
    </row>
    <row r="1003" spans="1:2" x14ac:dyDescent="0.25">
      <c r="A1003" t="s">
        <v>6</v>
      </c>
      <c r="B1003" t="s">
        <v>4</v>
      </c>
    </row>
    <row r="1004" spans="1:2" x14ac:dyDescent="0.25">
      <c r="A1004" t="s">
        <v>7</v>
      </c>
      <c r="B1004">
        <v>29.23</v>
      </c>
    </row>
    <row r="1005" spans="1:2" x14ac:dyDescent="0.25">
      <c r="A1005" t="s">
        <v>8</v>
      </c>
      <c r="B1005">
        <v>134.44</v>
      </c>
    </row>
    <row r="1006" spans="1:2" x14ac:dyDescent="0.25">
      <c r="A1006" t="s">
        <v>9</v>
      </c>
      <c r="B1006">
        <v>82.04</v>
      </c>
    </row>
    <row r="1007" spans="1:2" x14ac:dyDescent="0.25">
      <c r="A1007" t="s">
        <v>10</v>
      </c>
      <c r="B1007">
        <v>130.22999999999999</v>
      </c>
    </row>
    <row r="1008" spans="1:2" x14ac:dyDescent="0.25">
      <c r="A1008" t="s">
        <v>11</v>
      </c>
      <c r="B1008">
        <v>51.95</v>
      </c>
    </row>
    <row r="1009" spans="1:2" x14ac:dyDescent="0.25">
      <c r="A1009" t="s">
        <v>12</v>
      </c>
      <c r="B1009">
        <v>19.43</v>
      </c>
    </row>
    <row r="1010" spans="1:2" x14ac:dyDescent="0.25">
      <c r="A1010" t="s">
        <v>13</v>
      </c>
      <c r="B1010">
        <v>98.93</v>
      </c>
    </row>
    <row r="1011" spans="1:2" x14ac:dyDescent="0.25">
      <c r="A1011" t="s">
        <v>14</v>
      </c>
      <c r="B1011">
        <v>302.16000000000003</v>
      </c>
    </row>
    <row r="1012" spans="1:2" x14ac:dyDescent="0.25">
      <c r="A1012" t="s">
        <v>15</v>
      </c>
      <c r="B1012">
        <v>137.02000000000001</v>
      </c>
    </row>
    <row r="1013" spans="1:2" x14ac:dyDescent="0.25">
      <c r="A1013" t="s">
        <v>16</v>
      </c>
      <c r="B1013">
        <v>120.44</v>
      </c>
    </row>
    <row r="1014" spans="1:2" x14ac:dyDescent="0.25">
      <c r="A1014" t="s">
        <v>17</v>
      </c>
      <c r="B1014">
        <v>302.27999999999997</v>
      </c>
    </row>
    <row r="1015" spans="1:2" x14ac:dyDescent="0.25">
      <c r="A1015" t="s">
        <v>18</v>
      </c>
      <c r="B1015">
        <v>72.44</v>
      </c>
    </row>
    <row r="1016" spans="1:2" x14ac:dyDescent="0.25">
      <c r="A1016" t="s">
        <v>19</v>
      </c>
      <c r="B1016">
        <v>27.71</v>
      </c>
    </row>
    <row r="1017" spans="1:2" x14ac:dyDescent="0.25">
      <c r="A1017" t="s">
        <v>20</v>
      </c>
      <c r="B1017">
        <v>45.65</v>
      </c>
    </row>
    <row r="1018" spans="1:2" x14ac:dyDescent="0.25">
      <c r="A1018" t="s">
        <v>21</v>
      </c>
      <c r="B1018">
        <v>54.8</v>
      </c>
    </row>
    <row r="1019" spans="1:2" x14ac:dyDescent="0.25">
      <c r="A1019" t="s">
        <v>22</v>
      </c>
      <c r="B1019">
        <v>46.64</v>
      </c>
    </row>
    <row r="1020" spans="1:2" x14ac:dyDescent="0.25">
      <c r="A1020" t="s">
        <v>23</v>
      </c>
      <c r="B1020">
        <v>58.1</v>
      </c>
    </row>
    <row r="1021" spans="1:2" x14ac:dyDescent="0.25">
      <c r="A1021" t="s">
        <v>24</v>
      </c>
      <c r="B1021">
        <v>42.57</v>
      </c>
    </row>
    <row r="1022" spans="1:2" x14ac:dyDescent="0.25">
      <c r="A1022" t="s">
        <v>25</v>
      </c>
      <c r="B1022">
        <v>24.95</v>
      </c>
    </row>
    <row r="1023" spans="1:2" x14ac:dyDescent="0.25">
      <c r="A1023" t="s">
        <v>26</v>
      </c>
      <c r="B1023">
        <v>150.19</v>
      </c>
    </row>
    <row r="1024" spans="1:2" x14ac:dyDescent="0.25">
      <c r="A1024" t="s">
        <v>27</v>
      </c>
      <c r="B1024">
        <v>22.67</v>
      </c>
    </row>
    <row r="1025" spans="1:2" x14ac:dyDescent="0.25">
      <c r="A1025" t="s">
        <v>28</v>
      </c>
      <c r="B1025">
        <v>30.23</v>
      </c>
    </row>
    <row r="1026" spans="1:2" x14ac:dyDescent="0.25">
      <c r="A1026" t="s">
        <v>29</v>
      </c>
      <c r="B1026">
        <v>107.5</v>
      </c>
    </row>
    <row r="1027" spans="1:2" x14ac:dyDescent="0.25">
      <c r="A1027" t="s">
        <v>30</v>
      </c>
      <c r="B1027">
        <v>111.21</v>
      </c>
    </row>
    <row r="1028" spans="1:2" x14ac:dyDescent="0.25">
      <c r="A1028" t="s">
        <v>31</v>
      </c>
      <c r="B1028">
        <v>99.32</v>
      </c>
    </row>
    <row r="1029" spans="1:2" x14ac:dyDescent="0.25">
      <c r="A1029" t="s">
        <v>32</v>
      </c>
      <c r="B1029">
        <v>10.89</v>
      </c>
    </row>
    <row r="1030" spans="1:2" x14ac:dyDescent="0.25">
      <c r="A1030" t="s">
        <v>33</v>
      </c>
      <c r="B1030">
        <v>7.79</v>
      </c>
    </row>
    <row r="1031" spans="1:2" x14ac:dyDescent="0.25">
      <c r="A1031" t="s">
        <v>34</v>
      </c>
      <c r="B1031">
        <v>13.45</v>
      </c>
    </row>
    <row r="1032" spans="1:2" x14ac:dyDescent="0.25">
      <c r="A1032" t="s">
        <v>35</v>
      </c>
      <c r="B1032">
        <v>6.73</v>
      </c>
    </row>
    <row r="1033" spans="1:2" x14ac:dyDescent="0.25">
      <c r="A1033" t="s">
        <v>36</v>
      </c>
      <c r="B1033">
        <v>4.9000000000000004</v>
      </c>
    </row>
    <row r="1034" spans="1:2" x14ac:dyDescent="0.25">
      <c r="A1034" t="s">
        <v>37</v>
      </c>
      <c r="B1034" t="s">
        <v>4</v>
      </c>
    </row>
    <row r="1035" spans="1:2" x14ac:dyDescent="0.25">
      <c r="A1035" t="s">
        <v>38</v>
      </c>
      <c r="B1035">
        <v>9.76</v>
      </c>
    </row>
    <row r="1036" spans="1:2" x14ac:dyDescent="0.25">
      <c r="A1036" t="s">
        <v>39</v>
      </c>
      <c r="B1036">
        <v>5.97</v>
      </c>
    </row>
    <row r="1037" spans="1:2" x14ac:dyDescent="0.25">
      <c r="A1037" t="s">
        <v>40</v>
      </c>
      <c r="B1037" t="s">
        <v>4</v>
      </c>
    </row>
    <row r="1038" spans="1:2" x14ac:dyDescent="0.25">
      <c r="A1038" t="s">
        <v>41</v>
      </c>
      <c r="B1038" t="s">
        <v>4</v>
      </c>
    </row>
    <row r="1039" spans="1:2" x14ac:dyDescent="0.25">
      <c r="A1039" t="s">
        <v>42</v>
      </c>
      <c r="B1039">
        <v>13.85</v>
      </c>
    </row>
    <row r="1040" spans="1:2" x14ac:dyDescent="0.25">
      <c r="A1040" t="s">
        <v>43</v>
      </c>
      <c r="B1040" t="s">
        <v>4</v>
      </c>
    </row>
    <row r="1041" spans="1:2" x14ac:dyDescent="0.25">
      <c r="A1041" t="s">
        <v>44</v>
      </c>
      <c r="B1041">
        <v>6.65</v>
      </c>
    </row>
    <row r="1042" spans="1:2" x14ac:dyDescent="0.25">
      <c r="A1042" t="s">
        <v>45</v>
      </c>
      <c r="B1042" t="s">
        <v>4</v>
      </c>
    </row>
    <row r="1043" spans="1:2" x14ac:dyDescent="0.25">
      <c r="A1043" t="s">
        <v>46</v>
      </c>
      <c r="B1043">
        <v>17.309999999999999</v>
      </c>
    </row>
    <row r="1044" spans="1:2" x14ac:dyDescent="0.25">
      <c r="A1044" t="s">
        <v>47</v>
      </c>
      <c r="B1044" t="s">
        <v>4</v>
      </c>
    </row>
    <row r="1045" spans="1:2" x14ac:dyDescent="0.25">
      <c r="A1045" t="s">
        <v>48</v>
      </c>
      <c r="B1045" t="s">
        <v>4</v>
      </c>
    </row>
    <row r="1046" spans="1:2" x14ac:dyDescent="0.25">
      <c r="A1046" t="s">
        <v>49</v>
      </c>
      <c r="B1046" t="s">
        <v>4</v>
      </c>
    </row>
    <row r="1047" spans="1:2" x14ac:dyDescent="0.25">
      <c r="A1047" t="s">
        <v>50</v>
      </c>
      <c r="B1047">
        <v>14.21</v>
      </c>
    </row>
    <row r="1048" spans="1:2" x14ac:dyDescent="0.25">
      <c r="A1048" t="s">
        <v>51</v>
      </c>
      <c r="B1048" t="s">
        <v>4</v>
      </c>
    </row>
    <row r="1049" spans="1:2" x14ac:dyDescent="0.25">
      <c r="A1049" t="s">
        <v>52</v>
      </c>
      <c r="B1049" t="s">
        <v>4</v>
      </c>
    </row>
    <row r="1050" spans="1:2" x14ac:dyDescent="0.25">
      <c r="A1050" t="s">
        <v>53</v>
      </c>
      <c r="B1050">
        <v>27.04</v>
      </c>
    </row>
    <row r="1051" spans="1:2" x14ac:dyDescent="0.25">
      <c r="A1051" t="s">
        <v>54</v>
      </c>
      <c r="B1051">
        <v>22.79</v>
      </c>
    </row>
    <row r="1052" spans="1:2" x14ac:dyDescent="0.25">
      <c r="A1052" t="s">
        <v>55</v>
      </c>
      <c r="B1052">
        <v>44.79</v>
      </c>
    </row>
    <row r="1053" spans="1:2" x14ac:dyDescent="0.25">
      <c r="A1053" t="s">
        <v>56</v>
      </c>
      <c r="B1053">
        <v>14.99</v>
      </c>
    </row>
    <row r="1054" spans="1:2" x14ac:dyDescent="0.25">
      <c r="A1054" t="s">
        <v>57</v>
      </c>
      <c r="B1054" t="s">
        <v>4</v>
      </c>
    </row>
    <row r="1055" spans="1:2" x14ac:dyDescent="0.25">
      <c r="A1055" t="s">
        <v>58</v>
      </c>
      <c r="B1055">
        <v>64.05</v>
      </c>
    </row>
    <row r="1056" spans="1:2" x14ac:dyDescent="0.25">
      <c r="A1056" t="s">
        <v>59</v>
      </c>
      <c r="B1056">
        <v>10.81</v>
      </c>
    </row>
    <row r="1057" spans="1:2" x14ac:dyDescent="0.25">
      <c r="A1057" t="s">
        <v>60</v>
      </c>
      <c r="B1057">
        <v>17.809999999999999</v>
      </c>
    </row>
    <row r="1058" spans="1:2" x14ac:dyDescent="0.25">
      <c r="A1058" t="s">
        <v>61</v>
      </c>
      <c r="B1058">
        <v>31.39</v>
      </c>
    </row>
    <row r="1059" spans="1:2" x14ac:dyDescent="0.25">
      <c r="A1059" t="s">
        <v>62</v>
      </c>
      <c r="B1059">
        <v>34.78</v>
      </c>
    </row>
    <row r="1060" spans="1:2" x14ac:dyDescent="0.25">
      <c r="A1060" t="s">
        <v>63</v>
      </c>
      <c r="B1060">
        <v>61.4</v>
      </c>
    </row>
    <row r="1061" spans="1:2" x14ac:dyDescent="0.25">
      <c r="A1061" t="s">
        <v>64</v>
      </c>
      <c r="B1061">
        <v>70.17</v>
      </c>
    </row>
    <row r="1062" spans="1:2" x14ac:dyDescent="0.25">
      <c r="A1062" t="s">
        <v>65</v>
      </c>
      <c r="B1062">
        <v>100.61</v>
      </c>
    </row>
    <row r="1063" spans="1:2" x14ac:dyDescent="0.25">
      <c r="A1063" t="s">
        <v>66</v>
      </c>
      <c r="B1063">
        <v>30.29</v>
      </c>
    </row>
    <row r="1064" spans="1:2" x14ac:dyDescent="0.25">
      <c r="A1064" t="s">
        <v>67</v>
      </c>
      <c r="B1064">
        <v>184.87</v>
      </c>
    </row>
    <row r="1065" spans="1:2" x14ac:dyDescent="0.25">
      <c r="A1065" t="s">
        <v>68</v>
      </c>
      <c r="B1065">
        <v>10.81</v>
      </c>
    </row>
    <row r="1066" spans="1:2" x14ac:dyDescent="0.25">
      <c r="A1066" t="s">
        <v>69</v>
      </c>
      <c r="B1066">
        <v>151.62</v>
      </c>
    </row>
    <row r="1067" spans="1:2" x14ac:dyDescent="0.25">
      <c r="A1067" t="s">
        <v>70</v>
      </c>
      <c r="B1067">
        <v>134.38</v>
      </c>
    </row>
    <row r="1068" spans="1:2" x14ac:dyDescent="0.25">
      <c r="A1068" t="s">
        <v>71</v>
      </c>
      <c r="B1068">
        <v>46.09</v>
      </c>
    </row>
    <row r="1069" spans="1:2" x14ac:dyDescent="0.25">
      <c r="A1069" t="s">
        <v>72</v>
      </c>
      <c r="B1069">
        <v>27.7</v>
      </c>
    </row>
    <row r="1070" spans="1:2" x14ac:dyDescent="0.25">
      <c r="A1070" t="s">
        <v>73</v>
      </c>
      <c r="B1070">
        <v>34.24</v>
      </c>
    </row>
    <row r="1071" spans="1:2" x14ac:dyDescent="0.25">
      <c r="A1071" t="s">
        <v>74</v>
      </c>
      <c r="B1071">
        <v>34.979999999999997</v>
      </c>
    </row>
    <row r="1072" spans="1:2" x14ac:dyDescent="0.25">
      <c r="A1072" t="s">
        <v>75</v>
      </c>
      <c r="B1072">
        <v>111.34</v>
      </c>
    </row>
    <row r="1073" spans="1:2" x14ac:dyDescent="0.25">
      <c r="A1073" t="s">
        <v>76</v>
      </c>
      <c r="B1073">
        <v>36.619999999999997</v>
      </c>
    </row>
    <row r="1074" spans="1:2" x14ac:dyDescent="0.25">
      <c r="A1074" t="s">
        <v>77</v>
      </c>
      <c r="B1074">
        <v>51.47</v>
      </c>
    </row>
    <row r="1075" spans="1:2" x14ac:dyDescent="0.25">
      <c r="A1075" t="s">
        <v>78</v>
      </c>
      <c r="B1075" t="s">
        <v>4</v>
      </c>
    </row>
    <row r="1076" spans="1:2" x14ac:dyDescent="0.25">
      <c r="A1076" t="s">
        <v>79</v>
      </c>
      <c r="B1076" t="s">
        <v>4</v>
      </c>
    </row>
    <row r="1077" spans="1:2" x14ac:dyDescent="0.25">
      <c r="A1077" t="s">
        <v>80</v>
      </c>
      <c r="B1077" t="s">
        <v>4</v>
      </c>
    </row>
    <row r="1078" spans="1:2" x14ac:dyDescent="0.25">
      <c r="A1078" t="s">
        <v>81</v>
      </c>
      <c r="B1078">
        <v>15.41</v>
      </c>
    </row>
    <row r="1081" spans="1:2" x14ac:dyDescent="0.25">
      <c r="A1081" t="s">
        <v>0</v>
      </c>
      <c r="B1081" t="s">
        <v>92</v>
      </c>
    </row>
    <row r="1083" spans="1:2" s="1" customFormat="1" x14ac:dyDescent="0.25">
      <c r="A1083" s="1" t="s">
        <v>2</v>
      </c>
      <c r="B1083" s="1" t="s">
        <v>157</v>
      </c>
    </row>
    <row r="1084" spans="1:2" x14ac:dyDescent="0.25">
      <c r="A1084" t="s">
        <v>3</v>
      </c>
      <c r="B1084" t="s">
        <v>4</v>
      </c>
    </row>
    <row r="1085" spans="1:2" x14ac:dyDescent="0.25">
      <c r="A1085" t="s">
        <v>5</v>
      </c>
      <c r="B1085" t="s">
        <v>4</v>
      </c>
    </row>
    <row r="1086" spans="1:2" x14ac:dyDescent="0.25">
      <c r="A1086" t="s">
        <v>6</v>
      </c>
      <c r="B1086" t="s">
        <v>4</v>
      </c>
    </row>
    <row r="1087" spans="1:2" x14ac:dyDescent="0.25">
      <c r="A1087" t="s">
        <v>7</v>
      </c>
      <c r="B1087" t="s">
        <v>4</v>
      </c>
    </row>
    <row r="1088" spans="1:2" x14ac:dyDescent="0.25">
      <c r="A1088" t="s">
        <v>8</v>
      </c>
      <c r="B1088" t="s">
        <v>4</v>
      </c>
    </row>
    <row r="1089" spans="1:2" x14ac:dyDescent="0.25">
      <c r="A1089" t="s">
        <v>9</v>
      </c>
      <c r="B1089" t="s">
        <v>4</v>
      </c>
    </row>
    <row r="1090" spans="1:2" x14ac:dyDescent="0.25">
      <c r="A1090" t="s">
        <v>10</v>
      </c>
      <c r="B1090" t="s">
        <v>4</v>
      </c>
    </row>
    <row r="1091" spans="1:2" x14ac:dyDescent="0.25">
      <c r="A1091" t="s">
        <v>11</v>
      </c>
      <c r="B1091" t="s">
        <v>4</v>
      </c>
    </row>
    <row r="1092" spans="1:2" x14ac:dyDescent="0.25">
      <c r="A1092" t="s">
        <v>12</v>
      </c>
      <c r="B1092" t="s">
        <v>4</v>
      </c>
    </row>
    <row r="1093" spans="1:2" x14ac:dyDescent="0.25">
      <c r="A1093" t="s">
        <v>13</v>
      </c>
      <c r="B1093" t="s">
        <v>4</v>
      </c>
    </row>
    <row r="1094" spans="1:2" x14ac:dyDescent="0.25">
      <c r="A1094" t="s">
        <v>14</v>
      </c>
      <c r="B1094" t="s">
        <v>4</v>
      </c>
    </row>
    <row r="1095" spans="1:2" x14ac:dyDescent="0.25">
      <c r="A1095" t="s">
        <v>15</v>
      </c>
      <c r="B1095" t="s">
        <v>4</v>
      </c>
    </row>
    <row r="1096" spans="1:2" x14ac:dyDescent="0.25">
      <c r="A1096" t="s">
        <v>16</v>
      </c>
      <c r="B1096" t="s">
        <v>4</v>
      </c>
    </row>
    <row r="1097" spans="1:2" x14ac:dyDescent="0.25">
      <c r="A1097" t="s">
        <v>17</v>
      </c>
      <c r="B1097" t="s">
        <v>4</v>
      </c>
    </row>
    <row r="1098" spans="1:2" x14ac:dyDescent="0.25">
      <c r="A1098" t="s">
        <v>18</v>
      </c>
      <c r="B1098" t="s">
        <v>4</v>
      </c>
    </row>
    <row r="1099" spans="1:2" x14ac:dyDescent="0.25">
      <c r="A1099" t="s">
        <v>19</v>
      </c>
      <c r="B1099" t="s">
        <v>4</v>
      </c>
    </row>
    <row r="1100" spans="1:2" x14ac:dyDescent="0.25">
      <c r="A1100" t="s">
        <v>20</v>
      </c>
      <c r="B1100" t="s">
        <v>4</v>
      </c>
    </row>
    <row r="1101" spans="1:2" x14ac:dyDescent="0.25">
      <c r="A1101" t="s">
        <v>21</v>
      </c>
      <c r="B1101" t="s">
        <v>4</v>
      </c>
    </row>
    <row r="1102" spans="1:2" x14ac:dyDescent="0.25">
      <c r="A1102" t="s">
        <v>22</v>
      </c>
      <c r="B1102" t="s">
        <v>4</v>
      </c>
    </row>
    <row r="1103" spans="1:2" x14ac:dyDescent="0.25">
      <c r="A1103" t="s">
        <v>23</v>
      </c>
      <c r="B1103" t="s">
        <v>4</v>
      </c>
    </row>
    <row r="1104" spans="1:2" x14ac:dyDescent="0.25">
      <c r="A1104" t="s">
        <v>24</v>
      </c>
      <c r="B1104" t="s">
        <v>4</v>
      </c>
    </row>
    <row r="1105" spans="1:2" x14ac:dyDescent="0.25">
      <c r="A1105" t="s">
        <v>25</v>
      </c>
      <c r="B1105" t="s">
        <v>4</v>
      </c>
    </row>
    <row r="1106" spans="1:2" x14ac:dyDescent="0.25">
      <c r="A1106" t="s">
        <v>26</v>
      </c>
      <c r="B1106" t="s">
        <v>4</v>
      </c>
    </row>
    <row r="1107" spans="1:2" x14ac:dyDescent="0.25">
      <c r="A1107" t="s">
        <v>27</v>
      </c>
      <c r="B1107" t="s">
        <v>4</v>
      </c>
    </row>
    <row r="1108" spans="1:2" x14ac:dyDescent="0.25">
      <c r="A1108" t="s">
        <v>28</v>
      </c>
      <c r="B1108" t="s">
        <v>4</v>
      </c>
    </row>
    <row r="1109" spans="1:2" x14ac:dyDescent="0.25">
      <c r="A1109" t="s">
        <v>29</v>
      </c>
      <c r="B1109" t="s">
        <v>4</v>
      </c>
    </row>
    <row r="1110" spans="1:2" x14ac:dyDescent="0.25">
      <c r="A1110" t="s">
        <v>30</v>
      </c>
      <c r="B1110" t="s">
        <v>4</v>
      </c>
    </row>
    <row r="1111" spans="1:2" x14ac:dyDescent="0.25">
      <c r="A1111" t="s">
        <v>31</v>
      </c>
      <c r="B1111" t="s">
        <v>4</v>
      </c>
    </row>
    <row r="1112" spans="1:2" x14ac:dyDescent="0.25">
      <c r="A1112" t="s">
        <v>32</v>
      </c>
      <c r="B1112" t="s">
        <v>4</v>
      </c>
    </row>
    <row r="1113" spans="1:2" x14ac:dyDescent="0.25">
      <c r="A1113" t="s">
        <v>33</v>
      </c>
      <c r="B1113" t="s">
        <v>4</v>
      </c>
    </row>
    <row r="1114" spans="1:2" x14ac:dyDescent="0.25">
      <c r="A1114" t="s">
        <v>34</v>
      </c>
      <c r="B1114" t="s">
        <v>4</v>
      </c>
    </row>
    <row r="1115" spans="1:2" x14ac:dyDescent="0.25">
      <c r="A1115" t="s">
        <v>35</v>
      </c>
      <c r="B1115" t="s">
        <v>4</v>
      </c>
    </row>
    <row r="1116" spans="1:2" x14ac:dyDescent="0.25">
      <c r="A1116" t="s">
        <v>36</v>
      </c>
      <c r="B1116" t="s">
        <v>4</v>
      </c>
    </row>
    <row r="1117" spans="1:2" x14ac:dyDescent="0.25">
      <c r="A1117" t="s">
        <v>37</v>
      </c>
      <c r="B1117" t="s">
        <v>4</v>
      </c>
    </row>
    <row r="1118" spans="1:2" x14ac:dyDescent="0.25">
      <c r="A1118" t="s">
        <v>38</v>
      </c>
      <c r="B1118" t="s">
        <v>4</v>
      </c>
    </row>
    <row r="1119" spans="1:2" x14ac:dyDescent="0.25">
      <c r="A1119" t="s">
        <v>39</v>
      </c>
      <c r="B1119" t="s">
        <v>4</v>
      </c>
    </row>
    <row r="1120" spans="1:2" x14ac:dyDescent="0.25">
      <c r="A1120" t="s">
        <v>40</v>
      </c>
      <c r="B1120" t="s">
        <v>4</v>
      </c>
    </row>
    <row r="1121" spans="1:2" x14ac:dyDescent="0.25">
      <c r="A1121" t="s">
        <v>41</v>
      </c>
      <c r="B1121" t="s">
        <v>4</v>
      </c>
    </row>
    <row r="1122" spans="1:2" x14ac:dyDescent="0.25">
      <c r="A1122" t="s">
        <v>42</v>
      </c>
      <c r="B1122" t="s">
        <v>4</v>
      </c>
    </row>
    <row r="1123" spans="1:2" x14ac:dyDescent="0.25">
      <c r="A1123" t="s">
        <v>43</v>
      </c>
      <c r="B1123" t="s">
        <v>4</v>
      </c>
    </row>
    <row r="1124" spans="1:2" x14ac:dyDescent="0.25">
      <c r="A1124" t="s">
        <v>44</v>
      </c>
      <c r="B1124" t="s">
        <v>4</v>
      </c>
    </row>
    <row r="1125" spans="1:2" x14ac:dyDescent="0.25">
      <c r="A1125" t="s">
        <v>45</v>
      </c>
      <c r="B1125" t="s">
        <v>4</v>
      </c>
    </row>
    <row r="1126" spans="1:2" x14ac:dyDescent="0.25">
      <c r="A1126" t="s">
        <v>46</v>
      </c>
      <c r="B1126" t="s">
        <v>4</v>
      </c>
    </row>
    <row r="1127" spans="1:2" x14ac:dyDescent="0.25">
      <c r="A1127" t="s">
        <v>47</v>
      </c>
      <c r="B1127" t="s">
        <v>4</v>
      </c>
    </row>
    <row r="1128" spans="1:2" x14ac:dyDescent="0.25">
      <c r="A1128" t="s">
        <v>48</v>
      </c>
      <c r="B1128" t="s">
        <v>4</v>
      </c>
    </row>
    <row r="1129" spans="1:2" x14ac:dyDescent="0.25">
      <c r="A1129" t="s">
        <v>49</v>
      </c>
      <c r="B1129" t="s">
        <v>4</v>
      </c>
    </row>
    <row r="1130" spans="1:2" x14ac:dyDescent="0.25">
      <c r="A1130" t="s">
        <v>50</v>
      </c>
      <c r="B1130" t="s">
        <v>4</v>
      </c>
    </row>
    <row r="1131" spans="1:2" x14ac:dyDescent="0.25">
      <c r="A1131" t="s">
        <v>51</v>
      </c>
      <c r="B1131" t="s">
        <v>4</v>
      </c>
    </row>
    <row r="1132" spans="1:2" x14ac:dyDescent="0.25">
      <c r="A1132" t="s">
        <v>52</v>
      </c>
      <c r="B1132" t="s">
        <v>4</v>
      </c>
    </row>
    <row r="1133" spans="1:2" x14ac:dyDescent="0.25">
      <c r="A1133" t="s">
        <v>53</v>
      </c>
      <c r="B1133" t="s">
        <v>4</v>
      </c>
    </row>
    <row r="1134" spans="1:2" x14ac:dyDescent="0.25">
      <c r="A1134" t="s">
        <v>54</v>
      </c>
      <c r="B1134" t="s">
        <v>4</v>
      </c>
    </row>
    <row r="1135" spans="1:2" x14ac:dyDescent="0.25">
      <c r="A1135" t="s">
        <v>55</v>
      </c>
      <c r="B1135" t="s">
        <v>4</v>
      </c>
    </row>
    <row r="1136" spans="1:2" x14ac:dyDescent="0.25">
      <c r="A1136" t="s">
        <v>56</v>
      </c>
      <c r="B1136" t="s">
        <v>4</v>
      </c>
    </row>
    <row r="1137" spans="1:2" x14ac:dyDescent="0.25">
      <c r="A1137" t="s">
        <v>57</v>
      </c>
      <c r="B1137" t="s">
        <v>4</v>
      </c>
    </row>
    <row r="1138" spans="1:2" x14ac:dyDescent="0.25">
      <c r="A1138" t="s">
        <v>58</v>
      </c>
      <c r="B1138" t="s">
        <v>4</v>
      </c>
    </row>
    <row r="1139" spans="1:2" x14ac:dyDescent="0.25">
      <c r="A1139" t="s">
        <v>59</v>
      </c>
      <c r="B1139" t="s">
        <v>4</v>
      </c>
    </row>
    <row r="1140" spans="1:2" x14ac:dyDescent="0.25">
      <c r="A1140" t="s">
        <v>60</v>
      </c>
      <c r="B1140" t="s">
        <v>4</v>
      </c>
    </row>
    <row r="1141" spans="1:2" x14ac:dyDescent="0.25">
      <c r="A1141" t="s">
        <v>61</v>
      </c>
      <c r="B1141" t="s">
        <v>4</v>
      </c>
    </row>
    <row r="1142" spans="1:2" x14ac:dyDescent="0.25">
      <c r="A1142" t="s">
        <v>62</v>
      </c>
      <c r="B1142" t="s">
        <v>4</v>
      </c>
    </row>
    <row r="1143" spans="1:2" x14ac:dyDescent="0.25">
      <c r="A1143" t="s">
        <v>63</v>
      </c>
      <c r="B1143" t="s">
        <v>4</v>
      </c>
    </row>
    <row r="1144" spans="1:2" x14ac:dyDescent="0.25">
      <c r="A1144" t="s">
        <v>64</v>
      </c>
      <c r="B1144" t="s">
        <v>4</v>
      </c>
    </row>
    <row r="1145" spans="1:2" x14ac:dyDescent="0.25">
      <c r="A1145" t="s">
        <v>65</v>
      </c>
      <c r="B1145" t="s">
        <v>4</v>
      </c>
    </row>
    <row r="1146" spans="1:2" x14ac:dyDescent="0.25">
      <c r="A1146" t="s">
        <v>66</v>
      </c>
      <c r="B1146" t="s">
        <v>4</v>
      </c>
    </row>
    <row r="1147" spans="1:2" x14ac:dyDescent="0.25">
      <c r="A1147" t="s">
        <v>67</v>
      </c>
      <c r="B1147" t="s">
        <v>4</v>
      </c>
    </row>
    <row r="1148" spans="1:2" x14ac:dyDescent="0.25">
      <c r="A1148" t="s">
        <v>68</v>
      </c>
      <c r="B1148" t="s">
        <v>4</v>
      </c>
    </row>
    <row r="1149" spans="1:2" x14ac:dyDescent="0.25">
      <c r="A1149" t="s">
        <v>69</v>
      </c>
      <c r="B1149" t="s">
        <v>4</v>
      </c>
    </row>
    <row r="1150" spans="1:2" x14ac:dyDescent="0.25">
      <c r="A1150" t="s">
        <v>70</v>
      </c>
      <c r="B1150" t="s">
        <v>4</v>
      </c>
    </row>
    <row r="1151" spans="1:2" x14ac:dyDescent="0.25">
      <c r="A1151" t="s">
        <v>71</v>
      </c>
      <c r="B1151" t="s">
        <v>4</v>
      </c>
    </row>
    <row r="1152" spans="1:2" x14ac:dyDescent="0.25">
      <c r="A1152" t="s">
        <v>72</v>
      </c>
      <c r="B1152" t="s">
        <v>4</v>
      </c>
    </row>
    <row r="1153" spans="1:2" x14ac:dyDescent="0.25">
      <c r="A1153" t="s">
        <v>73</v>
      </c>
      <c r="B1153" t="s">
        <v>4</v>
      </c>
    </row>
    <row r="1154" spans="1:2" x14ac:dyDescent="0.25">
      <c r="A1154" t="s">
        <v>74</v>
      </c>
      <c r="B1154" t="s">
        <v>4</v>
      </c>
    </row>
    <row r="1155" spans="1:2" x14ac:dyDescent="0.25">
      <c r="A1155" t="s">
        <v>75</v>
      </c>
      <c r="B1155" t="s">
        <v>4</v>
      </c>
    </row>
    <row r="1156" spans="1:2" x14ac:dyDescent="0.25">
      <c r="A1156" t="s">
        <v>76</v>
      </c>
      <c r="B1156" t="s">
        <v>4</v>
      </c>
    </row>
    <row r="1157" spans="1:2" x14ac:dyDescent="0.25">
      <c r="A1157" t="s">
        <v>77</v>
      </c>
      <c r="B1157" t="s">
        <v>4</v>
      </c>
    </row>
    <row r="1158" spans="1:2" x14ac:dyDescent="0.25">
      <c r="A1158" t="s">
        <v>78</v>
      </c>
      <c r="B1158" t="s">
        <v>4</v>
      </c>
    </row>
    <row r="1159" spans="1:2" x14ac:dyDescent="0.25">
      <c r="A1159" t="s">
        <v>79</v>
      </c>
      <c r="B1159" t="s">
        <v>4</v>
      </c>
    </row>
    <row r="1160" spans="1:2" x14ac:dyDescent="0.25">
      <c r="A1160" t="s">
        <v>80</v>
      </c>
      <c r="B1160" t="s">
        <v>4</v>
      </c>
    </row>
    <row r="1161" spans="1:2" x14ac:dyDescent="0.25">
      <c r="A1161" t="s">
        <v>81</v>
      </c>
      <c r="B1161" t="s">
        <v>4</v>
      </c>
    </row>
    <row r="1164" spans="1:2" x14ac:dyDescent="0.25">
      <c r="A1164" t="s">
        <v>0</v>
      </c>
      <c r="B1164" t="s">
        <v>93</v>
      </c>
    </row>
    <row r="1166" spans="1:2" s="1" customFormat="1" x14ac:dyDescent="0.25">
      <c r="A1166" s="1" t="s">
        <v>2</v>
      </c>
      <c r="B1166" s="1" t="s">
        <v>157</v>
      </c>
    </row>
    <row r="1167" spans="1:2" x14ac:dyDescent="0.25">
      <c r="A1167" t="s">
        <v>3</v>
      </c>
      <c r="B1167" t="s">
        <v>4</v>
      </c>
    </row>
    <row r="1168" spans="1:2" x14ac:dyDescent="0.25">
      <c r="A1168" t="s">
        <v>5</v>
      </c>
      <c r="B1168" t="s">
        <v>4</v>
      </c>
    </row>
    <row r="1169" spans="1:11" x14ac:dyDescent="0.25">
      <c r="A1169" t="s">
        <v>6</v>
      </c>
      <c r="B1169" s="3">
        <v>61.01</v>
      </c>
      <c r="D1169" s="3" t="s">
        <v>161</v>
      </c>
      <c r="E1169" s="3"/>
      <c r="F1169" s="3"/>
      <c r="G1169" s="3"/>
      <c r="H1169" s="3"/>
      <c r="I1169" s="3"/>
      <c r="J1169" s="3"/>
      <c r="K1169" s="3"/>
    </row>
    <row r="1170" spans="1:11" x14ac:dyDescent="0.25">
      <c r="A1170" t="s">
        <v>7</v>
      </c>
      <c r="B1170">
        <v>66.989999999999995</v>
      </c>
      <c r="C1170" t="str">
        <f>IF(OR(B1170&lt;$B$1169,B1170&lt;=$B$1169*1.3),"N/A",B1170-$B$1169)</f>
        <v>N/A</v>
      </c>
      <c r="D1170" s="3" t="s">
        <v>160</v>
      </c>
      <c r="E1170" s="3"/>
      <c r="F1170" s="3"/>
      <c r="G1170" s="3"/>
      <c r="H1170" s="3"/>
      <c r="I1170" s="3"/>
      <c r="J1170" s="3"/>
      <c r="K1170" s="3"/>
    </row>
    <row r="1171" spans="1:11" x14ac:dyDescent="0.25">
      <c r="A1171" t="s">
        <v>8</v>
      </c>
      <c r="B1171">
        <v>2860.53</v>
      </c>
      <c r="C1171">
        <f t="shared" ref="C1171:C1234" si="0">IF(OR(B1171&lt;$B$1169,B1171&lt;=$B$1169*1.3),"N/A",B1171-$B$1169)</f>
        <v>2799.52</v>
      </c>
    </row>
    <row r="1172" spans="1:11" x14ac:dyDescent="0.25">
      <c r="A1172" t="s">
        <v>9</v>
      </c>
      <c r="B1172">
        <v>108.39</v>
      </c>
      <c r="C1172">
        <f t="shared" si="0"/>
        <v>47.38</v>
      </c>
    </row>
    <row r="1173" spans="1:11" x14ac:dyDescent="0.25">
      <c r="A1173" t="s">
        <v>10</v>
      </c>
      <c r="B1173">
        <v>51.56</v>
      </c>
      <c r="C1173" t="str">
        <f t="shared" si="0"/>
        <v>N/A</v>
      </c>
    </row>
    <row r="1174" spans="1:11" x14ac:dyDescent="0.25">
      <c r="A1174" t="s">
        <v>11</v>
      </c>
      <c r="B1174">
        <v>81.739999999999995</v>
      </c>
      <c r="C1174">
        <f t="shared" si="0"/>
        <v>20.729999999999997</v>
      </c>
    </row>
    <row r="1175" spans="1:11" x14ac:dyDescent="0.25">
      <c r="A1175" t="s">
        <v>12</v>
      </c>
      <c r="B1175">
        <v>39.19</v>
      </c>
      <c r="C1175" t="str">
        <f t="shared" si="0"/>
        <v>N/A</v>
      </c>
    </row>
    <row r="1176" spans="1:11" x14ac:dyDescent="0.25">
      <c r="A1176" t="s">
        <v>13</v>
      </c>
      <c r="B1176">
        <v>36.74</v>
      </c>
      <c r="C1176" t="str">
        <f t="shared" si="0"/>
        <v>N/A</v>
      </c>
    </row>
    <row r="1177" spans="1:11" x14ac:dyDescent="0.25">
      <c r="A1177" t="s">
        <v>14</v>
      </c>
      <c r="B1177">
        <v>37.44</v>
      </c>
      <c r="C1177" t="str">
        <f t="shared" si="0"/>
        <v>N/A</v>
      </c>
    </row>
    <row r="1178" spans="1:11" x14ac:dyDescent="0.25">
      <c r="A1178" t="s">
        <v>15</v>
      </c>
      <c r="B1178">
        <v>44.37</v>
      </c>
      <c r="C1178" t="str">
        <f t="shared" si="0"/>
        <v>N/A</v>
      </c>
    </row>
    <row r="1179" spans="1:11" x14ac:dyDescent="0.25">
      <c r="A1179" t="s">
        <v>16</v>
      </c>
      <c r="B1179">
        <v>49.23</v>
      </c>
      <c r="C1179" t="str">
        <f t="shared" si="0"/>
        <v>N/A</v>
      </c>
    </row>
    <row r="1180" spans="1:11" x14ac:dyDescent="0.25">
      <c r="A1180" t="s">
        <v>17</v>
      </c>
      <c r="B1180">
        <v>50.64</v>
      </c>
      <c r="C1180" t="str">
        <f t="shared" si="0"/>
        <v>N/A</v>
      </c>
    </row>
    <row r="1181" spans="1:11" x14ac:dyDescent="0.25">
      <c r="A1181" t="s">
        <v>18</v>
      </c>
      <c r="B1181">
        <v>63.15</v>
      </c>
      <c r="C1181" t="str">
        <f t="shared" si="0"/>
        <v>N/A</v>
      </c>
    </row>
    <row r="1182" spans="1:11" x14ac:dyDescent="0.25">
      <c r="A1182" t="s">
        <v>19</v>
      </c>
      <c r="B1182">
        <v>26.86</v>
      </c>
      <c r="C1182" t="str">
        <f t="shared" si="0"/>
        <v>N/A</v>
      </c>
    </row>
    <row r="1183" spans="1:11" x14ac:dyDescent="0.25">
      <c r="A1183" t="s">
        <v>20</v>
      </c>
      <c r="B1183">
        <v>71.33</v>
      </c>
      <c r="C1183" t="str">
        <f t="shared" si="0"/>
        <v>N/A</v>
      </c>
    </row>
    <row r="1184" spans="1:11" x14ac:dyDescent="0.25">
      <c r="A1184" t="s">
        <v>21</v>
      </c>
      <c r="B1184">
        <v>42.23</v>
      </c>
      <c r="C1184" t="str">
        <f t="shared" si="0"/>
        <v>N/A</v>
      </c>
    </row>
    <row r="1185" spans="1:3" x14ac:dyDescent="0.25">
      <c r="A1185" t="s">
        <v>22</v>
      </c>
      <c r="B1185">
        <v>34.880000000000003</v>
      </c>
      <c r="C1185" t="str">
        <f t="shared" si="0"/>
        <v>N/A</v>
      </c>
    </row>
    <row r="1186" spans="1:3" x14ac:dyDescent="0.25">
      <c r="A1186" t="s">
        <v>23</v>
      </c>
      <c r="B1186">
        <v>41.57</v>
      </c>
      <c r="C1186" t="str">
        <f t="shared" si="0"/>
        <v>N/A</v>
      </c>
    </row>
    <row r="1187" spans="1:3" x14ac:dyDescent="0.25">
      <c r="A1187" t="s">
        <v>24</v>
      </c>
      <c r="B1187">
        <v>30.69</v>
      </c>
      <c r="C1187" t="str">
        <f t="shared" si="0"/>
        <v>N/A</v>
      </c>
    </row>
    <row r="1188" spans="1:3" x14ac:dyDescent="0.25">
      <c r="A1188" t="s">
        <v>25</v>
      </c>
      <c r="B1188">
        <v>54.68</v>
      </c>
      <c r="C1188" t="str">
        <f t="shared" si="0"/>
        <v>N/A</v>
      </c>
    </row>
    <row r="1189" spans="1:3" x14ac:dyDescent="0.25">
      <c r="A1189" t="s">
        <v>26</v>
      </c>
      <c r="B1189">
        <v>66.680000000000007</v>
      </c>
      <c r="C1189" t="str">
        <f t="shared" si="0"/>
        <v>N/A</v>
      </c>
    </row>
    <row r="1190" spans="1:3" x14ac:dyDescent="0.25">
      <c r="A1190" t="s">
        <v>27</v>
      </c>
      <c r="B1190">
        <v>22.82</v>
      </c>
      <c r="C1190" t="str">
        <f t="shared" si="0"/>
        <v>N/A</v>
      </c>
    </row>
    <row r="1191" spans="1:3" x14ac:dyDescent="0.25">
      <c r="A1191" t="s">
        <v>28</v>
      </c>
      <c r="B1191">
        <v>31.65</v>
      </c>
      <c r="C1191" t="str">
        <f t="shared" si="0"/>
        <v>N/A</v>
      </c>
    </row>
    <row r="1192" spans="1:3" x14ac:dyDescent="0.25">
      <c r="A1192" t="s">
        <v>29</v>
      </c>
      <c r="B1192">
        <v>72.97</v>
      </c>
      <c r="C1192" t="str">
        <f t="shared" si="0"/>
        <v>N/A</v>
      </c>
    </row>
    <row r="1193" spans="1:3" x14ac:dyDescent="0.25">
      <c r="A1193" t="s">
        <v>30</v>
      </c>
      <c r="B1193">
        <v>24.56</v>
      </c>
      <c r="C1193" t="str">
        <f t="shared" si="0"/>
        <v>N/A</v>
      </c>
    </row>
    <row r="1194" spans="1:3" x14ac:dyDescent="0.25">
      <c r="A1194" t="s">
        <v>31</v>
      </c>
      <c r="B1194">
        <v>113.96</v>
      </c>
      <c r="C1194">
        <f t="shared" si="0"/>
        <v>52.949999999999996</v>
      </c>
    </row>
    <row r="1195" spans="1:3" x14ac:dyDescent="0.25">
      <c r="A1195" t="s">
        <v>32</v>
      </c>
      <c r="B1195">
        <v>25.36</v>
      </c>
      <c r="C1195" t="str">
        <f t="shared" si="0"/>
        <v>N/A</v>
      </c>
    </row>
    <row r="1196" spans="1:3" x14ac:dyDescent="0.25">
      <c r="A1196" t="s">
        <v>33</v>
      </c>
      <c r="B1196">
        <v>560.1</v>
      </c>
      <c r="C1196">
        <f t="shared" si="0"/>
        <v>499.09000000000003</v>
      </c>
    </row>
    <row r="1197" spans="1:3" x14ac:dyDescent="0.25">
      <c r="A1197" t="s">
        <v>34</v>
      </c>
      <c r="B1197">
        <v>178.37</v>
      </c>
      <c r="C1197">
        <f t="shared" si="0"/>
        <v>117.36000000000001</v>
      </c>
    </row>
    <row r="1198" spans="1:3" x14ac:dyDescent="0.25">
      <c r="A1198" t="s">
        <v>35</v>
      </c>
      <c r="B1198">
        <v>263.36</v>
      </c>
      <c r="C1198">
        <f t="shared" si="0"/>
        <v>202.35000000000002</v>
      </c>
    </row>
    <row r="1199" spans="1:3" x14ac:dyDescent="0.25">
      <c r="A1199" t="s">
        <v>36</v>
      </c>
      <c r="B1199">
        <v>95.68</v>
      </c>
      <c r="C1199">
        <f t="shared" si="0"/>
        <v>34.670000000000009</v>
      </c>
    </row>
    <row r="1200" spans="1:3" x14ac:dyDescent="0.25">
      <c r="A1200" t="s">
        <v>37</v>
      </c>
      <c r="B1200">
        <v>489.57</v>
      </c>
      <c r="C1200">
        <f t="shared" si="0"/>
        <v>428.56</v>
      </c>
    </row>
    <row r="1201" spans="1:3" x14ac:dyDescent="0.25">
      <c r="A1201" t="s">
        <v>38</v>
      </c>
      <c r="B1201">
        <v>87.59</v>
      </c>
      <c r="C1201">
        <f t="shared" si="0"/>
        <v>26.580000000000005</v>
      </c>
    </row>
    <row r="1202" spans="1:3" x14ac:dyDescent="0.25">
      <c r="A1202" t="s">
        <v>39</v>
      </c>
      <c r="B1202">
        <v>681.95</v>
      </c>
      <c r="C1202">
        <f t="shared" si="0"/>
        <v>620.94000000000005</v>
      </c>
    </row>
    <row r="1203" spans="1:3" x14ac:dyDescent="0.25">
      <c r="A1203" t="s">
        <v>40</v>
      </c>
      <c r="B1203">
        <v>114.99</v>
      </c>
      <c r="C1203">
        <f t="shared" si="0"/>
        <v>53.98</v>
      </c>
    </row>
    <row r="1204" spans="1:3" x14ac:dyDescent="0.25">
      <c r="A1204" t="s">
        <v>41</v>
      </c>
      <c r="B1204">
        <v>109.02</v>
      </c>
      <c r="C1204">
        <f t="shared" si="0"/>
        <v>48.01</v>
      </c>
    </row>
    <row r="1205" spans="1:3" x14ac:dyDescent="0.25">
      <c r="A1205" t="s">
        <v>42</v>
      </c>
      <c r="B1205">
        <v>76.77</v>
      </c>
      <c r="C1205" t="str">
        <f t="shared" si="0"/>
        <v>N/A</v>
      </c>
    </row>
    <row r="1206" spans="1:3" x14ac:dyDescent="0.25">
      <c r="A1206" t="s">
        <v>43</v>
      </c>
      <c r="B1206">
        <v>204.78</v>
      </c>
      <c r="C1206">
        <f t="shared" si="0"/>
        <v>143.77000000000001</v>
      </c>
    </row>
    <row r="1207" spans="1:3" x14ac:dyDescent="0.25">
      <c r="A1207" t="s">
        <v>44</v>
      </c>
      <c r="B1207">
        <v>73.67</v>
      </c>
      <c r="C1207" t="str">
        <f t="shared" si="0"/>
        <v>N/A</v>
      </c>
    </row>
    <row r="1208" spans="1:3" x14ac:dyDescent="0.25">
      <c r="A1208" t="s">
        <v>45</v>
      </c>
      <c r="B1208">
        <v>141.28</v>
      </c>
      <c r="C1208">
        <f t="shared" si="0"/>
        <v>80.27000000000001</v>
      </c>
    </row>
    <row r="1209" spans="1:3" x14ac:dyDescent="0.25">
      <c r="A1209" t="s">
        <v>46</v>
      </c>
      <c r="B1209">
        <v>145.12</v>
      </c>
      <c r="C1209">
        <f t="shared" si="0"/>
        <v>84.110000000000014</v>
      </c>
    </row>
    <row r="1210" spans="1:3" x14ac:dyDescent="0.25">
      <c r="A1210" t="s">
        <v>47</v>
      </c>
      <c r="B1210">
        <v>265.66000000000003</v>
      </c>
      <c r="C1210">
        <f t="shared" si="0"/>
        <v>204.65000000000003</v>
      </c>
    </row>
    <row r="1211" spans="1:3" x14ac:dyDescent="0.25">
      <c r="A1211" t="s">
        <v>48</v>
      </c>
      <c r="B1211">
        <v>95.08</v>
      </c>
      <c r="C1211">
        <f t="shared" si="0"/>
        <v>34.07</v>
      </c>
    </row>
    <row r="1212" spans="1:3" x14ac:dyDescent="0.25">
      <c r="A1212" t="s">
        <v>49</v>
      </c>
      <c r="B1212">
        <v>218.93</v>
      </c>
      <c r="C1212">
        <f t="shared" si="0"/>
        <v>157.92000000000002</v>
      </c>
    </row>
    <row r="1213" spans="1:3" x14ac:dyDescent="0.25">
      <c r="A1213" t="s">
        <v>50</v>
      </c>
      <c r="B1213">
        <v>247.29</v>
      </c>
      <c r="C1213">
        <f t="shared" si="0"/>
        <v>186.28</v>
      </c>
    </row>
    <row r="1214" spans="1:3" x14ac:dyDescent="0.25">
      <c r="A1214" t="s">
        <v>51</v>
      </c>
      <c r="B1214">
        <v>118.54</v>
      </c>
      <c r="C1214">
        <f t="shared" si="0"/>
        <v>57.530000000000008</v>
      </c>
    </row>
    <row r="1215" spans="1:3" x14ac:dyDescent="0.25">
      <c r="A1215" t="s">
        <v>52</v>
      </c>
      <c r="B1215">
        <v>125.35</v>
      </c>
      <c r="C1215">
        <f t="shared" si="0"/>
        <v>64.34</v>
      </c>
    </row>
    <row r="1216" spans="1:3" x14ac:dyDescent="0.25">
      <c r="A1216" t="s">
        <v>53</v>
      </c>
      <c r="B1216">
        <v>108.66</v>
      </c>
      <c r="C1216">
        <f t="shared" si="0"/>
        <v>47.65</v>
      </c>
    </row>
    <row r="1217" spans="1:4" x14ac:dyDescent="0.25">
      <c r="A1217" t="s">
        <v>54</v>
      </c>
      <c r="B1217">
        <v>862.4</v>
      </c>
      <c r="C1217">
        <f t="shared" si="0"/>
        <v>801.39</v>
      </c>
    </row>
    <row r="1218" spans="1:4" x14ac:dyDescent="0.25">
      <c r="A1218" t="s">
        <v>55</v>
      </c>
      <c r="B1218" s="2">
        <v>19040.28</v>
      </c>
      <c r="C1218">
        <f t="shared" si="0"/>
        <v>18979.27</v>
      </c>
      <c r="D1218" s="2" t="s">
        <v>172</v>
      </c>
    </row>
    <row r="1219" spans="1:4" x14ac:dyDescent="0.25">
      <c r="A1219" t="s">
        <v>56</v>
      </c>
      <c r="B1219">
        <v>27.51</v>
      </c>
      <c r="C1219" t="str">
        <f t="shared" si="0"/>
        <v>N/A</v>
      </c>
      <c r="D1219" s="2" t="s">
        <v>173</v>
      </c>
    </row>
    <row r="1220" spans="1:4" x14ac:dyDescent="0.25">
      <c r="A1220" t="s">
        <v>57</v>
      </c>
      <c r="B1220">
        <v>33.33</v>
      </c>
      <c r="C1220" t="str">
        <f t="shared" si="0"/>
        <v>N/A</v>
      </c>
    </row>
    <row r="1221" spans="1:4" x14ac:dyDescent="0.25">
      <c r="A1221" t="s">
        <v>58</v>
      </c>
      <c r="B1221">
        <v>100.31</v>
      </c>
      <c r="C1221">
        <f t="shared" si="0"/>
        <v>39.300000000000004</v>
      </c>
    </row>
    <row r="1222" spans="1:4" x14ac:dyDescent="0.25">
      <c r="A1222" t="s">
        <v>59</v>
      </c>
      <c r="B1222">
        <v>551.52</v>
      </c>
      <c r="C1222">
        <f t="shared" si="0"/>
        <v>490.51</v>
      </c>
    </row>
    <row r="1223" spans="1:4" x14ac:dyDescent="0.25">
      <c r="A1223" t="s">
        <v>60</v>
      </c>
      <c r="B1223">
        <v>172.97</v>
      </c>
      <c r="C1223">
        <f t="shared" si="0"/>
        <v>111.96000000000001</v>
      </c>
    </row>
    <row r="1224" spans="1:4" x14ac:dyDescent="0.25">
      <c r="A1224" t="s">
        <v>61</v>
      </c>
      <c r="B1224">
        <v>181.67</v>
      </c>
      <c r="C1224">
        <f t="shared" si="0"/>
        <v>120.66</v>
      </c>
    </row>
    <row r="1225" spans="1:4" x14ac:dyDescent="0.25">
      <c r="A1225" t="s">
        <v>62</v>
      </c>
      <c r="B1225">
        <v>240.82</v>
      </c>
      <c r="C1225">
        <f t="shared" si="0"/>
        <v>179.81</v>
      </c>
    </row>
    <row r="1226" spans="1:4" x14ac:dyDescent="0.25">
      <c r="A1226" t="s">
        <v>63</v>
      </c>
      <c r="B1226">
        <v>262.31</v>
      </c>
      <c r="C1226">
        <f t="shared" si="0"/>
        <v>201.3</v>
      </c>
    </row>
    <row r="1227" spans="1:4" x14ac:dyDescent="0.25">
      <c r="A1227" t="s">
        <v>64</v>
      </c>
      <c r="B1227">
        <v>218.6</v>
      </c>
      <c r="C1227">
        <f t="shared" si="0"/>
        <v>157.59</v>
      </c>
    </row>
    <row r="1228" spans="1:4" x14ac:dyDescent="0.25">
      <c r="A1228" t="s">
        <v>65</v>
      </c>
      <c r="B1228">
        <v>39.51</v>
      </c>
      <c r="C1228" t="str">
        <f t="shared" si="0"/>
        <v>N/A</v>
      </c>
    </row>
    <row r="1229" spans="1:4" x14ac:dyDescent="0.25">
      <c r="A1229" t="s">
        <v>66</v>
      </c>
      <c r="B1229">
        <v>110.42</v>
      </c>
      <c r="C1229">
        <f t="shared" si="0"/>
        <v>49.410000000000004</v>
      </c>
    </row>
    <row r="1230" spans="1:4" x14ac:dyDescent="0.25">
      <c r="A1230" t="s">
        <v>67</v>
      </c>
      <c r="B1230">
        <v>34.46</v>
      </c>
      <c r="C1230" t="str">
        <f t="shared" si="0"/>
        <v>N/A</v>
      </c>
    </row>
    <row r="1231" spans="1:4" x14ac:dyDescent="0.25">
      <c r="A1231" t="s">
        <v>68</v>
      </c>
      <c r="B1231">
        <v>81.66</v>
      </c>
      <c r="C1231">
        <f t="shared" si="0"/>
        <v>20.65</v>
      </c>
    </row>
    <row r="1232" spans="1:4" x14ac:dyDescent="0.25">
      <c r="A1232" t="s">
        <v>69</v>
      </c>
      <c r="B1232">
        <v>25</v>
      </c>
      <c r="C1232" t="str">
        <f t="shared" si="0"/>
        <v>N/A</v>
      </c>
    </row>
    <row r="1233" spans="1:3" x14ac:dyDescent="0.25">
      <c r="A1233" t="s">
        <v>70</v>
      </c>
      <c r="B1233">
        <v>972.28</v>
      </c>
      <c r="C1233">
        <f t="shared" si="0"/>
        <v>911.27</v>
      </c>
    </row>
    <row r="1234" spans="1:3" x14ac:dyDescent="0.25">
      <c r="A1234" t="s">
        <v>71</v>
      </c>
      <c r="B1234">
        <v>290.22000000000003</v>
      </c>
      <c r="C1234">
        <f t="shared" si="0"/>
        <v>229.21000000000004</v>
      </c>
    </row>
    <row r="1235" spans="1:3" x14ac:dyDescent="0.25">
      <c r="A1235" t="s">
        <v>72</v>
      </c>
      <c r="B1235">
        <v>723.45</v>
      </c>
      <c r="C1235">
        <f t="shared" ref="C1235:C1244" si="1">IF(OR(B1235&lt;$B$1169,B1235&lt;=$B$1169*1.3),"N/A",B1235-$B$1169)</f>
        <v>662.44</v>
      </c>
    </row>
    <row r="1236" spans="1:3" x14ac:dyDescent="0.25">
      <c r="A1236" t="s">
        <v>73</v>
      </c>
      <c r="B1236">
        <v>36.04</v>
      </c>
      <c r="C1236" t="str">
        <f t="shared" si="1"/>
        <v>N/A</v>
      </c>
    </row>
    <row r="1237" spans="1:3" x14ac:dyDescent="0.25">
      <c r="A1237" t="s">
        <v>74</v>
      </c>
      <c r="B1237">
        <v>205.7</v>
      </c>
      <c r="C1237">
        <f t="shared" si="1"/>
        <v>144.69</v>
      </c>
    </row>
    <row r="1238" spans="1:3" x14ac:dyDescent="0.25">
      <c r="A1238" t="s">
        <v>75</v>
      </c>
      <c r="B1238">
        <v>724.96</v>
      </c>
      <c r="C1238">
        <f t="shared" si="1"/>
        <v>663.95</v>
      </c>
    </row>
    <row r="1239" spans="1:3" x14ac:dyDescent="0.25">
      <c r="A1239" t="s">
        <v>76</v>
      </c>
      <c r="B1239">
        <v>1262.8399999999999</v>
      </c>
      <c r="C1239">
        <f t="shared" si="1"/>
        <v>1201.83</v>
      </c>
    </row>
    <row r="1240" spans="1:3" x14ac:dyDescent="0.25">
      <c r="A1240" t="s">
        <v>77</v>
      </c>
      <c r="B1240">
        <v>875.07</v>
      </c>
      <c r="C1240">
        <f t="shared" si="1"/>
        <v>814.06000000000006</v>
      </c>
    </row>
    <row r="1241" spans="1:3" x14ac:dyDescent="0.25">
      <c r="A1241" t="s">
        <v>78</v>
      </c>
      <c r="B1241">
        <v>97.46</v>
      </c>
      <c r="C1241">
        <f t="shared" si="1"/>
        <v>36.449999999999996</v>
      </c>
    </row>
    <row r="1242" spans="1:3" x14ac:dyDescent="0.25">
      <c r="A1242" t="s">
        <v>79</v>
      </c>
      <c r="B1242">
        <v>132</v>
      </c>
      <c r="C1242">
        <f t="shared" si="1"/>
        <v>70.990000000000009</v>
      </c>
    </row>
    <row r="1243" spans="1:3" x14ac:dyDescent="0.25">
      <c r="A1243" t="s">
        <v>80</v>
      </c>
      <c r="B1243">
        <v>182.68</v>
      </c>
      <c r="C1243">
        <f t="shared" si="1"/>
        <v>121.67000000000002</v>
      </c>
    </row>
    <row r="1244" spans="1:3" x14ac:dyDescent="0.25">
      <c r="A1244" t="s">
        <v>81</v>
      </c>
      <c r="B1244">
        <v>150.1</v>
      </c>
      <c r="C1244">
        <f t="shared" si="1"/>
        <v>89.09</v>
      </c>
    </row>
    <row r="1247" spans="1:3" x14ac:dyDescent="0.25">
      <c r="A1247" t="s">
        <v>0</v>
      </c>
      <c r="B1247" t="s">
        <v>94</v>
      </c>
    </row>
    <row r="1249" spans="1:2" s="1" customFormat="1" x14ac:dyDescent="0.25">
      <c r="A1249" s="1" t="s">
        <v>2</v>
      </c>
      <c r="B1249" s="1" t="s">
        <v>157</v>
      </c>
    </row>
    <row r="1250" spans="1:2" x14ac:dyDescent="0.25">
      <c r="A1250" t="s">
        <v>3</v>
      </c>
      <c r="B1250" t="s">
        <v>4</v>
      </c>
    </row>
    <row r="1251" spans="1:2" x14ac:dyDescent="0.25">
      <c r="A1251" t="s">
        <v>5</v>
      </c>
      <c r="B1251" t="s">
        <v>4</v>
      </c>
    </row>
    <row r="1252" spans="1:2" x14ac:dyDescent="0.25">
      <c r="A1252" t="s">
        <v>6</v>
      </c>
      <c r="B1252" t="s">
        <v>4</v>
      </c>
    </row>
    <row r="1253" spans="1:2" x14ac:dyDescent="0.25">
      <c r="A1253" t="s">
        <v>7</v>
      </c>
      <c r="B1253">
        <v>20.45</v>
      </c>
    </row>
    <row r="1254" spans="1:2" x14ac:dyDescent="0.25">
      <c r="A1254" t="s">
        <v>8</v>
      </c>
      <c r="B1254">
        <v>303.01</v>
      </c>
    </row>
    <row r="1255" spans="1:2" x14ac:dyDescent="0.25">
      <c r="A1255" t="s">
        <v>9</v>
      </c>
      <c r="B1255">
        <v>1421.1</v>
      </c>
    </row>
    <row r="1256" spans="1:2" x14ac:dyDescent="0.25">
      <c r="A1256" t="s">
        <v>10</v>
      </c>
      <c r="B1256">
        <v>231.37</v>
      </c>
    </row>
    <row r="1257" spans="1:2" x14ac:dyDescent="0.25">
      <c r="A1257" t="s">
        <v>11</v>
      </c>
      <c r="B1257">
        <v>39.6</v>
      </c>
    </row>
    <row r="1258" spans="1:2" x14ac:dyDescent="0.25">
      <c r="A1258" t="s">
        <v>12</v>
      </c>
      <c r="B1258">
        <v>22.72</v>
      </c>
    </row>
    <row r="1259" spans="1:2" x14ac:dyDescent="0.25">
      <c r="A1259" t="s">
        <v>13</v>
      </c>
      <c r="B1259">
        <v>62.74</v>
      </c>
    </row>
    <row r="1260" spans="1:2" x14ac:dyDescent="0.25">
      <c r="A1260" t="s">
        <v>14</v>
      </c>
      <c r="B1260">
        <v>101.55</v>
      </c>
    </row>
    <row r="1261" spans="1:2" x14ac:dyDescent="0.25">
      <c r="A1261" t="s">
        <v>15</v>
      </c>
      <c r="B1261">
        <v>101.71</v>
      </c>
    </row>
    <row r="1262" spans="1:2" x14ac:dyDescent="0.25">
      <c r="A1262" t="s">
        <v>16</v>
      </c>
      <c r="B1262">
        <v>62.84</v>
      </c>
    </row>
    <row r="1263" spans="1:2" x14ac:dyDescent="0.25">
      <c r="A1263" t="s">
        <v>17</v>
      </c>
      <c r="B1263">
        <v>721.16</v>
      </c>
    </row>
    <row r="1264" spans="1:2" x14ac:dyDescent="0.25">
      <c r="A1264" t="s">
        <v>18</v>
      </c>
      <c r="B1264">
        <v>28.73</v>
      </c>
    </row>
    <row r="1265" spans="1:2" x14ac:dyDescent="0.25">
      <c r="A1265" t="s">
        <v>19</v>
      </c>
      <c r="B1265">
        <v>13.54</v>
      </c>
    </row>
    <row r="1266" spans="1:2" x14ac:dyDescent="0.25">
      <c r="A1266" t="s">
        <v>20</v>
      </c>
      <c r="B1266">
        <v>21.31</v>
      </c>
    </row>
    <row r="1267" spans="1:2" x14ac:dyDescent="0.25">
      <c r="A1267" t="s">
        <v>21</v>
      </c>
      <c r="B1267">
        <v>28.48</v>
      </c>
    </row>
    <row r="1268" spans="1:2" x14ac:dyDescent="0.25">
      <c r="A1268" t="s">
        <v>22</v>
      </c>
      <c r="B1268">
        <v>24.44</v>
      </c>
    </row>
    <row r="1269" spans="1:2" x14ac:dyDescent="0.25">
      <c r="A1269" t="s">
        <v>23</v>
      </c>
      <c r="B1269">
        <v>25.71</v>
      </c>
    </row>
    <row r="1270" spans="1:2" x14ac:dyDescent="0.25">
      <c r="A1270" t="s">
        <v>24</v>
      </c>
      <c r="B1270">
        <v>14.72</v>
      </c>
    </row>
    <row r="1271" spans="1:2" x14ac:dyDescent="0.25">
      <c r="A1271" t="s">
        <v>25</v>
      </c>
      <c r="B1271">
        <v>115.3</v>
      </c>
    </row>
    <row r="1272" spans="1:2" x14ac:dyDescent="0.25">
      <c r="A1272" t="s">
        <v>26</v>
      </c>
      <c r="B1272">
        <v>208.27</v>
      </c>
    </row>
    <row r="1273" spans="1:2" x14ac:dyDescent="0.25">
      <c r="A1273" t="s">
        <v>27</v>
      </c>
      <c r="B1273">
        <v>14.11</v>
      </c>
    </row>
    <row r="1274" spans="1:2" x14ac:dyDescent="0.25">
      <c r="A1274" t="s">
        <v>28</v>
      </c>
      <c r="B1274">
        <v>29.01</v>
      </c>
    </row>
    <row r="1275" spans="1:2" x14ac:dyDescent="0.25">
      <c r="A1275" t="s">
        <v>29</v>
      </c>
      <c r="B1275">
        <v>328.71</v>
      </c>
    </row>
    <row r="1276" spans="1:2" x14ac:dyDescent="0.25">
      <c r="A1276" t="s">
        <v>30</v>
      </c>
      <c r="B1276">
        <v>661.81</v>
      </c>
    </row>
    <row r="1277" spans="1:2" x14ac:dyDescent="0.25">
      <c r="A1277" t="s">
        <v>31</v>
      </c>
      <c r="B1277">
        <v>490.85</v>
      </c>
    </row>
    <row r="1278" spans="1:2" x14ac:dyDescent="0.25">
      <c r="A1278" t="s">
        <v>32</v>
      </c>
      <c r="B1278">
        <v>7.31</v>
      </c>
    </row>
    <row r="1279" spans="1:2" x14ac:dyDescent="0.25">
      <c r="A1279" t="s">
        <v>33</v>
      </c>
      <c r="B1279">
        <v>5.37</v>
      </c>
    </row>
    <row r="1280" spans="1:2" x14ac:dyDescent="0.25">
      <c r="A1280" t="s">
        <v>34</v>
      </c>
      <c r="B1280">
        <v>77.55</v>
      </c>
    </row>
    <row r="1281" spans="1:2" x14ac:dyDescent="0.25">
      <c r="A1281" t="s">
        <v>35</v>
      </c>
      <c r="B1281">
        <v>10.85</v>
      </c>
    </row>
    <row r="1282" spans="1:2" x14ac:dyDescent="0.25">
      <c r="A1282" t="s">
        <v>36</v>
      </c>
      <c r="B1282">
        <v>78.83</v>
      </c>
    </row>
    <row r="1283" spans="1:2" x14ac:dyDescent="0.25">
      <c r="A1283" t="s">
        <v>37</v>
      </c>
      <c r="B1283">
        <v>6.44</v>
      </c>
    </row>
    <row r="1284" spans="1:2" x14ac:dyDescent="0.25">
      <c r="A1284" t="s">
        <v>38</v>
      </c>
      <c r="B1284">
        <v>58.31</v>
      </c>
    </row>
    <row r="1285" spans="1:2" x14ac:dyDescent="0.25">
      <c r="A1285" t="s">
        <v>39</v>
      </c>
      <c r="B1285">
        <v>12.12</v>
      </c>
    </row>
    <row r="1286" spans="1:2" x14ac:dyDescent="0.25">
      <c r="A1286" t="s">
        <v>40</v>
      </c>
      <c r="B1286">
        <v>89.06</v>
      </c>
    </row>
    <row r="1287" spans="1:2" x14ac:dyDescent="0.25">
      <c r="A1287" t="s">
        <v>41</v>
      </c>
      <c r="B1287">
        <v>3.37</v>
      </c>
    </row>
    <row r="1288" spans="1:2" x14ac:dyDescent="0.25">
      <c r="A1288" t="s">
        <v>42</v>
      </c>
      <c r="B1288">
        <v>103.84</v>
      </c>
    </row>
    <row r="1289" spans="1:2" x14ac:dyDescent="0.25">
      <c r="A1289" t="s">
        <v>43</v>
      </c>
      <c r="B1289">
        <v>8.27</v>
      </c>
    </row>
    <row r="1290" spans="1:2" x14ac:dyDescent="0.25">
      <c r="A1290" t="s">
        <v>44</v>
      </c>
      <c r="B1290">
        <v>114.8</v>
      </c>
    </row>
    <row r="1291" spans="1:2" x14ac:dyDescent="0.25">
      <c r="A1291" t="s">
        <v>45</v>
      </c>
      <c r="B1291">
        <v>4.3</v>
      </c>
    </row>
    <row r="1292" spans="1:2" x14ac:dyDescent="0.25">
      <c r="A1292" t="s">
        <v>46</v>
      </c>
      <c r="B1292">
        <v>119.67</v>
      </c>
    </row>
    <row r="1293" spans="1:2" x14ac:dyDescent="0.25">
      <c r="A1293" t="s">
        <v>47</v>
      </c>
      <c r="B1293">
        <v>5.28</v>
      </c>
    </row>
    <row r="1294" spans="1:2" x14ac:dyDescent="0.25">
      <c r="A1294" t="s">
        <v>48</v>
      </c>
      <c r="B1294">
        <v>117.05</v>
      </c>
    </row>
    <row r="1295" spans="1:2" x14ac:dyDescent="0.25">
      <c r="A1295" t="s">
        <v>49</v>
      </c>
      <c r="B1295">
        <v>5.46</v>
      </c>
    </row>
    <row r="1296" spans="1:2" x14ac:dyDescent="0.25">
      <c r="A1296" t="s">
        <v>50</v>
      </c>
      <c r="B1296">
        <v>93.02</v>
      </c>
    </row>
    <row r="1297" spans="1:2" x14ac:dyDescent="0.25">
      <c r="A1297" t="s">
        <v>51</v>
      </c>
      <c r="B1297">
        <v>2.4500000000000002</v>
      </c>
    </row>
    <row r="1298" spans="1:2" x14ac:dyDescent="0.25">
      <c r="A1298" t="s">
        <v>52</v>
      </c>
      <c r="B1298">
        <v>95.18</v>
      </c>
    </row>
    <row r="1299" spans="1:2" x14ac:dyDescent="0.25">
      <c r="A1299" t="s">
        <v>53</v>
      </c>
      <c r="B1299">
        <v>120.01</v>
      </c>
    </row>
    <row r="1300" spans="1:2" x14ac:dyDescent="0.25">
      <c r="A1300" t="s">
        <v>54</v>
      </c>
      <c r="B1300">
        <v>22.74</v>
      </c>
    </row>
    <row r="1301" spans="1:2" x14ac:dyDescent="0.25">
      <c r="A1301" t="s">
        <v>55</v>
      </c>
      <c r="B1301">
        <v>322.55</v>
      </c>
    </row>
    <row r="1302" spans="1:2" x14ac:dyDescent="0.25">
      <c r="A1302" t="s">
        <v>56</v>
      </c>
      <c r="B1302">
        <v>127.58</v>
      </c>
    </row>
    <row r="1303" spans="1:2" x14ac:dyDescent="0.25">
      <c r="A1303" t="s">
        <v>57</v>
      </c>
      <c r="B1303">
        <v>10.47</v>
      </c>
    </row>
    <row r="1304" spans="1:2" x14ac:dyDescent="0.25">
      <c r="A1304" t="s">
        <v>58</v>
      </c>
      <c r="B1304">
        <v>1278.8900000000001</v>
      </c>
    </row>
    <row r="1305" spans="1:2" x14ac:dyDescent="0.25">
      <c r="A1305" t="s">
        <v>59</v>
      </c>
      <c r="B1305">
        <v>292.24</v>
      </c>
    </row>
    <row r="1306" spans="1:2" x14ac:dyDescent="0.25">
      <c r="A1306" t="s">
        <v>60</v>
      </c>
      <c r="B1306">
        <v>143.99</v>
      </c>
    </row>
    <row r="1307" spans="1:2" x14ac:dyDescent="0.25">
      <c r="A1307" t="s">
        <v>61</v>
      </c>
      <c r="B1307">
        <v>140.59</v>
      </c>
    </row>
    <row r="1308" spans="1:2" x14ac:dyDescent="0.25">
      <c r="A1308" t="s">
        <v>62</v>
      </c>
      <c r="B1308">
        <v>111.94</v>
      </c>
    </row>
    <row r="1309" spans="1:2" x14ac:dyDescent="0.25">
      <c r="A1309" t="s">
        <v>63</v>
      </c>
      <c r="B1309">
        <v>107.34</v>
      </c>
    </row>
    <row r="1310" spans="1:2" x14ac:dyDescent="0.25">
      <c r="A1310" t="s">
        <v>64</v>
      </c>
      <c r="B1310">
        <v>146.51</v>
      </c>
    </row>
    <row r="1311" spans="1:2" x14ac:dyDescent="0.25">
      <c r="A1311" t="s">
        <v>65</v>
      </c>
      <c r="B1311">
        <v>40.69</v>
      </c>
    </row>
    <row r="1312" spans="1:2" x14ac:dyDescent="0.25">
      <c r="A1312" t="s">
        <v>66</v>
      </c>
      <c r="B1312">
        <v>80.16</v>
      </c>
    </row>
    <row r="1313" spans="1:2" x14ac:dyDescent="0.25">
      <c r="A1313" t="s">
        <v>67</v>
      </c>
      <c r="B1313">
        <v>342.74</v>
      </c>
    </row>
    <row r="1314" spans="1:2" x14ac:dyDescent="0.25">
      <c r="A1314" t="s">
        <v>68</v>
      </c>
      <c r="B1314">
        <v>1580.89</v>
      </c>
    </row>
    <row r="1315" spans="1:2" x14ac:dyDescent="0.25">
      <c r="A1315" t="s">
        <v>69</v>
      </c>
      <c r="B1315">
        <v>217.58</v>
      </c>
    </row>
    <row r="1316" spans="1:2" x14ac:dyDescent="0.25">
      <c r="A1316" t="s">
        <v>70</v>
      </c>
      <c r="B1316">
        <v>111.4</v>
      </c>
    </row>
    <row r="1317" spans="1:2" x14ac:dyDescent="0.25">
      <c r="A1317" t="s">
        <v>71</v>
      </c>
      <c r="B1317">
        <v>321.04000000000002</v>
      </c>
    </row>
    <row r="1318" spans="1:2" x14ac:dyDescent="0.25">
      <c r="A1318" t="s">
        <v>72</v>
      </c>
      <c r="B1318">
        <v>225.53</v>
      </c>
    </row>
    <row r="1319" spans="1:2" x14ac:dyDescent="0.25">
      <c r="A1319" t="s">
        <v>73</v>
      </c>
      <c r="B1319">
        <v>17.489999999999998</v>
      </c>
    </row>
    <row r="1320" spans="1:2" x14ac:dyDescent="0.25">
      <c r="A1320" t="s">
        <v>74</v>
      </c>
      <c r="B1320">
        <v>289.45</v>
      </c>
    </row>
    <row r="1321" spans="1:2" x14ac:dyDescent="0.25">
      <c r="A1321" t="s">
        <v>75</v>
      </c>
      <c r="B1321">
        <v>114.96</v>
      </c>
    </row>
    <row r="1322" spans="1:2" x14ac:dyDescent="0.25">
      <c r="A1322" t="s">
        <v>76</v>
      </c>
      <c r="B1322">
        <v>185.47</v>
      </c>
    </row>
    <row r="1323" spans="1:2" x14ac:dyDescent="0.25">
      <c r="A1323" t="s">
        <v>77</v>
      </c>
      <c r="B1323">
        <v>137.97999999999999</v>
      </c>
    </row>
    <row r="1324" spans="1:2" x14ac:dyDescent="0.25">
      <c r="A1324" t="s">
        <v>78</v>
      </c>
      <c r="B1324">
        <v>119.56</v>
      </c>
    </row>
    <row r="1325" spans="1:2" x14ac:dyDescent="0.25">
      <c r="A1325" t="s">
        <v>79</v>
      </c>
      <c r="B1325">
        <v>3.31</v>
      </c>
    </row>
    <row r="1326" spans="1:2" x14ac:dyDescent="0.25">
      <c r="A1326" t="s">
        <v>80</v>
      </c>
      <c r="B1326">
        <v>5.91</v>
      </c>
    </row>
    <row r="1327" spans="1:2" x14ac:dyDescent="0.25">
      <c r="A1327" t="s">
        <v>81</v>
      </c>
      <c r="B1327">
        <v>52.24</v>
      </c>
    </row>
    <row r="1330" spans="1:2" x14ac:dyDescent="0.25">
      <c r="A1330" t="s">
        <v>0</v>
      </c>
      <c r="B1330" t="s">
        <v>162</v>
      </c>
    </row>
    <row r="1332" spans="1:2" s="1" customFormat="1" x14ac:dyDescent="0.25">
      <c r="A1332" s="1" t="s">
        <v>2</v>
      </c>
      <c r="B1332" s="1" t="s">
        <v>157</v>
      </c>
    </row>
    <row r="1333" spans="1:2" x14ac:dyDescent="0.25">
      <c r="A1333" t="s">
        <v>3</v>
      </c>
      <c r="B1333" t="s">
        <v>4</v>
      </c>
    </row>
    <row r="1334" spans="1:2" x14ac:dyDescent="0.25">
      <c r="A1334" t="s">
        <v>5</v>
      </c>
      <c r="B1334" t="s">
        <v>4</v>
      </c>
    </row>
    <row r="1335" spans="1:2" x14ac:dyDescent="0.25">
      <c r="A1335" t="s">
        <v>6</v>
      </c>
      <c r="B1335" t="s">
        <v>4</v>
      </c>
    </row>
    <row r="1336" spans="1:2" x14ac:dyDescent="0.25">
      <c r="A1336" t="s">
        <v>7</v>
      </c>
      <c r="B1336">
        <v>3.21</v>
      </c>
    </row>
    <row r="1337" spans="1:2" x14ac:dyDescent="0.25">
      <c r="A1337" t="s">
        <v>8</v>
      </c>
      <c r="B1337">
        <v>61.96</v>
      </c>
    </row>
    <row r="1338" spans="1:2" x14ac:dyDescent="0.25">
      <c r="A1338" t="s">
        <v>9</v>
      </c>
      <c r="B1338">
        <v>209.33</v>
      </c>
    </row>
    <row r="1339" spans="1:2" x14ac:dyDescent="0.25">
      <c r="A1339" t="s">
        <v>10</v>
      </c>
      <c r="B1339">
        <v>50.77</v>
      </c>
    </row>
    <row r="1340" spans="1:2" x14ac:dyDescent="0.25">
      <c r="A1340" t="s">
        <v>11</v>
      </c>
      <c r="B1340">
        <v>7.29</v>
      </c>
    </row>
    <row r="1341" spans="1:2" x14ac:dyDescent="0.25">
      <c r="A1341" t="s">
        <v>12</v>
      </c>
      <c r="B1341">
        <v>4.0999999999999996</v>
      </c>
    </row>
    <row r="1342" spans="1:2" x14ac:dyDescent="0.25">
      <c r="A1342" t="s">
        <v>13</v>
      </c>
      <c r="B1342">
        <v>10.75</v>
      </c>
    </row>
    <row r="1343" spans="1:2" x14ac:dyDescent="0.25">
      <c r="A1343" t="s">
        <v>14</v>
      </c>
      <c r="B1343">
        <v>14.3</v>
      </c>
    </row>
    <row r="1344" spans="1:2" x14ac:dyDescent="0.25">
      <c r="A1344" t="s">
        <v>15</v>
      </c>
      <c r="B1344">
        <v>24.59</v>
      </c>
    </row>
    <row r="1345" spans="1:2" x14ac:dyDescent="0.25">
      <c r="A1345" t="s">
        <v>16</v>
      </c>
      <c r="B1345">
        <v>11.63</v>
      </c>
    </row>
    <row r="1346" spans="1:2" x14ac:dyDescent="0.25">
      <c r="A1346" t="s">
        <v>17</v>
      </c>
      <c r="B1346">
        <v>145.86000000000001</v>
      </c>
    </row>
    <row r="1347" spans="1:2" x14ac:dyDescent="0.25">
      <c r="A1347" t="s">
        <v>18</v>
      </c>
      <c r="B1347">
        <v>4.1100000000000003</v>
      </c>
    </row>
    <row r="1348" spans="1:2" x14ac:dyDescent="0.25">
      <c r="A1348" t="s">
        <v>19</v>
      </c>
      <c r="B1348">
        <v>1.88</v>
      </c>
    </row>
    <row r="1349" spans="1:2" x14ac:dyDescent="0.25">
      <c r="A1349" t="s">
        <v>20</v>
      </c>
      <c r="B1349">
        <v>2.57</v>
      </c>
    </row>
    <row r="1350" spans="1:2" x14ac:dyDescent="0.25">
      <c r="A1350" t="s">
        <v>21</v>
      </c>
      <c r="B1350">
        <v>4.0199999999999996</v>
      </c>
    </row>
    <row r="1351" spans="1:2" x14ac:dyDescent="0.25">
      <c r="A1351" t="s">
        <v>22</v>
      </c>
      <c r="B1351">
        <v>3.89</v>
      </c>
    </row>
    <row r="1352" spans="1:2" x14ac:dyDescent="0.25">
      <c r="A1352" t="s">
        <v>23</v>
      </c>
      <c r="B1352">
        <v>4.5199999999999996</v>
      </c>
    </row>
    <row r="1353" spans="1:2" x14ac:dyDescent="0.25">
      <c r="A1353" t="s">
        <v>24</v>
      </c>
      <c r="B1353">
        <v>2.4</v>
      </c>
    </row>
    <row r="1354" spans="1:2" x14ac:dyDescent="0.25">
      <c r="A1354" t="s">
        <v>25</v>
      </c>
      <c r="B1354">
        <v>14.56</v>
      </c>
    </row>
    <row r="1355" spans="1:2" x14ac:dyDescent="0.25">
      <c r="A1355" t="s">
        <v>26</v>
      </c>
      <c r="B1355">
        <v>32.03</v>
      </c>
    </row>
    <row r="1356" spans="1:2" x14ac:dyDescent="0.25">
      <c r="A1356" t="s">
        <v>27</v>
      </c>
      <c r="B1356">
        <v>2.0499999999999998</v>
      </c>
    </row>
    <row r="1357" spans="1:2" x14ac:dyDescent="0.25">
      <c r="A1357" t="s">
        <v>28</v>
      </c>
      <c r="B1357">
        <v>3.62</v>
      </c>
    </row>
    <row r="1358" spans="1:2" x14ac:dyDescent="0.25">
      <c r="A1358" t="s">
        <v>29</v>
      </c>
      <c r="B1358">
        <v>73.78</v>
      </c>
    </row>
    <row r="1359" spans="1:2" x14ac:dyDescent="0.25">
      <c r="A1359" t="s">
        <v>30</v>
      </c>
      <c r="B1359">
        <v>126.4</v>
      </c>
    </row>
    <row r="1360" spans="1:2" x14ac:dyDescent="0.25">
      <c r="A1360" t="s">
        <v>31</v>
      </c>
      <c r="B1360">
        <v>92.02</v>
      </c>
    </row>
    <row r="1361" spans="1:2" x14ac:dyDescent="0.25">
      <c r="A1361" t="s">
        <v>32</v>
      </c>
      <c r="B1361">
        <v>0.68</v>
      </c>
    </row>
    <row r="1362" spans="1:2" x14ac:dyDescent="0.25">
      <c r="A1362" t="s">
        <v>33</v>
      </c>
      <c r="B1362">
        <v>0.52</v>
      </c>
    </row>
    <row r="1363" spans="1:2" x14ac:dyDescent="0.25">
      <c r="A1363" t="s">
        <v>34</v>
      </c>
      <c r="B1363" t="s">
        <v>4</v>
      </c>
    </row>
    <row r="1364" spans="1:2" x14ac:dyDescent="0.25">
      <c r="A1364" t="s">
        <v>35</v>
      </c>
      <c r="B1364" t="s">
        <v>4</v>
      </c>
    </row>
    <row r="1365" spans="1:2" x14ac:dyDescent="0.25">
      <c r="A1365" t="s">
        <v>36</v>
      </c>
      <c r="B1365">
        <v>2.33</v>
      </c>
    </row>
    <row r="1366" spans="1:2" x14ac:dyDescent="0.25">
      <c r="A1366" t="s">
        <v>37</v>
      </c>
      <c r="B1366" t="s">
        <v>4</v>
      </c>
    </row>
    <row r="1367" spans="1:2" x14ac:dyDescent="0.25">
      <c r="A1367" t="s">
        <v>38</v>
      </c>
      <c r="B1367" t="s">
        <v>4</v>
      </c>
    </row>
    <row r="1368" spans="1:2" x14ac:dyDescent="0.25">
      <c r="A1368" t="s">
        <v>39</v>
      </c>
      <c r="B1368" t="s">
        <v>4</v>
      </c>
    </row>
    <row r="1369" spans="1:2" x14ac:dyDescent="0.25">
      <c r="A1369" t="s">
        <v>40</v>
      </c>
      <c r="B1369">
        <v>2.75</v>
      </c>
    </row>
    <row r="1370" spans="1:2" x14ac:dyDescent="0.25">
      <c r="A1370" t="s">
        <v>41</v>
      </c>
      <c r="B1370" t="s">
        <v>4</v>
      </c>
    </row>
    <row r="1371" spans="1:2" x14ac:dyDescent="0.25">
      <c r="A1371" t="s">
        <v>42</v>
      </c>
      <c r="B1371" t="s">
        <v>4</v>
      </c>
    </row>
    <row r="1372" spans="1:2" x14ac:dyDescent="0.25">
      <c r="A1372" t="s">
        <v>43</v>
      </c>
      <c r="B1372" t="s">
        <v>4</v>
      </c>
    </row>
    <row r="1373" spans="1:2" x14ac:dyDescent="0.25">
      <c r="A1373" t="s">
        <v>44</v>
      </c>
      <c r="B1373">
        <v>4.03</v>
      </c>
    </row>
    <row r="1374" spans="1:2" x14ac:dyDescent="0.25">
      <c r="A1374" t="s">
        <v>45</v>
      </c>
      <c r="B1374" t="s">
        <v>4</v>
      </c>
    </row>
    <row r="1375" spans="1:2" x14ac:dyDescent="0.25">
      <c r="A1375" t="s">
        <v>46</v>
      </c>
      <c r="B1375" t="s">
        <v>4</v>
      </c>
    </row>
    <row r="1376" spans="1:2" x14ac:dyDescent="0.25">
      <c r="A1376" t="s">
        <v>47</v>
      </c>
      <c r="B1376" t="s">
        <v>4</v>
      </c>
    </row>
    <row r="1377" spans="1:2" x14ac:dyDescent="0.25">
      <c r="A1377" t="s">
        <v>48</v>
      </c>
      <c r="B1377">
        <v>8.8699999999999992</v>
      </c>
    </row>
    <row r="1378" spans="1:2" x14ac:dyDescent="0.25">
      <c r="A1378" t="s">
        <v>49</v>
      </c>
      <c r="B1378" t="s">
        <v>4</v>
      </c>
    </row>
    <row r="1379" spans="1:2" x14ac:dyDescent="0.25">
      <c r="A1379" t="s">
        <v>50</v>
      </c>
      <c r="B1379" t="s">
        <v>4</v>
      </c>
    </row>
    <row r="1380" spans="1:2" x14ac:dyDescent="0.25">
      <c r="A1380" t="s">
        <v>51</v>
      </c>
      <c r="B1380" t="s">
        <v>4</v>
      </c>
    </row>
    <row r="1381" spans="1:2" x14ac:dyDescent="0.25">
      <c r="A1381" t="s">
        <v>52</v>
      </c>
      <c r="B1381">
        <v>5.22</v>
      </c>
    </row>
    <row r="1382" spans="1:2" x14ac:dyDescent="0.25">
      <c r="A1382" t="s">
        <v>53</v>
      </c>
      <c r="B1382">
        <v>8.34</v>
      </c>
    </row>
    <row r="1383" spans="1:2" x14ac:dyDescent="0.25">
      <c r="A1383" t="s">
        <v>54</v>
      </c>
      <c r="B1383">
        <v>2.78</v>
      </c>
    </row>
    <row r="1384" spans="1:2" x14ac:dyDescent="0.25">
      <c r="A1384" t="s">
        <v>55</v>
      </c>
      <c r="B1384">
        <v>31.2</v>
      </c>
    </row>
    <row r="1385" spans="1:2" x14ac:dyDescent="0.25">
      <c r="A1385" t="s">
        <v>56</v>
      </c>
      <c r="B1385">
        <v>19.04</v>
      </c>
    </row>
    <row r="1386" spans="1:2" x14ac:dyDescent="0.25">
      <c r="A1386" t="s">
        <v>57</v>
      </c>
      <c r="B1386">
        <v>2.1</v>
      </c>
    </row>
    <row r="1387" spans="1:2" x14ac:dyDescent="0.25">
      <c r="A1387" t="s">
        <v>58</v>
      </c>
      <c r="B1387">
        <v>305.54000000000002</v>
      </c>
    </row>
    <row r="1388" spans="1:2" x14ac:dyDescent="0.25">
      <c r="A1388" t="s">
        <v>59</v>
      </c>
      <c r="B1388">
        <v>21.36</v>
      </c>
    </row>
    <row r="1389" spans="1:2" x14ac:dyDescent="0.25">
      <c r="A1389" t="s">
        <v>60</v>
      </c>
      <c r="B1389">
        <v>10.74</v>
      </c>
    </row>
    <row r="1390" spans="1:2" x14ac:dyDescent="0.25">
      <c r="A1390" t="s">
        <v>61</v>
      </c>
      <c r="B1390">
        <v>10.199999999999999</v>
      </c>
    </row>
    <row r="1391" spans="1:2" x14ac:dyDescent="0.25">
      <c r="A1391" t="s">
        <v>62</v>
      </c>
      <c r="B1391">
        <v>9.06</v>
      </c>
    </row>
    <row r="1392" spans="1:2" x14ac:dyDescent="0.25">
      <c r="A1392" t="s">
        <v>63</v>
      </c>
      <c r="B1392">
        <v>9.7799999999999994</v>
      </c>
    </row>
    <row r="1393" spans="1:2" x14ac:dyDescent="0.25">
      <c r="A1393" t="s">
        <v>64</v>
      </c>
      <c r="B1393">
        <v>12.84</v>
      </c>
    </row>
    <row r="1394" spans="1:2" x14ac:dyDescent="0.25">
      <c r="A1394" t="s">
        <v>65</v>
      </c>
      <c r="B1394">
        <v>5.43</v>
      </c>
    </row>
    <row r="1395" spans="1:2" x14ac:dyDescent="0.25">
      <c r="A1395" t="s">
        <v>66</v>
      </c>
      <c r="B1395">
        <v>8.8699999999999992</v>
      </c>
    </row>
    <row r="1396" spans="1:2" x14ac:dyDescent="0.25">
      <c r="A1396" t="s">
        <v>67</v>
      </c>
      <c r="B1396">
        <v>68.3</v>
      </c>
    </row>
    <row r="1397" spans="1:2" x14ac:dyDescent="0.25">
      <c r="A1397" t="s">
        <v>68</v>
      </c>
      <c r="B1397">
        <v>40.99</v>
      </c>
    </row>
    <row r="1398" spans="1:2" x14ac:dyDescent="0.25">
      <c r="A1398" t="s">
        <v>69</v>
      </c>
      <c r="B1398">
        <v>48.21</v>
      </c>
    </row>
    <row r="1399" spans="1:2" x14ac:dyDescent="0.25">
      <c r="A1399" t="s">
        <v>70</v>
      </c>
      <c r="B1399">
        <v>10.61</v>
      </c>
    </row>
    <row r="1400" spans="1:2" x14ac:dyDescent="0.25">
      <c r="A1400" t="s">
        <v>71</v>
      </c>
      <c r="B1400">
        <v>20.2</v>
      </c>
    </row>
    <row r="1401" spans="1:2" x14ac:dyDescent="0.25">
      <c r="A1401" t="s">
        <v>72</v>
      </c>
      <c r="B1401">
        <v>13.52</v>
      </c>
    </row>
    <row r="1402" spans="1:2" x14ac:dyDescent="0.25">
      <c r="A1402" t="s">
        <v>73</v>
      </c>
      <c r="B1402">
        <v>2.44</v>
      </c>
    </row>
    <row r="1403" spans="1:2" x14ac:dyDescent="0.25">
      <c r="A1403" t="s">
        <v>74</v>
      </c>
      <c r="B1403">
        <v>18.28</v>
      </c>
    </row>
    <row r="1404" spans="1:2" x14ac:dyDescent="0.25">
      <c r="A1404" t="s">
        <v>75</v>
      </c>
      <c r="B1404">
        <v>11.13</v>
      </c>
    </row>
    <row r="1405" spans="1:2" x14ac:dyDescent="0.25">
      <c r="A1405" t="s">
        <v>76</v>
      </c>
      <c r="B1405">
        <v>12.2</v>
      </c>
    </row>
    <row r="1406" spans="1:2" x14ac:dyDescent="0.25">
      <c r="A1406" t="s">
        <v>77</v>
      </c>
      <c r="B1406">
        <v>11.02</v>
      </c>
    </row>
    <row r="1407" spans="1:2" x14ac:dyDescent="0.25">
      <c r="A1407" t="s">
        <v>78</v>
      </c>
      <c r="B1407">
        <v>4.25</v>
      </c>
    </row>
    <row r="1408" spans="1:2" x14ac:dyDescent="0.25">
      <c r="A1408" t="s">
        <v>79</v>
      </c>
      <c r="B1408" t="s">
        <v>4</v>
      </c>
    </row>
    <row r="1409" spans="1:2" x14ac:dyDescent="0.25">
      <c r="A1409" t="s">
        <v>80</v>
      </c>
      <c r="B1409">
        <v>0.51</v>
      </c>
    </row>
    <row r="1410" spans="1:2" x14ac:dyDescent="0.25">
      <c r="A1410" t="s">
        <v>81</v>
      </c>
      <c r="B1410" t="s">
        <v>4</v>
      </c>
    </row>
    <row r="1413" spans="1:2" x14ac:dyDescent="0.25">
      <c r="A1413" t="s">
        <v>0</v>
      </c>
      <c r="B1413" t="s">
        <v>163</v>
      </c>
    </row>
    <row r="1415" spans="1:2" s="1" customFormat="1" x14ac:dyDescent="0.25">
      <c r="A1415" s="1" t="s">
        <v>2</v>
      </c>
      <c r="B1415" s="1" t="s">
        <v>157</v>
      </c>
    </row>
    <row r="1416" spans="1:2" x14ac:dyDescent="0.25">
      <c r="A1416" t="s">
        <v>3</v>
      </c>
      <c r="B1416" t="s">
        <v>4</v>
      </c>
    </row>
    <row r="1417" spans="1:2" x14ac:dyDescent="0.25">
      <c r="A1417" t="s">
        <v>5</v>
      </c>
      <c r="B1417" t="s">
        <v>4</v>
      </c>
    </row>
    <row r="1418" spans="1:2" x14ac:dyDescent="0.25">
      <c r="A1418" t="s">
        <v>6</v>
      </c>
      <c r="B1418" t="s">
        <v>4</v>
      </c>
    </row>
    <row r="1419" spans="1:2" x14ac:dyDescent="0.25">
      <c r="A1419" t="s">
        <v>7</v>
      </c>
      <c r="B1419" t="s">
        <v>4</v>
      </c>
    </row>
    <row r="1420" spans="1:2" x14ac:dyDescent="0.25">
      <c r="A1420" t="s">
        <v>8</v>
      </c>
      <c r="B1420" t="s">
        <v>4</v>
      </c>
    </row>
    <row r="1421" spans="1:2" x14ac:dyDescent="0.25">
      <c r="A1421" t="s">
        <v>9</v>
      </c>
      <c r="B1421" t="s">
        <v>4</v>
      </c>
    </row>
    <row r="1422" spans="1:2" x14ac:dyDescent="0.25">
      <c r="A1422" t="s">
        <v>10</v>
      </c>
      <c r="B1422" t="s">
        <v>4</v>
      </c>
    </row>
    <row r="1423" spans="1:2" x14ac:dyDescent="0.25">
      <c r="A1423" t="s">
        <v>11</v>
      </c>
      <c r="B1423" t="s">
        <v>4</v>
      </c>
    </row>
    <row r="1424" spans="1:2" x14ac:dyDescent="0.25">
      <c r="A1424" t="s">
        <v>12</v>
      </c>
      <c r="B1424" t="s">
        <v>4</v>
      </c>
    </row>
    <row r="1425" spans="1:2" x14ac:dyDescent="0.25">
      <c r="A1425" t="s">
        <v>13</v>
      </c>
      <c r="B1425" t="s">
        <v>4</v>
      </c>
    </row>
    <row r="1426" spans="1:2" x14ac:dyDescent="0.25">
      <c r="A1426" t="s">
        <v>14</v>
      </c>
      <c r="B1426" t="s">
        <v>4</v>
      </c>
    </row>
    <row r="1427" spans="1:2" x14ac:dyDescent="0.25">
      <c r="A1427" t="s">
        <v>15</v>
      </c>
      <c r="B1427">
        <v>4.8</v>
      </c>
    </row>
    <row r="1428" spans="1:2" x14ac:dyDescent="0.25">
      <c r="A1428" t="s">
        <v>16</v>
      </c>
      <c r="B1428" t="s">
        <v>4</v>
      </c>
    </row>
    <row r="1429" spans="1:2" x14ac:dyDescent="0.25">
      <c r="A1429" t="s">
        <v>17</v>
      </c>
      <c r="B1429" t="s">
        <v>4</v>
      </c>
    </row>
    <row r="1430" spans="1:2" x14ac:dyDescent="0.25">
      <c r="A1430" t="s">
        <v>18</v>
      </c>
      <c r="B1430" t="s">
        <v>4</v>
      </c>
    </row>
    <row r="1431" spans="1:2" x14ac:dyDescent="0.25">
      <c r="A1431" t="s">
        <v>19</v>
      </c>
      <c r="B1431" t="s">
        <v>4</v>
      </c>
    </row>
    <row r="1432" spans="1:2" x14ac:dyDescent="0.25">
      <c r="A1432" t="s">
        <v>20</v>
      </c>
      <c r="B1432" t="s">
        <v>4</v>
      </c>
    </row>
    <row r="1433" spans="1:2" x14ac:dyDescent="0.25">
      <c r="A1433" t="s">
        <v>21</v>
      </c>
      <c r="B1433" t="s">
        <v>4</v>
      </c>
    </row>
    <row r="1434" spans="1:2" x14ac:dyDescent="0.25">
      <c r="A1434" t="s">
        <v>22</v>
      </c>
      <c r="B1434">
        <v>1.23</v>
      </c>
    </row>
    <row r="1435" spans="1:2" x14ac:dyDescent="0.25">
      <c r="A1435" t="s">
        <v>23</v>
      </c>
      <c r="B1435" t="s">
        <v>4</v>
      </c>
    </row>
    <row r="1436" spans="1:2" x14ac:dyDescent="0.25">
      <c r="A1436" t="s">
        <v>24</v>
      </c>
      <c r="B1436" t="s">
        <v>4</v>
      </c>
    </row>
    <row r="1437" spans="1:2" x14ac:dyDescent="0.25">
      <c r="A1437" t="s">
        <v>25</v>
      </c>
      <c r="B1437" t="s">
        <v>4</v>
      </c>
    </row>
    <row r="1438" spans="1:2" x14ac:dyDescent="0.25">
      <c r="A1438" t="s">
        <v>26</v>
      </c>
      <c r="B1438" t="s">
        <v>4</v>
      </c>
    </row>
    <row r="1439" spans="1:2" x14ac:dyDescent="0.25">
      <c r="A1439" t="s">
        <v>27</v>
      </c>
      <c r="B1439" t="s">
        <v>4</v>
      </c>
    </row>
    <row r="1440" spans="1:2" x14ac:dyDescent="0.25">
      <c r="A1440" t="s">
        <v>28</v>
      </c>
      <c r="B1440" t="s">
        <v>4</v>
      </c>
    </row>
    <row r="1441" spans="1:2" x14ac:dyDescent="0.25">
      <c r="A1441" t="s">
        <v>29</v>
      </c>
      <c r="B1441" t="s">
        <v>4</v>
      </c>
    </row>
    <row r="1442" spans="1:2" x14ac:dyDescent="0.25">
      <c r="A1442" t="s">
        <v>30</v>
      </c>
      <c r="B1442" t="s">
        <v>4</v>
      </c>
    </row>
    <row r="1443" spans="1:2" x14ac:dyDescent="0.25">
      <c r="A1443" t="s">
        <v>31</v>
      </c>
      <c r="B1443" t="s">
        <v>4</v>
      </c>
    </row>
    <row r="1444" spans="1:2" x14ac:dyDescent="0.25">
      <c r="A1444" t="s">
        <v>32</v>
      </c>
      <c r="B1444" t="s">
        <v>4</v>
      </c>
    </row>
    <row r="1445" spans="1:2" x14ac:dyDescent="0.25">
      <c r="A1445" t="s">
        <v>33</v>
      </c>
      <c r="B1445" t="s">
        <v>4</v>
      </c>
    </row>
    <row r="1446" spans="1:2" x14ac:dyDescent="0.25">
      <c r="A1446" t="s">
        <v>34</v>
      </c>
      <c r="B1446" t="s">
        <v>4</v>
      </c>
    </row>
    <row r="1447" spans="1:2" x14ac:dyDescent="0.25">
      <c r="A1447" t="s">
        <v>35</v>
      </c>
      <c r="B1447" t="s">
        <v>4</v>
      </c>
    </row>
    <row r="1448" spans="1:2" x14ac:dyDescent="0.25">
      <c r="A1448" t="s">
        <v>36</v>
      </c>
      <c r="B1448" t="s">
        <v>4</v>
      </c>
    </row>
    <row r="1449" spans="1:2" x14ac:dyDescent="0.25">
      <c r="A1449" t="s">
        <v>37</v>
      </c>
      <c r="B1449" t="s">
        <v>4</v>
      </c>
    </row>
    <row r="1450" spans="1:2" x14ac:dyDescent="0.25">
      <c r="A1450" t="s">
        <v>38</v>
      </c>
      <c r="B1450" t="s">
        <v>4</v>
      </c>
    </row>
    <row r="1451" spans="1:2" x14ac:dyDescent="0.25">
      <c r="A1451" t="s">
        <v>39</v>
      </c>
      <c r="B1451" t="s">
        <v>4</v>
      </c>
    </row>
    <row r="1452" spans="1:2" x14ac:dyDescent="0.25">
      <c r="A1452" t="s">
        <v>40</v>
      </c>
      <c r="B1452" t="s">
        <v>4</v>
      </c>
    </row>
    <row r="1453" spans="1:2" x14ac:dyDescent="0.25">
      <c r="A1453" t="s">
        <v>41</v>
      </c>
      <c r="B1453" t="s">
        <v>4</v>
      </c>
    </row>
    <row r="1454" spans="1:2" x14ac:dyDescent="0.25">
      <c r="A1454" t="s">
        <v>42</v>
      </c>
      <c r="B1454" t="s">
        <v>4</v>
      </c>
    </row>
    <row r="1455" spans="1:2" x14ac:dyDescent="0.25">
      <c r="A1455" t="s">
        <v>43</v>
      </c>
      <c r="B1455" t="s">
        <v>4</v>
      </c>
    </row>
    <row r="1456" spans="1:2" x14ac:dyDescent="0.25">
      <c r="A1456" t="s">
        <v>44</v>
      </c>
      <c r="B1456" t="s">
        <v>4</v>
      </c>
    </row>
    <row r="1457" spans="1:2" x14ac:dyDescent="0.25">
      <c r="A1457" t="s">
        <v>45</v>
      </c>
      <c r="B1457" t="s">
        <v>4</v>
      </c>
    </row>
    <row r="1458" spans="1:2" x14ac:dyDescent="0.25">
      <c r="A1458" t="s">
        <v>46</v>
      </c>
      <c r="B1458" t="s">
        <v>4</v>
      </c>
    </row>
    <row r="1459" spans="1:2" x14ac:dyDescent="0.25">
      <c r="A1459" t="s">
        <v>47</v>
      </c>
      <c r="B1459" t="s">
        <v>4</v>
      </c>
    </row>
    <row r="1460" spans="1:2" x14ac:dyDescent="0.25">
      <c r="A1460" t="s">
        <v>48</v>
      </c>
      <c r="B1460" t="s">
        <v>4</v>
      </c>
    </row>
    <row r="1461" spans="1:2" x14ac:dyDescent="0.25">
      <c r="A1461" t="s">
        <v>49</v>
      </c>
      <c r="B1461" t="s">
        <v>4</v>
      </c>
    </row>
    <row r="1462" spans="1:2" x14ac:dyDescent="0.25">
      <c r="A1462" t="s">
        <v>50</v>
      </c>
      <c r="B1462" t="s">
        <v>4</v>
      </c>
    </row>
    <row r="1463" spans="1:2" x14ac:dyDescent="0.25">
      <c r="A1463" t="s">
        <v>51</v>
      </c>
      <c r="B1463" t="s">
        <v>4</v>
      </c>
    </row>
    <row r="1464" spans="1:2" x14ac:dyDescent="0.25">
      <c r="A1464" t="s">
        <v>52</v>
      </c>
      <c r="B1464" t="s">
        <v>4</v>
      </c>
    </row>
    <row r="1465" spans="1:2" x14ac:dyDescent="0.25">
      <c r="A1465" t="s">
        <v>53</v>
      </c>
      <c r="B1465">
        <v>4.42</v>
      </c>
    </row>
    <row r="1466" spans="1:2" x14ac:dyDescent="0.25">
      <c r="A1466" t="s">
        <v>54</v>
      </c>
      <c r="B1466">
        <v>0.79</v>
      </c>
    </row>
    <row r="1467" spans="1:2" x14ac:dyDescent="0.25">
      <c r="A1467" t="s">
        <v>55</v>
      </c>
      <c r="B1467">
        <v>19.86</v>
      </c>
    </row>
    <row r="1468" spans="1:2" x14ac:dyDescent="0.25">
      <c r="A1468" t="s">
        <v>56</v>
      </c>
      <c r="B1468" t="s">
        <v>4</v>
      </c>
    </row>
    <row r="1469" spans="1:2" x14ac:dyDescent="0.25">
      <c r="A1469" t="s">
        <v>57</v>
      </c>
      <c r="B1469" t="s">
        <v>4</v>
      </c>
    </row>
    <row r="1470" spans="1:2" x14ac:dyDescent="0.25">
      <c r="A1470" t="s">
        <v>58</v>
      </c>
      <c r="B1470" t="s">
        <v>4</v>
      </c>
    </row>
    <row r="1471" spans="1:2" x14ac:dyDescent="0.25">
      <c r="A1471" t="s">
        <v>59</v>
      </c>
      <c r="B1471">
        <v>13.73</v>
      </c>
    </row>
    <row r="1472" spans="1:2" x14ac:dyDescent="0.25">
      <c r="A1472" t="s">
        <v>60</v>
      </c>
      <c r="B1472">
        <v>6.12</v>
      </c>
    </row>
    <row r="1473" spans="1:2" x14ac:dyDescent="0.25">
      <c r="A1473" t="s">
        <v>61</v>
      </c>
      <c r="B1473">
        <v>4.92</v>
      </c>
    </row>
    <row r="1474" spans="1:2" x14ac:dyDescent="0.25">
      <c r="A1474" t="s">
        <v>62</v>
      </c>
      <c r="B1474">
        <v>3.9</v>
      </c>
    </row>
    <row r="1475" spans="1:2" x14ac:dyDescent="0.25">
      <c r="A1475" t="s">
        <v>63</v>
      </c>
      <c r="B1475">
        <v>3.49</v>
      </c>
    </row>
    <row r="1476" spans="1:2" x14ac:dyDescent="0.25">
      <c r="A1476" t="s">
        <v>64</v>
      </c>
      <c r="B1476">
        <v>5.75</v>
      </c>
    </row>
    <row r="1477" spans="1:2" x14ac:dyDescent="0.25">
      <c r="A1477" t="s">
        <v>65</v>
      </c>
      <c r="B1477" t="s">
        <v>4</v>
      </c>
    </row>
    <row r="1478" spans="1:2" x14ac:dyDescent="0.25">
      <c r="A1478" t="s">
        <v>66</v>
      </c>
      <c r="B1478" t="s">
        <v>4</v>
      </c>
    </row>
    <row r="1479" spans="1:2" x14ac:dyDescent="0.25">
      <c r="A1479" t="s">
        <v>67</v>
      </c>
      <c r="B1479" t="s">
        <v>4</v>
      </c>
    </row>
    <row r="1480" spans="1:2" x14ac:dyDescent="0.25">
      <c r="A1480" t="s">
        <v>68</v>
      </c>
      <c r="B1480">
        <v>25.32</v>
      </c>
    </row>
    <row r="1481" spans="1:2" x14ac:dyDescent="0.25">
      <c r="A1481" t="s">
        <v>69</v>
      </c>
      <c r="B1481" t="s">
        <v>4</v>
      </c>
    </row>
    <row r="1482" spans="1:2" x14ac:dyDescent="0.25">
      <c r="A1482" t="s">
        <v>70</v>
      </c>
      <c r="B1482">
        <v>3.27</v>
      </c>
    </row>
    <row r="1483" spans="1:2" x14ac:dyDescent="0.25">
      <c r="A1483" t="s">
        <v>71</v>
      </c>
      <c r="B1483">
        <v>11.04</v>
      </c>
    </row>
    <row r="1484" spans="1:2" x14ac:dyDescent="0.25">
      <c r="A1484" t="s">
        <v>72</v>
      </c>
      <c r="B1484">
        <v>8.43</v>
      </c>
    </row>
    <row r="1485" spans="1:2" x14ac:dyDescent="0.25">
      <c r="A1485" t="s">
        <v>73</v>
      </c>
      <c r="B1485" t="s">
        <v>4</v>
      </c>
    </row>
    <row r="1486" spans="1:2" x14ac:dyDescent="0.25">
      <c r="A1486" t="s">
        <v>74</v>
      </c>
      <c r="B1486">
        <v>9.92</v>
      </c>
    </row>
    <row r="1487" spans="1:2" x14ac:dyDescent="0.25">
      <c r="A1487" t="s">
        <v>75</v>
      </c>
      <c r="B1487">
        <v>3.9</v>
      </c>
    </row>
    <row r="1488" spans="1:2" x14ac:dyDescent="0.25">
      <c r="A1488" t="s">
        <v>76</v>
      </c>
      <c r="B1488">
        <v>6.98</v>
      </c>
    </row>
    <row r="1489" spans="1:2" x14ac:dyDescent="0.25">
      <c r="A1489" t="s">
        <v>77</v>
      </c>
      <c r="B1489">
        <v>5.22</v>
      </c>
    </row>
    <row r="1490" spans="1:2" x14ac:dyDescent="0.25">
      <c r="A1490" t="s">
        <v>78</v>
      </c>
      <c r="B1490" t="s">
        <v>4</v>
      </c>
    </row>
    <row r="1491" spans="1:2" x14ac:dyDescent="0.25">
      <c r="A1491" t="s">
        <v>79</v>
      </c>
      <c r="B1491" t="s">
        <v>4</v>
      </c>
    </row>
    <row r="1492" spans="1:2" x14ac:dyDescent="0.25">
      <c r="A1492" t="s">
        <v>80</v>
      </c>
      <c r="B1492" t="s">
        <v>4</v>
      </c>
    </row>
    <row r="1493" spans="1:2" x14ac:dyDescent="0.25">
      <c r="A1493" t="s">
        <v>81</v>
      </c>
      <c r="B1493" t="s">
        <v>4</v>
      </c>
    </row>
    <row r="1496" spans="1:2" x14ac:dyDescent="0.25">
      <c r="A1496" t="s">
        <v>0</v>
      </c>
      <c r="B1496" t="s">
        <v>164</v>
      </c>
    </row>
    <row r="1498" spans="1:2" s="1" customFormat="1" x14ac:dyDescent="0.25">
      <c r="A1498" s="1" t="s">
        <v>2</v>
      </c>
      <c r="B1498" s="1" t="s">
        <v>157</v>
      </c>
    </row>
    <row r="1499" spans="1:2" x14ac:dyDescent="0.25">
      <c r="A1499" t="s">
        <v>3</v>
      </c>
      <c r="B1499" t="s">
        <v>4</v>
      </c>
    </row>
    <row r="1500" spans="1:2" x14ac:dyDescent="0.25">
      <c r="A1500" t="s">
        <v>5</v>
      </c>
      <c r="B1500" t="s">
        <v>4</v>
      </c>
    </row>
    <row r="1501" spans="1:2" x14ac:dyDescent="0.25">
      <c r="A1501" t="s">
        <v>6</v>
      </c>
      <c r="B1501" t="s">
        <v>4</v>
      </c>
    </row>
    <row r="1502" spans="1:2" x14ac:dyDescent="0.25">
      <c r="A1502" t="s">
        <v>7</v>
      </c>
      <c r="B1502" t="s">
        <v>4</v>
      </c>
    </row>
    <row r="1503" spans="1:2" x14ac:dyDescent="0.25">
      <c r="A1503" t="s">
        <v>8</v>
      </c>
      <c r="B1503" t="s">
        <v>4</v>
      </c>
    </row>
    <row r="1504" spans="1:2" x14ac:dyDescent="0.25">
      <c r="A1504" t="s">
        <v>9</v>
      </c>
      <c r="B1504" t="s">
        <v>4</v>
      </c>
    </row>
    <row r="1505" spans="1:2" x14ac:dyDescent="0.25">
      <c r="A1505" t="s">
        <v>10</v>
      </c>
      <c r="B1505" t="s">
        <v>4</v>
      </c>
    </row>
    <row r="1506" spans="1:2" x14ac:dyDescent="0.25">
      <c r="A1506" t="s">
        <v>11</v>
      </c>
      <c r="B1506" t="s">
        <v>4</v>
      </c>
    </row>
    <row r="1507" spans="1:2" x14ac:dyDescent="0.25">
      <c r="A1507" t="s">
        <v>12</v>
      </c>
      <c r="B1507" t="s">
        <v>4</v>
      </c>
    </row>
    <row r="1508" spans="1:2" x14ac:dyDescent="0.25">
      <c r="A1508" t="s">
        <v>13</v>
      </c>
      <c r="B1508" t="s">
        <v>4</v>
      </c>
    </row>
    <row r="1509" spans="1:2" x14ac:dyDescent="0.25">
      <c r="A1509" t="s">
        <v>14</v>
      </c>
      <c r="B1509" t="s">
        <v>4</v>
      </c>
    </row>
    <row r="1510" spans="1:2" x14ac:dyDescent="0.25">
      <c r="A1510" t="s">
        <v>15</v>
      </c>
      <c r="B1510" t="s">
        <v>4</v>
      </c>
    </row>
    <row r="1511" spans="1:2" x14ac:dyDescent="0.25">
      <c r="A1511" t="s">
        <v>16</v>
      </c>
      <c r="B1511" t="s">
        <v>4</v>
      </c>
    </row>
    <row r="1512" spans="1:2" x14ac:dyDescent="0.25">
      <c r="A1512" t="s">
        <v>17</v>
      </c>
      <c r="B1512" t="s">
        <v>4</v>
      </c>
    </row>
    <row r="1513" spans="1:2" x14ac:dyDescent="0.25">
      <c r="A1513" t="s">
        <v>18</v>
      </c>
      <c r="B1513" t="s">
        <v>4</v>
      </c>
    </row>
    <row r="1514" spans="1:2" x14ac:dyDescent="0.25">
      <c r="A1514" t="s">
        <v>19</v>
      </c>
      <c r="B1514" t="s">
        <v>4</v>
      </c>
    </row>
    <row r="1515" spans="1:2" x14ac:dyDescent="0.25">
      <c r="A1515" t="s">
        <v>20</v>
      </c>
      <c r="B1515" t="s">
        <v>4</v>
      </c>
    </row>
    <row r="1516" spans="1:2" x14ac:dyDescent="0.25">
      <c r="A1516" t="s">
        <v>21</v>
      </c>
      <c r="B1516" t="s">
        <v>4</v>
      </c>
    </row>
    <row r="1517" spans="1:2" x14ac:dyDescent="0.25">
      <c r="A1517" t="s">
        <v>22</v>
      </c>
      <c r="B1517" t="s">
        <v>4</v>
      </c>
    </row>
    <row r="1518" spans="1:2" x14ac:dyDescent="0.25">
      <c r="A1518" t="s">
        <v>23</v>
      </c>
      <c r="B1518" t="s">
        <v>4</v>
      </c>
    </row>
    <row r="1519" spans="1:2" x14ac:dyDescent="0.25">
      <c r="A1519" t="s">
        <v>24</v>
      </c>
      <c r="B1519" t="s">
        <v>4</v>
      </c>
    </row>
    <row r="1520" spans="1:2" x14ac:dyDescent="0.25">
      <c r="A1520" t="s">
        <v>25</v>
      </c>
      <c r="B1520" t="s">
        <v>4</v>
      </c>
    </row>
    <row r="1521" spans="1:2" x14ac:dyDescent="0.25">
      <c r="A1521" t="s">
        <v>26</v>
      </c>
      <c r="B1521" t="s">
        <v>4</v>
      </c>
    </row>
    <row r="1522" spans="1:2" x14ac:dyDescent="0.25">
      <c r="A1522" t="s">
        <v>27</v>
      </c>
      <c r="B1522" t="s">
        <v>4</v>
      </c>
    </row>
    <row r="1523" spans="1:2" x14ac:dyDescent="0.25">
      <c r="A1523" t="s">
        <v>28</v>
      </c>
      <c r="B1523" t="s">
        <v>4</v>
      </c>
    </row>
    <row r="1524" spans="1:2" x14ac:dyDescent="0.25">
      <c r="A1524" t="s">
        <v>29</v>
      </c>
      <c r="B1524" t="s">
        <v>4</v>
      </c>
    </row>
    <row r="1525" spans="1:2" x14ac:dyDescent="0.25">
      <c r="A1525" t="s">
        <v>30</v>
      </c>
      <c r="B1525" t="s">
        <v>4</v>
      </c>
    </row>
    <row r="1526" spans="1:2" x14ac:dyDescent="0.25">
      <c r="A1526" t="s">
        <v>31</v>
      </c>
      <c r="B1526" t="s">
        <v>4</v>
      </c>
    </row>
    <row r="1527" spans="1:2" x14ac:dyDescent="0.25">
      <c r="A1527" t="s">
        <v>32</v>
      </c>
      <c r="B1527" t="s">
        <v>4</v>
      </c>
    </row>
    <row r="1528" spans="1:2" x14ac:dyDescent="0.25">
      <c r="A1528" t="s">
        <v>33</v>
      </c>
      <c r="B1528" t="s">
        <v>4</v>
      </c>
    </row>
    <row r="1529" spans="1:2" x14ac:dyDescent="0.25">
      <c r="A1529" t="s">
        <v>34</v>
      </c>
      <c r="B1529" t="s">
        <v>4</v>
      </c>
    </row>
    <row r="1530" spans="1:2" x14ac:dyDescent="0.25">
      <c r="A1530" t="s">
        <v>35</v>
      </c>
      <c r="B1530" t="s">
        <v>4</v>
      </c>
    </row>
    <row r="1531" spans="1:2" x14ac:dyDescent="0.25">
      <c r="A1531" t="s">
        <v>36</v>
      </c>
      <c r="B1531" t="s">
        <v>4</v>
      </c>
    </row>
    <row r="1532" spans="1:2" x14ac:dyDescent="0.25">
      <c r="A1532" t="s">
        <v>37</v>
      </c>
      <c r="B1532" t="s">
        <v>4</v>
      </c>
    </row>
    <row r="1533" spans="1:2" x14ac:dyDescent="0.25">
      <c r="A1533" t="s">
        <v>38</v>
      </c>
      <c r="B1533" t="s">
        <v>4</v>
      </c>
    </row>
    <row r="1534" spans="1:2" x14ac:dyDescent="0.25">
      <c r="A1534" t="s">
        <v>39</v>
      </c>
      <c r="B1534" t="s">
        <v>4</v>
      </c>
    </row>
    <row r="1535" spans="1:2" x14ac:dyDescent="0.25">
      <c r="A1535" t="s">
        <v>40</v>
      </c>
      <c r="B1535" t="s">
        <v>4</v>
      </c>
    </row>
    <row r="1536" spans="1:2" x14ac:dyDescent="0.25">
      <c r="A1536" t="s">
        <v>41</v>
      </c>
      <c r="B1536" t="s">
        <v>4</v>
      </c>
    </row>
    <row r="1537" spans="1:2" x14ac:dyDescent="0.25">
      <c r="A1537" t="s">
        <v>42</v>
      </c>
      <c r="B1537" t="s">
        <v>4</v>
      </c>
    </row>
    <row r="1538" spans="1:2" x14ac:dyDescent="0.25">
      <c r="A1538" t="s">
        <v>43</v>
      </c>
      <c r="B1538" t="s">
        <v>4</v>
      </c>
    </row>
    <row r="1539" spans="1:2" x14ac:dyDescent="0.25">
      <c r="A1539" t="s">
        <v>44</v>
      </c>
      <c r="B1539" t="s">
        <v>4</v>
      </c>
    </row>
    <row r="1540" spans="1:2" x14ac:dyDescent="0.25">
      <c r="A1540" t="s">
        <v>45</v>
      </c>
      <c r="B1540" t="s">
        <v>4</v>
      </c>
    </row>
    <row r="1541" spans="1:2" x14ac:dyDescent="0.25">
      <c r="A1541" t="s">
        <v>46</v>
      </c>
      <c r="B1541" t="s">
        <v>4</v>
      </c>
    </row>
    <row r="1542" spans="1:2" x14ac:dyDescent="0.25">
      <c r="A1542" t="s">
        <v>47</v>
      </c>
      <c r="B1542" t="s">
        <v>4</v>
      </c>
    </row>
    <row r="1543" spans="1:2" x14ac:dyDescent="0.25">
      <c r="A1543" t="s">
        <v>48</v>
      </c>
      <c r="B1543" t="s">
        <v>4</v>
      </c>
    </row>
    <row r="1544" spans="1:2" x14ac:dyDescent="0.25">
      <c r="A1544" t="s">
        <v>49</v>
      </c>
      <c r="B1544" t="s">
        <v>4</v>
      </c>
    </row>
    <row r="1545" spans="1:2" x14ac:dyDescent="0.25">
      <c r="A1545" t="s">
        <v>50</v>
      </c>
      <c r="B1545" t="s">
        <v>4</v>
      </c>
    </row>
    <row r="1546" spans="1:2" x14ac:dyDescent="0.25">
      <c r="A1546" t="s">
        <v>51</v>
      </c>
      <c r="B1546" t="s">
        <v>4</v>
      </c>
    </row>
    <row r="1547" spans="1:2" x14ac:dyDescent="0.25">
      <c r="A1547" t="s">
        <v>52</v>
      </c>
      <c r="B1547" t="s">
        <v>4</v>
      </c>
    </row>
    <row r="1548" spans="1:2" x14ac:dyDescent="0.25">
      <c r="A1548" t="s">
        <v>53</v>
      </c>
      <c r="B1548">
        <v>8.4700000000000006</v>
      </c>
    </row>
    <row r="1549" spans="1:2" x14ac:dyDescent="0.25">
      <c r="A1549" t="s">
        <v>54</v>
      </c>
      <c r="B1549">
        <v>1.52</v>
      </c>
    </row>
    <row r="1550" spans="1:2" x14ac:dyDescent="0.25">
      <c r="A1550" t="s">
        <v>55</v>
      </c>
      <c r="B1550">
        <v>46.34</v>
      </c>
    </row>
    <row r="1551" spans="1:2" x14ac:dyDescent="0.25">
      <c r="A1551" t="s">
        <v>56</v>
      </c>
      <c r="B1551" t="s">
        <v>4</v>
      </c>
    </row>
    <row r="1552" spans="1:2" x14ac:dyDescent="0.25">
      <c r="A1552" t="s">
        <v>57</v>
      </c>
      <c r="B1552" t="s">
        <v>4</v>
      </c>
    </row>
    <row r="1553" spans="1:2" x14ac:dyDescent="0.25">
      <c r="A1553" t="s">
        <v>58</v>
      </c>
      <c r="B1553" t="s">
        <v>4</v>
      </c>
    </row>
    <row r="1554" spans="1:2" x14ac:dyDescent="0.25">
      <c r="A1554" t="s">
        <v>59</v>
      </c>
      <c r="B1554">
        <v>27.54</v>
      </c>
    </row>
    <row r="1555" spans="1:2" x14ac:dyDescent="0.25">
      <c r="A1555" t="s">
        <v>60</v>
      </c>
      <c r="B1555">
        <v>11.44</v>
      </c>
    </row>
    <row r="1556" spans="1:2" x14ac:dyDescent="0.25">
      <c r="A1556" t="s">
        <v>61</v>
      </c>
      <c r="B1556">
        <v>10.17</v>
      </c>
    </row>
    <row r="1557" spans="1:2" x14ac:dyDescent="0.25">
      <c r="A1557" t="s">
        <v>62</v>
      </c>
      <c r="B1557">
        <v>7.14</v>
      </c>
    </row>
    <row r="1558" spans="1:2" x14ac:dyDescent="0.25">
      <c r="A1558" t="s">
        <v>63</v>
      </c>
      <c r="B1558">
        <v>7.42</v>
      </c>
    </row>
    <row r="1559" spans="1:2" x14ac:dyDescent="0.25">
      <c r="A1559" t="s">
        <v>64</v>
      </c>
      <c r="B1559">
        <v>10.050000000000001</v>
      </c>
    </row>
    <row r="1560" spans="1:2" x14ac:dyDescent="0.25">
      <c r="A1560" t="s">
        <v>65</v>
      </c>
      <c r="B1560" t="s">
        <v>4</v>
      </c>
    </row>
    <row r="1561" spans="1:2" x14ac:dyDescent="0.25">
      <c r="A1561" t="s">
        <v>66</v>
      </c>
      <c r="B1561" t="s">
        <v>4</v>
      </c>
    </row>
    <row r="1562" spans="1:2" x14ac:dyDescent="0.25">
      <c r="A1562" t="s">
        <v>67</v>
      </c>
      <c r="B1562" t="s">
        <v>4</v>
      </c>
    </row>
    <row r="1563" spans="1:2" x14ac:dyDescent="0.25">
      <c r="A1563" t="s">
        <v>68</v>
      </c>
      <c r="B1563">
        <v>51.38</v>
      </c>
    </row>
    <row r="1564" spans="1:2" x14ac:dyDescent="0.25">
      <c r="A1564" t="s">
        <v>69</v>
      </c>
      <c r="B1564" t="s">
        <v>4</v>
      </c>
    </row>
    <row r="1565" spans="1:2" x14ac:dyDescent="0.25">
      <c r="A1565" t="s">
        <v>70</v>
      </c>
      <c r="B1565">
        <v>6.09</v>
      </c>
    </row>
    <row r="1566" spans="1:2" x14ac:dyDescent="0.25">
      <c r="A1566" t="s">
        <v>71</v>
      </c>
      <c r="B1566">
        <v>21.08</v>
      </c>
    </row>
    <row r="1567" spans="1:2" x14ac:dyDescent="0.25">
      <c r="A1567" t="s">
        <v>72</v>
      </c>
      <c r="B1567">
        <v>16.510000000000002</v>
      </c>
    </row>
    <row r="1568" spans="1:2" x14ac:dyDescent="0.25">
      <c r="A1568" t="s">
        <v>73</v>
      </c>
      <c r="B1568" t="s">
        <v>4</v>
      </c>
    </row>
    <row r="1569" spans="1:2" x14ac:dyDescent="0.25">
      <c r="A1569" t="s">
        <v>74</v>
      </c>
      <c r="B1569">
        <v>20.88</v>
      </c>
    </row>
    <row r="1570" spans="1:2" x14ac:dyDescent="0.25">
      <c r="A1570" t="s">
        <v>75</v>
      </c>
      <c r="B1570">
        <v>7.46</v>
      </c>
    </row>
    <row r="1571" spans="1:2" x14ac:dyDescent="0.25">
      <c r="A1571" t="s">
        <v>76</v>
      </c>
      <c r="B1571">
        <v>13.04</v>
      </c>
    </row>
    <row r="1572" spans="1:2" x14ac:dyDescent="0.25">
      <c r="A1572" t="s">
        <v>77</v>
      </c>
      <c r="B1572">
        <v>9.81</v>
      </c>
    </row>
    <row r="1573" spans="1:2" x14ac:dyDescent="0.25">
      <c r="A1573" t="s">
        <v>78</v>
      </c>
      <c r="B1573" t="s">
        <v>4</v>
      </c>
    </row>
    <row r="1574" spans="1:2" x14ac:dyDescent="0.25">
      <c r="A1574" t="s">
        <v>79</v>
      </c>
      <c r="B1574" t="s">
        <v>4</v>
      </c>
    </row>
    <row r="1575" spans="1:2" x14ac:dyDescent="0.25">
      <c r="A1575" t="s">
        <v>80</v>
      </c>
      <c r="B1575" t="s">
        <v>4</v>
      </c>
    </row>
    <row r="1576" spans="1:2" x14ac:dyDescent="0.25">
      <c r="A1576" t="s">
        <v>81</v>
      </c>
      <c r="B1576" t="s">
        <v>4</v>
      </c>
    </row>
    <row r="1579" spans="1:2" x14ac:dyDescent="0.25">
      <c r="A1579" t="s">
        <v>0</v>
      </c>
      <c r="B1579" t="s">
        <v>165</v>
      </c>
    </row>
    <row r="1581" spans="1:2" s="1" customFormat="1" x14ac:dyDescent="0.25">
      <c r="A1581" s="1" t="s">
        <v>2</v>
      </c>
      <c r="B1581" s="1" t="s">
        <v>157</v>
      </c>
    </row>
    <row r="1582" spans="1:2" x14ac:dyDescent="0.25">
      <c r="A1582" t="s">
        <v>3</v>
      </c>
      <c r="B1582" t="s">
        <v>4</v>
      </c>
    </row>
    <row r="1583" spans="1:2" x14ac:dyDescent="0.25">
      <c r="A1583" t="s">
        <v>5</v>
      </c>
      <c r="B1583" t="s">
        <v>4</v>
      </c>
    </row>
    <row r="1584" spans="1:2" x14ac:dyDescent="0.25">
      <c r="A1584" t="s">
        <v>6</v>
      </c>
      <c r="B1584" t="s">
        <v>4</v>
      </c>
    </row>
    <row r="1585" spans="1:2" x14ac:dyDescent="0.25">
      <c r="A1585" t="s">
        <v>7</v>
      </c>
      <c r="B1585" t="s">
        <v>4</v>
      </c>
    </row>
    <row r="1586" spans="1:2" x14ac:dyDescent="0.25">
      <c r="A1586" t="s">
        <v>8</v>
      </c>
      <c r="B1586">
        <v>16.66</v>
      </c>
    </row>
    <row r="1587" spans="1:2" x14ac:dyDescent="0.25">
      <c r="A1587" t="s">
        <v>9</v>
      </c>
      <c r="B1587">
        <v>68.06</v>
      </c>
    </row>
    <row r="1588" spans="1:2" x14ac:dyDescent="0.25">
      <c r="A1588" t="s">
        <v>10</v>
      </c>
      <c r="B1588">
        <v>3.93</v>
      </c>
    </row>
    <row r="1589" spans="1:2" x14ac:dyDescent="0.25">
      <c r="A1589" t="s">
        <v>11</v>
      </c>
      <c r="B1589" t="s">
        <v>4</v>
      </c>
    </row>
    <row r="1590" spans="1:2" x14ac:dyDescent="0.25">
      <c r="A1590" t="s">
        <v>12</v>
      </c>
      <c r="B1590" t="s">
        <v>4</v>
      </c>
    </row>
    <row r="1591" spans="1:2" x14ac:dyDescent="0.25">
      <c r="A1591" t="s">
        <v>13</v>
      </c>
      <c r="B1591">
        <v>3.71</v>
      </c>
    </row>
    <row r="1592" spans="1:2" x14ac:dyDescent="0.25">
      <c r="A1592" t="s">
        <v>14</v>
      </c>
      <c r="B1592">
        <v>4.1900000000000004</v>
      </c>
    </row>
    <row r="1593" spans="1:2" x14ac:dyDescent="0.25">
      <c r="A1593" t="s">
        <v>15</v>
      </c>
      <c r="B1593">
        <v>4.33</v>
      </c>
    </row>
    <row r="1594" spans="1:2" x14ac:dyDescent="0.25">
      <c r="A1594" t="s">
        <v>16</v>
      </c>
      <c r="B1594" t="s">
        <v>4</v>
      </c>
    </row>
    <row r="1595" spans="1:2" x14ac:dyDescent="0.25">
      <c r="A1595" t="s">
        <v>17</v>
      </c>
      <c r="B1595">
        <v>59.97</v>
      </c>
    </row>
    <row r="1596" spans="1:2" x14ac:dyDescent="0.25">
      <c r="A1596" t="s">
        <v>18</v>
      </c>
      <c r="B1596" t="s">
        <v>4</v>
      </c>
    </row>
    <row r="1597" spans="1:2" x14ac:dyDescent="0.25">
      <c r="A1597" t="s">
        <v>19</v>
      </c>
      <c r="B1597" t="s">
        <v>4</v>
      </c>
    </row>
    <row r="1598" spans="1:2" x14ac:dyDescent="0.25">
      <c r="A1598" t="s">
        <v>20</v>
      </c>
      <c r="B1598" t="s">
        <v>4</v>
      </c>
    </row>
    <row r="1599" spans="1:2" x14ac:dyDescent="0.25">
      <c r="A1599" t="s">
        <v>21</v>
      </c>
      <c r="B1599" t="s">
        <v>4</v>
      </c>
    </row>
    <row r="1600" spans="1:2" x14ac:dyDescent="0.25">
      <c r="A1600" t="s">
        <v>22</v>
      </c>
      <c r="B1600" t="s">
        <v>4</v>
      </c>
    </row>
    <row r="1601" spans="1:2" x14ac:dyDescent="0.25">
      <c r="A1601" t="s">
        <v>23</v>
      </c>
      <c r="B1601" t="s">
        <v>4</v>
      </c>
    </row>
    <row r="1602" spans="1:2" x14ac:dyDescent="0.25">
      <c r="A1602" t="s">
        <v>24</v>
      </c>
      <c r="B1602" t="s">
        <v>4</v>
      </c>
    </row>
    <row r="1603" spans="1:2" x14ac:dyDescent="0.25">
      <c r="A1603" t="s">
        <v>25</v>
      </c>
      <c r="B1603">
        <v>3.28</v>
      </c>
    </row>
    <row r="1604" spans="1:2" x14ac:dyDescent="0.25">
      <c r="A1604" t="s">
        <v>26</v>
      </c>
      <c r="B1604">
        <v>9.9700000000000006</v>
      </c>
    </row>
    <row r="1605" spans="1:2" x14ac:dyDescent="0.25">
      <c r="A1605" t="s">
        <v>27</v>
      </c>
      <c r="B1605" t="s">
        <v>4</v>
      </c>
    </row>
    <row r="1606" spans="1:2" x14ac:dyDescent="0.25">
      <c r="A1606" t="s">
        <v>28</v>
      </c>
      <c r="B1606" t="s">
        <v>4</v>
      </c>
    </row>
    <row r="1607" spans="1:2" x14ac:dyDescent="0.25">
      <c r="A1607" t="s">
        <v>29</v>
      </c>
      <c r="B1607">
        <v>20.149999999999999</v>
      </c>
    </row>
    <row r="1608" spans="1:2" x14ac:dyDescent="0.25">
      <c r="A1608" t="s">
        <v>30</v>
      </c>
      <c r="B1608">
        <v>29.14</v>
      </c>
    </row>
    <row r="1609" spans="1:2" x14ac:dyDescent="0.25">
      <c r="A1609" t="s">
        <v>31</v>
      </c>
      <c r="B1609">
        <v>20.07</v>
      </c>
    </row>
    <row r="1610" spans="1:2" x14ac:dyDescent="0.25">
      <c r="A1610" t="s">
        <v>32</v>
      </c>
      <c r="B1610" t="s">
        <v>4</v>
      </c>
    </row>
    <row r="1611" spans="1:2" x14ac:dyDescent="0.25">
      <c r="A1611" t="s">
        <v>33</v>
      </c>
      <c r="B1611" t="s">
        <v>4</v>
      </c>
    </row>
    <row r="1612" spans="1:2" x14ac:dyDescent="0.25">
      <c r="A1612" t="s">
        <v>34</v>
      </c>
      <c r="B1612" t="s">
        <v>4</v>
      </c>
    </row>
    <row r="1613" spans="1:2" x14ac:dyDescent="0.25">
      <c r="A1613" t="s">
        <v>35</v>
      </c>
      <c r="B1613" t="s">
        <v>4</v>
      </c>
    </row>
    <row r="1614" spans="1:2" x14ac:dyDescent="0.25">
      <c r="A1614" t="s">
        <v>36</v>
      </c>
      <c r="B1614">
        <v>5.8</v>
      </c>
    </row>
    <row r="1615" spans="1:2" x14ac:dyDescent="0.25">
      <c r="A1615" t="s">
        <v>37</v>
      </c>
      <c r="B1615" t="s">
        <v>4</v>
      </c>
    </row>
    <row r="1616" spans="1:2" x14ac:dyDescent="0.25">
      <c r="A1616" t="s">
        <v>38</v>
      </c>
      <c r="B1616" t="s">
        <v>4</v>
      </c>
    </row>
    <row r="1617" spans="1:2" x14ac:dyDescent="0.25">
      <c r="A1617" t="s">
        <v>39</v>
      </c>
      <c r="B1617" t="s">
        <v>4</v>
      </c>
    </row>
    <row r="1618" spans="1:2" x14ac:dyDescent="0.25">
      <c r="A1618" t="s">
        <v>40</v>
      </c>
      <c r="B1618">
        <v>7.92</v>
      </c>
    </row>
    <row r="1619" spans="1:2" x14ac:dyDescent="0.25">
      <c r="A1619" t="s">
        <v>41</v>
      </c>
      <c r="B1619" t="s">
        <v>4</v>
      </c>
    </row>
    <row r="1620" spans="1:2" x14ac:dyDescent="0.25">
      <c r="A1620" t="s">
        <v>42</v>
      </c>
      <c r="B1620" t="s">
        <v>4</v>
      </c>
    </row>
    <row r="1621" spans="1:2" x14ac:dyDescent="0.25">
      <c r="A1621" t="s">
        <v>43</v>
      </c>
      <c r="B1621" t="s">
        <v>4</v>
      </c>
    </row>
    <row r="1622" spans="1:2" x14ac:dyDescent="0.25">
      <c r="A1622" t="s">
        <v>44</v>
      </c>
      <c r="B1622">
        <v>7.8</v>
      </c>
    </row>
    <row r="1623" spans="1:2" x14ac:dyDescent="0.25">
      <c r="A1623" t="s">
        <v>45</v>
      </c>
      <c r="B1623" t="s">
        <v>4</v>
      </c>
    </row>
    <row r="1624" spans="1:2" x14ac:dyDescent="0.25">
      <c r="A1624" t="s">
        <v>46</v>
      </c>
      <c r="B1624" t="s">
        <v>4</v>
      </c>
    </row>
    <row r="1625" spans="1:2" x14ac:dyDescent="0.25">
      <c r="A1625" t="s">
        <v>47</v>
      </c>
      <c r="B1625" t="s">
        <v>4</v>
      </c>
    </row>
    <row r="1626" spans="1:2" x14ac:dyDescent="0.25">
      <c r="A1626" t="s">
        <v>48</v>
      </c>
      <c r="B1626">
        <v>12.34</v>
      </c>
    </row>
    <row r="1627" spans="1:2" x14ac:dyDescent="0.25">
      <c r="A1627" t="s">
        <v>49</v>
      </c>
      <c r="B1627" t="s">
        <v>4</v>
      </c>
    </row>
    <row r="1628" spans="1:2" x14ac:dyDescent="0.25">
      <c r="A1628" t="s">
        <v>50</v>
      </c>
      <c r="B1628" t="s">
        <v>4</v>
      </c>
    </row>
    <row r="1629" spans="1:2" x14ac:dyDescent="0.25">
      <c r="A1629" t="s">
        <v>51</v>
      </c>
      <c r="B1629" t="s">
        <v>4</v>
      </c>
    </row>
    <row r="1630" spans="1:2" x14ac:dyDescent="0.25">
      <c r="A1630" t="s">
        <v>52</v>
      </c>
      <c r="B1630">
        <v>8.57</v>
      </c>
    </row>
    <row r="1631" spans="1:2" x14ac:dyDescent="0.25">
      <c r="A1631" t="s">
        <v>53</v>
      </c>
      <c r="B1631">
        <v>182</v>
      </c>
    </row>
    <row r="1632" spans="1:2" x14ac:dyDescent="0.25">
      <c r="A1632" t="s">
        <v>54</v>
      </c>
      <c r="B1632">
        <v>21.76</v>
      </c>
    </row>
    <row r="1633" spans="1:2" x14ac:dyDescent="0.25">
      <c r="A1633" t="s">
        <v>55</v>
      </c>
      <c r="B1633">
        <v>991.19</v>
      </c>
    </row>
    <row r="1634" spans="1:2" x14ac:dyDescent="0.25">
      <c r="A1634" t="s">
        <v>56</v>
      </c>
      <c r="B1634">
        <v>7.79</v>
      </c>
    </row>
    <row r="1635" spans="1:2" x14ac:dyDescent="0.25">
      <c r="A1635" t="s">
        <v>57</v>
      </c>
      <c r="B1635" t="s">
        <v>4</v>
      </c>
    </row>
    <row r="1636" spans="1:2" x14ac:dyDescent="0.25">
      <c r="A1636" t="s">
        <v>58</v>
      </c>
      <c r="B1636">
        <v>58.04</v>
      </c>
    </row>
    <row r="1637" spans="1:2" x14ac:dyDescent="0.25">
      <c r="A1637" t="s">
        <v>59</v>
      </c>
      <c r="B1637">
        <v>751.02</v>
      </c>
    </row>
    <row r="1638" spans="1:2" x14ac:dyDescent="0.25">
      <c r="A1638" t="s">
        <v>60</v>
      </c>
      <c r="B1638">
        <v>351.79</v>
      </c>
    </row>
    <row r="1639" spans="1:2" x14ac:dyDescent="0.25">
      <c r="A1639" t="s">
        <v>61</v>
      </c>
      <c r="B1639">
        <v>284.69</v>
      </c>
    </row>
    <row r="1640" spans="1:2" x14ac:dyDescent="0.25">
      <c r="A1640" t="s">
        <v>62</v>
      </c>
      <c r="B1640">
        <v>219.81</v>
      </c>
    </row>
    <row r="1641" spans="1:2" x14ac:dyDescent="0.25">
      <c r="A1641" t="s">
        <v>63</v>
      </c>
      <c r="B1641">
        <v>201.66</v>
      </c>
    </row>
    <row r="1642" spans="1:2" x14ac:dyDescent="0.25">
      <c r="A1642" t="s">
        <v>64</v>
      </c>
      <c r="B1642">
        <v>301.51</v>
      </c>
    </row>
    <row r="1643" spans="1:2" x14ac:dyDescent="0.25">
      <c r="A1643" t="s">
        <v>65</v>
      </c>
      <c r="B1643" t="s">
        <v>4</v>
      </c>
    </row>
    <row r="1644" spans="1:2" x14ac:dyDescent="0.25">
      <c r="A1644" t="s">
        <v>66</v>
      </c>
      <c r="B1644" t="s">
        <v>4</v>
      </c>
    </row>
    <row r="1645" spans="1:2" x14ac:dyDescent="0.25">
      <c r="A1645" t="s">
        <v>67</v>
      </c>
      <c r="B1645">
        <v>20.72</v>
      </c>
    </row>
    <row r="1646" spans="1:2" x14ac:dyDescent="0.25">
      <c r="A1646" t="s">
        <v>68</v>
      </c>
      <c r="B1646">
        <v>1340.43</v>
      </c>
    </row>
    <row r="1647" spans="1:2" x14ac:dyDescent="0.25">
      <c r="A1647" t="s">
        <v>69</v>
      </c>
      <c r="B1647">
        <v>12.75</v>
      </c>
    </row>
    <row r="1648" spans="1:2" x14ac:dyDescent="0.25">
      <c r="A1648" t="s">
        <v>70</v>
      </c>
      <c r="B1648">
        <v>183.02</v>
      </c>
    </row>
    <row r="1649" spans="1:2" x14ac:dyDescent="0.25">
      <c r="A1649" t="s">
        <v>71</v>
      </c>
      <c r="B1649">
        <v>498.97</v>
      </c>
    </row>
    <row r="1650" spans="1:2" x14ac:dyDescent="0.25">
      <c r="A1650" t="s">
        <v>72</v>
      </c>
      <c r="B1650">
        <v>376.73</v>
      </c>
    </row>
    <row r="1651" spans="1:2" x14ac:dyDescent="0.25">
      <c r="A1651" t="s">
        <v>73</v>
      </c>
      <c r="B1651" t="s">
        <v>4</v>
      </c>
    </row>
    <row r="1652" spans="1:2" x14ac:dyDescent="0.25">
      <c r="A1652" t="s">
        <v>74</v>
      </c>
      <c r="B1652">
        <v>459.08</v>
      </c>
    </row>
    <row r="1653" spans="1:2" x14ac:dyDescent="0.25">
      <c r="A1653" t="s">
        <v>75</v>
      </c>
      <c r="B1653">
        <v>192.4</v>
      </c>
    </row>
    <row r="1654" spans="1:2" x14ac:dyDescent="0.25">
      <c r="A1654" t="s">
        <v>76</v>
      </c>
      <c r="B1654">
        <v>325.38</v>
      </c>
    </row>
    <row r="1655" spans="1:2" x14ac:dyDescent="0.25">
      <c r="A1655" t="s">
        <v>77</v>
      </c>
      <c r="B1655">
        <v>265.97000000000003</v>
      </c>
    </row>
    <row r="1656" spans="1:2" x14ac:dyDescent="0.25">
      <c r="A1656" t="s">
        <v>78</v>
      </c>
      <c r="B1656">
        <v>7.55</v>
      </c>
    </row>
    <row r="1657" spans="1:2" x14ac:dyDescent="0.25">
      <c r="A1657" t="s">
        <v>79</v>
      </c>
      <c r="B1657" t="s">
        <v>4</v>
      </c>
    </row>
    <row r="1658" spans="1:2" x14ac:dyDescent="0.25">
      <c r="A1658" t="s">
        <v>80</v>
      </c>
      <c r="B1658" t="s">
        <v>4</v>
      </c>
    </row>
    <row r="1659" spans="1:2" x14ac:dyDescent="0.25">
      <c r="A1659" t="s">
        <v>81</v>
      </c>
      <c r="B1659" t="s">
        <v>4</v>
      </c>
    </row>
    <row r="1662" spans="1:2" x14ac:dyDescent="0.25">
      <c r="A1662" t="s">
        <v>0</v>
      </c>
      <c r="B1662" t="s">
        <v>95</v>
      </c>
    </row>
    <row r="1664" spans="1:2" s="1" customFormat="1" x14ac:dyDescent="0.25">
      <c r="A1664" s="1" t="s">
        <v>2</v>
      </c>
      <c r="B1664" s="1" t="s">
        <v>157</v>
      </c>
    </row>
    <row r="1665" spans="1:2" x14ac:dyDescent="0.25">
      <c r="A1665" t="s">
        <v>3</v>
      </c>
      <c r="B1665" t="s">
        <v>4</v>
      </c>
    </row>
    <row r="1666" spans="1:2" x14ac:dyDescent="0.25">
      <c r="A1666" t="s">
        <v>5</v>
      </c>
      <c r="B1666" t="s">
        <v>4</v>
      </c>
    </row>
    <row r="1667" spans="1:2" x14ac:dyDescent="0.25">
      <c r="A1667" t="s">
        <v>6</v>
      </c>
      <c r="B1667" t="s">
        <v>4</v>
      </c>
    </row>
    <row r="1668" spans="1:2" x14ac:dyDescent="0.25">
      <c r="A1668" t="s">
        <v>7</v>
      </c>
      <c r="B1668">
        <v>0.59</v>
      </c>
    </row>
    <row r="1669" spans="1:2" x14ac:dyDescent="0.25">
      <c r="A1669" t="s">
        <v>8</v>
      </c>
      <c r="B1669">
        <v>0.62</v>
      </c>
    </row>
    <row r="1670" spans="1:2" x14ac:dyDescent="0.25">
      <c r="A1670" t="s">
        <v>9</v>
      </c>
      <c r="B1670">
        <v>0.33</v>
      </c>
    </row>
    <row r="1671" spans="1:2" x14ac:dyDescent="0.25">
      <c r="A1671" t="s">
        <v>10</v>
      </c>
      <c r="B1671">
        <v>1.57</v>
      </c>
    </row>
    <row r="1672" spans="1:2" x14ac:dyDescent="0.25">
      <c r="A1672" t="s">
        <v>11</v>
      </c>
      <c r="B1672">
        <v>0.86</v>
      </c>
    </row>
    <row r="1673" spans="1:2" x14ac:dyDescent="0.25">
      <c r="A1673" t="s">
        <v>12</v>
      </c>
      <c r="B1673">
        <v>0.53</v>
      </c>
    </row>
    <row r="1674" spans="1:2" x14ac:dyDescent="0.25">
      <c r="A1674" t="s">
        <v>13</v>
      </c>
      <c r="B1674">
        <v>0.95</v>
      </c>
    </row>
    <row r="1675" spans="1:2" x14ac:dyDescent="0.25">
      <c r="A1675" t="s">
        <v>14</v>
      </c>
      <c r="B1675">
        <v>1.81</v>
      </c>
    </row>
    <row r="1676" spans="1:2" x14ac:dyDescent="0.25">
      <c r="A1676" t="s">
        <v>15</v>
      </c>
      <c r="B1676">
        <v>1.1299999999999999</v>
      </c>
    </row>
    <row r="1677" spans="1:2" x14ac:dyDescent="0.25">
      <c r="A1677" t="s">
        <v>16</v>
      </c>
      <c r="B1677">
        <v>1.06</v>
      </c>
    </row>
    <row r="1678" spans="1:2" x14ac:dyDescent="0.25">
      <c r="A1678" t="s">
        <v>17</v>
      </c>
      <c r="B1678">
        <v>0.57999999999999996</v>
      </c>
    </row>
    <row r="1679" spans="1:2" x14ac:dyDescent="0.25">
      <c r="A1679" t="s">
        <v>18</v>
      </c>
      <c r="B1679">
        <v>2.35</v>
      </c>
    </row>
    <row r="1680" spans="1:2" x14ac:dyDescent="0.25">
      <c r="A1680" t="s">
        <v>19</v>
      </c>
      <c r="B1680">
        <v>0.84</v>
      </c>
    </row>
    <row r="1681" spans="1:2" x14ac:dyDescent="0.25">
      <c r="A1681" t="s">
        <v>20</v>
      </c>
      <c r="B1681">
        <v>10.19</v>
      </c>
    </row>
    <row r="1682" spans="1:2" x14ac:dyDescent="0.25">
      <c r="A1682" t="s">
        <v>21</v>
      </c>
      <c r="B1682">
        <v>4.3899999999999997</v>
      </c>
    </row>
    <row r="1683" spans="1:2" x14ac:dyDescent="0.25">
      <c r="A1683" t="s">
        <v>22</v>
      </c>
      <c r="B1683">
        <v>3.23</v>
      </c>
    </row>
    <row r="1684" spans="1:2" x14ac:dyDescent="0.25">
      <c r="A1684" t="s">
        <v>23</v>
      </c>
      <c r="B1684">
        <v>1.63</v>
      </c>
    </row>
    <row r="1685" spans="1:2" x14ac:dyDescent="0.25">
      <c r="A1685" t="s">
        <v>24</v>
      </c>
      <c r="B1685">
        <v>1.26</v>
      </c>
    </row>
    <row r="1686" spans="1:2" x14ac:dyDescent="0.25">
      <c r="A1686" t="s">
        <v>25</v>
      </c>
      <c r="B1686">
        <v>1.58</v>
      </c>
    </row>
    <row r="1687" spans="1:2" x14ac:dyDescent="0.25">
      <c r="A1687" t="s">
        <v>26</v>
      </c>
      <c r="B1687">
        <v>1.48</v>
      </c>
    </row>
    <row r="1688" spans="1:2" x14ac:dyDescent="0.25">
      <c r="A1688" t="s">
        <v>27</v>
      </c>
      <c r="B1688">
        <v>0.83</v>
      </c>
    </row>
    <row r="1689" spans="1:2" x14ac:dyDescent="0.25">
      <c r="A1689" t="s">
        <v>28</v>
      </c>
      <c r="B1689">
        <v>0.89</v>
      </c>
    </row>
    <row r="1690" spans="1:2" x14ac:dyDescent="0.25">
      <c r="A1690" t="s">
        <v>29</v>
      </c>
      <c r="B1690">
        <v>1.26</v>
      </c>
    </row>
    <row r="1691" spans="1:2" x14ac:dyDescent="0.25">
      <c r="A1691" t="s">
        <v>30</v>
      </c>
      <c r="B1691">
        <v>0.85</v>
      </c>
    </row>
    <row r="1692" spans="1:2" x14ac:dyDescent="0.25">
      <c r="A1692" t="s">
        <v>31</v>
      </c>
      <c r="B1692">
        <v>1.68</v>
      </c>
    </row>
    <row r="1693" spans="1:2" x14ac:dyDescent="0.25">
      <c r="A1693" t="s">
        <v>32</v>
      </c>
      <c r="B1693">
        <v>0.89</v>
      </c>
    </row>
    <row r="1694" spans="1:2" x14ac:dyDescent="0.25">
      <c r="A1694" t="s">
        <v>33</v>
      </c>
      <c r="B1694">
        <v>13.95</v>
      </c>
    </row>
    <row r="1695" spans="1:2" x14ac:dyDescent="0.25">
      <c r="A1695" t="s">
        <v>34</v>
      </c>
      <c r="B1695">
        <v>0.73</v>
      </c>
    </row>
    <row r="1696" spans="1:2" x14ac:dyDescent="0.25">
      <c r="A1696" t="s">
        <v>35</v>
      </c>
      <c r="B1696">
        <v>3.7</v>
      </c>
    </row>
    <row r="1697" spans="1:2" x14ac:dyDescent="0.25">
      <c r="A1697" t="s">
        <v>36</v>
      </c>
      <c r="B1697">
        <v>0.26</v>
      </c>
    </row>
    <row r="1698" spans="1:2" x14ac:dyDescent="0.25">
      <c r="A1698" t="s">
        <v>37</v>
      </c>
      <c r="B1698">
        <v>8.93</v>
      </c>
    </row>
    <row r="1699" spans="1:2" x14ac:dyDescent="0.25">
      <c r="A1699" t="s">
        <v>38</v>
      </c>
      <c r="B1699" t="s">
        <v>4</v>
      </c>
    </row>
    <row r="1700" spans="1:2" x14ac:dyDescent="0.25">
      <c r="A1700" t="s">
        <v>39</v>
      </c>
      <c r="B1700">
        <v>3.3</v>
      </c>
    </row>
    <row r="1701" spans="1:2" x14ac:dyDescent="0.25">
      <c r="A1701" t="s">
        <v>40</v>
      </c>
      <c r="B1701">
        <v>0.48</v>
      </c>
    </row>
    <row r="1702" spans="1:2" x14ac:dyDescent="0.25">
      <c r="A1702" t="s">
        <v>41</v>
      </c>
      <c r="B1702">
        <v>1.3</v>
      </c>
    </row>
    <row r="1703" spans="1:2" x14ac:dyDescent="0.25">
      <c r="A1703" t="s">
        <v>42</v>
      </c>
      <c r="B1703">
        <v>0.39</v>
      </c>
    </row>
    <row r="1704" spans="1:2" x14ac:dyDescent="0.25">
      <c r="A1704" t="s">
        <v>43</v>
      </c>
      <c r="B1704">
        <v>1.92</v>
      </c>
    </row>
    <row r="1705" spans="1:2" x14ac:dyDescent="0.25">
      <c r="A1705" t="s">
        <v>44</v>
      </c>
      <c r="B1705" t="s">
        <v>4</v>
      </c>
    </row>
    <row r="1706" spans="1:2" x14ac:dyDescent="0.25">
      <c r="A1706" t="s">
        <v>45</v>
      </c>
      <c r="B1706">
        <v>1.26</v>
      </c>
    </row>
    <row r="1707" spans="1:2" x14ac:dyDescent="0.25">
      <c r="A1707" t="s">
        <v>46</v>
      </c>
      <c r="B1707">
        <v>0.47</v>
      </c>
    </row>
    <row r="1708" spans="1:2" x14ac:dyDescent="0.25">
      <c r="A1708" t="s">
        <v>47</v>
      </c>
      <c r="B1708">
        <v>1.41</v>
      </c>
    </row>
    <row r="1709" spans="1:2" x14ac:dyDescent="0.25">
      <c r="A1709" t="s">
        <v>48</v>
      </c>
      <c r="B1709">
        <v>0.33</v>
      </c>
    </row>
    <row r="1710" spans="1:2" x14ac:dyDescent="0.25">
      <c r="A1710" t="s">
        <v>49</v>
      </c>
      <c r="B1710">
        <v>1.42</v>
      </c>
    </row>
    <row r="1711" spans="1:2" x14ac:dyDescent="0.25">
      <c r="A1711" t="s">
        <v>50</v>
      </c>
      <c r="B1711">
        <v>0.22</v>
      </c>
    </row>
    <row r="1712" spans="1:2" x14ac:dyDescent="0.25">
      <c r="A1712" t="s">
        <v>51</v>
      </c>
      <c r="B1712">
        <v>0.41</v>
      </c>
    </row>
    <row r="1713" spans="1:2" x14ac:dyDescent="0.25">
      <c r="A1713" t="s">
        <v>52</v>
      </c>
      <c r="B1713">
        <v>0.25</v>
      </c>
    </row>
    <row r="1714" spans="1:2" x14ac:dyDescent="0.25">
      <c r="A1714" t="s">
        <v>53</v>
      </c>
      <c r="B1714">
        <v>6.33</v>
      </c>
    </row>
    <row r="1715" spans="1:2" x14ac:dyDescent="0.25">
      <c r="A1715" t="s">
        <v>54</v>
      </c>
      <c r="B1715">
        <v>4.45</v>
      </c>
    </row>
    <row r="1716" spans="1:2" x14ac:dyDescent="0.25">
      <c r="A1716" t="s">
        <v>55</v>
      </c>
      <c r="B1716">
        <v>11.12</v>
      </c>
    </row>
    <row r="1717" spans="1:2" x14ac:dyDescent="0.25">
      <c r="A1717" t="s">
        <v>56</v>
      </c>
      <c r="B1717" t="s">
        <v>4</v>
      </c>
    </row>
    <row r="1718" spans="1:2" x14ac:dyDescent="0.25">
      <c r="A1718" t="s">
        <v>57</v>
      </c>
      <c r="B1718">
        <v>0.36</v>
      </c>
    </row>
    <row r="1719" spans="1:2" x14ac:dyDescent="0.25">
      <c r="A1719" t="s">
        <v>58</v>
      </c>
      <c r="B1719" t="s">
        <v>4</v>
      </c>
    </row>
    <row r="1720" spans="1:2" x14ac:dyDescent="0.25">
      <c r="A1720" t="s">
        <v>59</v>
      </c>
      <c r="B1720">
        <v>11.95</v>
      </c>
    </row>
    <row r="1721" spans="1:2" x14ac:dyDescent="0.25">
      <c r="A1721" t="s">
        <v>60</v>
      </c>
      <c r="B1721">
        <v>6.01</v>
      </c>
    </row>
    <row r="1722" spans="1:2" x14ac:dyDescent="0.25">
      <c r="A1722" t="s">
        <v>61</v>
      </c>
      <c r="B1722">
        <v>4.91</v>
      </c>
    </row>
    <row r="1723" spans="1:2" x14ac:dyDescent="0.25">
      <c r="A1723" t="s">
        <v>62</v>
      </c>
      <c r="B1723">
        <v>4.1399999999999997</v>
      </c>
    </row>
    <row r="1724" spans="1:2" x14ac:dyDescent="0.25">
      <c r="A1724" t="s">
        <v>63</v>
      </c>
      <c r="B1724">
        <v>5.5</v>
      </c>
    </row>
    <row r="1725" spans="1:2" x14ac:dyDescent="0.25">
      <c r="A1725" t="s">
        <v>64</v>
      </c>
      <c r="B1725">
        <v>7.61</v>
      </c>
    </row>
    <row r="1726" spans="1:2" x14ac:dyDescent="0.25">
      <c r="A1726" t="s">
        <v>65</v>
      </c>
      <c r="B1726">
        <v>5.22</v>
      </c>
    </row>
    <row r="1727" spans="1:2" x14ac:dyDescent="0.25">
      <c r="A1727" t="s">
        <v>66</v>
      </c>
      <c r="B1727">
        <v>1.08</v>
      </c>
    </row>
    <row r="1728" spans="1:2" x14ac:dyDescent="0.25">
      <c r="A1728" t="s">
        <v>67</v>
      </c>
      <c r="B1728">
        <v>1.24</v>
      </c>
    </row>
    <row r="1729" spans="1:2" x14ac:dyDescent="0.25">
      <c r="A1729" t="s">
        <v>68</v>
      </c>
      <c r="B1729">
        <v>7.71</v>
      </c>
    </row>
    <row r="1730" spans="1:2" x14ac:dyDescent="0.25">
      <c r="A1730" t="s">
        <v>69</v>
      </c>
      <c r="B1730">
        <v>0.63</v>
      </c>
    </row>
    <row r="1731" spans="1:2" x14ac:dyDescent="0.25">
      <c r="A1731" t="s">
        <v>70</v>
      </c>
      <c r="B1731">
        <v>10.39</v>
      </c>
    </row>
    <row r="1732" spans="1:2" x14ac:dyDescent="0.25">
      <c r="A1732" t="s">
        <v>71</v>
      </c>
      <c r="B1732">
        <v>25.74</v>
      </c>
    </row>
    <row r="1733" spans="1:2" x14ac:dyDescent="0.25">
      <c r="A1733" t="s">
        <v>72</v>
      </c>
      <c r="B1733">
        <v>22.71</v>
      </c>
    </row>
    <row r="1734" spans="1:2" x14ac:dyDescent="0.25">
      <c r="A1734" t="s">
        <v>73</v>
      </c>
      <c r="B1734">
        <v>1.57</v>
      </c>
    </row>
    <row r="1735" spans="1:2" x14ac:dyDescent="0.25">
      <c r="A1735" t="s">
        <v>74</v>
      </c>
      <c r="B1735">
        <v>27.28</v>
      </c>
    </row>
    <row r="1736" spans="1:2" x14ac:dyDescent="0.25">
      <c r="A1736" t="s">
        <v>75</v>
      </c>
      <c r="B1736">
        <v>13.15</v>
      </c>
    </row>
    <row r="1737" spans="1:2" x14ac:dyDescent="0.25">
      <c r="A1737" t="s">
        <v>76</v>
      </c>
      <c r="B1737">
        <v>18.22</v>
      </c>
    </row>
    <row r="1738" spans="1:2" x14ac:dyDescent="0.25">
      <c r="A1738" t="s">
        <v>77</v>
      </c>
      <c r="B1738">
        <v>17.309999999999999</v>
      </c>
    </row>
    <row r="1739" spans="1:2" x14ac:dyDescent="0.25">
      <c r="A1739" t="s">
        <v>78</v>
      </c>
      <c r="B1739" t="s">
        <v>4</v>
      </c>
    </row>
    <row r="1740" spans="1:2" x14ac:dyDescent="0.25">
      <c r="A1740" t="s">
        <v>79</v>
      </c>
      <c r="B1740">
        <v>0.34</v>
      </c>
    </row>
    <row r="1741" spans="1:2" x14ac:dyDescent="0.25">
      <c r="A1741" t="s">
        <v>80</v>
      </c>
      <c r="B1741">
        <v>0.69</v>
      </c>
    </row>
    <row r="1742" spans="1:2" x14ac:dyDescent="0.25">
      <c r="A1742" t="s">
        <v>81</v>
      </c>
      <c r="B1742">
        <v>0.28000000000000003</v>
      </c>
    </row>
    <row r="1745" spans="1:2" x14ac:dyDescent="0.25">
      <c r="A1745" t="s">
        <v>0</v>
      </c>
      <c r="B1745" t="s">
        <v>96</v>
      </c>
    </row>
    <row r="1747" spans="1:2" s="1" customFormat="1" x14ac:dyDescent="0.25">
      <c r="A1747" s="1" t="s">
        <v>2</v>
      </c>
      <c r="B1747" s="1" t="s">
        <v>157</v>
      </c>
    </row>
    <row r="1748" spans="1:2" x14ac:dyDescent="0.25">
      <c r="A1748" t="s">
        <v>3</v>
      </c>
      <c r="B1748" t="s">
        <v>4</v>
      </c>
    </row>
    <row r="1749" spans="1:2" x14ac:dyDescent="0.25">
      <c r="A1749" t="s">
        <v>5</v>
      </c>
      <c r="B1749" t="s">
        <v>4</v>
      </c>
    </row>
    <row r="1750" spans="1:2" x14ac:dyDescent="0.25">
      <c r="A1750" t="s">
        <v>6</v>
      </c>
      <c r="B1750" t="s">
        <v>4</v>
      </c>
    </row>
    <row r="1751" spans="1:2" x14ac:dyDescent="0.25">
      <c r="A1751" t="s">
        <v>7</v>
      </c>
      <c r="B1751" t="s">
        <v>4</v>
      </c>
    </row>
    <row r="1752" spans="1:2" x14ac:dyDescent="0.25">
      <c r="A1752" t="s">
        <v>8</v>
      </c>
      <c r="B1752" t="s">
        <v>4</v>
      </c>
    </row>
    <row r="1753" spans="1:2" x14ac:dyDescent="0.25">
      <c r="A1753" t="s">
        <v>9</v>
      </c>
      <c r="B1753" t="s">
        <v>4</v>
      </c>
    </row>
    <row r="1754" spans="1:2" x14ac:dyDescent="0.25">
      <c r="A1754" t="s">
        <v>10</v>
      </c>
      <c r="B1754" t="s">
        <v>4</v>
      </c>
    </row>
    <row r="1755" spans="1:2" x14ac:dyDescent="0.25">
      <c r="A1755" t="s">
        <v>11</v>
      </c>
      <c r="B1755" t="s">
        <v>4</v>
      </c>
    </row>
    <row r="1756" spans="1:2" x14ac:dyDescent="0.25">
      <c r="A1756" t="s">
        <v>12</v>
      </c>
      <c r="B1756" t="s">
        <v>4</v>
      </c>
    </row>
    <row r="1757" spans="1:2" x14ac:dyDescent="0.25">
      <c r="A1757" t="s">
        <v>13</v>
      </c>
      <c r="B1757" t="s">
        <v>4</v>
      </c>
    </row>
    <row r="1758" spans="1:2" x14ac:dyDescent="0.25">
      <c r="A1758" t="s">
        <v>14</v>
      </c>
      <c r="B1758" t="s">
        <v>4</v>
      </c>
    </row>
    <row r="1759" spans="1:2" x14ac:dyDescent="0.25">
      <c r="A1759" t="s">
        <v>15</v>
      </c>
      <c r="B1759" t="s">
        <v>4</v>
      </c>
    </row>
    <row r="1760" spans="1:2" x14ac:dyDescent="0.25">
      <c r="A1760" t="s">
        <v>16</v>
      </c>
      <c r="B1760" t="s">
        <v>4</v>
      </c>
    </row>
    <row r="1761" spans="1:2" x14ac:dyDescent="0.25">
      <c r="A1761" t="s">
        <v>17</v>
      </c>
      <c r="B1761" t="s">
        <v>4</v>
      </c>
    </row>
    <row r="1762" spans="1:2" x14ac:dyDescent="0.25">
      <c r="A1762" t="s">
        <v>18</v>
      </c>
      <c r="B1762" t="s">
        <v>4</v>
      </c>
    </row>
    <row r="1763" spans="1:2" x14ac:dyDescent="0.25">
      <c r="A1763" t="s">
        <v>19</v>
      </c>
      <c r="B1763" t="s">
        <v>4</v>
      </c>
    </row>
    <row r="1764" spans="1:2" x14ac:dyDescent="0.25">
      <c r="A1764" t="s">
        <v>20</v>
      </c>
      <c r="B1764" t="s">
        <v>4</v>
      </c>
    </row>
    <row r="1765" spans="1:2" x14ac:dyDescent="0.25">
      <c r="A1765" t="s">
        <v>21</v>
      </c>
      <c r="B1765" t="s">
        <v>4</v>
      </c>
    </row>
    <row r="1766" spans="1:2" x14ac:dyDescent="0.25">
      <c r="A1766" t="s">
        <v>22</v>
      </c>
      <c r="B1766" t="s">
        <v>4</v>
      </c>
    </row>
    <row r="1767" spans="1:2" x14ac:dyDescent="0.25">
      <c r="A1767" t="s">
        <v>23</v>
      </c>
      <c r="B1767" t="s">
        <v>4</v>
      </c>
    </row>
    <row r="1768" spans="1:2" x14ac:dyDescent="0.25">
      <c r="A1768" t="s">
        <v>24</v>
      </c>
      <c r="B1768" t="s">
        <v>4</v>
      </c>
    </row>
    <row r="1769" spans="1:2" x14ac:dyDescent="0.25">
      <c r="A1769" t="s">
        <v>25</v>
      </c>
      <c r="B1769" t="s">
        <v>4</v>
      </c>
    </row>
    <row r="1770" spans="1:2" x14ac:dyDescent="0.25">
      <c r="A1770" t="s">
        <v>26</v>
      </c>
      <c r="B1770" t="s">
        <v>4</v>
      </c>
    </row>
    <row r="1771" spans="1:2" x14ac:dyDescent="0.25">
      <c r="A1771" t="s">
        <v>27</v>
      </c>
      <c r="B1771" t="s">
        <v>4</v>
      </c>
    </row>
    <row r="1772" spans="1:2" x14ac:dyDescent="0.25">
      <c r="A1772" t="s">
        <v>28</v>
      </c>
      <c r="B1772" t="s">
        <v>4</v>
      </c>
    </row>
    <row r="1773" spans="1:2" x14ac:dyDescent="0.25">
      <c r="A1773" t="s">
        <v>29</v>
      </c>
      <c r="B1773" t="s">
        <v>4</v>
      </c>
    </row>
    <row r="1774" spans="1:2" x14ac:dyDescent="0.25">
      <c r="A1774" t="s">
        <v>30</v>
      </c>
      <c r="B1774" t="s">
        <v>4</v>
      </c>
    </row>
    <row r="1775" spans="1:2" x14ac:dyDescent="0.25">
      <c r="A1775" t="s">
        <v>31</v>
      </c>
      <c r="B1775" t="s">
        <v>4</v>
      </c>
    </row>
    <row r="1776" spans="1:2" x14ac:dyDescent="0.25">
      <c r="A1776" t="s">
        <v>32</v>
      </c>
      <c r="B1776" t="s">
        <v>4</v>
      </c>
    </row>
    <row r="1777" spans="1:2" x14ac:dyDescent="0.25">
      <c r="A1777" t="s">
        <v>33</v>
      </c>
      <c r="B1777">
        <v>0.51</v>
      </c>
    </row>
    <row r="1778" spans="1:2" x14ac:dyDescent="0.25">
      <c r="A1778" t="s">
        <v>34</v>
      </c>
      <c r="B1778" t="s">
        <v>4</v>
      </c>
    </row>
    <row r="1779" spans="1:2" x14ac:dyDescent="0.25">
      <c r="A1779" t="s">
        <v>35</v>
      </c>
      <c r="B1779" t="s">
        <v>4</v>
      </c>
    </row>
    <row r="1780" spans="1:2" x14ac:dyDescent="0.25">
      <c r="A1780" t="s">
        <v>36</v>
      </c>
      <c r="B1780" t="s">
        <v>4</v>
      </c>
    </row>
    <row r="1781" spans="1:2" x14ac:dyDescent="0.25">
      <c r="A1781" t="s">
        <v>37</v>
      </c>
      <c r="B1781" t="s">
        <v>4</v>
      </c>
    </row>
    <row r="1782" spans="1:2" x14ac:dyDescent="0.25">
      <c r="A1782" t="s">
        <v>38</v>
      </c>
      <c r="B1782" t="s">
        <v>4</v>
      </c>
    </row>
    <row r="1783" spans="1:2" x14ac:dyDescent="0.25">
      <c r="A1783" t="s">
        <v>39</v>
      </c>
      <c r="B1783" t="s">
        <v>4</v>
      </c>
    </row>
    <row r="1784" spans="1:2" x14ac:dyDescent="0.25">
      <c r="A1784" t="s">
        <v>40</v>
      </c>
      <c r="B1784" t="s">
        <v>4</v>
      </c>
    </row>
    <row r="1785" spans="1:2" x14ac:dyDescent="0.25">
      <c r="A1785" t="s">
        <v>41</v>
      </c>
      <c r="B1785" t="s">
        <v>4</v>
      </c>
    </row>
    <row r="1786" spans="1:2" x14ac:dyDescent="0.25">
      <c r="A1786" t="s">
        <v>42</v>
      </c>
      <c r="B1786" t="s">
        <v>4</v>
      </c>
    </row>
    <row r="1787" spans="1:2" x14ac:dyDescent="0.25">
      <c r="A1787" t="s">
        <v>43</v>
      </c>
      <c r="B1787" t="s">
        <v>4</v>
      </c>
    </row>
    <row r="1788" spans="1:2" x14ac:dyDescent="0.25">
      <c r="A1788" t="s">
        <v>44</v>
      </c>
      <c r="B1788" t="s">
        <v>4</v>
      </c>
    </row>
    <row r="1789" spans="1:2" x14ac:dyDescent="0.25">
      <c r="A1789" t="s">
        <v>45</v>
      </c>
      <c r="B1789" t="s">
        <v>4</v>
      </c>
    </row>
    <row r="1790" spans="1:2" x14ac:dyDescent="0.25">
      <c r="A1790" t="s">
        <v>46</v>
      </c>
      <c r="B1790" t="s">
        <v>4</v>
      </c>
    </row>
    <row r="1791" spans="1:2" x14ac:dyDescent="0.25">
      <c r="A1791" t="s">
        <v>47</v>
      </c>
      <c r="B1791" t="s">
        <v>4</v>
      </c>
    </row>
    <row r="1792" spans="1:2" x14ac:dyDescent="0.25">
      <c r="A1792" t="s">
        <v>48</v>
      </c>
      <c r="B1792" t="s">
        <v>4</v>
      </c>
    </row>
    <row r="1793" spans="1:2" x14ac:dyDescent="0.25">
      <c r="A1793" t="s">
        <v>49</v>
      </c>
      <c r="B1793" t="s">
        <v>4</v>
      </c>
    </row>
    <row r="1794" spans="1:2" x14ac:dyDescent="0.25">
      <c r="A1794" t="s">
        <v>50</v>
      </c>
      <c r="B1794" t="s">
        <v>4</v>
      </c>
    </row>
    <row r="1795" spans="1:2" x14ac:dyDescent="0.25">
      <c r="A1795" t="s">
        <v>51</v>
      </c>
      <c r="B1795" t="s">
        <v>4</v>
      </c>
    </row>
    <row r="1796" spans="1:2" x14ac:dyDescent="0.25">
      <c r="A1796" t="s">
        <v>52</v>
      </c>
      <c r="B1796" t="s">
        <v>4</v>
      </c>
    </row>
    <row r="1797" spans="1:2" x14ac:dyDescent="0.25">
      <c r="A1797" t="s">
        <v>53</v>
      </c>
      <c r="B1797">
        <v>1.08</v>
      </c>
    </row>
    <row r="1798" spans="1:2" x14ac:dyDescent="0.25">
      <c r="A1798" t="s">
        <v>54</v>
      </c>
      <c r="B1798" t="s">
        <v>4</v>
      </c>
    </row>
    <row r="1799" spans="1:2" x14ac:dyDescent="0.25">
      <c r="A1799" t="s">
        <v>55</v>
      </c>
      <c r="B1799">
        <v>1.1599999999999999</v>
      </c>
    </row>
    <row r="1800" spans="1:2" x14ac:dyDescent="0.25">
      <c r="A1800" t="s">
        <v>56</v>
      </c>
      <c r="B1800" t="s">
        <v>4</v>
      </c>
    </row>
    <row r="1801" spans="1:2" x14ac:dyDescent="0.25">
      <c r="A1801" t="s">
        <v>57</v>
      </c>
      <c r="B1801" t="s">
        <v>4</v>
      </c>
    </row>
    <row r="1802" spans="1:2" x14ac:dyDescent="0.25">
      <c r="A1802" t="s">
        <v>58</v>
      </c>
      <c r="B1802" t="s">
        <v>4</v>
      </c>
    </row>
    <row r="1803" spans="1:2" x14ac:dyDescent="0.25">
      <c r="A1803" t="s">
        <v>59</v>
      </c>
      <c r="B1803">
        <v>0.61</v>
      </c>
    </row>
    <row r="1804" spans="1:2" x14ac:dyDescent="0.25">
      <c r="A1804" t="s">
        <v>60</v>
      </c>
      <c r="B1804" t="s">
        <v>4</v>
      </c>
    </row>
    <row r="1805" spans="1:2" x14ac:dyDescent="0.25">
      <c r="A1805" t="s">
        <v>61</v>
      </c>
      <c r="B1805" t="s">
        <v>4</v>
      </c>
    </row>
    <row r="1806" spans="1:2" x14ac:dyDescent="0.25">
      <c r="A1806" t="s">
        <v>62</v>
      </c>
      <c r="B1806" t="s">
        <v>4</v>
      </c>
    </row>
    <row r="1807" spans="1:2" x14ac:dyDescent="0.25">
      <c r="A1807" t="s">
        <v>63</v>
      </c>
      <c r="B1807" t="s">
        <v>4</v>
      </c>
    </row>
    <row r="1808" spans="1:2" x14ac:dyDescent="0.25">
      <c r="A1808" t="s">
        <v>64</v>
      </c>
      <c r="B1808" t="s">
        <v>4</v>
      </c>
    </row>
    <row r="1809" spans="1:2" x14ac:dyDescent="0.25">
      <c r="A1809" t="s">
        <v>65</v>
      </c>
      <c r="B1809" t="s">
        <v>4</v>
      </c>
    </row>
    <row r="1810" spans="1:2" x14ac:dyDescent="0.25">
      <c r="A1810" t="s">
        <v>66</v>
      </c>
      <c r="B1810" t="s">
        <v>4</v>
      </c>
    </row>
    <row r="1811" spans="1:2" x14ac:dyDescent="0.25">
      <c r="A1811" t="s">
        <v>67</v>
      </c>
      <c r="B1811" t="s">
        <v>4</v>
      </c>
    </row>
    <row r="1812" spans="1:2" x14ac:dyDescent="0.25">
      <c r="A1812" t="s">
        <v>68</v>
      </c>
      <c r="B1812" t="s">
        <v>4</v>
      </c>
    </row>
    <row r="1813" spans="1:2" x14ac:dyDescent="0.25">
      <c r="A1813" t="s">
        <v>69</v>
      </c>
      <c r="B1813" t="s">
        <v>4</v>
      </c>
    </row>
    <row r="1814" spans="1:2" x14ac:dyDescent="0.25">
      <c r="A1814" t="s">
        <v>70</v>
      </c>
      <c r="B1814" t="s">
        <v>4</v>
      </c>
    </row>
    <row r="1815" spans="1:2" x14ac:dyDescent="0.25">
      <c r="A1815" t="s">
        <v>71</v>
      </c>
      <c r="B1815">
        <v>0.69</v>
      </c>
    </row>
    <row r="1816" spans="1:2" x14ac:dyDescent="0.25">
      <c r="A1816" t="s">
        <v>72</v>
      </c>
      <c r="B1816" t="s">
        <v>4</v>
      </c>
    </row>
    <row r="1817" spans="1:2" x14ac:dyDescent="0.25">
      <c r="A1817" t="s">
        <v>73</v>
      </c>
      <c r="B1817" t="s">
        <v>4</v>
      </c>
    </row>
    <row r="1818" spans="1:2" x14ac:dyDescent="0.25">
      <c r="A1818" t="s">
        <v>74</v>
      </c>
      <c r="B1818" t="s">
        <v>4</v>
      </c>
    </row>
    <row r="1819" spans="1:2" x14ac:dyDescent="0.25">
      <c r="A1819" t="s">
        <v>75</v>
      </c>
      <c r="B1819" t="s">
        <v>4</v>
      </c>
    </row>
    <row r="1820" spans="1:2" x14ac:dyDescent="0.25">
      <c r="A1820" t="s">
        <v>76</v>
      </c>
      <c r="B1820">
        <v>0.86</v>
      </c>
    </row>
    <row r="1821" spans="1:2" x14ac:dyDescent="0.25">
      <c r="A1821" t="s">
        <v>77</v>
      </c>
      <c r="B1821" t="s">
        <v>4</v>
      </c>
    </row>
    <row r="1822" spans="1:2" x14ac:dyDescent="0.25">
      <c r="A1822" t="s">
        <v>78</v>
      </c>
      <c r="B1822" t="s">
        <v>4</v>
      </c>
    </row>
    <row r="1823" spans="1:2" x14ac:dyDescent="0.25">
      <c r="A1823" t="s">
        <v>79</v>
      </c>
      <c r="B1823" t="s">
        <v>4</v>
      </c>
    </row>
    <row r="1824" spans="1:2" x14ac:dyDescent="0.25">
      <c r="A1824" t="s">
        <v>80</v>
      </c>
      <c r="B1824" t="s">
        <v>4</v>
      </c>
    </row>
    <row r="1825" spans="1:2" x14ac:dyDescent="0.25">
      <c r="A1825" t="s">
        <v>81</v>
      </c>
      <c r="B1825" t="s">
        <v>4</v>
      </c>
    </row>
    <row r="1828" spans="1:2" x14ac:dyDescent="0.25">
      <c r="A1828" t="s">
        <v>0</v>
      </c>
      <c r="B1828" t="s">
        <v>97</v>
      </c>
    </row>
    <row r="1830" spans="1:2" s="1" customFormat="1" x14ac:dyDescent="0.25">
      <c r="A1830" s="1" t="s">
        <v>2</v>
      </c>
      <c r="B1830" s="1" t="s">
        <v>157</v>
      </c>
    </row>
    <row r="1831" spans="1:2" x14ac:dyDescent="0.25">
      <c r="A1831" t="s">
        <v>3</v>
      </c>
      <c r="B1831" t="s">
        <v>4</v>
      </c>
    </row>
    <row r="1832" spans="1:2" x14ac:dyDescent="0.25">
      <c r="A1832" t="s">
        <v>5</v>
      </c>
      <c r="B1832" t="s">
        <v>4</v>
      </c>
    </row>
    <row r="1833" spans="1:2" x14ac:dyDescent="0.25">
      <c r="A1833" t="s">
        <v>6</v>
      </c>
      <c r="B1833" t="s">
        <v>4</v>
      </c>
    </row>
    <row r="1834" spans="1:2" x14ac:dyDescent="0.25">
      <c r="A1834" t="s">
        <v>7</v>
      </c>
      <c r="B1834" t="s">
        <v>4</v>
      </c>
    </row>
    <row r="1835" spans="1:2" x14ac:dyDescent="0.25">
      <c r="A1835" t="s">
        <v>8</v>
      </c>
      <c r="B1835" t="s">
        <v>4</v>
      </c>
    </row>
    <row r="1836" spans="1:2" x14ac:dyDescent="0.25">
      <c r="A1836" t="s">
        <v>9</v>
      </c>
      <c r="B1836" t="s">
        <v>4</v>
      </c>
    </row>
    <row r="1837" spans="1:2" x14ac:dyDescent="0.25">
      <c r="A1837" t="s">
        <v>10</v>
      </c>
      <c r="B1837" t="s">
        <v>4</v>
      </c>
    </row>
    <row r="1838" spans="1:2" x14ac:dyDescent="0.25">
      <c r="A1838" t="s">
        <v>11</v>
      </c>
      <c r="B1838" t="s">
        <v>4</v>
      </c>
    </row>
    <row r="1839" spans="1:2" x14ac:dyDescent="0.25">
      <c r="A1839" t="s">
        <v>12</v>
      </c>
      <c r="B1839" t="s">
        <v>4</v>
      </c>
    </row>
    <row r="1840" spans="1:2" x14ac:dyDescent="0.25">
      <c r="A1840" t="s">
        <v>13</v>
      </c>
      <c r="B1840" t="s">
        <v>4</v>
      </c>
    </row>
    <row r="1841" spans="1:2" x14ac:dyDescent="0.25">
      <c r="A1841" t="s">
        <v>14</v>
      </c>
      <c r="B1841" t="s">
        <v>4</v>
      </c>
    </row>
    <row r="1842" spans="1:2" x14ac:dyDescent="0.25">
      <c r="A1842" t="s">
        <v>15</v>
      </c>
      <c r="B1842" t="s">
        <v>4</v>
      </c>
    </row>
    <row r="1843" spans="1:2" x14ac:dyDescent="0.25">
      <c r="A1843" t="s">
        <v>16</v>
      </c>
      <c r="B1843" t="s">
        <v>4</v>
      </c>
    </row>
    <row r="1844" spans="1:2" x14ac:dyDescent="0.25">
      <c r="A1844" t="s">
        <v>17</v>
      </c>
      <c r="B1844" t="s">
        <v>4</v>
      </c>
    </row>
    <row r="1845" spans="1:2" x14ac:dyDescent="0.25">
      <c r="A1845" t="s">
        <v>18</v>
      </c>
      <c r="B1845" t="s">
        <v>4</v>
      </c>
    </row>
    <row r="1846" spans="1:2" x14ac:dyDescent="0.25">
      <c r="A1846" t="s">
        <v>19</v>
      </c>
      <c r="B1846" t="s">
        <v>4</v>
      </c>
    </row>
    <row r="1847" spans="1:2" x14ac:dyDescent="0.25">
      <c r="A1847" t="s">
        <v>20</v>
      </c>
      <c r="B1847" t="s">
        <v>4</v>
      </c>
    </row>
    <row r="1848" spans="1:2" x14ac:dyDescent="0.25">
      <c r="A1848" t="s">
        <v>21</v>
      </c>
      <c r="B1848" t="s">
        <v>4</v>
      </c>
    </row>
    <row r="1849" spans="1:2" x14ac:dyDescent="0.25">
      <c r="A1849" t="s">
        <v>22</v>
      </c>
      <c r="B1849" t="s">
        <v>4</v>
      </c>
    </row>
    <row r="1850" spans="1:2" x14ac:dyDescent="0.25">
      <c r="A1850" t="s">
        <v>23</v>
      </c>
      <c r="B1850" t="s">
        <v>4</v>
      </c>
    </row>
    <row r="1851" spans="1:2" x14ac:dyDescent="0.25">
      <c r="A1851" t="s">
        <v>24</v>
      </c>
      <c r="B1851" t="s">
        <v>4</v>
      </c>
    </row>
    <row r="1852" spans="1:2" x14ac:dyDescent="0.25">
      <c r="A1852" t="s">
        <v>25</v>
      </c>
      <c r="B1852" t="s">
        <v>4</v>
      </c>
    </row>
    <row r="1853" spans="1:2" x14ac:dyDescent="0.25">
      <c r="A1853" t="s">
        <v>26</v>
      </c>
      <c r="B1853" t="s">
        <v>4</v>
      </c>
    </row>
    <row r="1854" spans="1:2" x14ac:dyDescent="0.25">
      <c r="A1854" t="s">
        <v>27</v>
      </c>
      <c r="B1854" t="s">
        <v>4</v>
      </c>
    </row>
    <row r="1855" spans="1:2" x14ac:dyDescent="0.25">
      <c r="A1855" t="s">
        <v>28</v>
      </c>
      <c r="B1855" t="s">
        <v>4</v>
      </c>
    </row>
    <row r="1856" spans="1:2" x14ac:dyDescent="0.25">
      <c r="A1856" t="s">
        <v>29</v>
      </c>
      <c r="B1856" t="s">
        <v>4</v>
      </c>
    </row>
    <row r="1857" spans="1:2" x14ac:dyDescent="0.25">
      <c r="A1857" t="s">
        <v>30</v>
      </c>
      <c r="B1857" t="s">
        <v>4</v>
      </c>
    </row>
    <row r="1858" spans="1:2" x14ac:dyDescent="0.25">
      <c r="A1858" t="s">
        <v>31</v>
      </c>
      <c r="B1858" t="s">
        <v>4</v>
      </c>
    </row>
    <row r="1859" spans="1:2" x14ac:dyDescent="0.25">
      <c r="A1859" t="s">
        <v>32</v>
      </c>
      <c r="B1859" t="s">
        <v>4</v>
      </c>
    </row>
    <row r="1860" spans="1:2" x14ac:dyDescent="0.25">
      <c r="A1860" t="s">
        <v>33</v>
      </c>
      <c r="B1860" t="s">
        <v>4</v>
      </c>
    </row>
    <row r="1861" spans="1:2" x14ac:dyDescent="0.25">
      <c r="A1861" t="s">
        <v>34</v>
      </c>
      <c r="B1861" t="s">
        <v>4</v>
      </c>
    </row>
    <row r="1862" spans="1:2" x14ac:dyDescent="0.25">
      <c r="A1862" t="s">
        <v>35</v>
      </c>
      <c r="B1862" t="s">
        <v>4</v>
      </c>
    </row>
    <row r="1863" spans="1:2" x14ac:dyDescent="0.25">
      <c r="A1863" t="s">
        <v>36</v>
      </c>
      <c r="B1863" t="s">
        <v>4</v>
      </c>
    </row>
    <row r="1864" spans="1:2" x14ac:dyDescent="0.25">
      <c r="A1864" t="s">
        <v>37</v>
      </c>
      <c r="B1864" t="s">
        <v>4</v>
      </c>
    </row>
    <row r="1865" spans="1:2" x14ac:dyDescent="0.25">
      <c r="A1865" t="s">
        <v>38</v>
      </c>
      <c r="B1865" t="s">
        <v>4</v>
      </c>
    </row>
    <row r="1866" spans="1:2" x14ac:dyDescent="0.25">
      <c r="A1866" t="s">
        <v>39</v>
      </c>
      <c r="B1866" t="s">
        <v>4</v>
      </c>
    </row>
    <row r="1867" spans="1:2" x14ac:dyDescent="0.25">
      <c r="A1867" t="s">
        <v>40</v>
      </c>
      <c r="B1867" t="s">
        <v>4</v>
      </c>
    </row>
    <row r="1868" spans="1:2" x14ac:dyDescent="0.25">
      <c r="A1868" t="s">
        <v>41</v>
      </c>
      <c r="B1868" t="s">
        <v>4</v>
      </c>
    </row>
    <row r="1869" spans="1:2" x14ac:dyDescent="0.25">
      <c r="A1869" t="s">
        <v>42</v>
      </c>
      <c r="B1869" t="s">
        <v>4</v>
      </c>
    </row>
    <row r="1870" spans="1:2" x14ac:dyDescent="0.25">
      <c r="A1870" t="s">
        <v>43</v>
      </c>
      <c r="B1870" t="s">
        <v>4</v>
      </c>
    </row>
    <row r="1871" spans="1:2" x14ac:dyDescent="0.25">
      <c r="A1871" t="s">
        <v>44</v>
      </c>
      <c r="B1871" t="s">
        <v>4</v>
      </c>
    </row>
    <row r="1872" spans="1:2" x14ac:dyDescent="0.25">
      <c r="A1872" t="s">
        <v>45</v>
      </c>
      <c r="B1872" t="s">
        <v>4</v>
      </c>
    </row>
    <row r="1873" spans="1:2" x14ac:dyDescent="0.25">
      <c r="A1873" t="s">
        <v>46</v>
      </c>
      <c r="B1873" t="s">
        <v>4</v>
      </c>
    </row>
    <row r="1874" spans="1:2" x14ac:dyDescent="0.25">
      <c r="A1874" t="s">
        <v>47</v>
      </c>
      <c r="B1874" t="s">
        <v>4</v>
      </c>
    </row>
    <row r="1875" spans="1:2" x14ac:dyDescent="0.25">
      <c r="A1875" t="s">
        <v>48</v>
      </c>
      <c r="B1875" t="s">
        <v>4</v>
      </c>
    </row>
    <row r="1876" spans="1:2" x14ac:dyDescent="0.25">
      <c r="A1876" t="s">
        <v>49</v>
      </c>
      <c r="B1876" t="s">
        <v>4</v>
      </c>
    </row>
    <row r="1877" spans="1:2" x14ac:dyDescent="0.25">
      <c r="A1877" t="s">
        <v>50</v>
      </c>
      <c r="B1877" t="s">
        <v>4</v>
      </c>
    </row>
    <row r="1878" spans="1:2" x14ac:dyDescent="0.25">
      <c r="A1878" t="s">
        <v>51</v>
      </c>
      <c r="B1878" t="s">
        <v>4</v>
      </c>
    </row>
    <row r="1879" spans="1:2" x14ac:dyDescent="0.25">
      <c r="A1879" t="s">
        <v>52</v>
      </c>
      <c r="B1879" t="s">
        <v>4</v>
      </c>
    </row>
    <row r="1880" spans="1:2" x14ac:dyDescent="0.25">
      <c r="A1880" t="s">
        <v>53</v>
      </c>
      <c r="B1880" t="s">
        <v>4</v>
      </c>
    </row>
    <row r="1881" spans="1:2" x14ac:dyDescent="0.25">
      <c r="A1881" t="s">
        <v>54</v>
      </c>
      <c r="B1881" t="s">
        <v>4</v>
      </c>
    </row>
    <row r="1882" spans="1:2" x14ac:dyDescent="0.25">
      <c r="A1882" t="s">
        <v>55</v>
      </c>
      <c r="B1882" t="s">
        <v>4</v>
      </c>
    </row>
    <row r="1883" spans="1:2" x14ac:dyDescent="0.25">
      <c r="A1883" t="s">
        <v>56</v>
      </c>
      <c r="B1883" t="s">
        <v>4</v>
      </c>
    </row>
    <row r="1884" spans="1:2" x14ac:dyDescent="0.25">
      <c r="A1884" t="s">
        <v>57</v>
      </c>
      <c r="B1884" t="s">
        <v>4</v>
      </c>
    </row>
    <row r="1885" spans="1:2" x14ac:dyDescent="0.25">
      <c r="A1885" t="s">
        <v>58</v>
      </c>
      <c r="B1885" t="s">
        <v>4</v>
      </c>
    </row>
    <row r="1886" spans="1:2" x14ac:dyDescent="0.25">
      <c r="A1886" t="s">
        <v>59</v>
      </c>
      <c r="B1886" t="s">
        <v>4</v>
      </c>
    </row>
    <row r="1887" spans="1:2" x14ac:dyDescent="0.25">
      <c r="A1887" t="s">
        <v>60</v>
      </c>
      <c r="B1887" t="s">
        <v>4</v>
      </c>
    </row>
    <row r="1888" spans="1:2" x14ac:dyDescent="0.25">
      <c r="A1888" t="s">
        <v>61</v>
      </c>
      <c r="B1888" t="s">
        <v>4</v>
      </c>
    </row>
    <row r="1889" spans="1:2" x14ac:dyDescent="0.25">
      <c r="A1889" t="s">
        <v>62</v>
      </c>
      <c r="B1889" t="s">
        <v>4</v>
      </c>
    </row>
    <row r="1890" spans="1:2" x14ac:dyDescent="0.25">
      <c r="A1890" t="s">
        <v>63</v>
      </c>
      <c r="B1890" t="s">
        <v>4</v>
      </c>
    </row>
    <row r="1891" spans="1:2" x14ac:dyDescent="0.25">
      <c r="A1891" t="s">
        <v>64</v>
      </c>
      <c r="B1891" t="s">
        <v>4</v>
      </c>
    </row>
    <row r="1892" spans="1:2" x14ac:dyDescent="0.25">
      <c r="A1892" t="s">
        <v>65</v>
      </c>
      <c r="B1892" t="s">
        <v>4</v>
      </c>
    </row>
    <row r="1893" spans="1:2" x14ac:dyDescent="0.25">
      <c r="A1893" t="s">
        <v>66</v>
      </c>
      <c r="B1893" t="s">
        <v>4</v>
      </c>
    </row>
    <row r="1894" spans="1:2" x14ac:dyDescent="0.25">
      <c r="A1894" t="s">
        <v>67</v>
      </c>
      <c r="B1894" t="s">
        <v>4</v>
      </c>
    </row>
    <row r="1895" spans="1:2" x14ac:dyDescent="0.25">
      <c r="A1895" t="s">
        <v>68</v>
      </c>
      <c r="B1895" t="s">
        <v>4</v>
      </c>
    </row>
    <row r="1896" spans="1:2" x14ac:dyDescent="0.25">
      <c r="A1896" t="s">
        <v>69</v>
      </c>
      <c r="B1896" t="s">
        <v>4</v>
      </c>
    </row>
    <row r="1897" spans="1:2" x14ac:dyDescent="0.25">
      <c r="A1897" t="s">
        <v>70</v>
      </c>
      <c r="B1897" t="s">
        <v>4</v>
      </c>
    </row>
    <row r="1898" spans="1:2" x14ac:dyDescent="0.25">
      <c r="A1898" t="s">
        <v>71</v>
      </c>
      <c r="B1898" t="s">
        <v>4</v>
      </c>
    </row>
    <row r="1899" spans="1:2" x14ac:dyDescent="0.25">
      <c r="A1899" t="s">
        <v>72</v>
      </c>
      <c r="B1899" t="s">
        <v>4</v>
      </c>
    </row>
    <row r="1900" spans="1:2" x14ac:dyDescent="0.25">
      <c r="A1900" t="s">
        <v>73</v>
      </c>
      <c r="B1900" t="s">
        <v>4</v>
      </c>
    </row>
    <row r="1901" spans="1:2" x14ac:dyDescent="0.25">
      <c r="A1901" t="s">
        <v>74</v>
      </c>
      <c r="B1901" t="s">
        <v>4</v>
      </c>
    </row>
    <row r="1902" spans="1:2" x14ac:dyDescent="0.25">
      <c r="A1902" t="s">
        <v>75</v>
      </c>
      <c r="B1902" t="s">
        <v>4</v>
      </c>
    </row>
    <row r="1903" spans="1:2" x14ac:dyDescent="0.25">
      <c r="A1903" t="s">
        <v>76</v>
      </c>
      <c r="B1903" t="s">
        <v>4</v>
      </c>
    </row>
    <row r="1904" spans="1:2" x14ac:dyDescent="0.25">
      <c r="A1904" t="s">
        <v>77</v>
      </c>
      <c r="B1904" t="s">
        <v>4</v>
      </c>
    </row>
    <row r="1905" spans="1:2" x14ac:dyDescent="0.25">
      <c r="A1905" t="s">
        <v>78</v>
      </c>
      <c r="B1905" t="s">
        <v>4</v>
      </c>
    </row>
    <row r="1906" spans="1:2" x14ac:dyDescent="0.25">
      <c r="A1906" t="s">
        <v>79</v>
      </c>
      <c r="B1906" t="s">
        <v>4</v>
      </c>
    </row>
    <row r="1907" spans="1:2" x14ac:dyDescent="0.25">
      <c r="A1907" t="s">
        <v>80</v>
      </c>
      <c r="B1907" t="s">
        <v>4</v>
      </c>
    </row>
    <row r="1908" spans="1:2" x14ac:dyDescent="0.25">
      <c r="A1908" t="s">
        <v>81</v>
      </c>
      <c r="B1908" t="s">
        <v>4</v>
      </c>
    </row>
    <row r="1911" spans="1:2" x14ac:dyDescent="0.25">
      <c r="A1911" t="s">
        <v>0</v>
      </c>
      <c r="B1911" t="s">
        <v>98</v>
      </c>
    </row>
    <row r="1913" spans="1:2" s="1" customFormat="1" x14ac:dyDescent="0.25">
      <c r="A1913" s="1" t="s">
        <v>2</v>
      </c>
      <c r="B1913" s="1" t="s">
        <v>157</v>
      </c>
    </row>
    <row r="1914" spans="1:2" x14ac:dyDescent="0.25">
      <c r="A1914" t="s">
        <v>3</v>
      </c>
      <c r="B1914" t="s">
        <v>4</v>
      </c>
    </row>
    <row r="1915" spans="1:2" x14ac:dyDescent="0.25">
      <c r="A1915" t="s">
        <v>5</v>
      </c>
      <c r="B1915" t="s">
        <v>4</v>
      </c>
    </row>
    <row r="1916" spans="1:2" x14ac:dyDescent="0.25">
      <c r="A1916" t="s">
        <v>6</v>
      </c>
      <c r="B1916" t="s">
        <v>4</v>
      </c>
    </row>
    <row r="1917" spans="1:2" x14ac:dyDescent="0.25">
      <c r="A1917" t="s">
        <v>7</v>
      </c>
      <c r="B1917">
        <v>5.73</v>
      </c>
    </row>
    <row r="1918" spans="1:2" x14ac:dyDescent="0.25">
      <c r="A1918" t="s">
        <v>8</v>
      </c>
      <c r="B1918">
        <v>100.02</v>
      </c>
    </row>
    <row r="1919" spans="1:2" x14ac:dyDescent="0.25">
      <c r="A1919" t="s">
        <v>9</v>
      </c>
      <c r="B1919">
        <v>755.48</v>
      </c>
    </row>
    <row r="1920" spans="1:2" x14ac:dyDescent="0.25">
      <c r="A1920" t="s">
        <v>10</v>
      </c>
      <c r="B1920">
        <v>7.64</v>
      </c>
    </row>
    <row r="1921" spans="1:2" x14ac:dyDescent="0.25">
      <c r="A1921" t="s">
        <v>11</v>
      </c>
      <c r="B1921" t="s">
        <v>4</v>
      </c>
    </row>
    <row r="1922" spans="1:2" x14ac:dyDescent="0.25">
      <c r="A1922" t="s">
        <v>12</v>
      </c>
      <c r="B1922" t="s">
        <v>4</v>
      </c>
    </row>
    <row r="1923" spans="1:2" x14ac:dyDescent="0.25">
      <c r="A1923" t="s">
        <v>13</v>
      </c>
      <c r="B1923">
        <v>6.66</v>
      </c>
    </row>
    <row r="1924" spans="1:2" x14ac:dyDescent="0.25">
      <c r="A1924" t="s">
        <v>14</v>
      </c>
      <c r="B1924">
        <v>8.59</v>
      </c>
    </row>
    <row r="1925" spans="1:2" x14ac:dyDescent="0.25">
      <c r="A1925" t="s">
        <v>15</v>
      </c>
      <c r="B1925">
        <v>21.23</v>
      </c>
    </row>
    <row r="1926" spans="1:2" x14ac:dyDescent="0.25">
      <c r="A1926" t="s">
        <v>16</v>
      </c>
      <c r="B1926">
        <v>10.029999999999999</v>
      </c>
    </row>
    <row r="1927" spans="1:2" x14ac:dyDescent="0.25">
      <c r="A1927" t="s">
        <v>17</v>
      </c>
      <c r="B1927">
        <v>1475.69</v>
      </c>
    </row>
    <row r="1928" spans="1:2" x14ac:dyDescent="0.25">
      <c r="A1928" t="s">
        <v>18</v>
      </c>
      <c r="B1928">
        <v>5.95</v>
      </c>
    </row>
    <row r="1929" spans="1:2" x14ac:dyDescent="0.25">
      <c r="A1929" t="s">
        <v>19</v>
      </c>
      <c r="B1929" t="s">
        <v>4</v>
      </c>
    </row>
    <row r="1930" spans="1:2" x14ac:dyDescent="0.25">
      <c r="A1930" t="s">
        <v>20</v>
      </c>
      <c r="B1930">
        <v>5.24</v>
      </c>
    </row>
    <row r="1931" spans="1:2" x14ac:dyDescent="0.25">
      <c r="A1931" t="s">
        <v>21</v>
      </c>
      <c r="B1931" t="s">
        <v>4</v>
      </c>
    </row>
    <row r="1932" spans="1:2" x14ac:dyDescent="0.25">
      <c r="A1932" t="s">
        <v>22</v>
      </c>
      <c r="B1932" t="s">
        <v>4</v>
      </c>
    </row>
    <row r="1933" spans="1:2" x14ac:dyDescent="0.25">
      <c r="A1933" t="s">
        <v>23</v>
      </c>
      <c r="B1933">
        <v>4.26</v>
      </c>
    </row>
    <row r="1934" spans="1:2" x14ac:dyDescent="0.25">
      <c r="A1934" t="s">
        <v>24</v>
      </c>
      <c r="B1934">
        <v>4.84</v>
      </c>
    </row>
    <row r="1935" spans="1:2" x14ac:dyDescent="0.25">
      <c r="A1935" t="s">
        <v>25</v>
      </c>
      <c r="B1935">
        <v>10.35</v>
      </c>
    </row>
    <row r="1936" spans="1:2" x14ac:dyDescent="0.25">
      <c r="A1936" t="s">
        <v>26</v>
      </c>
      <c r="B1936">
        <v>30.68</v>
      </c>
    </row>
    <row r="1937" spans="1:2" x14ac:dyDescent="0.25">
      <c r="A1937" t="s">
        <v>27</v>
      </c>
      <c r="B1937">
        <v>5.57</v>
      </c>
    </row>
    <row r="1938" spans="1:2" x14ac:dyDescent="0.25">
      <c r="A1938" t="s">
        <v>28</v>
      </c>
      <c r="B1938">
        <v>5.21</v>
      </c>
    </row>
    <row r="1939" spans="1:2" x14ac:dyDescent="0.25">
      <c r="A1939" t="s">
        <v>29</v>
      </c>
      <c r="B1939">
        <v>378.66</v>
      </c>
    </row>
    <row r="1940" spans="1:2" x14ac:dyDescent="0.25">
      <c r="A1940" t="s">
        <v>30</v>
      </c>
      <c r="B1940">
        <v>290.63</v>
      </c>
    </row>
    <row r="1941" spans="1:2" x14ac:dyDescent="0.25">
      <c r="A1941" t="s">
        <v>31</v>
      </c>
      <c r="B1941">
        <v>212.87</v>
      </c>
    </row>
    <row r="1942" spans="1:2" x14ac:dyDescent="0.25">
      <c r="A1942" t="s">
        <v>32</v>
      </c>
      <c r="B1942" t="s">
        <v>4</v>
      </c>
    </row>
    <row r="1943" spans="1:2" x14ac:dyDescent="0.25">
      <c r="A1943" t="s">
        <v>33</v>
      </c>
      <c r="B1943">
        <v>8.94</v>
      </c>
    </row>
    <row r="1944" spans="1:2" x14ac:dyDescent="0.25">
      <c r="A1944" t="s">
        <v>34</v>
      </c>
      <c r="B1944" t="s">
        <v>4</v>
      </c>
    </row>
    <row r="1945" spans="1:2" x14ac:dyDescent="0.25">
      <c r="A1945" t="s">
        <v>35</v>
      </c>
      <c r="B1945" t="s">
        <v>4</v>
      </c>
    </row>
    <row r="1946" spans="1:2" x14ac:dyDescent="0.25">
      <c r="A1946" t="s">
        <v>36</v>
      </c>
      <c r="B1946" t="s">
        <v>4</v>
      </c>
    </row>
    <row r="1947" spans="1:2" x14ac:dyDescent="0.25">
      <c r="A1947" t="s">
        <v>37</v>
      </c>
      <c r="B1947" t="s">
        <v>4</v>
      </c>
    </row>
    <row r="1948" spans="1:2" x14ac:dyDescent="0.25">
      <c r="A1948" t="s">
        <v>38</v>
      </c>
      <c r="B1948" t="s">
        <v>4</v>
      </c>
    </row>
    <row r="1949" spans="1:2" x14ac:dyDescent="0.25">
      <c r="A1949" t="s">
        <v>39</v>
      </c>
      <c r="B1949" t="s">
        <v>4</v>
      </c>
    </row>
    <row r="1950" spans="1:2" x14ac:dyDescent="0.25">
      <c r="A1950" t="s">
        <v>40</v>
      </c>
      <c r="B1950" t="s">
        <v>4</v>
      </c>
    </row>
    <row r="1951" spans="1:2" x14ac:dyDescent="0.25">
      <c r="A1951" t="s">
        <v>41</v>
      </c>
      <c r="B1951" t="s">
        <v>4</v>
      </c>
    </row>
    <row r="1952" spans="1:2" x14ac:dyDescent="0.25">
      <c r="A1952" t="s">
        <v>42</v>
      </c>
      <c r="B1952" t="s">
        <v>4</v>
      </c>
    </row>
    <row r="1953" spans="1:2" x14ac:dyDescent="0.25">
      <c r="A1953" t="s">
        <v>43</v>
      </c>
      <c r="B1953" t="s">
        <v>4</v>
      </c>
    </row>
    <row r="1954" spans="1:2" x14ac:dyDescent="0.25">
      <c r="A1954" t="s">
        <v>44</v>
      </c>
      <c r="B1954" t="s">
        <v>4</v>
      </c>
    </row>
    <row r="1955" spans="1:2" x14ac:dyDescent="0.25">
      <c r="A1955" t="s">
        <v>45</v>
      </c>
      <c r="B1955" t="s">
        <v>4</v>
      </c>
    </row>
    <row r="1956" spans="1:2" x14ac:dyDescent="0.25">
      <c r="A1956" t="s">
        <v>46</v>
      </c>
      <c r="B1956" t="s">
        <v>4</v>
      </c>
    </row>
    <row r="1957" spans="1:2" x14ac:dyDescent="0.25">
      <c r="A1957" t="s">
        <v>47</v>
      </c>
      <c r="B1957" t="s">
        <v>4</v>
      </c>
    </row>
    <row r="1958" spans="1:2" x14ac:dyDescent="0.25">
      <c r="A1958" t="s">
        <v>48</v>
      </c>
      <c r="B1958" t="s">
        <v>4</v>
      </c>
    </row>
    <row r="1959" spans="1:2" x14ac:dyDescent="0.25">
      <c r="A1959" t="s">
        <v>49</v>
      </c>
      <c r="B1959" t="s">
        <v>4</v>
      </c>
    </row>
    <row r="1960" spans="1:2" x14ac:dyDescent="0.25">
      <c r="A1960" t="s">
        <v>50</v>
      </c>
      <c r="B1960" t="s">
        <v>4</v>
      </c>
    </row>
    <row r="1961" spans="1:2" x14ac:dyDescent="0.25">
      <c r="A1961" t="s">
        <v>51</v>
      </c>
      <c r="B1961" t="s">
        <v>4</v>
      </c>
    </row>
    <row r="1962" spans="1:2" x14ac:dyDescent="0.25">
      <c r="A1962" t="s">
        <v>52</v>
      </c>
      <c r="B1962" t="s">
        <v>4</v>
      </c>
    </row>
    <row r="1963" spans="1:2" x14ac:dyDescent="0.25">
      <c r="A1963" t="s">
        <v>53</v>
      </c>
      <c r="B1963">
        <v>18.559999999999999</v>
      </c>
    </row>
    <row r="1964" spans="1:2" x14ac:dyDescent="0.25">
      <c r="A1964" t="s">
        <v>54</v>
      </c>
      <c r="B1964">
        <v>15.14</v>
      </c>
    </row>
    <row r="1965" spans="1:2" x14ac:dyDescent="0.25">
      <c r="A1965" t="s">
        <v>55</v>
      </c>
      <c r="B1965">
        <v>52.52</v>
      </c>
    </row>
    <row r="1966" spans="1:2" x14ac:dyDescent="0.25">
      <c r="A1966" t="s">
        <v>56</v>
      </c>
      <c r="B1966">
        <v>43.55</v>
      </c>
    </row>
    <row r="1967" spans="1:2" x14ac:dyDescent="0.25">
      <c r="A1967" t="s">
        <v>57</v>
      </c>
      <c r="B1967" t="s">
        <v>4</v>
      </c>
    </row>
    <row r="1968" spans="1:2" x14ac:dyDescent="0.25">
      <c r="A1968" t="s">
        <v>58</v>
      </c>
      <c r="B1968">
        <v>468.36</v>
      </c>
    </row>
    <row r="1969" spans="1:2" x14ac:dyDescent="0.25">
      <c r="A1969" t="s">
        <v>59</v>
      </c>
      <c r="B1969">
        <v>10.61</v>
      </c>
    </row>
    <row r="1970" spans="1:2" x14ac:dyDescent="0.25">
      <c r="A1970" t="s">
        <v>60</v>
      </c>
      <c r="B1970">
        <v>40.53</v>
      </c>
    </row>
    <row r="1971" spans="1:2" x14ac:dyDescent="0.25">
      <c r="A1971" t="s">
        <v>61</v>
      </c>
      <c r="B1971">
        <v>50.88</v>
      </c>
    </row>
    <row r="1972" spans="1:2" x14ac:dyDescent="0.25">
      <c r="A1972" t="s">
        <v>62</v>
      </c>
      <c r="B1972">
        <v>68.849999999999994</v>
      </c>
    </row>
    <row r="1973" spans="1:2" x14ac:dyDescent="0.25">
      <c r="A1973" t="s">
        <v>63</v>
      </c>
      <c r="B1973">
        <v>82.86</v>
      </c>
    </row>
    <row r="1974" spans="1:2" x14ac:dyDescent="0.25">
      <c r="A1974" t="s">
        <v>64</v>
      </c>
      <c r="B1974">
        <v>102.89</v>
      </c>
    </row>
    <row r="1975" spans="1:2" x14ac:dyDescent="0.25">
      <c r="A1975" t="s">
        <v>65</v>
      </c>
      <c r="B1975">
        <v>12.11</v>
      </c>
    </row>
    <row r="1976" spans="1:2" x14ac:dyDescent="0.25">
      <c r="A1976" t="s">
        <v>66</v>
      </c>
      <c r="B1976" t="s">
        <v>4</v>
      </c>
    </row>
    <row r="1977" spans="1:2" x14ac:dyDescent="0.25">
      <c r="A1977" t="s">
        <v>67</v>
      </c>
      <c r="B1977">
        <v>815.72</v>
      </c>
    </row>
    <row r="1978" spans="1:2" x14ac:dyDescent="0.25">
      <c r="A1978" t="s">
        <v>68</v>
      </c>
      <c r="B1978">
        <v>6.84</v>
      </c>
    </row>
    <row r="1979" spans="1:2" x14ac:dyDescent="0.25">
      <c r="A1979" t="s">
        <v>69</v>
      </c>
      <c r="B1979">
        <v>710.89</v>
      </c>
    </row>
    <row r="1980" spans="1:2" x14ac:dyDescent="0.25">
      <c r="A1980" t="s">
        <v>70</v>
      </c>
      <c r="B1980">
        <v>116.81</v>
      </c>
    </row>
    <row r="1981" spans="1:2" x14ac:dyDescent="0.25">
      <c r="A1981" t="s">
        <v>71</v>
      </c>
      <c r="B1981">
        <v>38.4</v>
      </c>
    </row>
    <row r="1982" spans="1:2" x14ac:dyDescent="0.25">
      <c r="A1982" t="s">
        <v>72</v>
      </c>
      <c r="B1982">
        <v>41.07</v>
      </c>
    </row>
    <row r="1983" spans="1:2" x14ac:dyDescent="0.25">
      <c r="A1983" t="s">
        <v>73</v>
      </c>
      <c r="B1983" t="s">
        <v>4</v>
      </c>
    </row>
    <row r="1984" spans="1:2" x14ac:dyDescent="0.25">
      <c r="A1984" t="s">
        <v>74</v>
      </c>
      <c r="B1984">
        <v>40.119999999999997</v>
      </c>
    </row>
    <row r="1985" spans="1:2" x14ac:dyDescent="0.25">
      <c r="A1985" t="s">
        <v>75</v>
      </c>
      <c r="B1985">
        <v>172.86</v>
      </c>
    </row>
    <row r="1986" spans="1:2" x14ac:dyDescent="0.25">
      <c r="A1986" t="s">
        <v>76</v>
      </c>
      <c r="B1986">
        <v>52.09</v>
      </c>
    </row>
    <row r="1987" spans="1:2" x14ac:dyDescent="0.25">
      <c r="A1987" t="s">
        <v>77</v>
      </c>
      <c r="B1987">
        <v>90.89</v>
      </c>
    </row>
    <row r="1988" spans="1:2" x14ac:dyDescent="0.25">
      <c r="A1988" t="s">
        <v>78</v>
      </c>
      <c r="B1988" t="s">
        <v>4</v>
      </c>
    </row>
    <row r="1989" spans="1:2" x14ac:dyDescent="0.25">
      <c r="A1989" t="s">
        <v>79</v>
      </c>
      <c r="B1989" t="s">
        <v>4</v>
      </c>
    </row>
    <row r="1990" spans="1:2" x14ac:dyDescent="0.25">
      <c r="A1990" t="s">
        <v>80</v>
      </c>
      <c r="B1990" t="s">
        <v>4</v>
      </c>
    </row>
    <row r="1991" spans="1:2" x14ac:dyDescent="0.25">
      <c r="A1991" t="s">
        <v>81</v>
      </c>
      <c r="B1991" t="s">
        <v>4</v>
      </c>
    </row>
    <row r="1994" spans="1:2" x14ac:dyDescent="0.25">
      <c r="A1994" t="s">
        <v>0</v>
      </c>
      <c r="B1994" t="s">
        <v>99</v>
      </c>
    </row>
    <row r="1996" spans="1:2" s="1" customFormat="1" x14ac:dyDescent="0.25">
      <c r="A1996" s="1" t="s">
        <v>2</v>
      </c>
      <c r="B1996" s="1" t="s">
        <v>157</v>
      </c>
    </row>
    <row r="1997" spans="1:2" x14ac:dyDescent="0.25">
      <c r="A1997" t="s">
        <v>3</v>
      </c>
      <c r="B1997" t="s">
        <v>4</v>
      </c>
    </row>
    <row r="1998" spans="1:2" x14ac:dyDescent="0.25">
      <c r="A1998" t="s">
        <v>5</v>
      </c>
      <c r="B1998" t="s">
        <v>4</v>
      </c>
    </row>
    <row r="1999" spans="1:2" x14ac:dyDescent="0.25">
      <c r="A1999" t="s">
        <v>6</v>
      </c>
      <c r="B1999" t="s">
        <v>4</v>
      </c>
    </row>
    <row r="2000" spans="1:2" x14ac:dyDescent="0.25">
      <c r="A2000" t="s">
        <v>7</v>
      </c>
      <c r="B2000" t="s">
        <v>4</v>
      </c>
    </row>
    <row r="2001" spans="1:2" x14ac:dyDescent="0.25">
      <c r="A2001" t="s">
        <v>8</v>
      </c>
      <c r="B2001" t="s">
        <v>4</v>
      </c>
    </row>
    <row r="2002" spans="1:2" x14ac:dyDescent="0.25">
      <c r="A2002" t="s">
        <v>9</v>
      </c>
      <c r="B2002" t="s">
        <v>4</v>
      </c>
    </row>
    <row r="2003" spans="1:2" x14ac:dyDescent="0.25">
      <c r="A2003" t="s">
        <v>10</v>
      </c>
      <c r="B2003" t="s">
        <v>4</v>
      </c>
    </row>
    <row r="2004" spans="1:2" x14ac:dyDescent="0.25">
      <c r="A2004" t="s">
        <v>11</v>
      </c>
      <c r="B2004" t="s">
        <v>4</v>
      </c>
    </row>
    <row r="2005" spans="1:2" x14ac:dyDescent="0.25">
      <c r="A2005" t="s">
        <v>12</v>
      </c>
      <c r="B2005" t="s">
        <v>4</v>
      </c>
    </row>
    <row r="2006" spans="1:2" x14ac:dyDescent="0.25">
      <c r="A2006" t="s">
        <v>13</v>
      </c>
      <c r="B2006">
        <v>12.48</v>
      </c>
    </row>
    <row r="2007" spans="1:2" x14ac:dyDescent="0.25">
      <c r="A2007" t="s">
        <v>14</v>
      </c>
      <c r="B2007">
        <v>31.17</v>
      </c>
    </row>
    <row r="2008" spans="1:2" x14ac:dyDescent="0.25">
      <c r="A2008" t="s">
        <v>15</v>
      </c>
      <c r="B2008">
        <v>12.49</v>
      </c>
    </row>
    <row r="2009" spans="1:2" x14ac:dyDescent="0.25">
      <c r="A2009" t="s">
        <v>16</v>
      </c>
      <c r="B2009">
        <v>14.45</v>
      </c>
    </row>
    <row r="2010" spans="1:2" x14ac:dyDescent="0.25">
      <c r="A2010" t="s">
        <v>17</v>
      </c>
      <c r="B2010" t="s">
        <v>4</v>
      </c>
    </row>
    <row r="2011" spans="1:2" x14ac:dyDescent="0.25">
      <c r="A2011" t="s">
        <v>18</v>
      </c>
      <c r="B2011" t="s">
        <v>4</v>
      </c>
    </row>
    <row r="2012" spans="1:2" x14ac:dyDescent="0.25">
      <c r="A2012" t="s">
        <v>19</v>
      </c>
      <c r="B2012" t="s">
        <v>4</v>
      </c>
    </row>
    <row r="2013" spans="1:2" x14ac:dyDescent="0.25">
      <c r="A2013" t="s">
        <v>20</v>
      </c>
      <c r="B2013" t="s">
        <v>4</v>
      </c>
    </row>
    <row r="2014" spans="1:2" x14ac:dyDescent="0.25">
      <c r="A2014" t="s">
        <v>21</v>
      </c>
      <c r="B2014" t="s">
        <v>4</v>
      </c>
    </row>
    <row r="2015" spans="1:2" x14ac:dyDescent="0.25">
      <c r="A2015" t="s">
        <v>22</v>
      </c>
      <c r="B2015" t="s">
        <v>4</v>
      </c>
    </row>
    <row r="2016" spans="1:2" x14ac:dyDescent="0.25">
      <c r="A2016" t="s">
        <v>23</v>
      </c>
      <c r="B2016" t="s">
        <v>4</v>
      </c>
    </row>
    <row r="2017" spans="1:2" x14ac:dyDescent="0.25">
      <c r="A2017" t="s">
        <v>24</v>
      </c>
      <c r="B2017" t="s">
        <v>4</v>
      </c>
    </row>
    <row r="2018" spans="1:2" x14ac:dyDescent="0.25">
      <c r="A2018" t="s">
        <v>25</v>
      </c>
      <c r="B2018" t="s">
        <v>4</v>
      </c>
    </row>
    <row r="2019" spans="1:2" x14ac:dyDescent="0.25">
      <c r="A2019" t="s">
        <v>26</v>
      </c>
      <c r="B2019" t="s">
        <v>4</v>
      </c>
    </row>
    <row r="2020" spans="1:2" x14ac:dyDescent="0.25">
      <c r="A2020" t="s">
        <v>27</v>
      </c>
      <c r="B2020" t="s">
        <v>4</v>
      </c>
    </row>
    <row r="2021" spans="1:2" x14ac:dyDescent="0.25">
      <c r="A2021" t="s">
        <v>28</v>
      </c>
      <c r="B2021" t="s">
        <v>4</v>
      </c>
    </row>
    <row r="2022" spans="1:2" x14ac:dyDescent="0.25">
      <c r="A2022" t="s">
        <v>29</v>
      </c>
      <c r="B2022" t="s">
        <v>4</v>
      </c>
    </row>
    <row r="2023" spans="1:2" x14ac:dyDescent="0.25">
      <c r="A2023" t="s">
        <v>30</v>
      </c>
      <c r="B2023" t="s">
        <v>4</v>
      </c>
    </row>
    <row r="2024" spans="1:2" x14ac:dyDescent="0.25">
      <c r="A2024" t="s">
        <v>31</v>
      </c>
      <c r="B2024" t="s">
        <v>4</v>
      </c>
    </row>
    <row r="2025" spans="1:2" x14ac:dyDescent="0.25">
      <c r="A2025" t="s">
        <v>32</v>
      </c>
      <c r="B2025" t="s">
        <v>4</v>
      </c>
    </row>
    <row r="2026" spans="1:2" x14ac:dyDescent="0.25">
      <c r="A2026" t="s">
        <v>33</v>
      </c>
      <c r="B2026" t="s">
        <v>4</v>
      </c>
    </row>
    <row r="2027" spans="1:2" x14ac:dyDescent="0.25">
      <c r="A2027" t="s">
        <v>34</v>
      </c>
      <c r="B2027" t="s">
        <v>4</v>
      </c>
    </row>
    <row r="2028" spans="1:2" x14ac:dyDescent="0.25">
      <c r="A2028" t="s">
        <v>35</v>
      </c>
      <c r="B2028" t="s">
        <v>4</v>
      </c>
    </row>
    <row r="2029" spans="1:2" x14ac:dyDescent="0.25">
      <c r="A2029" t="s">
        <v>36</v>
      </c>
      <c r="B2029" t="s">
        <v>4</v>
      </c>
    </row>
    <row r="2030" spans="1:2" x14ac:dyDescent="0.25">
      <c r="A2030" t="s">
        <v>37</v>
      </c>
      <c r="B2030" t="s">
        <v>4</v>
      </c>
    </row>
    <row r="2031" spans="1:2" x14ac:dyDescent="0.25">
      <c r="A2031" t="s">
        <v>38</v>
      </c>
      <c r="B2031" t="s">
        <v>4</v>
      </c>
    </row>
    <row r="2032" spans="1:2" x14ac:dyDescent="0.25">
      <c r="A2032" t="s">
        <v>39</v>
      </c>
      <c r="B2032" t="s">
        <v>4</v>
      </c>
    </row>
    <row r="2033" spans="1:2" x14ac:dyDescent="0.25">
      <c r="A2033" t="s">
        <v>40</v>
      </c>
      <c r="B2033" t="s">
        <v>4</v>
      </c>
    </row>
    <row r="2034" spans="1:2" x14ac:dyDescent="0.25">
      <c r="A2034" t="s">
        <v>41</v>
      </c>
      <c r="B2034" t="s">
        <v>4</v>
      </c>
    </row>
    <row r="2035" spans="1:2" x14ac:dyDescent="0.25">
      <c r="A2035" t="s">
        <v>42</v>
      </c>
      <c r="B2035" t="s">
        <v>4</v>
      </c>
    </row>
    <row r="2036" spans="1:2" x14ac:dyDescent="0.25">
      <c r="A2036" t="s">
        <v>43</v>
      </c>
      <c r="B2036" t="s">
        <v>4</v>
      </c>
    </row>
    <row r="2037" spans="1:2" x14ac:dyDescent="0.25">
      <c r="A2037" t="s">
        <v>44</v>
      </c>
      <c r="B2037" t="s">
        <v>4</v>
      </c>
    </row>
    <row r="2038" spans="1:2" x14ac:dyDescent="0.25">
      <c r="A2038" t="s">
        <v>45</v>
      </c>
      <c r="B2038" t="s">
        <v>4</v>
      </c>
    </row>
    <row r="2039" spans="1:2" x14ac:dyDescent="0.25">
      <c r="A2039" t="s">
        <v>46</v>
      </c>
      <c r="B2039" t="s">
        <v>4</v>
      </c>
    </row>
    <row r="2040" spans="1:2" x14ac:dyDescent="0.25">
      <c r="A2040" t="s">
        <v>47</v>
      </c>
      <c r="B2040" t="s">
        <v>4</v>
      </c>
    </row>
    <row r="2041" spans="1:2" x14ac:dyDescent="0.25">
      <c r="A2041" t="s">
        <v>48</v>
      </c>
      <c r="B2041" t="s">
        <v>4</v>
      </c>
    </row>
    <row r="2042" spans="1:2" x14ac:dyDescent="0.25">
      <c r="A2042" t="s">
        <v>49</v>
      </c>
      <c r="B2042" t="s">
        <v>4</v>
      </c>
    </row>
    <row r="2043" spans="1:2" x14ac:dyDescent="0.25">
      <c r="A2043" t="s">
        <v>50</v>
      </c>
      <c r="B2043" t="s">
        <v>4</v>
      </c>
    </row>
    <row r="2044" spans="1:2" x14ac:dyDescent="0.25">
      <c r="A2044" t="s">
        <v>51</v>
      </c>
      <c r="B2044" t="s">
        <v>4</v>
      </c>
    </row>
    <row r="2045" spans="1:2" x14ac:dyDescent="0.25">
      <c r="A2045" t="s">
        <v>52</v>
      </c>
      <c r="B2045" t="s">
        <v>4</v>
      </c>
    </row>
    <row r="2046" spans="1:2" x14ac:dyDescent="0.25">
      <c r="A2046" t="s">
        <v>53</v>
      </c>
      <c r="B2046" t="s">
        <v>4</v>
      </c>
    </row>
    <row r="2047" spans="1:2" x14ac:dyDescent="0.25">
      <c r="A2047" t="s">
        <v>54</v>
      </c>
      <c r="B2047" t="s">
        <v>4</v>
      </c>
    </row>
    <row r="2048" spans="1:2" x14ac:dyDescent="0.25">
      <c r="A2048" t="s">
        <v>55</v>
      </c>
      <c r="B2048" t="s">
        <v>4</v>
      </c>
    </row>
    <row r="2049" spans="1:2" x14ac:dyDescent="0.25">
      <c r="A2049" t="s">
        <v>56</v>
      </c>
      <c r="B2049" t="s">
        <v>4</v>
      </c>
    </row>
    <row r="2050" spans="1:2" x14ac:dyDescent="0.25">
      <c r="A2050" t="s">
        <v>57</v>
      </c>
      <c r="B2050" t="s">
        <v>4</v>
      </c>
    </row>
    <row r="2051" spans="1:2" x14ac:dyDescent="0.25">
      <c r="A2051" t="s">
        <v>58</v>
      </c>
      <c r="B2051" t="s">
        <v>4</v>
      </c>
    </row>
    <row r="2052" spans="1:2" x14ac:dyDescent="0.25">
      <c r="A2052" t="s">
        <v>59</v>
      </c>
      <c r="B2052" t="s">
        <v>4</v>
      </c>
    </row>
    <row r="2053" spans="1:2" x14ac:dyDescent="0.25">
      <c r="A2053" t="s">
        <v>60</v>
      </c>
      <c r="B2053" t="s">
        <v>4</v>
      </c>
    </row>
    <row r="2054" spans="1:2" x14ac:dyDescent="0.25">
      <c r="A2054" t="s">
        <v>61</v>
      </c>
      <c r="B2054" t="s">
        <v>4</v>
      </c>
    </row>
    <row r="2055" spans="1:2" x14ac:dyDescent="0.25">
      <c r="A2055" t="s">
        <v>62</v>
      </c>
      <c r="B2055" t="s">
        <v>4</v>
      </c>
    </row>
    <row r="2056" spans="1:2" x14ac:dyDescent="0.25">
      <c r="A2056" t="s">
        <v>63</v>
      </c>
      <c r="B2056" t="s">
        <v>4</v>
      </c>
    </row>
    <row r="2057" spans="1:2" x14ac:dyDescent="0.25">
      <c r="A2057" t="s">
        <v>64</v>
      </c>
      <c r="B2057" t="s">
        <v>4</v>
      </c>
    </row>
    <row r="2058" spans="1:2" x14ac:dyDescent="0.25">
      <c r="A2058" t="s">
        <v>65</v>
      </c>
      <c r="B2058" t="s">
        <v>4</v>
      </c>
    </row>
    <row r="2059" spans="1:2" x14ac:dyDescent="0.25">
      <c r="A2059" t="s">
        <v>66</v>
      </c>
      <c r="B2059" t="s">
        <v>4</v>
      </c>
    </row>
    <row r="2060" spans="1:2" x14ac:dyDescent="0.25">
      <c r="A2060" t="s">
        <v>67</v>
      </c>
      <c r="B2060" t="s">
        <v>4</v>
      </c>
    </row>
    <row r="2061" spans="1:2" x14ac:dyDescent="0.25">
      <c r="A2061" t="s">
        <v>68</v>
      </c>
      <c r="B2061" t="s">
        <v>4</v>
      </c>
    </row>
    <row r="2062" spans="1:2" x14ac:dyDescent="0.25">
      <c r="A2062" t="s">
        <v>69</v>
      </c>
      <c r="B2062" t="s">
        <v>4</v>
      </c>
    </row>
    <row r="2063" spans="1:2" x14ac:dyDescent="0.25">
      <c r="A2063" t="s">
        <v>70</v>
      </c>
      <c r="B2063" t="s">
        <v>4</v>
      </c>
    </row>
    <row r="2064" spans="1:2" x14ac:dyDescent="0.25">
      <c r="A2064" t="s">
        <v>71</v>
      </c>
      <c r="B2064" t="s">
        <v>4</v>
      </c>
    </row>
    <row r="2065" spans="1:2" x14ac:dyDescent="0.25">
      <c r="A2065" t="s">
        <v>72</v>
      </c>
      <c r="B2065" t="s">
        <v>4</v>
      </c>
    </row>
    <row r="2066" spans="1:2" x14ac:dyDescent="0.25">
      <c r="A2066" t="s">
        <v>73</v>
      </c>
      <c r="B2066" t="s">
        <v>4</v>
      </c>
    </row>
    <row r="2067" spans="1:2" x14ac:dyDescent="0.25">
      <c r="A2067" t="s">
        <v>74</v>
      </c>
      <c r="B2067" t="s">
        <v>4</v>
      </c>
    </row>
    <row r="2068" spans="1:2" x14ac:dyDescent="0.25">
      <c r="A2068" t="s">
        <v>75</v>
      </c>
      <c r="B2068" t="s">
        <v>4</v>
      </c>
    </row>
    <row r="2069" spans="1:2" x14ac:dyDescent="0.25">
      <c r="A2069" t="s">
        <v>76</v>
      </c>
      <c r="B2069" t="s">
        <v>4</v>
      </c>
    </row>
    <row r="2070" spans="1:2" x14ac:dyDescent="0.25">
      <c r="A2070" t="s">
        <v>77</v>
      </c>
      <c r="B2070" t="s">
        <v>4</v>
      </c>
    </row>
    <row r="2071" spans="1:2" x14ac:dyDescent="0.25">
      <c r="A2071" t="s">
        <v>78</v>
      </c>
      <c r="B2071" t="s">
        <v>4</v>
      </c>
    </row>
    <row r="2072" spans="1:2" x14ac:dyDescent="0.25">
      <c r="A2072" t="s">
        <v>79</v>
      </c>
      <c r="B2072" t="s">
        <v>4</v>
      </c>
    </row>
    <row r="2073" spans="1:2" x14ac:dyDescent="0.25">
      <c r="A2073" t="s">
        <v>80</v>
      </c>
      <c r="B2073" t="s">
        <v>4</v>
      </c>
    </row>
    <row r="2074" spans="1:2" x14ac:dyDescent="0.25">
      <c r="A2074" t="s">
        <v>81</v>
      </c>
      <c r="B2074" t="s">
        <v>4</v>
      </c>
    </row>
    <row r="2077" spans="1:2" x14ac:dyDescent="0.25">
      <c r="A2077" t="s">
        <v>0</v>
      </c>
      <c r="B2077" t="s">
        <v>100</v>
      </c>
    </row>
    <row r="2079" spans="1:2" s="1" customFormat="1" x14ac:dyDescent="0.25">
      <c r="A2079" s="1" t="s">
        <v>2</v>
      </c>
      <c r="B2079" s="1" t="s">
        <v>157</v>
      </c>
    </row>
    <row r="2080" spans="1:2" x14ac:dyDescent="0.25">
      <c r="A2080" t="s">
        <v>3</v>
      </c>
      <c r="B2080" t="s">
        <v>4</v>
      </c>
    </row>
    <row r="2081" spans="1:2" x14ac:dyDescent="0.25">
      <c r="A2081" t="s">
        <v>5</v>
      </c>
      <c r="B2081" t="s">
        <v>4</v>
      </c>
    </row>
    <row r="2082" spans="1:2" x14ac:dyDescent="0.25">
      <c r="A2082" t="s">
        <v>6</v>
      </c>
      <c r="B2082" t="s">
        <v>4</v>
      </c>
    </row>
    <row r="2083" spans="1:2" x14ac:dyDescent="0.25">
      <c r="A2083" t="s">
        <v>7</v>
      </c>
      <c r="B2083" t="s">
        <v>4</v>
      </c>
    </row>
    <row r="2084" spans="1:2" x14ac:dyDescent="0.25">
      <c r="A2084" t="s">
        <v>8</v>
      </c>
      <c r="B2084" t="s">
        <v>4</v>
      </c>
    </row>
    <row r="2085" spans="1:2" x14ac:dyDescent="0.25">
      <c r="A2085" t="s">
        <v>9</v>
      </c>
      <c r="B2085" t="s">
        <v>4</v>
      </c>
    </row>
    <row r="2086" spans="1:2" x14ac:dyDescent="0.25">
      <c r="A2086" t="s">
        <v>10</v>
      </c>
      <c r="B2086" t="s">
        <v>4</v>
      </c>
    </row>
    <row r="2087" spans="1:2" x14ac:dyDescent="0.25">
      <c r="A2087" t="s">
        <v>11</v>
      </c>
      <c r="B2087" t="s">
        <v>4</v>
      </c>
    </row>
    <row r="2088" spans="1:2" x14ac:dyDescent="0.25">
      <c r="A2088" t="s">
        <v>12</v>
      </c>
      <c r="B2088" t="s">
        <v>4</v>
      </c>
    </row>
    <row r="2089" spans="1:2" x14ac:dyDescent="0.25">
      <c r="A2089" t="s">
        <v>13</v>
      </c>
      <c r="B2089" t="s">
        <v>4</v>
      </c>
    </row>
    <row r="2090" spans="1:2" x14ac:dyDescent="0.25">
      <c r="A2090" t="s">
        <v>14</v>
      </c>
      <c r="B2090" t="s">
        <v>4</v>
      </c>
    </row>
    <row r="2091" spans="1:2" x14ac:dyDescent="0.25">
      <c r="A2091" t="s">
        <v>15</v>
      </c>
      <c r="B2091" t="s">
        <v>4</v>
      </c>
    </row>
    <row r="2092" spans="1:2" x14ac:dyDescent="0.25">
      <c r="A2092" t="s">
        <v>16</v>
      </c>
      <c r="B2092" t="s">
        <v>4</v>
      </c>
    </row>
    <row r="2093" spans="1:2" x14ac:dyDescent="0.25">
      <c r="A2093" t="s">
        <v>17</v>
      </c>
      <c r="B2093" t="s">
        <v>4</v>
      </c>
    </row>
    <row r="2094" spans="1:2" x14ac:dyDescent="0.25">
      <c r="A2094" t="s">
        <v>18</v>
      </c>
      <c r="B2094" t="s">
        <v>4</v>
      </c>
    </row>
    <row r="2095" spans="1:2" x14ac:dyDescent="0.25">
      <c r="A2095" t="s">
        <v>19</v>
      </c>
      <c r="B2095" t="s">
        <v>4</v>
      </c>
    </row>
    <row r="2096" spans="1:2" x14ac:dyDescent="0.25">
      <c r="A2096" t="s">
        <v>20</v>
      </c>
      <c r="B2096" t="s">
        <v>4</v>
      </c>
    </row>
    <row r="2097" spans="1:2" x14ac:dyDescent="0.25">
      <c r="A2097" t="s">
        <v>21</v>
      </c>
      <c r="B2097" t="s">
        <v>4</v>
      </c>
    </row>
    <row r="2098" spans="1:2" x14ac:dyDescent="0.25">
      <c r="A2098" t="s">
        <v>22</v>
      </c>
      <c r="B2098" t="s">
        <v>4</v>
      </c>
    </row>
    <row r="2099" spans="1:2" x14ac:dyDescent="0.25">
      <c r="A2099" t="s">
        <v>23</v>
      </c>
      <c r="B2099" t="s">
        <v>4</v>
      </c>
    </row>
    <row r="2100" spans="1:2" x14ac:dyDescent="0.25">
      <c r="A2100" t="s">
        <v>24</v>
      </c>
      <c r="B2100" t="s">
        <v>4</v>
      </c>
    </row>
    <row r="2101" spans="1:2" x14ac:dyDescent="0.25">
      <c r="A2101" t="s">
        <v>25</v>
      </c>
      <c r="B2101" t="s">
        <v>4</v>
      </c>
    </row>
    <row r="2102" spans="1:2" x14ac:dyDescent="0.25">
      <c r="A2102" t="s">
        <v>26</v>
      </c>
      <c r="B2102" t="s">
        <v>4</v>
      </c>
    </row>
    <row r="2103" spans="1:2" x14ac:dyDescent="0.25">
      <c r="A2103" t="s">
        <v>27</v>
      </c>
      <c r="B2103" t="s">
        <v>4</v>
      </c>
    </row>
    <row r="2104" spans="1:2" x14ac:dyDescent="0.25">
      <c r="A2104" t="s">
        <v>28</v>
      </c>
      <c r="B2104" t="s">
        <v>4</v>
      </c>
    </row>
    <row r="2105" spans="1:2" x14ac:dyDescent="0.25">
      <c r="A2105" t="s">
        <v>29</v>
      </c>
      <c r="B2105" t="s">
        <v>4</v>
      </c>
    </row>
    <row r="2106" spans="1:2" x14ac:dyDescent="0.25">
      <c r="A2106" t="s">
        <v>30</v>
      </c>
      <c r="B2106" t="s">
        <v>4</v>
      </c>
    </row>
    <row r="2107" spans="1:2" x14ac:dyDescent="0.25">
      <c r="A2107" t="s">
        <v>31</v>
      </c>
      <c r="B2107" t="s">
        <v>4</v>
      </c>
    </row>
    <row r="2108" spans="1:2" x14ac:dyDescent="0.25">
      <c r="A2108" t="s">
        <v>32</v>
      </c>
      <c r="B2108" t="s">
        <v>4</v>
      </c>
    </row>
    <row r="2109" spans="1:2" x14ac:dyDescent="0.25">
      <c r="A2109" t="s">
        <v>33</v>
      </c>
      <c r="B2109" t="s">
        <v>4</v>
      </c>
    </row>
    <row r="2110" spans="1:2" x14ac:dyDescent="0.25">
      <c r="A2110" t="s">
        <v>34</v>
      </c>
      <c r="B2110" t="s">
        <v>4</v>
      </c>
    </row>
    <row r="2111" spans="1:2" x14ac:dyDescent="0.25">
      <c r="A2111" t="s">
        <v>35</v>
      </c>
      <c r="B2111" t="s">
        <v>4</v>
      </c>
    </row>
    <row r="2112" spans="1:2" x14ac:dyDescent="0.25">
      <c r="A2112" t="s">
        <v>36</v>
      </c>
      <c r="B2112" t="s">
        <v>4</v>
      </c>
    </row>
    <row r="2113" spans="1:2" x14ac:dyDescent="0.25">
      <c r="A2113" t="s">
        <v>37</v>
      </c>
      <c r="B2113" t="s">
        <v>4</v>
      </c>
    </row>
    <row r="2114" spans="1:2" x14ac:dyDescent="0.25">
      <c r="A2114" t="s">
        <v>38</v>
      </c>
      <c r="B2114" t="s">
        <v>4</v>
      </c>
    </row>
    <row r="2115" spans="1:2" x14ac:dyDescent="0.25">
      <c r="A2115" t="s">
        <v>39</v>
      </c>
      <c r="B2115" t="s">
        <v>4</v>
      </c>
    </row>
    <row r="2116" spans="1:2" x14ac:dyDescent="0.25">
      <c r="A2116" t="s">
        <v>40</v>
      </c>
      <c r="B2116" t="s">
        <v>4</v>
      </c>
    </row>
    <row r="2117" spans="1:2" x14ac:dyDescent="0.25">
      <c r="A2117" t="s">
        <v>41</v>
      </c>
      <c r="B2117" t="s">
        <v>4</v>
      </c>
    </row>
    <row r="2118" spans="1:2" x14ac:dyDescent="0.25">
      <c r="A2118" t="s">
        <v>42</v>
      </c>
      <c r="B2118" t="s">
        <v>4</v>
      </c>
    </row>
    <row r="2119" spans="1:2" x14ac:dyDescent="0.25">
      <c r="A2119" t="s">
        <v>43</v>
      </c>
      <c r="B2119" t="s">
        <v>4</v>
      </c>
    </row>
    <row r="2120" spans="1:2" x14ac:dyDescent="0.25">
      <c r="A2120" t="s">
        <v>44</v>
      </c>
      <c r="B2120" t="s">
        <v>4</v>
      </c>
    </row>
    <row r="2121" spans="1:2" x14ac:dyDescent="0.25">
      <c r="A2121" t="s">
        <v>45</v>
      </c>
      <c r="B2121" t="s">
        <v>4</v>
      </c>
    </row>
    <row r="2122" spans="1:2" x14ac:dyDescent="0.25">
      <c r="A2122" t="s">
        <v>46</v>
      </c>
      <c r="B2122" t="s">
        <v>4</v>
      </c>
    </row>
    <row r="2123" spans="1:2" x14ac:dyDescent="0.25">
      <c r="A2123" t="s">
        <v>47</v>
      </c>
      <c r="B2123" t="s">
        <v>4</v>
      </c>
    </row>
    <row r="2124" spans="1:2" x14ac:dyDescent="0.25">
      <c r="A2124" t="s">
        <v>48</v>
      </c>
      <c r="B2124" t="s">
        <v>4</v>
      </c>
    </row>
    <row r="2125" spans="1:2" x14ac:dyDescent="0.25">
      <c r="A2125" t="s">
        <v>49</v>
      </c>
      <c r="B2125" t="s">
        <v>4</v>
      </c>
    </row>
    <row r="2126" spans="1:2" x14ac:dyDescent="0.25">
      <c r="A2126" t="s">
        <v>50</v>
      </c>
      <c r="B2126" t="s">
        <v>4</v>
      </c>
    </row>
    <row r="2127" spans="1:2" x14ac:dyDescent="0.25">
      <c r="A2127" t="s">
        <v>51</v>
      </c>
      <c r="B2127" t="s">
        <v>4</v>
      </c>
    </row>
    <row r="2128" spans="1:2" x14ac:dyDescent="0.25">
      <c r="A2128" t="s">
        <v>52</v>
      </c>
      <c r="B2128" t="s">
        <v>4</v>
      </c>
    </row>
    <row r="2129" spans="1:2" x14ac:dyDescent="0.25">
      <c r="A2129" t="s">
        <v>53</v>
      </c>
      <c r="B2129" t="s">
        <v>4</v>
      </c>
    </row>
    <row r="2130" spans="1:2" x14ac:dyDescent="0.25">
      <c r="A2130" t="s">
        <v>54</v>
      </c>
      <c r="B2130" t="s">
        <v>4</v>
      </c>
    </row>
    <row r="2131" spans="1:2" x14ac:dyDescent="0.25">
      <c r="A2131" t="s">
        <v>55</v>
      </c>
      <c r="B2131" t="s">
        <v>4</v>
      </c>
    </row>
    <row r="2132" spans="1:2" x14ac:dyDescent="0.25">
      <c r="A2132" t="s">
        <v>56</v>
      </c>
      <c r="B2132" t="s">
        <v>4</v>
      </c>
    </row>
    <row r="2133" spans="1:2" x14ac:dyDescent="0.25">
      <c r="A2133" t="s">
        <v>57</v>
      </c>
      <c r="B2133" t="s">
        <v>4</v>
      </c>
    </row>
    <row r="2134" spans="1:2" x14ac:dyDescent="0.25">
      <c r="A2134" t="s">
        <v>58</v>
      </c>
      <c r="B2134" t="s">
        <v>4</v>
      </c>
    </row>
    <row r="2135" spans="1:2" x14ac:dyDescent="0.25">
      <c r="A2135" t="s">
        <v>59</v>
      </c>
      <c r="B2135" t="s">
        <v>4</v>
      </c>
    </row>
    <row r="2136" spans="1:2" x14ac:dyDescent="0.25">
      <c r="A2136" t="s">
        <v>60</v>
      </c>
      <c r="B2136" t="s">
        <v>4</v>
      </c>
    </row>
    <row r="2137" spans="1:2" x14ac:dyDescent="0.25">
      <c r="A2137" t="s">
        <v>61</v>
      </c>
      <c r="B2137" t="s">
        <v>4</v>
      </c>
    </row>
    <row r="2138" spans="1:2" x14ac:dyDescent="0.25">
      <c r="A2138" t="s">
        <v>62</v>
      </c>
      <c r="B2138" t="s">
        <v>4</v>
      </c>
    </row>
    <row r="2139" spans="1:2" x14ac:dyDescent="0.25">
      <c r="A2139" t="s">
        <v>63</v>
      </c>
      <c r="B2139" t="s">
        <v>4</v>
      </c>
    </row>
    <row r="2140" spans="1:2" x14ac:dyDescent="0.25">
      <c r="A2140" t="s">
        <v>64</v>
      </c>
      <c r="B2140" t="s">
        <v>4</v>
      </c>
    </row>
    <row r="2141" spans="1:2" x14ac:dyDescent="0.25">
      <c r="A2141" t="s">
        <v>65</v>
      </c>
      <c r="B2141" t="s">
        <v>4</v>
      </c>
    </row>
    <row r="2142" spans="1:2" x14ac:dyDescent="0.25">
      <c r="A2142" t="s">
        <v>66</v>
      </c>
      <c r="B2142" t="s">
        <v>4</v>
      </c>
    </row>
    <row r="2143" spans="1:2" x14ac:dyDescent="0.25">
      <c r="A2143" t="s">
        <v>67</v>
      </c>
      <c r="B2143" t="s">
        <v>4</v>
      </c>
    </row>
    <row r="2144" spans="1:2" x14ac:dyDescent="0.25">
      <c r="A2144" t="s">
        <v>68</v>
      </c>
      <c r="B2144" t="s">
        <v>4</v>
      </c>
    </row>
    <row r="2145" spans="1:2" x14ac:dyDescent="0.25">
      <c r="A2145" t="s">
        <v>69</v>
      </c>
      <c r="B2145" t="s">
        <v>4</v>
      </c>
    </row>
    <row r="2146" spans="1:2" x14ac:dyDescent="0.25">
      <c r="A2146" t="s">
        <v>70</v>
      </c>
      <c r="B2146" t="s">
        <v>4</v>
      </c>
    </row>
    <row r="2147" spans="1:2" x14ac:dyDescent="0.25">
      <c r="A2147" t="s">
        <v>71</v>
      </c>
      <c r="B2147" t="s">
        <v>4</v>
      </c>
    </row>
    <row r="2148" spans="1:2" x14ac:dyDescent="0.25">
      <c r="A2148" t="s">
        <v>72</v>
      </c>
      <c r="B2148" t="s">
        <v>4</v>
      </c>
    </row>
    <row r="2149" spans="1:2" x14ac:dyDescent="0.25">
      <c r="A2149" t="s">
        <v>73</v>
      </c>
      <c r="B2149" t="s">
        <v>4</v>
      </c>
    </row>
    <row r="2150" spans="1:2" x14ac:dyDescent="0.25">
      <c r="A2150" t="s">
        <v>74</v>
      </c>
      <c r="B2150" t="s">
        <v>4</v>
      </c>
    </row>
    <row r="2151" spans="1:2" x14ac:dyDescent="0.25">
      <c r="A2151" t="s">
        <v>75</v>
      </c>
      <c r="B2151" t="s">
        <v>4</v>
      </c>
    </row>
    <row r="2152" spans="1:2" x14ac:dyDescent="0.25">
      <c r="A2152" t="s">
        <v>76</v>
      </c>
      <c r="B2152" t="s">
        <v>4</v>
      </c>
    </row>
    <row r="2153" spans="1:2" x14ac:dyDescent="0.25">
      <c r="A2153" t="s">
        <v>77</v>
      </c>
      <c r="B2153" t="s">
        <v>4</v>
      </c>
    </row>
    <row r="2154" spans="1:2" x14ac:dyDescent="0.25">
      <c r="A2154" t="s">
        <v>78</v>
      </c>
      <c r="B2154" t="s">
        <v>4</v>
      </c>
    </row>
    <row r="2155" spans="1:2" x14ac:dyDescent="0.25">
      <c r="A2155" t="s">
        <v>79</v>
      </c>
      <c r="B2155" t="s">
        <v>4</v>
      </c>
    </row>
    <row r="2156" spans="1:2" x14ac:dyDescent="0.25">
      <c r="A2156" t="s">
        <v>80</v>
      </c>
      <c r="B2156" t="s">
        <v>4</v>
      </c>
    </row>
    <row r="2157" spans="1:2" x14ac:dyDescent="0.25">
      <c r="A2157" t="s">
        <v>81</v>
      </c>
      <c r="B2157" t="s">
        <v>4</v>
      </c>
    </row>
    <row r="2160" spans="1:2" x14ac:dyDescent="0.25">
      <c r="A2160" t="s">
        <v>0</v>
      </c>
      <c r="B2160" t="s">
        <v>101</v>
      </c>
    </row>
    <row r="2162" spans="1:2" s="1" customFormat="1" x14ac:dyDescent="0.25">
      <c r="A2162" s="1" t="s">
        <v>2</v>
      </c>
      <c r="B2162" s="1" t="s">
        <v>157</v>
      </c>
    </row>
    <row r="2163" spans="1:2" x14ac:dyDescent="0.25">
      <c r="A2163" t="s">
        <v>3</v>
      </c>
      <c r="B2163" t="s">
        <v>4</v>
      </c>
    </row>
    <row r="2164" spans="1:2" x14ac:dyDescent="0.25">
      <c r="A2164" t="s">
        <v>5</v>
      </c>
      <c r="B2164" t="s">
        <v>4</v>
      </c>
    </row>
    <row r="2165" spans="1:2" x14ac:dyDescent="0.25">
      <c r="A2165" t="s">
        <v>6</v>
      </c>
      <c r="B2165" t="s">
        <v>4</v>
      </c>
    </row>
    <row r="2166" spans="1:2" x14ac:dyDescent="0.25">
      <c r="A2166" t="s">
        <v>7</v>
      </c>
      <c r="B2166" t="s">
        <v>4</v>
      </c>
    </row>
    <row r="2167" spans="1:2" x14ac:dyDescent="0.25">
      <c r="A2167" t="s">
        <v>8</v>
      </c>
      <c r="B2167" t="s">
        <v>4</v>
      </c>
    </row>
    <row r="2168" spans="1:2" x14ac:dyDescent="0.25">
      <c r="A2168" t="s">
        <v>9</v>
      </c>
      <c r="B2168" t="s">
        <v>4</v>
      </c>
    </row>
    <row r="2169" spans="1:2" x14ac:dyDescent="0.25">
      <c r="A2169" t="s">
        <v>10</v>
      </c>
      <c r="B2169" t="s">
        <v>4</v>
      </c>
    </row>
    <row r="2170" spans="1:2" x14ac:dyDescent="0.25">
      <c r="A2170" t="s">
        <v>11</v>
      </c>
      <c r="B2170" t="s">
        <v>4</v>
      </c>
    </row>
    <row r="2171" spans="1:2" x14ac:dyDescent="0.25">
      <c r="A2171" t="s">
        <v>12</v>
      </c>
      <c r="B2171" t="s">
        <v>4</v>
      </c>
    </row>
    <row r="2172" spans="1:2" x14ac:dyDescent="0.25">
      <c r="A2172" t="s">
        <v>13</v>
      </c>
      <c r="B2172" t="s">
        <v>4</v>
      </c>
    </row>
    <row r="2173" spans="1:2" x14ac:dyDescent="0.25">
      <c r="A2173" t="s">
        <v>14</v>
      </c>
      <c r="B2173" t="s">
        <v>4</v>
      </c>
    </row>
    <row r="2174" spans="1:2" x14ac:dyDescent="0.25">
      <c r="A2174" t="s">
        <v>15</v>
      </c>
      <c r="B2174" t="s">
        <v>4</v>
      </c>
    </row>
    <row r="2175" spans="1:2" x14ac:dyDescent="0.25">
      <c r="A2175" t="s">
        <v>16</v>
      </c>
      <c r="B2175" t="s">
        <v>4</v>
      </c>
    </row>
    <row r="2176" spans="1:2" x14ac:dyDescent="0.25">
      <c r="A2176" t="s">
        <v>17</v>
      </c>
      <c r="B2176" t="s">
        <v>4</v>
      </c>
    </row>
    <row r="2177" spans="1:2" x14ac:dyDescent="0.25">
      <c r="A2177" t="s">
        <v>18</v>
      </c>
      <c r="B2177" t="s">
        <v>4</v>
      </c>
    </row>
    <row r="2178" spans="1:2" x14ac:dyDescent="0.25">
      <c r="A2178" t="s">
        <v>19</v>
      </c>
      <c r="B2178" t="s">
        <v>4</v>
      </c>
    </row>
    <row r="2179" spans="1:2" x14ac:dyDescent="0.25">
      <c r="A2179" t="s">
        <v>20</v>
      </c>
      <c r="B2179" t="s">
        <v>4</v>
      </c>
    </row>
    <row r="2180" spans="1:2" x14ac:dyDescent="0.25">
      <c r="A2180" t="s">
        <v>21</v>
      </c>
      <c r="B2180" t="s">
        <v>4</v>
      </c>
    </row>
    <row r="2181" spans="1:2" x14ac:dyDescent="0.25">
      <c r="A2181" t="s">
        <v>22</v>
      </c>
      <c r="B2181" t="s">
        <v>4</v>
      </c>
    </row>
    <row r="2182" spans="1:2" x14ac:dyDescent="0.25">
      <c r="A2182" t="s">
        <v>23</v>
      </c>
      <c r="B2182" t="s">
        <v>4</v>
      </c>
    </row>
    <row r="2183" spans="1:2" x14ac:dyDescent="0.25">
      <c r="A2183" t="s">
        <v>24</v>
      </c>
      <c r="B2183" t="s">
        <v>4</v>
      </c>
    </row>
    <row r="2184" spans="1:2" x14ac:dyDescent="0.25">
      <c r="A2184" t="s">
        <v>25</v>
      </c>
      <c r="B2184" t="s">
        <v>4</v>
      </c>
    </row>
    <row r="2185" spans="1:2" x14ac:dyDescent="0.25">
      <c r="A2185" t="s">
        <v>26</v>
      </c>
      <c r="B2185" t="s">
        <v>4</v>
      </c>
    </row>
    <row r="2186" spans="1:2" x14ac:dyDescent="0.25">
      <c r="A2186" t="s">
        <v>27</v>
      </c>
      <c r="B2186" t="s">
        <v>4</v>
      </c>
    </row>
    <row r="2187" spans="1:2" x14ac:dyDescent="0.25">
      <c r="A2187" t="s">
        <v>28</v>
      </c>
      <c r="B2187" t="s">
        <v>4</v>
      </c>
    </row>
    <row r="2188" spans="1:2" x14ac:dyDescent="0.25">
      <c r="A2188" t="s">
        <v>29</v>
      </c>
      <c r="B2188" t="s">
        <v>4</v>
      </c>
    </row>
    <row r="2189" spans="1:2" x14ac:dyDescent="0.25">
      <c r="A2189" t="s">
        <v>30</v>
      </c>
      <c r="B2189" t="s">
        <v>4</v>
      </c>
    </row>
    <row r="2190" spans="1:2" x14ac:dyDescent="0.25">
      <c r="A2190" t="s">
        <v>31</v>
      </c>
      <c r="B2190" t="s">
        <v>4</v>
      </c>
    </row>
    <row r="2191" spans="1:2" x14ac:dyDescent="0.25">
      <c r="A2191" t="s">
        <v>32</v>
      </c>
      <c r="B2191" t="s">
        <v>4</v>
      </c>
    </row>
    <row r="2192" spans="1:2" x14ac:dyDescent="0.25">
      <c r="A2192" t="s">
        <v>33</v>
      </c>
      <c r="B2192">
        <v>0.35</v>
      </c>
    </row>
    <row r="2193" spans="1:2" x14ac:dyDescent="0.25">
      <c r="A2193" t="s">
        <v>34</v>
      </c>
      <c r="B2193" t="s">
        <v>4</v>
      </c>
    </row>
    <row r="2194" spans="1:2" x14ac:dyDescent="0.25">
      <c r="A2194" t="s">
        <v>35</v>
      </c>
      <c r="B2194">
        <v>0.51</v>
      </c>
    </row>
    <row r="2195" spans="1:2" x14ac:dyDescent="0.25">
      <c r="A2195" t="s">
        <v>36</v>
      </c>
      <c r="B2195" t="s">
        <v>4</v>
      </c>
    </row>
    <row r="2196" spans="1:2" x14ac:dyDescent="0.25">
      <c r="A2196" t="s">
        <v>37</v>
      </c>
      <c r="B2196">
        <v>0.42</v>
      </c>
    </row>
    <row r="2197" spans="1:2" x14ac:dyDescent="0.25">
      <c r="A2197" t="s">
        <v>38</v>
      </c>
      <c r="B2197" t="s">
        <v>4</v>
      </c>
    </row>
    <row r="2198" spans="1:2" x14ac:dyDescent="0.25">
      <c r="A2198" t="s">
        <v>39</v>
      </c>
      <c r="B2198">
        <v>0.55000000000000004</v>
      </c>
    </row>
    <row r="2199" spans="1:2" x14ac:dyDescent="0.25">
      <c r="A2199" t="s">
        <v>40</v>
      </c>
      <c r="B2199" t="s">
        <v>4</v>
      </c>
    </row>
    <row r="2200" spans="1:2" x14ac:dyDescent="0.25">
      <c r="A2200" t="s">
        <v>41</v>
      </c>
      <c r="B2200" t="s">
        <v>4</v>
      </c>
    </row>
    <row r="2201" spans="1:2" x14ac:dyDescent="0.25">
      <c r="A2201" t="s">
        <v>42</v>
      </c>
      <c r="B2201" t="s">
        <v>4</v>
      </c>
    </row>
    <row r="2202" spans="1:2" x14ac:dyDescent="0.25">
      <c r="A2202" t="s">
        <v>43</v>
      </c>
      <c r="B2202">
        <v>0.64</v>
      </c>
    </row>
    <row r="2203" spans="1:2" x14ac:dyDescent="0.25">
      <c r="A2203" t="s">
        <v>44</v>
      </c>
      <c r="B2203" t="s">
        <v>4</v>
      </c>
    </row>
    <row r="2204" spans="1:2" x14ac:dyDescent="0.25">
      <c r="A2204" t="s">
        <v>45</v>
      </c>
      <c r="B2204" t="s">
        <v>4</v>
      </c>
    </row>
    <row r="2205" spans="1:2" x14ac:dyDescent="0.25">
      <c r="A2205" t="s">
        <v>46</v>
      </c>
      <c r="B2205" t="s">
        <v>4</v>
      </c>
    </row>
    <row r="2206" spans="1:2" x14ac:dyDescent="0.25">
      <c r="A2206" t="s">
        <v>47</v>
      </c>
      <c r="B2206">
        <v>0.46</v>
      </c>
    </row>
    <row r="2207" spans="1:2" x14ac:dyDescent="0.25">
      <c r="A2207" t="s">
        <v>48</v>
      </c>
      <c r="B2207" t="s">
        <v>4</v>
      </c>
    </row>
    <row r="2208" spans="1:2" x14ac:dyDescent="0.25">
      <c r="A2208" t="s">
        <v>49</v>
      </c>
      <c r="B2208" t="s">
        <v>4</v>
      </c>
    </row>
    <row r="2209" spans="1:2" x14ac:dyDescent="0.25">
      <c r="A2209" t="s">
        <v>50</v>
      </c>
      <c r="B2209" t="s">
        <v>4</v>
      </c>
    </row>
    <row r="2210" spans="1:2" x14ac:dyDescent="0.25">
      <c r="A2210" t="s">
        <v>51</v>
      </c>
      <c r="B2210" t="s">
        <v>4</v>
      </c>
    </row>
    <row r="2211" spans="1:2" x14ac:dyDescent="0.25">
      <c r="A2211" t="s">
        <v>52</v>
      </c>
      <c r="B2211" t="s">
        <v>4</v>
      </c>
    </row>
    <row r="2212" spans="1:2" x14ac:dyDescent="0.25">
      <c r="A2212" t="s">
        <v>53</v>
      </c>
      <c r="B2212" t="s">
        <v>4</v>
      </c>
    </row>
    <row r="2213" spans="1:2" x14ac:dyDescent="0.25">
      <c r="A2213" t="s">
        <v>54</v>
      </c>
      <c r="B2213" t="s">
        <v>4</v>
      </c>
    </row>
    <row r="2214" spans="1:2" x14ac:dyDescent="0.25">
      <c r="A2214" t="s">
        <v>55</v>
      </c>
      <c r="B2214" t="s">
        <v>4</v>
      </c>
    </row>
    <row r="2215" spans="1:2" x14ac:dyDescent="0.25">
      <c r="A2215" t="s">
        <v>56</v>
      </c>
      <c r="B2215" t="s">
        <v>4</v>
      </c>
    </row>
    <row r="2216" spans="1:2" x14ac:dyDescent="0.25">
      <c r="A2216" t="s">
        <v>57</v>
      </c>
      <c r="B2216" t="s">
        <v>4</v>
      </c>
    </row>
    <row r="2217" spans="1:2" x14ac:dyDescent="0.25">
      <c r="A2217" t="s">
        <v>58</v>
      </c>
      <c r="B2217" t="s">
        <v>4</v>
      </c>
    </row>
    <row r="2218" spans="1:2" x14ac:dyDescent="0.25">
      <c r="A2218" t="s">
        <v>59</v>
      </c>
      <c r="B2218">
        <v>0.37</v>
      </c>
    </row>
    <row r="2219" spans="1:2" x14ac:dyDescent="0.25">
      <c r="A2219" t="s">
        <v>60</v>
      </c>
      <c r="B2219">
        <v>0.26</v>
      </c>
    </row>
    <row r="2220" spans="1:2" x14ac:dyDescent="0.25">
      <c r="A2220" t="s">
        <v>61</v>
      </c>
      <c r="B2220">
        <v>0.21</v>
      </c>
    </row>
    <row r="2221" spans="1:2" x14ac:dyDescent="0.25">
      <c r="A2221" t="s">
        <v>62</v>
      </c>
      <c r="B2221" t="s">
        <v>4</v>
      </c>
    </row>
    <row r="2222" spans="1:2" x14ac:dyDescent="0.25">
      <c r="A2222" t="s">
        <v>63</v>
      </c>
      <c r="B2222">
        <v>0.41</v>
      </c>
    </row>
    <row r="2223" spans="1:2" x14ac:dyDescent="0.25">
      <c r="A2223" t="s">
        <v>64</v>
      </c>
      <c r="B2223">
        <v>0.46</v>
      </c>
    </row>
    <row r="2224" spans="1:2" x14ac:dyDescent="0.25">
      <c r="A2224" t="s">
        <v>65</v>
      </c>
      <c r="B2224" t="s">
        <v>4</v>
      </c>
    </row>
    <row r="2225" spans="1:2" x14ac:dyDescent="0.25">
      <c r="A2225" t="s">
        <v>66</v>
      </c>
      <c r="B2225" t="s">
        <v>4</v>
      </c>
    </row>
    <row r="2226" spans="1:2" x14ac:dyDescent="0.25">
      <c r="A2226" t="s">
        <v>67</v>
      </c>
      <c r="B2226" t="s">
        <v>4</v>
      </c>
    </row>
    <row r="2227" spans="1:2" x14ac:dyDescent="0.25">
      <c r="A2227" t="s">
        <v>68</v>
      </c>
      <c r="B2227" t="s">
        <v>4</v>
      </c>
    </row>
    <row r="2228" spans="1:2" x14ac:dyDescent="0.25">
      <c r="A2228" t="s">
        <v>69</v>
      </c>
      <c r="B2228" t="s">
        <v>4</v>
      </c>
    </row>
    <row r="2229" spans="1:2" x14ac:dyDescent="0.25">
      <c r="A2229" t="s">
        <v>70</v>
      </c>
      <c r="B2229" t="s">
        <v>4</v>
      </c>
    </row>
    <row r="2230" spans="1:2" x14ac:dyDescent="0.25">
      <c r="A2230" t="s">
        <v>71</v>
      </c>
      <c r="B2230" t="s">
        <v>4</v>
      </c>
    </row>
    <row r="2231" spans="1:2" x14ac:dyDescent="0.25">
      <c r="A2231" t="s">
        <v>72</v>
      </c>
      <c r="B2231">
        <v>0.32</v>
      </c>
    </row>
    <row r="2232" spans="1:2" x14ac:dyDescent="0.25">
      <c r="A2232" t="s">
        <v>73</v>
      </c>
      <c r="B2232" t="s">
        <v>4</v>
      </c>
    </row>
    <row r="2233" spans="1:2" x14ac:dyDescent="0.25">
      <c r="A2233" t="s">
        <v>74</v>
      </c>
      <c r="B2233">
        <v>0.39</v>
      </c>
    </row>
    <row r="2234" spans="1:2" x14ac:dyDescent="0.25">
      <c r="A2234" t="s">
        <v>75</v>
      </c>
      <c r="B2234" t="s">
        <v>4</v>
      </c>
    </row>
    <row r="2235" spans="1:2" x14ac:dyDescent="0.25">
      <c r="A2235" t="s">
        <v>76</v>
      </c>
      <c r="B2235">
        <v>0.45</v>
      </c>
    </row>
    <row r="2236" spans="1:2" x14ac:dyDescent="0.25">
      <c r="A2236" t="s">
        <v>77</v>
      </c>
      <c r="B2236">
        <v>0.3</v>
      </c>
    </row>
    <row r="2237" spans="1:2" x14ac:dyDescent="0.25">
      <c r="A2237" t="s">
        <v>78</v>
      </c>
      <c r="B2237" t="s">
        <v>4</v>
      </c>
    </row>
    <row r="2238" spans="1:2" x14ac:dyDescent="0.25">
      <c r="A2238" t="s">
        <v>79</v>
      </c>
      <c r="B2238" t="s">
        <v>4</v>
      </c>
    </row>
    <row r="2239" spans="1:2" x14ac:dyDescent="0.25">
      <c r="A2239" t="s">
        <v>80</v>
      </c>
      <c r="B2239">
        <v>0.37</v>
      </c>
    </row>
    <row r="2240" spans="1:2" x14ac:dyDescent="0.25">
      <c r="A2240" t="s">
        <v>81</v>
      </c>
      <c r="B2240">
        <v>0.26</v>
      </c>
    </row>
    <row r="2243" spans="1:2" x14ac:dyDescent="0.25">
      <c r="A2243" t="s">
        <v>0</v>
      </c>
      <c r="B2243" t="s">
        <v>102</v>
      </c>
    </row>
    <row r="2245" spans="1:2" s="1" customFormat="1" x14ac:dyDescent="0.25">
      <c r="A2245" s="1" t="s">
        <v>2</v>
      </c>
      <c r="B2245" s="1" t="s">
        <v>157</v>
      </c>
    </row>
    <row r="2246" spans="1:2" x14ac:dyDescent="0.25">
      <c r="A2246" t="s">
        <v>3</v>
      </c>
      <c r="B2246" t="s">
        <v>4</v>
      </c>
    </row>
    <row r="2247" spans="1:2" x14ac:dyDescent="0.25">
      <c r="A2247" t="s">
        <v>5</v>
      </c>
      <c r="B2247" t="s">
        <v>4</v>
      </c>
    </row>
    <row r="2248" spans="1:2" x14ac:dyDescent="0.25">
      <c r="A2248" t="s">
        <v>6</v>
      </c>
      <c r="B2248" t="s">
        <v>4</v>
      </c>
    </row>
    <row r="2249" spans="1:2" x14ac:dyDescent="0.25">
      <c r="A2249" t="s">
        <v>7</v>
      </c>
      <c r="B2249" t="s">
        <v>4</v>
      </c>
    </row>
    <row r="2250" spans="1:2" x14ac:dyDescent="0.25">
      <c r="A2250" t="s">
        <v>8</v>
      </c>
      <c r="B2250" t="s">
        <v>4</v>
      </c>
    </row>
    <row r="2251" spans="1:2" x14ac:dyDescent="0.25">
      <c r="A2251" t="s">
        <v>9</v>
      </c>
      <c r="B2251" t="s">
        <v>4</v>
      </c>
    </row>
    <row r="2252" spans="1:2" x14ac:dyDescent="0.25">
      <c r="A2252" t="s">
        <v>10</v>
      </c>
      <c r="B2252" t="s">
        <v>4</v>
      </c>
    </row>
    <row r="2253" spans="1:2" x14ac:dyDescent="0.25">
      <c r="A2253" t="s">
        <v>11</v>
      </c>
      <c r="B2253" t="s">
        <v>4</v>
      </c>
    </row>
    <row r="2254" spans="1:2" x14ac:dyDescent="0.25">
      <c r="A2254" t="s">
        <v>12</v>
      </c>
      <c r="B2254" t="s">
        <v>4</v>
      </c>
    </row>
    <row r="2255" spans="1:2" x14ac:dyDescent="0.25">
      <c r="A2255" t="s">
        <v>13</v>
      </c>
      <c r="B2255" t="s">
        <v>4</v>
      </c>
    </row>
    <row r="2256" spans="1:2" x14ac:dyDescent="0.25">
      <c r="A2256" t="s">
        <v>14</v>
      </c>
      <c r="B2256" t="s">
        <v>4</v>
      </c>
    </row>
    <row r="2257" spans="1:2" x14ac:dyDescent="0.25">
      <c r="A2257" t="s">
        <v>15</v>
      </c>
      <c r="B2257" t="s">
        <v>4</v>
      </c>
    </row>
    <row r="2258" spans="1:2" x14ac:dyDescent="0.25">
      <c r="A2258" t="s">
        <v>16</v>
      </c>
      <c r="B2258" t="s">
        <v>4</v>
      </c>
    </row>
    <row r="2259" spans="1:2" x14ac:dyDescent="0.25">
      <c r="A2259" t="s">
        <v>17</v>
      </c>
      <c r="B2259" t="s">
        <v>4</v>
      </c>
    </row>
    <row r="2260" spans="1:2" x14ac:dyDescent="0.25">
      <c r="A2260" t="s">
        <v>18</v>
      </c>
      <c r="B2260" t="s">
        <v>4</v>
      </c>
    </row>
    <row r="2261" spans="1:2" x14ac:dyDescent="0.25">
      <c r="A2261" t="s">
        <v>19</v>
      </c>
      <c r="B2261" t="s">
        <v>4</v>
      </c>
    </row>
    <row r="2262" spans="1:2" x14ac:dyDescent="0.25">
      <c r="A2262" t="s">
        <v>20</v>
      </c>
      <c r="B2262" t="s">
        <v>4</v>
      </c>
    </row>
    <row r="2263" spans="1:2" x14ac:dyDescent="0.25">
      <c r="A2263" t="s">
        <v>21</v>
      </c>
      <c r="B2263" t="s">
        <v>4</v>
      </c>
    </row>
    <row r="2264" spans="1:2" x14ac:dyDescent="0.25">
      <c r="A2264" t="s">
        <v>22</v>
      </c>
      <c r="B2264" t="s">
        <v>4</v>
      </c>
    </row>
    <row r="2265" spans="1:2" x14ac:dyDescent="0.25">
      <c r="A2265" t="s">
        <v>23</v>
      </c>
      <c r="B2265" t="s">
        <v>4</v>
      </c>
    </row>
    <row r="2266" spans="1:2" x14ac:dyDescent="0.25">
      <c r="A2266" t="s">
        <v>24</v>
      </c>
      <c r="B2266">
        <v>3.48</v>
      </c>
    </row>
    <row r="2267" spans="1:2" x14ac:dyDescent="0.25">
      <c r="A2267" t="s">
        <v>25</v>
      </c>
      <c r="B2267" t="s">
        <v>4</v>
      </c>
    </row>
    <row r="2268" spans="1:2" x14ac:dyDescent="0.25">
      <c r="A2268" t="s">
        <v>26</v>
      </c>
      <c r="B2268" t="s">
        <v>4</v>
      </c>
    </row>
    <row r="2269" spans="1:2" x14ac:dyDescent="0.25">
      <c r="A2269" t="s">
        <v>27</v>
      </c>
      <c r="B2269">
        <v>10.32</v>
      </c>
    </row>
    <row r="2270" spans="1:2" x14ac:dyDescent="0.25">
      <c r="A2270" t="s">
        <v>28</v>
      </c>
      <c r="B2270">
        <v>2.25</v>
      </c>
    </row>
    <row r="2271" spans="1:2" x14ac:dyDescent="0.25">
      <c r="A2271" t="s">
        <v>29</v>
      </c>
      <c r="B2271" t="s">
        <v>4</v>
      </c>
    </row>
    <row r="2272" spans="1:2" x14ac:dyDescent="0.25">
      <c r="A2272" t="s">
        <v>30</v>
      </c>
      <c r="B2272" t="s">
        <v>4</v>
      </c>
    </row>
    <row r="2273" spans="1:2" x14ac:dyDescent="0.25">
      <c r="A2273" t="s">
        <v>31</v>
      </c>
      <c r="B2273" t="s">
        <v>4</v>
      </c>
    </row>
    <row r="2274" spans="1:2" x14ac:dyDescent="0.25">
      <c r="A2274" t="s">
        <v>32</v>
      </c>
      <c r="B2274" t="s">
        <v>4</v>
      </c>
    </row>
    <row r="2275" spans="1:2" x14ac:dyDescent="0.25">
      <c r="A2275" t="s">
        <v>33</v>
      </c>
      <c r="B2275" t="s">
        <v>4</v>
      </c>
    </row>
    <row r="2276" spans="1:2" x14ac:dyDescent="0.25">
      <c r="A2276" t="s">
        <v>34</v>
      </c>
      <c r="B2276">
        <v>3.58</v>
      </c>
    </row>
    <row r="2277" spans="1:2" x14ac:dyDescent="0.25">
      <c r="A2277" t="s">
        <v>35</v>
      </c>
      <c r="B2277" t="s">
        <v>4</v>
      </c>
    </row>
    <row r="2278" spans="1:2" x14ac:dyDescent="0.25">
      <c r="A2278" t="s">
        <v>36</v>
      </c>
      <c r="B2278" t="s">
        <v>4</v>
      </c>
    </row>
    <row r="2279" spans="1:2" x14ac:dyDescent="0.25">
      <c r="A2279" t="s">
        <v>37</v>
      </c>
      <c r="B2279" t="s">
        <v>4</v>
      </c>
    </row>
    <row r="2280" spans="1:2" x14ac:dyDescent="0.25">
      <c r="A2280" t="s">
        <v>38</v>
      </c>
      <c r="B2280" t="s">
        <v>4</v>
      </c>
    </row>
    <row r="2281" spans="1:2" x14ac:dyDescent="0.25">
      <c r="A2281" t="s">
        <v>39</v>
      </c>
      <c r="B2281" t="s">
        <v>4</v>
      </c>
    </row>
    <row r="2282" spans="1:2" x14ac:dyDescent="0.25">
      <c r="A2282" t="s">
        <v>40</v>
      </c>
      <c r="B2282">
        <v>3.25</v>
      </c>
    </row>
    <row r="2283" spans="1:2" x14ac:dyDescent="0.25">
      <c r="A2283" t="s">
        <v>41</v>
      </c>
      <c r="B2283" t="s">
        <v>4</v>
      </c>
    </row>
    <row r="2284" spans="1:2" x14ac:dyDescent="0.25">
      <c r="A2284" t="s">
        <v>42</v>
      </c>
      <c r="B2284" t="s">
        <v>4</v>
      </c>
    </row>
    <row r="2285" spans="1:2" x14ac:dyDescent="0.25">
      <c r="A2285" t="s">
        <v>43</v>
      </c>
      <c r="B2285" t="s">
        <v>4</v>
      </c>
    </row>
    <row r="2286" spans="1:2" x14ac:dyDescent="0.25">
      <c r="A2286" t="s">
        <v>44</v>
      </c>
      <c r="B2286" t="s">
        <v>4</v>
      </c>
    </row>
    <row r="2287" spans="1:2" x14ac:dyDescent="0.25">
      <c r="A2287" t="s">
        <v>45</v>
      </c>
      <c r="B2287" t="s">
        <v>4</v>
      </c>
    </row>
    <row r="2288" spans="1:2" x14ac:dyDescent="0.25">
      <c r="A2288" t="s">
        <v>46</v>
      </c>
      <c r="B2288" t="s">
        <v>4</v>
      </c>
    </row>
    <row r="2289" spans="1:2" x14ac:dyDescent="0.25">
      <c r="A2289" t="s">
        <v>47</v>
      </c>
      <c r="B2289" t="s">
        <v>4</v>
      </c>
    </row>
    <row r="2290" spans="1:2" x14ac:dyDescent="0.25">
      <c r="A2290" t="s">
        <v>48</v>
      </c>
      <c r="B2290" t="s">
        <v>4</v>
      </c>
    </row>
    <row r="2291" spans="1:2" x14ac:dyDescent="0.25">
      <c r="A2291" t="s">
        <v>49</v>
      </c>
      <c r="B2291" t="s">
        <v>4</v>
      </c>
    </row>
    <row r="2292" spans="1:2" x14ac:dyDescent="0.25">
      <c r="A2292" t="s">
        <v>50</v>
      </c>
      <c r="B2292" t="s">
        <v>4</v>
      </c>
    </row>
    <row r="2293" spans="1:2" x14ac:dyDescent="0.25">
      <c r="A2293" t="s">
        <v>51</v>
      </c>
      <c r="B2293" t="s">
        <v>4</v>
      </c>
    </row>
    <row r="2294" spans="1:2" x14ac:dyDescent="0.25">
      <c r="A2294" t="s">
        <v>52</v>
      </c>
      <c r="B2294" t="s">
        <v>4</v>
      </c>
    </row>
    <row r="2295" spans="1:2" x14ac:dyDescent="0.25">
      <c r="A2295" t="s">
        <v>53</v>
      </c>
      <c r="B2295">
        <v>85.51</v>
      </c>
    </row>
    <row r="2296" spans="1:2" x14ac:dyDescent="0.25">
      <c r="A2296" t="s">
        <v>54</v>
      </c>
      <c r="B2296">
        <v>12.72</v>
      </c>
    </row>
    <row r="2297" spans="1:2" x14ac:dyDescent="0.25">
      <c r="A2297" t="s">
        <v>55</v>
      </c>
      <c r="B2297">
        <v>239.97</v>
      </c>
    </row>
    <row r="2298" spans="1:2" x14ac:dyDescent="0.25">
      <c r="A2298" t="s">
        <v>56</v>
      </c>
      <c r="B2298" t="s">
        <v>4</v>
      </c>
    </row>
    <row r="2299" spans="1:2" x14ac:dyDescent="0.25">
      <c r="A2299" t="s">
        <v>57</v>
      </c>
      <c r="B2299" t="s">
        <v>4</v>
      </c>
    </row>
    <row r="2300" spans="1:2" x14ac:dyDescent="0.25">
      <c r="A2300" t="s">
        <v>58</v>
      </c>
      <c r="B2300" t="s">
        <v>4</v>
      </c>
    </row>
    <row r="2301" spans="1:2" x14ac:dyDescent="0.25">
      <c r="A2301" t="s">
        <v>59</v>
      </c>
      <c r="B2301">
        <v>133.43</v>
      </c>
    </row>
    <row r="2302" spans="1:2" x14ac:dyDescent="0.25">
      <c r="A2302" t="s">
        <v>60</v>
      </c>
      <c r="B2302">
        <v>63.52</v>
      </c>
    </row>
    <row r="2303" spans="1:2" x14ac:dyDescent="0.25">
      <c r="A2303" t="s">
        <v>61</v>
      </c>
      <c r="B2303">
        <v>55.33</v>
      </c>
    </row>
    <row r="2304" spans="1:2" x14ac:dyDescent="0.25">
      <c r="A2304" t="s">
        <v>62</v>
      </c>
      <c r="B2304">
        <v>33.93</v>
      </c>
    </row>
    <row r="2305" spans="1:2" x14ac:dyDescent="0.25">
      <c r="A2305" t="s">
        <v>63</v>
      </c>
      <c r="B2305">
        <v>31.9</v>
      </c>
    </row>
    <row r="2306" spans="1:2" x14ac:dyDescent="0.25">
      <c r="A2306" t="s">
        <v>64</v>
      </c>
      <c r="B2306">
        <v>45.72</v>
      </c>
    </row>
    <row r="2307" spans="1:2" x14ac:dyDescent="0.25">
      <c r="A2307" t="s">
        <v>65</v>
      </c>
      <c r="B2307" t="s">
        <v>4</v>
      </c>
    </row>
    <row r="2308" spans="1:2" x14ac:dyDescent="0.25">
      <c r="A2308" t="s">
        <v>66</v>
      </c>
      <c r="B2308" t="s">
        <v>4</v>
      </c>
    </row>
    <row r="2309" spans="1:2" x14ac:dyDescent="0.25">
      <c r="A2309" t="s">
        <v>67</v>
      </c>
      <c r="B2309" t="s">
        <v>4</v>
      </c>
    </row>
    <row r="2310" spans="1:2" x14ac:dyDescent="0.25">
      <c r="A2310" t="s">
        <v>68</v>
      </c>
      <c r="B2310">
        <v>286.75</v>
      </c>
    </row>
    <row r="2311" spans="1:2" x14ac:dyDescent="0.25">
      <c r="A2311" t="s">
        <v>69</v>
      </c>
      <c r="B2311" t="s">
        <v>4</v>
      </c>
    </row>
    <row r="2312" spans="1:2" x14ac:dyDescent="0.25">
      <c r="A2312" t="s">
        <v>70</v>
      </c>
      <c r="B2312">
        <v>44.78</v>
      </c>
    </row>
    <row r="2313" spans="1:2" x14ac:dyDescent="0.25">
      <c r="A2313" t="s">
        <v>71</v>
      </c>
      <c r="B2313">
        <v>132.63999999999999</v>
      </c>
    </row>
    <row r="2314" spans="1:2" x14ac:dyDescent="0.25">
      <c r="A2314" t="s">
        <v>72</v>
      </c>
      <c r="B2314">
        <v>101.2</v>
      </c>
    </row>
    <row r="2315" spans="1:2" x14ac:dyDescent="0.25">
      <c r="A2315" t="s">
        <v>73</v>
      </c>
      <c r="B2315" t="s">
        <v>4</v>
      </c>
    </row>
    <row r="2316" spans="1:2" x14ac:dyDescent="0.25">
      <c r="A2316" t="s">
        <v>74</v>
      </c>
      <c r="B2316">
        <v>128.44</v>
      </c>
    </row>
    <row r="2317" spans="1:2" x14ac:dyDescent="0.25">
      <c r="A2317" t="s">
        <v>75</v>
      </c>
      <c r="B2317">
        <v>48.38</v>
      </c>
    </row>
    <row r="2318" spans="1:2" x14ac:dyDescent="0.25">
      <c r="A2318" t="s">
        <v>76</v>
      </c>
      <c r="B2318">
        <v>80.64</v>
      </c>
    </row>
    <row r="2319" spans="1:2" x14ac:dyDescent="0.25">
      <c r="A2319" t="s">
        <v>77</v>
      </c>
      <c r="B2319">
        <v>66.459999999999994</v>
      </c>
    </row>
    <row r="2320" spans="1:2" x14ac:dyDescent="0.25">
      <c r="A2320" t="s">
        <v>78</v>
      </c>
      <c r="B2320" t="s">
        <v>4</v>
      </c>
    </row>
    <row r="2321" spans="1:2" x14ac:dyDescent="0.25">
      <c r="A2321" t="s">
        <v>79</v>
      </c>
      <c r="B2321" t="s">
        <v>4</v>
      </c>
    </row>
    <row r="2322" spans="1:2" x14ac:dyDescent="0.25">
      <c r="A2322" t="s">
        <v>80</v>
      </c>
      <c r="B2322" t="s">
        <v>4</v>
      </c>
    </row>
    <row r="2323" spans="1:2" x14ac:dyDescent="0.25">
      <c r="A2323" t="s">
        <v>81</v>
      </c>
      <c r="B2323" t="s">
        <v>4</v>
      </c>
    </row>
    <row r="2326" spans="1:2" x14ac:dyDescent="0.25">
      <c r="A2326" t="s">
        <v>0</v>
      </c>
      <c r="B2326" t="s">
        <v>103</v>
      </c>
    </row>
    <row r="2328" spans="1:2" s="1" customFormat="1" x14ac:dyDescent="0.25">
      <c r="A2328" s="1" t="s">
        <v>2</v>
      </c>
      <c r="B2328" s="1" t="s">
        <v>157</v>
      </c>
    </row>
    <row r="2329" spans="1:2" x14ac:dyDescent="0.25">
      <c r="A2329" t="s">
        <v>3</v>
      </c>
      <c r="B2329" t="s">
        <v>4</v>
      </c>
    </row>
    <row r="2330" spans="1:2" x14ac:dyDescent="0.25">
      <c r="A2330" t="s">
        <v>5</v>
      </c>
      <c r="B2330" t="s">
        <v>4</v>
      </c>
    </row>
    <row r="2331" spans="1:2" x14ac:dyDescent="0.25">
      <c r="A2331" t="s">
        <v>6</v>
      </c>
      <c r="B2331" t="s">
        <v>4</v>
      </c>
    </row>
    <row r="2332" spans="1:2" x14ac:dyDescent="0.25">
      <c r="A2332" t="s">
        <v>7</v>
      </c>
      <c r="B2332" t="s">
        <v>4</v>
      </c>
    </row>
    <row r="2333" spans="1:2" x14ac:dyDescent="0.25">
      <c r="A2333" t="s">
        <v>8</v>
      </c>
      <c r="B2333" t="s">
        <v>4</v>
      </c>
    </row>
    <row r="2334" spans="1:2" x14ac:dyDescent="0.25">
      <c r="A2334" t="s">
        <v>9</v>
      </c>
      <c r="B2334" t="s">
        <v>4</v>
      </c>
    </row>
    <row r="2335" spans="1:2" x14ac:dyDescent="0.25">
      <c r="A2335" t="s">
        <v>10</v>
      </c>
      <c r="B2335" t="s">
        <v>4</v>
      </c>
    </row>
    <row r="2336" spans="1:2" x14ac:dyDescent="0.25">
      <c r="A2336" t="s">
        <v>11</v>
      </c>
      <c r="B2336" t="s">
        <v>4</v>
      </c>
    </row>
    <row r="2337" spans="1:2" x14ac:dyDescent="0.25">
      <c r="A2337" t="s">
        <v>12</v>
      </c>
      <c r="B2337" t="s">
        <v>4</v>
      </c>
    </row>
    <row r="2338" spans="1:2" x14ac:dyDescent="0.25">
      <c r="A2338" t="s">
        <v>13</v>
      </c>
      <c r="B2338" t="s">
        <v>4</v>
      </c>
    </row>
    <row r="2339" spans="1:2" x14ac:dyDescent="0.25">
      <c r="A2339" t="s">
        <v>14</v>
      </c>
      <c r="B2339" t="s">
        <v>4</v>
      </c>
    </row>
    <row r="2340" spans="1:2" x14ac:dyDescent="0.25">
      <c r="A2340" t="s">
        <v>15</v>
      </c>
      <c r="B2340" t="s">
        <v>4</v>
      </c>
    </row>
    <row r="2341" spans="1:2" x14ac:dyDescent="0.25">
      <c r="A2341" t="s">
        <v>16</v>
      </c>
      <c r="B2341" t="s">
        <v>4</v>
      </c>
    </row>
    <row r="2342" spans="1:2" x14ac:dyDescent="0.25">
      <c r="A2342" t="s">
        <v>17</v>
      </c>
      <c r="B2342" t="s">
        <v>4</v>
      </c>
    </row>
    <row r="2343" spans="1:2" x14ac:dyDescent="0.25">
      <c r="A2343" t="s">
        <v>18</v>
      </c>
      <c r="B2343" t="s">
        <v>4</v>
      </c>
    </row>
    <row r="2344" spans="1:2" x14ac:dyDescent="0.25">
      <c r="A2344" t="s">
        <v>19</v>
      </c>
      <c r="B2344" t="s">
        <v>4</v>
      </c>
    </row>
    <row r="2345" spans="1:2" x14ac:dyDescent="0.25">
      <c r="A2345" t="s">
        <v>20</v>
      </c>
      <c r="B2345" t="s">
        <v>4</v>
      </c>
    </row>
    <row r="2346" spans="1:2" x14ac:dyDescent="0.25">
      <c r="A2346" t="s">
        <v>21</v>
      </c>
      <c r="B2346" t="s">
        <v>4</v>
      </c>
    </row>
    <row r="2347" spans="1:2" x14ac:dyDescent="0.25">
      <c r="A2347" t="s">
        <v>22</v>
      </c>
      <c r="B2347" t="s">
        <v>4</v>
      </c>
    </row>
    <row r="2348" spans="1:2" x14ac:dyDescent="0.25">
      <c r="A2348" t="s">
        <v>23</v>
      </c>
      <c r="B2348" t="s">
        <v>4</v>
      </c>
    </row>
    <row r="2349" spans="1:2" x14ac:dyDescent="0.25">
      <c r="A2349" t="s">
        <v>24</v>
      </c>
      <c r="B2349" t="s">
        <v>4</v>
      </c>
    </row>
    <row r="2350" spans="1:2" x14ac:dyDescent="0.25">
      <c r="A2350" t="s">
        <v>25</v>
      </c>
      <c r="B2350" t="s">
        <v>4</v>
      </c>
    </row>
    <row r="2351" spans="1:2" x14ac:dyDescent="0.25">
      <c r="A2351" t="s">
        <v>26</v>
      </c>
      <c r="B2351" t="s">
        <v>4</v>
      </c>
    </row>
    <row r="2352" spans="1:2" x14ac:dyDescent="0.25">
      <c r="A2352" t="s">
        <v>27</v>
      </c>
      <c r="B2352" t="s">
        <v>4</v>
      </c>
    </row>
    <row r="2353" spans="1:2" x14ac:dyDescent="0.25">
      <c r="A2353" t="s">
        <v>28</v>
      </c>
      <c r="B2353" t="s">
        <v>4</v>
      </c>
    </row>
    <row r="2354" spans="1:2" x14ac:dyDescent="0.25">
      <c r="A2354" t="s">
        <v>29</v>
      </c>
      <c r="B2354" t="s">
        <v>4</v>
      </c>
    </row>
    <row r="2355" spans="1:2" x14ac:dyDescent="0.25">
      <c r="A2355" t="s">
        <v>30</v>
      </c>
      <c r="B2355" t="s">
        <v>4</v>
      </c>
    </row>
    <row r="2356" spans="1:2" x14ac:dyDescent="0.25">
      <c r="A2356" t="s">
        <v>31</v>
      </c>
      <c r="B2356" t="s">
        <v>4</v>
      </c>
    </row>
    <row r="2357" spans="1:2" x14ac:dyDescent="0.25">
      <c r="A2357" t="s">
        <v>32</v>
      </c>
      <c r="B2357" t="s">
        <v>4</v>
      </c>
    </row>
    <row r="2358" spans="1:2" x14ac:dyDescent="0.25">
      <c r="A2358" t="s">
        <v>33</v>
      </c>
      <c r="B2358" t="s">
        <v>4</v>
      </c>
    </row>
    <row r="2359" spans="1:2" x14ac:dyDescent="0.25">
      <c r="A2359" t="s">
        <v>34</v>
      </c>
      <c r="B2359" t="s">
        <v>4</v>
      </c>
    </row>
    <row r="2360" spans="1:2" x14ac:dyDescent="0.25">
      <c r="A2360" t="s">
        <v>35</v>
      </c>
      <c r="B2360" t="s">
        <v>4</v>
      </c>
    </row>
    <row r="2361" spans="1:2" x14ac:dyDescent="0.25">
      <c r="A2361" t="s">
        <v>36</v>
      </c>
      <c r="B2361" t="s">
        <v>4</v>
      </c>
    </row>
    <row r="2362" spans="1:2" x14ac:dyDescent="0.25">
      <c r="A2362" t="s">
        <v>37</v>
      </c>
      <c r="B2362" t="s">
        <v>4</v>
      </c>
    </row>
    <row r="2363" spans="1:2" x14ac:dyDescent="0.25">
      <c r="A2363" t="s">
        <v>38</v>
      </c>
      <c r="B2363" t="s">
        <v>4</v>
      </c>
    </row>
    <row r="2364" spans="1:2" x14ac:dyDescent="0.25">
      <c r="A2364" t="s">
        <v>39</v>
      </c>
      <c r="B2364" t="s">
        <v>4</v>
      </c>
    </row>
    <row r="2365" spans="1:2" x14ac:dyDescent="0.25">
      <c r="A2365" t="s">
        <v>40</v>
      </c>
      <c r="B2365" t="s">
        <v>4</v>
      </c>
    </row>
    <row r="2366" spans="1:2" x14ac:dyDescent="0.25">
      <c r="A2366" t="s">
        <v>41</v>
      </c>
      <c r="B2366" t="s">
        <v>4</v>
      </c>
    </row>
    <row r="2367" spans="1:2" x14ac:dyDescent="0.25">
      <c r="A2367" t="s">
        <v>42</v>
      </c>
      <c r="B2367" t="s">
        <v>4</v>
      </c>
    </row>
    <row r="2368" spans="1:2" x14ac:dyDescent="0.25">
      <c r="A2368" t="s">
        <v>43</v>
      </c>
      <c r="B2368" t="s">
        <v>4</v>
      </c>
    </row>
    <row r="2369" spans="1:2" x14ac:dyDescent="0.25">
      <c r="A2369" t="s">
        <v>44</v>
      </c>
      <c r="B2369" t="s">
        <v>4</v>
      </c>
    </row>
    <row r="2370" spans="1:2" x14ac:dyDescent="0.25">
      <c r="A2370" t="s">
        <v>45</v>
      </c>
      <c r="B2370" t="s">
        <v>4</v>
      </c>
    </row>
    <row r="2371" spans="1:2" x14ac:dyDescent="0.25">
      <c r="A2371" t="s">
        <v>46</v>
      </c>
      <c r="B2371" t="s">
        <v>4</v>
      </c>
    </row>
    <row r="2372" spans="1:2" x14ac:dyDescent="0.25">
      <c r="A2372" t="s">
        <v>47</v>
      </c>
      <c r="B2372" t="s">
        <v>4</v>
      </c>
    </row>
    <row r="2373" spans="1:2" x14ac:dyDescent="0.25">
      <c r="A2373" t="s">
        <v>48</v>
      </c>
      <c r="B2373" t="s">
        <v>4</v>
      </c>
    </row>
    <row r="2374" spans="1:2" x14ac:dyDescent="0.25">
      <c r="A2374" t="s">
        <v>49</v>
      </c>
      <c r="B2374" t="s">
        <v>4</v>
      </c>
    </row>
    <row r="2375" spans="1:2" x14ac:dyDescent="0.25">
      <c r="A2375" t="s">
        <v>50</v>
      </c>
      <c r="B2375" t="s">
        <v>4</v>
      </c>
    </row>
    <row r="2376" spans="1:2" x14ac:dyDescent="0.25">
      <c r="A2376" t="s">
        <v>51</v>
      </c>
      <c r="B2376" t="s">
        <v>4</v>
      </c>
    </row>
    <row r="2377" spans="1:2" x14ac:dyDescent="0.25">
      <c r="A2377" t="s">
        <v>52</v>
      </c>
      <c r="B2377" t="s">
        <v>4</v>
      </c>
    </row>
    <row r="2378" spans="1:2" x14ac:dyDescent="0.25">
      <c r="A2378" t="s">
        <v>53</v>
      </c>
      <c r="B2378" t="s">
        <v>4</v>
      </c>
    </row>
    <row r="2379" spans="1:2" x14ac:dyDescent="0.25">
      <c r="A2379" t="s">
        <v>54</v>
      </c>
      <c r="B2379" t="s">
        <v>4</v>
      </c>
    </row>
    <row r="2380" spans="1:2" x14ac:dyDescent="0.25">
      <c r="A2380" t="s">
        <v>55</v>
      </c>
      <c r="B2380" t="s">
        <v>4</v>
      </c>
    </row>
    <row r="2381" spans="1:2" x14ac:dyDescent="0.25">
      <c r="A2381" t="s">
        <v>56</v>
      </c>
      <c r="B2381" t="s">
        <v>4</v>
      </c>
    </row>
    <row r="2382" spans="1:2" x14ac:dyDescent="0.25">
      <c r="A2382" t="s">
        <v>57</v>
      </c>
      <c r="B2382" t="s">
        <v>4</v>
      </c>
    </row>
    <row r="2383" spans="1:2" x14ac:dyDescent="0.25">
      <c r="A2383" t="s">
        <v>58</v>
      </c>
      <c r="B2383" t="s">
        <v>4</v>
      </c>
    </row>
    <row r="2384" spans="1:2" x14ac:dyDescent="0.25">
      <c r="A2384" t="s">
        <v>59</v>
      </c>
      <c r="B2384" t="s">
        <v>4</v>
      </c>
    </row>
    <row r="2385" spans="1:2" x14ac:dyDescent="0.25">
      <c r="A2385" t="s">
        <v>60</v>
      </c>
      <c r="B2385" t="s">
        <v>4</v>
      </c>
    </row>
    <row r="2386" spans="1:2" x14ac:dyDescent="0.25">
      <c r="A2386" t="s">
        <v>61</v>
      </c>
      <c r="B2386" t="s">
        <v>4</v>
      </c>
    </row>
    <row r="2387" spans="1:2" x14ac:dyDescent="0.25">
      <c r="A2387" t="s">
        <v>62</v>
      </c>
      <c r="B2387" t="s">
        <v>4</v>
      </c>
    </row>
    <row r="2388" spans="1:2" x14ac:dyDescent="0.25">
      <c r="A2388" t="s">
        <v>63</v>
      </c>
      <c r="B2388" t="s">
        <v>4</v>
      </c>
    </row>
    <row r="2389" spans="1:2" x14ac:dyDescent="0.25">
      <c r="A2389" t="s">
        <v>64</v>
      </c>
      <c r="B2389" t="s">
        <v>4</v>
      </c>
    </row>
    <row r="2390" spans="1:2" x14ac:dyDescent="0.25">
      <c r="A2390" t="s">
        <v>65</v>
      </c>
      <c r="B2390" t="s">
        <v>4</v>
      </c>
    </row>
    <row r="2391" spans="1:2" x14ac:dyDescent="0.25">
      <c r="A2391" t="s">
        <v>66</v>
      </c>
      <c r="B2391" t="s">
        <v>4</v>
      </c>
    </row>
    <row r="2392" spans="1:2" x14ac:dyDescent="0.25">
      <c r="A2392" t="s">
        <v>67</v>
      </c>
      <c r="B2392" t="s">
        <v>4</v>
      </c>
    </row>
    <row r="2393" spans="1:2" x14ac:dyDescent="0.25">
      <c r="A2393" t="s">
        <v>68</v>
      </c>
      <c r="B2393" t="s">
        <v>4</v>
      </c>
    </row>
    <row r="2394" spans="1:2" x14ac:dyDescent="0.25">
      <c r="A2394" t="s">
        <v>69</v>
      </c>
      <c r="B2394" t="s">
        <v>4</v>
      </c>
    </row>
    <row r="2395" spans="1:2" x14ac:dyDescent="0.25">
      <c r="A2395" t="s">
        <v>70</v>
      </c>
      <c r="B2395" t="s">
        <v>4</v>
      </c>
    </row>
    <row r="2396" spans="1:2" x14ac:dyDescent="0.25">
      <c r="A2396" t="s">
        <v>71</v>
      </c>
      <c r="B2396" t="s">
        <v>4</v>
      </c>
    </row>
    <row r="2397" spans="1:2" x14ac:dyDescent="0.25">
      <c r="A2397" t="s">
        <v>72</v>
      </c>
      <c r="B2397" t="s">
        <v>4</v>
      </c>
    </row>
    <row r="2398" spans="1:2" x14ac:dyDescent="0.25">
      <c r="A2398" t="s">
        <v>73</v>
      </c>
      <c r="B2398" t="s">
        <v>4</v>
      </c>
    </row>
    <row r="2399" spans="1:2" x14ac:dyDescent="0.25">
      <c r="A2399" t="s">
        <v>74</v>
      </c>
      <c r="B2399" t="s">
        <v>4</v>
      </c>
    </row>
    <row r="2400" spans="1:2" x14ac:dyDescent="0.25">
      <c r="A2400" t="s">
        <v>75</v>
      </c>
      <c r="B2400" t="s">
        <v>4</v>
      </c>
    </row>
    <row r="2401" spans="1:11" x14ac:dyDescent="0.25">
      <c r="A2401" t="s">
        <v>76</v>
      </c>
      <c r="B2401" t="s">
        <v>4</v>
      </c>
    </row>
    <row r="2402" spans="1:11" x14ac:dyDescent="0.25">
      <c r="A2402" t="s">
        <v>77</v>
      </c>
      <c r="B2402" t="s">
        <v>4</v>
      </c>
    </row>
    <row r="2403" spans="1:11" x14ac:dyDescent="0.25">
      <c r="A2403" t="s">
        <v>78</v>
      </c>
      <c r="B2403" t="s">
        <v>4</v>
      </c>
    </row>
    <row r="2404" spans="1:11" x14ac:dyDescent="0.25">
      <c r="A2404" t="s">
        <v>79</v>
      </c>
      <c r="B2404" t="s">
        <v>4</v>
      </c>
    </row>
    <row r="2405" spans="1:11" x14ac:dyDescent="0.25">
      <c r="A2405" t="s">
        <v>80</v>
      </c>
      <c r="B2405" t="s">
        <v>4</v>
      </c>
    </row>
    <row r="2406" spans="1:11" x14ac:dyDescent="0.25">
      <c r="A2406" t="s">
        <v>81</v>
      </c>
      <c r="B2406" t="s">
        <v>4</v>
      </c>
    </row>
    <row r="2409" spans="1:11" x14ac:dyDescent="0.25">
      <c r="A2409" t="s">
        <v>0</v>
      </c>
      <c r="B2409" t="s">
        <v>104</v>
      </c>
    </row>
    <row r="2411" spans="1:11" s="1" customFormat="1" x14ac:dyDescent="0.25">
      <c r="A2411" s="1" t="s">
        <v>2</v>
      </c>
      <c r="B2411" s="1" t="s">
        <v>157</v>
      </c>
    </row>
    <row r="2412" spans="1:11" x14ac:dyDescent="0.25">
      <c r="A2412" t="s">
        <v>3</v>
      </c>
      <c r="B2412" t="s">
        <v>4</v>
      </c>
    </row>
    <row r="2413" spans="1:11" x14ac:dyDescent="0.25">
      <c r="A2413" t="s">
        <v>5</v>
      </c>
      <c r="B2413" t="s">
        <v>4</v>
      </c>
    </row>
    <row r="2414" spans="1:11" x14ac:dyDescent="0.25">
      <c r="A2414" t="s">
        <v>6</v>
      </c>
      <c r="B2414" s="3">
        <v>4.29</v>
      </c>
      <c r="D2414" s="3" t="s">
        <v>161</v>
      </c>
      <c r="E2414" s="3"/>
      <c r="F2414" s="3"/>
      <c r="G2414" s="3"/>
      <c r="H2414" s="3"/>
      <c r="I2414" s="3"/>
      <c r="J2414" s="3"/>
      <c r="K2414" s="3"/>
    </row>
    <row r="2415" spans="1:11" x14ac:dyDescent="0.25">
      <c r="A2415" t="s">
        <v>7</v>
      </c>
      <c r="B2415">
        <v>6.74</v>
      </c>
      <c r="C2415">
        <f>IF(OR(B2415&lt;$B$2414,B2415&lt;=$B$2414*1.1),"N/A",B2415-$B$2414)</f>
        <v>2.4500000000000002</v>
      </c>
      <c r="D2415" s="3" t="s">
        <v>160</v>
      </c>
      <c r="E2415" s="3"/>
      <c r="F2415" s="3"/>
      <c r="G2415" s="3"/>
      <c r="H2415" s="3"/>
      <c r="I2415" s="3"/>
      <c r="J2415" s="3"/>
      <c r="K2415" s="3"/>
    </row>
    <row r="2416" spans="1:11" x14ac:dyDescent="0.25">
      <c r="A2416" t="s">
        <v>8</v>
      </c>
      <c r="B2416">
        <v>15.11</v>
      </c>
      <c r="C2416">
        <f t="shared" ref="C2416:C2479" si="2">IF(OR(B2416&lt;$B$2414,B2416&lt;=$B$2414*1.1),"N/A",B2416-$B$2414)</f>
        <v>10.82</v>
      </c>
    </row>
    <row r="2417" spans="1:3" x14ac:dyDescent="0.25">
      <c r="A2417" t="s">
        <v>9</v>
      </c>
      <c r="B2417">
        <v>10.67</v>
      </c>
      <c r="C2417">
        <f t="shared" si="2"/>
        <v>6.38</v>
      </c>
    </row>
    <row r="2418" spans="1:3" x14ac:dyDescent="0.25">
      <c r="A2418" t="s">
        <v>10</v>
      </c>
      <c r="B2418">
        <v>5.29</v>
      </c>
      <c r="C2418">
        <f t="shared" si="2"/>
        <v>1</v>
      </c>
    </row>
    <row r="2419" spans="1:3" x14ac:dyDescent="0.25">
      <c r="A2419" t="s">
        <v>11</v>
      </c>
      <c r="B2419">
        <v>4.7699999999999996</v>
      </c>
      <c r="C2419">
        <f t="shared" si="2"/>
        <v>0.47999999999999954</v>
      </c>
    </row>
    <row r="2420" spans="1:3" x14ac:dyDescent="0.25">
      <c r="A2420" t="s">
        <v>12</v>
      </c>
      <c r="B2420">
        <v>4.84</v>
      </c>
      <c r="C2420">
        <f t="shared" si="2"/>
        <v>0.54999999999999982</v>
      </c>
    </row>
    <row r="2421" spans="1:3" x14ac:dyDescent="0.25">
      <c r="A2421" t="s">
        <v>13</v>
      </c>
      <c r="B2421">
        <v>5.0199999999999996</v>
      </c>
      <c r="C2421">
        <f t="shared" si="2"/>
        <v>0.72999999999999954</v>
      </c>
    </row>
    <row r="2422" spans="1:3" x14ac:dyDescent="0.25">
      <c r="A2422" t="s">
        <v>14</v>
      </c>
      <c r="B2422">
        <v>7.34</v>
      </c>
      <c r="C2422">
        <f t="shared" si="2"/>
        <v>3.05</v>
      </c>
    </row>
    <row r="2423" spans="1:3" x14ac:dyDescent="0.25">
      <c r="A2423" t="s">
        <v>15</v>
      </c>
      <c r="B2423">
        <v>6.22</v>
      </c>
      <c r="C2423">
        <f t="shared" si="2"/>
        <v>1.9299999999999997</v>
      </c>
    </row>
    <row r="2424" spans="1:3" x14ac:dyDescent="0.25">
      <c r="A2424" t="s">
        <v>16</v>
      </c>
      <c r="B2424">
        <v>5.29</v>
      </c>
      <c r="C2424">
        <f t="shared" si="2"/>
        <v>1</v>
      </c>
    </row>
    <row r="2425" spans="1:3" x14ac:dyDescent="0.25">
      <c r="A2425" t="s">
        <v>17</v>
      </c>
      <c r="B2425">
        <v>13.44</v>
      </c>
      <c r="C2425">
        <f t="shared" si="2"/>
        <v>9.1499999999999986</v>
      </c>
    </row>
    <row r="2426" spans="1:3" x14ac:dyDescent="0.25">
      <c r="A2426" t="s">
        <v>18</v>
      </c>
      <c r="B2426">
        <v>5.71</v>
      </c>
      <c r="C2426">
        <f t="shared" si="2"/>
        <v>1.42</v>
      </c>
    </row>
    <row r="2427" spans="1:3" x14ac:dyDescent="0.25">
      <c r="A2427" t="s">
        <v>19</v>
      </c>
      <c r="B2427">
        <v>5.09</v>
      </c>
      <c r="C2427">
        <f t="shared" si="2"/>
        <v>0.79999999999999982</v>
      </c>
    </row>
    <row r="2428" spans="1:3" x14ac:dyDescent="0.25">
      <c r="A2428" t="s">
        <v>20</v>
      </c>
      <c r="B2428">
        <v>5.53</v>
      </c>
      <c r="C2428">
        <f t="shared" si="2"/>
        <v>1.2400000000000002</v>
      </c>
    </row>
    <row r="2429" spans="1:3" x14ac:dyDescent="0.25">
      <c r="A2429" t="s">
        <v>21</v>
      </c>
      <c r="B2429">
        <v>6.94</v>
      </c>
      <c r="C2429">
        <f t="shared" si="2"/>
        <v>2.6500000000000004</v>
      </c>
    </row>
    <row r="2430" spans="1:3" x14ac:dyDescent="0.25">
      <c r="A2430" t="s">
        <v>22</v>
      </c>
      <c r="B2430">
        <v>6.48</v>
      </c>
      <c r="C2430">
        <f t="shared" si="2"/>
        <v>2.1900000000000004</v>
      </c>
    </row>
    <row r="2431" spans="1:3" x14ac:dyDescent="0.25">
      <c r="A2431" t="s">
        <v>23</v>
      </c>
      <c r="B2431">
        <v>5.97</v>
      </c>
      <c r="C2431">
        <f t="shared" si="2"/>
        <v>1.6799999999999997</v>
      </c>
    </row>
    <row r="2432" spans="1:3" x14ac:dyDescent="0.25">
      <c r="A2432" t="s">
        <v>24</v>
      </c>
      <c r="B2432">
        <v>5.92</v>
      </c>
      <c r="C2432">
        <f t="shared" si="2"/>
        <v>1.63</v>
      </c>
    </row>
    <row r="2433" spans="1:3" x14ac:dyDescent="0.25">
      <c r="A2433" t="s">
        <v>25</v>
      </c>
      <c r="B2433">
        <v>10.73</v>
      </c>
      <c r="C2433">
        <f t="shared" si="2"/>
        <v>6.44</v>
      </c>
    </row>
    <row r="2434" spans="1:3" x14ac:dyDescent="0.25">
      <c r="A2434" t="s">
        <v>26</v>
      </c>
      <c r="B2434">
        <v>21.41</v>
      </c>
      <c r="C2434">
        <f t="shared" si="2"/>
        <v>17.12</v>
      </c>
    </row>
    <row r="2435" spans="1:3" x14ac:dyDescent="0.25">
      <c r="A2435" t="s">
        <v>27</v>
      </c>
      <c r="B2435">
        <v>7</v>
      </c>
      <c r="C2435">
        <f t="shared" si="2"/>
        <v>2.71</v>
      </c>
    </row>
    <row r="2436" spans="1:3" x14ac:dyDescent="0.25">
      <c r="A2436" t="s">
        <v>28</v>
      </c>
      <c r="B2436">
        <v>6.45</v>
      </c>
      <c r="C2436">
        <f t="shared" si="2"/>
        <v>2.16</v>
      </c>
    </row>
    <row r="2437" spans="1:3" x14ac:dyDescent="0.25">
      <c r="A2437" t="s">
        <v>29</v>
      </c>
      <c r="B2437">
        <v>11.9</v>
      </c>
      <c r="C2437">
        <f t="shared" si="2"/>
        <v>7.61</v>
      </c>
    </row>
    <row r="2438" spans="1:3" x14ac:dyDescent="0.25">
      <c r="A2438" t="s">
        <v>30</v>
      </c>
      <c r="B2438">
        <v>13.37</v>
      </c>
      <c r="C2438">
        <f t="shared" si="2"/>
        <v>9.0799999999999983</v>
      </c>
    </row>
    <row r="2439" spans="1:3" x14ac:dyDescent="0.25">
      <c r="A2439" t="s">
        <v>31</v>
      </c>
      <c r="B2439">
        <v>13.59</v>
      </c>
      <c r="C2439">
        <f t="shared" si="2"/>
        <v>9.3000000000000007</v>
      </c>
    </row>
    <row r="2440" spans="1:3" x14ac:dyDescent="0.25">
      <c r="A2440" t="s">
        <v>32</v>
      </c>
      <c r="B2440">
        <v>9.67</v>
      </c>
      <c r="C2440">
        <f t="shared" si="2"/>
        <v>5.38</v>
      </c>
    </row>
    <row r="2441" spans="1:3" x14ac:dyDescent="0.25">
      <c r="A2441" t="s">
        <v>33</v>
      </c>
      <c r="B2441">
        <v>7.89</v>
      </c>
      <c r="C2441">
        <f t="shared" si="2"/>
        <v>3.5999999999999996</v>
      </c>
    </row>
    <row r="2442" spans="1:3" x14ac:dyDescent="0.25">
      <c r="A2442" t="s">
        <v>34</v>
      </c>
      <c r="B2442">
        <v>8.4700000000000006</v>
      </c>
      <c r="C2442">
        <f t="shared" si="2"/>
        <v>4.1800000000000006</v>
      </c>
    </row>
    <row r="2443" spans="1:3" x14ac:dyDescent="0.25">
      <c r="A2443" t="s">
        <v>35</v>
      </c>
      <c r="B2443">
        <v>5.21</v>
      </c>
      <c r="C2443">
        <f t="shared" si="2"/>
        <v>0.91999999999999993</v>
      </c>
    </row>
    <row r="2444" spans="1:3" x14ac:dyDescent="0.25">
      <c r="A2444" t="s">
        <v>36</v>
      </c>
      <c r="B2444">
        <v>4.82</v>
      </c>
      <c r="C2444">
        <f t="shared" si="2"/>
        <v>0.53000000000000025</v>
      </c>
    </row>
    <row r="2445" spans="1:3" x14ac:dyDescent="0.25">
      <c r="A2445" t="s">
        <v>37</v>
      </c>
      <c r="B2445">
        <v>8.52</v>
      </c>
      <c r="C2445">
        <f t="shared" si="2"/>
        <v>4.2299999999999995</v>
      </c>
    </row>
    <row r="2446" spans="1:3" x14ac:dyDescent="0.25">
      <c r="A2446" t="s">
        <v>38</v>
      </c>
      <c r="B2446">
        <v>6.88</v>
      </c>
      <c r="C2446">
        <f t="shared" si="2"/>
        <v>2.59</v>
      </c>
    </row>
    <row r="2447" spans="1:3" x14ac:dyDescent="0.25">
      <c r="A2447" t="s">
        <v>39</v>
      </c>
      <c r="B2447">
        <v>4.9000000000000004</v>
      </c>
      <c r="C2447">
        <f t="shared" si="2"/>
        <v>0.61000000000000032</v>
      </c>
    </row>
    <row r="2448" spans="1:3" x14ac:dyDescent="0.25">
      <c r="A2448" t="s">
        <v>40</v>
      </c>
      <c r="B2448">
        <v>4.62</v>
      </c>
      <c r="C2448" t="str">
        <f t="shared" si="2"/>
        <v>N/A</v>
      </c>
    </row>
    <row r="2449" spans="1:3" x14ac:dyDescent="0.25">
      <c r="A2449" t="s">
        <v>41</v>
      </c>
      <c r="B2449">
        <v>7.91</v>
      </c>
      <c r="C2449">
        <f t="shared" si="2"/>
        <v>3.62</v>
      </c>
    </row>
    <row r="2450" spans="1:3" x14ac:dyDescent="0.25">
      <c r="A2450" t="s">
        <v>42</v>
      </c>
      <c r="B2450">
        <v>10.37</v>
      </c>
      <c r="C2450">
        <f t="shared" si="2"/>
        <v>6.0799999999999992</v>
      </c>
    </row>
    <row r="2451" spans="1:3" x14ac:dyDescent="0.25">
      <c r="A2451" t="s">
        <v>43</v>
      </c>
      <c r="B2451">
        <v>5.36</v>
      </c>
      <c r="C2451">
        <f t="shared" si="2"/>
        <v>1.0700000000000003</v>
      </c>
    </row>
    <row r="2452" spans="1:3" x14ac:dyDescent="0.25">
      <c r="A2452" t="s">
        <v>44</v>
      </c>
      <c r="B2452">
        <v>6.07</v>
      </c>
      <c r="C2452">
        <f t="shared" si="2"/>
        <v>1.7800000000000002</v>
      </c>
    </row>
    <row r="2453" spans="1:3" x14ac:dyDescent="0.25">
      <c r="A2453" t="s">
        <v>45</v>
      </c>
      <c r="B2453">
        <v>6.35</v>
      </c>
      <c r="C2453">
        <f t="shared" si="2"/>
        <v>2.0599999999999996</v>
      </c>
    </row>
    <row r="2454" spans="1:3" x14ac:dyDescent="0.25">
      <c r="A2454" t="s">
        <v>46</v>
      </c>
      <c r="B2454">
        <v>10</v>
      </c>
      <c r="C2454">
        <f t="shared" si="2"/>
        <v>5.71</v>
      </c>
    </row>
    <row r="2455" spans="1:3" x14ac:dyDescent="0.25">
      <c r="A2455" t="s">
        <v>47</v>
      </c>
      <c r="B2455">
        <v>6.64</v>
      </c>
      <c r="C2455">
        <f t="shared" si="2"/>
        <v>2.3499999999999996</v>
      </c>
    </row>
    <row r="2456" spans="1:3" x14ac:dyDescent="0.25">
      <c r="A2456" t="s">
        <v>48</v>
      </c>
      <c r="B2456">
        <v>6.31</v>
      </c>
      <c r="C2456">
        <f t="shared" si="2"/>
        <v>2.0199999999999996</v>
      </c>
    </row>
    <row r="2457" spans="1:3" x14ac:dyDescent="0.25">
      <c r="A2457" t="s">
        <v>49</v>
      </c>
      <c r="B2457">
        <v>6.69</v>
      </c>
      <c r="C2457">
        <f t="shared" si="2"/>
        <v>2.4000000000000004</v>
      </c>
    </row>
    <row r="2458" spans="1:3" x14ac:dyDescent="0.25">
      <c r="A2458" t="s">
        <v>50</v>
      </c>
      <c r="B2458">
        <v>7.99</v>
      </c>
      <c r="C2458">
        <f t="shared" si="2"/>
        <v>3.7</v>
      </c>
    </row>
    <row r="2459" spans="1:3" x14ac:dyDescent="0.25">
      <c r="A2459" t="s">
        <v>51</v>
      </c>
      <c r="B2459">
        <v>5.57</v>
      </c>
      <c r="C2459">
        <f t="shared" si="2"/>
        <v>1.2800000000000002</v>
      </c>
    </row>
    <row r="2460" spans="1:3" x14ac:dyDescent="0.25">
      <c r="A2460" t="s">
        <v>52</v>
      </c>
      <c r="B2460">
        <v>5.17</v>
      </c>
      <c r="C2460">
        <f t="shared" si="2"/>
        <v>0.87999999999999989</v>
      </c>
    </row>
    <row r="2461" spans="1:3" x14ac:dyDescent="0.25">
      <c r="A2461" t="s">
        <v>53</v>
      </c>
      <c r="B2461">
        <v>8</v>
      </c>
      <c r="C2461">
        <f t="shared" si="2"/>
        <v>3.71</v>
      </c>
    </row>
    <row r="2462" spans="1:3" x14ac:dyDescent="0.25">
      <c r="A2462" t="s">
        <v>54</v>
      </c>
      <c r="B2462">
        <v>8.0399999999999991</v>
      </c>
      <c r="C2462">
        <f t="shared" si="2"/>
        <v>3.7499999999999991</v>
      </c>
    </row>
    <row r="2463" spans="1:3" x14ac:dyDescent="0.25">
      <c r="A2463" t="s">
        <v>55</v>
      </c>
      <c r="B2463">
        <v>10.38</v>
      </c>
      <c r="C2463">
        <f t="shared" si="2"/>
        <v>6.0900000000000007</v>
      </c>
    </row>
    <row r="2464" spans="1:3" x14ac:dyDescent="0.25">
      <c r="A2464" t="s">
        <v>56</v>
      </c>
      <c r="B2464">
        <v>4.8899999999999997</v>
      </c>
      <c r="C2464">
        <f t="shared" si="2"/>
        <v>0.59999999999999964</v>
      </c>
    </row>
    <row r="2465" spans="1:3" x14ac:dyDescent="0.25">
      <c r="A2465" t="s">
        <v>57</v>
      </c>
      <c r="B2465">
        <v>4.26</v>
      </c>
      <c r="C2465" t="str">
        <f t="shared" si="2"/>
        <v>N/A</v>
      </c>
    </row>
    <row r="2466" spans="1:3" x14ac:dyDescent="0.25">
      <c r="A2466" t="s">
        <v>58</v>
      </c>
      <c r="B2466">
        <v>10.220000000000001</v>
      </c>
      <c r="C2466">
        <f t="shared" si="2"/>
        <v>5.9300000000000006</v>
      </c>
    </row>
    <row r="2467" spans="1:3" x14ac:dyDescent="0.25">
      <c r="A2467" t="s">
        <v>59</v>
      </c>
      <c r="B2467">
        <v>5.84</v>
      </c>
      <c r="C2467">
        <f t="shared" si="2"/>
        <v>1.5499999999999998</v>
      </c>
    </row>
    <row r="2468" spans="1:3" x14ac:dyDescent="0.25">
      <c r="A2468" t="s">
        <v>60</v>
      </c>
      <c r="B2468">
        <v>8.19</v>
      </c>
      <c r="C2468">
        <f t="shared" si="2"/>
        <v>3.8999999999999995</v>
      </c>
    </row>
    <row r="2469" spans="1:3" x14ac:dyDescent="0.25">
      <c r="A2469" t="s">
        <v>61</v>
      </c>
      <c r="B2469">
        <v>9.25</v>
      </c>
      <c r="C2469">
        <f t="shared" si="2"/>
        <v>4.96</v>
      </c>
    </row>
    <row r="2470" spans="1:3" x14ac:dyDescent="0.25">
      <c r="A2470" t="s">
        <v>62</v>
      </c>
      <c r="B2470">
        <v>8.09</v>
      </c>
      <c r="C2470">
        <f t="shared" si="2"/>
        <v>3.8</v>
      </c>
    </row>
    <row r="2471" spans="1:3" x14ac:dyDescent="0.25">
      <c r="A2471" t="s">
        <v>63</v>
      </c>
      <c r="B2471">
        <v>11.15</v>
      </c>
      <c r="C2471">
        <f t="shared" si="2"/>
        <v>6.86</v>
      </c>
    </row>
    <row r="2472" spans="1:3" x14ac:dyDescent="0.25">
      <c r="A2472" t="s">
        <v>64</v>
      </c>
      <c r="B2472">
        <v>11.71</v>
      </c>
      <c r="C2472">
        <f t="shared" si="2"/>
        <v>7.4200000000000008</v>
      </c>
    </row>
    <row r="2473" spans="1:3" x14ac:dyDescent="0.25">
      <c r="A2473" t="s">
        <v>65</v>
      </c>
      <c r="B2473">
        <v>8.2799999999999994</v>
      </c>
      <c r="C2473">
        <f t="shared" si="2"/>
        <v>3.9899999999999993</v>
      </c>
    </row>
    <row r="2474" spans="1:3" x14ac:dyDescent="0.25">
      <c r="A2474" t="s">
        <v>66</v>
      </c>
      <c r="B2474">
        <v>9.24</v>
      </c>
      <c r="C2474">
        <f t="shared" si="2"/>
        <v>4.95</v>
      </c>
    </row>
    <row r="2475" spans="1:3" x14ac:dyDescent="0.25">
      <c r="A2475" t="s">
        <v>67</v>
      </c>
      <c r="B2475">
        <v>13.63</v>
      </c>
      <c r="C2475">
        <f t="shared" si="2"/>
        <v>9.34</v>
      </c>
    </row>
    <row r="2476" spans="1:3" x14ac:dyDescent="0.25">
      <c r="A2476" t="s">
        <v>68</v>
      </c>
      <c r="B2476">
        <v>6.62</v>
      </c>
      <c r="C2476">
        <f t="shared" si="2"/>
        <v>2.33</v>
      </c>
    </row>
    <row r="2477" spans="1:3" x14ac:dyDescent="0.25">
      <c r="A2477" t="s">
        <v>69</v>
      </c>
      <c r="B2477">
        <v>16.22</v>
      </c>
      <c r="C2477">
        <f t="shared" si="2"/>
        <v>11.93</v>
      </c>
    </row>
    <row r="2478" spans="1:3" x14ac:dyDescent="0.25">
      <c r="A2478" t="s">
        <v>70</v>
      </c>
      <c r="B2478">
        <v>8.85</v>
      </c>
      <c r="C2478">
        <f t="shared" si="2"/>
        <v>4.5599999999999996</v>
      </c>
    </row>
    <row r="2479" spans="1:3" x14ac:dyDescent="0.25">
      <c r="A2479" t="s">
        <v>71</v>
      </c>
      <c r="B2479">
        <v>8.4499999999999993</v>
      </c>
      <c r="C2479">
        <f t="shared" si="2"/>
        <v>4.1599999999999993</v>
      </c>
    </row>
    <row r="2480" spans="1:3" x14ac:dyDescent="0.25">
      <c r="A2480" t="s">
        <v>72</v>
      </c>
      <c r="B2480">
        <v>8.52</v>
      </c>
      <c r="C2480">
        <f t="shared" ref="C2480:C2489" si="3">IF(OR(B2480&lt;$B$2414,B2480&lt;=$B$2414*1.1),"N/A",B2480-$B$2414)</f>
        <v>4.2299999999999995</v>
      </c>
    </row>
    <row r="2481" spans="1:3" x14ac:dyDescent="0.25">
      <c r="A2481" t="s">
        <v>73</v>
      </c>
      <c r="B2481">
        <v>5.98</v>
      </c>
      <c r="C2481">
        <f t="shared" si="3"/>
        <v>1.6900000000000004</v>
      </c>
    </row>
    <row r="2482" spans="1:3" x14ac:dyDescent="0.25">
      <c r="A2482" t="s">
        <v>74</v>
      </c>
      <c r="B2482">
        <v>8.25</v>
      </c>
      <c r="C2482">
        <f t="shared" si="3"/>
        <v>3.96</v>
      </c>
    </row>
    <row r="2483" spans="1:3" x14ac:dyDescent="0.25">
      <c r="A2483" t="s">
        <v>75</v>
      </c>
      <c r="B2483">
        <v>10.09</v>
      </c>
      <c r="C2483">
        <f t="shared" si="3"/>
        <v>5.8</v>
      </c>
    </row>
    <row r="2484" spans="1:3" x14ac:dyDescent="0.25">
      <c r="A2484" t="s">
        <v>76</v>
      </c>
      <c r="B2484">
        <v>11.68</v>
      </c>
      <c r="C2484">
        <f t="shared" si="3"/>
        <v>7.39</v>
      </c>
    </row>
    <row r="2485" spans="1:3" x14ac:dyDescent="0.25">
      <c r="A2485" t="s">
        <v>77</v>
      </c>
      <c r="B2485">
        <v>8.5399999999999991</v>
      </c>
      <c r="C2485">
        <f t="shared" si="3"/>
        <v>4.2499999999999991</v>
      </c>
    </row>
    <row r="2486" spans="1:3" x14ac:dyDescent="0.25">
      <c r="A2486" t="s">
        <v>78</v>
      </c>
      <c r="B2486">
        <v>4.7</v>
      </c>
      <c r="C2486" t="str">
        <f t="shared" si="3"/>
        <v>N/A</v>
      </c>
    </row>
    <row r="2487" spans="1:3" x14ac:dyDescent="0.25">
      <c r="A2487" t="s">
        <v>79</v>
      </c>
      <c r="B2487">
        <v>4.58</v>
      </c>
      <c r="C2487" t="str">
        <f t="shared" si="3"/>
        <v>N/A</v>
      </c>
    </row>
    <row r="2488" spans="1:3" x14ac:dyDescent="0.25">
      <c r="A2488" t="s">
        <v>80</v>
      </c>
      <c r="B2488">
        <v>5.98</v>
      </c>
      <c r="C2488">
        <f t="shared" si="3"/>
        <v>1.6900000000000004</v>
      </c>
    </row>
    <row r="2489" spans="1:3" x14ac:dyDescent="0.25">
      <c r="A2489" t="s">
        <v>81</v>
      </c>
      <c r="B2489">
        <v>6.77</v>
      </c>
      <c r="C2489">
        <f t="shared" si="3"/>
        <v>2.4799999999999995</v>
      </c>
    </row>
    <row r="2492" spans="1:3" x14ac:dyDescent="0.25">
      <c r="A2492" t="s">
        <v>0</v>
      </c>
      <c r="B2492" t="s">
        <v>105</v>
      </c>
    </row>
    <row r="2494" spans="1:3" s="1" customFormat="1" x14ac:dyDescent="0.25">
      <c r="A2494" s="1" t="s">
        <v>2</v>
      </c>
      <c r="B2494" s="1" t="s">
        <v>157</v>
      </c>
    </row>
    <row r="2495" spans="1:3" x14ac:dyDescent="0.25">
      <c r="A2495" t="s">
        <v>3</v>
      </c>
      <c r="B2495" t="s">
        <v>4</v>
      </c>
    </row>
    <row r="2496" spans="1:3" x14ac:dyDescent="0.25">
      <c r="A2496" t="s">
        <v>5</v>
      </c>
      <c r="B2496" t="s">
        <v>4</v>
      </c>
    </row>
    <row r="2497" spans="1:3" x14ac:dyDescent="0.25">
      <c r="A2497" t="s">
        <v>6</v>
      </c>
      <c r="B2497">
        <v>0.72</v>
      </c>
    </row>
    <row r="2498" spans="1:3" x14ac:dyDescent="0.25">
      <c r="A2498" t="s">
        <v>7</v>
      </c>
      <c r="B2498">
        <v>5.96</v>
      </c>
      <c r="C2498">
        <f>IF(OR(B2498&lt;$B$2497,B2498&lt;=$B$2497*1.1),"N/A",B2498-$B$2497)</f>
        <v>5.24</v>
      </c>
    </row>
    <row r="2499" spans="1:3" x14ac:dyDescent="0.25">
      <c r="A2499" t="s">
        <v>8</v>
      </c>
      <c r="B2499">
        <v>1774.66</v>
      </c>
      <c r="C2499">
        <f t="shared" ref="C2499:C2562" si="4">IF(OR(B2499&lt;$B$2497,B2499&lt;=$B$2497*1.1),"N/A",B2499-$B$2497)</f>
        <v>1773.94</v>
      </c>
    </row>
    <row r="2500" spans="1:3" x14ac:dyDescent="0.25">
      <c r="A2500" t="s">
        <v>9</v>
      </c>
      <c r="B2500">
        <v>103.79</v>
      </c>
      <c r="C2500">
        <f t="shared" si="4"/>
        <v>103.07000000000001</v>
      </c>
    </row>
    <row r="2501" spans="1:3" x14ac:dyDescent="0.25">
      <c r="A2501" t="s">
        <v>10</v>
      </c>
      <c r="B2501">
        <v>1.65</v>
      </c>
      <c r="C2501">
        <f t="shared" si="4"/>
        <v>0.92999999999999994</v>
      </c>
    </row>
    <row r="2502" spans="1:3" x14ac:dyDescent="0.25">
      <c r="A2502" t="s">
        <v>11</v>
      </c>
      <c r="B2502">
        <v>2.58</v>
      </c>
      <c r="C2502">
        <f t="shared" si="4"/>
        <v>1.86</v>
      </c>
    </row>
    <row r="2503" spans="1:3" x14ac:dyDescent="0.25">
      <c r="A2503" t="s">
        <v>12</v>
      </c>
      <c r="B2503">
        <v>2.2599999999999998</v>
      </c>
      <c r="C2503">
        <f t="shared" si="4"/>
        <v>1.5399999999999998</v>
      </c>
    </row>
    <row r="2504" spans="1:3" x14ac:dyDescent="0.25">
      <c r="A2504" t="s">
        <v>13</v>
      </c>
      <c r="B2504">
        <v>2.09</v>
      </c>
      <c r="C2504">
        <f t="shared" si="4"/>
        <v>1.3699999999999999</v>
      </c>
    </row>
    <row r="2505" spans="1:3" x14ac:dyDescent="0.25">
      <c r="A2505" t="s">
        <v>14</v>
      </c>
      <c r="B2505">
        <v>6.98</v>
      </c>
      <c r="C2505">
        <f t="shared" si="4"/>
        <v>6.2600000000000007</v>
      </c>
    </row>
    <row r="2506" spans="1:3" x14ac:dyDescent="0.25">
      <c r="A2506" t="s">
        <v>15</v>
      </c>
      <c r="B2506">
        <v>7.81</v>
      </c>
      <c r="C2506">
        <f t="shared" si="4"/>
        <v>7.09</v>
      </c>
    </row>
    <row r="2507" spans="1:3" x14ac:dyDescent="0.25">
      <c r="A2507" t="s">
        <v>16</v>
      </c>
      <c r="B2507">
        <v>4.7300000000000004</v>
      </c>
      <c r="C2507">
        <f t="shared" si="4"/>
        <v>4.0100000000000007</v>
      </c>
    </row>
    <row r="2508" spans="1:3" x14ac:dyDescent="0.25">
      <c r="A2508" t="s">
        <v>17</v>
      </c>
      <c r="B2508">
        <v>6032.91</v>
      </c>
      <c r="C2508">
        <f t="shared" si="4"/>
        <v>6032.19</v>
      </c>
    </row>
    <row r="2509" spans="1:3" x14ac:dyDescent="0.25">
      <c r="A2509" t="s">
        <v>18</v>
      </c>
      <c r="B2509">
        <v>2.84</v>
      </c>
      <c r="C2509">
        <f t="shared" si="4"/>
        <v>2.12</v>
      </c>
    </row>
    <row r="2510" spans="1:3" x14ac:dyDescent="0.25">
      <c r="A2510" t="s">
        <v>19</v>
      </c>
      <c r="B2510">
        <v>1.29</v>
      </c>
      <c r="C2510">
        <f t="shared" si="4"/>
        <v>0.57000000000000006</v>
      </c>
    </row>
    <row r="2511" spans="1:3" x14ac:dyDescent="0.25">
      <c r="A2511" t="s">
        <v>20</v>
      </c>
      <c r="B2511">
        <v>1.1000000000000001</v>
      </c>
      <c r="C2511">
        <f t="shared" si="4"/>
        <v>0.38000000000000012</v>
      </c>
    </row>
    <row r="2512" spans="1:3" x14ac:dyDescent="0.25">
      <c r="A2512" t="s">
        <v>21</v>
      </c>
      <c r="B2512">
        <v>1.58</v>
      </c>
      <c r="C2512">
        <f t="shared" si="4"/>
        <v>0.8600000000000001</v>
      </c>
    </row>
    <row r="2513" spans="1:3" x14ac:dyDescent="0.25">
      <c r="A2513" t="s">
        <v>22</v>
      </c>
      <c r="B2513">
        <v>2.95</v>
      </c>
      <c r="C2513">
        <f t="shared" si="4"/>
        <v>2.2300000000000004</v>
      </c>
    </row>
    <row r="2514" spans="1:3" x14ac:dyDescent="0.25">
      <c r="A2514" t="s">
        <v>23</v>
      </c>
      <c r="B2514">
        <v>2.46</v>
      </c>
      <c r="C2514">
        <f t="shared" si="4"/>
        <v>1.74</v>
      </c>
    </row>
    <row r="2515" spans="1:3" x14ac:dyDescent="0.25">
      <c r="A2515" t="s">
        <v>24</v>
      </c>
      <c r="B2515">
        <v>2.71</v>
      </c>
      <c r="C2515">
        <f t="shared" si="4"/>
        <v>1.99</v>
      </c>
    </row>
    <row r="2516" spans="1:3" x14ac:dyDescent="0.25">
      <c r="A2516" t="s">
        <v>25</v>
      </c>
      <c r="B2516">
        <v>1.63</v>
      </c>
      <c r="C2516">
        <f t="shared" si="4"/>
        <v>0.90999999999999992</v>
      </c>
    </row>
    <row r="2517" spans="1:3" x14ac:dyDescent="0.25">
      <c r="A2517" t="s">
        <v>26</v>
      </c>
      <c r="B2517">
        <v>2.27</v>
      </c>
      <c r="C2517">
        <f t="shared" si="4"/>
        <v>1.55</v>
      </c>
    </row>
    <row r="2518" spans="1:3" x14ac:dyDescent="0.25">
      <c r="A2518" t="s">
        <v>27</v>
      </c>
      <c r="B2518">
        <v>2.2200000000000002</v>
      </c>
      <c r="C2518">
        <f t="shared" si="4"/>
        <v>1.5000000000000002</v>
      </c>
    </row>
    <row r="2519" spans="1:3" x14ac:dyDescent="0.25">
      <c r="A2519" t="s">
        <v>28</v>
      </c>
      <c r="B2519">
        <v>2.0299999999999998</v>
      </c>
      <c r="C2519">
        <f t="shared" si="4"/>
        <v>1.3099999999999998</v>
      </c>
    </row>
    <row r="2520" spans="1:3" x14ac:dyDescent="0.25">
      <c r="A2520" t="s">
        <v>29</v>
      </c>
      <c r="B2520">
        <v>907.76</v>
      </c>
      <c r="C2520">
        <f t="shared" si="4"/>
        <v>907.04</v>
      </c>
    </row>
    <row r="2521" spans="1:3" x14ac:dyDescent="0.25">
      <c r="A2521" t="s">
        <v>30</v>
      </c>
      <c r="B2521">
        <v>55.77</v>
      </c>
      <c r="C2521">
        <f t="shared" si="4"/>
        <v>55.050000000000004</v>
      </c>
    </row>
    <row r="2522" spans="1:3" x14ac:dyDescent="0.25">
      <c r="A2522" t="s">
        <v>31</v>
      </c>
      <c r="B2522">
        <v>139.1</v>
      </c>
      <c r="C2522">
        <f t="shared" si="4"/>
        <v>138.38</v>
      </c>
    </row>
    <row r="2523" spans="1:3" x14ac:dyDescent="0.25">
      <c r="A2523" t="s">
        <v>32</v>
      </c>
      <c r="B2523">
        <v>1.39</v>
      </c>
      <c r="C2523">
        <f t="shared" si="4"/>
        <v>0.66999999999999993</v>
      </c>
    </row>
    <row r="2524" spans="1:3" x14ac:dyDescent="0.25">
      <c r="A2524" t="s">
        <v>33</v>
      </c>
      <c r="B2524">
        <v>0.66</v>
      </c>
      <c r="C2524" t="str">
        <f t="shared" si="4"/>
        <v>N/A</v>
      </c>
    </row>
    <row r="2525" spans="1:3" x14ac:dyDescent="0.25">
      <c r="A2525" t="s">
        <v>34</v>
      </c>
      <c r="B2525">
        <v>0.65</v>
      </c>
      <c r="C2525" t="str">
        <f t="shared" si="4"/>
        <v>N/A</v>
      </c>
    </row>
    <row r="2526" spans="1:3" x14ac:dyDescent="0.25">
      <c r="A2526" t="s">
        <v>35</v>
      </c>
      <c r="B2526">
        <v>0.66</v>
      </c>
      <c r="C2526" t="str">
        <f t="shared" si="4"/>
        <v>N/A</v>
      </c>
    </row>
    <row r="2527" spans="1:3" x14ac:dyDescent="0.25">
      <c r="A2527" t="s">
        <v>36</v>
      </c>
      <c r="B2527">
        <v>0.44</v>
      </c>
      <c r="C2527" t="str">
        <f t="shared" si="4"/>
        <v>N/A</v>
      </c>
    </row>
    <row r="2528" spans="1:3" x14ac:dyDescent="0.25">
      <c r="A2528" t="s">
        <v>37</v>
      </c>
      <c r="B2528">
        <v>1.35</v>
      </c>
      <c r="C2528">
        <f t="shared" si="4"/>
        <v>0.63000000000000012</v>
      </c>
    </row>
    <row r="2529" spans="1:3" x14ac:dyDescent="0.25">
      <c r="A2529" t="s">
        <v>38</v>
      </c>
      <c r="B2529">
        <v>1.37</v>
      </c>
      <c r="C2529">
        <f t="shared" si="4"/>
        <v>0.65000000000000013</v>
      </c>
    </row>
    <row r="2530" spans="1:3" x14ac:dyDescent="0.25">
      <c r="A2530" t="s">
        <v>39</v>
      </c>
      <c r="B2530">
        <v>0.96</v>
      </c>
      <c r="C2530">
        <f t="shared" si="4"/>
        <v>0.24</v>
      </c>
    </row>
    <row r="2531" spans="1:3" x14ac:dyDescent="0.25">
      <c r="A2531" t="s">
        <v>40</v>
      </c>
      <c r="B2531">
        <v>1.37</v>
      </c>
      <c r="C2531">
        <f t="shared" si="4"/>
        <v>0.65000000000000013</v>
      </c>
    </row>
    <row r="2532" spans="1:3" x14ac:dyDescent="0.25">
      <c r="A2532" t="s">
        <v>41</v>
      </c>
      <c r="B2532">
        <v>1.34</v>
      </c>
      <c r="C2532">
        <f t="shared" si="4"/>
        <v>0.62000000000000011</v>
      </c>
    </row>
    <row r="2533" spans="1:3" x14ac:dyDescent="0.25">
      <c r="A2533" t="s">
        <v>42</v>
      </c>
      <c r="B2533">
        <v>1.28</v>
      </c>
      <c r="C2533">
        <f t="shared" si="4"/>
        <v>0.56000000000000005</v>
      </c>
    </row>
    <row r="2534" spans="1:3" x14ac:dyDescent="0.25">
      <c r="A2534" t="s">
        <v>43</v>
      </c>
      <c r="B2534">
        <v>0.85</v>
      </c>
      <c r="C2534">
        <f t="shared" si="4"/>
        <v>0.13</v>
      </c>
    </row>
    <row r="2535" spans="1:3" x14ac:dyDescent="0.25">
      <c r="A2535" t="s">
        <v>44</v>
      </c>
      <c r="B2535">
        <v>0.78</v>
      </c>
      <c r="C2535" t="str">
        <f t="shared" si="4"/>
        <v>N/A</v>
      </c>
    </row>
    <row r="2536" spans="1:3" x14ac:dyDescent="0.25">
      <c r="A2536" t="s">
        <v>45</v>
      </c>
      <c r="B2536">
        <v>1.36</v>
      </c>
      <c r="C2536">
        <f t="shared" si="4"/>
        <v>0.64000000000000012</v>
      </c>
    </row>
    <row r="2537" spans="1:3" x14ac:dyDescent="0.25">
      <c r="A2537" t="s">
        <v>46</v>
      </c>
      <c r="B2537">
        <v>0.69</v>
      </c>
      <c r="C2537" t="str">
        <f t="shared" si="4"/>
        <v>N/A</v>
      </c>
    </row>
    <row r="2538" spans="1:3" x14ac:dyDescent="0.25">
      <c r="A2538" t="s">
        <v>47</v>
      </c>
      <c r="B2538">
        <v>0.75</v>
      </c>
      <c r="C2538" t="str">
        <f t="shared" si="4"/>
        <v>N/A</v>
      </c>
    </row>
    <row r="2539" spans="1:3" x14ac:dyDescent="0.25">
      <c r="A2539" t="s">
        <v>48</v>
      </c>
      <c r="B2539">
        <v>0.61</v>
      </c>
      <c r="C2539" t="str">
        <f t="shared" si="4"/>
        <v>N/A</v>
      </c>
    </row>
    <row r="2540" spans="1:3" x14ac:dyDescent="0.25">
      <c r="A2540" t="s">
        <v>49</v>
      </c>
      <c r="B2540">
        <v>1.1200000000000001</v>
      </c>
      <c r="C2540">
        <f t="shared" si="4"/>
        <v>0.40000000000000013</v>
      </c>
    </row>
    <row r="2541" spans="1:3" x14ac:dyDescent="0.25">
      <c r="A2541" t="s">
        <v>50</v>
      </c>
      <c r="B2541">
        <v>0.56999999999999995</v>
      </c>
      <c r="C2541" t="str">
        <f t="shared" si="4"/>
        <v>N/A</v>
      </c>
    </row>
    <row r="2542" spans="1:3" x14ac:dyDescent="0.25">
      <c r="A2542" t="s">
        <v>51</v>
      </c>
      <c r="B2542">
        <v>0.99</v>
      </c>
      <c r="C2542">
        <f t="shared" si="4"/>
        <v>0.27</v>
      </c>
    </row>
    <row r="2543" spans="1:3" x14ac:dyDescent="0.25">
      <c r="A2543" t="s">
        <v>52</v>
      </c>
      <c r="B2543">
        <v>0.52</v>
      </c>
      <c r="C2543" t="str">
        <f t="shared" si="4"/>
        <v>N/A</v>
      </c>
    </row>
    <row r="2544" spans="1:3" x14ac:dyDescent="0.25">
      <c r="A2544" t="s">
        <v>53</v>
      </c>
      <c r="B2544">
        <v>29.94</v>
      </c>
      <c r="C2544">
        <f t="shared" si="4"/>
        <v>29.220000000000002</v>
      </c>
    </row>
    <row r="2545" spans="1:3" x14ac:dyDescent="0.25">
      <c r="A2545" t="s">
        <v>54</v>
      </c>
      <c r="B2545">
        <v>9.9499999999999993</v>
      </c>
      <c r="C2545">
        <f t="shared" si="4"/>
        <v>9.2299999999999986</v>
      </c>
    </row>
    <row r="2546" spans="1:3" x14ac:dyDescent="0.25">
      <c r="A2546" t="s">
        <v>55</v>
      </c>
      <c r="B2546">
        <v>6.43</v>
      </c>
      <c r="C2546">
        <f t="shared" si="4"/>
        <v>5.71</v>
      </c>
    </row>
    <row r="2547" spans="1:3" x14ac:dyDescent="0.25">
      <c r="A2547" t="s">
        <v>56</v>
      </c>
      <c r="B2547">
        <v>0.51</v>
      </c>
      <c r="C2547" t="str">
        <f t="shared" si="4"/>
        <v>N/A</v>
      </c>
    </row>
    <row r="2548" spans="1:3" x14ac:dyDescent="0.25">
      <c r="A2548" t="s">
        <v>57</v>
      </c>
      <c r="B2548">
        <v>0.69</v>
      </c>
      <c r="C2548" t="str">
        <f t="shared" si="4"/>
        <v>N/A</v>
      </c>
    </row>
    <row r="2549" spans="1:3" x14ac:dyDescent="0.25">
      <c r="A2549" t="s">
        <v>58</v>
      </c>
      <c r="B2549">
        <v>3.43</v>
      </c>
      <c r="C2549">
        <f t="shared" si="4"/>
        <v>2.71</v>
      </c>
    </row>
    <row r="2550" spans="1:3" x14ac:dyDescent="0.25">
      <c r="A2550" t="s">
        <v>59</v>
      </c>
      <c r="B2550">
        <v>216.57</v>
      </c>
      <c r="C2550">
        <f t="shared" si="4"/>
        <v>215.85</v>
      </c>
    </row>
    <row r="2551" spans="1:3" x14ac:dyDescent="0.25">
      <c r="A2551" t="s">
        <v>60</v>
      </c>
      <c r="B2551">
        <v>39.909999999999997</v>
      </c>
      <c r="C2551">
        <f t="shared" si="4"/>
        <v>39.19</v>
      </c>
    </row>
    <row r="2552" spans="1:3" x14ac:dyDescent="0.25">
      <c r="A2552" t="s">
        <v>61</v>
      </c>
      <c r="B2552">
        <v>41.85</v>
      </c>
      <c r="C2552">
        <f t="shared" si="4"/>
        <v>41.13</v>
      </c>
    </row>
    <row r="2553" spans="1:3" x14ac:dyDescent="0.25">
      <c r="A2553" t="s">
        <v>62</v>
      </c>
      <c r="B2553">
        <v>52.33</v>
      </c>
      <c r="C2553">
        <f t="shared" si="4"/>
        <v>51.61</v>
      </c>
    </row>
    <row r="2554" spans="1:3" x14ac:dyDescent="0.25">
      <c r="A2554" t="s">
        <v>63</v>
      </c>
      <c r="B2554">
        <v>52.91</v>
      </c>
      <c r="C2554">
        <f t="shared" si="4"/>
        <v>52.19</v>
      </c>
    </row>
    <row r="2555" spans="1:3" x14ac:dyDescent="0.25">
      <c r="A2555" t="s">
        <v>64</v>
      </c>
      <c r="B2555">
        <v>36.17</v>
      </c>
      <c r="C2555">
        <f t="shared" si="4"/>
        <v>35.450000000000003</v>
      </c>
    </row>
    <row r="2556" spans="1:3" x14ac:dyDescent="0.25">
      <c r="A2556" t="s">
        <v>65</v>
      </c>
      <c r="B2556">
        <v>6.16</v>
      </c>
      <c r="C2556">
        <f t="shared" si="4"/>
        <v>5.44</v>
      </c>
    </row>
    <row r="2557" spans="1:3" x14ac:dyDescent="0.25">
      <c r="A2557" t="s">
        <v>66</v>
      </c>
      <c r="B2557">
        <v>1.55</v>
      </c>
      <c r="C2557">
        <f t="shared" si="4"/>
        <v>0.83000000000000007</v>
      </c>
    </row>
    <row r="2558" spans="1:3" x14ac:dyDescent="0.25">
      <c r="A2558" t="s">
        <v>67</v>
      </c>
      <c r="B2558">
        <v>2889.55</v>
      </c>
      <c r="C2558">
        <f t="shared" si="4"/>
        <v>2888.8300000000004</v>
      </c>
    </row>
    <row r="2559" spans="1:3" x14ac:dyDescent="0.25">
      <c r="A2559" t="s">
        <v>68</v>
      </c>
      <c r="B2559">
        <v>2.67</v>
      </c>
      <c r="C2559">
        <f t="shared" si="4"/>
        <v>1.95</v>
      </c>
    </row>
    <row r="2560" spans="1:3" x14ac:dyDescent="0.25">
      <c r="A2560" t="s">
        <v>69</v>
      </c>
      <c r="B2560">
        <v>6586.56</v>
      </c>
      <c r="C2560">
        <f t="shared" si="4"/>
        <v>6585.84</v>
      </c>
    </row>
    <row r="2561" spans="1:3" x14ac:dyDescent="0.25">
      <c r="A2561" t="s">
        <v>70</v>
      </c>
      <c r="B2561">
        <v>12.76</v>
      </c>
      <c r="C2561">
        <f t="shared" si="4"/>
        <v>12.04</v>
      </c>
    </row>
    <row r="2562" spans="1:3" x14ac:dyDescent="0.25">
      <c r="A2562" t="s">
        <v>71</v>
      </c>
      <c r="B2562">
        <v>45.81</v>
      </c>
      <c r="C2562">
        <f t="shared" si="4"/>
        <v>45.09</v>
      </c>
    </row>
    <row r="2563" spans="1:3" x14ac:dyDescent="0.25">
      <c r="A2563" t="s">
        <v>72</v>
      </c>
      <c r="B2563">
        <v>27.8</v>
      </c>
      <c r="C2563">
        <f t="shared" ref="C2563:C2572" si="5">IF(OR(B2563&lt;$B$2497,B2563&lt;=$B$2497*1.1),"N/A",B2563-$B$2497)</f>
        <v>27.080000000000002</v>
      </c>
    </row>
    <row r="2564" spans="1:3" x14ac:dyDescent="0.25">
      <c r="A2564" t="s">
        <v>73</v>
      </c>
      <c r="B2564">
        <v>1.34</v>
      </c>
      <c r="C2564">
        <f t="shared" si="5"/>
        <v>0.62000000000000011</v>
      </c>
    </row>
    <row r="2565" spans="1:3" x14ac:dyDescent="0.25">
      <c r="A2565" t="s">
        <v>74</v>
      </c>
      <c r="B2565">
        <v>90.09</v>
      </c>
      <c r="C2565">
        <f t="shared" si="5"/>
        <v>89.37</v>
      </c>
    </row>
    <row r="2566" spans="1:3" x14ac:dyDescent="0.25">
      <c r="A2566" t="s">
        <v>75</v>
      </c>
      <c r="B2566">
        <v>12.64</v>
      </c>
      <c r="C2566">
        <f t="shared" si="5"/>
        <v>11.92</v>
      </c>
    </row>
    <row r="2567" spans="1:3" x14ac:dyDescent="0.25">
      <c r="A2567" t="s">
        <v>76</v>
      </c>
      <c r="B2567">
        <v>16.12</v>
      </c>
      <c r="C2567">
        <f t="shared" si="5"/>
        <v>15.4</v>
      </c>
    </row>
    <row r="2568" spans="1:3" x14ac:dyDescent="0.25">
      <c r="A2568" t="s">
        <v>77</v>
      </c>
      <c r="B2568">
        <v>21.74</v>
      </c>
      <c r="C2568">
        <f t="shared" si="5"/>
        <v>21.02</v>
      </c>
    </row>
    <row r="2569" spans="1:3" x14ac:dyDescent="0.25">
      <c r="A2569" t="s">
        <v>78</v>
      </c>
      <c r="B2569">
        <v>0.62</v>
      </c>
      <c r="C2569" t="str">
        <f t="shared" si="5"/>
        <v>N/A</v>
      </c>
    </row>
    <row r="2570" spans="1:3" x14ac:dyDescent="0.25">
      <c r="A2570" t="s">
        <v>79</v>
      </c>
      <c r="B2570">
        <v>0.75</v>
      </c>
      <c r="C2570" t="str">
        <f t="shared" si="5"/>
        <v>N/A</v>
      </c>
    </row>
    <row r="2571" spans="1:3" x14ac:dyDescent="0.25">
      <c r="A2571" t="s">
        <v>80</v>
      </c>
      <c r="B2571">
        <v>0.89</v>
      </c>
      <c r="C2571">
        <f t="shared" si="5"/>
        <v>0.17000000000000004</v>
      </c>
    </row>
    <row r="2572" spans="1:3" x14ac:dyDescent="0.25">
      <c r="A2572" t="s">
        <v>81</v>
      </c>
      <c r="B2572">
        <v>0.78</v>
      </c>
      <c r="C2572" t="str">
        <f t="shared" si="5"/>
        <v>N/A</v>
      </c>
    </row>
    <row r="2575" spans="1:3" x14ac:dyDescent="0.25">
      <c r="A2575" t="s">
        <v>0</v>
      </c>
      <c r="B2575" t="s">
        <v>106</v>
      </c>
    </row>
    <row r="2577" spans="1:2" s="1" customFormat="1" x14ac:dyDescent="0.25">
      <c r="A2577" s="1" t="s">
        <v>2</v>
      </c>
      <c r="B2577" s="1" t="s">
        <v>157</v>
      </c>
    </row>
    <row r="2578" spans="1:2" x14ac:dyDescent="0.25">
      <c r="A2578" t="s">
        <v>3</v>
      </c>
      <c r="B2578" t="s">
        <v>4</v>
      </c>
    </row>
    <row r="2579" spans="1:2" x14ac:dyDescent="0.25">
      <c r="A2579" t="s">
        <v>5</v>
      </c>
      <c r="B2579" t="s">
        <v>4</v>
      </c>
    </row>
    <row r="2580" spans="1:2" x14ac:dyDescent="0.25">
      <c r="A2580" t="s">
        <v>6</v>
      </c>
      <c r="B2580" t="s">
        <v>4</v>
      </c>
    </row>
    <row r="2581" spans="1:2" x14ac:dyDescent="0.25">
      <c r="A2581" t="s">
        <v>7</v>
      </c>
      <c r="B2581" t="s">
        <v>4</v>
      </c>
    </row>
    <row r="2582" spans="1:2" x14ac:dyDescent="0.25">
      <c r="A2582" t="s">
        <v>8</v>
      </c>
      <c r="B2582" t="s">
        <v>4</v>
      </c>
    </row>
    <row r="2583" spans="1:2" x14ac:dyDescent="0.25">
      <c r="A2583" t="s">
        <v>9</v>
      </c>
      <c r="B2583" t="s">
        <v>4</v>
      </c>
    </row>
    <row r="2584" spans="1:2" x14ac:dyDescent="0.25">
      <c r="A2584" t="s">
        <v>10</v>
      </c>
      <c r="B2584" t="s">
        <v>4</v>
      </c>
    </row>
    <row r="2585" spans="1:2" x14ac:dyDescent="0.25">
      <c r="A2585" t="s">
        <v>11</v>
      </c>
      <c r="B2585" t="s">
        <v>4</v>
      </c>
    </row>
    <row r="2586" spans="1:2" x14ac:dyDescent="0.25">
      <c r="A2586" t="s">
        <v>12</v>
      </c>
      <c r="B2586" t="s">
        <v>4</v>
      </c>
    </row>
    <row r="2587" spans="1:2" x14ac:dyDescent="0.25">
      <c r="A2587" t="s">
        <v>13</v>
      </c>
      <c r="B2587" t="s">
        <v>4</v>
      </c>
    </row>
    <row r="2588" spans="1:2" x14ac:dyDescent="0.25">
      <c r="A2588" t="s">
        <v>14</v>
      </c>
      <c r="B2588">
        <v>6.17</v>
      </c>
    </row>
    <row r="2589" spans="1:2" x14ac:dyDescent="0.25">
      <c r="A2589" t="s">
        <v>15</v>
      </c>
      <c r="B2589">
        <v>4.07</v>
      </c>
    </row>
    <row r="2590" spans="1:2" x14ac:dyDescent="0.25">
      <c r="A2590" t="s">
        <v>16</v>
      </c>
      <c r="B2590">
        <v>4.29</v>
      </c>
    </row>
    <row r="2591" spans="1:2" x14ac:dyDescent="0.25">
      <c r="A2591" t="s">
        <v>17</v>
      </c>
      <c r="B2591" t="s">
        <v>4</v>
      </c>
    </row>
    <row r="2592" spans="1:2" x14ac:dyDescent="0.25">
      <c r="A2592" t="s">
        <v>18</v>
      </c>
      <c r="B2592" t="s">
        <v>4</v>
      </c>
    </row>
    <row r="2593" spans="1:2" x14ac:dyDescent="0.25">
      <c r="A2593" t="s">
        <v>19</v>
      </c>
      <c r="B2593" t="s">
        <v>4</v>
      </c>
    </row>
    <row r="2594" spans="1:2" x14ac:dyDescent="0.25">
      <c r="A2594" t="s">
        <v>20</v>
      </c>
      <c r="B2594" t="s">
        <v>4</v>
      </c>
    </row>
    <row r="2595" spans="1:2" x14ac:dyDescent="0.25">
      <c r="A2595" t="s">
        <v>21</v>
      </c>
      <c r="B2595" t="s">
        <v>4</v>
      </c>
    </row>
    <row r="2596" spans="1:2" x14ac:dyDescent="0.25">
      <c r="A2596" t="s">
        <v>22</v>
      </c>
      <c r="B2596" t="s">
        <v>4</v>
      </c>
    </row>
    <row r="2597" spans="1:2" x14ac:dyDescent="0.25">
      <c r="A2597" t="s">
        <v>23</v>
      </c>
      <c r="B2597">
        <v>2.48</v>
      </c>
    </row>
    <row r="2598" spans="1:2" x14ac:dyDescent="0.25">
      <c r="A2598" t="s">
        <v>24</v>
      </c>
      <c r="B2598">
        <v>1.87</v>
      </c>
    </row>
    <row r="2599" spans="1:2" x14ac:dyDescent="0.25">
      <c r="A2599" t="s">
        <v>25</v>
      </c>
      <c r="B2599" t="s">
        <v>4</v>
      </c>
    </row>
    <row r="2600" spans="1:2" x14ac:dyDescent="0.25">
      <c r="A2600" t="s">
        <v>26</v>
      </c>
      <c r="B2600" t="s">
        <v>4</v>
      </c>
    </row>
    <row r="2601" spans="1:2" x14ac:dyDescent="0.25">
      <c r="A2601" t="s">
        <v>27</v>
      </c>
      <c r="B2601" t="s">
        <v>4</v>
      </c>
    </row>
    <row r="2602" spans="1:2" x14ac:dyDescent="0.25">
      <c r="A2602" t="s">
        <v>28</v>
      </c>
      <c r="B2602" t="s">
        <v>4</v>
      </c>
    </row>
    <row r="2603" spans="1:2" x14ac:dyDescent="0.25">
      <c r="A2603" t="s">
        <v>29</v>
      </c>
      <c r="B2603" t="s">
        <v>4</v>
      </c>
    </row>
    <row r="2604" spans="1:2" x14ac:dyDescent="0.25">
      <c r="A2604" t="s">
        <v>30</v>
      </c>
      <c r="B2604" t="s">
        <v>4</v>
      </c>
    </row>
    <row r="2605" spans="1:2" x14ac:dyDescent="0.25">
      <c r="A2605" t="s">
        <v>31</v>
      </c>
      <c r="B2605" t="s">
        <v>4</v>
      </c>
    </row>
    <row r="2606" spans="1:2" x14ac:dyDescent="0.25">
      <c r="A2606" t="s">
        <v>32</v>
      </c>
      <c r="B2606" t="s">
        <v>4</v>
      </c>
    </row>
    <row r="2607" spans="1:2" x14ac:dyDescent="0.25">
      <c r="A2607" t="s">
        <v>33</v>
      </c>
      <c r="B2607">
        <v>6.17</v>
      </c>
    </row>
    <row r="2608" spans="1:2" x14ac:dyDescent="0.25">
      <c r="A2608" t="s">
        <v>34</v>
      </c>
      <c r="B2608" t="s">
        <v>4</v>
      </c>
    </row>
    <row r="2609" spans="1:2" x14ac:dyDescent="0.25">
      <c r="A2609" t="s">
        <v>35</v>
      </c>
      <c r="B2609" t="s">
        <v>4</v>
      </c>
    </row>
    <row r="2610" spans="1:2" x14ac:dyDescent="0.25">
      <c r="A2610" t="s">
        <v>36</v>
      </c>
      <c r="B2610" t="s">
        <v>4</v>
      </c>
    </row>
    <row r="2611" spans="1:2" x14ac:dyDescent="0.25">
      <c r="A2611" t="s">
        <v>37</v>
      </c>
      <c r="B2611" t="s">
        <v>4</v>
      </c>
    </row>
    <row r="2612" spans="1:2" x14ac:dyDescent="0.25">
      <c r="A2612" t="s">
        <v>38</v>
      </c>
      <c r="B2612" t="s">
        <v>4</v>
      </c>
    </row>
    <row r="2613" spans="1:2" x14ac:dyDescent="0.25">
      <c r="A2613" t="s">
        <v>39</v>
      </c>
      <c r="B2613" t="s">
        <v>4</v>
      </c>
    </row>
    <row r="2614" spans="1:2" x14ac:dyDescent="0.25">
      <c r="A2614" t="s">
        <v>40</v>
      </c>
      <c r="B2614" t="s">
        <v>4</v>
      </c>
    </row>
    <row r="2615" spans="1:2" x14ac:dyDescent="0.25">
      <c r="A2615" t="s">
        <v>41</v>
      </c>
      <c r="B2615" t="s">
        <v>4</v>
      </c>
    </row>
    <row r="2616" spans="1:2" x14ac:dyDescent="0.25">
      <c r="A2616" t="s">
        <v>42</v>
      </c>
      <c r="B2616" t="s">
        <v>4</v>
      </c>
    </row>
    <row r="2617" spans="1:2" x14ac:dyDescent="0.25">
      <c r="A2617" t="s">
        <v>43</v>
      </c>
      <c r="B2617" t="s">
        <v>4</v>
      </c>
    </row>
    <row r="2618" spans="1:2" x14ac:dyDescent="0.25">
      <c r="A2618" t="s">
        <v>44</v>
      </c>
      <c r="B2618" t="s">
        <v>4</v>
      </c>
    </row>
    <row r="2619" spans="1:2" x14ac:dyDescent="0.25">
      <c r="A2619" t="s">
        <v>45</v>
      </c>
      <c r="B2619" t="s">
        <v>4</v>
      </c>
    </row>
    <row r="2620" spans="1:2" x14ac:dyDescent="0.25">
      <c r="A2620" t="s">
        <v>46</v>
      </c>
      <c r="B2620" t="s">
        <v>4</v>
      </c>
    </row>
    <row r="2621" spans="1:2" x14ac:dyDescent="0.25">
      <c r="A2621" t="s">
        <v>47</v>
      </c>
      <c r="B2621" t="s">
        <v>4</v>
      </c>
    </row>
    <row r="2622" spans="1:2" x14ac:dyDescent="0.25">
      <c r="A2622" t="s">
        <v>48</v>
      </c>
      <c r="B2622" t="s">
        <v>4</v>
      </c>
    </row>
    <row r="2623" spans="1:2" x14ac:dyDescent="0.25">
      <c r="A2623" t="s">
        <v>49</v>
      </c>
      <c r="B2623" t="s">
        <v>4</v>
      </c>
    </row>
    <row r="2624" spans="1:2" x14ac:dyDescent="0.25">
      <c r="A2624" t="s">
        <v>50</v>
      </c>
      <c r="B2624" t="s">
        <v>4</v>
      </c>
    </row>
    <row r="2625" spans="1:2" x14ac:dyDescent="0.25">
      <c r="A2625" t="s">
        <v>51</v>
      </c>
      <c r="B2625" t="s">
        <v>4</v>
      </c>
    </row>
    <row r="2626" spans="1:2" x14ac:dyDescent="0.25">
      <c r="A2626" t="s">
        <v>52</v>
      </c>
      <c r="B2626" t="s">
        <v>4</v>
      </c>
    </row>
    <row r="2627" spans="1:2" x14ac:dyDescent="0.25">
      <c r="A2627" t="s">
        <v>53</v>
      </c>
      <c r="B2627">
        <v>7.36</v>
      </c>
    </row>
    <row r="2628" spans="1:2" x14ac:dyDescent="0.25">
      <c r="A2628" t="s">
        <v>54</v>
      </c>
      <c r="B2628">
        <v>8.8000000000000007</v>
      </c>
    </row>
    <row r="2629" spans="1:2" x14ac:dyDescent="0.25">
      <c r="A2629" t="s">
        <v>55</v>
      </c>
      <c r="B2629">
        <v>7.45</v>
      </c>
    </row>
    <row r="2630" spans="1:2" x14ac:dyDescent="0.25">
      <c r="A2630" t="s">
        <v>56</v>
      </c>
      <c r="B2630" t="s">
        <v>4</v>
      </c>
    </row>
    <row r="2631" spans="1:2" x14ac:dyDescent="0.25">
      <c r="A2631" t="s">
        <v>57</v>
      </c>
      <c r="B2631" t="s">
        <v>4</v>
      </c>
    </row>
    <row r="2632" spans="1:2" x14ac:dyDescent="0.25">
      <c r="A2632" t="s">
        <v>58</v>
      </c>
      <c r="B2632" t="s">
        <v>4</v>
      </c>
    </row>
    <row r="2633" spans="1:2" x14ac:dyDescent="0.25">
      <c r="A2633" t="s">
        <v>59</v>
      </c>
      <c r="B2633">
        <v>1.93</v>
      </c>
    </row>
    <row r="2634" spans="1:2" x14ac:dyDescent="0.25">
      <c r="A2634" t="s">
        <v>60</v>
      </c>
      <c r="B2634">
        <v>1.95</v>
      </c>
    </row>
    <row r="2635" spans="1:2" x14ac:dyDescent="0.25">
      <c r="A2635" t="s">
        <v>61</v>
      </c>
      <c r="B2635">
        <v>2.14</v>
      </c>
    </row>
    <row r="2636" spans="1:2" x14ac:dyDescent="0.25">
      <c r="A2636" t="s">
        <v>62</v>
      </c>
      <c r="B2636">
        <v>3.73</v>
      </c>
    </row>
    <row r="2637" spans="1:2" x14ac:dyDescent="0.25">
      <c r="A2637" t="s">
        <v>63</v>
      </c>
      <c r="B2637">
        <v>4.29</v>
      </c>
    </row>
    <row r="2638" spans="1:2" x14ac:dyDescent="0.25">
      <c r="A2638" t="s">
        <v>64</v>
      </c>
      <c r="B2638">
        <v>5.56</v>
      </c>
    </row>
    <row r="2639" spans="1:2" x14ac:dyDescent="0.25">
      <c r="A2639" t="s">
        <v>65</v>
      </c>
      <c r="B2639">
        <v>5.37</v>
      </c>
    </row>
    <row r="2640" spans="1:2" x14ac:dyDescent="0.25">
      <c r="A2640" t="s">
        <v>66</v>
      </c>
      <c r="B2640" t="s">
        <v>4</v>
      </c>
    </row>
    <row r="2641" spans="1:2" x14ac:dyDescent="0.25">
      <c r="A2641" t="s">
        <v>67</v>
      </c>
      <c r="B2641" t="s">
        <v>4</v>
      </c>
    </row>
    <row r="2642" spans="1:2" x14ac:dyDescent="0.25">
      <c r="A2642" t="s">
        <v>68</v>
      </c>
      <c r="B2642">
        <v>2.21</v>
      </c>
    </row>
    <row r="2643" spans="1:2" x14ac:dyDescent="0.25">
      <c r="A2643" t="s">
        <v>69</v>
      </c>
      <c r="B2643" t="s">
        <v>4</v>
      </c>
    </row>
    <row r="2644" spans="1:2" x14ac:dyDescent="0.25">
      <c r="A2644" t="s">
        <v>70</v>
      </c>
      <c r="B2644">
        <v>4.54</v>
      </c>
    </row>
    <row r="2645" spans="1:2" x14ac:dyDescent="0.25">
      <c r="A2645" t="s">
        <v>71</v>
      </c>
      <c r="B2645">
        <v>9.6300000000000008</v>
      </c>
    </row>
    <row r="2646" spans="1:2" x14ac:dyDescent="0.25">
      <c r="A2646" t="s">
        <v>72</v>
      </c>
      <c r="B2646">
        <v>7.78</v>
      </c>
    </row>
    <row r="2647" spans="1:2" x14ac:dyDescent="0.25">
      <c r="A2647" t="s">
        <v>73</v>
      </c>
      <c r="B2647" t="s">
        <v>4</v>
      </c>
    </row>
    <row r="2648" spans="1:2" x14ac:dyDescent="0.25">
      <c r="A2648" t="s">
        <v>74</v>
      </c>
      <c r="B2648">
        <v>8.9700000000000006</v>
      </c>
    </row>
    <row r="2649" spans="1:2" x14ac:dyDescent="0.25">
      <c r="A2649" t="s">
        <v>75</v>
      </c>
      <c r="B2649">
        <v>5.0199999999999996</v>
      </c>
    </row>
    <row r="2650" spans="1:2" x14ac:dyDescent="0.25">
      <c r="A2650" t="s">
        <v>76</v>
      </c>
      <c r="B2650">
        <v>6.42</v>
      </c>
    </row>
    <row r="2651" spans="1:2" x14ac:dyDescent="0.25">
      <c r="A2651" t="s">
        <v>77</v>
      </c>
      <c r="B2651">
        <v>7.46</v>
      </c>
    </row>
    <row r="2652" spans="1:2" x14ac:dyDescent="0.25">
      <c r="A2652" t="s">
        <v>78</v>
      </c>
      <c r="B2652" t="s">
        <v>4</v>
      </c>
    </row>
    <row r="2653" spans="1:2" x14ac:dyDescent="0.25">
      <c r="A2653" t="s">
        <v>79</v>
      </c>
      <c r="B2653" t="s">
        <v>4</v>
      </c>
    </row>
    <row r="2654" spans="1:2" x14ac:dyDescent="0.25">
      <c r="A2654" t="s">
        <v>80</v>
      </c>
      <c r="B2654" t="s">
        <v>4</v>
      </c>
    </row>
    <row r="2655" spans="1:2" x14ac:dyDescent="0.25">
      <c r="A2655" t="s">
        <v>81</v>
      </c>
      <c r="B2655" t="s">
        <v>4</v>
      </c>
    </row>
    <row r="2659" spans="1:4" x14ac:dyDescent="0.25">
      <c r="A2659" t="s">
        <v>0</v>
      </c>
      <c r="B2659" t="s">
        <v>107</v>
      </c>
    </row>
    <row r="2661" spans="1:4" s="1" customFormat="1" x14ac:dyDescent="0.25">
      <c r="A2661" s="1" t="s">
        <v>2</v>
      </c>
      <c r="B2661" s="1" t="s">
        <v>157</v>
      </c>
    </row>
    <row r="2662" spans="1:4" x14ac:dyDescent="0.25">
      <c r="A2662" t="s">
        <v>3</v>
      </c>
      <c r="B2662" t="s">
        <v>4</v>
      </c>
    </row>
    <row r="2663" spans="1:4" x14ac:dyDescent="0.25">
      <c r="A2663" t="s">
        <v>5</v>
      </c>
      <c r="B2663" t="s">
        <v>4</v>
      </c>
    </row>
    <row r="2664" spans="1:4" x14ac:dyDescent="0.25">
      <c r="A2664" t="s">
        <v>6</v>
      </c>
      <c r="B2664" t="s">
        <v>4</v>
      </c>
    </row>
    <row r="2665" spans="1:4" x14ac:dyDescent="0.25">
      <c r="A2665" t="s">
        <v>7</v>
      </c>
      <c r="B2665">
        <v>203.14</v>
      </c>
    </row>
    <row r="2666" spans="1:4" x14ac:dyDescent="0.25">
      <c r="A2666" t="s">
        <v>8</v>
      </c>
      <c r="B2666">
        <v>106.66</v>
      </c>
    </row>
    <row r="2667" spans="1:4" x14ac:dyDescent="0.25">
      <c r="A2667" t="s">
        <v>9</v>
      </c>
      <c r="B2667">
        <v>736.87</v>
      </c>
    </row>
    <row r="2668" spans="1:4" x14ac:dyDescent="0.25">
      <c r="A2668" t="s">
        <v>10</v>
      </c>
      <c r="B2668" s="2">
        <v>98996.18</v>
      </c>
      <c r="D2668" s="2" t="s">
        <v>168</v>
      </c>
    </row>
    <row r="2669" spans="1:4" x14ac:dyDescent="0.25">
      <c r="A2669" t="s">
        <v>11</v>
      </c>
      <c r="B2669" s="2">
        <v>58690.51</v>
      </c>
      <c r="D2669" s="2" t="s">
        <v>169</v>
      </c>
    </row>
    <row r="2670" spans="1:4" x14ac:dyDescent="0.25">
      <c r="A2670" t="s">
        <v>12</v>
      </c>
      <c r="B2670" s="2">
        <v>32026.71</v>
      </c>
      <c r="D2670" s="2" t="s">
        <v>170</v>
      </c>
    </row>
    <row r="2671" spans="1:4" x14ac:dyDescent="0.25">
      <c r="A2671" t="s">
        <v>13</v>
      </c>
      <c r="B2671" s="2">
        <v>78676.92</v>
      </c>
    </row>
    <row r="2672" spans="1:4" x14ac:dyDescent="0.25">
      <c r="A2672" t="s">
        <v>14</v>
      </c>
      <c r="B2672" s="2">
        <v>75575.850000000006</v>
      </c>
    </row>
    <row r="2673" spans="1:2" x14ac:dyDescent="0.25">
      <c r="A2673" t="s">
        <v>15</v>
      </c>
      <c r="B2673" s="2">
        <v>45957.55</v>
      </c>
    </row>
    <row r="2674" spans="1:2" x14ac:dyDescent="0.25">
      <c r="A2674" t="s">
        <v>16</v>
      </c>
      <c r="B2674" s="2">
        <v>78710.61</v>
      </c>
    </row>
    <row r="2675" spans="1:2" x14ac:dyDescent="0.25">
      <c r="A2675" t="s">
        <v>17</v>
      </c>
      <c r="B2675">
        <v>28.59</v>
      </c>
    </row>
    <row r="2676" spans="1:2" x14ac:dyDescent="0.25">
      <c r="A2676" t="s">
        <v>18</v>
      </c>
      <c r="B2676" s="2">
        <v>33700.01</v>
      </c>
    </row>
    <row r="2677" spans="1:2" x14ac:dyDescent="0.25">
      <c r="A2677" t="s">
        <v>19</v>
      </c>
      <c r="B2677" s="2">
        <v>19313.98</v>
      </c>
    </row>
    <row r="2678" spans="1:2" x14ac:dyDescent="0.25">
      <c r="A2678" t="s">
        <v>20</v>
      </c>
      <c r="B2678" s="2">
        <v>6908.82</v>
      </c>
    </row>
    <row r="2679" spans="1:2" x14ac:dyDescent="0.25">
      <c r="A2679" t="s">
        <v>21</v>
      </c>
      <c r="B2679" s="2">
        <v>38331.160000000003</v>
      </c>
    </row>
    <row r="2680" spans="1:2" x14ac:dyDescent="0.25">
      <c r="A2680" t="s">
        <v>22</v>
      </c>
      <c r="B2680" s="2">
        <v>30793.119999999999</v>
      </c>
    </row>
    <row r="2681" spans="1:2" x14ac:dyDescent="0.25">
      <c r="A2681" t="s">
        <v>23</v>
      </c>
      <c r="B2681" s="2">
        <v>32982.33</v>
      </c>
    </row>
    <row r="2682" spans="1:2" x14ac:dyDescent="0.25">
      <c r="A2682" t="s">
        <v>24</v>
      </c>
      <c r="B2682" s="2">
        <v>19526.45</v>
      </c>
    </row>
    <row r="2683" spans="1:2" x14ac:dyDescent="0.25">
      <c r="A2683" t="s">
        <v>25</v>
      </c>
      <c r="B2683">
        <v>2554.81</v>
      </c>
    </row>
    <row r="2684" spans="1:2" x14ac:dyDescent="0.25">
      <c r="A2684" t="s">
        <v>26</v>
      </c>
      <c r="B2684">
        <v>194.05</v>
      </c>
    </row>
    <row r="2685" spans="1:2" x14ac:dyDescent="0.25">
      <c r="A2685" t="s">
        <v>27</v>
      </c>
      <c r="B2685">
        <v>156.33000000000001</v>
      </c>
    </row>
    <row r="2686" spans="1:2" x14ac:dyDescent="0.25">
      <c r="A2686" t="s">
        <v>28</v>
      </c>
      <c r="B2686">
        <v>176.2</v>
      </c>
    </row>
    <row r="2687" spans="1:2" x14ac:dyDescent="0.25">
      <c r="A2687" t="s">
        <v>29</v>
      </c>
      <c r="B2687">
        <v>433.69</v>
      </c>
    </row>
    <row r="2688" spans="1:2" x14ac:dyDescent="0.25">
      <c r="A2688" t="s">
        <v>30</v>
      </c>
      <c r="B2688">
        <v>258.56</v>
      </c>
    </row>
    <row r="2689" spans="1:2" x14ac:dyDescent="0.25">
      <c r="A2689" t="s">
        <v>31</v>
      </c>
      <c r="B2689">
        <v>600.87</v>
      </c>
    </row>
    <row r="2690" spans="1:2" x14ac:dyDescent="0.25">
      <c r="A2690" t="s">
        <v>32</v>
      </c>
      <c r="B2690">
        <v>34.5</v>
      </c>
    </row>
    <row r="2691" spans="1:2" x14ac:dyDescent="0.25">
      <c r="A2691" t="s">
        <v>33</v>
      </c>
      <c r="B2691">
        <v>18.79</v>
      </c>
    </row>
    <row r="2692" spans="1:2" x14ac:dyDescent="0.25">
      <c r="A2692" t="s">
        <v>34</v>
      </c>
      <c r="B2692">
        <v>12.64</v>
      </c>
    </row>
    <row r="2693" spans="1:2" x14ac:dyDescent="0.25">
      <c r="A2693" t="s">
        <v>35</v>
      </c>
      <c r="B2693">
        <v>27.55</v>
      </c>
    </row>
    <row r="2694" spans="1:2" x14ac:dyDescent="0.25">
      <c r="A2694" t="s">
        <v>36</v>
      </c>
      <c r="B2694">
        <v>18.010000000000002</v>
      </c>
    </row>
    <row r="2695" spans="1:2" x14ac:dyDescent="0.25">
      <c r="A2695" t="s">
        <v>37</v>
      </c>
      <c r="B2695">
        <v>50.04</v>
      </c>
    </row>
    <row r="2696" spans="1:2" x14ac:dyDescent="0.25">
      <c r="A2696" t="s">
        <v>38</v>
      </c>
      <c r="B2696">
        <v>12.93</v>
      </c>
    </row>
    <row r="2697" spans="1:2" x14ac:dyDescent="0.25">
      <c r="A2697" t="s">
        <v>39</v>
      </c>
      <c r="B2697">
        <v>108.67</v>
      </c>
    </row>
    <row r="2698" spans="1:2" x14ac:dyDescent="0.25">
      <c r="A2698" t="s">
        <v>40</v>
      </c>
      <c r="B2698">
        <v>37.42</v>
      </c>
    </row>
    <row r="2699" spans="1:2" x14ac:dyDescent="0.25">
      <c r="A2699" t="s">
        <v>41</v>
      </c>
      <c r="B2699">
        <v>31.99</v>
      </c>
    </row>
    <row r="2700" spans="1:2" x14ac:dyDescent="0.25">
      <c r="A2700" t="s">
        <v>42</v>
      </c>
      <c r="B2700">
        <v>12.23</v>
      </c>
    </row>
    <row r="2701" spans="1:2" x14ac:dyDescent="0.25">
      <c r="A2701" t="s">
        <v>43</v>
      </c>
      <c r="B2701">
        <v>114.85</v>
      </c>
    </row>
    <row r="2702" spans="1:2" x14ac:dyDescent="0.25">
      <c r="A2702" t="s">
        <v>44</v>
      </c>
      <c r="B2702">
        <v>27.07</v>
      </c>
    </row>
    <row r="2703" spans="1:2" x14ac:dyDescent="0.25">
      <c r="A2703" t="s">
        <v>45</v>
      </c>
      <c r="B2703">
        <v>34.74</v>
      </c>
    </row>
    <row r="2704" spans="1:2" x14ac:dyDescent="0.25">
      <c r="A2704" t="s">
        <v>46</v>
      </c>
      <c r="B2704">
        <v>13.46</v>
      </c>
    </row>
    <row r="2705" spans="1:2" x14ac:dyDescent="0.25">
      <c r="A2705" t="s">
        <v>47</v>
      </c>
      <c r="B2705">
        <v>115.53</v>
      </c>
    </row>
    <row r="2706" spans="1:2" x14ac:dyDescent="0.25">
      <c r="A2706" t="s">
        <v>48</v>
      </c>
      <c r="B2706">
        <v>42.84</v>
      </c>
    </row>
    <row r="2707" spans="1:2" x14ac:dyDescent="0.25">
      <c r="A2707" t="s">
        <v>49</v>
      </c>
      <c r="B2707">
        <v>52.19</v>
      </c>
    </row>
    <row r="2708" spans="1:2" x14ac:dyDescent="0.25">
      <c r="A2708" t="s">
        <v>50</v>
      </c>
      <c r="B2708">
        <v>9.3800000000000008</v>
      </c>
    </row>
    <row r="2709" spans="1:2" x14ac:dyDescent="0.25">
      <c r="A2709" t="s">
        <v>51</v>
      </c>
      <c r="B2709">
        <v>50.24</v>
      </c>
    </row>
    <row r="2710" spans="1:2" x14ac:dyDescent="0.25">
      <c r="A2710" t="s">
        <v>52</v>
      </c>
      <c r="B2710">
        <v>22.58</v>
      </c>
    </row>
    <row r="2711" spans="1:2" x14ac:dyDescent="0.25">
      <c r="A2711" t="s">
        <v>53</v>
      </c>
      <c r="B2711">
        <v>1412.74</v>
      </c>
    </row>
    <row r="2712" spans="1:2" x14ac:dyDescent="0.25">
      <c r="A2712" t="s">
        <v>54</v>
      </c>
      <c r="B2712">
        <v>268.5</v>
      </c>
    </row>
    <row r="2713" spans="1:2" x14ac:dyDescent="0.25">
      <c r="A2713" t="s">
        <v>55</v>
      </c>
      <c r="B2713">
        <v>426.45</v>
      </c>
    </row>
    <row r="2714" spans="1:2" x14ac:dyDescent="0.25">
      <c r="A2714" t="s">
        <v>56</v>
      </c>
      <c r="B2714">
        <v>4.82</v>
      </c>
    </row>
    <row r="2715" spans="1:2" x14ac:dyDescent="0.25">
      <c r="A2715" t="s">
        <v>57</v>
      </c>
      <c r="B2715">
        <v>523.9</v>
      </c>
    </row>
    <row r="2716" spans="1:2" x14ac:dyDescent="0.25">
      <c r="A2716" t="s">
        <v>58</v>
      </c>
      <c r="B2716">
        <v>30.72</v>
      </c>
    </row>
    <row r="2717" spans="1:2" x14ac:dyDescent="0.25">
      <c r="A2717" t="s">
        <v>59</v>
      </c>
      <c r="B2717">
        <v>417.16</v>
      </c>
    </row>
    <row r="2718" spans="1:2" x14ac:dyDescent="0.25">
      <c r="A2718" t="s">
        <v>60</v>
      </c>
      <c r="B2718">
        <v>602.17999999999995</v>
      </c>
    </row>
    <row r="2719" spans="1:2" x14ac:dyDescent="0.25">
      <c r="A2719" t="s">
        <v>61</v>
      </c>
      <c r="B2719">
        <v>725.6</v>
      </c>
    </row>
    <row r="2720" spans="1:2" x14ac:dyDescent="0.25">
      <c r="A2720" t="s">
        <v>62</v>
      </c>
      <c r="B2720">
        <v>883.65</v>
      </c>
    </row>
    <row r="2721" spans="1:2" x14ac:dyDescent="0.25">
      <c r="A2721" t="s">
        <v>63</v>
      </c>
      <c r="B2721">
        <v>858.61</v>
      </c>
    </row>
    <row r="2722" spans="1:2" x14ac:dyDescent="0.25">
      <c r="A2722" t="s">
        <v>64</v>
      </c>
      <c r="B2722">
        <v>879.87</v>
      </c>
    </row>
    <row r="2723" spans="1:2" x14ac:dyDescent="0.25">
      <c r="A2723" t="s">
        <v>65</v>
      </c>
      <c r="B2723" s="2">
        <v>43988.93</v>
      </c>
    </row>
    <row r="2724" spans="1:2" x14ac:dyDescent="0.25">
      <c r="A2724" t="s">
        <v>66</v>
      </c>
      <c r="B2724">
        <v>242.88</v>
      </c>
    </row>
    <row r="2725" spans="1:2" x14ac:dyDescent="0.25">
      <c r="A2725" t="s">
        <v>67</v>
      </c>
      <c r="B2725">
        <v>76.56</v>
      </c>
    </row>
    <row r="2726" spans="1:2" x14ac:dyDescent="0.25">
      <c r="A2726" t="s">
        <v>68</v>
      </c>
      <c r="B2726">
        <v>571.33000000000004</v>
      </c>
    </row>
    <row r="2727" spans="1:2" x14ac:dyDescent="0.25">
      <c r="A2727" t="s">
        <v>69</v>
      </c>
      <c r="B2727">
        <v>109.22</v>
      </c>
    </row>
    <row r="2728" spans="1:2" x14ac:dyDescent="0.25">
      <c r="A2728" t="s">
        <v>70</v>
      </c>
      <c r="B2728" s="2">
        <v>7114.22</v>
      </c>
    </row>
    <row r="2729" spans="1:2" x14ac:dyDescent="0.25">
      <c r="A2729" t="s">
        <v>71</v>
      </c>
      <c r="B2729">
        <v>1486.28</v>
      </c>
    </row>
    <row r="2730" spans="1:2" x14ac:dyDescent="0.25">
      <c r="A2730" t="s">
        <v>72</v>
      </c>
      <c r="B2730">
        <v>2814.17</v>
      </c>
    </row>
    <row r="2731" spans="1:2" x14ac:dyDescent="0.25">
      <c r="A2731" t="s">
        <v>73</v>
      </c>
      <c r="B2731" s="2">
        <v>25395.59</v>
      </c>
    </row>
    <row r="2732" spans="1:2" x14ac:dyDescent="0.25">
      <c r="A2732" t="s">
        <v>74</v>
      </c>
      <c r="B2732">
        <v>1505.19</v>
      </c>
    </row>
    <row r="2733" spans="1:2" x14ac:dyDescent="0.25">
      <c r="A2733" t="s">
        <v>75</v>
      </c>
      <c r="B2733">
        <v>7246.9</v>
      </c>
    </row>
    <row r="2734" spans="1:2" x14ac:dyDescent="0.25">
      <c r="A2734" t="s">
        <v>76</v>
      </c>
      <c r="B2734">
        <v>5715</v>
      </c>
    </row>
    <row r="2735" spans="1:2" x14ac:dyDescent="0.25">
      <c r="A2735" t="s">
        <v>77</v>
      </c>
      <c r="B2735" s="2">
        <v>6317.47</v>
      </c>
    </row>
    <row r="2736" spans="1:2" x14ac:dyDescent="0.25">
      <c r="A2736" t="s">
        <v>78</v>
      </c>
      <c r="B2736">
        <v>31.49</v>
      </c>
    </row>
    <row r="2737" spans="1:2" x14ac:dyDescent="0.25">
      <c r="A2737" t="s">
        <v>79</v>
      </c>
      <c r="B2737">
        <v>123.87</v>
      </c>
    </row>
    <row r="2738" spans="1:2" x14ac:dyDescent="0.25">
      <c r="A2738" t="s">
        <v>80</v>
      </c>
      <c r="B2738">
        <v>17.87</v>
      </c>
    </row>
    <row r="2739" spans="1:2" x14ac:dyDescent="0.25">
      <c r="A2739" t="s">
        <v>81</v>
      </c>
      <c r="B2739">
        <v>26.54</v>
      </c>
    </row>
    <row r="2742" spans="1:2" x14ac:dyDescent="0.25">
      <c r="A2742" t="s">
        <v>0</v>
      </c>
      <c r="B2742" t="s">
        <v>108</v>
      </c>
    </row>
    <row r="2744" spans="1:2" s="1" customFormat="1" x14ac:dyDescent="0.25">
      <c r="A2744" s="1" t="s">
        <v>2</v>
      </c>
      <c r="B2744" s="1" t="s">
        <v>157</v>
      </c>
    </row>
    <row r="2745" spans="1:2" x14ac:dyDescent="0.25">
      <c r="A2745" t="s">
        <v>3</v>
      </c>
      <c r="B2745" t="s">
        <v>4</v>
      </c>
    </row>
    <row r="2746" spans="1:2" x14ac:dyDescent="0.25">
      <c r="A2746" t="s">
        <v>5</v>
      </c>
      <c r="B2746" t="s">
        <v>4</v>
      </c>
    </row>
    <row r="2747" spans="1:2" x14ac:dyDescent="0.25">
      <c r="A2747" t="s">
        <v>6</v>
      </c>
      <c r="B2747" t="s">
        <v>4</v>
      </c>
    </row>
    <row r="2748" spans="1:2" x14ac:dyDescent="0.25">
      <c r="A2748" t="s">
        <v>7</v>
      </c>
      <c r="B2748" t="s">
        <v>4</v>
      </c>
    </row>
    <row r="2749" spans="1:2" x14ac:dyDescent="0.25">
      <c r="A2749" t="s">
        <v>8</v>
      </c>
      <c r="B2749" t="s">
        <v>4</v>
      </c>
    </row>
    <row r="2750" spans="1:2" x14ac:dyDescent="0.25">
      <c r="A2750" t="s">
        <v>9</v>
      </c>
      <c r="B2750" t="s">
        <v>4</v>
      </c>
    </row>
    <row r="2751" spans="1:2" x14ac:dyDescent="0.25">
      <c r="A2751" t="s">
        <v>10</v>
      </c>
      <c r="B2751" t="s">
        <v>4</v>
      </c>
    </row>
    <row r="2752" spans="1:2" x14ac:dyDescent="0.25">
      <c r="A2752" t="s">
        <v>11</v>
      </c>
      <c r="B2752" t="s">
        <v>4</v>
      </c>
    </row>
    <row r="2753" spans="1:2" x14ac:dyDescent="0.25">
      <c r="A2753" t="s">
        <v>12</v>
      </c>
      <c r="B2753" t="s">
        <v>4</v>
      </c>
    </row>
    <row r="2754" spans="1:2" x14ac:dyDescent="0.25">
      <c r="A2754" t="s">
        <v>13</v>
      </c>
      <c r="B2754" t="s">
        <v>4</v>
      </c>
    </row>
    <row r="2755" spans="1:2" x14ac:dyDescent="0.25">
      <c r="A2755" t="s">
        <v>14</v>
      </c>
      <c r="B2755" t="s">
        <v>4</v>
      </c>
    </row>
    <row r="2756" spans="1:2" x14ac:dyDescent="0.25">
      <c r="A2756" t="s">
        <v>15</v>
      </c>
      <c r="B2756" t="s">
        <v>4</v>
      </c>
    </row>
    <row r="2757" spans="1:2" x14ac:dyDescent="0.25">
      <c r="A2757" t="s">
        <v>16</v>
      </c>
      <c r="B2757" t="s">
        <v>4</v>
      </c>
    </row>
    <row r="2758" spans="1:2" x14ac:dyDescent="0.25">
      <c r="A2758" t="s">
        <v>17</v>
      </c>
      <c r="B2758" t="s">
        <v>4</v>
      </c>
    </row>
    <row r="2759" spans="1:2" x14ac:dyDescent="0.25">
      <c r="A2759" t="s">
        <v>18</v>
      </c>
      <c r="B2759" t="s">
        <v>4</v>
      </c>
    </row>
    <row r="2760" spans="1:2" x14ac:dyDescent="0.25">
      <c r="A2760" t="s">
        <v>19</v>
      </c>
      <c r="B2760" t="s">
        <v>4</v>
      </c>
    </row>
    <row r="2761" spans="1:2" x14ac:dyDescent="0.25">
      <c r="A2761" t="s">
        <v>20</v>
      </c>
      <c r="B2761" t="s">
        <v>4</v>
      </c>
    </row>
    <row r="2762" spans="1:2" x14ac:dyDescent="0.25">
      <c r="A2762" t="s">
        <v>21</v>
      </c>
      <c r="B2762" t="s">
        <v>4</v>
      </c>
    </row>
    <row r="2763" spans="1:2" x14ac:dyDescent="0.25">
      <c r="A2763" t="s">
        <v>22</v>
      </c>
      <c r="B2763" t="s">
        <v>4</v>
      </c>
    </row>
    <row r="2764" spans="1:2" x14ac:dyDescent="0.25">
      <c r="A2764" t="s">
        <v>23</v>
      </c>
      <c r="B2764" t="s">
        <v>4</v>
      </c>
    </row>
    <row r="2765" spans="1:2" x14ac:dyDescent="0.25">
      <c r="A2765" t="s">
        <v>24</v>
      </c>
      <c r="B2765" t="s">
        <v>4</v>
      </c>
    </row>
    <row r="2766" spans="1:2" x14ac:dyDescent="0.25">
      <c r="A2766" t="s">
        <v>25</v>
      </c>
      <c r="B2766" t="s">
        <v>4</v>
      </c>
    </row>
    <row r="2767" spans="1:2" x14ac:dyDescent="0.25">
      <c r="A2767" t="s">
        <v>26</v>
      </c>
      <c r="B2767" t="s">
        <v>4</v>
      </c>
    </row>
    <row r="2768" spans="1:2" x14ac:dyDescent="0.25">
      <c r="A2768" t="s">
        <v>27</v>
      </c>
      <c r="B2768" t="s">
        <v>4</v>
      </c>
    </row>
    <row r="2769" spans="1:2" x14ac:dyDescent="0.25">
      <c r="A2769" t="s">
        <v>28</v>
      </c>
      <c r="B2769" t="s">
        <v>4</v>
      </c>
    </row>
    <row r="2770" spans="1:2" x14ac:dyDescent="0.25">
      <c r="A2770" t="s">
        <v>29</v>
      </c>
      <c r="B2770" t="s">
        <v>4</v>
      </c>
    </row>
    <row r="2771" spans="1:2" x14ac:dyDescent="0.25">
      <c r="A2771" t="s">
        <v>30</v>
      </c>
      <c r="B2771" t="s">
        <v>4</v>
      </c>
    </row>
    <row r="2772" spans="1:2" x14ac:dyDescent="0.25">
      <c r="A2772" t="s">
        <v>31</v>
      </c>
      <c r="B2772" t="s">
        <v>4</v>
      </c>
    </row>
    <row r="2773" spans="1:2" x14ac:dyDescent="0.25">
      <c r="A2773" t="s">
        <v>32</v>
      </c>
      <c r="B2773" t="s">
        <v>4</v>
      </c>
    </row>
    <row r="2774" spans="1:2" x14ac:dyDescent="0.25">
      <c r="A2774" t="s">
        <v>33</v>
      </c>
      <c r="B2774" t="s">
        <v>4</v>
      </c>
    </row>
    <row r="2775" spans="1:2" x14ac:dyDescent="0.25">
      <c r="A2775" t="s">
        <v>34</v>
      </c>
      <c r="B2775" t="s">
        <v>4</v>
      </c>
    </row>
    <row r="2776" spans="1:2" x14ac:dyDescent="0.25">
      <c r="A2776" t="s">
        <v>35</v>
      </c>
      <c r="B2776" t="s">
        <v>4</v>
      </c>
    </row>
    <row r="2777" spans="1:2" x14ac:dyDescent="0.25">
      <c r="A2777" t="s">
        <v>36</v>
      </c>
      <c r="B2777" t="s">
        <v>4</v>
      </c>
    </row>
    <row r="2778" spans="1:2" x14ac:dyDescent="0.25">
      <c r="A2778" t="s">
        <v>37</v>
      </c>
      <c r="B2778" t="s">
        <v>4</v>
      </c>
    </row>
    <row r="2779" spans="1:2" x14ac:dyDescent="0.25">
      <c r="A2779" t="s">
        <v>38</v>
      </c>
      <c r="B2779" t="s">
        <v>4</v>
      </c>
    </row>
    <row r="2780" spans="1:2" x14ac:dyDescent="0.25">
      <c r="A2780" t="s">
        <v>39</v>
      </c>
      <c r="B2780" t="s">
        <v>4</v>
      </c>
    </row>
    <row r="2781" spans="1:2" x14ac:dyDescent="0.25">
      <c r="A2781" t="s">
        <v>40</v>
      </c>
      <c r="B2781" t="s">
        <v>4</v>
      </c>
    </row>
    <row r="2782" spans="1:2" x14ac:dyDescent="0.25">
      <c r="A2782" t="s">
        <v>41</v>
      </c>
      <c r="B2782" t="s">
        <v>4</v>
      </c>
    </row>
    <row r="2783" spans="1:2" x14ac:dyDescent="0.25">
      <c r="A2783" t="s">
        <v>42</v>
      </c>
      <c r="B2783" t="s">
        <v>4</v>
      </c>
    </row>
    <row r="2784" spans="1:2" x14ac:dyDescent="0.25">
      <c r="A2784" t="s">
        <v>43</v>
      </c>
      <c r="B2784" t="s">
        <v>4</v>
      </c>
    </row>
    <row r="2785" spans="1:2" x14ac:dyDescent="0.25">
      <c r="A2785" t="s">
        <v>44</v>
      </c>
      <c r="B2785" t="s">
        <v>4</v>
      </c>
    </row>
    <row r="2786" spans="1:2" x14ac:dyDescent="0.25">
      <c r="A2786" t="s">
        <v>45</v>
      </c>
      <c r="B2786" t="s">
        <v>4</v>
      </c>
    </row>
    <row r="2787" spans="1:2" x14ac:dyDescent="0.25">
      <c r="A2787" t="s">
        <v>46</v>
      </c>
      <c r="B2787" t="s">
        <v>4</v>
      </c>
    </row>
    <row r="2788" spans="1:2" x14ac:dyDescent="0.25">
      <c r="A2788" t="s">
        <v>47</v>
      </c>
      <c r="B2788" t="s">
        <v>4</v>
      </c>
    </row>
    <row r="2789" spans="1:2" x14ac:dyDescent="0.25">
      <c r="A2789" t="s">
        <v>48</v>
      </c>
      <c r="B2789" t="s">
        <v>4</v>
      </c>
    </row>
    <row r="2790" spans="1:2" x14ac:dyDescent="0.25">
      <c r="A2790" t="s">
        <v>49</v>
      </c>
      <c r="B2790" t="s">
        <v>4</v>
      </c>
    </row>
    <row r="2791" spans="1:2" x14ac:dyDescent="0.25">
      <c r="A2791" t="s">
        <v>50</v>
      </c>
      <c r="B2791" t="s">
        <v>4</v>
      </c>
    </row>
    <row r="2792" spans="1:2" x14ac:dyDescent="0.25">
      <c r="A2792" t="s">
        <v>51</v>
      </c>
      <c r="B2792" t="s">
        <v>4</v>
      </c>
    </row>
    <row r="2793" spans="1:2" x14ac:dyDescent="0.25">
      <c r="A2793" t="s">
        <v>52</v>
      </c>
      <c r="B2793" t="s">
        <v>4</v>
      </c>
    </row>
    <row r="2794" spans="1:2" x14ac:dyDescent="0.25">
      <c r="A2794" t="s">
        <v>53</v>
      </c>
      <c r="B2794" t="s">
        <v>4</v>
      </c>
    </row>
    <row r="2795" spans="1:2" x14ac:dyDescent="0.25">
      <c r="A2795" t="s">
        <v>54</v>
      </c>
      <c r="B2795" t="s">
        <v>4</v>
      </c>
    </row>
    <row r="2796" spans="1:2" x14ac:dyDescent="0.25">
      <c r="A2796" t="s">
        <v>55</v>
      </c>
      <c r="B2796" t="s">
        <v>4</v>
      </c>
    </row>
    <row r="2797" spans="1:2" x14ac:dyDescent="0.25">
      <c r="A2797" t="s">
        <v>56</v>
      </c>
      <c r="B2797" t="s">
        <v>4</v>
      </c>
    </row>
    <row r="2798" spans="1:2" x14ac:dyDescent="0.25">
      <c r="A2798" t="s">
        <v>57</v>
      </c>
      <c r="B2798" t="s">
        <v>4</v>
      </c>
    </row>
    <row r="2799" spans="1:2" x14ac:dyDescent="0.25">
      <c r="A2799" t="s">
        <v>58</v>
      </c>
      <c r="B2799" t="s">
        <v>4</v>
      </c>
    </row>
    <row r="2800" spans="1:2" x14ac:dyDescent="0.25">
      <c r="A2800" t="s">
        <v>59</v>
      </c>
      <c r="B2800" t="s">
        <v>4</v>
      </c>
    </row>
    <row r="2801" spans="1:2" x14ac:dyDescent="0.25">
      <c r="A2801" t="s">
        <v>60</v>
      </c>
      <c r="B2801" t="s">
        <v>4</v>
      </c>
    </row>
    <row r="2802" spans="1:2" x14ac:dyDescent="0.25">
      <c r="A2802" t="s">
        <v>61</v>
      </c>
      <c r="B2802" t="s">
        <v>4</v>
      </c>
    </row>
    <row r="2803" spans="1:2" x14ac:dyDescent="0.25">
      <c r="A2803" t="s">
        <v>62</v>
      </c>
      <c r="B2803" t="s">
        <v>4</v>
      </c>
    </row>
    <row r="2804" spans="1:2" x14ac:dyDescent="0.25">
      <c r="A2804" t="s">
        <v>63</v>
      </c>
      <c r="B2804" t="s">
        <v>4</v>
      </c>
    </row>
    <row r="2805" spans="1:2" x14ac:dyDescent="0.25">
      <c r="A2805" t="s">
        <v>64</v>
      </c>
      <c r="B2805" t="s">
        <v>4</v>
      </c>
    </row>
    <row r="2806" spans="1:2" x14ac:dyDescent="0.25">
      <c r="A2806" t="s">
        <v>65</v>
      </c>
      <c r="B2806" t="s">
        <v>4</v>
      </c>
    </row>
    <row r="2807" spans="1:2" x14ac:dyDescent="0.25">
      <c r="A2807" t="s">
        <v>66</v>
      </c>
      <c r="B2807" t="s">
        <v>4</v>
      </c>
    </row>
    <row r="2808" spans="1:2" x14ac:dyDescent="0.25">
      <c r="A2808" t="s">
        <v>67</v>
      </c>
      <c r="B2808" t="s">
        <v>4</v>
      </c>
    </row>
    <row r="2809" spans="1:2" x14ac:dyDescent="0.25">
      <c r="A2809" t="s">
        <v>68</v>
      </c>
      <c r="B2809" t="s">
        <v>4</v>
      </c>
    </row>
    <row r="2810" spans="1:2" x14ac:dyDescent="0.25">
      <c r="A2810" t="s">
        <v>69</v>
      </c>
      <c r="B2810" t="s">
        <v>4</v>
      </c>
    </row>
    <row r="2811" spans="1:2" x14ac:dyDescent="0.25">
      <c r="A2811" t="s">
        <v>70</v>
      </c>
      <c r="B2811" t="s">
        <v>4</v>
      </c>
    </row>
    <row r="2812" spans="1:2" x14ac:dyDescent="0.25">
      <c r="A2812" t="s">
        <v>71</v>
      </c>
      <c r="B2812" t="s">
        <v>4</v>
      </c>
    </row>
    <row r="2813" spans="1:2" x14ac:dyDescent="0.25">
      <c r="A2813" t="s">
        <v>72</v>
      </c>
      <c r="B2813" t="s">
        <v>4</v>
      </c>
    </row>
    <row r="2814" spans="1:2" x14ac:dyDescent="0.25">
      <c r="A2814" t="s">
        <v>73</v>
      </c>
      <c r="B2814" t="s">
        <v>4</v>
      </c>
    </row>
    <row r="2815" spans="1:2" x14ac:dyDescent="0.25">
      <c r="A2815" t="s">
        <v>74</v>
      </c>
      <c r="B2815" t="s">
        <v>4</v>
      </c>
    </row>
    <row r="2816" spans="1:2" x14ac:dyDescent="0.25">
      <c r="A2816" t="s">
        <v>75</v>
      </c>
      <c r="B2816" t="s">
        <v>4</v>
      </c>
    </row>
    <row r="2817" spans="1:2" x14ac:dyDescent="0.25">
      <c r="A2817" t="s">
        <v>76</v>
      </c>
      <c r="B2817" t="s">
        <v>4</v>
      </c>
    </row>
    <row r="2818" spans="1:2" x14ac:dyDescent="0.25">
      <c r="A2818" t="s">
        <v>77</v>
      </c>
      <c r="B2818" t="s">
        <v>4</v>
      </c>
    </row>
    <row r="2819" spans="1:2" x14ac:dyDescent="0.25">
      <c r="A2819" t="s">
        <v>78</v>
      </c>
      <c r="B2819" t="s">
        <v>4</v>
      </c>
    </row>
    <row r="2820" spans="1:2" x14ac:dyDescent="0.25">
      <c r="A2820" t="s">
        <v>79</v>
      </c>
      <c r="B2820" t="s">
        <v>4</v>
      </c>
    </row>
    <row r="2821" spans="1:2" x14ac:dyDescent="0.25">
      <c r="A2821" t="s">
        <v>80</v>
      </c>
      <c r="B2821" t="s">
        <v>4</v>
      </c>
    </row>
    <row r="2822" spans="1:2" x14ac:dyDescent="0.25">
      <c r="A2822" t="s">
        <v>81</v>
      </c>
      <c r="B2822" t="s">
        <v>4</v>
      </c>
    </row>
    <row r="2825" spans="1:2" x14ac:dyDescent="0.25">
      <c r="A2825" t="s">
        <v>0</v>
      </c>
      <c r="B2825" t="s">
        <v>109</v>
      </c>
    </row>
    <row r="2827" spans="1:2" s="1" customFormat="1" x14ac:dyDescent="0.25">
      <c r="A2827" s="1" t="s">
        <v>2</v>
      </c>
      <c r="B2827" s="1" t="s">
        <v>157</v>
      </c>
    </row>
    <row r="2828" spans="1:2" x14ac:dyDescent="0.25">
      <c r="A2828" t="s">
        <v>3</v>
      </c>
      <c r="B2828" t="s">
        <v>4</v>
      </c>
    </row>
    <row r="2829" spans="1:2" x14ac:dyDescent="0.25">
      <c r="A2829" t="s">
        <v>5</v>
      </c>
      <c r="B2829" t="s">
        <v>4</v>
      </c>
    </row>
    <row r="2830" spans="1:2" x14ac:dyDescent="0.25">
      <c r="A2830" t="s">
        <v>6</v>
      </c>
      <c r="B2830" t="s">
        <v>4</v>
      </c>
    </row>
    <row r="2831" spans="1:2" x14ac:dyDescent="0.25">
      <c r="A2831" t="s">
        <v>7</v>
      </c>
      <c r="B2831">
        <v>3.82</v>
      </c>
    </row>
    <row r="2832" spans="1:2" x14ac:dyDescent="0.25">
      <c r="A2832" t="s">
        <v>8</v>
      </c>
      <c r="B2832">
        <v>6.93</v>
      </c>
    </row>
    <row r="2833" spans="1:2" x14ac:dyDescent="0.25">
      <c r="A2833" t="s">
        <v>9</v>
      </c>
      <c r="B2833" t="s">
        <v>4</v>
      </c>
    </row>
    <row r="2834" spans="1:2" x14ac:dyDescent="0.25">
      <c r="A2834" t="s">
        <v>10</v>
      </c>
      <c r="B2834">
        <v>15.76</v>
      </c>
    </row>
    <row r="2835" spans="1:2" x14ac:dyDescent="0.25">
      <c r="A2835" t="s">
        <v>11</v>
      </c>
      <c r="B2835">
        <v>3.22</v>
      </c>
    </row>
    <row r="2836" spans="1:2" x14ac:dyDescent="0.25">
      <c r="A2836" t="s">
        <v>12</v>
      </c>
      <c r="B2836">
        <v>1.5</v>
      </c>
    </row>
    <row r="2837" spans="1:2" x14ac:dyDescent="0.25">
      <c r="A2837" t="s">
        <v>13</v>
      </c>
      <c r="B2837">
        <v>10.76</v>
      </c>
    </row>
    <row r="2838" spans="1:2" x14ac:dyDescent="0.25">
      <c r="A2838" t="s">
        <v>14</v>
      </c>
      <c r="B2838">
        <v>21.31</v>
      </c>
    </row>
    <row r="2839" spans="1:2" x14ac:dyDescent="0.25">
      <c r="A2839" t="s">
        <v>15</v>
      </c>
      <c r="B2839">
        <v>16.72</v>
      </c>
    </row>
    <row r="2840" spans="1:2" x14ac:dyDescent="0.25">
      <c r="A2840" t="s">
        <v>16</v>
      </c>
      <c r="B2840">
        <v>20.03</v>
      </c>
    </row>
    <row r="2841" spans="1:2" x14ac:dyDescent="0.25">
      <c r="A2841" t="s">
        <v>17</v>
      </c>
      <c r="B2841">
        <v>7.72</v>
      </c>
    </row>
    <row r="2842" spans="1:2" x14ac:dyDescent="0.25">
      <c r="A2842" t="s">
        <v>18</v>
      </c>
      <c r="B2842" t="s">
        <v>4</v>
      </c>
    </row>
    <row r="2843" spans="1:2" x14ac:dyDescent="0.25">
      <c r="A2843" t="s">
        <v>19</v>
      </c>
      <c r="B2843" t="s">
        <v>4</v>
      </c>
    </row>
    <row r="2844" spans="1:2" x14ac:dyDescent="0.25">
      <c r="A2844" t="s">
        <v>20</v>
      </c>
      <c r="B2844" t="s">
        <v>4</v>
      </c>
    </row>
    <row r="2845" spans="1:2" x14ac:dyDescent="0.25">
      <c r="A2845" t="s">
        <v>21</v>
      </c>
      <c r="B2845" t="s">
        <v>4</v>
      </c>
    </row>
    <row r="2846" spans="1:2" x14ac:dyDescent="0.25">
      <c r="A2846" t="s">
        <v>22</v>
      </c>
      <c r="B2846">
        <v>2.16</v>
      </c>
    </row>
    <row r="2847" spans="1:2" x14ac:dyDescent="0.25">
      <c r="A2847" t="s">
        <v>23</v>
      </c>
      <c r="B2847">
        <v>4.3600000000000003</v>
      </c>
    </row>
    <row r="2848" spans="1:2" x14ac:dyDescent="0.25">
      <c r="A2848" t="s">
        <v>24</v>
      </c>
      <c r="B2848">
        <v>2.3199999999999998</v>
      </c>
    </row>
    <row r="2849" spans="1:2" x14ac:dyDescent="0.25">
      <c r="A2849" t="s">
        <v>25</v>
      </c>
      <c r="B2849">
        <v>5.94</v>
      </c>
    </row>
    <row r="2850" spans="1:2" x14ac:dyDescent="0.25">
      <c r="A2850" t="s">
        <v>26</v>
      </c>
      <c r="B2850">
        <v>3.61</v>
      </c>
    </row>
    <row r="2851" spans="1:2" x14ac:dyDescent="0.25">
      <c r="A2851" t="s">
        <v>27</v>
      </c>
      <c r="B2851">
        <v>2.71</v>
      </c>
    </row>
    <row r="2852" spans="1:2" x14ac:dyDescent="0.25">
      <c r="A2852" t="s">
        <v>28</v>
      </c>
      <c r="B2852">
        <v>636.04999999999995</v>
      </c>
    </row>
    <row r="2853" spans="1:2" x14ac:dyDescent="0.25">
      <c r="A2853" t="s">
        <v>29</v>
      </c>
      <c r="B2853">
        <v>13.44</v>
      </c>
    </row>
    <row r="2854" spans="1:2" x14ac:dyDescent="0.25">
      <c r="A2854" t="s">
        <v>30</v>
      </c>
      <c r="B2854">
        <v>3.59</v>
      </c>
    </row>
    <row r="2855" spans="1:2" x14ac:dyDescent="0.25">
      <c r="A2855" t="s">
        <v>31</v>
      </c>
      <c r="B2855">
        <v>3.44</v>
      </c>
    </row>
    <row r="2856" spans="1:2" x14ac:dyDescent="0.25">
      <c r="A2856" t="s">
        <v>32</v>
      </c>
      <c r="B2856" t="s">
        <v>4</v>
      </c>
    </row>
    <row r="2857" spans="1:2" x14ac:dyDescent="0.25">
      <c r="A2857" t="s">
        <v>33</v>
      </c>
      <c r="B2857" t="s">
        <v>4</v>
      </c>
    </row>
    <row r="2858" spans="1:2" x14ac:dyDescent="0.25">
      <c r="A2858" t="s">
        <v>34</v>
      </c>
      <c r="B2858" t="s">
        <v>4</v>
      </c>
    </row>
    <row r="2859" spans="1:2" x14ac:dyDescent="0.25">
      <c r="A2859" t="s">
        <v>35</v>
      </c>
      <c r="B2859" t="s">
        <v>4</v>
      </c>
    </row>
    <row r="2860" spans="1:2" x14ac:dyDescent="0.25">
      <c r="A2860" t="s">
        <v>36</v>
      </c>
      <c r="B2860" t="s">
        <v>4</v>
      </c>
    </row>
    <row r="2861" spans="1:2" x14ac:dyDescent="0.25">
      <c r="A2861" t="s">
        <v>37</v>
      </c>
      <c r="B2861" t="s">
        <v>4</v>
      </c>
    </row>
    <row r="2862" spans="1:2" x14ac:dyDescent="0.25">
      <c r="A2862" t="s">
        <v>38</v>
      </c>
      <c r="B2862" t="s">
        <v>4</v>
      </c>
    </row>
    <row r="2863" spans="1:2" x14ac:dyDescent="0.25">
      <c r="A2863" t="s">
        <v>39</v>
      </c>
      <c r="B2863" t="s">
        <v>4</v>
      </c>
    </row>
    <row r="2864" spans="1:2" x14ac:dyDescent="0.25">
      <c r="A2864" t="s">
        <v>40</v>
      </c>
      <c r="B2864" t="s">
        <v>4</v>
      </c>
    </row>
    <row r="2865" spans="1:2" x14ac:dyDescent="0.25">
      <c r="A2865" t="s">
        <v>41</v>
      </c>
      <c r="B2865" t="s">
        <v>4</v>
      </c>
    </row>
    <row r="2866" spans="1:2" x14ac:dyDescent="0.25">
      <c r="A2866" t="s">
        <v>42</v>
      </c>
      <c r="B2866" t="s">
        <v>4</v>
      </c>
    </row>
    <row r="2867" spans="1:2" x14ac:dyDescent="0.25">
      <c r="A2867" t="s">
        <v>43</v>
      </c>
      <c r="B2867" t="s">
        <v>4</v>
      </c>
    </row>
    <row r="2868" spans="1:2" x14ac:dyDescent="0.25">
      <c r="A2868" t="s">
        <v>44</v>
      </c>
      <c r="B2868" t="s">
        <v>4</v>
      </c>
    </row>
    <row r="2869" spans="1:2" x14ac:dyDescent="0.25">
      <c r="A2869" t="s">
        <v>45</v>
      </c>
      <c r="B2869" t="s">
        <v>4</v>
      </c>
    </row>
    <row r="2870" spans="1:2" x14ac:dyDescent="0.25">
      <c r="A2870" t="s">
        <v>46</v>
      </c>
      <c r="B2870" t="s">
        <v>4</v>
      </c>
    </row>
    <row r="2871" spans="1:2" x14ac:dyDescent="0.25">
      <c r="A2871" t="s">
        <v>47</v>
      </c>
      <c r="B2871" t="s">
        <v>4</v>
      </c>
    </row>
    <row r="2872" spans="1:2" x14ac:dyDescent="0.25">
      <c r="A2872" t="s">
        <v>48</v>
      </c>
      <c r="B2872" t="s">
        <v>4</v>
      </c>
    </row>
    <row r="2873" spans="1:2" x14ac:dyDescent="0.25">
      <c r="A2873" t="s">
        <v>49</v>
      </c>
      <c r="B2873" t="s">
        <v>4</v>
      </c>
    </row>
    <row r="2874" spans="1:2" x14ac:dyDescent="0.25">
      <c r="A2874" t="s">
        <v>50</v>
      </c>
      <c r="B2874" t="s">
        <v>4</v>
      </c>
    </row>
    <row r="2875" spans="1:2" x14ac:dyDescent="0.25">
      <c r="A2875" t="s">
        <v>51</v>
      </c>
      <c r="B2875" t="s">
        <v>4</v>
      </c>
    </row>
    <row r="2876" spans="1:2" x14ac:dyDescent="0.25">
      <c r="A2876" t="s">
        <v>52</v>
      </c>
      <c r="B2876" t="s">
        <v>4</v>
      </c>
    </row>
    <row r="2877" spans="1:2" x14ac:dyDescent="0.25">
      <c r="A2877" t="s">
        <v>53</v>
      </c>
      <c r="B2877">
        <v>165.63</v>
      </c>
    </row>
    <row r="2878" spans="1:2" x14ac:dyDescent="0.25">
      <c r="A2878" t="s">
        <v>54</v>
      </c>
      <c r="B2878">
        <v>56.99</v>
      </c>
    </row>
    <row r="2879" spans="1:2" x14ac:dyDescent="0.25">
      <c r="A2879" t="s">
        <v>55</v>
      </c>
      <c r="B2879">
        <v>28.98</v>
      </c>
    </row>
    <row r="2880" spans="1:2" x14ac:dyDescent="0.25">
      <c r="A2880" t="s">
        <v>56</v>
      </c>
      <c r="B2880" t="s">
        <v>4</v>
      </c>
    </row>
    <row r="2881" spans="1:4" x14ac:dyDescent="0.25">
      <c r="A2881" t="s">
        <v>57</v>
      </c>
      <c r="B2881" t="s">
        <v>4</v>
      </c>
    </row>
    <row r="2882" spans="1:4" x14ac:dyDescent="0.25">
      <c r="A2882" t="s">
        <v>58</v>
      </c>
      <c r="B2882" t="s">
        <v>4</v>
      </c>
    </row>
    <row r="2883" spans="1:4" x14ac:dyDescent="0.25">
      <c r="A2883" t="s">
        <v>59</v>
      </c>
      <c r="B2883">
        <v>7.86</v>
      </c>
    </row>
    <row r="2884" spans="1:4" x14ac:dyDescent="0.25">
      <c r="A2884" t="s">
        <v>60</v>
      </c>
      <c r="B2884">
        <v>7.05</v>
      </c>
    </row>
    <row r="2885" spans="1:4" x14ac:dyDescent="0.25">
      <c r="A2885" t="s">
        <v>61</v>
      </c>
      <c r="B2885">
        <v>5.42</v>
      </c>
    </row>
    <row r="2886" spans="1:4" x14ac:dyDescent="0.25">
      <c r="A2886" t="s">
        <v>62</v>
      </c>
      <c r="B2886">
        <v>5.05</v>
      </c>
    </row>
    <row r="2887" spans="1:4" x14ac:dyDescent="0.25">
      <c r="A2887" t="s">
        <v>63</v>
      </c>
      <c r="B2887" s="2">
        <v>10118.700000000001</v>
      </c>
      <c r="D2887" s="2" t="s">
        <v>166</v>
      </c>
    </row>
    <row r="2888" spans="1:4" x14ac:dyDescent="0.25">
      <c r="A2888" t="s">
        <v>64</v>
      </c>
      <c r="B2888" s="2">
        <v>15154.5</v>
      </c>
      <c r="D2888" s="2" t="s">
        <v>167</v>
      </c>
    </row>
    <row r="2889" spans="1:4" x14ac:dyDescent="0.25">
      <c r="A2889" t="s">
        <v>65</v>
      </c>
      <c r="B2889">
        <v>10.25</v>
      </c>
    </row>
    <row r="2890" spans="1:4" x14ac:dyDescent="0.25">
      <c r="A2890" t="s">
        <v>66</v>
      </c>
      <c r="B2890">
        <v>12.31</v>
      </c>
    </row>
    <row r="2891" spans="1:4" x14ac:dyDescent="0.25">
      <c r="A2891" t="s">
        <v>67</v>
      </c>
      <c r="B2891">
        <v>10.97</v>
      </c>
    </row>
    <row r="2892" spans="1:4" x14ac:dyDescent="0.25">
      <c r="A2892" t="s">
        <v>68</v>
      </c>
      <c r="B2892">
        <v>7.67</v>
      </c>
    </row>
    <row r="2893" spans="1:4" x14ac:dyDescent="0.25">
      <c r="A2893" t="s">
        <v>69</v>
      </c>
      <c r="B2893">
        <v>9.86</v>
      </c>
    </row>
    <row r="2894" spans="1:4" x14ac:dyDescent="0.25">
      <c r="A2894" t="s">
        <v>70</v>
      </c>
      <c r="B2894">
        <v>125.21</v>
      </c>
    </row>
    <row r="2895" spans="1:4" x14ac:dyDescent="0.25">
      <c r="A2895" t="s">
        <v>71</v>
      </c>
      <c r="B2895">
        <v>111.72</v>
      </c>
    </row>
    <row r="2896" spans="1:4" x14ac:dyDescent="0.25">
      <c r="A2896" t="s">
        <v>72</v>
      </c>
      <c r="B2896">
        <v>88</v>
      </c>
    </row>
    <row r="2897" spans="1:2" x14ac:dyDescent="0.25">
      <c r="A2897" t="s">
        <v>73</v>
      </c>
      <c r="B2897">
        <v>2.8</v>
      </c>
    </row>
    <row r="2898" spans="1:2" x14ac:dyDescent="0.25">
      <c r="A2898" t="s">
        <v>74</v>
      </c>
      <c r="B2898">
        <v>100.66</v>
      </c>
    </row>
    <row r="2899" spans="1:2" x14ac:dyDescent="0.25">
      <c r="A2899" t="s">
        <v>75</v>
      </c>
      <c r="B2899">
        <v>134.21</v>
      </c>
    </row>
    <row r="2900" spans="1:2" x14ac:dyDescent="0.25">
      <c r="A2900" t="s">
        <v>76</v>
      </c>
      <c r="B2900">
        <v>64.33</v>
      </c>
    </row>
    <row r="2901" spans="1:2" x14ac:dyDescent="0.25">
      <c r="A2901" t="s">
        <v>77</v>
      </c>
      <c r="B2901">
        <v>94.48</v>
      </c>
    </row>
    <row r="2902" spans="1:2" x14ac:dyDescent="0.25">
      <c r="A2902" t="s">
        <v>78</v>
      </c>
      <c r="B2902" t="s">
        <v>4</v>
      </c>
    </row>
    <row r="2903" spans="1:2" x14ac:dyDescent="0.25">
      <c r="A2903" t="s">
        <v>79</v>
      </c>
      <c r="B2903" t="s">
        <v>4</v>
      </c>
    </row>
    <row r="2904" spans="1:2" x14ac:dyDescent="0.25">
      <c r="A2904" t="s">
        <v>80</v>
      </c>
      <c r="B2904" t="s">
        <v>4</v>
      </c>
    </row>
    <row r="2905" spans="1:2" x14ac:dyDescent="0.25">
      <c r="A2905" t="s">
        <v>81</v>
      </c>
      <c r="B2905" t="s">
        <v>4</v>
      </c>
    </row>
    <row r="2908" spans="1:2" x14ac:dyDescent="0.25">
      <c r="A2908" t="s">
        <v>0</v>
      </c>
      <c r="B2908" t="s">
        <v>110</v>
      </c>
    </row>
    <row r="2910" spans="1:2" s="1" customFormat="1" x14ac:dyDescent="0.25">
      <c r="A2910" s="1" t="s">
        <v>2</v>
      </c>
      <c r="B2910" s="1" t="s">
        <v>157</v>
      </c>
    </row>
    <row r="2911" spans="1:2" x14ac:dyDescent="0.25">
      <c r="A2911" t="s">
        <v>3</v>
      </c>
      <c r="B2911" t="s">
        <v>4</v>
      </c>
    </row>
    <row r="2912" spans="1:2" x14ac:dyDescent="0.25">
      <c r="A2912" t="s">
        <v>5</v>
      </c>
      <c r="B2912" t="s">
        <v>4</v>
      </c>
    </row>
    <row r="2913" spans="1:2" x14ac:dyDescent="0.25">
      <c r="A2913" t="s">
        <v>6</v>
      </c>
      <c r="B2913" t="s">
        <v>4</v>
      </c>
    </row>
    <row r="2914" spans="1:2" x14ac:dyDescent="0.25">
      <c r="A2914" t="s">
        <v>7</v>
      </c>
      <c r="B2914" t="s">
        <v>4</v>
      </c>
    </row>
    <row r="2915" spans="1:2" x14ac:dyDescent="0.25">
      <c r="A2915" t="s">
        <v>8</v>
      </c>
      <c r="B2915" t="s">
        <v>4</v>
      </c>
    </row>
    <row r="2916" spans="1:2" x14ac:dyDescent="0.25">
      <c r="A2916" t="s">
        <v>9</v>
      </c>
      <c r="B2916" t="s">
        <v>4</v>
      </c>
    </row>
    <row r="2917" spans="1:2" x14ac:dyDescent="0.25">
      <c r="A2917" t="s">
        <v>10</v>
      </c>
      <c r="B2917" t="s">
        <v>4</v>
      </c>
    </row>
    <row r="2918" spans="1:2" x14ac:dyDescent="0.25">
      <c r="A2918" t="s">
        <v>11</v>
      </c>
      <c r="B2918" t="s">
        <v>4</v>
      </c>
    </row>
    <row r="2919" spans="1:2" x14ac:dyDescent="0.25">
      <c r="A2919" t="s">
        <v>12</v>
      </c>
      <c r="B2919" t="s">
        <v>4</v>
      </c>
    </row>
    <row r="2920" spans="1:2" x14ac:dyDescent="0.25">
      <c r="A2920" t="s">
        <v>13</v>
      </c>
      <c r="B2920" t="s">
        <v>4</v>
      </c>
    </row>
    <row r="2921" spans="1:2" x14ac:dyDescent="0.25">
      <c r="A2921" t="s">
        <v>14</v>
      </c>
      <c r="B2921" t="s">
        <v>4</v>
      </c>
    </row>
    <row r="2922" spans="1:2" x14ac:dyDescent="0.25">
      <c r="A2922" t="s">
        <v>15</v>
      </c>
      <c r="B2922" t="s">
        <v>4</v>
      </c>
    </row>
    <row r="2923" spans="1:2" x14ac:dyDescent="0.25">
      <c r="A2923" t="s">
        <v>16</v>
      </c>
      <c r="B2923" t="s">
        <v>4</v>
      </c>
    </row>
    <row r="2924" spans="1:2" x14ac:dyDescent="0.25">
      <c r="A2924" t="s">
        <v>17</v>
      </c>
      <c r="B2924" t="s">
        <v>4</v>
      </c>
    </row>
    <row r="2925" spans="1:2" x14ac:dyDescent="0.25">
      <c r="A2925" t="s">
        <v>18</v>
      </c>
      <c r="B2925" t="s">
        <v>4</v>
      </c>
    </row>
    <row r="2926" spans="1:2" x14ac:dyDescent="0.25">
      <c r="A2926" t="s">
        <v>19</v>
      </c>
      <c r="B2926" t="s">
        <v>4</v>
      </c>
    </row>
    <row r="2927" spans="1:2" x14ac:dyDescent="0.25">
      <c r="A2927" t="s">
        <v>20</v>
      </c>
      <c r="B2927" t="s">
        <v>4</v>
      </c>
    </row>
    <row r="2928" spans="1:2" x14ac:dyDescent="0.25">
      <c r="A2928" t="s">
        <v>21</v>
      </c>
      <c r="B2928" t="s">
        <v>4</v>
      </c>
    </row>
    <row r="2929" spans="1:2" x14ac:dyDescent="0.25">
      <c r="A2929" t="s">
        <v>22</v>
      </c>
      <c r="B2929" t="s">
        <v>4</v>
      </c>
    </row>
    <row r="2930" spans="1:2" x14ac:dyDescent="0.25">
      <c r="A2930" t="s">
        <v>23</v>
      </c>
      <c r="B2930" t="s">
        <v>4</v>
      </c>
    </row>
    <row r="2931" spans="1:2" x14ac:dyDescent="0.25">
      <c r="A2931" t="s">
        <v>24</v>
      </c>
      <c r="B2931" t="s">
        <v>4</v>
      </c>
    </row>
    <row r="2932" spans="1:2" x14ac:dyDescent="0.25">
      <c r="A2932" t="s">
        <v>25</v>
      </c>
      <c r="B2932" t="s">
        <v>4</v>
      </c>
    </row>
    <row r="2933" spans="1:2" x14ac:dyDescent="0.25">
      <c r="A2933" t="s">
        <v>26</v>
      </c>
      <c r="B2933" t="s">
        <v>4</v>
      </c>
    </row>
    <row r="2934" spans="1:2" x14ac:dyDescent="0.25">
      <c r="A2934" t="s">
        <v>27</v>
      </c>
      <c r="B2934" t="s">
        <v>4</v>
      </c>
    </row>
    <row r="2935" spans="1:2" x14ac:dyDescent="0.25">
      <c r="A2935" t="s">
        <v>28</v>
      </c>
      <c r="B2935">
        <v>1.29</v>
      </c>
    </row>
    <row r="2936" spans="1:2" x14ac:dyDescent="0.25">
      <c r="A2936" t="s">
        <v>29</v>
      </c>
      <c r="B2936" t="s">
        <v>4</v>
      </c>
    </row>
    <row r="2937" spans="1:2" x14ac:dyDescent="0.25">
      <c r="A2937" t="s">
        <v>30</v>
      </c>
      <c r="B2937" t="s">
        <v>4</v>
      </c>
    </row>
    <row r="2938" spans="1:2" x14ac:dyDescent="0.25">
      <c r="A2938" t="s">
        <v>31</v>
      </c>
      <c r="B2938" t="s">
        <v>4</v>
      </c>
    </row>
    <row r="2939" spans="1:2" x14ac:dyDescent="0.25">
      <c r="A2939" t="s">
        <v>32</v>
      </c>
      <c r="B2939" t="s">
        <v>4</v>
      </c>
    </row>
    <row r="2940" spans="1:2" x14ac:dyDescent="0.25">
      <c r="A2940" t="s">
        <v>33</v>
      </c>
      <c r="B2940" t="s">
        <v>4</v>
      </c>
    </row>
    <row r="2941" spans="1:2" x14ac:dyDescent="0.25">
      <c r="A2941" t="s">
        <v>34</v>
      </c>
      <c r="B2941" t="s">
        <v>4</v>
      </c>
    </row>
    <row r="2942" spans="1:2" x14ac:dyDescent="0.25">
      <c r="A2942" t="s">
        <v>35</v>
      </c>
      <c r="B2942" t="s">
        <v>4</v>
      </c>
    </row>
    <row r="2943" spans="1:2" x14ac:dyDescent="0.25">
      <c r="A2943" t="s">
        <v>36</v>
      </c>
      <c r="B2943" t="s">
        <v>4</v>
      </c>
    </row>
    <row r="2944" spans="1:2" x14ac:dyDescent="0.25">
      <c r="A2944" t="s">
        <v>37</v>
      </c>
      <c r="B2944" t="s">
        <v>4</v>
      </c>
    </row>
    <row r="2945" spans="1:2" x14ac:dyDescent="0.25">
      <c r="A2945" t="s">
        <v>38</v>
      </c>
      <c r="B2945" t="s">
        <v>4</v>
      </c>
    </row>
    <row r="2946" spans="1:2" x14ac:dyDescent="0.25">
      <c r="A2946" t="s">
        <v>39</v>
      </c>
      <c r="B2946" t="s">
        <v>4</v>
      </c>
    </row>
    <row r="2947" spans="1:2" x14ac:dyDescent="0.25">
      <c r="A2947" t="s">
        <v>40</v>
      </c>
      <c r="B2947" t="s">
        <v>4</v>
      </c>
    </row>
    <row r="2948" spans="1:2" x14ac:dyDescent="0.25">
      <c r="A2948" t="s">
        <v>41</v>
      </c>
      <c r="B2948" t="s">
        <v>4</v>
      </c>
    </row>
    <row r="2949" spans="1:2" x14ac:dyDescent="0.25">
      <c r="A2949" t="s">
        <v>42</v>
      </c>
      <c r="B2949" t="s">
        <v>4</v>
      </c>
    </row>
    <row r="2950" spans="1:2" x14ac:dyDescent="0.25">
      <c r="A2950" t="s">
        <v>43</v>
      </c>
      <c r="B2950" t="s">
        <v>4</v>
      </c>
    </row>
    <row r="2951" spans="1:2" x14ac:dyDescent="0.25">
      <c r="A2951" t="s">
        <v>44</v>
      </c>
      <c r="B2951" t="s">
        <v>4</v>
      </c>
    </row>
    <row r="2952" spans="1:2" x14ac:dyDescent="0.25">
      <c r="A2952" t="s">
        <v>45</v>
      </c>
      <c r="B2952" t="s">
        <v>4</v>
      </c>
    </row>
    <row r="2953" spans="1:2" x14ac:dyDescent="0.25">
      <c r="A2953" t="s">
        <v>46</v>
      </c>
      <c r="B2953" t="s">
        <v>4</v>
      </c>
    </row>
    <row r="2954" spans="1:2" x14ac:dyDescent="0.25">
      <c r="A2954" t="s">
        <v>47</v>
      </c>
      <c r="B2954" t="s">
        <v>4</v>
      </c>
    </row>
    <row r="2955" spans="1:2" x14ac:dyDescent="0.25">
      <c r="A2955" t="s">
        <v>48</v>
      </c>
      <c r="B2955" t="s">
        <v>4</v>
      </c>
    </row>
    <row r="2956" spans="1:2" x14ac:dyDescent="0.25">
      <c r="A2956" t="s">
        <v>49</v>
      </c>
      <c r="B2956" t="s">
        <v>4</v>
      </c>
    </row>
    <row r="2957" spans="1:2" x14ac:dyDescent="0.25">
      <c r="A2957" t="s">
        <v>50</v>
      </c>
      <c r="B2957" t="s">
        <v>4</v>
      </c>
    </row>
    <row r="2958" spans="1:2" x14ac:dyDescent="0.25">
      <c r="A2958" t="s">
        <v>51</v>
      </c>
      <c r="B2958" t="s">
        <v>4</v>
      </c>
    </row>
    <row r="2959" spans="1:2" x14ac:dyDescent="0.25">
      <c r="A2959" t="s">
        <v>52</v>
      </c>
      <c r="B2959" t="s">
        <v>4</v>
      </c>
    </row>
    <row r="2960" spans="1:2" x14ac:dyDescent="0.25">
      <c r="A2960" t="s">
        <v>53</v>
      </c>
      <c r="B2960">
        <v>22.27</v>
      </c>
    </row>
    <row r="2961" spans="1:2" x14ac:dyDescent="0.25">
      <c r="A2961" t="s">
        <v>54</v>
      </c>
      <c r="B2961">
        <v>10.25</v>
      </c>
    </row>
    <row r="2962" spans="1:2" x14ac:dyDescent="0.25">
      <c r="A2962" t="s">
        <v>55</v>
      </c>
      <c r="B2962">
        <v>15.27</v>
      </c>
    </row>
    <row r="2963" spans="1:2" x14ac:dyDescent="0.25">
      <c r="A2963" t="s">
        <v>56</v>
      </c>
      <c r="B2963" t="s">
        <v>4</v>
      </c>
    </row>
    <row r="2964" spans="1:2" x14ac:dyDescent="0.25">
      <c r="A2964" t="s">
        <v>57</v>
      </c>
      <c r="B2964" t="s">
        <v>4</v>
      </c>
    </row>
    <row r="2965" spans="1:2" x14ac:dyDescent="0.25">
      <c r="A2965" t="s">
        <v>58</v>
      </c>
      <c r="B2965" t="s">
        <v>4</v>
      </c>
    </row>
    <row r="2966" spans="1:2" x14ac:dyDescent="0.25">
      <c r="A2966" t="s">
        <v>59</v>
      </c>
      <c r="B2966">
        <v>4.04</v>
      </c>
    </row>
    <row r="2967" spans="1:2" x14ac:dyDescent="0.25">
      <c r="A2967" t="s">
        <v>60</v>
      </c>
      <c r="B2967">
        <v>1.4</v>
      </c>
    </row>
    <row r="2968" spans="1:2" x14ac:dyDescent="0.25">
      <c r="A2968" t="s">
        <v>61</v>
      </c>
      <c r="B2968">
        <v>1.1000000000000001</v>
      </c>
    </row>
    <row r="2969" spans="1:2" x14ac:dyDescent="0.25">
      <c r="A2969" t="s">
        <v>62</v>
      </c>
      <c r="B2969">
        <v>0.95</v>
      </c>
    </row>
    <row r="2970" spans="1:2" x14ac:dyDescent="0.25">
      <c r="A2970" t="s">
        <v>63</v>
      </c>
      <c r="B2970">
        <v>5324.98</v>
      </c>
    </row>
    <row r="2971" spans="1:2" x14ac:dyDescent="0.25">
      <c r="A2971" t="s">
        <v>64</v>
      </c>
      <c r="B2971" t="s">
        <v>4</v>
      </c>
    </row>
    <row r="2972" spans="1:2" x14ac:dyDescent="0.25">
      <c r="A2972" t="s">
        <v>65</v>
      </c>
      <c r="B2972">
        <v>28.24</v>
      </c>
    </row>
    <row r="2973" spans="1:2" x14ac:dyDescent="0.25">
      <c r="A2973" t="s">
        <v>66</v>
      </c>
      <c r="B2973">
        <v>5.8</v>
      </c>
    </row>
    <row r="2974" spans="1:2" x14ac:dyDescent="0.25">
      <c r="A2974" t="s">
        <v>67</v>
      </c>
      <c r="B2974">
        <v>3.24</v>
      </c>
    </row>
    <row r="2975" spans="1:2" x14ac:dyDescent="0.25">
      <c r="A2975" t="s">
        <v>68</v>
      </c>
      <c r="B2975">
        <v>10.56</v>
      </c>
    </row>
    <row r="2976" spans="1:2" x14ac:dyDescent="0.25">
      <c r="A2976" t="s">
        <v>69</v>
      </c>
      <c r="B2976" t="s">
        <v>4</v>
      </c>
    </row>
    <row r="2977" spans="1:2" x14ac:dyDescent="0.25">
      <c r="A2977" t="s">
        <v>70</v>
      </c>
      <c r="B2977">
        <v>20.2</v>
      </c>
    </row>
    <row r="2978" spans="1:2" x14ac:dyDescent="0.25">
      <c r="A2978" t="s">
        <v>71</v>
      </c>
      <c r="B2978">
        <v>42.78</v>
      </c>
    </row>
    <row r="2979" spans="1:2" x14ac:dyDescent="0.25">
      <c r="A2979" t="s">
        <v>72</v>
      </c>
      <c r="B2979">
        <v>32.840000000000003</v>
      </c>
    </row>
    <row r="2980" spans="1:2" x14ac:dyDescent="0.25">
      <c r="A2980" t="s">
        <v>73</v>
      </c>
      <c r="B2980" t="s">
        <v>4</v>
      </c>
    </row>
    <row r="2981" spans="1:2" x14ac:dyDescent="0.25">
      <c r="A2981" t="s">
        <v>74</v>
      </c>
      <c r="B2981">
        <v>28.6</v>
      </c>
    </row>
    <row r="2982" spans="1:2" x14ac:dyDescent="0.25">
      <c r="A2982" t="s">
        <v>75</v>
      </c>
      <c r="B2982">
        <v>19.600000000000001</v>
      </c>
    </row>
    <row r="2983" spans="1:2" x14ac:dyDescent="0.25">
      <c r="A2983" t="s">
        <v>76</v>
      </c>
      <c r="B2983">
        <v>38.15</v>
      </c>
    </row>
    <row r="2984" spans="1:2" x14ac:dyDescent="0.25">
      <c r="A2984" t="s">
        <v>77</v>
      </c>
      <c r="B2984">
        <v>25.88</v>
      </c>
    </row>
    <row r="2985" spans="1:2" x14ac:dyDescent="0.25">
      <c r="A2985" t="s">
        <v>78</v>
      </c>
      <c r="B2985" t="s">
        <v>4</v>
      </c>
    </row>
    <row r="2986" spans="1:2" x14ac:dyDescent="0.25">
      <c r="A2986" t="s">
        <v>79</v>
      </c>
      <c r="B2986" t="s">
        <v>4</v>
      </c>
    </row>
    <row r="2987" spans="1:2" x14ac:dyDescent="0.25">
      <c r="A2987" t="s">
        <v>80</v>
      </c>
      <c r="B2987" t="s">
        <v>4</v>
      </c>
    </row>
    <row r="2988" spans="1:2" x14ac:dyDescent="0.25">
      <c r="A2988" t="s">
        <v>81</v>
      </c>
      <c r="B2988" t="s">
        <v>4</v>
      </c>
    </row>
    <row r="2991" spans="1:2" x14ac:dyDescent="0.25">
      <c r="A2991" t="s">
        <v>0</v>
      </c>
      <c r="B2991" t="s">
        <v>111</v>
      </c>
    </row>
    <row r="2993" spans="1:2" s="1" customFormat="1" x14ac:dyDescent="0.25">
      <c r="A2993" s="1" t="s">
        <v>2</v>
      </c>
      <c r="B2993" s="1" t="s">
        <v>157</v>
      </c>
    </row>
    <row r="2994" spans="1:2" x14ac:dyDescent="0.25">
      <c r="A2994" t="s">
        <v>3</v>
      </c>
      <c r="B2994" t="s">
        <v>4</v>
      </c>
    </row>
    <row r="2995" spans="1:2" x14ac:dyDescent="0.25">
      <c r="A2995" t="s">
        <v>5</v>
      </c>
      <c r="B2995" t="s">
        <v>4</v>
      </c>
    </row>
    <row r="2996" spans="1:2" x14ac:dyDescent="0.25">
      <c r="A2996" t="s">
        <v>6</v>
      </c>
      <c r="B2996" t="s">
        <v>4</v>
      </c>
    </row>
    <row r="2997" spans="1:2" x14ac:dyDescent="0.25">
      <c r="A2997" t="s">
        <v>7</v>
      </c>
      <c r="B2997" t="s">
        <v>4</v>
      </c>
    </row>
    <row r="2998" spans="1:2" x14ac:dyDescent="0.25">
      <c r="A2998" t="s">
        <v>8</v>
      </c>
      <c r="B2998" t="s">
        <v>4</v>
      </c>
    </row>
    <row r="2999" spans="1:2" x14ac:dyDescent="0.25">
      <c r="A2999" t="s">
        <v>9</v>
      </c>
      <c r="B2999" t="s">
        <v>4</v>
      </c>
    </row>
    <row r="3000" spans="1:2" x14ac:dyDescent="0.25">
      <c r="A3000" t="s">
        <v>10</v>
      </c>
      <c r="B3000" t="s">
        <v>4</v>
      </c>
    </row>
    <row r="3001" spans="1:2" x14ac:dyDescent="0.25">
      <c r="A3001" t="s">
        <v>11</v>
      </c>
      <c r="B3001" t="s">
        <v>4</v>
      </c>
    </row>
    <row r="3002" spans="1:2" x14ac:dyDescent="0.25">
      <c r="A3002" t="s">
        <v>12</v>
      </c>
      <c r="B3002" t="s">
        <v>4</v>
      </c>
    </row>
    <row r="3003" spans="1:2" x14ac:dyDescent="0.25">
      <c r="A3003" t="s">
        <v>13</v>
      </c>
      <c r="B3003" t="s">
        <v>4</v>
      </c>
    </row>
    <row r="3004" spans="1:2" x14ac:dyDescent="0.25">
      <c r="A3004" t="s">
        <v>14</v>
      </c>
      <c r="B3004" t="s">
        <v>4</v>
      </c>
    </row>
    <row r="3005" spans="1:2" x14ac:dyDescent="0.25">
      <c r="A3005" t="s">
        <v>15</v>
      </c>
      <c r="B3005" t="s">
        <v>4</v>
      </c>
    </row>
    <row r="3006" spans="1:2" x14ac:dyDescent="0.25">
      <c r="A3006" t="s">
        <v>16</v>
      </c>
      <c r="B3006" t="s">
        <v>4</v>
      </c>
    </row>
    <row r="3007" spans="1:2" x14ac:dyDescent="0.25">
      <c r="A3007" t="s">
        <v>17</v>
      </c>
      <c r="B3007" t="s">
        <v>4</v>
      </c>
    </row>
    <row r="3008" spans="1:2" x14ac:dyDescent="0.25">
      <c r="A3008" t="s">
        <v>18</v>
      </c>
      <c r="B3008" t="s">
        <v>4</v>
      </c>
    </row>
    <row r="3009" spans="1:2" x14ac:dyDescent="0.25">
      <c r="A3009" t="s">
        <v>19</v>
      </c>
      <c r="B3009" t="s">
        <v>4</v>
      </c>
    </row>
    <row r="3010" spans="1:2" x14ac:dyDescent="0.25">
      <c r="A3010" t="s">
        <v>20</v>
      </c>
      <c r="B3010" t="s">
        <v>4</v>
      </c>
    </row>
    <row r="3011" spans="1:2" x14ac:dyDescent="0.25">
      <c r="A3011" t="s">
        <v>21</v>
      </c>
      <c r="B3011" t="s">
        <v>4</v>
      </c>
    </row>
    <row r="3012" spans="1:2" x14ac:dyDescent="0.25">
      <c r="A3012" t="s">
        <v>22</v>
      </c>
      <c r="B3012" t="s">
        <v>4</v>
      </c>
    </row>
    <row r="3013" spans="1:2" x14ac:dyDescent="0.25">
      <c r="A3013" t="s">
        <v>23</v>
      </c>
      <c r="B3013" t="s">
        <v>4</v>
      </c>
    </row>
    <row r="3014" spans="1:2" x14ac:dyDescent="0.25">
      <c r="A3014" t="s">
        <v>24</v>
      </c>
      <c r="B3014" t="s">
        <v>4</v>
      </c>
    </row>
    <row r="3015" spans="1:2" x14ac:dyDescent="0.25">
      <c r="A3015" t="s">
        <v>25</v>
      </c>
      <c r="B3015" t="s">
        <v>4</v>
      </c>
    </row>
    <row r="3016" spans="1:2" x14ac:dyDescent="0.25">
      <c r="A3016" t="s">
        <v>26</v>
      </c>
      <c r="B3016" t="s">
        <v>4</v>
      </c>
    </row>
    <row r="3017" spans="1:2" x14ac:dyDescent="0.25">
      <c r="A3017" t="s">
        <v>27</v>
      </c>
      <c r="B3017" t="s">
        <v>4</v>
      </c>
    </row>
    <row r="3018" spans="1:2" x14ac:dyDescent="0.25">
      <c r="A3018" t="s">
        <v>28</v>
      </c>
      <c r="B3018" t="s">
        <v>4</v>
      </c>
    </row>
    <row r="3019" spans="1:2" x14ac:dyDescent="0.25">
      <c r="A3019" t="s">
        <v>29</v>
      </c>
      <c r="B3019" t="s">
        <v>4</v>
      </c>
    </row>
    <row r="3020" spans="1:2" x14ac:dyDescent="0.25">
      <c r="A3020" t="s">
        <v>30</v>
      </c>
      <c r="B3020" t="s">
        <v>4</v>
      </c>
    </row>
    <row r="3021" spans="1:2" x14ac:dyDescent="0.25">
      <c r="A3021" t="s">
        <v>31</v>
      </c>
      <c r="B3021" t="s">
        <v>4</v>
      </c>
    </row>
    <row r="3022" spans="1:2" x14ac:dyDescent="0.25">
      <c r="A3022" t="s">
        <v>32</v>
      </c>
      <c r="B3022" t="s">
        <v>4</v>
      </c>
    </row>
    <row r="3023" spans="1:2" x14ac:dyDescent="0.25">
      <c r="A3023" t="s">
        <v>33</v>
      </c>
      <c r="B3023" t="s">
        <v>4</v>
      </c>
    </row>
    <row r="3024" spans="1:2" x14ac:dyDescent="0.25">
      <c r="A3024" t="s">
        <v>34</v>
      </c>
      <c r="B3024" t="s">
        <v>4</v>
      </c>
    </row>
    <row r="3025" spans="1:2" x14ac:dyDescent="0.25">
      <c r="A3025" t="s">
        <v>35</v>
      </c>
      <c r="B3025" t="s">
        <v>4</v>
      </c>
    </row>
    <row r="3026" spans="1:2" x14ac:dyDescent="0.25">
      <c r="A3026" t="s">
        <v>36</v>
      </c>
      <c r="B3026" t="s">
        <v>4</v>
      </c>
    </row>
    <row r="3027" spans="1:2" x14ac:dyDescent="0.25">
      <c r="A3027" t="s">
        <v>37</v>
      </c>
      <c r="B3027" t="s">
        <v>4</v>
      </c>
    </row>
    <row r="3028" spans="1:2" x14ac:dyDescent="0.25">
      <c r="A3028" t="s">
        <v>38</v>
      </c>
      <c r="B3028" t="s">
        <v>4</v>
      </c>
    </row>
    <row r="3029" spans="1:2" x14ac:dyDescent="0.25">
      <c r="A3029" t="s">
        <v>39</v>
      </c>
      <c r="B3029" t="s">
        <v>4</v>
      </c>
    </row>
    <row r="3030" spans="1:2" x14ac:dyDescent="0.25">
      <c r="A3030" t="s">
        <v>40</v>
      </c>
      <c r="B3030" t="s">
        <v>4</v>
      </c>
    </row>
    <row r="3031" spans="1:2" x14ac:dyDescent="0.25">
      <c r="A3031" t="s">
        <v>41</v>
      </c>
      <c r="B3031" t="s">
        <v>4</v>
      </c>
    </row>
    <row r="3032" spans="1:2" x14ac:dyDescent="0.25">
      <c r="A3032" t="s">
        <v>42</v>
      </c>
      <c r="B3032" t="s">
        <v>4</v>
      </c>
    </row>
    <row r="3033" spans="1:2" x14ac:dyDescent="0.25">
      <c r="A3033" t="s">
        <v>43</v>
      </c>
      <c r="B3033" t="s">
        <v>4</v>
      </c>
    </row>
    <row r="3034" spans="1:2" x14ac:dyDescent="0.25">
      <c r="A3034" t="s">
        <v>44</v>
      </c>
      <c r="B3034" t="s">
        <v>4</v>
      </c>
    </row>
    <row r="3035" spans="1:2" x14ac:dyDescent="0.25">
      <c r="A3035" t="s">
        <v>45</v>
      </c>
      <c r="B3035" t="s">
        <v>4</v>
      </c>
    </row>
    <row r="3036" spans="1:2" x14ac:dyDescent="0.25">
      <c r="A3036" t="s">
        <v>46</v>
      </c>
      <c r="B3036" t="s">
        <v>4</v>
      </c>
    </row>
    <row r="3037" spans="1:2" x14ac:dyDescent="0.25">
      <c r="A3037" t="s">
        <v>47</v>
      </c>
      <c r="B3037" t="s">
        <v>4</v>
      </c>
    </row>
    <row r="3038" spans="1:2" x14ac:dyDescent="0.25">
      <c r="A3038" t="s">
        <v>48</v>
      </c>
      <c r="B3038" t="s">
        <v>4</v>
      </c>
    </row>
    <row r="3039" spans="1:2" x14ac:dyDescent="0.25">
      <c r="A3039" t="s">
        <v>49</v>
      </c>
      <c r="B3039" t="s">
        <v>4</v>
      </c>
    </row>
    <row r="3040" spans="1:2" x14ac:dyDescent="0.25">
      <c r="A3040" t="s">
        <v>50</v>
      </c>
      <c r="B3040" t="s">
        <v>4</v>
      </c>
    </row>
    <row r="3041" spans="1:2" x14ac:dyDescent="0.25">
      <c r="A3041" t="s">
        <v>51</v>
      </c>
      <c r="B3041" t="s">
        <v>4</v>
      </c>
    </row>
    <row r="3042" spans="1:2" x14ac:dyDescent="0.25">
      <c r="A3042" t="s">
        <v>52</v>
      </c>
      <c r="B3042" t="s">
        <v>4</v>
      </c>
    </row>
    <row r="3043" spans="1:2" x14ac:dyDescent="0.25">
      <c r="A3043" t="s">
        <v>53</v>
      </c>
      <c r="B3043" t="s">
        <v>4</v>
      </c>
    </row>
    <row r="3044" spans="1:2" x14ac:dyDescent="0.25">
      <c r="A3044" t="s">
        <v>54</v>
      </c>
      <c r="B3044" t="s">
        <v>4</v>
      </c>
    </row>
    <row r="3045" spans="1:2" x14ac:dyDescent="0.25">
      <c r="A3045" t="s">
        <v>55</v>
      </c>
      <c r="B3045" t="s">
        <v>4</v>
      </c>
    </row>
    <row r="3046" spans="1:2" x14ac:dyDescent="0.25">
      <c r="A3046" t="s">
        <v>56</v>
      </c>
      <c r="B3046" t="s">
        <v>4</v>
      </c>
    </row>
    <row r="3047" spans="1:2" x14ac:dyDescent="0.25">
      <c r="A3047" t="s">
        <v>57</v>
      </c>
      <c r="B3047" t="s">
        <v>4</v>
      </c>
    </row>
    <row r="3048" spans="1:2" x14ac:dyDescent="0.25">
      <c r="A3048" t="s">
        <v>58</v>
      </c>
      <c r="B3048">
        <v>19.79</v>
      </c>
    </row>
    <row r="3049" spans="1:2" x14ac:dyDescent="0.25">
      <c r="A3049" t="s">
        <v>59</v>
      </c>
      <c r="B3049" t="s">
        <v>4</v>
      </c>
    </row>
    <row r="3050" spans="1:2" x14ac:dyDescent="0.25">
      <c r="A3050" t="s">
        <v>60</v>
      </c>
      <c r="B3050" t="s">
        <v>4</v>
      </c>
    </row>
    <row r="3051" spans="1:2" x14ac:dyDescent="0.25">
      <c r="A3051" t="s">
        <v>61</v>
      </c>
      <c r="B3051" t="s">
        <v>4</v>
      </c>
    </row>
    <row r="3052" spans="1:2" x14ac:dyDescent="0.25">
      <c r="A3052" t="s">
        <v>62</v>
      </c>
      <c r="B3052" t="s">
        <v>4</v>
      </c>
    </row>
    <row r="3053" spans="1:2" x14ac:dyDescent="0.25">
      <c r="A3053" t="s">
        <v>63</v>
      </c>
      <c r="B3053" t="s">
        <v>4</v>
      </c>
    </row>
    <row r="3054" spans="1:2" x14ac:dyDescent="0.25">
      <c r="A3054" t="s">
        <v>64</v>
      </c>
      <c r="B3054" t="s">
        <v>4</v>
      </c>
    </row>
    <row r="3055" spans="1:2" x14ac:dyDescent="0.25">
      <c r="A3055" t="s">
        <v>65</v>
      </c>
      <c r="B3055" t="s">
        <v>4</v>
      </c>
    </row>
    <row r="3056" spans="1:2" x14ac:dyDescent="0.25">
      <c r="A3056" t="s">
        <v>66</v>
      </c>
      <c r="B3056" t="s">
        <v>4</v>
      </c>
    </row>
    <row r="3057" spans="1:2" x14ac:dyDescent="0.25">
      <c r="A3057" t="s">
        <v>67</v>
      </c>
      <c r="B3057" t="s">
        <v>4</v>
      </c>
    </row>
    <row r="3058" spans="1:2" x14ac:dyDescent="0.25">
      <c r="A3058" t="s">
        <v>68</v>
      </c>
      <c r="B3058" t="s">
        <v>4</v>
      </c>
    </row>
    <row r="3059" spans="1:2" x14ac:dyDescent="0.25">
      <c r="A3059" t="s">
        <v>69</v>
      </c>
      <c r="B3059" t="s">
        <v>4</v>
      </c>
    </row>
    <row r="3060" spans="1:2" x14ac:dyDescent="0.25">
      <c r="A3060" t="s">
        <v>70</v>
      </c>
      <c r="B3060" t="s">
        <v>4</v>
      </c>
    </row>
    <row r="3061" spans="1:2" x14ac:dyDescent="0.25">
      <c r="A3061" t="s">
        <v>71</v>
      </c>
      <c r="B3061" t="s">
        <v>4</v>
      </c>
    </row>
    <row r="3062" spans="1:2" x14ac:dyDescent="0.25">
      <c r="A3062" t="s">
        <v>72</v>
      </c>
      <c r="B3062" t="s">
        <v>4</v>
      </c>
    </row>
    <row r="3063" spans="1:2" x14ac:dyDescent="0.25">
      <c r="A3063" t="s">
        <v>73</v>
      </c>
      <c r="B3063" t="s">
        <v>4</v>
      </c>
    </row>
    <row r="3064" spans="1:2" x14ac:dyDescent="0.25">
      <c r="A3064" t="s">
        <v>74</v>
      </c>
      <c r="B3064" t="s">
        <v>4</v>
      </c>
    </row>
    <row r="3065" spans="1:2" x14ac:dyDescent="0.25">
      <c r="A3065" t="s">
        <v>75</v>
      </c>
      <c r="B3065" t="s">
        <v>4</v>
      </c>
    </row>
    <row r="3066" spans="1:2" x14ac:dyDescent="0.25">
      <c r="A3066" t="s">
        <v>76</v>
      </c>
      <c r="B3066" t="s">
        <v>4</v>
      </c>
    </row>
    <row r="3067" spans="1:2" x14ac:dyDescent="0.25">
      <c r="A3067" t="s">
        <v>77</v>
      </c>
      <c r="B3067" t="s">
        <v>4</v>
      </c>
    </row>
    <row r="3068" spans="1:2" x14ac:dyDescent="0.25">
      <c r="A3068" t="s">
        <v>78</v>
      </c>
      <c r="B3068" t="s">
        <v>4</v>
      </c>
    </row>
    <row r="3069" spans="1:2" x14ac:dyDescent="0.25">
      <c r="A3069" t="s">
        <v>79</v>
      </c>
      <c r="B3069" t="s">
        <v>4</v>
      </c>
    </row>
    <row r="3070" spans="1:2" x14ac:dyDescent="0.25">
      <c r="A3070" t="s">
        <v>80</v>
      </c>
      <c r="B3070" t="s">
        <v>4</v>
      </c>
    </row>
    <row r="3071" spans="1:2" x14ac:dyDescent="0.25">
      <c r="A3071" t="s">
        <v>81</v>
      </c>
      <c r="B3071" t="s">
        <v>4</v>
      </c>
    </row>
    <row r="3074" spans="1:2" x14ac:dyDescent="0.25">
      <c r="A3074" t="s">
        <v>0</v>
      </c>
      <c r="B3074" t="s">
        <v>112</v>
      </c>
    </row>
    <row r="3076" spans="1:2" s="1" customFormat="1" x14ac:dyDescent="0.25">
      <c r="A3076" s="1" t="s">
        <v>2</v>
      </c>
      <c r="B3076" s="1" t="s">
        <v>157</v>
      </c>
    </row>
    <row r="3077" spans="1:2" x14ac:dyDescent="0.25">
      <c r="A3077" t="s">
        <v>3</v>
      </c>
      <c r="B3077" t="s">
        <v>4</v>
      </c>
    </row>
    <row r="3078" spans="1:2" x14ac:dyDescent="0.25">
      <c r="A3078" t="s">
        <v>5</v>
      </c>
      <c r="B3078" t="s">
        <v>4</v>
      </c>
    </row>
    <row r="3079" spans="1:2" x14ac:dyDescent="0.25">
      <c r="A3079" t="s">
        <v>6</v>
      </c>
      <c r="B3079" t="s">
        <v>4</v>
      </c>
    </row>
    <row r="3080" spans="1:2" x14ac:dyDescent="0.25">
      <c r="A3080" t="s">
        <v>7</v>
      </c>
      <c r="B3080" t="s">
        <v>4</v>
      </c>
    </row>
    <row r="3081" spans="1:2" x14ac:dyDescent="0.25">
      <c r="A3081" t="s">
        <v>8</v>
      </c>
      <c r="B3081" t="s">
        <v>4</v>
      </c>
    </row>
    <row r="3082" spans="1:2" x14ac:dyDescent="0.25">
      <c r="A3082" t="s">
        <v>9</v>
      </c>
      <c r="B3082">
        <v>3.51</v>
      </c>
    </row>
    <row r="3083" spans="1:2" x14ac:dyDescent="0.25">
      <c r="A3083" t="s">
        <v>10</v>
      </c>
      <c r="B3083">
        <v>3.98</v>
      </c>
    </row>
    <row r="3084" spans="1:2" x14ac:dyDescent="0.25">
      <c r="A3084" t="s">
        <v>11</v>
      </c>
      <c r="B3084" t="s">
        <v>4</v>
      </c>
    </row>
    <row r="3085" spans="1:2" x14ac:dyDescent="0.25">
      <c r="A3085" t="s">
        <v>12</v>
      </c>
      <c r="B3085" t="s">
        <v>4</v>
      </c>
    </row>
    <row r="3086" spans="1:2" x14ac:dyDescent="0.25">
      <c r="A3086" t="s">
        <v>13</v>
      </c>
      <c r="B3086">
        <v>5.13</v>
      </c>
    </row>
    <row r="3087" spans="1:2" x14ac:dyDescent="0.25">
      <c r="A3087" t="s">
        <v>14</v>
      </c>
      <c r="B3087">
        <v>11.18</v>
      </c>
    </row>
    <row r="3088" spans="1:2" x14ac:dyDescent="0.25">
      <c r="A3088" t="s">
        <v>15</v>
      </c>
      <c r="B3088">
        <v>6.08</v>
      </c>
    </row>
    <row r="3089" spans="1:2" x14ac:dyDescent="0.25">
      <c r="A3089" t="s">
        <v>16</v>
      </c>
      <c r="B3089">
        <v>6.35</v>
      </c>
    </row>
    <row r="3090" spans="1:2" x14ac:dyDescent="0.25">
      <c r="A3090" t="s">
        <v>17</v>
      </c>
      <c r="B3090">
        <v>0.33</v>
      </c>
    </row>
    <row r="3091" spans="1:2" x14ac:dyDescent="0.25">
      <c r="A3091" t="s">
        <v>18</v>
      </c>
      <c r="B3091" t="s">
        <v>4</v>
      </c>
    </row>
    <row r="3092" spans="1:2" x14ac:dyDescent="0.25">
      <c r="A3092" t="s">
        <v>19</v>
      </c>
      <c r="B3092" t="s">
        <v>4</v>
      </c>
    </row>
    <row r="3093" spans="1:2" x14ac:dyDescent="0.25">
      <c r="A3093" t="s">
        <v>20</v>
      </c>
      <c r="B3093" t="s">
        <v>4</v>
      </c>
    </row>
    <row r="3094" spans="1:2" x14ac:dyDescent="0.25">
      <c r="A3094" t="s">
        <v>21</v>
      </c>
      <c r="B3094" t="s">
        <v>4</v>
      </c>
    </row>
    <row r="3095" spans="1:2" x14ac:dyDescent="0.25">
      <c r="A3095" t="s">
        <v>22</v>
      </c>
      <c r="B3095" t="s">
        <v>4</v>
      </c>
    </row>
    <row r="3096" spans="1:2" x14ac:dyDescent="0.25">
      <c r="A3096" t="s">
        <v>23</v>
      </c>
      <c r="B3096">
        <v>0.93</v>
      </c>
    </row>
    <row r="3097" spans="1:2" x14ac:dyDescent="0.25">
      <c r="A3097" t="s">
        <v>24</v>
      </c>
      <c r="B3097" t="s">
        <v>4</v>
      </c>
    </row>
    <row r="3098" spans="1:2" x14ac:dyDescent="0.25">
      <c r="A3098" t="s">
        <v>25</v>
      </c>
      <c r="B3098" t="s">
        <v>4</v>
      </c>
    </row>
    <row r="3099" spans="1:2" x14ac:dyDescent="0.25">
      <c r="A3099" t="s">
        <v>26</v>
      </c>
      <c r="B3099" t="s">
        <v>4</v>
      </c>
    </row>
    <row r="3100" spans="1:2" x14ac:dyDescent="0.25">
      <c r="A3100" t="s">
        <v>27</v>
      </c>
      <c r="B3100" t="s">
        <v>4</v>
      </c>
    </row>
    <row r="3101" spans="1:2" x14ac:dyDescent="0.25">
      <c r="A3101" t="s">
        <v>28</v>
      </c>
      <c r="B3101" t="s">
        <v>4</v>
      </c>
    </row>
    <row r="3102" spans="1:2" x14ac:dyDescent="0.25">
      <c r="A3102" t="s">
        <v>29</v>
      </c>
      <c r="B3102">
        <v>6.64</v>
      </c>
    </row>
    <row r="3103" spans="1:2" x14ac:dyDescent="0.25">
      <c r="A3103" t="s">
        <v>30</v>
      </c>
      <c r="B3103" t="s">
        <v>4</v>
      </c>
    </row>
    <row r="3104" spans="1:2" x14ac:dyDescent="0.25">
      <c r="A3104" t="s">
        <v>31</v>
      </c>
      <c r="B3104" t="s">
        <v>4</v>
      </c>
    </row>
    <row r="3105" spans="1:2" x14ac:dyDescent="0.25">
      <c r="A3105" t="s">
        <v>32</v>
      </c>
      <c r="B3105" t="s">
        <v>4</v>
      </c>
    </row>
    <row r="3106" spans="1:2" x14ac:dyDescent="0.25">
      <c r="A3106" t="s">
        <v>33</v>
      </c>
      <c r="B3106">
        <v>2.63</v>
      </c>
    </row>
    <row r="3107" spans="1:2" x14ac:dyDescent="0.25">
      <c r="A3107" t="s">
        <v>34</v>
      </c>
      <c r="B3107" t="s">
        <v>4</v>
      </c>
    </row>
    <row r="3108" spans="1:2" x14ac:dyDescent="0.25">
      <c r="A3108" t="s">
        <v>35</v>
      </c>
      <c r="B3108" t="s">
        <v>4</v>
      </c>
    </row>
    <row r="3109" spans="1:2" x14ac:dyDescent="0.25">
      <c r="A3109" t="s">
        <v>36</v>
      </c>
      <c r="B3109" t="s">
        <v>4</v>
      </c>
    </row>
    <row r="3110" spans="1:2" x14ac:dyDescent="0.25">
      <c r="A3110" t="s">
        <v>37</v>
      </c>
      <c r="B3110">
        <v>3.16</v>
      </c>
    </row>
    <row r="3111" spans="1:2" x14ac:dyDescent="0.25">
      <c r="A3111" t="s">
        <v>38</v>
      </c>
      <c r="B3111" t="s">
        <v>4</v>
      </c>
    </row>
    <row r="3112" spans="1:2" x14ac:dyDescent="0.25">
      <c r="A3112" t="s">
        <v>39</v>
      </c>
      <c r="B3112" t="s">
        <v>4</v>
      </c>
    </row>
    <row r="3113" spans="1:2" x14ac:dyDescent="0.25">
      <c r="A3113" t="s">
        <v>40</v>
      </c>
      <c r="B3113" t="s">
        <v>4</v>
      </c>
    </row>
    <row r="3114" spans="1:2" x14ac:dyDescent="0.25">
      <c r="A3114" t="s">
        <v>41</v>
      </c>
      <c r="B3114" t="s">
        <v>4</v>
      </c>
    </row>
    <row r="3115" spans="1:2" x14ac:dyDescent="0.25">
      <c r="A3115" t="s">
        <v>42</v>
      </c>
      <c r="B3115" t="s">
        <v>4</v>
      </c>
    </row>
    <row r="3116" spans="1:2" x14ac:dyDescent="0.25">
      <c r="A3116" t="s">
        <v>43</v>
      </c>
      <c r="B3116" t="s">
        <v>4</v>
      </c>
    </row>
    <row r="3117" spans="1:2" x14ac:dyDescent="0.25">
      <c r="A3117" t="s">
        <v>44</v>
      </c>
      <c r="B3117" t="s">
        <v>4</v>
      </c>
    </row>
    <row r="3118" spans="1:2" x14ac:dyDescent="0.25">
      <c r="A3118" t="s">
        <v>45</v>
      </c>
      <c r="B3118" t="s">
        <v>4</v>
      </c>
    </row>
    <row r="3119" spans="1:2" x14ac:dyDescent="0.25">
      <c r="A3119" t="s">
        <v>46</v>
      </c>
      <c r="B3119" t="s">
        <v>4</v>
      </c>
    </row>
    <row r="3120" spans="1:2" x14ac:dyDescent="0.25">
      <c r="A3120" t="s">
        <v>47</v>
      </c>
      <c r="B3120" t="s">
        <v>4</v>
      </c>
    </row>
    <row r="3121" spans="1:2" x14ac:dyDescent="0.25">
      <c r="A3121" t="s">
        <v>48</v>
      </c>
      <c r="B3121" t="s">
        <v>4</v>
      </c>
    </row>
    <row r="3122" spans="1:2" x14ac:dyDescent="0.25">
      <c r="A3122" t="s">
        <v>49</v>
      </c>
      <c r="B3122" t="s">
        <v>4</v>
      </c>
    </row>
    <row r="3123" spans="1:2" x14ac:dyDescent="0.25">
      <c r="A3123" t="s">
        <v>50</v>
      </c>
      <c r="B3123" t="s">
        <v>4</v>
      </c>
    </row>
    <row r="3124" spans="1:2" x14ac:dyDescent="0.25">
      <c r="A3124" t="s">
        <v>51</v>
      </c>
      <c r="B3124" t="s">
        <v>4</v>
      </c>
    </row>
    <row r="3125" spans="1:2" x14ac:dyDescent="0.25">
      <c r="A3125" t="s">
        <v>52</v>
      </c>
      <c r="B3125" t="s">
        <v>4</v>
      </c>
    </row>
    <row r="3126" spans="1:2" x14ac:dyDescent="0.25">
      <c r="A3126" t="s">
        <v>53</v>
      </c>
      <c r="B3126" t="s">
        <v>4</v>
      </c>
    </row>
    <row r="3127" spans="1:2" x14ac:dyDescent="0.25">
      <c r="A3127" t="s">
        <v>54</v>
      </c>
      <c r="B3127" t="s">
        <v>4</v>
      </c>
    </row>
    <row r="3128" spans="1:2" x14ac:dyDescent="0.25">
      <c r="A3128" t="s">
        <v>55</v>
      </c>
      <c r="B3128">
        <v>1.62</v>
      </c>
    </row>
    <row r="3129" spans="1:2" x14ac:dyDescent="0.25">
      <c r="A3129" t="s">
        <v>56</v>
      </c>
      <c r="B3129">
        <v>11.98</v>
      </c>
    </row>
    <row r="3130" spans="1:2" x14ac:dyDescent="0.25">
      <c r="A3130" t="s">
        <v>57</v>
      </c>
      <c r="B3130" t="s">
        <v>4</v>
      </c>
    </row>
    <row r="3131" spans="1:2" x14ac:dyDescent="0.25">
      <c r="A3131" t="s">
        <v>58</v>
      </c>
      <c r="B3131" t="s">
        <v>4</v>
      </c>
    </row>
    <row r="3132" spans="1:2" x14ac:dyDescent="0.25">
      <c r="A3132" t="s">
        <v>59</v>
      </c>
      <c r="B3132">
        <v>2.44</v>
      </c>
    </row>
    <row r="3133" spans="1:2" x14ac:dyDescent="0.25">
      <c r="A3133" t="s">
        <v>60</v>
      </c>
      <c r="B3133">
        <v>34.85</v>
      </c>
    </row>
    <row r="3134" spans="1:2" x14ac:dyDescent="0.25">
      <c r="A3134" t="s">
        <v>61</v>
      </c>
      <c r="B3134">
        <v>62.1</v>
      </c>
    </row>
    <row r="3135" spans="1:2" x14ac:dyDescent="0.25">
      <c r="A3135" t="s">
        <v>62</v>
      </c>
      <c r="B3135">
        <v>37.04</v>
      </c>
    </row>
    <row r="3136" spans="1:2" x14ac:dyDescent="0.25">
      <c r="A3136" t="s">
        <v>63</v>
      </c>
      <c r="B3136">
        <v>49.33</v>
      </c>
    </row>
    <row r="3137" spans="1:2" x14ac:dyDescent="0.25">
      <c r="A3137" t="s">
        <v>64</v>
      </c>
      <c r="B3137">
        <v>34.42</v>
      </c>
    </row>
    <row r="3138" spans="1:2" x14ac:dyDescent="0.25">
      <c r="A3138" t="s">
        <v>65</v>
      </c>
      <c r="B3138">
        <v>3.34</v>
      </c>
    </row>
    <row r="3139" spans="1:2" x14ac:dyDescent="0.25">
      <c r="A3139" t="s">
        <v>66</v>
      </c>
      <c r="B3139" t="s">
        <v>4</v>
      </c>
    </row>
    <row r="3140" spans="1:2" x14ac:dyDescent="0.25">
      <c r="A3140" t="s">
        <v>67</v>
      </c>
      <c r="B3140" t="s">
        <v>4</v>
      </c>
    </row>
    <row r="3141" spans="1:2" x14ac:dyDescent="0.25">
      <c r="A3141" t="s">
        <v>68</v>
      </c>
      <c r="B3141" t="s">
        <v>4</v>
      </c>
    </row>
    <row r="3142" spans="1:2" x14ac:dyDescent="0.25">
      <c r="A3142" t="s">
        <v>69</v>
      </c>
      <c r="B3142" t="s">
        <v>4</v>
      </c>
    </row>
    <row r="3143" spans="1:2" x14ac:dyDescent="0.25">
      <c r="A3143" t="s">
        <v>70</v>
      </c>
      <c r="B3143">
        <v>41.81</v>
      </c>
    </row>
    <row r="3144" spans="1:2" x14ac:dyDescent="0.25">
      <c r="A3144" t="s">
        <v>71</v>
      </c>
      <c r="B3144">
        <v>15.45</v>
      </c>
    </row>
    <row r="3145" spans="1:2" x14ac:dyDescent="0.25">
      <c r="A3145" t="s">
        <v>72</v>
      </c>
      <c r="B3145">
        <v>18.850000000000001</v>
      </c>
    </row>
    <row r="3146" spans="1:2" x14ac:dyDescent="0.25">
      <c r="A3146" t="s">
        <v>73</v>
      </c>
      <c r="B3146" t="s">
        <v>4</v>
      </c>
    </row>
    <row r="3147" spans="1:2" x14ac:dyDescent="0.25">
      <c r="A3147" t="s">
        <v>74</v>
      </c>
      <c r="B3147">
        <v>13.53</v>
      </c>
    </row>
    <row r="3148" spans="1:2" x14ac:dyDescent="0.25">
      <c r="A3148" t="s">
        <v>75</v>
      </c>
      <c r="B3148">
        <v>61.78</v>
      </c>
    </row>
    <row r="3149" spans="1:2" x14ac:dyDescent="0.25">
      <c r="A3149" t="s">
        <v>76</v>
      </c>
      <c r="B3149">
        <v>24.92</v>
      </c>
    </row>
    <row r="3150" spans="1:2" x14ac:dyDescent="0.25">
      <c r="A3150" t="s">
        <v>77</v>
      </c>
      <c r="B3150">
        <v>42.97</v>
      </c>
    </row>
    <row r="3151" spans="1:2" x14ac:dyDescent="0.25">
      <c r="A3151" t="s">
        <v>78</v>
      </c>
      <c r="B3151">
        <v>0.68</v>
      </c>
    </row>
    <row r="3152" spans="1:2" x14ac:dyDescent="0.25">
      <c r="A3152" t="s">
        <v>79</v>
      </c>
      <c r="B3152" t="s">
        <v>4</v>
      </c>
    </row>
    <row r="3153" spans="1:2" x14ac:dyDescent="0.25">
      <c r="A3153" t="s">
        <v>80</v>
      </c>
      <c r="B3153">
        <v>1.76</v>
      </c>
    </row>
    <row r="3154" spans="1:2" x14ac:dyDescent="0.25">
      <c r="A3154" t="s">
        <v>81</v>
      </c>
      <c r="B3154" t="s">
        <v>4</v>
      </c>
    </row>
    <row r="3157" spans="1:2" x14ac:dyDescent="0.25">
      <c r="A3157" t="s">
        <v>0</v>
      </c>
      <c r="B3157" t="s">
        <v>113</v>
      </c>
    </row>
    <row r="3159" spans="1:2" s="1" customFormat="1" x14ac:dyDescent="0.25">
      <c r="A3159" s="1" t="s">
        <v>2</v>
      </c>
      <c r="B3159" s="1" t="s">
        <v>157</v>
      </c>
    </row>
    <row r="3160" spans="1:2" x14ac:dyDescent="0.25">
      <c r="A3160" t="s">
        <v>3</v>
      </c>
      <c r="B3160" t="s">
        <v>4</v>
      </c>
    </row>
    <row r="3161" spans="1:2" x14ac:dyDescent="0.25">
      <c r="A3161" t="s">
        <v>5</v>
      </c>
      <c r="B3161" t="s">
        <v>4</v>
      </c>
    </row>
    <row r="3162" spans="1:2" x14ac:dyDescent="0.25">
      <c r="A3162" t="s">
        <v>6</v>
      </c>
      <c r="B3162" t="s">
        <v>4</v>
      </c>
    </row>
    <row r="3163" spans="1:2" x14ac:dyDescent="0.25">
      <c r="A3163" t="s">
        <v>7</v>
      </c>
      <c r="B3163" t="s">
        <v>4</v>
      </c>
    </row>
    <row r="3164" spans="1:2" x14ac:dyDescent="0.25">
      <c r="A3164" t="s">
        <v>8</v>
      </c>
      <c r="B3164" t="s">
        <v>4</v>
      </c>
    </row>
    <row r="3165" spans="1:2" x14ac:dyDescent="0.25">
      <c r="A3165" t="s">
        <v>9</v>
      </c>
      <c r="B3165" t="s">
        <v>4</v>
      </c>
    </row>
    <row r="3166" spans="1:2" x14ac:dyDescent="0.25">
      <c r="A3166" t="s">
        <v>10</v>
      </c>
      <c r="B3166" t="s">
        <v>4</v>
      </c>
    </row>
    <row r="3167" spans="1:2" x14ac:dyDescent="0.25">
      <c r="A3167" t="s">
        <v>11</v>
      </c>
      <c r="B3167" t="s">
        <v>4</v>
      </c>
    </row>
    <row r="3168" spans="1:2" x14ac:dyDescent="0.25">
      <c r="A3168" t="s">
        <v>12</v>
      </c>
      <c r="B3168" t="s">
        <v>4</v>
      </c>
    </row>
    <row r="3169" spans="1:2" x14ac:dyDescent="0.25">
      <c r="A3169" t="s">
        <v>13</v>
      </c>
      <c r="B3169" t="s">
        <v>4</v>
      </c>
    </row>
    <row r="3170" spans="1:2" x14ac:dyDescent="0.25">
      <c r="A3170" t="s">
        <v>14</v>
      </c>
      <c r="B3170" t="s">
        <v>4</v>
      </c>
    </row>
    <row r="3171" spans="1:2" x14ac:dyDescent="0.25">
      <c r="A3171" t="s">
        <v>15</v>
      </c>
      <c r="B3171" t="s">
        <v>4</v>
      </c>
    </row>
    <row r="3172" spans="1:2" x14ac:dyDescent="0.25">
      <c r="A3172" t="s">
        <v>16</v>
      </c>
      <c r="B3172" t="s">
        <v>4</v>
      </c>
    </row>
    <row r="3173" spans="1:2" x14ac:dyDescent="0.25">
      <c r="A3173" t="s">
        <v>17</v>
      </c>
      <c r="B3173" t="s">
        <v>4</v>
      </c>
    </row>
    <row r="3174" spans="1:2" x14ac:dyDescent="0.25">
      <c r="A3174" t="s">
        <v>18</v>
      </c>
      <c r="B3174" t="s">
        <v>4</v>
      </c>
    </row>
    <row r="3175" spans="1:2" x14ac:dyDescent="0.25">
      <c r="A3175" t="s">
        <v>19</v>
      </c>
      <c r="B3175" t="s">
        <v>4</v>
      </c>
    </row>
    <row r="3176" spans="1:2" x14ac:dyDescent="0.25">
      <c r="A3176" t="s">
        <v>20</v>
      </c>
      <c r="B3176" t="s">
        <v>4</v>
      </c>
    </row>
    <row r="3177" spans="1:2" x14ac:dyDescent="0.25">
      <c r="A3177" t="s">
        <v>21</v>
      </c>
      <c r="B3177" t="s">
        <v>4</v>
      </c>
    </row>
    <row r="3178" spans="1:2" x14ac:dyDescent="0.25">
      <c r="A3178" t="s">
        <v>22</v>
      </c>
      <c r="B3178" t="s">
        <v>4</v>
      </c>
    </row>
    <row r="3179" spans="1:2" x14ac:dyDescent="0.25">
      <c r="A3179" t="s">
        <v>23</v>
      </c>
      <c r="B3179" t="s">
        <v>4</v>
      </c>
    </row>
    <row r="3180" spans="1:2" x14ac:dyDescent="0.25">
      <c r="A3180" t="s">
        <v>24</v>
      </c>
      <c r="B3180" t="s">
        <v>4</v>
      </c>
    </row>
    <row r="3181" spans="1:2" x14ac:dyDescent="0.25">
      <c r="A3181" t="s">
        <v>25</v>
      </c>
      <c r="B3181" t="s">
        <v>4</v>
      </c>
    </row>
    <row r="3182" spans="1:2" x14ac:dyDescent="0.25">
      <c r="A3182" t="s">
        <v>26</v>
      </c>
      <c r="B3182" t="s">
        <v>4</v>
      </c>
    </row>
    <row r="3183" spans="1:2" x14ac:dyDescent="0.25">
      <c r="A3183" t="s">
        <v>27</v>
      </c>
      <c r="B3183" t="s">
        <v>4</v>
      </c>
    </row>
    <row r="3184" spans="1:2" x14ac:dyDescent="0.25">
      <c r="A3184" t="s">
        <v>28</v>
      </c>
      <c r="B3184" t="s">
        <v>4</v>
      </c>
    </row>
    <row r="3185" spans="1:2" x14ac:dyDescent="0.25">
      <c r="A3185" t="s">
        <v>29</v>
      </c>
      <c r="B3185" t="s">
        <v>4</v>
      </c>
    </row>
    <row r="3186" spans="1:2" x14ac:dyDescent="0.25">
      <c r="A3186" t="s">
        <v>30</v>
      </c>
      <c r="B3186" t="s">
        <v>4</v>
      </c>
    </row>
    <row r="3187" spans="1:2" x14ac:dyDescent="0.25">
      <c r="A3187" t="s">
        <v>31</v>
      </c>
      <c r="B3187" t="s">
        <v>4</v>
      </c>
    </row>
    <row r="3188" spans="1:2" x14ac:dyDescent="0.25">
      <c r="A3188" t="s">
        <v>32</v>
      </c>
      <c r="B3188" t="s">
        <v>4</v>
      </c>
    </row>
    <row r="3189" spans="1:2" x14ac:dyDescent="0.25">
      <c r="A3189" t="s">
        <v>33</v>
      </c>
      <c r="B3189" t="s">
        <v>4</v>
      </c>
    </row>
    <row r="3190" spans="1:2" x14ac:dyDescent="0.25">
      <c r="A3190" t="s">
        <v>34</v>
      </c>
      <c r="B3190" t="s">
        <v>4</v>
      </c>
    </row>
    <row r="3191" spans="1:2" x14ac:dyDescent="0.25">
      <c r="A3191" t="s">
        <v>35</v>
      </c>
      <c r="B3191" t="s">
        <v>4</v>
      </c>
    </row>
    <row r="3192" spans="1:2" x14ac:dyDescent="0.25">
      <c r="A3192" t="s">
        <v>36</v>
      </c>
      <c r="B3192" t="s">
        <v>4</v>
      </c>
    </row>
    <row r="3193" spans="1:2" x14ac:dyDescent="0.25">
      <c r="A3193" t="s">
        <v>37</v>
      </c>
      <c r="B3193" t="s">
        <v>4</v>
      </c>
    </row>
    <row r="3194" spans="1:2" x14ac:dyDescent="0.25">
      <c r="A3194" t="s">
        <v>38</v>
      </c>
      <c r="B3194" t="s">
        <v>4</v>
      </c>
    </row>
    <row r="3195" spans="1:2" x14ac:dyDescent="0.25">
      <c r="A3195" t="s">
        <v>39</v>
      </c>
      <c r="B3195" t="s">
        <v>4</v>
      </c>
    </row>
    <row r="3196" spans="1:2" x14ac:dyDescent="0.25">
      <c r="A3196" t="s">
        <v>40</v>
      </c>
      <c r="B3196" t="s">
        <v>4</v>
      </c>
    </row>
    <row r="3197" spans="1:2" x14ac:dyDescent="0.25">
      <c r="A3197" t="s">
        <v>41</v>
      </c>
      <c r="B3197" t="s">
        <v>4</v>
      </c>
    </row>
    <row r="3198" spans="1:2" x14ac:dyDescent="0.25">
      <c r="A3198" t="s">
        <v>42</v>
      </c>
      <c r="B3198" t="s">
        <v>4</v>
      </c>
    </row>
    <row r="3199" spans="1:2" x14ac:dyDescent="0.25">
      <c r="A3199" t="s">
        <v>43</v>
      </c>
      <c r="B3199" t="s">
        <v>4</v>
      </c>
    </row>
    <row r="3200" spans="1:2" x14ac:dyDescent="0.25">
      <c r="A3200" t="s">
        <v>44</v>
      </c>
      <c r="B3200" t="s">
        <v>4</v>
      </c>
    </row>
    <row r="3201" spans="1:2" x14ac:dyDescent="0.25">
      <c r="A3201" t="s">
        <v>45</v>
      </c>
      <c r="B3201" t="s">
        <v>4</v>
      </c>
    </row>
    <row r="3202" spans="1:2" x14ac:dyDescent="0.25">
      <c r="A3202" t="s">
        <v>46</v>
      </c>
      <c r="B3202" t="s">
        <v>4</v>
      </c>
    </row>
    <row r="3203" spans="1:2" x14ac:dyDescent="0.25">
      <c r="A3203" t="s">
        <v>47</v>
      </c>
      <c r="B3203" t="s">
        <v>4</v>
      </c>
    </row>
    <row r="3204" spans="1:2" x14ac:dyDescent="0.25">
      <c r="A3204" t="s">
        <v>48</v>
      </c>
      <c r="B3204" t="s">
        <v>4</v>
      </c>
    </row>
    <row r="3205" spans="1:2" x14ac:dyDescent="0.25">
      <c r="A3205" t="s">
        <v>49</v>
      </c>
      <c r="B3205" t="s">
        <v>4</v>
      </c>
    </row>
    <row r="3206" spans="1:2" x14ac:dyDescent="0.25">
      <c r="A3206" t="s">
        <v>50</v>
      </c>
      <c r="B3206" t="s">
        <v>4</v>
      </c>
    </row>
    <row r="3207" spans="1:2" x14ac:dyDescent="0.25">
      <c r="A3207" t="s">
        <v>51</v>
      </c>
      <c r="B3207" t="s">
        <v>4</v>
      </c>
    </row>
    <row r="3208" spans="1:2" x14ac:dyDescent="0.25">
      <c r="A3208" t="s">
        <v>52</v>
      </c>
      <c r="B3208" t="s">
        <v>4</v>
      </c>
    </row>
    <row r="3209" spans="1:2" x14ac:dyDescent="0.25">
      <c r="A3209" t="s">
        <v>53</v>
      </c>
      <c r="B3209">
        <v>8.73</v>
      </c>
    </row>
    <row r="3210" spans="1:2" x14ac:dyDescent="0.25">
      <c r="A3210" t="s">
        <v>54</v>
      </c>
      <c r="B3210">
        <v>8.73</v>
      </c>
    </row>
    <row r="3211" spans="1:2" x14ac:dyDescent="0.25">
      <c r="A3211" t="s">
        <v>55</v>
      </c>
      <c r="B3211">
        <v>12.09</v>
      </c>
    </row>
    <row r="3212" spans="1:2" x14ac:dyDescent="0.25">
      <c r="A3212" t="s">
        <v>56</v>
      </c>
      <c r="B3212" t="s">
        <v>4</v>
      </c>
    </row>
    <row r="3213" spans="1:2" x14ac:dyDescent="0.25">
      <c r="A3213" t="s">
        <v>57</v>
      </c>
      <c r="B3213" t="s">
        <v>4</v>
      </c>
    </row>
    <row r="3214" spans="1:2" x14ac:dyDescent="0.25">
      <c r="A3214" t="s">
        <v>58</v>
      </c>
      <c r="B3214" t="s">
        <v>4</v>
      </c>
    </row>
    <row r="3215" spans="1:2" x14ac:dyDescent="0.25">
      <c r="A3215" t="s">
        <v>59</v>
      </c>
      <c r="B3215">
        <v>4.3499999999999996</v>
      </c>
    </row>
    <row r="3216" spans="1:2" x14ac:dyDescent="0.25">
      <c r="A3216" t="s">
        <v>60</v>
      </c>
      <c r="B3216">
        <v>2.54</v>
      </c>
    </row>
    <row r="3217" spans="1:2" x14ac:dyDescent="0.25">
      <c r="A3217" t="s">
        <v>61</v>
      </c>
      <c r="B3217">
        <v>2.65</v>
      </c>
    </row>
    <row r="3218" spans="1:2" x14ac:dyDescent="0.25">
      <c r="A3218" t="s">
        <v>62</v>
      </c>
      <c r="B3218" t="s">
        <v>4</v>
      </c>
    </row>
    <row r="3219" spans="1:2" x14ac:dyDescent="0.25">
      <c r="A3219" t="s">
        <v>63</v>
      </c>
      <c r="B3219" t="s">
        <v>4</v>
      </c>
    </row>
    <row r="3220" spans="1:2" x14ac:dyDescent="0.25">
      <c r="A3220" t="s">
        <v>64</v>
      </c>
      <c r="B3220">
        <v>2.8</v>
      </c>
    </row>
    <row r="3221" spans="1:2" x14ac:dyDescent="0.25">
      <c r="A3221" t="s">
        <v>65</v>
      </c>
      <c r="B3221" t="s">
        <v>4</v>
      </c>
    </row>
    <row r="3222" spans="1:2" x14ac:dyDescent="0.25">
      <c r="A3222" t="s">
        <v>66</v>
      </c>
      <c r="B3222" t="s">
        <v>4</v>
      </c>
    </row>
    <row r="3223" spans="1:2" x14ac:dyDescent="0.25">
      <c r="A3223" t="s">
        <v>67</v>
      </c>
      <c r="B3223" t="s">
        <v>4</v>
      </c>
    </row>
    <row r="3224" spans="1:2" x14ac:dyDescent="0.25">
      <c r="A3224" t="s">
        <v>68</v>
      </c>
      <c r="B3224">
        <v>2.76</v>
      </c>
    </row>
    <row r="3225" spans="1:2" x14ac:dyDescent="0.25">
      <c r="A3225" t="s">
        <v>69</v>
      </c>
      <c r="B3225" t="s">
        <v>4</v>
      </c>
    </row>
    <row r="3226" spans="1:2" x14ac:dyDescent="0.25">
      <c r="A3226" t="s">
        <v>70</v>
      </c>
      <c r="B3226">
        <v>12.35</v>
      </c>
    </row>
    <row r="3227" spans="1:2" x14ac:dyDescent="0.25">
      <c r="A3227" t="s">
        <v>71</v>
      </c>
      <c r="B3227">
        <v>13.25</v>
      </c>
    </row>
    <row r="3228" spans="1:2" x14ac:dyDescent="0.25">
      <c r="A3228" t="s">
        <v>72</v>
      </c>
      <c r="B3228">
        <v>9.4600000000000009</v>
      </c>
    </row>
    <row r="3229" spans="1:2" x14ac:dyDescent="0.25">
      <c r="A3229" t="s">
        <v>73</v>
      </c>
      <c r="B3229" t="s">
        <v>4</v>
      </c>
    </row>
    <row r="3230" spans="1:2" x14ac:dyDescent="0.25">
      <c r="A3230" t="s">
        <v>74</v>
      </c>
      <c r="B3230">
        <v>13.01</v>
      </c>
    </row>
    <row r="3231" spans="1:2" x14ac:dyDescent="0.25">
      <c r="A3231" t="s">
        <v>75</v>
      </c>
      <c r="B3231">
        <v>17.47</v>
      </c>
    </row>
    <row r="3232" spans="1:2" x14ac:dyDescent="0.25">
      <c r="A3232" t="s">
        <v>76</v>
      </c>
      <c r="B3232">
        <v>7.62</v>
      </c>
    </row>
    <row r="3233" spans="1:2" x14ac:dyDescent="0.25">
      <c r="A3233" t="s">
        <v>77</v>
      </c>
      <c r="B3233">
        <v>11.03</v>
      </c>
    </row>
    <row r="3234" spans="1:2" x14ac:dyDescent="0.25">
      <c r="A3234" t="s">
        <v>78</v>
      </c>
      <c r="B3234" t="s">
        <v>4</v>
      </c>
    </row>
    <row r="3235" spans="1:2" x14ac:dyDescent="0.25">
      <c r="A3235" t="s">
        <v>79</v>
      </c>
      <c r="B3235" t="s">
        <v>4</v>
      </c>
    </row>
    <row r="3236" spans="1:2" x14ac:dyDescent="0.25">
      <c r="A3236" t="s">
        <v>80</v>
      </c>
      <c r="B3236" t="s">
        <v>4</v>
      </c>
    </row>
    <row r="3237" spans="1:2" x14ac:dyDescent="0.25">
      <c r="A3237" t="s">
        <v>81</v>
      </c>
      <c r="B3237">
        <v>0.45</v>
      </c>
    </row>
    <row r="3240" spans="1:2" x14ac:dyDescent="0.25">
      <c r="A3240" t="s">
        <v>0</v>
      </c>
      <c r="B3240" t="s">
        <v>114</v>
      </c>
    </row>
    <row r="3242" spans="1:2" s="1" customFormat="1" x14ac:dyDescent="0.25">
      <c r="A3242" s="1" t="s">
        <v>2</v>
      </c>
      <c r="B3242" s="1" t="s">
        <v>157</v>
      </c>
    </row>
    <row r="3243" spans="1:2" x14ac:dyDescent="0.25">
      <c r="A3243" t="s">
        <v>3</v>
      </c>
      <c r="B3243" t="s">
        <v>4</v>
      </c>
    </row>
    <row r="3244" spans="1:2" x14ac:dyDescent="0.25">
      <c r="A3244" t="s">
        <v>5</v>
      </c>
      <c r="B3244" t="s">
        <v>4</v>
      </c>
    </row>
    <row r="3245" spans="1:2" x14ac:dyDescent="0.25">
      <c r="A3245" t="s">
        <v>6</v>
      </c>
      <c r="B3245" t="s">
        <v>4</v>
      </c>
    </row>
    <row r="3246" spans="1:2" x14ac:dyDescent="0.25">
      <c r="A3246" t="s">
        <v>7</v>
      </c>
      <c r="B3246" t="s">
        <v>4</v>
      </c>
    </row>
    <row r="3247" spans="1:2" x14ac:dyDescent="0.25">
      <c r="A3247" t="s">
        <v>8</v>
      </c>
      <c r="B3247" t="s">
        <v>4</v>
      </c>
    </row>
    <row r="3248" spans="1:2" x14ac:dyDescent="0.25">
      <c r="A3248" t="s">
        <v>9</v>
      </c>
      <c r="B3248">
        <v>0.91</v>
      </c>
    </row>
    <row r="3249" spans="1:2" x14ac:dyDescent="0.25">
      <c r="A3249" t="s">
        <v>10</v>
      </c>
      <c r="B3249" t="s">
        <v>4</v>
      </c>
    </row>
    <row r="3250" spans="1:2" x14ac:dyDescent="0.25">
      <c r="A3250" t="s">
        <v>11</v>
      </c>
      <c r="B3250" t="s">
        <v>4</v>
      </c>
    </row>
    <row r="3251" spans="1:2" x14ac:dyDescent="0.25">
      <c r="A3251" t="s">
        <v>12</v>
      </c>
      <c r="B3251" t="s">
        <v>4</v>
      </c>
    </row>
    <row r="3252" spans="1:2" x14ac:dyDescent="0.25">
      <c r="A3252" t="s">
        <v>13</v>
      </c>
      <c r="B3252" t="s">
        <v>4</v>
      </c>
    </row>
    <row r="3253" spans="1:2" x14ac:dyDescent="0.25">
      <c r="A3253" t="s">
        <v>14</v>
      </c>
      <c r="B3253" t="s">
        <v>4</v>
      </c>
    </row>
    <row r="3254" spans="1:2" x14ac:dyDescent="0.25">
      <c r="A3254" t="s">
        <v>15</v>
      </c>
      <c r="B3254" t="s">
        <v>4</v>
      </c>
    </row>
    <row r="3255" spans="1:2" x14ac:dyDescent="0.25">
      <c r="A3255" t="s">
        <v>16</v>
      </c>
      <c r="B3255" t="s">
        <v>4</v>
      </c>
    </row>
    <row r="3256" spans="1:2" x14ac:dyDescent="0.25">
      <c r="A3256" t="s">
        <v>17</v>
      </c>
      <c r="B3256" t="s">
        <v>4</v>
      </c>
    </row>
    <row r="3257" spans="1:2" x14ac:dyDescent="0.25">
      <c r="A3257" t="s">
        <v>18</v>
      </c>
      <c r="B3257" t="s">
        <v>4</v>
      </c>
    </row>
    <row r="3258" spans="1:2" x14ac:dyDescent="0.25">
      <c r="A3258" t="s">
        <v>19</v>
      </c>
      <c r="B3258" t="s">
        <v>4</v>
      </c>
    </row>
    <row r="3259" spans="1:2" x14ac:dyDescent="0.25">
      <c r="A3259" t="s">
        <v>20</v>
      </c>
      <c r="B3259" t="s">
        <v>4</v>
      </c>
    </row>
    <row r="3260" spans="1:2" x14ac:dyDescent="0.25">
      <c r="A3260" t="s">
        <v>21</v>
      </c>
      <c r="B3260" t="s">
        <v>4</v>
      </c>
    </row>
    <row r="3261" spans="1:2" x14ac:dyDescent="0.25">
      <c r="A3261" t="s">
        <v>22</v>
      </c>
      <c r="B3261" t="s">
        <v>4</v>
      </c>
    </row>
    <row r="3262" spans="1:2" x14ac:dyDescent="0.25">
      <c r="A3262" t="s">
        <v>23</v>
      </c>
      <c r="B3262" t="s">
        <v>4</v>
      </c>
    </row>
    <row r="3263" spans="1:2" x14ac:dyDescent="0.25">
      <c r="A3263" t="s">
        <v>24</v>
      </c>
      <c r="B3263" t="s">
        <v>4</v>
      </c>
    </row>
    <row r="3264" spans="1:2" x14ac:dyDescent="0.25">
      <c r="A3264" t="s">
        <v>25</v>
      </c>
      <c r="B3264" t="s">
        <v>4</v>
      </c>
    </row>
    <row r="3265" spans="1:2" x14ac:dyDescent="0.25">
      <c r="A3265" t="s">
        <v>26</v>
      </c>
      <c r="B3265" t="s">
        <v>4</v>
      </c>
    </row>
    <row r="3266" spans="1:2" x14ac:dyDescent="0.25">
      <c r="A3266" t="s">
        <v>27</v>
      </c>
      <c r="B3266" t="s">
        <v>4</v>
      </c>
    </row>
    <row r="3267" spans="1:2" x14ac:dyDescent="0.25">
      <c r="A3267" t="s">
        <v>28</v>
      </c>
      <c r="B3267" t="s">
        <v>4</v>
      </c>
    </row>
    <row r="3268" spans="1:2" x14ac:dyDescent="0.25">
      <c r="A3268" t="s">
        <v>29</v>
      </c>
      <c r="B3268" t="s">
        <v>4</v>
      </c>
    </row>
    <row r="3269" spans="1:2" x14ac:dyDescent="0.25">
      <c r="A3269" t="s">
        <v>30</v>
      </c>
      <c r="B3269">
        <v>0.38</v>
      </c>
    </row>
    <row r="3270" spans="1:2" x14ac:dyDescent="0.25">
      <c r="A3270" t="s">
        <v>31</v>
      </c>
      <c r="B3270">
        <v>0.28999999999999998</v>
      </c>
    </row>
    <row r="3271" spans="1:2" x14ac:dyDescent="0.25">
      <c r="A3271" t="s">
        <v>32</v>
      </c>
      <c r="B3271" t="s">
        <v>4</v>
      </c>
    </row>
    <row r="3272" spans="1:2" x14ac:dyDescent="0.25">
      <c r="A3272" t="s">
        <v>33</v>
      </c>
      <c r="B3272" t="s">
        <v>4</v>
      </c>
    </row>
    <row r="3273" spans="1:2" x14ac:dyDescent="0.25">
      <c r="A3273" t="s">
        <v>34</v>
      </c>
      <c r="B3273" t="s">
        <v>4</v>
      </c>
    </row>
    <row r="3274" spans="1:2" x14ac:dyDescent="0.25">
      <c r="A3274" t="s">
        <v>35</v>
      </c>
      <c r="B3274" t="s">
        <v>4</v>
      </c>
    </row>
    <row r="3275" spans="1:2" x14ac:dyDescent="0.25">
      <c r="A3275" t="s">
        <v>36</v>
      </c>
      <c r="B3275" t="s">
        <v>4</v>
      </c>
    </row>
    <row r="3276" spans="1:2" x14ac:dyDescent="0.25">
      <c r="A3276" t="s">
        <v>37</v>
      </c>
      <c r="B3276" t="s">
        <v>4</v>
      </c>
    </row>
    <row r="3277" spans="1:2" x14ac:dyDescent="0.25">
      <c r="A3277" t="s">
        <v>38</v>
      </c>
      <c r="B3277" t="s">
        <v>4</v>
      </c>
    </row>
    <row r="3278" spans="1:2" x14ac:dyDescent="0.25">
      <c r="A3278" t="s">
        <v>39</v>
      </c>
      <c r="B3278" t="s">
        <v>4</v>
      </c>
    </row>
    <row r="3279" spans="1:2" x14ac:dyDescent="0.25">
      <c r="A3279" t="s">
        <v>40</v>
      </c>
      <c r="B3279" t="s">
        <v>4</v>
      </c>
    </row>
    <row r="3280" spans="1:2" x14ac:dyDescent="0.25">
      <c r="A3280" t="s">
        <v>41</v>
      </c>
      <c r="B3280" t="s">
        <v>4</v>
      </c>
    </row>
    <row r="3281" spans="1:2" x14ac:dyDescent="0.25">
      <c r="A3281" t="s">
        <v>42</v>
      </c>
      <c r="B3281" t="s">
        <v>4</v>
      </c>
    </row>
    <row r="3282" spans="1:2" x14ac:dyDescent="0.25">
      <c r="A3282" t="s">
        <v>43</v>
      </c>
      <c r="B3282" t="s">
        <v>4</v>
      </c>
    </row>
    <row r="3283" spans="1:2" x14ac:dyDescent="0.25">
      <c r="A3283" t="s">
        <v>44</v>
      </c>
      <c r="B3283" t="s">
        <v>4</v>
      </c>
    </row>
    <row r="3284" spans="1:2" x14ac:dyDescent="0.25">
      <c r="A3284" t="s">
        <v>45</v>
      </c>
      <c r="B3284" t="s">
        <v>4</v>
      </c>
    </row>
    <row r="3285" spans="1:2" x14ac:dyDescent="0.25">
      <c r="A3285" t="s">
        <v>46</v>
      </c>
      <c r="B3285" t="s">
        <v>4</v>
      </c>
    </row>
    <row r="3286" spans="1:2" x14ac:dyDescent="0.25">
      <c r="A3286" t="s">
        <v>47</v>
      </c>
      <c r="B3286" t="s">
        <v>4</v>
      </c>
    </row>
    <row r="3287" spans="1:2" x14ac:dyDescent="0.25">
      <c r="A3287" t="s">
        <v>48</v>
      </c>
      <c r="B3287" t="s">
        <v>4</v>
      </c>
    </row>
    <row r="3288" spans="1:2" x14ac:dyDescent="0.25">
      <c r="A3288" t="s">
        <v>49</v>
      </c>
      <c r="B3288" t="s">
        <v>4</v>
      </c>
    </row>
    <row r="3289" spans="1:2" x14ac:dyDescent="0.25">
      <c r="A3289" t="s">
        <v>50</v>
      </c>
      <c r="B3289" t="s">
        <v>4</v>
      </c>
    </row>
    <row r="3290" spans="1:2" x14ac:dyDescent="0.25">
      <c r="A3290" t="s">
        <v>51</v>
      </c>
      <c r="B3290" t="s">
        <v>4</v>
      </c>
    </row>
    <row r="3291" spans="1:2" x14ac:dyDescent="0.25">
      <c r="A3291" t="s">
        <v>52</v>
      </c>
      <c r="B3291" t="s">
        <v>4</v>
      </c>
    </row>
    <row r="3292" spans="1:2" x14ac:dyDescent="0.25">
      <c r="A3292" t="s">
        <v>53</v>
      </c>
      <c r="B3292" t="s">
        <v>4</v>
      </c>
    </row>
    <row r="3293" spans="1:2" x14ac:dyDescent="0.25">
      <c r="A3293" t="s">
        <v>54</v>
      </c>
      <c r="B3293" t="s">
        <v>4</v>
      </c>
    </row>
    <row r="3294" spans="1:2" x14ac:dyDescent="0.25">
      <c r="A3294" t="s">
        <v>55</v>
      </c>
      <c r="B3294">
        <v>0.47</v>
      </c>
    </row>
    <row r="3295" spans="1:2" x14ac:dyDescent="0.25">
      <c r="A3295" t="s">
        <v>56</v>
      </c>
      <c r="B3295">
        <v>0.26</v>
      </c>
    </row>
    <row r="3296" spans="1:2" x14ac:dyDescent="0.25">
      <c r="A3296" t="s">
        <v>57</v>
      </c>
      <c r="B3296" t="s">
        <v>4</v>
      </c>
    </row>
    <row r="3297" spans="1:2" x14ac:dyDescent="0.25">
      <c r="A3297" t="s">
        <v>58</v>
      </c>
      <c r="B3297">
        <v>1.2</v>
      </c>
    </row>
    <row r="3298" spans="1:2" x14ac:dyDescent="0.25">
      <c r="A3298" t="s">
        <v>59</v>
      </c>
      <c r="B3298">
        <v>0.87</v>
      </c>
    </row>
    <row r="3299" spans="1:2" x14ac:dyDescent="0.25">
      <c r="A3299" t="s">
        <v>60</v>
      </c>
      <c r="B3299" t="s">
        <v>4</v>
      </c>
    </row>
    <row r="3300" spans="1:2" x14ac:dyDescent="0.25">
      <c r="A3300" t="s">
        <v>61</v>
      </c>
      <c r="B3300" t="s">
        <v>4</v>
      </c>
    </row>
    <row r="3301" spans="1:2" x14ac:dyDescent="0.25">
      <c r="A3301" t="s">
        <v>62</v>
      </c>
      <c r="B3301" t="s">
        <v>4</v>
      </c>
    </row>
    <row r="3302" spans="1:2" x14ac:dyDescent="0.25">
      <c r="A3302" t="s">
        <v>63</v>
      </c>
      <c r="B3302" t="s">
        <v>4</v>
      </c>
    </row>
    <row r="3303" spans="1:2" x14ac:dyDescent="0.25">
      <c r="A3303" t="s">
        <v>64</v>
      </c>
      <c r="B3303" t="s">
        <v>4</v>
      </c>
    </row>
    <row r="3304" spans="1:2" x14ac:dyDescent="0.25">
      <c r="A3304" t="s">
        <v>65</v>
      </c>
      <c r="B3304" t="s">
        <v>4</v>
      </c>
    </row>
    <row r="3305" spans="1:2" x14ac:dyDescent="0.25">
      <c r="A3305" t="s">
        <v>66</v>
      </c>
      <c r="B3305" t="s">
        <v>4</v>
      </c>
    </row>
    <row r="3306" spans="1:2" x14ac:dyDescent="0.25">
      <c r="A3306" t="s">
        <v>67</v>
      </c>
      <c r="B3306" t="s">
        <v>4</v>
      </c>
    </row>
    <row r="3307" spans="1:2" x14ac:dyDescent="0.25">
      <c r="A3307" t="s">
        <v>68</v>
      </c>
      <c r="B3307" t="s">
        <v>4</v>
      </c>
    </row>
    <row r="3308" spans="1:2" x14ac:dyDescent="0.25">
      <c r="A3308" t="s">
        <v>69</v>
      </c>
      <c r="B3308" t="s">
        <v>4</v>
      </c>
    </row>
    <row r="3309" spans="1:2" x14ac:dyDescent="0.25">
      <c r="A3309" t="s">
        <v>70</v>
      </c>
      <c r="B3309" t="s">
        <v>4</v>
      </c>
    </row>
    <row r="3310" spans="1:2" x14ac:dyDescent="0.25">
      <c r="A3310" t="s">
        <v>71</v>
      </c>
      <c r="B3310">
        <v>0.49</v>
      </c>
    </row>
    <row r="3311" spans="1:2" x14ac:dyDescent="0.25">
      <c r="A3311" t="s">
        <v>72</v>
      </c>
      <c r="B3311">
        <v>0.43</v>
      </c>
    </row>
    <row r="3312" spans="1:2" x14ac:dyDescent="0.25">
      <c r="A3312" t="s">
        <v>73</v>
      </c>
      <c r="B3312" t="s">
        <v>4</v>
      </c>
    </row>
    <row r="3313" spans="1:2" x14ac:dyDescent="0.25">
      <c r="A3313" t="s">
        <v>74</v>
      </c>
      <c r="B3313">
        <v>0.56000000000000005</v>
      </c>
    </row>
    <row r="3314" spans="1:2" x14ac:dyDescent="0.25">
      <c r="A3314" t="s">
        <v>75</v>
      </c>
      <c r="B3314">
        <v>0.3</v>
      </c>
    </row>
    <row r="3315" spans="1:2" x14ac:dyDescent="0.25">
      <c r="A3315" t="s">
        <v>76</v>
      </c>
      <c r="B3315" t="s">
        <v>4</v>
      </c>
    </row>
    <row r="3316" spans="1:2" x14ac:dyDescent="0.25">
      <c r="A3316" t="s">
        <v>77</v>
      </c>
      <c r="B3316" t="s">
        <v>4</v>
      </c>
    </row>
    <row r="3317" spans="1:2" x14ac:dyDescent="0.25">
      <c r="A3317" t="s">
        <v>78</v>
      </c>
      <c r="B3317" t="s">
        <v>4</v>
      </c>
    </row>
    <row r="3318" spans="1:2" x14ac:dyDescent="0.25">
      <c r="A3318" t="s">
        <v>79</v>
      </c>
      <c r="B3318" t="s">
        <v>4</v>
      </c>
    </row>
    <row r="3319" spans="1:2" x14ac:dyDescent="0.25">
      <c r="A3319" t="s">
        <v>80</v>
      </c>
      <c r="B3319" t="s">
        <v>4</v>
      </c>
    </row>
    <row r="3320" spans="1:2" x14ac:dyDescent="0.25">
      <c r="A3320" t="s">
        <v>81</v>
      </c>
      <c r="B3320" t="s">
        <v>4</v>
      </c>
    </row>
    <row r="3323" spans="1:2" x14ac:dyDescent="0.25">
      <c r="A3323" t="s">
        <v>0</v>
      </c>
      <c r="B3323" t="s">
        <v>115</v>
      </c>
    </row>
    <row r="3325" spans="1:2" s="1" customFormat="1" x14ac:dyDescent="0.25">
      <c r="A3325" s="1" t="s">
        <v>2</v>
      </c>
      <c r="B3325" s="1" t="s">
        <v>157</v>
      </c>
    </row>
    <row r="3326" spans="1:2" x14ac:dyDescent="0.25">
      <c r="A3326" t="s">
        <v>3</v>
      </c>
      <c r="B3326" t="s">
        <v>4</v>
      </c>
    </row>
    <row r="3327" spans="1:2" x14ac:dyDescent="0.25">
      <c r="A3327" t="s">
        <v>5</v>
      </c>
      <c r="B3327" t="s">
        <v>4</v>
      </c>
    </row>
    <row r="3328" spans="1:2" x14ac:dyDescent="0.25">
      <c r="A3328" t="s">
        <v>6</v>
      </c>
      <c r="B3328" t="s">
        <v>4</v>
      </c>
    </row>
    <row r="3329" spans="1:2" x14ac:dyDescent="0.25">
      <c r="A3329" t="s">
        <v>7</v>
      </c>
      <c r="B3329" t="s">
        <v>4</v>
      </c>
    </row>
    <row r="3330" spans="1:2" x14ac:dyDescent="0.25">
      <c r="A3330" t="s">
        <v>8</v>
      </c>
      <c r="B3330" t="s">
        <v>4</v>
      </c>
    </row>
    <row r="3331" spans="1:2" x14ac:dyDescent="0.25">
      <c r="A3331" t="s">
        <v>9</v>
      </c>
      <c r="B3331" t="s">
        <v>4</v>
      </c>
    </row>
    <row r="3332" spans="1:2" x14ac:dyDescent="0.25">
      <c r="A3332" t="s">
        <v>10</v>
      </c>
      <c r="B3332" t="s">
        <v>4</v>
      </c>
    </row>
    <row r="3333" spans="1:2" x14ac:dyDescent="0.25">
      <c r="A3333" t="s">
        <v>11</v>
      </c>
      <c r="B3333" t="s">
        <v>4</v>
      </c>
    </row>
    <row r="3334" spans="1:2" x14ac:dyDescent="0.25">
      <c r="A3334" t="s">
        <v>12</v>
      </c>
      <c r="B3334" t="s">
        <v>4</v>
      </c>
    </row>
    <row r="3335" spans="1:2" x14ac:dyDescent="0.25">
      <c r="A3335" t="s">
        <v>13</v>
      </c>
      <c r="B3335" t="s">
        <v>4</v>
      </c>
    </row>
    <row r="3336" spans="1:2" x14ac:dyDescent="0.25">
      <c r="A3336" t="s">
        <v>14</v>
      </c>
      <c r="B3336" t="s">
        <v>4</v>
      </c>
    </row>
    <row r="3337" spans="1:2" x14ac:dyDescent="0.25">
      <c r="A3337" t="s">
        <v>15</v>
      </c>
      <c r="B3337" t="s">
        <v>4</v>
      </c>
    </row>
    <row r="3338" spans="1:2" x14ac:dyDescent="0.25">
      <c r="A3338" t="s">
        <v>16</v>
      </c>
      <c r="B3338" t="s">
        <v>4</v>
      </c>
    </row>
    <row r="3339" spans="1:2" x14ac:dyDescent="0.25">
      <c r="A3339" t="s">
        <v>17</v>
      </c>
      <c r="B3339" t="s">
        <v>4</v>
      </c>
    </row>
    <row r="3340" spans="1:2" x14ac:dyDescent="0.25">
      <c r="A3340" t="s">
        <v>18</v>
      </c>
      <c r="B3340" t="s">
        <v>4</v>
      </c>
    </row>
    <row r="3341" spans="1:2" x14ac:dyDescent="0.25">
      <c r="A3341" t="s">
        <v>19</v>
      </c>
      <c r="B3341" t="s">
        <v>4</v>
      </c>
    </row>
    <row r="3342" spans="1:2" x14ac:dyDescent="0.25">
      <c r="A3342" t="s">
        <v>20</v>
      </c>
      <c r="B3342" t="s">
        <v>4</v>
      </c>
    </row>
    <row r="3343" spans="1:2" x14ac:dyDescent="0.25">
      <c r="A3343" t="s">
        <v>21</v>
      </c>
      <c r="B3343" t="s">
        <v>4</v>
      </c>
    </row>
    <row r="3344" spans="1:2" x14ac:dyDescent="0.25">
      <c r="A3344" t="s">
        <v>22</v>
      </c>
      <c r="B3344" t="s">
        <v>4</v>
      </c>
    </row>
    <row r="3345" spans="1:2" x14ac:dyDescent="0.25">
      <c r="A3345" t="s">
        <v>23</v>
      </c>
      <c r="B3345" t="s">
        <v>4</v>
      </c>
    </row>
    <row r="3346" spans="1:2" x14ac:dyDescent="0.25">
      <c r="A3346" t="s">
        <v>24</v>
      </c>
      <c r="B3346" t="s">
        <v>4</v>
      </c>
    </row>
    <row r="3347" spans="1:2" x14ac:dyDescent="0.25">
      <c r="A3347" t="s">
        <v>25</v>
      </c>
      <c r="B3347" t="s">
        <v>4</v>
      </c>
    </row>
    <row r="3348" spans="1:2" x14ac:dyDescent="0.25">
      <c r="A3348" t="s">
        <v>26</v>
      </c>
      <c r="B3348" t="s">
        <v>4</v>
      </c>
    </row>
    <row r="3349" spans="1:2" x14ac:dyDescent="0.25">
      <c r="A3349" t="s">
        <v>27</v>
      </c>
      <c r="B3349" t="s">
        <v>4</v>
      </c>
    </row>
    <row r="3350" spans="1:2" x14ac:dyDescent="0.25">
      <c r="A3350" t="s">
        <v>28</v>
      </c>
      <c r="B3350" t="s">
        <v>4</v>
      </c>
    </row>
    <row r="3351" spans="1:2" x14ac:dyDescent="0.25">
      <c r="A3351" t="s">
        <v>29</v>
      </c>
      <c r="B3351" t="s">
        <v>4</v>
      </c>
    </row>
    <row r="3352" spans="1:2" x14ac:dyDescent="0.25">
      <c r="A3352" t="s">
        <v>30</v>
      </c>
      <c r="B3352" t="s">
        <v>4</v>
      </c>
    </row>
    <row r="3353" spans="1:2" x14ac:dyDescent="0.25">
      <c r="A3353" t="s">
        <v>31</v>
      </c>
      <c r="B3353" t="s">
        <v>4</v>
      </c>
    </row>
    <row r="3354" spans="1:2" x14ac:dyDescent="0.25">
      <c r="A3354" t="s">
        <v>32</v>
      </c>
      <c r="B3354" t="s">
        <v>4</v>
      </c>
    </row>
    <row r="3355" spans="1:2" x14ac:dyDescent="0.25">
      <c r="A3355" t="s">
        <v>33</v>
      </c>
      <c r="B3355" t="s">
        <v>4</v>
      </c>
    </row>
    <row r="3356" spans="1:2" x14ac:dyDescent="0.25">
      <c r="A3356" t="s">
        <v>34</v>
      </c>
      <c r="B3356" t="s">
        <v>4</v>
      </c>
    </row>
    <row r="3357" spans="1:2" x14ac:dyDescent="0.25">
      <c r="A3357" t="s">
        <v>35</v>
      </c>
      <c r="B3357" t="s">
        <v>4</v>
      </c>
    </row>
    <row r="3358" spans="1:2" x14ac:dyDescent="0.25">
      <c r="A3358" t="s">
        <v>36</v>
      </c>
      <c r="B3358" t="s">
        <v>4</v>
      </c>
    </row>
    <row r="3359" spans="1:2" x14ac:dyDescent="0.25">
      <c r="A3359" t="s">
        <v>37</v>
      </c>
      <c r="B3359" t="s">
        <v>4</v>
      </c>
    </row>
    <row r="3360" spans="1:2" x14ac:dyDescent="0.25">
      <c r="A3360" t="s">
        <v>38</v>
      </c>
      <c r="B3360" t="s">
        <v>4</v>
      </c>
    </row>
    <row r="3361" spans="1:2" x14ac:dyDescent="0.25">
      <c r="A3361" t="s">
        <v>39</v>
      </c>
      <c r="B3361" t="s">
        <v>4</v>
      </c>
    </row>
    <row r="3362" spans="1:2" x14ac:dyDescent="0.25">
      <c r="A3362" t="s">
        <v>40</v>
      </c>
      <c r="B3362" t="s">
        <v>4</v>
      </c>
    </row>
    <row r="3363" spans="1:2" x14ac:dyDescent="0.25">
      <c r="A3363" t="s">
        <v>41</v>
      </c>
      <c r="B3363" t="s">
        <v>4</v>
      </c>
    </row>
    <row r="3364" spans="1:2" x14ac:dyDescent="0.25">
      <c r="A3364" t="s">
        <v>42</v>
      </c>
      <c r="B3364" t="s">
        <v>4</v>
      </c>
    </row>
    <row r="3365" spans="1:2" x14ac:dyDescent="0.25">
      <c r="A3365" t="s">
        <v>43</v>
      </c>
      <c r="B3365" t="s">
        <v>4</v>
      </c>
    </row>
    <row r="3366" spans="1:2" x14ac:dyDescent="0.25">
      <c r="A3366" t="s">
        <v>44</v>
      </c>
      <c r="B3366" t="s">
        <v>4</v>
      </c>
    </row>
    <row r="3367" spans="1:2" x14ac:dyDescent="0.25">
      <c r="A3367" t="s">
        <v>45</v>
      </c>
      <c r="B3367" t="s">
        <v>4</v>
      </c>
    </row>
    <row r="3368" spans="1:2" x14ac:dyDescent="0.25">
      <c r="A3368" t="s">
        <v>46</v>
      </c>
      <c r="B3368" t="s">
        <v>4</v>
      </c>
    </row>
    <row r="3369" spans="1:2" x14ac:dyDescent="0.25">
      <c r="A3369" t="s">
        <v>47</v>
      </c>
      <c r="B3369" t="s">
        <v>4</v>
      </c>
    </row>
    <row r="3370" spans="1:2" x14ac:dyDescent="0.25">
      <c r="A3370" t="s">
        <v>48</v>
      </c>
      <c r="B3370" t="s">
        <v>4</v>
      </c>
    </row>
    <row r="3371" spans="1:2" x14ac:dyDescent="0.25">
      <c r="A3371" t="s">
        <v>49</v>
      </c>
      <c r="B3371" t="s">
        <v>4</v>
      </c>
    </row>
    <row r="3372" spans="1:2" x14ac:dyDescent="0.25">
      <c r="A3372" t="s">
        <v>50</v>
      </c>
      <c r="B3372" t="s">
        <v>4</v>
      </c>
    </row>
    <row r="3373" spans="1:2" x14ac:dyDescent="0.25">
      <c r="A3373" t="s">
        <v>51</v>
      </c>
      <c r="B3373" t="s">
        <v>4</v>
      </c>
    </row>
    <row r="3374" spans="1:2" x14ac:dyDescent="0.25">
      <c r="A3374" t="s">
        <v>52</v>
      </c>
      <c r="B3374" t="s">
        <v>4</v>
      </c>
    </row>
    <row r="3375" spans="1:2" x14ac:dyDescent="0.25">
      <c r="A3375" t="s">
        <v>53</v>
      </c>
      <c r="B3375" t="s">
        <v>4</v>
      </c>
    </row>
    <row r="3376" spans="1:2" x14ac:dyDescent="0.25">
      <c r="A3376" t="s">
        <v>54</v>
      </c>
      <c r="B3376" t="s">
        <v>4</v>
      </c>
    </row>
    <row r="3377" spans="1:2" x14ac:dyDescent="0.25">
      <c r="A3377" t="s">
        <v>55</v>
      </c>
      <c r="B3377" t="s">
        <v>4</v>
      </c>
    </row>
    <row r="3378" spans="1:2" x14ac:dyDescent="0.25">
      <c r="A3378" t="s">
        <v>56</v>
      </c>
      <c r="B3378" t="s">
        <v>4</v>
      </c>
    </row>
    <row r="3379" spans="1:2" x14ac:dyDescent="0.25">
      <c r="A3379" t="s">
        <v>57</v>
      </c>
      <c r="B3379" t="s">
        <v>4</v>
      </c>
    </row>
    <row r="3380" spans="1:2" x14ac:dyDescent="0.25">
      <c r="A3380" t="s">
        <v>58</v>
      </c>
      <c r="B3380" t="s">
        <v>4</v>
      </c>
    </row>
    <row r="3381" spans="1:2" x14ac:dyDescent="0.25">
      <c r="A3381" t="s">
        <v>59</v>
      </c>
      <c r="B3381" t="s">
        <v>4</v>
      </c>
    </row>
    <row r="3382" spans="1:2" x14ac:dyDescent="0.25">
      <c r="A3382" t="s">
        <v>60</v>
      </c>
      <c r="B3382" t="s">
        <v>4</v>
      </c>
    </row>
    <row r="3383" spans="1:2" x14ac:dyDescent="0.25">
      <c r="A3383" t="s">
        <v>61</v>
      </c>
      <c r="B3383" t="s">
        <v>4</v>
      </c>
    </row>
    <row r="3384" spans="1:2" x14ac:dyDescent="0.25">
      <c r="A3384" t="s">
        <v>62</v>
      </c>
      <c r="B3384" t="s">
        <v>4</v>
      </c>
    </row>
    <row r="3385" spans="1:2" x14ac:dyDescent="0.25">
      <c r="A3385" t="s">
        <v>63</v>
      </c>
      <c r="B3385" t="s">
        <v>4</v>
      </c>
    </row>
    <row r="3386" spans="1:2" x14ac:dyDescent="0.25">
      <c r="A3386" t="s">
        <v>64</v>
      </c>
      <c r="B3386" t="s">
        <v>4</v>
      </c>
    </row>
    <row r="3387" spans="1:2" x14ac:dyDescent="0.25">
      <c r="A3387" t="s">
        <v>65</v>
      </c>
      <c r="B3387" t="s">
        <v>4</v>
      </c>
    </row>
    <row r="3388" spans="1:2" x14ac:dyDescent="0.25">
      <c r="A3388" t="s">
        <v>66</v>
      </c>
      <c r="B3388" t="s">
        <v>4</v>
      </c>
    </row>
    <row r="3389" spans="1:2" x14ac:dyDescent="0.25">
      <c r="A3389" t="s">
        <v>67</v>
      </c>
      <c r="B3389" t="s">
        <v>4</v>
      </c>
    </row>
    <row r="3390" spans="1:2" x14ac:dyDescent="0.25">
      <c r="A3390" t="s">
        <v>68</v>
      </c>
      <c r="B3390" t="s">
        <v>4</v>
      </c>
    </row>
    <row r="3391" spans="1:2" x14ac:dyDescent="0.25">
      <c r="A3391" t="s">
        <v>69</v>
      </c>
      <c r="B3391" t="s">
        <v>4</v>
      </c>
    </row>
    <row r="3392" spans="1:2" x14ac:dyDescent="0.25">
      <c r="A3392" t="s">
        <v>70</v>
      </c>
      <c r="B3392" t="s">
        <v>4</v>
      </c>
    </row>
    <row r="3393" spans="1:2" x14ac:dyDescent="0.25">
      <c r="A3393" t="s">
        <v>71</v>
      </c>
      <c r="B3393" t="s">
        <v>4</v>
      </c>
    </row>
    <row r="3394" spans="1:2" x14ac:dyDescent="0.25">
      <c r="A3394" t="s">
        <v>72</v>
      </c>
      <c r="B3394" t="s">
        <v>4</v>
      </c>
    </row>
    <row r="3395" spans="1:2" x14ac:dyDescent="0.25">
      <c r="A3395" t="s">
        <v>73</v>
      </c>
      <c r="B3395" t="s">
        <v>4</v>
      </c>
    </row>
    <row r="3396" spans="1:2" x14ac:dyDescent="0.25">
      <c r="A3396" t="s">
        <v>74</v>
      </c>
      <c r="B3396" t="s">
        <v>4</v>
      </c>
    </row>
    <row r="3397" spans="1:2" x14ac:dyDescent="0.25">
      <c r="A3397" t="s">
        <v>75</v>
      </c>
      <c r="B3397" t="s">
        <v>4</v>
      </c>
    </row>
    <row r="3398" spans="1:2" x14ac:dyDescent="0.25">
      <c r="A3398" t="s">
        <v>76</v>
      </c>
      <c r="B3398" t="s">
        <v>4</v>
      </c>
    </row>
    <row r="3399" spans="1:2" x14ac:dyDescent="0.25">
      <c r="A3399" t="s">
        <v>77</v>
      </c>
      <c r="B3399" t="s">
        <v>4</v>
      </c>
    </row>
    <row r="3400" spans="1:2" x14ac:dyDescent="0.25">
      <c r="A3400" t="s">
        <v>78</v>
      </c>
      <c r="B3400" t="s">
        <v>4</v>
      </c>
    </row>
    <row r="3401" spans="1:2" x14ac:dyDescent="0.25">
      <c r="A3401" t="s">
        <v>79</v>
      </c>
      <c r="B3401" t="s">
        <v>4</v>
      </c>
    </row>
    <row r="3402" spans="1:2" x14ac:dyDescent="0.25">
      <c r="A3402" t="s">
        <v>80</v>
      </c>
      <c r="B3402" t="s">
        <v>4</v>
      </c>
    </row>
    <row r="3403" spans="1:2" x14ac:dyDescent="0.25">
      <c r="A3403" t="s">
        <v>81</v>
      </c>
      <c r="B3403" t="s">
        <v>4</v>
      </c>
    </row>
    <row r="3406" spans="1:2" x14ac:dyDescent="0.25">
      <c r="A3406" t="s">
        <v>0</v>
      </c>
      <c r="B3406" t="s">
        <v>116</v>
      </c>
    </row>
    <row r="3408" spans="1:2" s="1" customFormat="1" x14ac:dyDescent="0.25">
      <c r="A3408" s="1" t="s">
        <v>2</v>
      </c>
      <c r="B3408" s="1" t="s">
        <v>157</v>
      </c>
    </row>
    <row r="3409" spans="1:4" x14ac:dyDescent="0.25">
      <c r="A3409" t="s">
        <v>3</v>
      </c>
      <c r="B3409" t="s">
        <v>4</v>
      </c>
    </row>
    <row r="3410" spans="1:4" x14ac:dyDescent="0.25">
      <c r="A3410" t="s">
        <v>5</v>
      </c>
      <c r="B3410" t="s">
        <v>4</v>
      </c>
    </row>
    <row r="3411" spans="1:4" x14ac:dyDescent="0.25">
      <c r="A3411" t="s">
        <v>6</v>
      </c>
      <c r="B3411" t="s">
        <v>4</v>
      </c>
    </row>
    <row r="3412" spans="1:4" x14ac:dyDescent="0.25">
      <c r="A3412" t="s">
        <v>7</v>
      </c>
      <c r="B3412">
        <v>69.349999999999994</v>
      </c>
    </row>
    <row r="3413" spans="1:4" x14ac:dyDescent="0.25">
      <c r="A3413" t="s">
        <v>8</v>
      </c>
      <c r="B3413" s="2">
        <v>6088.54</v>
      </c>
    </row>
    <row r="3414" spans="1:4" x14ac:dyDescent="0.25">
      <c r="A3414" t="s">
        <v>9</v>
      </c>
      <c r="B3414">
        <v>1777.71</v>
      </c>
    </row>
    <row r="3415" spans="1:4" x14ac:dyDescent="0.25">
      <c r="A3415" t="s">
        <v>10</v>
      </c>
      <c r="B3415">
        <v>93.31</v>
      </c>
    </row>
    <row r="3416" spans="1:4" x14ac:dyDescent="0.25">
      <c r="A3416" t="s">
        <v>11</v>
      </c>
      <c r="B3416">
        <v>14.71</v>
      </c>
    </row>
    <row r="3417" spans="1:4" x14ac:dyDescent="0.25">
      <c r="A3417" t="s">
        <v>12</v>
      </c>
      <c r="B3417">
        <v>17.93</v>
      </c>
    </row>
    <row r="3418" spans="1:4" x14ac:dyDescent="0.25">
      <c r="A3418" t="s">
        <v>13</v>
      </c>
      <c r="B3418">
        <v>38.18</v>
      </c>
    </row>
    <row r="3419" spans="1:4" x14ac:dyDescent="0.25">
      <c r="A3419" t="s">
        <v>14</v>
      </c>
      <c r="B3419">
        <v>54.67</v>
      </c>
    </row>
    <row r="3420" spans="1:4" x14ac:dyDescent="0.25">
      <c r="A3420" t="s">
        <v>15</v>
      </c>
      <c r="B3420">
        <v>45.66</v>
      </c>
    </row>
    <row r="3421" spans="1:4" x14ac:dyDescent="0.25">
      <c r="A3421" t="s">
        <v>16</v>
      </c>
      <c r="B3421">
        <v>38.299999999999997</v>
      </c>
    </row>
    <row r="3422" spans="1:4" x14ac:dyDescent="0.25">
      <c r="A3422" t="s">
        <v>17</v>
      </c>
      <c r="B3422" s="2">
        <v>10621.34</v>
      </c>
      <c r="D3422" s="2" t="s">
        <v>166</v>
      </c>
    </row>
    <row r="3423" spans="1:4" x14ac:dyDescent="0.25">
      <c r="A3423" t="s">
        <v>18</v>
      </c>
      <c r="B3423">
        <v>15.55</v>
      </c>
      <c r="D3423" s="2" t="s">
        <v>167</v>
      </c>
    </row>
    <row r="3424" spans="1:4" x14ac:dyDescent="0.25">
      <c r="A3424" t="s">
        <v>19</v>
      </c>
      <c r="B3424">
        <v>8.16</v>
      </c>
    </row>
    <row r="3425" spans="1:2" x14ac:dyDescent="0.25">
      <c r="A3425" t="s">
        <v>20</v>
      </c>
      <c r="B3425">
        <v>10.7</v>
      </c>
    </row>
    <row r="3426" spans="1:2" x14ac:dyDescent="0.25">
      <c r="A3426" t="s">
        <v>21</v>
      </c>
      <c r="B3426">
        <v>16.18</v>
      </c>
    </row>
    <row r="3427" spans="1:2" x14ac:dyDescent="0.25">
      <c r="A3427" t="s">
        <v>22</v>
      </c>
      <c r="B3427">
        <v>14.57</v>
      </c>
    </row>
    <row r="3428" spans="1:2" x14ac:dyDescent="0.25">
      <c r="A3428" t="s">
        <v>23</v>
      </c>
      <c r="B3428">
        <v>16.34</v>
      </c>
    </row>
    <row r="3429" spans="1:2" x14ac:dyDescent="0.25">
      <c r="A3429" t="s">
        <v>24</v>
      </c>
      <c r="B3429">
        <v>11.97</v>
      </c>
    </row>
    <row r="3430" spans="1:2" x14ac:dyDescent="0.25">
      <c r="A3430" t="s">
        <v>25</v>
      </c>
      <c r="B3430">
        <v>38.549999999999997</v>
      </c>
    </row>
    <row r="3431" spans="1:2" x14ac:dyDescent="0.25">
      <c r="A3431" t="s">
        <v>26</v>
      </c>
      <c r="B3431">
        <v>84.26</v>
      </c>
    </row>
    <row r="3432" spans="1:2" x14ac:dyDescent="0.25">
      <c r="A3432" t="s">
        <v>27</v>
      </c>
      <c r="B3432">
        <v>47.96</v>
      </c>
    </row>
    <row r="3433" spans="1:2" x14ac:dyDescent="0.25">
      <c r="A3433" t="s">
        <v>28</v>
      </c>
      <c r="B3433">
        <v>68.62</v>
      </c>
    </row>
    <row r="3434" spans="1:2" x14ac:dyDescent="0.25">
      <c r="A3434" t="s">
        <v>29</v>
      </c>
      <c r="B3434">
        <v>3028.99</v>
      </c>
    </row>
    <row r="3435" spans="1:2" x14ac:dyDescent="0.25">
      <c r="A3435" t="s">
        <v>30</v>
      </c>
      <c r="B3435">
        <v>1981.27</v>
      </c>
    </row>
    <row r="3436" spans="1:2" x14ac:dyDescent="0.25">
      <c r="A3436" t="s">
        <v>31</v>
      </c>
      <c r="B3436">
        <v>1927.36</v>
      </c>
    </row>
    <row r="3437" spans="1:2" x14ac:dyDescent="0.25">
      <c r="A3437" t="s">
        <v>32</v>
      </c>
      <c r="B3437">
        <v>19.829999999999998</v>
      </c>
    </row>
    <row r="3438" spans="1:2" x14ac:dyDescent="0.25">
      <c r="A3438" t="s">
        <v>33</v>
      </c>
      <c r="B3438">
        <v>15.28</v>
      </c>
    </row>
    <row r="3439" spans="1:2" x14ac:dyDescent="0.25">
      <c r="A3439" t="s">
        <v>34</v>
      </c>
      <c r="B3439">
        <v>3.15</v>
      </c>
    </row>
    <row r="3440" spans="1:2" x14ac:dyDescent="0.25">
      <c r="A3440" t="s">
        <v>35</v>
      </c>
      <c r="B3440">
        <v>8.89</v>
      </c>
    </row>
    <row r="3441" spans="1:2" x14ac:dyDescent="0.25">
      <c r="A3441" t="s">
        <v>36</v>
      </c>
      <c r="B3441">
        <v>10.33</v>
      </c>
    </row>
    <row r="3442" spans="1:2" x14ac:dyDescent="0.25">
      <c r="A3442" t="s">
        <v>37</v>
      </c>
      <c r="B3442">
        <v>14.59</v>
      </c>
    </row>
    <row r="3443" spans="1:2" x14ac:dyDescent="0.25">
      <c r="A3443" t="s">
        <v>38</v>
      </c>
      <c r="B3443">
        <v>3.83</v>
      </c>
    </row>
    <row r="3444" spans="1:2" x14ac:dyDescent="0.25">
      <c r="A3444" t="s">
        <v>39</v>
      </c>
      <c r="B3444">
        <v>15.22</v>
      </c>
    </row>
    <row r="3445" spans="1:2" x14ac:dyDescent="0.25">
      <c r="A3445" t="s">
        <v>40</v>
      </c>
      <c r="B3445">
        <v>13.31</v>
      </c>
    </row>
    <row r="3446" spans="1:2" x14ac:dyDescent="0.25">
      <c r="A3446" t="s">
        <v>41</v>
      </c>
      <c r="B3446">
        <v>3.04</v>
      </c>
    </row>
    <row r="3447" spans="1:2" x14ac:dyDescent="0.25">
      <c r="A3447" t="s">
        <v>42</v>
      </c>
      <c r="B3447">
        <v>2.79</v>
      </c>
    </row>
    <row r="3448" spans="1:2" x14ac:dyDescent="0.25">
      <c r="A3448" t="s">
        <v>43</v>
      </c>
      <c r="B3448">
        <v>8.91</v>
      </c>
    </row>
    <row r="3449" spans="1:2" x14ac:dyDescent="0.25">
      <c r="A3449" t="s">
        <v>44</v>
      </c>
      <c r="B3449">
        <v>12.21</v>
      </c>
    </row>
    <row r="3450" spans="1:2" x14ac:dyDescent="0.25">
      <c r="A3450" t="s">
        <v>45</v>
      </c>
      <c r="B3450">
        <v>3.65</v>
      </c>
    </row>
    <row r="3451" spans="1:2" x14ac:dyDescent="0.25">
      <c r="A3451" t="s">
        <v>46</v>
      </c>
      <c r="B3451">
        <v>5.57</v>
      </c>
    </row>
    <row r="3452" spans="1:2" x14ac:dyDescent="0.25">
      <c r="A3452" t="s">
        <v>47</v>
      </c>
      <c r="B3452">
        <v>11.92</v>
      </c>
    </row>
    <row r="3453" spans="1:2" x14ac:dyDescent="0.25">
      <c r="A3453" t="s">
        <v>48</v>
      </c>
      <c r="B3453">
        <v>12.23</v>
      </c>
    </row>
    <row r="3454" spans="1:2" x14ac:dyDescent="0.25">
      <c r="A3454" t="s">
        <v>49</v>
      </c>
      <c r="B3454">
        <v>4.7300000000000004</v>
      </c>
    </row>
    <row r="3455" spans="1:2" x14ac:dyDescent="0.25">
      <c r="A3455" t="s">
        <v>50</v>
      </c>
      <c r="B3455">
        <v>5.26</v>
      </c>
    </row>
    <row r="3456" spans="1:2" x14ac:dyDescent="0.25">
      <c r="A3456" t="s">
        <v>51</v>
      </c>
      <c r="B3456">
        <v>5.31</v>
      </c>
    </row>
    <row r="3457" spans="1:2" x14ac:dyDescent="0.25">
      <c r="A3457" t="s">
        <v>52</v>
      </c>
      <c r="B3457">
        <v>11.45</v>
      </c>
    </row>
    <row r="3458" spans="1:2" x14ac:dyDescent="0.25">
      <c r="A3458" t="s">
        <v>53</v>
      </c>
      <c r="B3458">
        <v>233.55</v>
      </c>
    </row>
    <row r="3459" spans="1:2" x14ac:dyDescent="0.25">
      <c r="A3459" t="s">
        <v>54</v>
      </c>
      <c r="B3459">
        <v>136.94</v>
      </c>
    </row>
    <row r="3460" spans="1:2" x14ac:dyDescent="0.25">
      <c r="A3460" t="s">
        <v>55</v>
      </c>
      <c r="B3460">
        <v>180.68</v>
      </c>
    </row>
    <row r="3461" spans="1:2" x14ac:dyDescent="0.25">
      <c r="A3461" t="s">
        <v>56</v>
      </c>
      <c r="B3461">
        <v>117.69</v>
      </c>
    </row>
    <row r="3462" spans="1:2" x14ac:dyDescent="0.25">
      <c r="A3462" t="s">
        <v>57</v>
      </c>
      <c r="B3462">
        <v>6</v>
      </c>
    </row>
    <row r="3463" spans="1:2" x14ac:dyDescent="0.25">
      <c r="A3463" t="s">
        <v>58</v>
      </c>
      <c r="B3463">
        <v>1016.73</v>
      </c>
    </row>
    <row r="3464" spans="1:2" x14ac:dyDescent="0.25">
      <c r="A3464" t="s">
        <v>59</v>
      </c>
      <c r="B3464">
        <v>125.66</v>
      </c>
    </row>
    <row r="3465" spans="1:2" x14ac:dyDescent="0.25">
      <c r="A3465" t="s">
        <v>60</v>
      </c>
      <c r="B3465">
        <v>102.89</v>
      </c>
    </row>
    <row r="3466" spans="1:2" x14ac:dyDescent="0.25">
      <c r="A3466" t="s">
        <v>61</v>
      </c>
      <c r="B3466">
        <v>164.94</v>
      </c>
    </row>
    <row r="3467" spans="1:2" x14ac:dyDescent="0.25">
      <c r="A3467" t="s">
        <v>62</v>
      </c>
      <c r="B3467">
        <v>313.38</v>
      </c>
    </row>
    <row r="3468" spans="1:2" x14ac:dyDescent="0.25">
      <c r="A3468" t="s">
        <v>63</v>
      </c>
      <c r="B3468">
        <v>569.91999999999996</v>
      </c>
    </row>
    <row r="3469" spans="1:2" x14ac:dyDescent="0.25">
      <c r="A3469" t="s">
        <v>64</v>
      </c>
      <c r="B3469">
        <v>458.76</v>
      </c>
    </row>
    <row r="3470" spans="1:2" x14ac:dyDescent="0.25">
      <c r="A3470" t="s">
        <v>65</v>
      </c>
      <c r="B3470">
        <v>31.84</v>
      </c>
    </row>
    <row r="3471" spans="1:2" x14ac:dyDescent="0.25">
      <c r="A3471" t="s">
        <v>66</v>
      </c>
      <c r="B3471">
        <v>157.19</v>
      </c>
    </row>
    <row r="3472" spans="1:2" x14ac:dyDescent="0.25">
      <c r="A3472" t="s">
        <v>67</v>
      </c>
      <c r="B3472" s="2">
        <v>9544.66</v>
      </c>
    </row>
    <row r="3473" spans="1:2" x14ac:dyDescent="0.25">
      <c r="A3473" t="s">
        <v>68</v>
      </c>
      <c r="B3473">
        <v>41.6</v>
      </c>
    </row>
    <row r="3474" spans="1:2" x14ac:dyDescent="0.25">
      <c r="A3474" t="s">
        <v>69</v>
      </c>
      <c r="B3474">
        <v>4918.03</v>
      </c>
    </row>
    <row r="3475" spans="1:2" x14ac:dyDescent="0.25">
      <c r="A3475" t="s">
        <v>70</v>
      </c>
      <c r="B3475">
        <v>175.99</v>
      </c>
    </row>
    <row r="3476" spans="1:2" x14ac:dyDescent="0.25">
      <c r="A3476" t="s">
        <v>71</v>
      </c>
      <c r="B3476">
        <v>199.58</v>
      </c>
    </row>
    <row r="3477" spans="1:2" x14ac:dyDescent="0.25">
      <c r="A3477" t="s">
        <v>72</v>
      </c>
      <c r="B3477">
        <v>159.66999999999999</v>
      </c>
    </row>
    <row r="3478" spans="1:2" x14ac:dyDescent="0.25">
      <c r="A3478" t="s">
        <v>73</v>
      </c>
      <c r="B3478">
        <v>12.71</v>
      </c>
    </row>
    <row r="3479" spans="1:2" x14ac:dyDescent="0.25">
      <c r="A3479" t="s">
        <v>74</v>
      </c>
      <c r="B3479">
        <v>188.81</v>
      </c>
    </row>
    <row r="3480" spans="1:2" x14ac:dyDescent="0.25">
      <c r="A3480" t="s">
        <v>75</v>
      </c>
      <c r="B3480">
        <v>187.34</v>
      </c>
    </row>
    <row r="3481" spans="1:2" x14ac:dyDescent="0.25">
      <c r="A3481" t="s">
        <v>76</v>
      </c>
      <c r="B3481">
        <v>217.82</v>
      </c>
    </row>
    <row r="3482" spans="1:2" x14ac:dyDescent="0.25">
      <c r="A3482" t="s">
        <v>77</v>
      </c>
      <c r="B3482">
        <v>170.57</v>
      </c>
    </row>
    <row r="3483" spans="1:2" x14ac:dyDescent="0.25">
      <c r="A3483" t="s">
        <v>78</v>
      </c>
      <c r="B3483">
        <v>14.81</v>
      </c>
    </row>
    <row r="3484" spans="1:2" x14ac:dyDescent="0.25">
      <c r="A3484" t="s">
        <v>79</v>
      </c>
      <c r="B3484">
        <v>4.41</v>
      </c>
    </row>
    <row r="3485" spans="1:2" x14ac:dyDescent="0.25">
      <c r="A3485" t="s">
        <v>80</v>
      </c>
      <c r="B3485">
        <v>4.78</v>
      </c>
    </row>
    <row r="3486" spans="1:2" x14ac:dyDescent="0.25">
      <c r="A3486" t="s">
        <v>81</v>
      </c>
      <c r="B3486">
        <v>6.19</v>
      </c>
    </row>
    <row r="3489" spans="1:2" x14ac:dyDescent="0.25">
      <c r="A3489" t="s">
        <v>0</v>
      </c>
      <c r="B3489" t="s">
        <v>117</v>
      </c>
    </row>
    <row r="3491" spans="1:2" s="1" customFormat="1" x14ac:dyDescent="0.25">
      <c r="A3491" s="1" t="s">
        <v>2</v>
      </c>
      <c r="B3491" s="1" t="s">
        <v>157</v>
      </c>
    </row>
    <row r="3492" spans="1:2" x14ac:dyDescent="0.25">
      <c r="A3492" t="s">
        <v>3</v>
      </c>
      <c r="B3492" t="s">
        <v>4</v>
      </c>
    </row>
    <row r="3493" spans="1:2" x14ac:dyDescent="0.25">
      <c r="A3493" t="s">
        <v>5</v>
      </c>
      <c r="B3493" t="s">
        <v>4</v>
      </c>
    </row>
    <row r="3494" spans="1:2" x14ac:dyDescent="0.25">
      <c r="A3494" t="s">
        <v>6</v>
      </c>
      <c r="B3494" t="s">
        <v>4</v>
      </c>
    </row>
    <row r="3495" spans="1:2" x14ac:dyDescent="0.25">
      <c r="A3495" t="s">
        <v>7</v>
      </c>
      <c r="B3495" t="s">
        <v>4</v>
      </c>
    </row>
    <row r="3496" spans="1:2" x14ac:dyDescent="0.25">
      <c r="A3496" t="s">
        <v>8</v>
      </c>
      <c r="B3496" t="s">
        <v>4</v>
      </c>
    </row>
    <row r="3497" spans="1:2" x14ac:dyDescent="0.25">
      <c r="A3497" t="s">
        <v>9</v>
      </c>
      <c r="B3497" t="s">
        <v>4</v>
      </c>
    </row>
    <row r="3498" spans="1:2" x14ac:dyDescent="0.25">
      <c r="A3498" t="s">
        <v>10</v>
      </c>
      <c r="B3498" t="s">
        <v>4</v>
      </c>
    </row>
    <row r="3499" spans="1:2" x14ac:dyDescent="0.25">
      <c r="A3499" t="s">
        <v>11</v>
      </c>
      <c r="B3499" t="s">
        <v>4</v>
      </c>
    </row>
    <row r="3500" spans="1:2" x14ac:dyDescent="0.25">
      <c r="A3500" t="s">
        <v>12</v>
      </c>
      <c r="B3500" t="s">
        <v>4</v>
      </c>
    </row>
    <row r="3501" spans="1:2" x14ac:dyDescent="0.25">
      <c r="A3501" t="s">
        <v>13</v>
      </c>
      <c r="B3501" t="s">
        <v>4</v>
      </c>
    </row>
    <row r="3502" spans="1:2" x14ac:dyDescent="0.25">
      <c r="A3502" t="s">
        <v>14</v>
      </c>
      <c r="B3502" t="s">
        <v>4</v>
      </c>
    </row>
    <row r="3503" spans="1:2" x14ac:dyDescent="0.25">
      <c r="A3503" t="s">
        <v>15</v>
      </c>
      <c r="B3503">
        <v>1.21</v>
      </c>
    </row>
    <row r="3504" spans="1:2" x14ac:dyDescent="0.25">
      <c r="A3504" t="s">
        <v>16</v>
      </c>
      <c r="B3504" t="s">
        <v>4</v>
      </c>
    </row>
    <row r="3505" spans="1:2" x14ac:dyDescent="0.25">
      <c r="A3505" t="s">
        <v>17</v>
      </c>
      <c r="B3505" t="s">
        <v>4</v>
      </c>
    </row>
    <row r="3506" spans="1:2" x14ac:dyDescent="0.25">
      <c r="A3506" t="s">
        <v>18</v>
      </c>
      <c r="B3506" t="s">
        <v>4</v>
      </c>
    </row>
    <row r="3507" spans="1:2" x14ac:dyDescent="0.25">
      <c r="A3507" t="s">
        <v>19</v>
      </c>
      <c r="B3507" t="s">
        <v>4</v>
      </c>
    </row>
    <row r="3508" spans="1:2" x14ac:dyDescent="0.25">
      <c r="A3508" t="s">
        <v>20</v>
      </c>
      <c r="B3508" t="s">
        <v>4</v>
      </c>
    </row>
    <row r="3509" spans="1:2" x14ac:dyDescent="0.25">
      <c r="A3509" t="s">
        <v>21</v>
      </c>
      <c r="B3509" t="s">
        <v>4</v>
      </c>
    </row>
    <row r="3510" spans="1:2" x14ac:dyDescent="0.25">
      <c r="A3510" t="s">
        <v>22</v>
      </c>
      <c r="B3510" t="s">
        <v>4</v>
      </c>
    </row>
    <row r="3511" spans="1:2" x14ac:dyDescent="0.25">
      <c r="A3511" t="s">
        <v>23</v>
      </c>
      <c r="B3511" t="s">
        <v>4</v>
      </c>
    </row>
    <row r="3512" spans="1:2" x14ac:dyDescent="0.25">
      <c r="A3512" t="s">
        <v>24</v>
      </c>
      <c r="B3512" t="s">
        <v>4</v>
      </c>
    </row>
    <row r="3513" spans="1:2" x14ac:dyDescent="0.25">
      <c r="A3513" t="s">
        <v>25</v>
      </c>
      <c r="B3513" t="s">
        <v>4</v>
      </c>
    </row>
    <row r="3514" spans="1:2" x14ac:dyDescent="0.25">
      <c r="A3514" t="s">
        <v>26</v>
      </c>
      <c r="B3514" t="s">
        <v>4</v>
      </c>
    </row>
    <row r="3515" spans="1:2" x14ac:dyDescent="0.25">
      <c r="A3515" t="s">
        <v>27</v>
      </c>
      <c r="B3515" t="s">
        <v>4</v>
      </c>
    </row>
    <row r="3516" spans="1:2" x14ac:dyDescent="0.25">
      <c r="A3516" t="s">
        <v>28</v>
      </c>
      <c r="B3516" t="s">
        <v>4</v>
      </c>
    </row>
    <row r="3517" spans="1:2" x14ac:dyDescent="0.25">
      <c r="A3517" t="s">
        <v>29</v>
      </c>
      <c r="B3517" t="s">
        <v>4</v>
      </c>
    </row>
    <row r="3518" spans="1:2" x14ac:dyDescent="0.25">
      <c r="A3518" t="s">
        <v>30</v>
      </c>
      <c r="B3518" t="s">
        <v>4</v>
      </c>
    </row>
    <row r="3519" spans="1:2" x14ac:dyDescent="0.25">
      <c r="A3519" t="s">
        <v>31</v>
      </c>
      <c r="B3519" t="s">
        <v>4</v>
      </c>
    </row>
    <row r="3520" spans="1:2" x14ac:dyDescent="0.25">
      <c r="A3520" t="s">
        <v>32</v>
      </c>
      <c r="B3520" t="s">
        <v>4</v>
      </c>
    </row>
    <row r="3521" spans="1:2" x14ac:dyDescent="0.25">
      <c r="A3521" t="s">
        <v>33</v>
      </c>
      <c r="B3521" t="s">
        <v>4</v>
      </c>
    </row>
    <row r="3522" spans="1:2" x14ac:dyDescent="0.25">
      <c r="A3522" t="s">
        <v>34</v>
      </c>
      <c r="B3522" t="s">
        <v>4</v>
      </c>
    </row>
    <row r="3523" spans="1:2" x14ac:dyDescent="0.25">
      <c r="A3523" t="s">
        <v>35</v>
      </c>
      <c r="B3523" t="s">
        <v>4</v>
      </c>
    </row>
    <row r="3524" spans="1:2" x14ac:dyDescent="0.25">
      <c r="A3524" t="s">
        <v>36</v>
      </c>
      <c r="B3524" t="s">
        <v>4</v>
      </c>
    </row>
    <row r="3525" spans="1:2" x14ac:dyDescent="0.25">
      <c r="A3525" t="s">
        <v>37</v>
      </c>
      <c r="B3525" t="s">
        <v>4</v>
      </c>
    </row>
    <row r="3526" spans="1:2" x14ac:dyDescent="0.25">
      <c r="A3526" t="s">
        <v>38</v>
      </c>
      <c r="B3526" t="s">
        <v>4</v>
      </c>
    </row>
    <row r="3527" spans="1:2" x14ac:dyDescent="0.25">
      <c r="A3527" t="s">
        <v>39</v>
      </c>
      <c r="B3527" t="s">
        <v>4</v>
      </c>
    </row>
    <row r="3528" spans="1:2" x14ac:dyDescent="0.25">
      <c r="A3528" t="s">
        <v>40</v>
      </c>
      <c r="B3528" t="s">
        <v>4</v>
      </c>
    </row>
    <row r="3529" spans="1:2" x14ac:dyDescent="0.25">
      <c r="A3529" t="s">
        <v>41</v>
      </c>
      <c r="B3529" t="s">
        <v>4</v>
      </c>
    </row>
    <row r="3530" spans="1:2" x14ac:dyDescent="0.25">
      <c r="A3530" t="s">
        <v>42</v>
      </c>
      <c r="B3530" t="s">
        <v>4</v>
      </c>
    </row>
    <row r="3531" spans="1:2" x14ac:dyDescent="0.25">
      <c r="A3531" t="s">
        <v>43</v>
      </c>
      <c r="B3531" t="s">
        <v>4</v>
      </c>
    </row>
    <row r="3532" spans="1:2" x14ac:dyDescent="0.25">
      <c r="A3532" t="s">
        <v>44</v>
      </c>
      <c r="B3532" t="s">
        <v>4</v>
      </c>
    </row>
    <row r="3533" spans="1:2" x14ac:dyDescent="0.25">
      <c r="A3533" t="s">
        <v>45</v>
      </c>
      <c r="B3533" t="s">
        <v>4</v>
      </c>
    </row>
    <row r="3534" spans="1:2" x14ac:dyDescent="0.25">
      <c r="A3534" t="s">
        <v>46</v>
      </c>
      <c r="B3534" t="s">
        <v>4</v>
      </c>
    </row>
    <row r="3535" spans="1:2" x14ac:dyDescent="0.25">
      <c r="A3535" t="s">
        <v>47</v>
      </c>
      <c r="B3535" t="s">
        <v>4</v>
      </c>
    </row>
    <row r="3536" spans="1:2" x14ac:dyDescent="0.25">
      <c r="A3536" t="s">
        <v>48</v>
      </c>
      <c r="B3536" t="s">
        <v>4</v>
      </c>
    </row>
    <row r="3537" spans="1:2" x14ac:dyDescent="0.25">
      <c r="A3537" t="s">
        <v>49</v>
      </c>
      <c r="B3537" t="s">
        <v>4</v>
      </c>
    </row>
    <row r="3538" spans="1:2" x14ac:dyDescent="0.25">
      <c r="A3538" t="s">
        <v>50</v>
      </c>
      <c r="B3538" t="s">
        <v>4</v>
      </c>
    </row>
    <row r="3539" spans="1:2" x14ac:dyDescent="0.25">
      <c r="A3539" t="s">
        <v>51</v>
      </c>
      <c r="B3539" t="s">
        <v>4</v>
      </c>
    </row>
    <row r="3540" spans="1:2" x14ac:dyDescent="0.25">
      <c r="A3540" t="s">
        <v>52</v>
      </c>
      <c r="B3540" t="s">
        <v>4</v>
      </c>
    </row>
    <row r="3541" spans="1:2" x14ac:dyDescent="0.25">
      <c r="A3541" t="s">
        <v>53</v>
      </c>
      <c r="B3541">
        <v>11.38</v>
      </c>
    </row>
    <row r="3542" spans="1:2" x14ac:dyDescent="0.25">
      <c r="A3542" t="s">
        <v>54</v>
      </c>
      <c r="B3542">
        <v>2.2799999999999998</v>
      </c>
    </row>
    <row r="3543" spans="1:2" x14ac:dyDescent="0.25">
      <c r="A3543" t="s">
        <v>55</v>
      </c>
      <c r="B3543">
        <v>1.23</v>
      </c>
    </row>
    <row r="3544" spans="1:2" x14ac:dyDescent="0.25">
      <c r="A3544" t="s">
        <v>56</v>
      </c>
      <c r="B3544" t="s">
        <v>4</v>
      </c>
    </row>
    <row r="3545" spans="1:2" x14ac:dyDescent="0.25">
      <c r="A3545" t="s">
        <v>57</v>
      </c>
      <c r="B3545" t="s">
        <v>4</v>
      </c>
    </row>
    <row r="3546" spans="1:2" x14ac:dyDescent="0.25">
      <c r="A3546" t="s">
        <v>58</v>
      </c>
      <c r="B3546" t="s">
        <v>4</v>
      </c>
    </row>
    <row r="3547" spans="1:2" x14ac:dyDescent="0.25">
      <c r="A3547" t="s">
        <v>59</v>
      </c>
      <c r="B3547" t="s">
        <v>4</v>
      </c>
    </row>
    <row r="3548" spans="1:2" x14ac:dyDescent="0.25">
      <c r="A3548" t="s">
        <v>60</v>
      </c>
      <c r="B3548">
        <v>3.55</v>
      </c>
    </row>
    <row r="3549" spans="1:2" x14ac:dyDescent="0.25">
      <c r="A3549" t="s">
        <v>61</v>
      </c>
      <c r="B3549">
        <v>5.21</v>
      </c>
    </row>
    <row r="3550" spans="1:2" x14ac:dyDescent="0.25">
      <c r="A3550" t="s">
        <v>62</v>
      </c>
      <c r="B3550">
        <v>8.0299999999999994</v>
      </c>
    </row>
    <row r="3551" spans="1:2" x14ac:dyDescent="0.25">
      <c r="A3551" t="s">
        <v>63</v>
      </c>
      <c r="B3551">
        <v>6.16</v>
      </c>
    </row>
    <row r="3552" spans="1:2" x14ac:dyDescent="0.25">
      <c r="A3552" t="s">
        <v>64</v>
      </c>
      <c r="B3552">
        <v>4.28</v>
      </c>
    </row>
    <row r="3553" spans="1:2" x14ac:dyDescent="0.25">
      <c r="A3553" t="s">
        <v>65</v>
      </c>
      <c r="B3553">
        <v>0.9</v>
      </c>
    </row>
    <row r="3554" spans="1:2" x14ac:dyDescent="0.25">
      <c r="A3554" t="s">
        <v>66</v>
      </c>
      <c r="B3554" t="s">
        <v>4</v>
      </c>
    </row>
    <row r="3555" spans="1:2" x14ac:dyDescent="0.25">
      <c r="A3555" t="s">
        <v>67</v>
      </c>
      <c r="B3555" t="s">
        <v>4</v>
      </c>
    </row>
    <row r="3556" spans="1:2" x14ac:dyDescent="0.25">
      <c r="A3556" t="s">
        <v>68</v>
      </c>
      <c r="B3556" t="s">
        <v>4</v>
      </c>
    </row>
    <row r="3557" spans="1:2" x14ac:dyDescent="0.25">
      <c r="A3557" t="s">
        <v>69</v>
      </c>
      <c r="B3557" t="s">
        <v>4</v>
      </c>
    </row>
    <row r="3558" spans="1:2" x14ac:dyDescent="0.25">
      <c r="A3558" t="s">
        <v>70</v>
      </c>
      <c r="B3558">
        <v>1.21</v>
      </c>
    </row>
    <row r="3559" spans="1:2" x14ac:dyDescent="0.25">
      <c r="A3559" t="s">
        <v>71</v>
      </c>
      <c r="B3559">
        <v>1.2</v>
      </c>
    </row>
    <row r="3560" spans="1:2" x14ac:dyDescent="0.25">
      <c r="A3560" t="s">
        <v>72</v>
      </c>
      <c r="B3560">
        <v>0.78</v>
      </c>
    </row>
    <row r="3561" spans="1:2" x14ac:dyDescent="0.25">
      <c r="A3561" t="s">
        <v>73</v>
      </c>
      <c r="B3561" t="s">
        <v>4</v>
      </c>
    </row>
    <row r="3562" spans="1:2" x14ac:dyDescent="0.25">
      <c r="A3562" t="s">
        <v>74</v>
      </c>
      <c r="B3562">
        <v>1.07</v>
      </c>
    </row>
    <row r="3563" spans="1:2" x14ac:dyDescent="0.25">
      <c r="A3563" t="s">
        <v>75</v>
      </c>
      <c r="B3563">
        <v>1.67</v>
      </c>
    </row>
    <row r="3564" spans="1:2" x14ac:dyDescent="0.25">
      <c r="A3564" t="s">
        <v>76</v>
      </c>
      <c r="B3564">
        <v>0.72</v>
      </c>
    </row>
    <row r="3565" spans="1:2" x14ac:dyDescent="0.25">
      <c r="A3565" t="s">
        <v>77</v>
      </c>
      <c r="B3565">
        <v>0.9</v>
      </c>
    </row>
    <row r="3566" spans="1:2" x14ac:dyDescent="0.25">
      <c r="A3566" t="s">
        <v>78</v>
      </c>
      <c r="B3566" t="s">
        <v>4</v>
      </c>
    </row>
    <row r="3567" spans="1:2" x14ac:dyDescent="0.25">
      <c r="A3567" t="s">
        <v>79</v>
      </c>
      <c r="B3567" t="s">
        <v>4</v>
      </c>
    </row>
    <row r="3568" spans="1:2" x14ac:dyDescent="0.25">
      <c r="A3568" t="s">
        <v>80</v>
      </c>
      <c r="B3568" t="s">
        <v>4</v>
      </c>
    </row>
    <row r="3569" spans="1:2" x14ac:dyDescent="0.25">
      <c r="A3569" t="s">
        <v>81</v>
      </c>
      <c r="B3569" t="s">
        <v>4</v>
      </c>
    </row>
    <row r="3572" spans="1:2" x14ac:dyDescent="0.25">
      <c r="A3572" t="s">
        <v>0</v>
      </c>
      <c r="B3572" t="s">
        <v>118</v>
      </c>
    </row>
    <row r="3574" spans="1:2" s="1" customFormat="1" x14ac:dyDescent="0.25">
      <c r="A3574" s="1" t="s">
        <v>2</v>
      </c>
      <c r="B3574" s="1" t="s">
        <v>157</v>
      </c>
    </row>
    <row r="3575" spans="1:2" x14ac:dyDescent="0.25">
      <c r="A3575" t="s">
        <v>3</v>
      </c>
      <c r="B3575" t="s">
        <v>4</v>
      </c>
    </row>
    <row r="3576" spans="1:2" x14ac:dyDescent="0.25">
      <c r="A3576" t="s">
        <v>5</v>
      </c>
      <c r="B3576" t="s">
        <v>4</v>
      </c>
    </row>
    <row r="3577" spans="1:2" x14ac:dyDescent="0.25">
      <c r="A3577" t="s">
        <v>6</v>
      </c>
      <c r="B3577" t="s">
        <v>4</v>
      </c>
    </row>
    <row r="3578" spans="1:2" x14ac:dyDescent="0.25">
      <c r="A3578" t="s">
        <v>7</v>
      </c>
      <c r="B3578" t="s">
        <v>4</v>
      </c>
    </row>
    <row r="3579" spans="1:2" x14ac:dyDescent="0.25">
      <c r="A3579" t="s">
        <v>8</v>
      </c>
      <c r="B3579">
        <v>47.19</v>
      </c>
    </row>
    <row r="3580" spans="1:2" x14ac:dyDescent="0.25">
      <c r="A3580" t="s">
        <v>9</v>
      </c>
      <c r="B3580">
        <v>83.48</v>
      </c>
    </row>
    <row r="3581" spans="1:2" x14ac:dyDescent="0.25">
      <c r="A3581" t="s">
        <v>10</v>
      </c>
      <c r="B3581">
        <v>29.05</v>
      </c>
    </row>
    <row r="3582" spans="1:2" x14ac:dyDescent="0.25">
      <c r="A3582" t="s">
        <v>11</v>
      </c>
      <c r="B3582">
        <v>6.53</v>
      </c>
    </row>
    <row r="3583" spans="1:2" x14ac:dyDescent="0.25">
      <c r="A3583" t="s">
        <v>12</v>
      </c>
      <c r="B3583">
        <v>5.08</v>
      </c>
    </row>
    <row r="3584" spans="1:2" x14ac:dyDescent="0.25">
      <c r="A3584" t="s">
        <v>13</v>
      </c>
      <c r="B3584">
        <v>5.27</v>
      </c>
    </row>
    <row r="3585" spans="1:2" x14ac:dyDescent="0.25">
      <c r="A3585" t="s">
        <v>14</v>
      </c>
      <c r="B3585">
        <v>5.98</v>
      </c>
    </row>
    <row r="3586" spans="1:2" x14ac:dyDescent="0.25">
      <c r="A3586" t="s">
        <v>15</v>
      </c>
      <c r="B3586">
        <v>6.49</v>
      </c>
    </row>
    <row r="3587" spans="1:2" x14ac:dyDescent="0.25">
      <c r="A3587" t="s">
        <v>16</v>
      </c>
      <c r="B3587">
        <v>5.89</v>
      </c>
    </row>
    <row r="3588" spans="1:2" x14ac:dyDescent="0.25">
      <c r="A3588" t="s">
        <v>17</v>
      </c>
      <c r="B3588">
        <v>54.87</v>
      </c>
    </row>
    <row r="3589" spans="1:2" x14ac:dyDescent="0.25">
      <c r="A3589" t="s">
        <v>18</v>
      </c>
      <c r="B3589">
        <v>7.13</v>
      </c>
    </row>
    <row r="3590" spans="1:2" x14ac:dyDescent="0.25">
      <c r="A3590" t="s">
        <v>19</v>
      </c>
      <c r="B3590" t="s">
        <v>4</v>
      </c>
    </row>
    <row r="3591" spans="1:2" x14ac:dyDescent="0.25">
      <c r="A3591" t="s">
        <v>20</v>
      </c>
      <c r="B3591">
        <v>7.71</v>
      </c>
    </row>
    <row r="3592" spans="1:2" x14ac:dyDescent="0.25">
      <c r="A3592" t="s">
        <v>21</v>
      </c>
      <c r="B3592" t="s">
        <v>4</v>
      </c>
    </row>
    <row r="3593" spans="1:2" x14ac:dyDescent="0.25">
      <c r="A3593" t="s">
        <v>22</v>
      </c>
      <c r="B3593" t="s">
        <v>4</v>
      </c>
    </row>
    <row r="3594" spans="1:2" x14ac:dyDescent="0.25">
      <c r="A3594" t="s">
        <v>23</v>
      </c>
      <c r="B3594">
        <v>4.57</v>
      </c>
    </row>
    <row r="3595" spans="1:2" x14ac:dyDescent="0.25">
      <c r="A3595" t="s">
        <v>24</v>
      </c>
      <c r="B3595" t="s">
        <v>4</v>
      </c>
    </row>
    <row r="3596" spans="1:2" x14ac:dyDescent="0.25">
      <c r="A3596" t="s">
        <v>25</v>
      </c>
      <c r="B3596">
        <v>7.49</v>
      </c>
    </row>
    <row r="3597" spans="1:2" x14ac:dyDescent="0.25">
      <c r="A3597" t="s">
        <v>26</v>
      </c>
      <c r="B3597">
        <v>17.53</v>
      </c>
    </row>
    <row r="3598" spans="1:2" x14ac:dyDescent="0.25">
      <c r="A3598" t="s">
        <v>27</v>
      </c>
      <c r="B3598" t="s">
        <v>4</v>
      </c>
    </row>
    <row r="3599" spans="1:2" x14ac:dyDescent="0.25">
      <c r="A3599" t="s">
        <v>28</v>
      </c>
      <c r="B3599" t="s">
        <v>4</v>
      </c>
    </row>
    <row r="3600" spans="1:2" x14ac:dyDescent="0.25">
      <c r="A3600" t="s">
        <v>29</v>
      </c>
      <c r="B3600">
        <v>36.11</v>
      </c>
    </row>
    <row r="3601" spans="1:2" x14ac:dyDescent="0.25">
      <c r="A3601" t="s">
        <v>30</v>
      </c>
      <c r="B3601">
        <v>76.62</v>
      </c>
    </row>
    <row r="3602" spans="1:2" x14ac:dyDescent="0.25">
      <c r="A3602" t="s">
        <v>31</v>
      </c>
      <c r="B3602">
        <v>71.06</v>
      </c>
    </row>
    <row r="3603" spans="1:2" x14ac:dyDescent="0.25">
      <c r="A3603" t="s">
        <v>32</v>
      </c>
      <c r="B3603">
        <v>4.3899999999999997</v>
      </c>
    </row>
    <row r="3604" spans="1:2" x14ac:dyDescent="0.25">
      <c r="A3604" t="s">
        <v>33</v>
      </c>
      <c r="B3604" t="s">
        <v>4</v>
      </c>
    </row>
    <row r="3605" spans="1:2" x14ac:dyDescent="0.25">
      <c r="A3605" t="s">
        <v>34</v>
      </c>
      <c r="B3605">
        <v>6.92</v>
      </c>
    </row>
    <row r="3606" spans="1:2" x14ac:dyDescent="0.25">
      <c r="A3606" t="s">
        <v>35</v>
      </c>
      <c r="B3606" t="s">
        <v>4</v>
      </c>
    </row>
    <row r="3607" spans="1:2" x14ac:dyDescent="0.25">
      <c r="A3607" t="s">
        <v>36</v>
      </c>
      <c r="B3607">
        <v>5.34</v>
      </c>
    </row>
    <row r="3608" spans="1:2" x14ac:dyDescent="0.25">
      <c r="A3608" t="s">
        <v>37</v>
      </c>
      <c r="B3608" t="s">
        <v>4</v>
      </c>
    </row>
    <row r="3609" spans="1:2" x14ac:dyDescent="0.25">
      <c r="A3609" t="s">
        <v>38</v>
      </c>
      <c r="B3609">
        <v>6.42</v>
      </c>
    </row>
    <row r="3610" spans="1:2" x14ac:dyDescent="0.25">
      <c r="A3610" t="s">
        <v>39</v>
      </c>
      <c r="B3610" t="s">
        <v>4</v>
      </c>
    </row>
    <row r="3611" spans="1:2" x14ac:dyDescent="0.25">
      <c r="A3611" t="s">
        <v>40</v>
      </c>
      <c r="B3611" t="s">
        <v>4</v>
      </c>
    </row>
    <row r="3612" spans="1:2" x14ac:dyDescent="0.25">
      <c r="A3612" t="s">
        <v>41</v>
      </c>
      <c r="B3612" t="s">
        <v>4</v>
      </c>
    </row>
    <row r="3613" spans="1:2" x14ac:dyDescent="0.25">
      <c r="A3613" t="s">
        <v>42</v>
      </c>
      <c r="B3613">
        <v>11.11</v>
      </c>
    </row>
    <row r="3614" spans="1:2" x14ac:dyDescent="0.25">
      <c r="A3614" t="s">
        <v>43</v>
      </c>
      <c r="B3614" t="s">
        <v>4</v>
      </c>
    </row>
    <row r="3615" spans="1:2" x14ac:dyDescent="0.25">
      <c r="A3615" t="s">
        <v>44</v>
      </c>
      <c r="B3615">
        <v>6.53</v>
      </c>
    </row>
    <row r="3616" spans="1:2" x14ac:dyDescent="0.25">
      <c r="A3616" t="s">
        <v>45</v>
      </c>
      <c r="B3616" t="s">
        <v>4</v>
      </c>
    </row>
    <row r="3617" spans="1:2" x14ac:dyDescent="0.25">
      <c r="A3617" t="s">
        <v>46</v>
      </c>
      <c r="B3617">
        <v>10.82</v>
      </c>
    </row>
    <row r="3618" spans="1:2" x14ac:dyDescent="0.25">
      <c r="A3618" t="s">
        <v>47</v>
      </c>
      <c r="B3618" t="s">
        <v>4</v>
      </c>
    </row>
    <row r="3619" spans="1:2" x14ac:dyDescent="0.25">
      <c r="A3619" t="s">
        <v>48</v>
      </c>
      <c r="B3619">
        <v>9.58</v>
      </c>
    </row>
    <row r="3620" spans="1:2" x14ac:dyDescent="0.25">
      <c r="A3620" t="s">
        <v>49</v>
      </c>
      <c r="B3620" t="s">
        <v>4</v>
      </c>
    </row>
    <row r="3621" spans="1:2" x14ac:dyDescent="0.25">
      <c r="A3621" t="s">
        <v>50</v>
      </c>
      <c r="B3621">
        <v>9.1999999999999993</v>
      </c>
    </row>
    <row r="3622" spans="1:2" x14ac:dyDescent="0.25">
      <c r="A3622" t="s">
        <v>51</v>
      </c>
      <c r="B3622" t="s">
        <v>4</v>
      </c>
    </row>
    <row r="3623" spans="1:2" x14ac:dyDescent="0.25">
      <c r="A3623" t="s">
        <v>52</v>
      </c>
      <c r="B3623">
        <v>8.7200000000000006</v>
      </c>
    </row>
    <row r="3624" spans="1:2" x14ac:dyDescent="0.25">
      <c r="A3624" t="s">
        <v>53</v>
      </c>
      <c r="B3624">
        <v>40.81</v>
      </c>
    </row>
    <row r="3625" spans="1:2" x14ac:dyDescent="0.25">
      <c r="A3625" t="s">
        <v>54</v>
      </c>
      <c r="B3625">
        <v>5.53</v>
      </c>
    </row>
    <row r="3626" spans="1:2" x14ac:dyDescent="0.25">
      <c r="A3626" t="s">
        <v>55</v>
      </c>
      <c r="B3626">
        <v>156.07</v>
      </c>
    </row>
    <row r="3627" spans="1:2" x14ac:dyDescent="0.25">
      <c r="A3627" t="s">
        <v>56</v>
      </c>
      <c r="B3627">
        <v>9.56</v>
      </c>
    </row>
    <row r="3628" spans="1:2" x14ac:dyDescent="0.25">
      <c r="A3628" t="s">
        <v>57</v>
      </c>
      <c r="B3628" t="s">
        <v>4</v>
      </c>
    </row>
    <row r="3629" spans="1:2" x14ac:dyDescent="0.25">
      <c r="A3629" t="s">
        <v>58</v>
      </c>
      <c r="B3629">
        <v>130.97</v>
      </c>
    </row>
    <row r="3630" spans="1:2" x14ac:dyDescent="0.25">
      <c r="A3630" t="s">
        <v>59</v>
      </c>
      <c r="B3630">
        <v>239.31</v>
      </c>
    </row>
    <row r="3631" spans="1:2" x14ac:dyDescent="0.25">
      <c r="A3631" t="s">
        <v>60</v>
      </c>
      <c r="B3631">
        <v>101.28</v>
      </c>
    </row>
    <row r="3632" spans="1:2" x14ac:dyDescent="0.25">
      <c r="A3632" t="s">
        <v>61</v>
      </c>
      <c r="B3632">
        <v>90.43</v>
      </c>
    </row>
    <row r="3633" spans="1:2" x14ac:dyDescent="0.25">
      <c r="A3633" t="s">
        <v>62</v>
      </c>
      <c r="B3633">
        <v>68.7</v>
      </c>
    </row>
    <row r="3634" spans="1:2" x14ac:dyDescent="0.25">
      <c r="A3634" t="s">
        <v>63</v>
      </c>
      <c r="B3634">
        <v>72.819999999999993</v>
      </c>
    </row>
    <row r="3635" spans="1:2" x14ac:dyDescent="0.25">
      <c r="A3635" t="s">
        <v>64</v>
      </c>
      <c r="B3635">
        <v>106.97</v>
      </c>
    </row>
    <row r="3636" spans="1:2" x14ac:dyDescent="0.25">
      <c r="A3636" t="s">
        <v>65</v>
      </c>
      <c r="B3636">
        <v>6.22</v>
      </c>
    </row>
    <row r="3637" spans="1:2" x14ac:dyDescent="0.25">
      <c r="A3637" t="s">
        <v>66</v>
      </c>
      <c r="B3637">
        <v>16.559999999999999</v>
      </c>
    </row>
    <row r="3638" spans="1:2" x14ac:dyDescent="0.25">
      <c r="A3638" t="s">
        <v>67</v>
      </c>
      <c r="B3638">
        <v>24.46</v>
      </c>
    </row>
    <row r="3639" spans="1:2" x14ac:dyDescent="0.25">
      <c r="A3639" t="s">
        <v>68</v>
      </c>
      <c r="B3639">
        <v>733.46</v>
      </c>
    </row>
    <row r="3640" spans="1:2" x14ac:dyDescent="0.25">
      <c r="A3640" t="s">
        <v>69</v>
      </c>
      <c r="B3640">
        <v>23.15</v>
      </c>
    </row>
    <row r="3641" spans="1:2" x14ac:dyDescent="0.25">
      <c r="A3641" t="s">
        <v>70</v>
      </c>
      <c r="B3641">
        <v>73.67</v>
      </c>
    </row>
    <row r="3642" spans="1:2" x14ac:dyDescent="0.25">
      <c r="A3642" t="s">
        <v>71</v>
      </c>
      <c r="B3642">
        <v>212.91</v>
      </c>
    </row>
    <row r="3643" spans="1:2" x14ac:dyDescent="0.25">
      <c r="A3643" t="s">
        <v>72</v>
      </c>
      <c r="B3643">
        <v>167.66</v>
      </c>
    </row>
    <row r="3644" spans="1:2" x14ac:dyDescent="0.25">
      <c r="A3644" t="s">
        <v>73</v>
      </c>
      <c r="B3644" t="s">
        <v>4</v>
      </c>
    </row>
    <row r="3645" spans="1:2" x14ac:dyDescent="0.25">
      <c r="A3645" t="s">
        <v>74</v>
      </c>
      <c r="B3645">
        <v>205</v>
      </c>
    </row>
    <row r="3646" spans="1:2" x14ac:dyDescent="0.25">
      <c r="A3646" t="s">
        <v>75</v>
      </c>
      <c r="B3646">
        <v>82.01</v>
      </c>
    </row>
    <row r="3647" spans="1:2" x14ac:dyDescent="0.25">
      <c r="A3647" t="s">
        <v>76</v>
      </c>
      <c r="B3647">
        <v>139.18</v>
      </c>
    </row>
    <row r="3648" spans="1:2" x14ac:dyDescent="0.25">
      <c r="A3648" t="s">
        <v>77</v>
      </c>
      <c r="B3648">
        <v>98.98</v>
      </c>
    </row>
    <row r="3649" spans="1:2" x14ac:dyDescent="0.25">
      <c r="A3649" t="s">
        <v>78</v>
      </c>
      <c r="B3649">
        <v>8.7799999999999994</v>
      </c>
    </row>
    <row r="3650" spans="1:2" x14ac:dyDescent="0.25">
      <c r="A3650" t="s">
        <v>79</v>
      </c>
      <c r="B3650" t="s">
        <v>4</v>
      </c>
    </row>
    <row r="3651" spans="1:2" x14ac:dyDescent="0.25">
      <c r="A3651" t="s">
        <v>80</v>
      </c>
      <c r="B3651" t="s">
        <v>4</v>
      </c>
    </row>
    <row r="3652" spans="1:2" x14ac:dyDescent="0.25">
      <c r="A3652" t="s">
        <v>81</v>
      </c>
      <c r="B3652">
        <v>5.48</v>
      </c>
    </row>
    <row r="3655" spans="1:2" x14ac:dyDescent="0.25">
      <c r="A3655" t="s">
        <v>0</v>
      </c>
      <c r="B3655" t="s">
        <v>119</v>
      </c>
    </row>
    <row r="3657" spans="1:2" s="1" customFormat="1" x14ac:dyDescent="0.25">
      <c r="A3657" s="1" t="s">
        <v>2</v>
      </c>
      <c r="B3657" s="1" t="s">
        <v>157</v>
      </c>
    </row>
    <row r="3658" spans="1:2" x14ac:dyDescent="0.25">
      <c r="A3658" t="s">
        <v>3</v>
      </c>
      <c r="B3658" t="s">
        <v>4</v>
      </c>
    </row>
    <row r="3659" spans="1:2" x14ac:dyDescent="0.25">
      <c r="A3659" t="s">
        <v>5</v>
      </c>
      <c r="B3659" t="s">
        <v>4</v>
      </c>
    </row>
    <row r="3660" spans="1:2" x14ac:dyDescent="0.25">
      <c r="A3660" t="s">
        <v>6</v>
      </c>
      <c r="B3660" t="s">
        <v>4</v>
      </c>
    </row>
    <row r="3661" spans="1:2" x14ac:dyDescent="0.25">
      <c r="A3661" t="s">
        <v>7</v>
      </c>
      <c r="B3661" t="s">
        <v>4</v>
      </c>
    </row>
    <row r="3662" spans="1:2" x14ac:dyDescent="0.25">
      <c r="A3662" t="s">
        <v>8</v>
      </c>
      <c r="B3662" t="s">
        <v>4</v>
      </c>
    </row>
    <row r="3663" spans="1:2" x14ac:dyDescent="0.25">
      <c r="A3663" t="s">
        <v>9</v>
      </c>
      <c r="B3663" t="s">
        <v>4</v>
      </c>
    </row>
    <row r="3664" spans="1:2" x14ac:dyDescent="0.25">
      <c r="A3664" t="s">
        <v>10</v>
      </c>
      <c r="B3664" t="s">
        <v>4</v>
      </c>
    </row>
    <row r="3665" spans="1:2" x14ac:dyDescent="0.25">
      <c r="A3665" t="s">
        <v>11</v>
      </c>
      <c r="B3665" t="s">
        <v>4</v>
      </c>
    </row>
    <row r="3666" spans="1:2" x14ac:dyDescent="0.25">
      <c r="A3666" t="s">
        <v>12</v>
      </c>
      <c r="B3666" t="s">
        <v>4</v>
      </c>
    </row>
    <row r="3667" spans="1:2" x14ac:dyDescent="0.25">
      <c r="A3667" t="s">
        <v>13</v>
      </c>
      <c r="B3667" t="s">
        <v>4</v>
      </c>
    </row>
    <row r="3668" spans="1:2" x14ac:dyDescent="0.25">
      <c r="A3668" t="s">
        <v>14</v>
      </c>
      <c r="B3668" t="s">
        <v>4</v>
      </c>
    </row>
    <row r="3669" spans="1:2" x14ac:dyDescent="0.25">
      <c r="A3669" t="s">
        <v>15</v>
      </c>
      <c r="B3669" t="s">
        <v>4</v>
      </c>
    </row>
    <row r="3670" spans="1:2" x14ac:dyDescent="0.25">
      <c r="A3670" t="s">
        <v>16</v>
      </c>
      <c r="B3670" t="s">
        <v>4</v>
      </c>
    </row>
    <row r="3671" spans="1:2" x14ac:dyDescent="0.25">
      <c r="A3671" t="s">
        <v>17</v>
      </c>
      <c r="B3671" t="s">
        <v>4</v>
      </c>
    </row>
    <row r="3672" spans="1:2" x14ac:dyDescent="0.25">
      <c r="A3672" t="s">
        <v>18</v>
      </c>
      <c r="B3672" t="s">
        <v>4</v>
      </c>
    </row>
    <row r="3673" spans="1:2" x14ac:dyDescent="0.25">
      <c r="A3673" t="s">
        <v>19</v>
      </c>
      <c r="B3673" t="s">
        <v>4</v>
      </c>
    </row>
    <row r="3674" spans="1:2" x14ac:dyDescent="0.25">
      <c r="A3674" t="s">
        <v>20</v>
      </c>
      <c r="B3674" t="s">
        <v>4</v>
      </c>
    </row>
    <row r="3675" spans="1:2" x14ac:dyDescent="0.25">
      <c r="A3675" t="s">
        <v>21</v>
      </c>
      <c r="B3675" t="s">
        <v>4</v>
      </c>
    </row>
    <row r="3676" spans="1:2" x14ac:dyDescent="0.25">
      <c r="A3676" t="s">
        <v>22</v>
      </c>
      <c r="B3676" t="s">
        <v>4</v>
      </c>
    </row>
    <row r="3677" spans="1:2" x14ac:dyDescent="0.25">
      <c r="A3677" t="s">
        <v>23</v>
      </c>
      <c r="B3677" t="s">
        <v>4</v>
      </c>
    </row>
    <row r="3678" spans="1:2" x14ac:dyDescent="0.25">
      <c r="A3678" t="s">
        <v>24</v>
      </c>
      <c r="B3678" t="s">
        <v>4</v>
      </c>
    </row>
    <row r="3679" spans="1:2" x14ac:dyDescent="0.25">
      <c r="A3679" t="s">
        <v>25</v>
      </c>
      <c r="B3679" t="s">
        <v>4</v>
      </c>
    </row>
    <row r="3680" spans="1:2" x14ac:dyDescent="0.25">
      <c r="A3680" t="s">
        <v>26</v>
      </c>
      <c r="B3680" t="s">
        <v>4</v>
      </c>
    </row>
    <row r="3681" spans="1:2" x14ac:dyDescent="0.25">
      <c r="A3681" t="s">
        <v>27</v>
      </c>
      <c r="B3681" t="s">
        <v>4</v>
      </c>
    </row>
    <row r="3682" spans="1:2" x14ac:dyDescent="0.25">
      <c r="A3682" t="s">
        <v>28</v>
      </c>
      <c r="B3682" t="s">
        <v>4</v>
      </c>
    </row>
    <row r="3683" spans="1:2" x14ac:dyDescent="0.25">
      <c r="A3683" t="s">
        <v>29</v>
      </c>
      <c r="B3683" t="s">
        <v>4</v>
      </c>
    </row>
    <row r="3684" spans="1:2" x14ac:dyDescent="0.25">
      <c r="A3684" t="s">
        <v>30</v>
      </c>
      <c r="B3684" t="s">
        <v>4</v>
      </c>
    </row>
    <row r="3685" spans="1:2" x14ac:dyDescent="0.25">
      <c r="A3685" t="s">
        <v>31</v>
      </c>
      <c r="B3685" t="s">
        <v>4</v>
      </c>
    </row>
    <row r="3686" spans="1:2" x14ac:dyDescent="0.25">
      <c r="A3686" t="s">
        <v>32</v>
      </c>
      <c r="B3686" t="s">
        <v>4</v>
      </c>
    </row>
    <row r="3687" spans="1:2" x14ac:dyDescent="0.25">
      <c r="A3687" t="s">
        <v>33</v>
      </c>
      <c r="B3687" t="s">
        <v>4</v>
      </c>
    </row>
    <row r="3688" spans="1:2" x14ac:dyDescent="0.25">
      <c r="A3688" t="s">
        <v>34</v>
      </c>
      <c r="B3688" t="s">
        <v>4</v>
      </c>
    </row>
    <row r="3689" spans="1:2" x14ac:dyDescent="0.25">
      <c r="A3689" t="s">
        <v>35</v>
      </c>
      <c r="B3689" t="s">
        <v>4</v>
      </c>
    </row>
    <row r="3690" spans="1:2" x14ac:dyDescent="0.25">
      <c r="A3690" t="s">
        <v>36</v>
      </c>
      <c r="B3690" t="s">
        <v>4</v>
      </c>
    </row>
    <row r="3691" spans="1:2" x14ac:dyDescent="0.25">
      <c r="A3691" t="s">
        <v>37</v>
      </c>
      <c r="B3691" t="s">
        <v>4</v>
      </c>
    </row>
    <row r="3692" spans="1:2" x14ac:dyDescent="0.25">
      <c r="A3692" t="s">
        <v>38</v>
      </c>
      <c r="B3692" t="s">
        <v>4</v>
      </c>
    </row>
    <row r="3693" spans="1:2" x14ac:dyDescent="0.25">
      <c r="A3693" t="s">
        <v>39</v>
      </c>
      <c r="B3693" t="s">
        <v>4</v>
      </c>
    </row>
    <row r="3694" spans="1:2" x14ac:dyDescent="0.25">
      <c r="A3694" t="s">
        <v>40</v>
      </c>
      <c r="B3694" t="s">
        <v>4</v>
      </c>
    </row>
    <row r="3695" spans="1:2" x14ac:dyDescent="0.25">
      <c r="A3695" t="s">
        <v>41</v>
      </c>
      <c r="B3695" t="s">
        <v>4</v>
      </c>
    </row>
    <row r="3696" spans="1:2" x14ac:dyDescent="0.25">
      <c r="A3696" t="s">
        <v>42</v>
      </c>
      <c r="B3696" t="s">
        <v>4</v>
      </c>
    </row>
    <row r="3697" spans="1:2" x14ac:dyDescent="0.25">
      <c r="A3697" t="s">
        <v>43</v>
      </c>
      <c r="B3697" t="s">
        <v>4</v>
      </c>
    </row>
    <row r="3698" spans="1:2" x14ac:dyDescent="0.25">
      <c r="A3698" t="s">
        <v>44</v>
      </c>
      <c r="B3698" t="s">
        <v>4</v>
      </c>
    </row>
    <row r="3699" spans="1:2" x14ac:dyDescent="0.25">
      <c r="A3699" t="s">
        <v>45</v>
      </c>
      <c r="B3699" t="s">
        <v>4</v>
      </c>
    </row>
    <row r="3700" spans="1:2" x14ac:dyDescent="0.25">
      <c r="A3700" t="s">
        <v>46</v>
      </c>
      <c r="B3700" t="s">
        <v>4</v>
      </c>
    </row>
    <row r="3701" spans="1:2" x14ac:dyDescent="0.25">
      <c r="A3701" t="s">
        <v>47</v>
      </c>
      <c r="B3701" t="s">
        <v>4</v>
      </c>
    </row>
    <row r="3702" spans="1:2" x14ac:dyDescent="0.25">
      <c r="A3702" t="s">
        <v>48</v>
      </c>
      <c r="B3702" t="s">
        <v>4</v>
      </c>
    </row>
    <row r="3703" spans="1:2" x14ac:dyDescent="0.25">
      <c r="A3703" t="s">
        <v>49</v>
      </c>
      <c r="B3703" t="s">
        <v>4</v>
      </c>
    </row>
    <row r="3704" spans="1:2" x14ac:dyDescent="0.25">
      <c r="A3704" t="s">
        <v>50</v>
      </c>
      <c r="B3704" t="s">
        <v>4</v>
      </c>
    </row>
    <row r="3705" spans="1:2" x14ac:dyDescent="0.25">
      <c r="A3705" t="s">
        <v>51</v>
      </c>
      <c r="B3705" t="s">
        <v>4</v>
      </c>
    </row>
    <row r="3706" spans="1:2" x14ac:dyDescent="0.25">
      <c r="A3706" t="s">
        <v>52</v>
      </c>
      <c r="B3706" t="s">
        <v>4</v>
      </c>
    </row>
    <row r="3707" spans="1:2" x14ac:dyDescent="0.25">
      <c r="A3707" t="s">
        <v>53</v>
      </c>
      <c r="B3707">
        <v>11.52</v>
      </c>
    </row>
    <row r="3708" spans="1:2" x14ac:dyDescent="0.25">
      <c r="A3708" t="s">
        <v>54</v>
      </c>
      <c r="B3708" t="s">
        <v>4</v>
      </c>
    </row>
    <row r="3709" spans="1:2" x14ac:dyDescent="0.25">
      <c r="A3709" t="s">
        <v>55</v>
      </c>
      <c r="B3709" t="s">
        <v>4</v>
      </c>
    </row>
    <row r="3710" spans="1:2" x14ac:dyDescent="0.25">
      <c r="A3710" t="s">
        <v>56</v>
      </c>
      <c r="B3710" t="s">
        <v>4</v>
      </c>
    </row>
    <row r="3711" spans="1:2" x14ac:dyDescent="0.25">
      <c r="A3711" t="s">
        <v>57</v>
      </c>
      <c r="B3711" t="s">
        <v>4</v>
      </c>
    </row>
    <row r="3712" spans="1:2" x14ac:dyDescent="0.25">
      <c r="A3712" t="s">
        <v>58</v>
      </c>
      <c r="B3712" t="s">
        <v>4</v>
      </c>
    </row>
    <row r="3713" spans="1:2" x14ac:dyDescent="0.25">
      <c r="A3713" t="s">
        <v>59</v>
      </c>
      <c r="B3713" t="s">
        <v>4</v>
      </c>
    </row>
    <row r="3714" spans="1:2" x14ac:dyDescent="0.25">
      <c r="A3714" t="s">
        <v>60</v>
      </c>
      <c r="B3714" t="s">
        <v>4</v>
      </c>
    </row>
    <row r="3715" spans="1:2" x14ac:dyDescent="0.25">
      <c r="A3715" t="s">
        <v>61</v>
      </c>
      <c r="B3715" t="s">
        <v>4</v>
      </c>
    </row>
    <row r="3716" spans="1:2" x14ac:dyDescent="0.25">
      <c r="A3716" t="s">
        <v>62</v>
      </c>
      <c r="B3716" t="s">
        <v>4</v>
      </c>
    </row>
    <row r="3717" spans="1:2" x14ac:dyDescent="0.25">
      <c r="A3717" t="s">
        <v>63</v>
      </c>
      <c r="B3717" t="s">
        <v>4</v>
      </c>
    </row>
    <row r="3718" spans="1:2" x14ac:dyDescent="0.25">
      <c r="A3718" t="s">
        <v>64</v>
      </c>
      <c r="B3718" t="s">
        <v>4</v>
      </c>
    </row>
    <row r="3719" spans="1:2" x14ac:dyDescent="0.25">
      <c r="A3719" t="s">
        <v>65</v>
      </c>
      <c r="B3719" t="s">
        <v>4</v>
      </c>
    </row>
    <row r="3720" spans="1:2" x14ac:dyDescent="0.25">
      <c r="A3720" t="s">
        <v>66</v>
      </c>
      <c r="B3720" t="s">
        <v>4</v>
      </c>
    </row>
    <row r="3721" spans="1:2" x14ac:dyDescent="0.25">
      <c r="A3721" t="s">
        <v>67</v>
      </c>
      <c r="B3721" t="s">
        <v>4</v>
      </c>
    </row>
    <row r="3722" spans="1:2" x14ac:dyDescent="0.25">
      <c r="A3722" t="s">
        <v>68</v>
      </c>
      <c r="B3722" t="s">
        <v>4</v>
      </c>
    </row>
    <row r="3723" spans="1:2" x14ac:dyDescent="0.25">
      <c r="A3723" t="s">
        <v>69</v>
      </c>
      <c r="B3723" t="s">
        <v>4</v>
      </c>
    </row>
    <row r="3724" spans="1:2" x14ac:dyDescent="0.25">
      <c r="A3724" t="s">
        <v>70</v>
      </c>
      <c r="B3724" t="s">
        <v>4</v>
      </c>
    </row>
    <row r="3725" spans="1:2" x14ac:dyDescent="0.25">
      <c r="A3725" t="s">
        <v>71</v>
      </c>
      <c r="B3725" t="s">
        <v>4</v>
      </c>
    </row>
    <row r="3726" spans="1:2" x14ac:dyDescent="0.25">
      <c r="A3726" t="s">
        <v>72</v>
      </c>
      <c r="B3726" t="s">
        <v>4</v>
      </c>
    </row>
    <row r="3727" spans="1:2" x14ac:dyDescent="0.25">
      <c r="A3727" t="s">
        <v>73</v>
      </c>
      <c r="B3727" t="s">
        <v>4</v>
      </c>
    </row>
    <row r="3728" spans="1:2" x14ac:dyDescent="0.25">
      <c r="A3728" t="s">
        <v>74</v>
      </c>
      <c r="B3728" t="s">
        <v>4</v>
      </c>
    </row>
    <row r="3729" spans="1:2" x14ac:dyDescent="0.25">
      <c r="A3729" t="s">
        <v>75</v>
      </c>
      <c r="B3729" t="s">
        <v>4</v>
      </c>
    </row>
    <row r="3730" spans="1:2" x14ac:dyDescent="0.25">
      <c r="A3730" t="s">
        <v>76</v>
      </c>
      <c r="B3730" t="s">
        <v>4</v>
      </c>
    </row>
    <row r="3731" spans="1:2" x14ac:dyDescent="0.25">
      <c r="A3731" t="s">
        <v>77</v>
      </c>
      <c r="B3731" t="s">
        <v>4</v>
      </c>
    </row>
    <row r="3732" spans="1:2" x14ac:dyDescent="0.25">
      <c r="A3732" t="s">
        <v>78</v>
      </c>
      <c r="B3732" t="s">
        <v>4</v>
      </c>
    </row>
    <row r="3733" spans="1:2" x14ac:dyDescent="0.25">
      <c r="A3733" t="s">
        <v>79</v>
      </c>
      <c r="B3733" t="s">
        <v>4</v>
      </c>
    </row>
    <row r="3734" spans="1:2" x14ac:dyDescent="0.25">
      <c r="A3734" t="s">
        <v>80</v>
      </c>
      <c r="B3734" t="s">
        <v>4</v>
      </c>
    </row>
    <row r="3735" spans="1:2" x14ac:dyDescent="0.25">
      <c r="A3735" t="s">
        <v>81</v>
      </c>
      <c r="B3735" t="s">
        <v>4</v>
      </c>
    </row>
    <row r="3738" spans="1:2" x14ac:dyDescent="0.25">
      <c r="A3738" t="s">
        <v>0</v>
      </c>
      <c r="B3738" t="s">
        <v>120</v>
      </c>
    </row>
    <row r="3740" spans="1:2" s="1" customFormat="1" x14ac:dyDescent="0.25">
      <c r="A3740" s="1" t="s">
        <v>2</v>
      </c>
      <c r="B3740" s="1" t="s">
        <v>157</v>
      </c>
    </row>
    <row r="3741" spans="1:2" x14ac:dyDescent="0.25">
      <c r="A3741" t="s">
        <v>3</v>
      </c>
      <c r="B3741" t="s">
        <v>4</v>
      </c>
    </row>
    <row r="3742" spans="1:2" x14ac:dyDescent="0.25">
      <c r="A3742" t="s">
        <v>5</v>
      </c>
      <c r="B3742" t="s">
        <v>4</v>
      </c>
    </row>
    <row r="3743" spans="1:2" x14ac:dyDescent="0.25">
      <c r="A3743" t="s">
        <v>6</v>
      </c>
      <c r="B3743" t="s">
        <v>4</v>
      </c>
    </row>
    <row r="3744" spans="1:2" x14ac:dyDescent="0.25">
      <c r="A3744" t="s">
        <v>7</v>
      </c>
      <c r="B3744" t="s">
        <v>4</v>
      </c>
    </row>
    <row r="3745" spans="1:2" x14ac:dyDescent="0.25">
      <c r="A3745" t="s">
        <v>8</v>
      </c>
      <c r="B3745" t="s">
        <v>4</v>
      </c>
    </row>
    <row r="3746" spans="1:2" x14ac:dyDescent="0.25">
      <c r="A3746" t="s">
        <v>9</v>
      </c>
      <c r="B3746" t="s">
        <v>4</v>
      </c>
    </row>
    <row r="3747" spans="1:2" x14ac:dyDescent="0.25">
      <c r="A3747" t="s">
        <v>10</v>
      </c>
      <c r="B3747" t="s">
        <v>4</v>
      </c>
    </row>
    <row r="3748" spans="1:2" x14ac:dyDescent="0.25">
      <c r="A3748" t="s">
        <v>11</v>
      </c>
      <c r="B3748" t="s">
        <v>4</v>
      </c>
    </row>
    <row r="3749" spans="1:2" x14ac:dyDescent="0.25">
      <c r="A3749" t="s">
        <v>12</v>
      </c>
      <c r="B3749" t="s">
        <v>4</v>
      </c>
    </row>
    <row r="3750" spans="1:2" x14ac:dyDescent="0.25">
      <c r="A3750" t="s">
        <v>13</v>
      </c>
      <c r="B3750" t="s">
        <v>4</v>
      </c>
    </row>
    <row r="3751" spans="1:2" x14ac:dyDescent="0.25">
      <c r="A3751" t="s">
        <v>14</v>
      </c>
      <c r="B3751" t="s">
        <v>4</v>
      </c>
    </row>
    <row r="3752" spans="1:2" x14ac:dyDescent="0.25">
      <c r="A3752" t="s">
        <v>15</v>
      </c>
      <c r="B3752" t="s">
        <v>4</v>
      </c>
    </row>
    <row r="3753" spans="1:2" x14ac:dyDescent="0.25">
      <c r="A3753" t="s">
        <v>16</v>
      </c>
      <c r="B3753" t="s">
        <v>4</v>
      </c>
    </row>
    <row r="3754" spans="1:2" x14ac:dyDescent="0.25">
      <c r="A3754" t="s">
        <v>17</v>
      </c>
      <c r="B3754" t="s">
        <v>4</v>
      </c>
    </row>
    <row r="3755" spans="1:2" x14ac:dyDescent="0.25">
      <c r="A3755" t="s">
        <v>18</v>
      </c>
      <c r="B3755" t="s">
        <v>4</v>
      </c>
    </row>
    <row r="3756" spans="1:2" x14ac:dyDescent="0.25">
      <c r="A3756" t="s">
        <v>19</v>
      </c>
      <c r="B3756" t="s">
        <v>4</v>
      </c>
    </row>
    <row r="3757" spans="1:2" x14ac:dyDescent="0.25">
      <c r="A3757" t="s">
        <v>20</v>
      </c>
      <c r="B3757" t="s">
        <v>4</v>
      </c>
    </row>
    <row r="3758" spans="1:2" x14ac:dyDescent="0.25">
      <c r="A3758" t="s">
        <v>21</v>
      </c>
      <c r="B3758" t="s">
        <v>4</v>
      </c>
    </row>
    <row r="3759" spans="1:2" x14ac:dyDescent="0.25">
      <c r="A3759" t="s">
        <v>22</v>
      </c>
      <c r="B3759" t="s">
        <v>4</v>
      </c>
    </row>
    <row r="3760" spans="1:2" x14ac:dyDescent="0.25">
      <c r="A3760" t="s">
        <v>23</v>
      </c>
      <c r="B3760" t="s">
        <v>4</v>
      </c>
    </row>
    <row r="3761" spans="1:2" x14ac:dyDescent="0.25">
      <c r="A3761" t="s">
        <v>24</v>
      </c>
      <c r="B3761" t="s">
        <v>4</v>
      </c>
    </row>
    <row r="3762" spans="1:2" x14ac:dyDescent="0.25">
      <c r="A3762" t="s">
        <v>25</v>
      </c>
      <c r="B3762" t="s">
        <v>4</v>
      </c>
    </row>
    <row r="3763" spans="1:2" x14ac:dyDescent="0.25">
      <c r="A3763" t="s">
        <v>26</v>
      </c>
      <c r="B3763" t="s">
        <v>4</v>
      </c>
    </row>
    <row r="3764" spans="1:2" x14ac:dyDescent="0.25">
      <c r="A3764" t="s">
        <v>27</v>
      </c>
      <c r="B3764" t="s">
        <v>4</v>
      </c>
    </row>
    <row r="3765" spans="1:2" x14ac:dyDescent="0.25">
      <c r="A3765" t="s">
        <v>28</v>
      </c>
      <c r="B3765" t="s">
        <v>4</v>
      </c>
    </row>
    <row r="3766" spans="1:2" x14ac:dyDescent="0.25">
      <c r="A3766" t="s">
        <v>29</v>
      </c>
      <c r="B3766" t="s">
        <v>4</v>
      </c>
    </row>
    <row r="3767" spans="1:2" x14ac:dyDescent="0.25">
      <c r="A3767" t="s">
        <v>30</v>
      </c>
      <c r="B3767" t="s">
        <v>4</v>
      </c>
    </row>
    <row r="3768" spans="1:2" x14ac:dyDescent="0.25">
      <c r="A3768" t="s">
        <v>31</v>
      </c>
      <c r="B3768" t="s">
        <v>4</v>
      </c>
    </row>
    <row r="3769" spans="1:2" x14ac:dyDescent="0.25">
      <c r="A3769" t="s">
        <v>32</v>
      </c>
      <c r="B3769" t="s">
        <v>4</v>
      </c>
    </row>
    <row r="3770" spans="1:2" x14ac:dyDescent="0.25">
      <c r="A3770" t="s">
        <v>33</v>
      </c>
      <c r="B3770" t="s">
        <v>4</v>
      </c>
    </row>
    <row r="3771" spans="1:2" x14ac:dyDescent="0.25">
      <c r="A3771" t="s">
        <v>34</v>
      </c>
      <c r="B3771" t="s">
        <v>4</v>
      </c>
    </row>
    <row r="3772" spans="1:2" x14ac:dyDescent="0.25">
      <c r="A3772" t="s">
        <v>35</v>
      </c>
      <c r="B3772" t="s">
        <v>4</v>
      </c>
    </row>
    <row r="3773" spans="1:2" x14ac:dyDescent="0.25">
      <c r="A3773" t="s">
        <v>36</v>
      </c>
      <c r="B3773" t="s">
        <v>4</v>
      </c>
    </row>
    <row r="3774" spans="1:2" x14ac:dyDescent="0.25">
      <c r="A3774" t="s">
        <v>37</v>
      </c>
      <c r="B3774" t="s">
        <v>4</v>
      </c>
    </row>
    <row r="3775" spans="1:2" x14ac:dyDescent="0.25">
      <c r="A3775" t="s">
        <v>38</v>
      </c>
      <c r="B3775" t="s">
        <v>4</v>
      </c>
    </row>
    <row r="3776" spans="1:2" x14ac:dyDescent="0.25">
      <c r="A3776" t="s">
        <v>39</v>
      </c>
      <c r="B3776" t="s">
        <v>4</v>
      </c>
    </row>
    <row r="3777" spans="1:2" x14ac:dyDescent="0.25">
      <c r="A3777" t="s">
        <v>40</v>
      </c>
      <c r="B3777" t="s">
        <v>4</v>
      </c>
    </row>
    <row r="3778" spans="1:2" x14ac:dyDescent="0.25">
      <c r="A3778" t="s">
        <v>41</v>
      </c>
      <c r="B3778" t="s">
        <v>4</v>
      </c>
    </row>
    <row r="3779" spans="1:2" x14ac:dyDescent="0.25">
      <c r="A3779" t="s">
        <v>42</v>
      </c>
      <c r="B3779" t="s">
        <v>4</v>
      </c>
    </row>
    <row r="3780" spans="1:2" x14ac:dyDescent="0.25">
      <c r="A3780" t="s">
        <v>43</v>
      </c>
      <c r="B3780" t="s">
        <v>4</v>
      </c>
    </row>
    <row r="3781" spans="1:2" x14ac:dyDescent="0.25">
      <c r="A3781" t="s">
        <v>44</v>
      </c>
      <c r="B3781" t="s">
        <v>4</v>
      </c>
    </row>
    <row r="3782" spans="1:2" x14ac:dyDescent="0.25">
      <c r="A3782" t="s">
        <v>45</v>
      </c>
      <c r="B3782" t="s">
        <v>4</v>
      </c>
    </row>
    <row r="3783" spans="1:2" x14ac:dyDescent="0.25">
      <c r="A3783" t="s">
        <v>46</v>
      </c>
      <c r="B3783" t="s">
        <v>4</v>
      </c>
    </row>
    <row r="3784" spans="1:2" x14ac:dyDescent="0.25">
      <c r="A3784" t="s">
        <v>47</v>
      </c>
      <c r="B3784" t="s">
        <v>4</v>
      </c>
    </row>
    <row r="3785" spans="1:2" x14ac:dyDescent="0.25">
      <c r="A3785" t="s">
        <v>48</v>
      </c>
      <c r="B3785" t="s">
        <v>4</v>
      </c>
    </row>
    <row r="3786" spans="1:2" x14ac:dyDescent="0.25">
      <c r="A3786" t="s">
        <v>49</v>
      </c>
      <c r="B3786" t="s">
        <v>4</v>
      </c>
    </row>
    <row r="3787" spans="1:2" x14ac:dyDescent="0.25">
      <c r="A3787" t="s">
        <v>50</v>
      </c>
      <c r="B3787" t="s">
        <v>4</v>
      </c>
    </row>
    <row r="3788" spans="1:2" x14ac:dyDescent="0.25">
      <c r="A3788" t="s">
        <v>51</v>
      </c>
      <c r="B3788" t="s">
        <v>4</v>
      </c>
    </row>
    <row r="3789" spans="1:2" x14ac:dyDescent="0.25">
      <c r="A3789" t="s">
        <v>52</v>
      </c>
      <c r="B3789" t="s">
        <v>4</v>
      </c>
    </row>
    <row r="3790" spans="1:2" x14ac:dyDescent="0.25">
      <c r="A3790" t="s">
        <v>53</v>
      </c>
      <c r="B3790" t="s">
        <v>4</v>
      </c>
    </row>
    <row r="3791" spans="1:2" x14ac:dyDescent="0.25">
      <c r="A3791" t="s">
        <v>54</v>
      </c>
      <c r="B3791" t="s">
        <v>4</v>
      </c>
    </row>
    <row r="3792" spans="1:2" x14ac:dyDescent="0.25">
      <c r="A3792" t="s">
        <v>55</v>
      </c>
      <c r="B3792" t="s">
        <v>4</v>
      </c>
    </row>
    <row r="3793" spans="1:2" x14ac:dyDescent="0.25">
      <c r="A3793" t="s">
        <v>56</v>
      </c>
      <c r="B3793" t="s">
        <v>4</v>
      </c>
    </row>
    <row r="3794" spans="1:2" x14ac:dyDescent="0.25">
      <c r="A3794" t="s">
        <v>57</v>
      </c>
      <c r="B3794" t="s">
        <v>4</v>
      </c>
    </row>
    <row r="3795" spans="1:2" x14ac:dyDescent="0.25">
      <c r="A3795" t="s">
        <v>58</v>
      </c>
      <c r="B3795" t="s">
        <v>4</v>
      </c>
    </row>
    <row r="3796" spans="1:2" x14ac:dyDescent="0.25">
      <c r="A3796" t="s">
        <v>59</v>
      </c>
      <c r="B3796" t="s">
        <v>4</v>
      </c>
    </row>
    <row r="3797" spans="1:2" x14ac:dyDescent="0.25">
      <c r="A3797" t="s">
        <v>60</v>
      </c>
      <c r="B3797" t="s">
        <v>4</v>
      </c>
    </row>
    <row r="3798" spans="1:2" x14ac:dyDescent="0.25">
      <c r="A3798" t="s">
        <v>61</v>
      </c>
      <c r="B3798" t="s">
        <v>4</v>
      </c>
    </row>
    <row r="3799" spans="1:2" x14ac:dyDescent="0.25">
      <c r="A3799" t="s">
        <v>62</v>
      </c>
      <c r="B3799" t="s">
        <v>4</v>
      </c>
    </row>
    <row r="3800" spans="1:2" x14ac:dyDescent="0.25">
      <c r="A3800" t="s">
        <v>63</v>
      </c>
      <c r="B3800" t="s">
        <v>4</v>
      </c>
    </row>
    <row r="3801" spans="1:2" x14ac:dyDescent="0.25">
      <c r="A3801" t="s">
        <v>64</v>
      </c>
      <c r="B3801" t="s">
        <v>4</v>
      </c>
    </row>
    <row r="3802" spans="1:2" x14ac:dyDescent="0.25">
      <c r="A3802" t="s">
        <v>65</v>
      </c>
      <c r="B3802" t="s">
        <v>4</v>
      </c>
    </row>
    <row r="3803" spans="1:2" x14ac:dyDescent="0.25">
      <c r="A3803" t="s">
        <v>66</v>
      </c>
      <c r="B3803" t="s">
        <v>4</v>
      </c>
    </row>
    <row r="3804" spans="1:2" x14ac:dyDescent="0.25">
      <c r="A3804" t="s">
        <v>67</v>
      </c>
      <c r="B3804" t="s">
        <v>4</v>
      </c>
    </row>
    <row r="3805" spans="1:2" x14ac:dyDescent="0.25">
      <c r="A3805" t="s">
        <v>68</v>
      </c>
      <c r="B3805" t="s">
        <v>4</v>
      </c>
    </row>
    <row r="3806" spans="1:2" x14ac:dyDescent="0.25">
      <c r="A3806" t="s">
        <v>69</v>
      </c>
      <c r="B3806" t="s">
        <v>4</v>
      </c>
    </row>
    <row r="3807" spans="1:2" x14ac:dyDescent="0.25">
      <c r="A3807" t="s">
        <v>70</v>
      </c>
      <c r="B3807" t="s">
        <v>4</v>
      </c>
    </row>
    <row r="3808" spans="1:2" x14ac:dyDescent="0.25">
      <c r="A3808" t="s">
        <v>71</v>
      </c>
      <c r="B3808" t="s">
        <v>4</v>
      </c>
    </row>
    <row r="3809" spans="1:2" x14ac:dyDescent="0.25">
      <c r="A3809" t="s">
        <v>72</v>
      </c>
      <c r="B3809" t="s">
        <v>4</v>
      </c>
    </row>
    <row r="3810" spans="1:2" x14ac:dyDescent="0.25">
      <c r="A3810" t="s">
        <v>73</v>
      </c>
      <c r="B3810" t="s">
        <v>4</v>
      </c>
    </row>
    <row r="3811" spans="1:2" x14ac:dyDescent="0.25">
      <c r="A3811" t="s">
        <v>74</v>
      </c>
      <c r="B3811" t="s">
        <v>4</v>
      </c>
    </row>
    <row r="3812" spans="1:2" x14ac:dyDescent="0.25">
      <c r="A3812" t="s">
        <v>75</v>
      </c>
      <c r="B3812" t="s">
        <v>4</v>
      </c>
    </row>
    <row r="3813" spans="1:2" x14ac:dyDescent="0.25">
      <c r="A3813" t="s">
        <v>76</v>
      </c>
      <c r="B3813" t="s">
        <v>4</v>
      </c>
    </row>
    <row r="3814" spans="1:2" x14ac:dyDescent="0.25">
      <c r="A3814" t="s">
        <v>77</v>
      </c>
      <c r="B3814" t="s">
        <v>4</v>
      </c>
    </row>
    <row r="3815" spans="1:2" x14ac:dyDescent="0.25">
      <c r="A3815" t="s">
        <v>78</v>
      </c>
      <c r="B3815" t="s">
        <v>4</v>
      </c>
    </row>
    <row r="3816" spans="1:2" x14ac:dyDescent="0.25">
      <c r="A3816" t="s">
        <v>79</v>
      </c>
      <c r="B3816" t="s">
        <v>4</v>
      </c>
    </row>
    <row r="3817" spans="1:2" x14ac:dyDescent="0.25">
      <c r="A3817" t="s">
        <v>80</v>
      </c>
      <c r="B3817" t="s">
        <v>4</v>
      </c>
    </row>
    <row r="3818" spans="1:2" x14ac:dyDescent="0.25">
      <c r="A3818" t="s">
        <v>81</v>
      </c>
      <c r="B3818" t="s">
        <v>4</v>
      </c>
    </row>
    <row r="3821" spans="1:2" x14ac:dyDescent="0.25">
      <c r="A3821" t="s">
        <v>0</v>
      </c>
      <c r="B3821" t="s">
        <v>121</v>
      </c>
    </row>
    <row r="3823" spans="1:2" s="1" customFormat="1" x14ac:dyDescent="0.25">
      <c r="A3823" s="1" t="s">
        <v>2</v>
      </c>
      <c r="B3823" s="1" t="s">
        <v>157</v>
      </c>
    </row>
    <row r="3824" spans="1:2" x14ac:dyDescent="0.25">
      <c r="A3824" t="s">
        <v>3</v>
      </c>
      <c r="B3824" t="s">
        <v>4</v>
      </c>
    </row>
    <row r="3825" spans="1:3" x14ac:dyDescent="0.25">
      <c r="A3825" t="s">
        <v>5</v>
      </c>
      <c r="B3825" t="s">
        <v>4</v>
      </c>
    </row>
    <row r="3826" spans="1:3" x14ac:dyDescent="0.25">
      <c r="A3826" t="s">
        <v>6</v>
      </c>
      <c r="B3826" s="3">
        <v>0.49</v>
      </c>
    </row>
    <row r="3827" spans="1:3" x14ac:dyDescent="0.25">
      <c r="A3827" t="s">
        <v>7</v>
      </c>
      <c r="B3827">
        <v>9.7100000000000009</v>
      </c>
      <c r="C3827">
        <f>IF(OR(B3827&lt;$B$3826,B3827&lt;=$B$3826*1.1),"N/A",B3827-$B$3826)</f>
        <v>9.2200000000000006</v>
      </c>
    </row>
    <row r="3828" spans="1:3" x14ac:dyDescent="0.25">
      <c r="A3828" t="s">
        <v>8</v>
      </c>
      <c r="B3828">
        <v>15.37</v>
      </c>
      <c r="C3828">
        <f t="shared" ref="C3828:C3891" si="6">IF(OR(B3828&lt;$B$3826,B3828&lt;=$B$3826*1.1),"N/A",B3828-$B$3826)</f>
        <v>14.879999999999999</v>
      </c>
    </row>
    <row r="3829" spans="1:3" x14ac:dyDescent="0.25">
      <c r="A3829" t="s">
        <v>9</v>
      </c>
      <c r="B3829">
        <v>9.61</v>
      </c>
      <c r="C3829">
        <f t="shared" si="6"/>
        <v>9.1199999999999992</v>
      </c>
    </row>
    <row r="3830" spans="1:3" x14ac:dyDescent="0.25">
      <c r="A3830" t="s">
        <v>10</v>
      </c>
      <c r="B3830">
        <v>26.55</v>
      </c>
      <c r="C3830">
        <f t="shared" si="6"/>
        <v>26.060000000000002</v>
      </c>
    </row>
    <row r="3831" spans="1:3" x14ac:dyDescent="0.25">
      <c r="A3831" t="s">
        <v>11</v>
      </c>
      <c r="B3831">
        <v>4.8600000000000003</v>
      </c>
      <c r="C3831">
        <f t="shared" si="6"/>
        <v>4.37</v>
      </c>
    </row>
    <row r="3832" spans="1:3" x14ac:dyDescent="0.25">
      <c r="A3832" t="s">
        <v>12</v>
      </c>
      <c r="B3832">
        <v>2.65</v>
      </c>
      <c r="C3832">
        <f t="shared" si="6"/>
        <v>2.16</v>
      </c>
    </row>
    <row r="3833" spans="1:3" x14ac:dyDescent="0.25">
      <c r="A3833" t="s">
        <v>13</v>
      </c>
      <c r="B3833">
        <v>23.18</v>
      </c>
      <c r="C3833">
        <f t="shared" si="6"/>
        <v>22.69</v>
      </c>
    </row>
    <row r="3834" spans="1:3" x14ac:dyDescent="0.25">
      <c r="A3834" t="s">
        <v>14</v>
      </c>
      <c r="B3834">
        <v>37.47</v>
      </c>
      <c r="C3834">
        <f t="shared" si="6"/>
        <v>36.979999999999997</v>
      </c>
    </row>
    <row r="3835" spans="1:3" x14ac:dyDescent="0.25">
      <c r="A3835" t="s">
        <v>15</v>
      </c>
      <c r="B3835">
        <v>28.22</v>
      </c>
      <c r="C3835">
        <f t="shared" si="6"/>
        <v>27.73</v>
      </c>
    </row>
    <row r="3836" spans="1:3" x14ac:dyDescent="0.25">
      <c r="A3836" t="s">
        <v>16</v>
      </c>
      <c r="B3836">
        <v>27.76</v>
      </c>
      <c r="C3836">
        <f t="shared" si="6"/>
        <v>27.270000000000003</v>
      </c>
    </row>
    <row r="3837" spans="1:3" x14ac:dyDescent="0.25">
      <c r="A3837" t="s">
        <v>17</v>
      </c>
      <c r="B3837">
        <v>22.25</v>
      </c>
      <c r="C3837">
        <f t="shared" si="6"/>
        <v>21.76</v>
      </c>
    </row>
    <row r="3838" spans="1:3" x14ac:dyDescent="0.25">
      <c r="A3838" t="s">
        <v>18</v>
      </c>
      <c r="B3838">
        <v>2.23</v>
      </c>
      <c r="C3838">
        <f t="shared" si="6"/>
        <v>1.74</v>
      </c>
    </row>
    <row r="3839" spans="1:3" x14ac:dyDescent="0.25">
      <c r="A3839" t="s">
        <v>19</v>
      </c>
      <c r="B3839">
        <v>2.34</v>
      </c>
      <c r="C3839">
        <f t="shared" si="6"/>
        <v>1.8499999999999999</v>
      </c>
    </row>
    <row r="3840" spans="1:3" x14ac:dyDescent="0.25">
      <c r="A3840" t="s">
        <v>20</v>
      </c>
      <c r="B3840">
        <v>1.61</v>
      </c>
      <c r="C3840">
        <f t="shared" si="6"/>
        <v>1.1200000000000001</v>
      </c>
    </row>
    <row r="3841" spans="1:3" x14ac:dyDescent="0.25">
      <c r="A3841" t="s">
        <v>21</v>
      </c>
      <c r="B3841">
        <v>4.83</v>
      </c>
      <c r="C3841">
        <f t="shared" si="6"/>
        <v>4.34</v>
      </c>
    </row>
    <row r="3842" spans="1:3" x14ac:dyDescent="0.25">
      <c r="A3842" t="s">
        <v>22</v>
      </c>
      <c r="B3842">
        <v>4.12</v>
      </c>
      <c r="C3842">
        <f t="shared" si="6"/>
        <v>3.63</v>
      </c>
    </row>
    <row r="3843" spans="1:3" x14ac:dyDescent="0.25">
      <c r="A3843" t="s">
        <v>23</v>
      </c>
      <c r="B3843">
        <v>6.75</v>
      </c>
      <c r="C3843">
        <f t="shared" si="6"/>
        <v>6.26</v>
      </c>
    </row>
    <row r="3844" spans="1:3" x14ac:dyDescent="0.25">
      <c r="A3844" t="s">
        <v>24</v>
      </c>
      <c r="B3844">
        <v>4.43</v>
      </c>
      <c r="C3844">
        <f t="shared" si="6"/>
        <v>3.9399999999999995</v>
      </c>
    </row>
    <row r="3845" spans="1:3" x14ac:dyDescent="0.25">
      <c r="A3845" t="s">
        <v>25</v>
      </c>
      <c r="B3845">
        <v>20.07</v>
      </c>
      <c r="C3845">
        <f t="shared" si="6"/>
        <v>19.580000000000002</v>
      </c>
    </row>
    <row r="3846" spans="1:3" x14ac:dyDescent="0.25">
      <c r="A3846" t="s">
        <v>26</v>
      </c>
      <c r="B3846">
        <v>21.43</v>
      </c>
      <c r="C3846">
        <f t="shared" si="6"/>
        <v>20.94</v>
      </c>
    </row>
    <row r="3847" spans="1:3" x14ac:dyDescent="0.25">
      <c r="A3847" t="s">
        <v>27</v>
      </c>
      <c r="B3847">
        <v>4.91</v>
      </c>
      <c r="C3847">
        <f t="shared" si="6"/>
        <v>4.42</v>
      </c>
    </row>
    <row r="3848" spans="1:3" x14ac:dyDescent="0.25">
      <c r="A3848" t="s">
        <v>28</v>
      </c>
      <c r="B3848">
        <v>5.12</v>
      </c>
      <c r="C3848">
        <f t="shared" si="6"/>
        <v>4.63</v>
      </c>
    </row>
    <row r="3849" spans="1:3" x14ac:dyDescent="0.25">
      <c r="A3849" t="s">
        <v>29</v>
      </c>
      <c r="B3849">
        <v>13.85</v>
      </c>
      <c r="C3849">
        <f t="shared" si="6"/>
        <v>13.36</v>
      </c>
    </row>
    <row r="3850" spans="1:3" x14ac:dyDescent="0.25">
      <c r="A3850" t="s">
        <v>30</v>
      </c>
      <c r="B3850">
        <v>9.39</v>
      </c>
      <c r="C3850">
        <f t="shared" si="6"/>
        <v>8.9</v>
      </c>
    </row>
    <row r="3851" spans="1:3" x14ac:dyDescent="0.25">
      <c r="A3851" t="s">
        <v>31</v>
      </c>
      <c r="B3851">
        <v>7.32</v>
      </c>
      <c r="C3851">
        <f t="shared" si="6"/>
        <v>6.83</v>
      </c>
    </row>
    <row r="3852" spans="1:3" x14ac:dyDescent="0.25">
      <c r="A3852" t="s">
        <v>32</v>
      </c>
      <c r="B3852">
        <v>1.04</v>
      </c>
      <c r="C3852">
        <f t="shared" si="6"/>
        <v>0.55000000000000004</v>
      </c>
    </row>
    <row r="3853" spans="1:3" x14ac:dyDescent="0.25">
      <c r="A3853" t="s">
        <v>33</v>
      </c>
      <c r="B3853">
        <v>1.5</v>
      </c>
      <c r="C3853">
        <f t="shared" si="6"/>
        <v>1.01</v>
      </c>
    </row>
    <row r="3854" spans="1:3" x14ac:dyDescent="0.25">
      <c r="A3854" t="s">
        <v>34</v>
      </c>
      <c r="B3854">
        <v>1.1399999999999999</v>
      </c>
      <c r="C3854">
        <f t="shared" si="6"/>
        <v>0.64999999999999991</v>
      </c>
    </row>
    <row r="3855" spans="1:3" x14ac:dyDescent="0.25">
      <c r="A3855" t="s">
        <v>35</v>
      </c>
      <c r="B3855">
        <v>0.83</v>
      </c>
      <c r="C3855">
        <f t="shared" si="6"/>
        <v>0.33999999999999997</v>
      </c>
    </row>
    <row r="3856" spans="1:3" x14ac:dyDescent="0.25">
      <c r="A3856" t="s">
        <v>36</v>
      </c>
      <c r="B3856">
        <v>1.28</v>
      </c>
      <c r="C3856">
        <f t="shared" si="6"/>
        <v>0.79</v>
      </c>
    </row>
    <row r="3857" spans="1:3" x14ac:dyDescent="0.25">
      <c r="A3857" t="s">
        <v>37</v>
      </c>
      <c r="B3857">
        <v>1.46</v>
      </c>
      <c r="C3857">
        <f t="shared" si="6"/>
        <v>0.97</v>
      </c>
    </row>
    <row r="3858" spans="1:3" x14ac:dyDescent="0.25">
      <c r="A3858" t="s">
        <v>38</v>
      </c>
      <c r="B3858">
        <v>0.64</v>
      </c>
      <c r="C3858">
        <f t="shared" si="6"/>
        <v>0.15000000000000002</v>
      </c>
    </row>
    <row r="3859" spans="1:3" x14ac:dyDescent="0.25">
      <c r="A3859" t="s">
        <v>39</v>
      </c>
      <c r="B3859">
        <v>1.04</v>
      </c>
      <c r="C3859">
        <f t="shared" si="6"/>
        <v>0.55000000000000004</v>
      </c>
    </row>
    <row r="3860" spans="1:3" x14ac:dyDescent="0.25">
      <c r="A3860" t="s">
        <v>40</v>
      </c>
      <c r="B3860">
        <v>1.31</v>
      </c>
      <c r="C3860">
        <f t="shared" si="6"/>
        <v>0.82000000000000006</v>
      </c>
    </row>
    <row r="3861" spans="1:3" x14ac:dyDescent="0.25">
      <c r="A3861" t="s">
        <v>41</v>
      </c>
      <c r="B3861">
        <v>0.93</v>
      </c>
      <c r="C3861">
        <f t="shared" si="6"/>
        <v>0.44000000000000006</v>
      </c>
    </row>
    <row r="3862" spans="1:3" x14ac:dyDescent="0.25">
      <c r="A3862" t="s">
        <v>42</v>
      </c>
      <c r="B3862">
        <v>0.71</v>
      </c>
      <c r="C3862">
        <f t="shared" si="6"/>
        <v>0.21999999999999997</v>
      </c>
    </row>
    <row r="3863" spans="1:3" x14ac:dyDescent="0.25">
      <c r="A3863" t="s">
        <v>43</v>
      </c>
      <c r="B3863">
        <v>0.75</v>
      </c>
      <c r="C3863">
        <f t="shared" si="6"/>
        <v>0.26</v>
      </c>
    </row>
    <row r="3864" spans="1:3" x14ac:dyDescent="0.25">
      <c r="A3864" t="s">
        <v>44</v>
      </c>
      <c r="B3864">
        <v>1.23</v>
      </c>
      <c r="C3864">
        <f t="shared" si="6"/>
        <v>0.74</v>
      </c>
    </row>
    <row r="3865" spans="1:3" x14ac:dyDescent="0.25">
      <c r="A3865" t="s">
        <v>45</v>
      </c>
      <c r="B3865">
        <v>0.94</v>
      </c>
      <c r="C3865">
        <f t="shared" si="6"/>
        <v>0.44999999999999996</v>
      </c>
    </row>
    <row r="3866" spans="1:3" x14ac:dyDescent="0.25">
      <c r="A3866" t="s">
        <v>46</v>
      </c>
      <c r="B3866">
        <v>0.81</v>
      </c>
      <c r="C3866">
        <f t="shared" si="6"/>
        <v>0.32000000000000006</v>
      </c>
    </row>
    <row r="3867" spans="1:3" x14ac:dyDescent="0.25">
      <c r="A3867" t="s">
        <v>47</v>
      </c>
      <c r="B3867">
        <v>0.75</v>
      </c>
      <c r="C3867">
        <f t="shared" si="6"/>
        <v>0.26</v>
      </c>
    </row>
    <row r="3868" spans="1:3" x14ac:dyDescent="0.25">
      <c r="A3868" t="s">
        <v>48</v>
      </c>
      <c r="B3868">
        <v>1.5</v>
      </c>
      <c r="C3868">
        <f t="shared" si="6"/>
        <v>1.01</v>
      </c>
    </row>
    <row r="3869" spans="1:3" x14ac:dyDescent="0.25">
      <c r="A3869" t="s">
        <v>49</v>
      </c>
      <c r="B3869">
        <v>1.1200000000000001</v>
      </c>
      <c r="C3869">
        <f t="shared" si="6"/>
        <v>0.63000000000000012</v>
      </c>
    </row>
    <row r="3870" spans="1:3" x14ac:dyDescent="0.25">
      <c r="A3870" t="s">
        <v>50</v>
      </c>
      <c r="B3870">
        <v>0.53</v>
      </c>
      <c r="C3870" t="str">
        <f t="shared" si="6"/>
        <v>N/A</v>
      </c>
    </row>
    <row r="3871" spans="1:3" x14ac:dyDescent="0.25">
      <c r="A3871" t="s">
        <v>51</v>
      </c>
      <c r="B3871">
        <v>0.59</v>
      </c>
      <c r="C3871">
        <f t="shared" si="6"/>
        <v>9.9999999999999978E-2</v>
      </c>
    </row>
    <row r="3872" spans="1:3" x14ac:dyDescent="0.25">
      <c r="A3872" t="s">
        <v>52</v>
      </c>
      <c r="B3872">
        <v>1.1100000000000001</v>
      </c>
      <c r="C3872">
        <f t="shared" si="6"/>
        <v>0.62000000000000011</v>
      </c>
    </row>
    <row r="3873" spans="1:3" x14ac:dyDescent="0.25">
      <c r="A3873" t="s">
        <v>53</v>
      </c>
      <c r="B3873">
        <v>37.89</v>
      </c>
      <c r="C3873">
        <f t="shared" si="6"/>
        <v>37.4</v>
      </c>
    </row>
    <row r="3874" spans="1:3" x14ac:dyDescent="0.25">
      <c r="A3874" t="s">
        <v>54</v>
      </c>
      <c r="B3874">
        <v>14.64</v>
      </c>
      <c r="C3874">
        <f t="shared" si="6"/>
        <v>14.15</v>
      </c>
    </row>
    <row r="3875" spans="1:3" x14ac:dyDescent="0.25">
      <c r="A3875" t="s">
        <v>55</v>
      </c>
      <c r="B3875">
        <v>21.81</v>
      </c>
      <c r="C3875">
        <f t="shared" si="6"/>
        <v>21.32</v>
      </c>
    </row>
    <row r="3876" spans="1:3" x14ac:dyDescent="0.25">
      <c r="A3876" t="s">
        <v>56</v>
      </c>
      <c r="B3876">
        <v>1.73</v>
      </c>
      <c r="C3876">
        <f t="shared" si="6"/>
        <v>1.24</v>
      </c>
    </row>
    <row r="3877" spans="1:3" x14ac:dyDescent="0.25">
      <c r="A3877" t="s">
        <v>57</v>
      </c>
      <c r="B3877">
        <v>0.61</v>
      </c>
      <c r="C3877">
        <f t="shared" si="6"/>
        <v>0.12</v>
      </c>
    </row>
    <row r="3878" spans="1:3" x14ac:dyDescent="0.25">
      <c r="A3878" t="s">
        <v>58</v>
      </c>
      <c r="B3878">
        <v>8.31</v>
      </c>
      <c r="C3878">
        <f t="shared" si="6"/>
        <v>7.82</v>
      </c>
    </row>
    <row r="3879" spans="1:3" x14ac:dyDescent="0.25">
      <c r="A3879" t="s">
        <v>59</v>
      </c>
      <c r="B3879">
        <v>5.96</v>
      </c>
      <c r="C3879">
        <f t="shared" si="6"/>
        <v>5.47</v>
      </c>
    </row>
    <row r="3880" spans="1:3" x14ac:dyDescent="0.25">
      <c r="A3880" t="s">
        <v>60</v>
      </c>
      <c r="B3880">
        <v>4.37</v>
      </c>
      <c r="C3880">
        <f t="shared" si="6"/>
        <v>3.88</v>
      </c>
    </row>
    <row r="3881" spans="1:3" x14ac:dyDescent="0.25">
      <c r="A3881" t="s">
        <v>61</v>
      </c>
      <c r="B3881">
        <v>5.75</v>
      </c>
      <c r="C3881">
        <f t="shared" si="6"/>
        <v>5.26</v>
      </c>
    </row>
    <row r="3882" spans="1:3" x14ac:dyDescent="0.25">
      <c r="A3882" t="s">
        <v>62</v>
      </c>
      <c r="B3882">
        <v>7</v>
      </c>
      <c r="C3882">
        <f t="shared" si="6"/>
        <v>6.51</v>
      </c>
    </row>
    <row r="3883" spans="1:3" x14ac:dyDescent="0.25">
      <c r="A3883" t="s">
        <v>63</v>
      </c>
      <c r="B3883">
        <v>10.64</v>
      </c>
      <c r="C3883">
        <f t="shared" si="6"/>
        <v>10.15</v>
      </c>
    </row>
    <row r="3884" spans="1:3" x14ac:dyDescent="0.25">
      <c r="A3884" t="s">
        <v>64</v>
      </c>
      <c r="B3884">
        <v>22.11</v>
      </c>
      <c r="C3884">
        <f t="shared" si="6"/>
        <v>21.62</v>
      </c>
    </row>
    <row r="3885" spans="1:3" x14ac:dyDescent="0.25">
      <c r="A3885" t="s">
        <v>65</v>
      </c>
      <c r="B3885">
        <v>12.2</v>
      </c>
      <c r="C3885">
        <f t="shared" si="6"/>
        <v>11.709999999999999</v>
      </c>
    </row>
    <row r="3886" spans="1:3" x14ac:dyDescent="0.25">
      <c r="A3886" t="s">
        <v>66</v>
      </c>
      <c r="B3886">
        <v>6.08</v>
      </c>
      <c r="C3886">
        <f t="shared" si="6"/>
        <v>5.59</v>
      </c>
    </row>
    <row r="3887" spans="1:3" x14ac:dyDescent="0.25">
      <c r="A3887" t="s">
        <v>67</v>
      </c>
      <c r="B3887">
        <v>14.2</v>
      </c>
      <c r="C3887">
        <f t="shared" si="6"/>
        <v>13.709999999999999</v>
      </c>
    </row>
    <row r="3888" spans="1:3" x14ac:dyDescent="0.25">
      <c r="A3888" t="s">
        <v>68</v>
      </c>
      <c r="B3888">
        <v>4.49</v>
      </c>
      <c r="C3888">
        <f t="shared" si="6"/>
        <v>4</v>
      </c>
    </row>
    <row r="3889" spans="1:3" x14ac:dyDescent="0.25">
      <c r="A3889" t="s">
        <v>69</v>
      </c>
      <c r="B3889">
        <v>10.43</v>
      </c>
      <c r="C3889">
        <f t="shared" si="6"/>
        <v>9.94</v>
      </c>
    </row>
    <row r="3890" spans="1:3" x14ac:dyDescent="0.25">
      <c r="A3890" t="s">
        <v>70</v>
      </c>
      <c r="B3890">
        <v>15.92</v>
      </c>
      <c r="C3890">
        <f t="shared" si="6"/>
        <v>15.43</v>
      </c>
    </row>
    <row r="3891" spans="1:3" x14ac:dyDescent="0.25">
      <c r="A3891" t="s">
        <v>71</v>
      </c>
      <c r="B3891">
        <v>61.08</v>
      </c>
      <c r="C3891">
        <f t="shared" si="6"/>
        <v>60.589999999999996</v>
      </c>
    </row>
    <row r="3892" spans="1:3" x14ac:dyDescent="0.25">
      <c r="A3892" t="s">
        <v>72</v>
      </c>
      <c r="B3892">
        <v>35.31</v>
      </c>
      <c r="C3892">
        <f t="shared" ref="C3892:C3901" si="7">IF(OR(B3892&lt;$B$3826,B3892&lt;=$B$3826*1.1),"N/A",B3892-$B$3826)</f>
        <v>34.82</v>
      </c>
    </row>
    <row r="3893" spans="1:3" x14ac:dyDescent="0.25">
      <c r="A3893" t="s">
        <v>73</v>
      </c>
      <c r="B3893">
        <v>4.24</v>
      </c>
      <c r="C3893">
        <f t="shared" si="7"/>
        <v>3.75</v>
      </c>
    </row>
    <row r="3894" spans="1:3" x14ac:dyDescent="0.25">
      <c r="A3894" t="s">
        <v>74</v>
      </c>
      <c r="B3894">
        <v>54.29</v>
      </c>
      <c r="C3894">
        <f t="shared" si="7"/>
        <v>53.8</v>
      </c>
    </row>
    <row r="3895" spans="1:3" x14ac:dyDescent="0.25">
      <c r="A3895" t="s">
        <v>75</v>
      </c>
      <c r="B3895">
        <v>22.65</v>
      </c>
      <c r="C3895">
        <f t="shared" si="7"/>
        <v>22.16</v>
      </c>
    </row>
    <row r="3896" spans="1:3" x14ac:dyDescent="0.25">
      <c r="A3896" t="s">
        <v>76</v>
      </c>
      <c r="B3896">
        <v>27.89</v>
      </c>
      <c r="C3896">
        <f t="shared" si="7"/>
        <v>27.400000000000002</v>
      </c>
    </row>
    <row r="3897" spans="1:3" x14ac:dyDescent="0.25">
      <c r="A3897" t="s">
        <v>77</v>
      </c>
      <c r="B3897">
        <v>19.3</v>
      </c>
      <c r="C3897">
        <f t="shared" si="7"/>
        <v>18.810000000000002</v>
      </c>
    </row>
    <row r="3898" spans="1:3" x14ac:dyDescent="0.25">
      <c r="A3898" t="s">
        <v>78</v>
      </c>
      <c r="B3898">
        <v>1.59</v>
      </c>
      <c r="C3898">
        <f t="shared" si="7"/>
        <v>1.1000000000000001</v>
      </c>
    </row>
    <row r="3899" spans="1:3" x14ac:dyDescent="0.25">
      <c r="A3899" t="s">
        <v>79</v>
      </c>
      <c r="B3899">
        <v>0.66</v>
      </c>
      <c r="C3899">
        <f t="shared" si="7"/>
        <v>0.17000000000000004</v>
      </c>
    </row>
    <row r="3900" spans="1:3" x14ac:dyDescent="0.25">
      <c r="A3900" t="s">
        <v>80</v>
      </c>
      <c r="B3900">
        <v>1.93</v>
      </c>
      <c r="C3900">
        <f t="shared" si="7"/>
        <v>1.44</v>
      </c>
    </row>
    <row r="3901" spans="1:3" x14ac:dyDescent="0.25">
      <c r="A3901" t="s">
        <v>81</v>
      </c>
      <c r="B3901">
        <v>1.89</v>
      </c>
      <c r="C3901">
        <f t="shared" si="7"/>
        <v>1.4</v>
      </c>
    </row>
    <row r="3904" spans="1:3" x14ac:dyDescent="0.25">
      <c r="A3904" t="s">
        <v>0</v>
      </c>
      <c r="B3904" t="s">
        <v>122</v>
      </c>
    </row>
    <row r="3906" spans="1:2" s="1" customFormat="1" x14ac:dyDescent="0.25">
      <c r="A3906" s="1" t="s">
        <v>2</v>
      </c>
      <c r="B3906" s="1" t="s">
        <v>157</v>
      </c>
    </row>
    <row r="3907" spans="1:2" x14ac:dyDescent="0.25">
      <c r="A3907" t="s">
        <v>3</v>
      </c>
      <c r="B3907" t="s">
        <v>4</v>
      </c>
    </row>
    <row r="3908" spans="1:2" x14ac:dyDescent="0.25">
      <c r="A3908" t="s">
        <v>5</v>
      </c>
      <c r="B3908" t="s">
        <v>4</v>
      </c>
    </row>
    <row r="3909" spans="1:2" x14ac:dyDescent="0.25">
      <c r="A3909" t="s">
        <v>6</v>
      </c>
      <c r="B3909" t="s">
        <v>4</v>
      </c>
    </row>
    <row r="3910" spans="1:2" x14ac:dyDescent="0.25">
      <c r="A3910" t="s">
        <v>7</v>
      </c>
      <c r="B3910" t="s">
        <v>4</v>
      </c>
    </row>
    <row r="3911" spans="1:2" x14ac:dyDescent="0.25">
      <c r="A3911" t="s">
        <v>8</v>
      </c>
      <c r="B3911" t="s">
        <v>4</v>
      </c>
    </row>
    <row r="3912" spans="1:2" x14ac:dyDescent="0.25">
      <c r="A3912" t="s">
        <v>9</v>
      </c>
      <c r="B3912" t="s">
        <v>4</v>
      </c>
    </row>
    <row r="3913" spans="1:2" x14ac:dyDescent="0.25">
      <c r="A3913" t="s">
        <v>10</v>
      </c>
      <c r="B3913" t="s">
        <v>4</v>
      </c>
    </row>
    <row r="3914" spans="1:2" x14ac:dyDescent="0.25">
      <c r="A3914" t="s">
        <v>11</v>
      </c>
      <c r="B3914" t="s">
        <v>4</v>
      </c>
    </row>
    <row r="3915" spans="1:2" x14ac:dyDescent="0.25">
      <c r="A3915" t="s">
        <v>12</v>
      </c>
      <c r="B3915" t="s">
        <v>4</v>
      </c>
    </row>
    <row r="3916" spans="1:2" x14ac:dyDescent="0.25">
      <c r="A3916" t="s">
        <v>13</v>
      </c>
      <c r="B3916" t="s">
        <v>4</v>
      </c>
    </row>
    <row r="3917" spans="1:2" x14ac:dyDescent="0.25">
      <c r="A3917" t="s">
        <v>14</v>
      </c>
      <c r="B3917" t="s">
        <v>4</v>
      </c>
    </row>
    <row r="3918" spans="1:2" x14ac:dyDescent="0.25">
      <c r="A3918" t="s">
        <v>15</v>
      </c>
      <c r="B3918" t="s">
        <v>4</v>
      </c>
    </row>
    <row r="3919" spans="1:2" x14ac:dyDescent="0.25">
      <c r="A3919" t="s">
        <v>16</v>
      </c>
      <c r="B3919" t="s">
        <v>4</v>
      </c>
    </row>
    <row r="3920" spans="1:2" x14ac:dyDescent="0.25">
      <c r="A3920" t="s">
        <v>17</v>
      </c>
      <c r="B3920" t="s">
        <v>4</v>
      </c>
    </row>
    <row r="3921" spans="1:2" x14ac:dyDescent="0.25">
      <c r="A3921" t="s">
        <v>18</v>
      </c>
      <c r="B3921" t="s">
        <v>4</v>
      </c>
    </row>
    <row r="3922" spans="1:2" x14ac:dyDescent="0.25">
      <c r="A3922" t="s">
        <v>19</v>
      </c>
      <c r="B3922" t="s">
        <v>4</v>
      </c>
    </row>
    <row r="3923" spans="1:2" x14ac:dyDescent="0.25">
      <c r="A3923" t="s">
        <v>20</v>
      </c>
      <c r="B3923" t="s">
        <v>4</v>
      </c>
    </row>
    <row r="3924" spans="1:2" x14ac:dyDescent="0.25">
      <c r="A3924" t="s">
        <v>21</v>
      </c>
      <c r="B3924" t="s">
        <v>4</v>
      </c>
    </row>
    <row r="3925" spans="1:2" x14ac:dyDescent="0.25">
      <c r="A3925" t="s">
        <v>22</v>
      </c>
      <c r="B3925" t="s">
        <v>4</v>
      </c>
    </row>
    <row r="3926" spans="1:2" x14ac:dyDescent="0.25">
      <c r="A3926" t="s">
        <v>23</v>
      </c>
      <c r="B3926" t="s">
        <v>4</v>
      </c>
    </row>
    <row r="3927" spans="1:2" x14ac:dyDescent="0.25">
      <c r="A3927" t="s">
        <v>24</v>
      </c>
      <c r="B3927" t="s">
        <v>4</v>
      </c>
    </row>
    <row r="3928" spans="1:2" x14ac:dyDescent="0.25">
      <c r="A3928" t="s">
        <v>25</v>
      </c>
      <c r="B3928" t="s">
        <v>4</v>
      </c>
    </row>
    <row r="3929" spans="1:2" x14ac:dyDescent="0.25">
      <c r="A3929" t="s">
        <v>26</v>
      </c>
      <c r="B3929" t="s">
        <v>4</v>
      </c>
    </row>
    <row r="3930" spans="1:2" x14ac:dyDescent="0.25">
      <c r="A3930" t="s">
        <v>27</v>
      </c>
      <c r="B3930" t="s">
        <v>4</v>
      </c>
    </row>
    <row r="3931" spans="1:2" x14ac:dyDescent="0.25">
      <c r="A3931" t="s">
        <v>28</v>
      </c>
      <c r="B3931" t="s">
        <v>4</v>
      </c>
    </row>
    <row r="3932" spans="1:2" x14ac:dyDescent="0.25">
      <c r="A3932" t="s">
        <v>29</v>
      </c>
      <c r="B3932" t="s">
        <v>4</v>
      </c>
    </row>
    <row r="3933" spans="1:2" x14ac:dyDescent="0.25">
      <c r="A3933" t="s">
        <v>30</v>
      </c>
      <c r="B3933" t="s">
        <v>4</v>
      </c>
    </row>
    <row r="3934" spans="1:2" x14ac:dyDescent="0.25">
      <c r="A3934" t="s">
        <v>31</v>
      </c>
      <c r="B3934" t="s">
        <v>4</v>
      </c>
    </row>
    <row r="3935" spans="1:2" x14ac:dyDescent="0.25">
      <c r="A3935" t="s">
        <v>32</v>
      </c>
      <c r="B3935" t="s">
        <v>4</v>
      </c>
    </row>
    <row r="3936" spans="1:2" x14ac:dyDescent="0.25">
      <c r="A3936" t="s">
        <v>33</v>
      </c>
      <c r="B3936" t="s">
        <v>4</v>
      </c>
    </row>
    <row r="3937" spans="1:2" x14ac:dyDescent="0.25">
      <c r="A3937" t="s">
        <v>34</v>
      </c>
      <c r="B3937" t="s">
        <v>4</v>
      </c>
    </row>
    <row r="3938" spans="1:2" x14ac:dyDescent="0.25">
      <c r="A3938" t="s">
        <v>35</v>
      </c>
      <c r="B3938" t="s">
        <v>4</v>
      </c>
    </row>
    <row r="3939" spans="1:2" x14ac:dyDescent="0.25">
      <c r="A3939" t="s">
        <v>36</v>
      </c>
      <c r="B3939" t="s">
        <v>4</v>
      </c>
    </row>
    <row r="3940" spans="1:2" x14ac:dyDescent="0.25">
      <c r="A3940" t="s">
        <v>37</v>
      </c>
      <c r="B3940" t="s">
        <v>4</v>
      </c>
    </row>
    <row r="3941" spans="1:2" x14ac:dyDescent="0.25">
      <c r="A3941" t="s">
        <v>38</v>
      </c>
      <c r="B3941" t="s">
        <v>4</v>
      </c>
    </row>
    <row r="3942" spans="1:2" x14ac:dyDescent="0.25">
      <c r="A3942" t="s">
        <v>39</v>
      </c>
      <c r="B3942" t="s">
        <v>4</v>
      </c>
    </row>
    <row r="3943" spans="1:2" x14ac:dyDescent="0.25">
      <c r="A3943" t="s">
        <v>40</v>
      </c>
      <c r="B3943" t="s">
        <v>4</v>
      </c>
    </row>
    <row r="3944" spans="1:2" x14ac:dyDescent="0.25">
      <c r="A3944" t="s">
        <v>41</v>
      </c>
      <c r="B3944" t="s">
        <v>4</v>
      </c>
    </row>
    <row r="3945" spans="1:2" x14ac:dyDescent="0.25">
      <c r="A3945" t="s">
        <v>42</v>
      </c>
      <c r="B3945" t="s">
        <v>4</v>
      </c>
    </row>
    <row r="3946" spans="1:2" x14ac:dyDescent="0.25">
      <c r="A3946" t="s">
        <v>43</v>
      </c>
      <c r="B3946" t="s">
        <v>4</v>
      </c>
    </row>
    <row r="3947" spans="1:2" x14ac:dyDescent="0.25">
      <c r="A3947" t="s">
        <v>44</v>
      </c>
      <c r="B3947" t="s">
        <v>4</v>
      </c>
    </row>
    <row r="3948" spans="1:2" x14ac:dyDescent="0.25">
      <c r="A3948" t="s">
        <v>45</v>
      </c>
      <c r="B3948" t="s">
        <v>4</v>
      </c>
    </row>
    <row r="3949" spans="1:2" x14ac:dyDescent="0.25">
      <c r="A3949" t="s">
        <v>46</v>
      </c>
      <c r="B3949" t="s">
        <v>4</v>
      </c>
    </row>
    <row r="3950" spans="1:2" x14ac:dyDescent="0.25">
      <c r="A3950" t="s">
        <v>47</v>
      </c>
      <c r="B3950" t="s">
        <v>4</v>
      </c>
    </row>
    <row r="3951" spans="1:2" x14ac:dyDescent="0.25">
      <c r="A3951" t="s">
        <v>48</v>
      </c>
      <c r="B3951" t="s">
        <v>4</v>
      </c>
    </row>
    <row r="3952" spans="1:2" x14ac:dyDescent="0.25">
      <c r="A3952" t="s">
        <v>49</v>
      </c>
      <c r="B3952" t="s">
        <v>4</v>
      </c>
    </row>
    <row r="3953" spans="1:2" x14ac:dyDescent="0.25">
      <c r="A3953" t="s">
        <v>50</v>
      </c>
      <c r="B3953" t="s">
        <v>4</v>
      </c>
    </row>
    <row r="3954" spans="1:2" x14ac:dyDescent="0.25">
      <c r="A3954" t="s">
        <v>51</v>
      </c>
      <c r="B3954" t="s">
        <v>4</v>
      </c>
    </row>
    <row r="3955" spans="1:2" x14ac:dyDescent="0.25">
      <c r="A3955" t="s">
        <v>52</v>
      </c>
      <c r="B3955" t="s">
        <v>4</v>
      </c>
    </row>
    <row r="3956" spans="1:2" x14ac:dyDescent="0.25">
      <c r="A3956" t="s">
        <v>53</v>
      </c>
      <c r="B3956" t="s">
        <v>4</v>
      </c>
    </row>
    <row r="3957" spans="1:2" x14ac:dyDescent="0.25">
      <c r="A3957" t="s">
        <v>54</v>
      </c>
      <c r="B3957" t="s">
        <v>4</v>
      </c>
    </row>
    <row r="3958" spans="1:2" x14ac:dyDescent="0.25">
      <c r="A3958" t="s">
        <v>55</v>
      </c>
      <c r="B3958" t="s">
        <v>4</v>
      </c>
    </row>
    <row r="3959" spans="1:2" x14ac:dyDescent="0.25">
      <c r="A3959" t="s">
        <v>56</v>
      </c>
      <c r="B3959">
        <v>7.65</v>
      </c>
    </row>
    <row r="3960" spans="1:2" x14ac:dyDescent="0.25">
      <c r="A3960" t="s">
        <v>57</v>
      </c>
      <c r="B3960" t="s">
        <v>4</v>
      </c>
    </row>
    <row r="3961" spans="1:2" x14ac:dyDescent="0.25">
      <c r="A3961" t="s">
        <v>58</v>
      </c>
      <c r="B3961" t="s">
        <v>4</v>
      </c>
    </row>
    <row r="3962" spans="1:2" x14ac:dyDescent="0.25">
      <c r="A3962" t="s">
        <v>59</v>
      </c>
      <c r="B3962" t="s">
        <v>4</v>
      </c>
    </row>
    <row r="3963" spans="1:2" x14ac:dyDescent="0.25">
      <c r="A3963" t="s">
        <v>60</v>
      </c>
      <c r="B3963" t="s">
        <v>4</v>
      </c>
    </row>
    <row r="3964" spans="1:2" x14ac:dyDescent="0.25">
      <c r="A3964" t="s">
        <v>61</v>
      </c>
      <c r="B3964" t="s">
        <v>4</v>
      </c>
    </row>
    <row r="3965" spans="1:2" x14ac:dyDescent="0.25">
      <c r="A3965" t="s">
        <v>62</v>
      </c>
      <c r="B3965" t="s">
        <v>4</v>
      </c>
    </row>
    <row r="3966" spans="1:2" x14ac:dyDescent="0.25">
      <c r="A3966" t="s">
        <v>63</v>
      </c>
      <c r="B3966" t="s">
        <v>4</v>
      </c>
    </row>
    <row r="3967" spans="1:2" x14ac:dyDescent="0.25">
      <c r="A3967" t="s">
        <v>64</v>
      </c>
      <c r="B3967" t="s">
        <v>4</v>
      </c>
    </row>
    <row r="3968" spans="1:2" x14ac:dyDescent="0.25">
      <c r="A3968" t="s">
        <v>65</v>
      </c>
      <c r="B3968" t="s">
        <v>4</v>
      </c>
    </row>
    <row r="3969" spans="1:2" x14ac:dyDescent="0.25">
      <c r="A3969" t="s">
        <v>66</v>
      </c>
      <c r="B3969" t="s">
        <v>4</v>
      </c>
    </row>
    <row r="3970" spans="1:2" x14ac:dyDescent="0.25">
      <c r="A3970" t="s">
        <v>67</v>
      </c>
      <c r="B3970" t="s">
        <v>4</v>
      </c>
    </row>
    <row r="3971" spans="1:2" x14ac:dyDescent="0.25">
      <c r="A3971" t="s">
        <v>68</v>
      </c>
      <c r="B3971" t="s">
        <v>4</v>
      </c>
    </row>
    <row r="3972" spans="1:2" x14ac:dyDescent="0.25">
      <c r="A3972" t="s">
        <v>69</v>
      </c>
      <c r="B3972" t="s">
        <v>4</v>
      </c>
    </row>
    <row r="3973" spans="1:2" x14ac:dyDescent="0.25">
      <c r="A3973" t="s">
        <v>70</v>
      </c>
      <c r="B3973" t="s">
        <v>4</v>
      </c>
    </row>
    <row r="3974" spans="1:2" x14ac:dyDescent="0.25">
      <c r="A3974" t="s">
        <v>71</v>
      </c>
      <c r="B3974" t="s">
        <v>4</v>
      </c>
    </row>
    <row r="3975" spans="1:2" x14ac:dyDescent="0.25">
      <c r="A3975" t="s">
        <v>72</v>
      </c>
      <c r="B3975" t="s">
        <v>4</v>
      </c>
    </row>
    <row r="3976" spans="1:2" x14ac:dyDescent="0.25">
      <c r="A3976" t="s">
        <v>73</v>
      </c>
      <c r="B3976" t="s">
        <v>4</v>
      </c>
    </row>
    <row r="3977" spans="1:2" x14ac:dyDescent="0.25">
      <c r="A3977" t="s">
        <v>74</v>
      </c>
      <c r="B3977" t="s">
        <v>4</v>
      </c>
    </row>
    <row r="3978" spans="1:2" x14ac:dyDescent="0.25">
      <c r="A3978" t="s">
        <v>75</v>
      </c>
      <c r="B3978" t="s">
        <v>4</v>
      </c>
    </row>
    <row r="3979" spans="1:2" x14ac:dyDescent="0.25">
      <c r="A3979" t="s">
        <v>76</v>
      </c>
      <c r="B3979" t="s">
        <v>4</v>
      </c>
    </row>
    <row r="3980" spans="1:2" x14ac:dyDescent="0.25">
      <c r="A3980" t="s">
        <v>77</v>
      </c>
      <c r="B3980" t="s">
        <v>4</v>
      </c>
    </row>
    <row r="3981" spans="1:2" x14ac:dyDescent="0.25">
      <c r="A3981" t="s">
        <v>78</v>
      </c>
      <c r="B3981" t="s">
        <v>4</v>
      </c>
    </row>
    <row r="3982" spans="1:2" x14ac:dyDescent="0.25">
      <c r="A3982" t="s">
        <v>79</v>
      </c>
      <c r="B3982" t="s">
        <v>4</v>
      </c>
    </row>
    <row r="3983" spans="1:2" x14ac:dyDescent="0.25">
      <c r="A3983" t="s">
        <v>80</v>
      </c>
      <c r="B3983" t="s">
        <v>4</v>
      </c>
    </row>
    <row r="3984" spans="1:2" x14ac:dyDescent="0.25">
      <c r="A3984" t="s">
        <v>81</v>
      </c>
      <c r="B3984" t="s">
        <v>4</v>
      </c>
    </row>
    <row r="3987" spans="1:2" x14ac:dyDescent="0.25">
      <c r="A3987" t="s">
        <v>0</v>
      </c>
      <c r="B3987" t="s">
        <v>123</v>
      </c>
    </row>
    <row r="3989" spans="1:2" s="1" customFormat="1" x14ac:dyDescent="0.25">
      <c r="A3989" s="1" t="s">
        <v>2</v>
      </c>
      <c r="B3989" s="1" t="s">
        <v>157</v>
      </c>
    </row>
    <row r="3990" spans="1:2" x14ac:dyDescent="0.25">
      <c r="A3990" t="s">
        <v>3</v>
      </c>
      <c r="B3990" t="s">
        <v>4</v>
      </c>
    </row>
    <row r="3991" spans="1:2" x14ac:dyDescent="0.25">
      <c r="A3991" t="s">
        <v>5</v>
      </c>
      <c r="B3991" t="s">
        <v>4</v>
      </c>
    </row>
    <row r="3992" spans="1:2" x14ac:dyDescent="0.25">
      <c r="A3992" t="s">
        <v>6</v>
      </c>
      <c r="B3992" t="s">
        <v>4</v>
      </c>
    </row>
    <row r="3993" spans="1:2" x14ac:dyDescent="0.25">
      <c r="A3993" t="s">
        <v>7</v>
      </c>
      <c r="B3993" t="s">
        <v>4</v>
      </c>
    </row>
    <row r="3994" spans="1:2" x14ac:dyDescent="0.25">
      <c r="A3994" t="s">
        <v>8</v>
      </c>
      <c r="B3994" t="s">
        <v>4</v>
      </c>
    </row>
    <row r="3995" spans="1:2" x14ac:dyDescent="0.25">
      <c r="A3995" t="s">
        <v>9</v>
      </c>
      <c r="B3995" t="s">
        <v>4</v>
      </c>
    </row>
    <row r="3996" spans="1:2" x14ac:dyDescent="0.25">
      <c r="A3996" t="s">
        <v>10</v>
      </c>
      <c r="B3996" t="s">
        <v>4</v>
      </c>
    </row>
    <row r="3997" spans="1:2" x14ac:dyDescent="0.25">
      <c r="A3997" t="s">
        <v>11</v>
      </c>
      <c r="B3997" t="s">
        <v>4</v>
      </c>
    </row>
    <row r="3998" spans="1:2" x14ac:dyDescent="0.25">
      <c r="A3998" t="s">
        <v>12</v>
      </c>
      <c r="B3998" t="s">
        <v>4</v>
      </c>
    </row>
    <row r="3999" spans="1:2" x14ac:dyDescent="0.25">
      <c r="A3999" t="s">
        <v>13</v>
      </c>
      <c r="B3999" t="s">
        <v>4</v>
      </c>
    </row>
    <row r="4000" spans="1:2" x14ac:dyDescent="0.25">
      <c r="A4000" t="s">
        <v>14</v>
      </c>
      <c r="B4000" t="s">
        <v>4</v>
      </c>
    </row>
    <row r="4001" spans="1:2" x14ac:dyDescent="0.25">
      <c r="A4001" t="s">
        <v>15</v>
      </c>
      <c r="B4001" t="s">
        <v>4</v>
      </c>
    </row>
    <row r="4002" spans="1:2" x14ac:dyDescent="0.25">
      <c r="A4002" t="s">
        <v>16</v>
      </c>
      <c r="B4002" t="s">
        <v>4</v>
      </c>
    </row>
    <row r="4003" spans="1:2" x14ac:dyDescent="0.25">
      <c r="A4003" t="s">
        <v>17</v>
      </c>
      <c r="B4003" t="s">
        <v>4</v>
      </c>
    </row>
    <row r="4004" spans="1:2" x14ac:dyDescent="0.25">
      <c r="A4004" t="s">
        <v>18</v>
      </c>
      <c r="B4004" t="s">
        <v>4</v>
      </c>
    </row>
    <row r="4005" spans="1:2" x14ac:dyDescent="0.25">
      <c r="A4005" t="s">
        <v>19</v>
      </c>
      <c r="B4005" t="s">
        <v>4</v>
      </c>
    </row>
    <row r="4006" spans="1:2" x14ac:dyDescent="0.25">
      <c r="A4006" t="s">
        <v>20</v>
      </c>
      <c r="B4006" t="s">
        <v>4</v>
      </c>
    </row>
    <row r="4007" spans="1:2" x14ac:dyDescent="0.25">
      <c r="A4007" t="s">
        <v>21</v>
      </c>
      <c r="B4007" t="s">
        <v>4</v>
      </c>
    </row>
    <row r="4008" spans="1:2" x14ac:dyDescent="0.25">
      <c r="A4008" t="s">
        <v>22</v>
      </c>
      <c r="B4008" t="s">
        <v>4</v>
      </c>
    </row>
    <row r="4009" spans="1:2" x14ac:dyDescent="0.25">
      <c r="A4009" t="s">
        <v>23</v>
      </c>
      <c r="B4009" t="s">
        <v>4</v>
      </c>
    </row>
    <row r="4010" spans="1:2" x14ac:dyDescent="0.25">
      <c r="A4010" t="s">
        <v>24</v>
      </c>
      <c r="B4010" t="s">
        <v>4</v>
      </c>
    </row>
    <row r="4011" spans="1:2" x14ac:dyDescent="0.25">
      <c r="A4011" t="s">
        <v>25</v>
      </c>
      <c r="B4011" t="s">
        <v>4</v>
      </c>
    </row>
    <row r="4012" spans="1:2" x14ac:dyDescent="0.25">
      <c r="A4012" t="s">
        <v>26</v>
      </c>
      <c r="B4012" t="s">
        <v>4</v>
      </c>
    </row>
    <row r="4013" spans="1:2" x14ac:dyDescent="0.25">
      <c r="A4013" t="s">
        <v>27</v>
      </c>
      <c r="B4013" t="s">
        <v>4</v>
      </c>
    </row>
    <row r="4014" spans="1:2" x14ac:dyDescent="0.25">
      <c r="A4014" t="s">
        <v>28</v>
      </c>
      <c r="B4014" t="s">
        <v>4</v>
      </c>
    </row>
    <row r="4015" spans="1:2" x14ac:dyDescent="0.25">
      <c r="A4015" t="s">
        <v>29</v>
      </c>
      <c r="B4015" t="s">
        <v>4</v>
      </c>
    </row>
    <row r="4016" spans="1:2" x14ac:dyDescent="0.25">
      <c r="A4016" t="s">
        <v>30</v>
      </c>
      <c r="B4016" t="s">
        <v>4</v>
      </c>
    </row>
    <row r="4017" spans="1:2" x14ac:dyDescent="0.25">
      <c r="A4017" t="s">
        <v>31</v>
      </c>
      <c r="B4017" t="s">
        <v>4</v>
      </c>
    </row>
    <row r="4018" spans="1:2" x14ac:dyDescent="0.25">
      <c r="A4018" t="s">
        <v>32</v>
      </c>
      <c r="B4018" t="s">
        <v>4</v>
      </c>
    </row>
    <row r="4019" spans="1:2" x14ac:dyDescent="0.25">
      <c r="A4019" t="s">
        <v>33</v>
      </c>
      <c r="B4019" t="s">
        <v>4</v>
      </c>
    </row>
    <row r="4020" spans="1:2" x14ac:dyDescent="0.25">
      <c r="A4020" t="s">
        <v>34</v>
      </c>
      <c r="B4020" t="s">
        <v>4</v>
      </c>
    </row>
    <row r="4021" spans="1:2" x14ac:dyDescent="0.25">
      <c r="A4021" t="s">
        <v>35</v>
      </c>
      <c r="B4021" t="s">
        <v>4</v>
      </c>
    </row>
    <row r="4022" spans="1:2" x14ac:dyDescent="0.25">
      <c r="A4022" t="s">
        <v>36</v>
      </c>
      <c r="B4022" t="s">
        <v>4</v>
      </c>
    </row>
    <row r="4023" spans="1:2" x14ac:dyDescent="0.25">
      <c r="A4023" t="s">
        <v>37</v>
      </c>
      <c r="B4023" t="s">
        <v>4</v>
      </c>
    </row>
    <row r="4024" spans="1:2" x14ac:dyDescent="0.25">
      <c r="A4024" t="s">
        <v>38</v>
      </c>
      <c r="B4024" t="s">
        <v>4</v>
      </c>
    </row>
    <row r="4025" spans="1:2" x14ac:dyDescent="0.25">
      <c r="A4025" t="s">
        <v>39</v>
      </c>
      <c r="B4025" t="s">
        <v>4</v>
      </c>
    </row>
    <row r="4026" spans="1:2" x14ac:dyDescent="0.25">
      <c r="A4026" t="s">
        <v>40</v>
      </c>
      <c r="B4026" t="s">
        <v>4</v>
      </c>
    </row>
    <row r="4027" spans="1:2" x14ac:dyDescent="0.25">
      <c r="A4027" t="s">
        <v>41</v>
      </c>
      <c r="B4027" t="s">
        <v>4</v>
      </c>
    </row>
    <row r="4028" spans="1:2" x14ac:dyDescent="0.25">
      <c r="A4028" t="s">
        <v>42</v>
      </c>
      <c r="B4028" t="s">
        <v>4</v>
      </c>
    </row>
    <row r="4029" spans="1:2" x14ac:dyDescent="0.25">
      <c r="A4029" t="s">
        <v>43</v>
      </c>
      <c r="B4029" t="s">
        <v>4</v>
      </c>
    </row>
    <row r="4030" spans="1:2" x14ac:dyDescent="0.25">
      <c r="A4030" t="s">
        <v>44</v>
      </c>
      <c r="B4030" t="s">
        <v>4</v>
      </c>
    </row>
    <row r="4031" spans="1:2" x14ac:dyDescent="0.25">
      <c r="A4031" t="s">
        <v>45</v>
      </c>
      <c r="B4031" t="s">
        <v>4</v>
      </c>
    </row>
    <row r="4032" spans="1:2" x14ac:dyDescent="0.25">
      <c r="A4032" t="s">
        <v>46</v>
      </c>
      <c r="B4032" t="s">
        <v>4</v>
      </c>
    </row>
    <row r="4033" spans="1:2" x14ac:dyDescent="0.25">
      <c r="A4033" t="s">
        <v>47</v>
      </c>
      <c r="B4033" t="s">
        <v>4</v>
      </c>
    </row>
    <row r="4034" spans="1:2" x14ac:dyDescent="0.25">
      <c r="A4034" t="s">
        <v>48</v>
      </c>
      <c r="B4034" t="s">
        <v>4</v>
      </c>
    </row>
    <row r="4035" spans="1:2" x14ac:dyDescent="0.25">
      <c r="A4035" t="s">
        <v>49</v>
      </c>
      <c r="B4035" t="s">
        <v>4</v>
      </c>
    </row>
    <row r="4036" spans="1:2" x14ac:dyDescent="0.25">
      <c r="A4036" t="s">
        <v>50</v>
      </c>
      <c r="B4036" t="s">
        <v>4</v>
      </c>
    </row>
    <row r="4037" spans="1:2" x14ac:dyDescent="0.25">
      <c r="A4037" t="s">
        <v>51</v>
      </c>
      <c r="B4037" t="s">
        <v>4</v>
      </c>
    </row>
    <row r="4038" spans="1:2" x14ac:dyDescent="0.25">
      <c r="A4038" t="s">
        <v>52</v>
      </c>
      <c r="B4038" t="s">
        <v>4</v>
      </c>
    </row>
    <row r="4039" spans="1:2" x14ac:dyDescent="0.25">
      <c r="A4039" t="s">
        <v>53</v>
      </c>
      <c r="B4039" t="s">
        <v>4</v>
      </c>
    </row>
    <row r="4040" spans="1:2" x14ac:dyDescent="0.25">
      <c r="A4040" t="s">
        <v>54</v>
      </c>
      <c r="B4040" t="s">
        <v>4</v>
      </c>
    </row>
    <row r="4041" spans="1:2" x14ac:dyDescent="0.25">
      <c r="A4041" t="s">
        <v>55</v>
      </c>
      <c r="B4041" t="s">
        <v>4</v>
      </c>
    </row>
    <row r="4042" spans="1:2" x14ac:dyDescent="0.25">
      <c r="A4042" t="s">
        <v>56</v>
      </c>
      <c r="B4042" t="s">
        <v>4</v>
      </c>
    </row>
    <row r="4043" spans="1:2" x14ac:dyDescent="0.25">
      <c r="A4043" t="s">
        <v>57</v>
      </c>
      <c r="B4043" t="s">
        <v>4</v>
      </c>
    </row>
    <row r="4044" spans="1:2" x14ac:dyDescent="0.25">
      <c r="A4044" t="s">
        <v>58</v>
      </c>
      <c r="B4044" t="s">
        <v>4</v>
      </c>
    </row>
    <row r="4045" spans="1:2" x14ac:dyDescent="0.25">
      <c r="A4045" t="s">
        <v>59</v>
      </c>
      <c r="B4045" t="s">
        <v>4</v>
      </c>
    </row>
    <row r="4046" spans="1:2" x14ac:dyDescent="0.25">
      <c r="A4046" t="s">
        <v>60</v>
      </c>
      <c r="B4046">
        <v>11.61</v>
      </c>
    </row>
    <row r="4047" spans="1:2" x14ac:dyDescent="0.25">
      <c r="A4047" t="s">
        <v>61</v>
      </c>
      <c r="B4047">
        <v>47.88</v>
      </c>
    </row>
    <row r="4048" spans="1:2" x14ac:dyDescent="0.25">
      <c r="A4048" t="s">
        <v>62</v>
      </c>
      <c r="B4048">
        <v>100.02</v>
      </c>
    </row>
    <row r="4049" spans="1:2" x14ac:dyDescent="0.25">
      <c r="A4049" t="s">
        <v>63</v>
      </c>
      <c r="B4049">
        <v>169.75</v>
      </c>
    </row>
    <row r="4050" spans="1:2" x14ac:dyDescent="0.25">
      <c r="A4050" t="s">
        <v>64</v>
      </c>
      <c r="B4050">
        <v>155.28</v>
      </c>
    </row>
    <row r="4051" spans="1:2" x14ac:dyDescent="0.25">
      <c r="A4051" t="s">
        <v>65</v>
      </c>
      <c r="B4051" t="s">
        <v>4</v>
      </c>
    </row>
    <row r="4052" spans="1:2" x14ac:dyDescent="0.25">
      <c r="A4052" t="s">
        <v>66</v>
      </c>
      <c r="B4052" t="s">
        <v>4</v>
      </c>
    </row>
    <row r="4053" spans="1:2" x14ac:dyDescent="0.25">
      <c r="A4053" t="s">
        <v>67</v>
      </c>
      <c r="B4053">
        <v>3.91</v>
      </c>
    </row>
    <row r="4054" spans="1:2" x14ac:dyDescent="0.25">
      <c r="A4054" t="s">
        <v>68</v>
      </c>
      <c r="B4054" t="s">
        <v>4</v>
      </c>
    </row>
    <row r="4055" spans="1:2" x14ac:dyDescent="0.25">
      <c r="A4055" t="s">
        <v>69</v>
      </c>
      <c r="B4055" t="s">
        <v>4</v>
      </c>
    </row>
    <row r="4056" spans="1:2" x14ac:dyDescent="0.25">
      <c r="A4056" t="s">
        <v>70</v>
      </c>
      <c r="B4056" t="s">
        <v>4</v>
      </c>
    </row>
    <row r="4057" spans="1:2" x14ac:dyDescent="0.25">
      <c r="A4057" t="s">
        <v>71</v>
      </c>
      <c r="B4057">
        <v>4.1500000000000004</v>
      </c>
    </row>
    <row r="4058" spans="1:2" x14ac:dyDescent="0.25">
      <c r="A4058" t="s">
        <v>72</v>
      </c>
      <c r="B4058">
        <v>2.64</v>
      </c>
    </row>
    <row r="4059" spans="1:2" x14ac:dyDescent="0.25">
      <c r="A4059" t="s">
        <v>73</v>
      </c>
      <c r="B4059" t="s">
        <v>4</v>
      </c>
    </row>
    <row r="4060" spans="1:2" x14ac:dyDescent="0.25">
      <c r="A4060" t="s">
        <v>74</v>
      </c>
      <c r="B4060">
        <v>4.79</v>
      </c>
    </row>
    <row r="4061" spans="1:2" x14ac:dyDescent="0.25">
      <c r="A4061" t="s">
        <v>75</v>
      </c>
      <c r="B4061">
        <v>4.32</v>
      </c>
    </row>
    <row r="4062" spans="1:2" x14ac:dyDescent="0.25">
      <c r="A4062" t="s">
        <v>76</v>
      </c>
      <c r="B4062" t="s">
        <v>4</v>
      </c>
    </row>
    <row r="4063" spans="1:2" x14ac:dyDescent="0.25">
      <c r="A4063" t="s">
        <v>77</v>
      </c>
      <c r="B4063">
        <v>1.97</v>
      </c>
    </row>
    <row r="4064" spans="1:2" x14ac:dyDescent="0.25">
      <c r="A4064" t="s">
        <v>78</v>
      </c>
      <c r="B4064" t="s">
        <v>4</v>
      </c>
    </row>
    <row r="4065" spans="1:2" x14ac:dyDescent="0.25">
      <c r="A4065" t="s">
        <v>79</v>
      </c>
      <c r="B4065" t="s">
        <v>4</v>
      </c>
    </row>
    <row r="4066" spans="1:2" x14ac:dyDescent="0.25">
      <c r="A4066" t="s">
        <v>80</v>
      </c>
      <c r="B4066" t="s">
        <v>4</v>
      </c>
    </row>
    <row r="4067" spans="1:2" x14ac:dyDescent="0.25">
      <c r="A4067" t="s">
        <v>81</v>
      </c>
      <c r="B4067" t="s">
        <v>4</v>
      </c>
    </row>
    <row r="4070" spans="1:2" x14ac:dyDescent="0.25">
      <c r="A4070" t="s">
        <v>0</v>
      </c>
      <c r="B4070" t="s">
        <v>124</v>
      </c>
    </row>
    <row r="4072" spans="1:2" s="1" customFormat="1" x14ac:dyDescent="0.25">
      <c r="A4072" s="1" t="s">
        <v>2</v>
      </c>
      <c r="B4072" s="1" t="s">
        <v>157</v>
      </c>
    </row>
    <row r="4073" spans="1:2" x14ac:dyDescent="0.25">
      <c r="A4073" t="s">
        <v>3</v>
      </c>
      <c r="B4073" t="s">
        <v>4</v>
      </c>
    </row>
    <row r="4074" spans="1:2" x14ac:dyDescent="0.25">
      <c r="A4074" t="s">
        <v>5</v>
      </c>
      <c r="B4074" t="s">
        <v>4</v>
      </c>
    </row>
    <row r="4075" spans="1:2" x14ac:dyDescent="0.25">
      <c r="A4075" t="s">
        <v>6</v>
      </c>
      <c r="B4075" t="s">
        <v>4</v>
      </c>
    </row>
    <row r="4076" spans="1:2" x14ac:dyDescent="0.25">
      <c r="A4076" t="s">
        <v>7</v>
      </c>
      <c r="B4076">
        <v>6.26</v>
      </c>
    </row>
    <row r="4077" spans="1:2" x14ac:dyDescent="0.25">
      <c r="A4077" t="s">
        <v>8</v>
      </c>
      <c r="B4077">
        <v>199.22</v>
      </c>
    </row>
    <row r="4078" spans="1:2" x14ac:dyDescent="0.25">
      <c r="A4078" t="s">
        <v>9</v>
      </c>
      <c r="B4078">
        <v>971.37</v>
      </c>
    </row>
    <row r="4079" spans="1:2" x14ac:dyDescent="0.25">
      <c r="A4079" t="s">
        <v>10</v>
      </c>
      <c r="B4079">
        <v>5.39</v>
      </c>
    </row>
    <row r="4080" spans="1:2" x14ac:dyDescent="0.25">
      <c r="A4080" t="s">
        <v>11</v>
      </c>
      <c r="B4080">
        <v>1.01</v>
      </c>
    </row>
    <row r="4081" spans="1:2" x14ac:dyDescent="0.25">
      <c r="A4081" t="s">
        <v>12</v>
      </c>
      <c r="B4081">
        <v>1.21</v>
      </c>
    </row>
    <row r="4082" spans="1:2" x14ac:dyDescent="0.25">
      <c r="A4082" t="s">
        <v>13</v>
      </c>
      <c r="B4082">
        <v>9.5299999999999994</v>
      </c>
    </row>
    <row r="4083" spans="1:2" x14ac:dyDescent="0.25">
      <c r="A4083" t="s">
        <v>14</v>
      </c>
      <c r="B4083">
        <v>13.07</v>
      </c>
    </row>
    <row r="4084" spans="1:2" x14ac:dyDescent="0.25">
      <c r="A4084" t="s">
        <v>15</v>
      </c>
      <c r="B4084">
        <v>19.309999999999999</v>
      </c>
    </row>
    <row r="4085" spans="1:2" x14ac:dyDescent="0.25">
      <c r="A4085" t="s">
        <v>16</v>
      </c>
      <c r="B4085">
        <v>11.83</v>
      </c>
    </row>
    <row r="4086" spans="1:2" x14ac:dyDescent="0.25">
      <c r="A4086" t="s">
        <v>17</v>
      </c>
      <c r="B4086">
        <v>116.07</v>
      </c>
    </row>
    <row r="4087" spans="1:2" x14ac:dyDescent="0.25">
      <c r="A4087" t="s">
        <v>18</v>
      </c>
      <c r="B4087" t="s">
        <v>4</v>
      </c>
    </row>
    <row r="4088" spans="1:2" x14ac:dyDescent="0.25">
      <c r="A4088" t="s">
        <v>19</v>
      </c>
      <c r="B4088" t="s">
        <v>4</v>
      </c>
    </row>
    <row r="4089" spans="1:2" x14ac:dyDescent="0.25">
      <c r="A4089" t="s">
        <v>20</v>
      </c>
      <c r="B4089">
        <v>1.35</v>
      </c>
    </row>
    <row r="4090" spans="1:2" x14ac:dyDescent="0.25">
      <c r="A4090" t="s">
        <v>21</v>
      </c>
      <c r="B4090">
        <v>2.5</v>
      </c>
    </row>
    <row r="4091" spans="1:2" x14ac:dyDescent="0.25">
      <c r="A4091" t="s">
        <v>22</v>
      </c>
      <c r="B4091">
        <v>2.58</v>
      </c>
    </row>
    <row r="4092" spans="1:2" x14ac:dyDescent="0.25">
      <c r="A4092" t="s">
        <v>23</v>
      </c>
      <c r="B4092">
        <v>3.46</v>
      </c>
    </row>
    <row r="4093" spans="1:2" x14ac:dyDescent="0.25">
      <c r="A4093" t="s">
        <v>24</v>
      </c>
      <c r="B4093">
        <v>3.48</v>
      </c>
    </row>
    <row r="4094" spans="1:2" x14ac:dyDescent="0.25">
      <c r="A4094" t="s">
        <v>25</v>
      </c>
      <c r="B4094">
        <v>15.83</v>
      </c>
    </row>
    <row r="4095" spans="1:2" x14ac:dyDescent="0.25">
      <c r="A4095" t="s">
        <v>26</v>
      </c>
      <c r="B4095">
        <v>55.11</v>
      </c>
    </row>
    <row r="4096" spans="1:2" x14ac:dyDescent="0.25">
      <c r="A4096" t="s">
        <v>27</v>
      </c>
      <c r="B4096">
        <v>6.11</v>
      </c>
    </row>
    <row r="4097" spans="1:2" x14ac:dyDescent="0.25">
      <c r="A4097" t="s">
        <v>28</v>
      </c>
      <c r="B4097">
        <v>10.06</v>
      </c>
    </row>
    <row r="4098" spans="1:2" x14ac:dyDescent="0.25">
      <c r="A4098" t="s">
        <v>29</v>
      </c>
      <c r="B4098">
        <v>546.09</v>
      </c>
    </row>
    <row r="4099" spans="1:2" x14ac:dyDescent="0.25">
      <c r="A4099" t="s">
        <v>30</v>
      </c>
      <c r="B4099">
        <v>677.86</v>
      </c>
    </row>
    <row r="4100" spans="1:2" x14ac:dyDescent="0.25">
      <c r="A4100" t="s">
        <v>31</v>
      </c>
      <c r="B4100">
        <v>511.53</v>
      </c>
    </row>
    <row r="4101" spans="1:2" x14ac:dyDescent="0.25">
      <c r="A4101" t="s">
        <v>32</v>
      </c>
      <c r="B4101" t="s">
        <v>4</v>
      </c>
    </row>
    <row r="4102" spans="1:2" x14ac:dyDescent="0.25">
      <c r="A4102" t="s">
        <v>33</v>
      </c>
      <c r="B4102">
        <v>4.32</v>
      </c>
    </row>
    <row r="4103" spans="1:2" x14ac:dyDescent="0.25">
      <c r="A4103" t="s">
        <v>34</v>
      </c>
      <c r="B4103">
        <v>1.17</v>
      </c>
    </row>
    <row r="4104" spans="1:2" x14ac:dyDescent="0.25">
      <c r="A4104" t="s">
        <v>35</v>
      </c>
      <c r="B4104">
        <v>2.2799999999999998</v>
      </c>
    </row>
    <row r="4105" spans="1:2" x14ac:dyDescent="0.25">
      <c r="A4105" t="s">
        <v>36</v>
      </c>
      <c r="B4105">
        <v>1.97</v>
      </c>
    </row>
    <row r="4106" spans="1:2" x14ac:dyDescent="0.25">
      <c r="A4106" t="s">
        <v>37</v>
      </c>
      <c r="B4106">
        <v>3.72</v>
      </c>
    </row>
    <row r="4107" spans="1:2" x14ac:dyDescent="0.25">
      <c r="A4107" t="s">
        <v>38</v>
      </c>
      <c r="B4107">
        <v>0.67</v>
      </c>
    </row>
    <row r="4108" spans="1:2" x14ac:dyDescent="0.25">
      <c r="A4108" t="s">
        <v>39</v>
      </c>
      <c r="B4108">
        <v>2.58</v>
      </c>
    </row>
    <row r="4109" spans="1:2" x14ac:dyDescent="0.25">
      <c r="A4109" t="s">
        <v>40</v>
      </c>
      <c r="B4109">
        <v>2.77</v>
      </c>
    </row>
    <row r="4110" spans="1:2" x14ac:dyDescent="0.25">
      <c r="A4110" t="s">
        <v>41</v>
      </c>
      <c r="B4110">
        <v>1.22</v>
      </c>
    </row>
    <row r="4111" spans="1:2" x14ac:dyDescent="0.25">
      <c r="A4111" t="s">
        <v>42</v>
      </c>
      <c r="B4111">
        <v>1.27</v>
      </c>
    </row>
    <row r="4112" spans="1:2" x14ac:dyDescent="0.25">
      <c r="A4112" t="s">
        <v>43</v>
      </c>
      <c r="B4112">
        <v>2.68</v>
      </c>
    </row>
    <row r="4113" spans="1:2" x14ac:dyDescent="0.25">
      <c r="A4113" t="s">
        <v>44</v>
      </c>
      <c r="B4113">
        <v>2.95</v>
      </c>
    </row>
    <row r="4114" spans="1:2" x14ac:dyDescent="0.25">
      <c r="A4114" t="s">
        <v>45</v>
      </c>
      <c r="B4114">
        <v>1.7</v>
      </c>
    </row>
    <row r="4115" spans="1:2" x14ac:dyDescent="0.25">
      <c r="A4115" t="s">
        <v>46</v>
      </c>
      <c r="B4115">
        <v>2.62</v>
      </c>
    </row>
    <row r="4116" spans="1:2" x14ac:dyDescent="0.25">
      <c r="A4116" t="s">
        <v>47</v>
      </c>
      <c r="B4116">
        <v>2.96</v>
      </c>
    </row>
    <row r="4117" spans="1:2" x14ac:dyDescent="0.25">
      <c r="A4117" t="s">
        <v>48</v>
      </c>
      <c r="B4117">
        <v>5.64</v>
      </c>
    </row>
    <row r="4118" spans="1:2" x14ac:dyDescent="0.25">
      <c r="A4118" t="s">
        <v>49</v>
      </c>
      <c r="B4118">
        <v>2.19</v>
      </c>
    </row>
    <row r="4119" spans="1:2" x14ac:dyDescent="0.25">
      <c r="A4119" t="s">
        <v>50</v>
      </c>
      <c r="B4119">
        <v>1.07</v>
      </c>
    </row>
    <row r="4120" spans="1:2" x14ac:dyDescent="0.25">
      <c r="A4120" t="s">
        <v>51</v>
      </c>
      <c r="B4120">
        <v>0.99</v>
      </c>
    </row>
    <row r="4121" spans="1:2" x14ac:dyDescent="0.25">
      <c r="A4121" t="s">
        <v>52</v>
      </c>
      <c r="B4121">
        <v>3.64</v>
      </c>
    </row>
    <row r="4122" spans="1:2" x14ac:dyDescent="0.25">
      <c r="A4122" t="s">
        <v>53</v>
      </c>
      <c r="B4122">
        <v>35.880000000000003</v>
      </c>
    </row>
    <row r="4123" spans="1:2" x14ac:dyDescent="0.25">
      <c r="A4123" t="s">
        <v>54</v>
      </c>
      <c r="B4123">
        <v>24.59</v>
      </c>
    </row>
    <row r="4124" spans="1:2" x14ac:dyDescent="0.25">
      <c r="A4124" t="s">
        <v>55</v>
      </c>
      <c r="B4124">
        <v>123.99</v>
      </c>
    </row>
    <row r="4125" spans="1:2" x14ac:dyDescent="0.25">
      <c r="A4125" t="s">
        <v>56</v>
      </c>
      <c r="B4125">
        <v>60.59</v>
      </c>
    </row>
    <row r="4126" spans="1:2" x14ac:dyDescent="0.25">
      <c r="A4126" t="s">
        <v>57</v>
      </c>
      <c r="B4126">
        <v>3.59</v>
      </c>
    </row>
    <row r="4127" spans="1:2" x14ac:dyDescent="0.25">
      <c r="A4127" t="s">
        <v>58</v>
      </c>
      <c r="B4127">
        <v>747.32</v>
      </c>
    </row>
    <row r="4128" spans="1:2" x14ac:dyDescent="0.25">
      <c r="A4128" t="s">
        <v>59</v>
      </c>
      <c r="B4128">
        <v>9.2899999999999991</v>
      </c>
    </row>
    <row r="4129" spans="1:2" x14ac:dyDescent="0.25">
      <c r="A4129" t="s">
        <v>60</v>
      </c>
      <c r="B4129">
        <v>72.930000000000007</v>
      </c>
    </row>
    <row r="4130" spans="1:2" x14ac:dyDescent="0.25">
      <c r="A4130" t="s">
        <v>61</v>
      </c>
      <c r="B4130">
        <v>141.44</v>
      </c>
    </row>
    <row r="4131" spans="1:2" x14ac:dyDescent="0.25">
      <c r="A4131" t="s">
        <v>62</v>
      </c>
      <c r="B4131">
        <v>209.14</v>
      </c>
    </row>
    <row r="4132" spans="1:2" x14ac:dyDescent="0.25">
      <c r="A4132" t="s">
        <v>63</v>
      </c>
      <c r="B4132">
        <v>383.39</v>
      </c>
    </row>
    <row r="4133" spans="1:2" x14ac:dyDescent="0.25">
      <c r="A4133" t="s">
        <v>64</v>
      </c>
      <c r="B4133">
        <v>358.67</v>
      </c>
    </row>
    <row r="4134" spans="1:2" x14ac:dyDescent="0.25">
      <c r="A4134" t="s">
        <v>65</v>
      </c>
      <c r="B4134">
        <v>9.48</v>
      </c>
    </row>
    <row r="4135" spans="1:2" x14ac:dyDescent="0.25">
      <c r="A4135" t="s">
        <v>66</v>
      </c>
      <c r="B4135">
        <v>0.61</v>
      </c>
    </row>
    <row r="4136" spans="1:2" x14ac:dyDescent="0.25">
      <c r="A4136" t="s">
        <v>67</v>
      </c>
      <c r="B4136">
        <v>258.23</v>
      </c>
    </row>
    <row r="4137" spans="1:2" x14ac:dyDescent="0.25">
      <c r="A4137" t="s">
        <v>68</v>
      </c>
      <c r="B4137">
        <v>9.18</v>
      </c>
    </row>
    <row r="4138" spans="1:2" x14ac:dyDescent="0.25">
      <c r="A4138" t="s">
        <v>69</v>
      </c>
      <c r="B4138">
        <v>239.88</v>
      </c>
    </row>
    <row r="4139" spans="1:2" x14ac:dyDescent="0.25">
      <c r="A4139" t="s">
        <v>70</v>
      </c>
      <c r="B4139">
        <v>310.18</v>
      </c>
    </row>
    <row r="4140" spans="1:2" x14ac:dyDescent="0.25">
      <c r="A4140" t="s">
        <v>71</v>
      </c>
      <c r="B4140">
        <v>101.05</v>
      </c>
    </row>
    <row r="4141" spans="1:2" x14ac:dyDescent="0.25">
      <c r="A4141" t="s">
        <v>72</v>
      </c>
      <c r="B4141">
        <v>105.1</v>
      </c>
    </row>
    <row r="4142" spans="1:2" x14ac:dyDescent="0.25">
      <c r="A4142" t="s">
        <v>73</v>
      </c>
      <c r="B4142">
        <v>2.93</v>
      </c>
    </row>
    <row r="4143" spans="1:2" x14ac:dyDescent="0.25">
      <c r="A4143" t="s">
        <v>74</v>
      </c>
      <c r="B4143">
        <v>93.48</v>
      </c>
    </row>
    <row r="4144" spans="1:2" x14ac:dyDescent="0.25">
      <c r="A4144" t="s">
        <v>75</v>
      </c>
      <c r="B4144">
        <v>389.96</v>
      </c>
    </row>
    <row r="4145" spans="1:3" x14ac:dyDescent="0.25">
      <c r="A4145" t="s">
        <v>76</v>
      </c>
      <c r="B4145">
        <v>162.97</v>
      </c>
    </row>
    <row r="4146" spans="1:3" x14ac:dyDescent="0.25">
      <c r="A4146" t="s">
        <v>77</v>
      </c>
      <c r="B4146">
        <v>283.29000000000002</v>
      </c>
    </row>
    <row r="4147" spans="1:3" x14ac:dyDescent="0.25">
      <c r="A4147" t="s">
        <v>78</v>
      </c>
      <c r="B4147">
        <v>3.51</v>
      </c>
    </row>
    <row r="4148" spans="1:3" x14ac:dyDescent="0.25">
      <c r="A4148" t="s">
        <v>79</v>
      </c>
      <c r="B4148">
        <v>1.93</v>
      </c>
    </row>
    <row r="4149" spans="1:3" x14ac:dyDescent="0.25">
      <c r="A4149" t="s">
        <v>80</v>
      </c>
      <c r="B4149">
        <v>2.12</v>
      </c>
    </row>
    <row r="4150" spans="1:3" x14ac:dyDescent="0.25">
      <c r="A4150" t="s">
        <v>81</v>
      </c>
      <c r="B4150">
        <v>2.38</v>
      </c>
    </row>
    <row r="4153" spans="1:3" x14ac:dyDescent="0.25">
      <c r="A4153" t="s">
        <v>0</v>
      </c>
      <c r="B4153" t="s">
        <v>125</v>
      </c>
    </row>
    <row r="4155" spans="1:3" s="1" customFormat="1" x14ac:dyDescent="0.25">
      <c r="A4155" s="1" t="s">
        <v>2</v>
      </c>
      <c r="B4155" s="1" t="s">
        <v>157</v>
      </c>
    </row>
    <row r="4156" spans="1:3" x14ac:dyDescent="0.25">
      <c r="A4156" t="s">
        <v>3</v>
      </c>
      <c r="B4156" t="s">
        <v>4</v>
      </c>
    </row>
    <row r="4157" spans="1:3" x14ac:dyDescent="0.25">
      <c r="A4157" t="s">
        <v>5</v>
      </c>
      <c r="B4157" t="s">
        <v>4</v>
      </c>
    </row>
    <row r="4158" spans="1:3" x14ac:dyDescent="0.25">
      <c r="A4158" t="s">
        <v>6</v>
      </c>
      <c r="B4158">
        <v>0.42</v>
      </c>
    </row>
    <row r="4159" spans="1:3" x14ac:dyDescent="0.25">
      <c r="A4159" t="s">
        <v>7</v>
      </c>
      <c r="B4159">
        <v>5.55</v>
      </c>
      <c r="C4159">
        <f>IF(OR(B4159&lt;$B$4158,B4159&lt;=$B$4158*1.1),"N/A",B4159-$B$4158)</f>
        <v>5.13</v>
      </c>
    </row>
    <row r="4160" spans="1:3" x14ac:dyDescent="0.25">
      <c r="A4160" t="s">
        <v>8</v>
      </c>
      <c r="B4160">
        <v>20.47</v>
      </c>
      <c r="C4160">
        <f t="shared" ref="C4160:C4223" si="8">IF(OR(B4160&lt;$B$4158,B4160&lt;=$B$4158*1.1),"N/A",B4160-$B$4158)</f>
        <v>20.049999999999997</v>
      </c>
    </row>
    <row r="4161" spans="1:3" x14ac:dyDescent="0.25">
      <c r="A4161" t="s">
        <v>9</v>
      </c>
      <c r="B4161">
        <v>7.12</v>
      </c>
      <c r="C4161">
        <f t="shared" si="8"/>
        <v>6.7</v>
      </c>
    </row>
    <row r="4162" spans="1:3" x14ac:dyDescent="0.25">
      <c r="A4162" t="s">
        <v>10</v>
      </c>
      <c r="B4162">
        <v>4.51</v>
      </c>
      <c r="C4162">
        <f t="shared" si="8"/>
        <v>4.09</v>
      </c>
    </row>
    <row r="4163" spans="1:3" x14ac:dyDescent="0.25">
      <c r="A4163" t="s">
        <v>11</v>
      </c>
      <c r="B4163">
        <v>1.75</v>
      </c>
      <c r="C4163">
        <f t="shared" si="8"/>
        <v>1.33</v>
      </c>
    </row>
    <row r="4164" spans="1:3" x14ac:dyDescent="0.25">
      <c r="A4164" t="s">
        <v>12</v>
      </c>
      <c r="B4164">
        <v>1.34</v>
      </c>
      <c r="C4164">
        <f t="shared" si="8"/>
        <v>0.92000000000000015</v>
      </c>
    </row>
    <row r="4165" spans="1:3" x14ac:dyDescent="0.25">
      <c r="A4165" t="s">
        <v>13</v>
      </c>
      <c r="B4165">
        <v>8.48</v>
      </c>
      <c r="C4165">
        <f t="shared" si="8"/>
        <v>8.06</v>
      </c>
    </row>
    <row r="4166" spans="1:3" x14ac:dyDescent="0.25">
      <c r="A4166" t="s">
        <v>14</v>
      </c>
      <c r="B4166">
        <v>14.41</v>
      </c>
      <c r="C4166">
        <f t="shared" si="8"/>
        <v>13.99</v>
      </c>
    </row>
    <row r="4167" spans="1:3" x14ac:dyDescent="0.25">
      <c r="A4167" t="s">
        <v>15</v>
      </c>
      <c r="B4167">
        <v>14.71</v>
      </c>
      <c r="C4167">
        <f t="shared" si="8"/>
        <v>14.290000000000001</v>
      </c>
    </row>
    <row r="4168" spans="1:3" x14ac:dyDescent="0.25">
      <c r="A4168" t="s">
        <v>16</v>
      </c>
      <c r="B4168">
        <v>8.48</v>
      </c>
      <c r="C4168">
        <f t="shared" si="8"/>
        <v>8.06</v>
      </c>
    </row>
    <row r="4169" spans="1:3" x14ac:dyDescent="0.25">
      <c r="A4169" t="s">
        <v>17</v>
      </c>
      <c r="B4169">
        <v>17.09</v>
      </c>
      <c r="C4169">
        <f t="shared" si="8"/>
        <v>16.669999999999998</v>
      </c>
    </row>
    <row r="4170" spans="1:3" x14ac:dyDescent="0.25">
      <c r="A4170" t="s">
        <v>18</v>
      </c>
      <c r="B4170">
        <v>1.58</v>
      </c>
      <c r="C4170">
        <f t="shared" si="8"/>
        <v>1.1600000000000001</v>
      </c>
    </row>
    <row r="4171" spans="1:3" x14ac:dyDescent="0.25">
      <c r="A4171" t="s">
        <v>19</v>
      </c>
      <c r="B4171">
        <v>1.55</v>
      </c>
      <c r="C4171">
        <f t="shared" si="8"/>
        <v>1.1300000000000001</v>
      </c>
    </row>
    <row r="4172" spans="1:3" x14ac:dyDescent="0.25">
      <c r="A4172" t="s">
        <v>20</v>
      </c>
      <c r="B4172">
        <v>1.93</v>
      </c>
      <c r="C4172">
        <f t="shared" si="8"/>
        <v>1.51</v>
      </c>
    </row>
    <row r="4173" spans="1:3" x14ac:dyDescent="0.25">
      <c r="A4173" t="s">
        <v>21</v>
      </c>
      <c r="B4173">
        <v>2.14</v>
      </c>
      <c r="C4173">
        <f t="shared" si="8"/>
        <v>1.7200000000000002</v>
      </c>
    </row>
    <row r="4174" spans="1:3" x14ac:dyDescent="0.25">
      <c r="A4174" t="s">
        <v>22</v>
      </c>
      <c r="B4174">
        <v>2.58</v>
      </c>
      <c r="C4174">
        <f t="shared" si="8"/>
        <v>2.16</v>
      </c>
    </row>
    <row r="4175" spans="1:3" x14ac:dyDescent="0.25">
      <c r="A4175" t="s">
        <v>23</v>
      </c>
      <c r="B4175">
        <v>3.13</v>
      </c>
      <c r="C4175">
        <f t="shared" si="8"/>
        <v>2.71</v>
      </c>
    </row>
    <row r="4176" spans="1:3" x14ac:dyDescent="0.25">
      <c r="A4176" t="s">
        <v>24</v>
      </c>
      <c r="B4176">
        <v>5.08</v>
      </c>
      <c r="C4176">
        <f t="shared" si="8"/>
        <v>4.66</v>
      </c>
    </row>
    <row r="4177" spans="1:3" x14ac:dyDescent="0.25">
      <c r="A4177" t="s">
        <v>25</v>
      </c>
      <c r="B4177">
        <v>6.92</v>
      </c>
      <c r="C4177">
        <f t="shared" si="8"/>
        <v>6.5</v>
      </c>
    </row>
    <row r="4178" spans="1:3" x14ac:dyDescent="0.25">
      <c r="A4178" t="s">
        <v>26</v>
      </c>
      <c r="B4178">
        <v>10.44</v>
      </c>
      <c r="C4178">
        <f t="shared" si="8"/>
        <v>10.02</v>
      </c>
    </row>
    <row r="4179" spans="1:3" x14ac:dyDescent="0.25">
      <c r="A4179" t="s">
        <v>27</v>
      </c>
      <c r="B4179">
        <v>3.85</v>
      </c>
      <c r="C4179">
        <f t="shared" si="8"/>
        <v>3.43</v>
      </c>
    </row>
    <row r="4180" spans="1:3" x14ac:dyDescent="0.25">
      <c r="A4180" t="s">
        <v>28</v>
      </c>
      <c r="B4180">
        <v>4.62</v>
      </c>
      <c r="C4180">
        <f t="shared" si="8"/>
        <v>4.2</v>
      </c>
    </row>
    <row r="4181" spans="1:3" x14ac:dyDescent="0.25">
      <c r="A4181" t="s">
        <v>29</v>
      </c>
      <c r="B4181">
        <v>33.799999999999997</v>
      </c>
      <c r="C4181">
        <f t="shared" si="8"/>
        <v>33.379999999999995</v>
      </c>
    </row>
    <row r="4182" spans="1:3" x14ac:dyDescent="0.25">
      <c r="A4182" t="s">
        <v>30</v>
      </c>
      <c r="B4182">
        <v>7.53</v>
      </c>
      <c r="C4182">
        <f t="shared" si="8"/>
        <v>7.11</v>
      </c>
    </row>
    <row r="4183" spans="1:3" x14ac:dyDescent="0.25">
      <c r="A4183" t="s">
        <v>31</v>
      </c>
      <c r="B4183">
        <v>7.45</v>
      </c>
      <c r="C4183">
        <f t="shared" si="8"/>
        <v>7.03</v>
      </c>
    </row>
    <row r="4184" spans="1:3" x14ac:dyDescent="0.25">
      <c r="A4184" t="s">
        <v>32</v>
      </c>
      <c r="B4184">
        <v>1.65</v>
      </c>
      <c r="C4184">
        <f t="shared" si="8"/>
        <v>1.23</v>
      </c>
    </row>
    <row r="4185" spans="1:3" x14ac:dyDescent="0.25">
      <c r="A4185" t="s">
        <v>33</v>
      </c>
      <c r="B4185">
        <v>17.22</v>
      </c>
      <c r="C4185">
        <f t="shared" si="8"/>
        <v>16.799999999999997</v>
      </c>
    </row>
    <row r="4186" spans="1:3" x14ac:dyDescent="0.25">
      <c r="A4186" t="s">
        <v>34</v>
      </c>
      <c r="B4186">
        <v>13.03</v>
      </c>
      <c r="C4186">
        <f t="shared" si="8"/>
        <v>12.61</v>
      </c>
    </row>
    <row r="4187" spans="1:3" x14ac:dyDescent="0.25">
      <c r="A4187" t="s">
        <v>35</v>
      </c>
      <c r="B4187">
        <v>2.86</v>
      </c>
      <c r="C4187">
        <f t="shared" si="8"/>
        <v>2.44</v>
      </c>
    </row>
    <row r="4188" spans="1:3" x14ac:dyDescent="0.25">
      <c r="A4188" t="s">
        <v>36</v>
      </c>
      <c r="B4188">
        <v>1</v>
      </c>
      <c r="C4188">
        <f t="shared" si="8"/>
        <v>0.58000000000000007</v>
      </c>
    </row>
    <row r="4189" spans="1:3" x14ac:dyDescent="0.25">
      <c r="A4189" t="s">
        <v>37</v>
      </c>
      <c r="B4189">
        <v>6.56</v>
      </c>
      <c r="C4189">
        <f t="shared" si="8"/>
        <v>6.14</v>
      </c>
    </row>
    <row r="4190" spans="1:3" x14ac:dyDescent="0.25">
      <c r="A4190" t="s">
        <v>38</v>
      </c>
      <c r="B4190">
        <v>12.92</v>
      </c>
      <c r="C4190">
        <f t="shared" si="8"/>
        <v>12.5</v>
      </c>
    </row>
    <row r="4191" spans="1:3" x14ac:dyDescent="0.25">
      <c r="A4191" t="s">
        <v>39</v>
      </c>
      <c r="B4191">
        <v>3.02</v>
      </c>
      <c r="C4191">
        <f t="shared" si="8"/>
        <v>2.6</v>
      </c>
    </row>
    <row r="4192" spans="1:3" x14ac:dyDescent="0.25">
      <c r="A4192" t="s">
        <v>40</v>
      </c>
      <c r="B4192">
        <v>1.44</v>
      </c>
      <c r="C4192">
        <f t="shared" si="8"/>
        <v>1.02</v>
      </c>
    </row>
    <row r="4193" spans="1:3" x14ac:dyDescent="0.25">
      <c r="A4193" t="s">
        <v>41</v>
      </c>
      <c r="B4193">
        <v>2.76</v>
      </c>
      <c r="C4193">
        <f t="shared" si="8"/>
        <v>2.34</v>
      </c>
    </row>
    <row r="4194" spans="1:3" x14ac:dyDescent="0.25">
      <c r="A4194" t="s">
        <v>42</v>
      </c>
      <c r="B4194">
        <v>13.54</v>
      </c>
      <c r="C4194">
        <f t="shared" si="8"/>
        <v>13.12</v>
      </c>
    </row>
    <row r="4195" spans="1:3" x14ac:dyDescent="0.25">
      <c r="A4195" t="s">
        <v>43</v>
      </c>
      <c r="B4195">
        <v>2.46</v>
      </c>
      <c r="C4195">
        <f t="shared" si="8"/>
        <v>2.04</v>
      </c>
    </row>
    <row r="4196" spans="1:3" x14ac:dyDescent="0.25">
      <c r="A4196" t="s">
        <v>44</v>
      </c>
      <c r="B4196">
        <v>1.68</v>
      </c>
      <c r="C4196">
        <f t="shared" si="8"/>
        <v>1.26</v>
      </c>
    </row>
    <row r="4197" spans="1:3" x14ac:dyDescent="0.25">
      <c r="A4197" t="s">
        <v>45</v>
      </c>
      <c r="B4197">
        <v>3.51</v>
      </c>
      <c r="C4197">
        <f t="shared" si="8"/>
        <v>3.09</v>
      </c>
    </row>
    <row r="4198" spans="1:3" x14ac:dyDescent="0.25">
      <c r="A4198" t="s">
        <v>46</v>
      </c>
      <c r="B4198">
        <v>13</v>
      </c>
      <c r="C4198">
        <f t="shared" si="8"/>
        <v>12.58</v>
      </c>
    </row>
    <row r="4199" spans="1:3" x14ac:dyDescent="0.25">
      <c r="A4199" t="s">
        <v>47</v>
      </c>
      <c r="B4199">
        <v>2.96</v>
      </c>
      <c r="C4199">
        <f t="shared" si="8"/>
        <v>2.54</v>
      </c>
    </row>
    <row r="4200" spans="1:3" x14ac:dyDescent="0.25">
      <c r="A4200" t="s">
        <v>48</v>
      </c>
      <c r="B4200">
        <v>1.79</v>
      </c>
      <c r="C4200">
        <f t="shared" si="8"/>
        <v>1.37</v>
      </c>
    </row>
    <row r="4201" spans="1:3" x14ac:dyDescent="0.25">
      <c r="A4201" t="s">
        <v>49</v>
      </c>
      <c r="B4201">
        <v>3.68</v>
      </c>
      <c r="C4201">
        <f t="shared" si="8"/>
        <v>3.2600000000000002</v>
      </c>
    </row>
    <row r="4202" spans="1:3" x14ac:dyDescent="0.25">
      <c r="A4202" t="s">
        <v>50</v>
      </c>
      <c r="B4202">
        <v>11.44</v>
      </c>
      <c r="C4202">
        <f t="shared" si="8"/>
        <v>11.02</v>
      </c>
    </row>
    <row r="4203" spans="1:3" x14ac:dyDescent="0.25">
      <c r="A4203" t="s">
        <v>51</v>
      </c>
      <c r="B4203">
        <v>1.74</v>
      </c>
      <c r="C4203">
        <f t="shared" si="8"/>
        <v>1.32</v>
      </c>
    </row>
    <row r="4204" spans="1:3" x14ac:dyDescent="0.25">
      <c r="A4204" t="s">
        <v>52</v>
      </c>
      <c r="B4204">
        <v>1.54</v>
      </c>
      <c r="C4204">
        <f t="shared" si="8"/>
        <v>1.1200000000000001</v>
      </c>
    </row>
    <row r="4205" spans="1:3" x14ac:dyDescent="0.25">
      <c r="A4205" t="s">
        <v>53</v>
      </c>
      <c r="B4205">
        <v>75.66</v>
      </c>
      <c r="C4205">
        <f t="shared" si="8"/>
        <v>75.239999999999995</v>
      </c>
    </row>
    <row r="4206" spans="1:3" x14ac:dyDescent="0.25">
      <c r="A4206" t="s">
        <v>54</v>
      </c>
      <c r="B4206">
        <v>78.569999999999993</v>
      </c>
      <c r="C4206">
        <f t="shared" si="8"/>
        <v>78.149999999999991</v>
      </c>
    </row>
    <row r="4207" spans="1:3" x14ac:dyDescent="0.25">
      <c r="A4207" t="s">
        <v>55</v>
      </c>
      <c r="B4207">
        <v>457.07</v>
      </c>
      <c r="C4207">
        <f t="shared" si="8"/>
        <v>456.65</v>
      </c>
    </row>
    <row r="4208" spans="1:3" x14ac:dyDescent="0.25">
      <c r="A4208" t="s">
        <v>56</v>
      </c>
      <c r="B4208">
        <v>1.95</v>
      </c>
      <c r="C4208">
        <f t="shared" si="8"/>
        <v>1.53</v>
      </c>
    </row>
    <row r="4209" spans="1:3" x14ac:dyDescent="0.25">
      <c r="A4209" t="s">
        <v>57</v>
      </c>
      <c r="B4209">
        <v>1.23</v>
      </c>
      <c r="C4209">
        <f t="shared" si="8"/>
        <v>0.81</v>
      </c>
    </row>
    <row r="4210" spans="1:3" x14ac:dyDescent="0.25">
      <c r="A4210" t="s">
        <v>58</v>
      </c>
      <c r="B4210">
        <v>16.32</v>
      </c>
      <c r="C4210">
        <f t="shared" si="8"/>
        <v>15.9</v>
      </c>
    </row>
    <row r="4211" spans="1:3" x14ac:dyDescent="0.25">
      <c r="A4211" t="s">
        <v>59</v>
      </c>
      <c r="B4211">
        <v>7.02</v>
      </c>
      <c r="C4211">
        <f t="shared" si="8"/>
        <v>6.6</v>
      </c>
    </row>
    <row r="4212" spans="1:3" x14ac:dyDescent="0.25">
      <c r="A4212" t="s">
        <v>60</v>
      </c>
      <c r="B4212">
        <v>16.36</v>
      </c>
      <c r="C4212">
        <f t="shared" si="8"/>
        <v>15.94</v>
      </c>
    </row>
    <row r="4213" spans="1:3" x14ac:dyDescent="0.25">
      <c r="A4213" t="s">
        <v>61</v>
      </c>
      <c r="B4213">
        <v>96.39</v>
      </c>
      <c r="C4213">
        <f t="shared" si="8"/>
        <v>95.97</v>
      </c>
    </row>
    <row r="4214" spans="1:3" x14ac:dyDescent="0.25">
      <c r="A4214" t="s">
        <v>62</v>
      </c>
      <c r="B4214">
        <v>75.84</v>
      </c>
      <c r="C4214">
        <f t="shared" si="8"/>
        <v>75.42</v>
      </c>
    </row>
    <row r="4215" spans="1:3" x14ac:dyDescent="0.25">
      <c r="A4215" t="s">
        <v>63</v>
      </c>
      <c r="B4215">
        <v>98.71</v>
      </c>
      <c r="C4215">
        <f t="shared" si="8"/>
        <v>98.289999999999992</v>
      </c>
    </row>
    <row r="4216" spans="1:3" x14ac:dyDescent="0.25">
      <c r="A4216" t="s">
        <v>64</v>
      </c>
      <c r="B4216">
        <v>118.57</v>
      </c>
      <c r="C4216">
        <f t="shared" si="8"/>
        <v>118.14999999999999</v>
      </c>
    </row>
    <row r="4217" spans="1:3" x14ac:dyDescent="0.25">
      <c r="A4217" t="s">
        <v>65</v>
      </c>
      <c r="B4217">
        <v>9.33</v>
      </c>
      <c r="C4217">
        <f t="shared" si="8"/>
        <v>8.91</v>
      </c>
    </row>
    <row r="4218" spans="1:3" x14ac:dyDescent="0.25">
      <c r="A4218" t="s">
        <v>66</v>
      </c>
      <c r="B4218">
        <v>5.05</v>
      </c>
      <c r="C4218">
        <f t="shared" si="8"/>
        <v>4.63</v>
      </c>
    </row>
    <row r="4219" spans="1:3" x14ac:dyDescent="0.25">
      <c r="A4219" t="s">
        <v>67</v>
      </c>
      <c r="B4219">
        <v>34.270000000000003</v>
      </c>
      <c r="C4219">
        <f t="shared" si="8"/>
        <v>33.85</v>
      </c>
    </row>
    <row r="4220" spans="1:3" x14ac:dyDescent="0.25">
      <c r="A4220" t="s">
        <v>68</v>
      </c>
      <c r="B4220">
        <v>2.77</v>
      </c>
      <c r="C4220">
        <f t="shared" si="8"/>
        <v>2.35</v>
      </c>
    </row>
    <row r="4221" spans="1:3" x14ac:dyDescent="0.25">
      <c r="A4221" t="s">
        <v>69</v>
      </c>
      <c r="B4221">
        <v>3.59</v>
      </c>
      <c r="C4221">
        <f t="shared" si="8"/>
        <v>3.17</v>
      </c>
    </row>
    <row r="4222" spans="1:3" x14ac:dyDescent="0.25">
      <c r="A4222" t="s">
        <v>70</v>
      </c>
      <c r="B4222">
        <v>29.11</v>
      </c>
      <c r="C4222">
        <f t="shared" si="8"/>
        <v>28.689999999999998</v>
      </c>
    </row>
    <row r="4223" spans="1:3" x14ac:dyDescent="0.25">
      <c r="A4223" t="s">
        <v>71</v>
      </c>
      <c r="B4223">
        <v>34.79</v>
      </c>
      <c r="C4223">
        <f t="shared" si="8"/>
        <v>34.369999999999997</v>
      </c>
    </row>
    <row r="4224" spans="1:3" x14ac:dyDescent="0.25">
      <c r="A4224" t="s">
        <v>72</v>
      </c>
      <c r="B4224">
        <v>22.82</v>
      </c>
      <c r="C4224">
        <f t="shared" ref="C4224:C4233" si="9">IF(OR(B4224&lt;$B$4158,B4224&lt;=$B$4158*1.1),"N/A",B4224-$B$4158)</f>
        <v>22.4</v>
      </c>
    </row>
    <row r="4225" spans="1:3" x14ac:dyDescent="0.25">
      <c r="A4225" t="s">
        <v>73</v>
      </c>
      <c r="B4225">
        <v>1.62</v>
      </c>
      <c r="C4225">
        <f t="shared" si="9"/>
        <v>1.2000000000000002</v>
      </c>
    </row>
    <row r="4226" spans="1:3" x14ac:dyDescent="0.25">
      <c r="A4226" t="s">
        <v>74</v>
      </c>
      <c r="B4226">
        <v>31.2</v>
      </c>
      <c r="C4226">
        <f t="shared" si="9"/>
        <v>30.779999999999998</v>
      </c>
    </row>
    <row r="4227" spans="1:3" x14ac:dyDescent="0.25">
      <c r="A4227" t="s">
        <v>75</v>
      </c>
      <c r="B4227">
        <v>48.67</v>
      </c>
      <c r="C4227">
        <f t="shared" si="9"/>
        <v>48.25</v>
      </c>
    </row>
    <row r="4228" spans="1:3" x14ac:dyDescent="0.25">
      <c r="A4228" t="s">
        <v>76</v>
      </c>
      <c r="B4228">
        <v>25.1</v>
      </c>
      <c r="C4228">
        <f t="shared" si="9"/>
        <v>24.68</v>
      </c>
    </row>
    <row r="4229" spans="1:3" x14ac:dyDescent="0.25">
      <c r="A4229" t="s">
        <v>77</v>
      </c>
      <c r="B4229">
        <v>24.04</v>
      </c>
      <c r="C4229">
        <f t="shared" si="9"/>
        <v>23.619999999999997</v>
      </c>
    </row>
    <row r="4230" spans="1:3" x14ac:dyDescent="0.25">
      <c r="A4230" t="s">
        <v>78</v>
      </c>
      <c r="B4230">
        <v>0.83</v>
      </c>
      <c r="C4230">
        <f t="shared" si="9"/>
        <v>0.41</v>
      </c>
    </row>
    <row r="4231" spans="1:3" x14ac:dyDescent="0.25">
      <c r="A4231" t="s">
        <v>79</v>
      </c>
      <c r="B4231">
        <v>1</v>
      </c>
      <c r="C4231">
        <f t="shared" si="9"/>
        <v>0.58000000000000007</v>
      </c>
    </row>
    <row r="4232" spans="1:3" x14ac:dyDescent="0.25">
      <c r="A4232" t="s">
        <v>80</v>
      </c>
      <c r="B4232">
        <v>7.08</v>
      </c>
      <c r="C4232">
        <f t="shared" si="9"/>
        <v>6.66</v>
      </c>
    </row>
    <row r="4233" spans="1:3" x14ac:dyDescent="0.25">
      <c r="A4233" t="s">
        <v>81</v>
      </c>
      <c r="B4233">
        <v>93.14</v>
      </c>
      <c r="C4233">
        <f t="shared" si="9"/>
        <v>92.72</v>
      </c>
    </row>
    <row r="4236" spans="1:3" x14ac:dyDescent="0.25">
      <c r="A4236" t="s">
        <v>0</v>
      </c>
      <c r="B4236" t="s">
        <v>126</v>
      </c>
    </row>
    <row r="4238" spans="1:3" s="1" customFormat="1" x14ac:dyDescent="0.25">
      <c r="A4238" s="1" t="s">
        <v>2</v>
      </c>
      <c r="B4238" s="1" t="s">
        <v>157</v>
      </c>
    </row>
    <row r="4239" spans="1:3" x14ac:dyDescent="0.25">
      <c r="A4239" t="s">
        <v>3</v>
      </c>
      <c r="B4239" t="s">
        <v>4</v>
      </c>
    </row>
    <row r="4240" spans="1:3" x14ac:dyDescent="0.25">
      <c r="A4240" t="s">
        <v>5</v>
      </c>
      <c r="B4240" t="s">
        <v>4</v>
      </c>
    </row>
    <row r="4241" spans="1:2" x14ac:dyDescent="0.25">
      <c r="A4241" t="s">
        <v>6</v>
      </c>
      <c r="B4241" t="s">
        <v>4</v>
      </c>
    </row>
    <row r="4242" spans="1:2" x14ac:dyDescent="0.25">
      <c r="A4242" t="s">
        <v>7</v>
      </c>
      <c r="B4242" t="s">
        <v>4</v>
      </c>
    </row>
    <row r="4243" spans="1:2" x14ac:dyDescent="0.25">
      <c r="A4243" t="s">
        <v>8</v>
      </c>
      <c r="B4243" t="s">
        <v>4</v>
      </c>
    </row>
    <row r="4244" spans="1:2" x14ac:dyDescent="0.25">
      <c r="A4244" t="s">
        <v>9</v>
      </c>
      <c r="B4244" t="s">
        <v>4</v>
      </c>
    </row>
    <row r="4245" spans="1:2" x14ac:dyDescent="0.25">
      <c r="A4245" t="s">
        <v>10</v>
      </c>
      <c r="B4245" t="s">
        <v>4</v>
      </c>
    </row>
    <row r="4246" spans="1:2" x14ac:dyDescent="0.25">
      <c r="A4246" t="s">
        <v>11</v>
      </c>
      <c r="B4246" t="s">
        <v>4</v>
      </c>
    </row>
    <row r="4247" spans="1:2" x14ac:dyDescent="0.25">
      <c r="A4247" t="s">
        <v>12</v>
      </c>
      <c r="B4247" t="s">
        <v>4</v>
      </c>
    </row>
    <row r="4248" spans="1:2" x14ac:dyDescent="0.25">
      <c r="A4248" t="s">
        <v>13</v>
      </c>
      <c r="B4248" t="s">
        <v>4</v>
      </c>
    </row>
    <row r="4249" spans="1:2" x14ac:dyDescent="0.25">
      <c r="A4249" t="s">
        <v>14</v>
      </c>
      <c r="B4249" t="s">
        <v>4</v>
      </c>
    </row>
    <row r="4250" spans="1:2" x14ac:dyDescent="0.25">
      <c r="A4250" t="s">
        <v>15</v>
      </c>
      <c r="B4250" t="s">
        <v>4</v>
      </c>
    </row>
    <row r="4251" spans="1:2" x14ac:dyDescent="0.25">
      <c r="A4251" t="s">
        <v>16</v>
      </c>
      <c r="B4251" t="s">
        <v>4</v>
      </c>
    </row>
    <row r="4252" spans="1:2" x14ac:dyDescent="0.25">
      <c r="A4252" t="s">
        <v>17</v>
      </c>
      <c r="B4252" t="s">
        <v>4</v>
      </c>
    </row>
    <row r="4253" spans="1:2" x14ac:dyDescent="0.25">
      <c r="A4253" t="s">
        <v>18</v>
      </c>
      <c r="B4253" t="s">
        <v>4</v>
      </c>
    </row>
    <row r="4254" spans="1:2" x14ac:dyDescent="0.25">
      <c r="A4254" t="s">
        <v>19</v>
      </c>
      <c r="B4254" t="s">
        <v>4</v>
      </c>
    </row>
    <row r="4255" spans="1:2" x14ac:dyDescent="0.25">
      <c r="A4255" t="s">
        <v>20</v>
      </c>
      <c r="B4255" t="s">
        <v>4</v>
      </c>
    </row>
    <row r="4256" spans="1:2" x14ac:dyDescent="0.25">
      <c r="A4256" t="s">
        <v>21</v>
      </c>
      <c r="B4256" t="s">
        <v>4</v>
      </c>
    </row>
    <row r="4257" spans="1:2" x14ac:dyDescent="0.25">
      <c r="A4257" t="s">
        <v>22</v>
      </c>
      <c r="B4257" t="s">
        <v>4</v>
      </c>
    </row>
    <row r="4258" spans="1:2" x14ac:dyDescent="0.25">
      <c r="A4258" t="s">
        <v>23</v>
      </c>
      <c r="B4258" t="s">
        <v>4</v>
      </c>
    </row>
    <row r="4259" spans="1:2" x14ac:dyDescent="0.25">
      <c r="A4259" t="s">
        <v>24</v>
      </c>
      <c r="B4259" t="s">
        <v>4</v>
      </c>
    </row>
    <row r="4260" spans="1:2" x14ac:dyDescent="0.25">
      <c r="A4260" t="s">
        <v>25</v>
      </c>
      <c r="B4260" t="s">
        <v>4</v>
      </c>
    </row>
    <row r="4261" spans="1:2" x14ac:dyDescent="0.25">
      <c r="A4261" t="s">
        <v>26</v>
      </c>
      <c r="B4261" t="s">
        <v>4</v>
      </c>
    </row>
    <row r="4262" spans="1:2" x14ac:dyDescent="0.25">
      <c r="A4262" t="s">
        <v>27</v>
      </c>
      <c r="B4262" t="s">
        <v>4</v>
      </c>
    </row>
    <row r="4263" spans="1:2" x14ac:dyDescent="0.25">
      <c r="A4263" t="s">
        <v>28</v>
      </c>
      <c r="B4263" t="s">
        <v>4</v>
      </c>
    </row>
    <row r="4264" spans="1:2" x14ac:dyDescent="0.25">
      <c r="A4264" t="s">
        <v>29</v>
      </c>
      <c r="B4264" t="s">
        <v>4</v>
      </c>
    </row>
    <row r="4265" spans="1:2" x14ac:dyDescent="0.25">
      <c r="A4265" t="s">
        <v>30</v>
      </c>
      <c r="B4265" t="s">
        <v>4</v>
      </c>
    </row>
    <row r="4266" spans="1:2" x14ac:dyDescent="0.25">
      <c r="A4266" t="s">
        <v>31</v>
      </c>
      <c r="B4266" t="s">
        <v>4</v>
      </c>
    </row>
    <row r="4267" spans="1:2" x14ac:dyDescent="0.25">
      <c r="A4267" t="s">
        <v>32</v>
      </c>
      <c r="B4267" t="s">
        <v>4</v>
      </c>
    </row>
    <row r="4268" spans="1:2" x14ac:dyDescent="0.25">
      <c r="A4268" t="s">
        <v>33</v>
      </c>
      <c r="B4268" t="s">
        <v>4</v>
      </c>
    </row>
    <row r="4269" spans="1:2" x14ac:dyDescent="0.25">
      <c r="A4269" t="s">
        <v>34</v>
      </c>
      <c r="B4269" t="s">
        <v>4</v>
      </c>
    </row>
    <row r="4270" spans="1:2" x14ac:dyDescent="0.25">
      <c r="A4270" t="s">
        <v>35</v>
      </c>
      <c r="B4270" t="s">
        <v>4</v>
      </c>
    </row>
    <row r="4271" spans="1:2" x14ac:dyDescent="0.25">
      <c r="A4271" t="s">
        <v>36</v>
      </c>
      <c r="B4271" t="s">
        <v>4</v>
      </c>
    </row>
    <row r="4272" spans="1:2" x14ac:dyDescent="0.25">
      <c r="A4272" t="s">
        <v>37</v>
      </c>
      <c r="B4272" t="s">
        <v>4</v>
      </c>
    </row>
    <row r="4273" spans="1:2" x14ac:dyDescent="0.25">
      <c r="A4273" t="s">
        <v>38</v>
      </c>
      <c r="B4273" t="s">
        <v>4</v>
      </c>
    </row>
    <row r="4274" spans="1:2" x14ac:dyDescent="0.25">
      <c r="A4274" t="s">
        <v>39</v>
      </c>
      <c r="B4274" t="s">
        <v>4</v>
      </c>
    </row>
    <row r="4275" spans="1:2" x14ac:dyDescent="0.25">
      <c r="A4275" t="s">
        <v>40</v>
      </c>
      <c r="B4275" t="s">
        <v>4</v>
      </c>
    </row>
    <row r="4276" spans="1:2" x14ac:dyDescent="0.25">
      <c r="A4276" t="s">
        <v>41</v>
      </c>
      <c r="B4276" t="s">
        <v>4</v>
      </c>
    </row>
    <row r="4277" spans="1:2" x14ac:dyDescent="0.25">
      <c r="A4277" t="s">
        <v>42</v>
      </c>
      <c r="B4277" t="s">
        <v>4</v>
      </c>
    </row>
    <row r="4278" spans="1:2" x14ac:dyDescent="0.25">
      <c r="A4278" t="s">
        <v>43</v>
      </c>
      <c r="B4278" t="s">
        <v>4</v>
      </c>
    </row>
    <row r="4279" spans="1:2" x14ac:dyDescent="0.25">
      <c r="A4279" t="s">
        <v>44</v>
      </c>
      <c r="B4279" t="s">
        <v>4</v>
      </c>
    </row>
    <row r="4280" spans="1:2" x14ac:dyDescent="0.25">
      <c r="A4280" t="s">
        <v>45</v>
      </c>
      <c r="B4280" t="s">
        <v>4</v>
      </c>
    </row>
    <row r="4281" spans="1:2" x14ac:dyDescent="0.25">
      <c r="A4281" t="s">
        <v>46</v>
      </c>
      <c r="B4281" t="s">
        <v>4</v>
      </c>
    </row>
    <row r="4282" spans="1:2" x14ac:dyDescent="0.25">
      <c r="A4282" t="s">
        <v>47</v>
      </c>
      <c r="B4282" t="s">
        <v>4</v>
      </c>
    </row>
    <row r="4283" spans="1:2" x14ac:dyDescent="0.25">
      <c r="A4283" t="s">
        <v>48</v>
      </c>
      <c r="B4283" t="s">
        <v>4</v>
      </c>
    </row>
    <row r="4284" spans="1:2" x14ac:dyDescent="0.25">
      <c r="A4284" t="s">
        <v>49</v>
      </c>
      <c r="B4284" t="s">
        <v>4</v>
      </c>
    </row>
    <row r="4285" spans="1:2" x14ac:dyDescent="0.25">
      <c r="A4285" t="s">
        <v>50</v>
      </c>
      <c r="B4285" t="s">
        <v>4</v>
      </c>
    </row>
    <row r="4286" spans="1:2" x14ac:dyDescent="0.25">
      <c r="A4286" t="s">
        <v>51</v>
      </c>
      <c r="B4286" t="s">
        <v>4</v>
      </c>
    </row>
    <row r="4287" spans="1:2" x14ac:dyDescent="0.25">
      <c r="A4287" t="s">
        <v>52</v>
      </c>
      <c r="B4287" t="s">
        <v>4</v>
      </c>
    </row>
    <row r="4288" spans="1:2" x14ac:dyDescent="0.25">
      <c r="A4288" t="s">
        <v>53</v>
      </c>
      <c r="B4288">
        <v>5.0599999999999996</v>
      </c>
    </row>
    <row r="4289" spans="1:2" x14ac:dyDescent="0.25">
      <c r="A4289" t="s">
        <v>54</v>
      </c>
      <c r="B4289" t="s">
        <v>4</v>
      </c>
    </row>
    <row r="4290" spans="1:2" x14ac:dyDescent="0.25">
      <c r="A4290" t="s">
        <v>55</v>
      </c>
      <c r="B4290">
        <v>19.53</v>
      </c>
    </row>
    <row r="4291" spans="1:2" x14ac:dyDescent="0.25">
      <c r="A4291" t="s">
        <v>56</v>
      </c>
      <c r="B4291" t="s">
        <v>4</v>
      </c>
    </row>
    <row r="4292" spans="1:2" x14ac:dyDescent="0.25">
      <c r="A4292" t="s">
        <v>57</v>
      </c>
      <c r="B4292" t="s">
        <v>4</v>
      </c>
    </row>
    <row r="4293" spans="1:2" x14ac:dyDescent="0.25">
      <c r="A4293" t="s">
        <v>58</v>
      </c>
      <c r="B4293" t="s">
        <v>4</v>
      </c>
    </row>
    <row r="4294" spans="1:2" x14ac:dyDescent="0.25">
      <c r="A4294" t="s">
        <v>59</v>
      </c>
      <c r="B4294">
        <v>25.86</v>
      </c>
    </row>
    <row r="4295" spans="1:2" x14ac:dyDescent="0.25">
      <c r="A4295" t="s">
        <v>60</v>
      </c>
      <c r="B4295">
        <v>13.2</v>
      </c>
    </row>
    <row r="4296" spans="1:2" x14ac:dyDescent="0.25">
      <c r="A4296" t="s">
        <v>61</v>
      </c>
      <c r="B4296">
        <v>9.15</v>
      </c>
    </row>
    <row r="4297" spans="1:2" x14ac:dyDescent="0.25">
      <c r="A4297" t="s">
        <v>62</v>
      </c>
      <c r="B4297">
        <v>8.1300000000000008</v>
      </c>
    </row>
    <row r="4298" spans="1:2" x14ac:dyDescent="0.25">
      <c r="A4298" t="s">
        <v>63</v>
      </c>
      <c r="B4298">
        <v>7.92</v>
      </c>
    </row>
    <row r="4299" spans="1:2" x14ac:dyDescent="0.25">
      <c r="A4299" t="s">
        <v>64</v>
      </c>
      <c r="B4299">
        <v>12.07</v>
      </c>
    </row>
    <row r="4300" spans="1:2" x14ac:dyDescent="0.25">
      <c r="A4300" t="s">
        <v>65</v>
      </c>
      <c r="B4300" t="s">
        <v>4</v>
      </c>
    </row>
    <row r="4301" spans="1:2" x14ac:dyDescent="0.25">
      <c r="A4301" t="s">
        <v>66</v>
      </c>
      <c r="B4301" t="s">
        <v>4</v>
      </c>
    </row>
    <row r="4302" spans="1:2" x14ac:dyDescent="0.25">
      <c r="A4302" t="s">
        <v>67</v>
      </c>
      <c r="B4302" t="s">
        <v>4</v>
      </c>
    </row>
    <row r="4303" spans="1:2" x14ac:dyDescent="0.25">
      <c r="A4303" t="s">
        <v>68</v>
      </c>
      <c r="B4303">
        <v>60.48</v>
      </c>
    </row>
    <row r="4304" spans="1:2" x14ac:dyDescent="0.25">
      <c r="A4304" t="s">
        <v>69</v>
      </c>
      <c r="B4304" t="s">
        <v>4</v>
      </c>
    </row>
    <row r="4305" spans="1:2" x14ac:dyDescent="0.25">
      <c r="A4305" t="s">
        <v>70</v>
      </c>
      <c r="B4305">
        <v>12.6</v>
      </c>
    </row>
    <row r="4306" spans="1:2" x14ac:dyDescent="0.25">
      <c r="A4306" t="s">
        <v>71</v>
      </c>
      <c r="B4306">
        <v>36.61</v>
      </c>
    </row>
    <row r="4307" spans="1:2" x14ac:dyDescent="0.25">
      <c r="A4307" t="s">
        <v>72</v>
      </c>
      <c r="B4307">
        <v>29.27</v>
      </c>
    </row>
    <row r="4308" spans="1:2" x14ac:dyDescent="0.25">
      <c r="A4308" t="s">
        <v>73</v>
      </c>
      <c r="B4308" t="s">
        <v>4</v>
      </c>
    </row>
    <row r="4309" spans="1:2" x14ac:dyDescent="0.25">
      <c r="A4309" t="s">
        <v>74</v>
      </c>
      <c r="B4309">
        <v>32.67</v>
      </c>
    </row>
    <row r="4310" spans="1:2" x14ac:dyDescent="0.25">
      <c r="A4310" t="s">
        <v>75</v>
      </c>
      <c r="B4310">
        <v>15.29</v>
      </c>
    </row>
    <row r="4311" spans="1:2" x14ac:dyDescent="0.25">
      <c r="A4311" t="s">
        <v>76</v>
      </c>
      <c r="B4311">
        <v>27.64</v>
      </c>
    </row>
    <row r="4312" spans="1:2" x14ac:dyDescent="0.25">
      <c r="A4312" t="s">
        <v>77</v>
      </c>
      <c r="B4312">
        <v>18.309999999999999</v>
      </c>
    </row>
    <row r="4313" spans="1:2" x14ac:dyDescent="0.25">
      <c r="A4313" t="s">
        <v>78</v>
      </c>
      <c r="B4313" t="s">
        <v>4</v>
      </c>
    </row>
    <row r="4314" spans="1:2" x14ac:dyDescent="0.25">
      <c r="A4314" t="s">
        <v>79</v>
      </c>
      <c r="B4314" t="s">
        <v>4</v>
      </c>
    </row>
    <row r="4315" spans="1:2" x14ac:dyDescent="0.25">
      <c r="A4315" t="s">
        <v>80</v>
      </c>
      <c r="B4315" t="s">
        <v>4</v>
      </c>
    </row>
    <row r="4316" spans="1:2" x14ac:dyDescent="0.25">
      <c r="A4316" t="s">
        <v>81</v>
      </c>
      <c r="B4316" t="s">
        <v>4</v>
      </c>
    </row>
    <row r="4320" spans="1:2" x14ac:dyDescent="0.25">
      <c r="A4320" t="s">
        <v>0</v>
      </c>
      <c r="B4320" t="s">
        <v>127</v>
      </c>
    </row>
    <row r="4322" spans="1:2" s="1" customFormat="1" x14ac:dyDescent="0.25">
      <c r="A4322" s="1" t="s">
        <v>2</v>
      </c>
      <c r="B4322" s="1" t="s">
        <v>157</v>
      </c>
    </row>
    <row r="4323" spans="1:2" x14ac:dyDescent="0.25">
      <c r="A4323" t="s">
        <v>3</v>
      </c>
      <c r="B4323" t="s">
        <v>4</v>
      </c>
    </row>
    <row r="4324" spans="1:2" x14ac:dyDescent="0.25">
      <c r="A4324" t="s">
        <v>5</v>
      </c>
      <c r="B4324" t="s">
        <v>4</v>
      </c>
    </row>
    <row r="4325" spans="1:2" x14ac:dyDescent="0.25">
      <c r="A4325" t="s">
        <v>6</v>
      </c>
      <c r="B4325" t="s">
        <v>4</v>
      </c>
    </row>
    <row r="4326" spans="1:2" x14ac:dyDescent="0.25">
      <c r="A4326" t="s">
        <v>7</v>
      </c>
      <c r="B4326" t="s">
        <v>4</v>
      </c>
    </row>
    <row r="4327" spans="1:2" x14ac:dyDescent="0.25">
      <c r="A4327" t="s">
        <v>8</v>
      </c>
      <c r="B4327" t="s">
        <v>4</v>
      </c>
    </row>
    <row r="4328" spans="1:2" x14ac:dyDescent="0.25">
      <c r="A4328" t="s">
        <v>9</v>
      </c>
      <c r="B4328" t="s">
        <v>4</v>
      </c>
    </row>
    <row r="4329" spans="1:2" x14ac:dyDescent="0.25">
      <c r="A4329" t="s">
        <v>10</v>
      </c>
      <c r="B4329" t="s">
        <v>4</v>
      </c>
    </row>
    <row r="4330" spans="1:2" x14ac:dyDescent="0.25">
      <c r="A4330" t="s">
        <v>11</v>
      </c>
      <c r="B4330" t="s">
        <v>4</v>
      </c>
    </row>
    <row r="4331" spans="1:2" x14ac:dyDescent="0.25">
      <c r="A4331" t="s">
        <v>12</v>
      </c>
      <c r="B4331" t="s">
        <v>4</v>
      </c>
    </row>
    <row r="4332" spans="1:2" x14ac:dyDescent="0.25">
      <c r="A4332" t="s">
        <v>13</v>
      </c>
      <c r="B4332" t="s">
        <v>4</v>
      </c>
    </row>
    <row r="4333" spans="1:2" x14ac:dyDescent="0.25">
      <c r="A4333" t="s">
        <v>14</v>
      </c>
      <c r="B4333" t="s">
        <v>4</v>
      </c>
    </row>
    <row r="4334" spans="1:2" x14ac:dyDescent="0.25">
      <c r="A4334" t="s">
        <v>15</v>
      </c>
      <c r="B4334" t="s">
        <v>4</v>
      </c>
    </row>
    <row r="4335" spans="1:2" x14ac:dyDescent="0.25">
      <c r="A4335" t="s">
        <v>16</v>
      </c>
      <c r="B4335" t="s">
        <v>4</v>
      </c>
    </row>
    <row r="4336" spans="1:2" x14ac:dyDescent="0.25">
      <c r="A4336" t="s">
        <v>17</v>
      </c>
      <c r="B4336">
        <v>5.25</v>
      </c>
    </row>
    <row r="4337" spans="1:2" x14ac:dyDescent="0.25">
      <c r="A4337" t="s">
        <v>18</v>
      </c>
      <c r="B4337" t="s">
        <v>4</v>
      </c>
    </row>
    <row r="4338" spans="1:2" x14ac:dyDescent="0.25">
      <c r="A4338" t="s">
        <v>19</v>
      </c>
      <c r="B4338" t="s">
        <v>4</v>
      </c>
    </row>
    <row r="4339" spans="1:2" x14ac:dyDescent="0.25">
      <c r="A4339" t="s">
        <v>20</v>
      </c>
      <c r="B4339" t="s">
        <v>4</v>
      </c>
    </row>
    <row r="4340" spans="1:2" x14ac:dyDescent="0.25">
      <c r="A4340" t="s">
        <v>21</v>
      </c>
      <c r="B4340" t="s">
        <v>4</v>
      </c>
    </row>
    <row r="4341" spans="1:2" x14ac:dyDescent="0.25">
      <c r="A4341" t="s">
        <v>22</v>
      </c>
      <c r="B4341" t="s">
        <v>4</v>
      </c>
    </row>
    <row r="4342" spans="1:2" x14ac:dyDescent="0.25">
      <c r="A4342" t="s">
        <v>23</v>
      </c>
      <c r="B4342" t="s">
        <v>4</v>
      </c>
    </row>
    <row r="4343" spans="1:2" x14ac:dyDescent="0.25">
      <c r="A4343" t="s">
        <v>24</v>
      </c>
      <c r="B4343" t="s">
        <v>4</v>
      </c>
    </row>
    <row r="4344" spans="1:2" x14ac:dyDescent="0.25">
      <c r="A4344" t="s">
        <v>25</v>
      </c>
      <c r="B4344" t="s">
        <v>4</v>
      </c>
    </row>
    <row r="4345" spans="1:2" x14ac:dyDescent="0.25">
      <c r="A4345" t="s">
        <v>26</v>
      </c>
      <c r="B4345" t="s">
        <v>4</v>
      </c>
    </row>
    <row r="4346" spans="1:2" x14ac:dyDescent="0.25">
      <c r="A4346" t="s">
        <v>27</v>
      </c>
      <c r="B4346" t="s">
        <v>4</v>
      </c>
    </row>
    <row r="4347" spans="1:2" x14ac:dyDescent="0.25">
      <c r="A4347" t="s">
        <v>28</v>
      </c>
      <c r="B4347" t="s">
        <v>4</v>
      </c>
    </row>
    <row r="4348" spans="1:2" x14ac:dyDescent="0.25">
      <c r="A4348" t="s">
        <v>29</v>
      </c>
      <c r="B4348" t="s">
        <v>4</v>
      </c>
    </row>
    <row r="4349" spans="1:2" x14ac:dyDescent="0.25">
      <c r="A4349" t="s">
        <v>30</v>
      </c>
      <c r="B4349" t="s">
        <v>4</v>
      </c>
    </row>
    <row r="4350" spans="1:2" x14ac:dyDescent="0.25">
      <c r="A4350" t="s">
        <v>31</v>
      </c>
      <c r="B4350" t="s">
        <v>4</v>
      </c>
    </row>
    <row r="4351" spans="1:2" x14ac:dyDescent="0.25">
      <c r="A4351" t="s">
        <v>32</v>
      </c>
      <c r="B4351" t="s">
        <v>4</v>
      </c>
    </row>
    <row r="4352" spans="1:2" x14ac:dyDescent="0.25">
      <c r="A4352" t="s">
        <v>33</v>
      </c>
      <c r="B4352">
        <v>2.48</v>
      </c>
    </row>
    <row r="4353" spans="1:2" x14ac:dyDescent="0.25">
      <c r="A4353" t="s">
        <v>34</v>
      </c>
      <c r="B4353" t="s">
        <v>4</v>
      </c>
    </row>
    <row r="4354" spans="1:2" x14ac:dyDescent="0.25">
      <c r="A4354" t="s">
        <v>35</v>
      </c>
      <c r="B4354" t="s">
        <v>4</v>
      </c>
    </row>
    <row r="4355" spans="1:2" x14ac:dyDescent="0.25">
      <c r="A4355" t="s">
        <v>36</v>
      </c>
      <c r="B4355" t="s">
        <v>4</v>
      </c>
    </row>
    <row r="4356" spans="1:2" x14ac:dyDescent="0.25">
      <c r="A4356" t="s">
        <v>37</v>
      </c>
      <c r="B4356" t="s">
        <v>4</v>
      </c>
    </row>
    <row r="4357" spans="1:2" x14ac:dyDescent="0.25">
      <c r="A4357" t="s">
        <v>38</v>
      </c>
      <c r="B4357" t="s">
        <v>4</v>
      </c>
    </row>
    <row r="4358" spans="1:2" x14ac:dyDescent="0.25">
      <c r="A4358" t="s">
        <v>39</v>
      </c>
      <c r="B4358" t="s">
        <v>4</v>
      </c>
    </row>
    <row r="4359" spans="1:2" x14ac:dyDescent="0.25">
      <c r="A4359" t="s">
        <v>40</v>
      </c>
      <c r="B4359" t="s">
        <v>4</v>
      </c>
    </row>
    <row r="4360" spans="1:2" x14ac:dyDescent="0.25">
      <c r="A4360" t="s">
        <v>41</v>
      </c>
      <c r="B4360" t="s">
        <v>4</v>
      </c>
    </row>
    <row r="4361" spans="1:2" x14ac:dyDescent="0.25">
      <c r="A4361" t="s">
        <v>42</v>
      </c>
      <c r="B4361" t="s">
        <v>4</v>
      </c>
    </row>
    <row r="4362" spans="1:2" x14ac:dyDescent="0.25">
      <c r="A4362" t="s">
        <v>43</v>
      </c>
      <c r="B4362" t="s">
        <v>4</v>
      </c>
    </row>
    <row r="4363" spans="1:2" x14ac:dyDescent="0.25">
      <c r="A4363" t="s">
        <v>44</v>
      </c>
      <c r="B4363" t="s">
        <v>4</v>
      </c>
    </row>
    <row r="4364" spans="1:2" x14ac:dyDescent="0.25">
      <c r="A4364" t="s">
        <v>45</v>
      </c>
      <c r="B4364" t="s">
        <v>4</v>
      </c>
    </row>
    <row r="4365" spans="1:2" x14ac:dyDescent="0.25">
      <c r="A4365" t="s">
        <v>46</v>
      </c>
      <c r="B4365" t="s">
        <v>4</v>
      </c>
    </row>
    <row r="4366" spans="1:2" x14ac:dyDescent="0.25">
      <c r="A4366" t="s">
        <v>47</v>
      </c>
      <c r="B4366" t="s">
        <v>4</v>
      </c>
    </row>
    <row r="4367" spans="1:2" x14ac:dyDescent="0.25">
      <c r="A4367" t="s">
        <v>48</v>
      </c>
      <c r="B4367" t="s">
        <v>4</v>
      </c>
    </row>
    <row r="4368" spans="1:2" x14ac:dyDescent="0.25">
      <c r="A4368" t="s">
        <v>49</v>
      </c>
      <c r="B4368" t="s">
        <v>4</v>
      </c>
    </row>
    <row r="4369" spans="1:2" x14ac:dyDescent="0.25">
      <c r="A4369" t="s">
        <v>50</v>
      </c>
      <c r="B4369" t="s">
        <v>4</v>
      </c>
    </row>
    <row r="4370" spans="1:2" x14ac:dyDescent="0.25">
      <c r="A4370" t="s">
        <v>51</v>
      </c>
      <c r="B4370" t="s">
        <v>4</v>
      </c>
    </row>
    <row r="4371" spans="1:2" x14ac:dyDescent="0.25">
      <c r="A4371" t="s">
        <v>52</v>
      </c>
      <c r="B4371" t="s">
        <v>4</v>
      </c>
    </row>
    <row r="4372" spans="1:2" x14ac:dyDescent="0.25">
      <c r="A4372" t="s">
        <v>53</v>
      </c>
      <c r="B4372">
        <v>4.8099999999999996</v>
      </c>
    </row>
    <row r="4373" spans="1:2" x14ac:dyDescent="0.25">
      <c r="A4373" t="s">
        <v>54</v>
      </c>
      <c r="B4373" t="s">
        <v>4</v>
      </c>
    </row>
    <row r="4374" spans="1:2" x14ac:dyDescent="0.25">
      <c r="A4374" t="s">
        <v>55</v>
      </c>
      <c r="B4374">
        <v>7.21</v>
      </c>
    </row>
    <row r="4375" spans="1:2" x14ac:dyDescent="0.25">
      <c r="A4375" t="s">
        <v>56</v>
      </c>
      <c r="B4375" t="s">
        <v>4</v>
      </c>
    </row>
    <row r="4376" spans="1:2" x14ac:dyDescent="0.25">
      <c r="A4376" t="s">
        <v>57</v>
      </c>
      <c r="B4376" t="s">
        <v>4</v>
      </c>
    </row>
    <row r="4377" spans="1:2" x14ac:dyDescent="0.25">
      <c r="A4377" t="s">
        <v>58</v>
      </c>
      <c r="B4377" t="s">
        <v>4</v>
      </c>
    </row>
    <row r="4378" spans="1:2" x14ac:dyDescent="0.25">
      <c r="A4378" t="s">
        <v>59</v>
      </c>
      <c r="B4378" t="s">
        <v>4</v>
      </c>
    </row>
    <row r="4379" spans="1:2" x14ac:dyDescent="0.25">
      <c r="A4379" t="s">
        <v>60</v>
      </c>
      <c r="B4379" t="s">
        <v>4</v>
      </c>
    </row>
    <row r="4380" spans="1:2" x14ac:dyDescent="0.25">
      <c r="A4380" t="s">
        <v>61</v>
      </c>
      <c r="B4380" t="s">
        <v>4</v>
      </c>
    </row>
    <row r="4381" spans="1:2" x14ac:dyDescent="0.25">
      <c r="A4381" t="s">
        <v>62</v>
      </c>
      <c r="B4381" t="s">
        <v>4</v>
      </c>
    </row>
    <row r="4382" spans="1:2" x14ac:dyDescent="0.25">
      <c r="A4382" t="s">
        <v>63</v>
      </c>
      <c r="B4382">
        <v>11.03</v>
      </c>
    </row>
    <row r="4383" spans="1:2" x14ac:dyDescent="0.25">
      <c r="A4383" t="s">
        <v>64</v>
      </c>
      <c r="B4383">
        <v>9.1</v>
      </c>
    </row>
    <row r="4384" spans="1:2" x14ac:dyDescent="0.25">
      <c r="A4384" t="s">
        <v>65</v>
      </c>
      <c r="B4384" t="s">
        <v>4</v>
      </c>
    </row>
    <row r="4385" spans="1:2" x14ac:dyDescent="0.25">
      <c r="A4385" t="s">
        <v>66</v>
      </c>
      <c r="B4385" t="s">
        <v>4</v>
      </c>
    </row>
    <row r="4386" spans="1:2" x14ac:dyDescent="0.25">
      <c r="A4386" t="s">
        <v>67</v>
      </c>
      <c r="B4386">
        <v>8</v>
      </c>
    </row>
    <row r="4387" spans="1:2" x14ac:dyDescent="0.25">
      <c r="A4387" t="s">
        <v>68</v>
      </c>
      <c r="B4387">
        <v>6.38</v>
      </c>
    </row>
    <row r="4388" spans="1:2" x14ac:dyDescent="0.25">
      <c r="A4388" t="s">
        <v>69</v>
      </c>
      <c r="B4388" t="s">
        <v>4</v>
      </c>
    </row>
    <row r="4389" spans="1:2" x14ac:dyDescent="0.25">
      <c r="A4389" t="s">
        <v>70</v>
      </c>
      <c r="B4389">
        <v>5.01</v>
      </c>
    </row>
    <row r="4390" spans="1:2" x14ac:dyDescent="0.25">
      <c r="A4390" t="s">
        <v>71</v>
      </c>
      <c r="B4390">
        <v>8.24</v>
      </c>
    </row>
    <row r="4391" spans="1:2" x14ac:dyDescent="0.25">
      <c r="A4391" t="s">
        <v>72</v>
      </c>
      <c r="B4391">
        <v>4.88</v>
      </c>
    </row>
    <row r="4392" spans="1:2" x14ac:dyDescent="0.25">
      <c r="A4392" t="s">
        <v>73</v>
      </c>
      <c r="B4392" t="s">
        <v>4</v>
      </c>
    </row>
    <row r="4393" spans="1:2" x14ac:dyDescent="0.25">
      <c r="A4393" t="s">
        <v>74</v>
      </c>
      <c r="B4393">
        <v>8.23</v>
      </c>
    </row>
    <row r="4394" spans="1:2" x14ac:dyDescent="0.25">
      <c r="A4394" t="s">
        <v>75</v>
      </c>
      <c r="B4394">
        <v>6.71</v>
      </c>
    </row>
    <row r="4395" spans="1:2" x14ac:dyDescent="0.25">
      <c r="A4395" t="s">
        <v>76</v>
      </c>
      <c r="B4395">
        <v>6.82</v>
      </c>
    </row>
    <row r="4396" spans="1:2" x14ac:dyDescent="0.25">
      <c r="A4396" t="s">
        <v>77</v>
      </c>
      <c r="B4396">
        <v>5.18</v>
      </c>
    </row>
    <row r="4397" spans="1:2" x14ac:dyDescent="0.25">
      <c r="A4397" t="s">
        <v>78</v>
      </c>
      <c r="B4397" t="s">
        <v>4</v>
      </c>
    </row>
    <row r="4398" spans="1:2" x14ac:dyDescent="0.25">
      <c r="A4398" t="s">
        <v>79</v>
      </c>
      <c r="B4398" t="s">
        <v>4</v>
      </c>
    </row>
    <row r="4399" spans="1:2" x14ac:dyDescent="0.25">
      <c r="A4399" t="s">
        <v>80</v>
      </c>
      <c r="B4399" t="s">
        <v>4</v>
      </c>
    </row>
    <row r="4400" spans="1:2" x14ac:dyDescent="0.25">
      <c r="A4400" t="s">
        <v>81</v>
      </c>
      <c r="B4400" t="s">
        <v>4</v>
      </c>
    </row>
    <row r="4403" spans="1:2" x14ac:dyDescent="0.25">
      <c r="A4403" t="s">
        <v>0</v>
      </c>
      <c r="B4403" t="s">
        <v>128</v>
      </c>
    </row>
    <row r="4405" spans="1:2" s="1" customFormat="1" x14ac:dyDescent="0.25">
      <c r="A4405" s="1" t="s">
        <v>2</v>
      </c>
      <c r="B4405" s="1" t="s">
        <v>157</v>
      </c>
    </row>
    <row r="4406" spans="1:2" x14ac:dyDescent="0.25">
      <c r="A4406" t="s">
        <v>3</v>
      </c>
      <c r="B4406" t="s">
        <v>4</v>
      </c>
    </row>
    <row r="4407" spans="1:2" x14ac:dyDescent="0.25">
      <c r="A4407" t="s">
        <v>5</v>
      </c>
      <c r="B4407" t="s">
        <v>4</v>
      </c>
    </row>
    <row r="4408" spans="1:2" x14ac:dyDescent="0.25">
      <c r="A4408" t="s">
        <v>6</v>
      </c>
      <c r="B4408" t="s">
        <v>4</v>
      </c>
    </row>
    <row r="4409" spans="1:2" x14ac:dyDescent="0.25">
      <c r="A4409" t="s">
        <v>7</v>
      </c>
      <c r="B4409" t="s">
        <v>4</v>
      </c>
    </row>
    <row r="4410" spans="1:2" x14ac:dyDescent="0.25">
      <c r="A4410" t="s">
        <v>8</v>
      </c>
      <c r="B4410" t="s">
        <v>4</v>
      </c>
    </row>
    <row r="4411" spans="1:2" x14ac:dyDescent="0.25">
      <c r="A4411" t="s">
        <v>9</v>
      </c>
      <c r="B4411" t="s">
        <v>4</v>
      </c>
    </row>
    <row r="4412" spans="1:2" x14ac:dyDescent="0.25">
      <c r="A4412" t="s">
        <v>10</v>
      </c>
      <c r="B4412" t="s">
        <v>4</v>
      </c>
    </row>
    <row r="4413" spans="1:2" x14ac:dyDescent="0.25">
      <c r="A4413" t="s">
        <v>11</v>
      </c>
      <c r="B4413" t="s">
        <v>4</v>
      </c>
    </row>
    <row r="4414" spans="1:2" x14ac:dyDescent="0.25">
      <c r="A4414" t="s">
        <v>12</v>
      </c>
      <c r="B4414" t="s">
        <v>4</v>
      </c>
    </row>
    <row r="4415" spans="1:2" x14ac:dyDescent="0.25">
      <c r="A4415" t="s">
        <v>13</v>
      </c>
      <c r="B4415" t="s">
        <v>4</v>
      </c>
    </row>
    <row r="4416" spans="1:2" x14ac:dyDescent="0.25">
      <c r="A4416" t="s">
        <v>14</v>
      </c>
      <c r="B4416" t="s">
        <v>4</v>
      </c>
    </row>
    <row r="4417" spans="1:2" x14ac:dyDescent="0.25">
      <c r="A4417" t="s">
        <v>15</v>
      </c>
      <c r="B4417" t="s">
        <v>4</v>
      </c>
    </row>
    <row r="4418" spans="1:2" x14ac:dyDescent="0.25">
      <c r="A4418" t="s">
        <v>16</v>
      </c>
      <c r="B4418" t="s">
        <v>4</v>
      </c>
    </row>
    <row r="4419" spans="1:2" x14ac:dyDescent="0.25">
      <c r="A4419" t="s">
        <v>17</v>
      </c>
      <c r="B4419" t="s">
        <v>4</v>
      </c>
    </row>
    <row r="4420" spans="1:2" x14ac:dyDescent="0.25">
      <c r="A4420" t="s">
        <v>18</v>
      </c>
      <c r="B4420" t="s">
        <v>4</v>
      </c>
    </row>
    <row r="4421" spans="1:2" x14ac:dyDescent="0.25">
      <c r="A4421" t="s">
        <v>19</v>
      </c>
      <c r="B4421" t="s">
        <v>4</v>
      </c>
    </row>
    <row r="4422" spans="1:2" x14ac:dyDescent="0.25">
      <c r="A4422" t="s">
        <v>20</v>
      </c>
      <c r="B4422" t="s">
        <v>4</v>
      </c>
    </row>
    <row r="4423" spans="1:2" x14ac:dyDescent="0.25">
      <c r="A4423" t="s">
        <v>21</v>
      </c>
      <c r="B4423" t="s">
        <v>4</v>
      </c>
    </row>
    <row r="4424" spans="1:2" x14ac:dyDescent="0.25">
      <c r="A4424" t="s">
        <v>22</v>
      </c>
      <c r="B4424" t="s">
        <v>4</v>
      </c>
    </row>
    <row r="4425" spans="1:2" x14ac:dyDescent="0.25">
      <c r="A4425" t="s">
        <v>23</v>
      </c>
      <c r="B4425" t="s">
        <v>4</v>
      </c>
    </row>
    <row r="4426" spans="1:2" x14ac:dyDescent="0.25">
      <c r="A4426" t="s">
        <v>24</v>
      </c>
      <c r="B4426" t="s">
        <v>4</v>
      </c>
    </row>
    <row r="4427" spans="1:2" x14ac:dyDescent="0.25">
      <c r="A4427" t="s">
        <v>25</v>
      </c>
      <c r="B4427" t="s">
        <v>4</v>
      </c>
    </row>
    <row r="4428" spans="1:2" x14ac:dyDescent="0.25">
      <c r="A4428" t="s">
        <v>26</v>
      </c>
      <c r="B4428" t="s">
        <v>4</v>
      </c>
    </row>
    <row r="4429" spans="1:2" x14ac:dyDescent="0.25">
      <c r="A4429" t="s">
        <v>27</v>
      </c>
      <c r="B4429" t="s">
        <v>4</v>
      </c>
    </row>
    <row r="4430" spans="1:2" x14ac:dyDescent="0.25">
      <c r="A4430" t="s">
        <v>28</v>
      </c>
      <c r="B4430" t="s">
        <v>4</v>
      </c>
    </row>
    <row r="4431" spans="1:2" x14ac:dyDescent="0.25">
      <c r="A4431" t="s">
        <v>29</v>
      </c>
      <c r="B4431" t="s">
        <v>4</v>
      </c>
    </row>
    <row r="4432" spans="1:2" x14ac:dyDescent="0.25">
      <c r="A4432" t="s">
        <v>30</v>
      </c>
      <c r="B4432" t="s">
        <v>4</v>
      </c>
    </row>
    <row r="4433" spans="1:2" x14ac:dyDescent="0.25">
      <c r="A4433" t="s">
        <v>31</v>
      </c>
      <c r="B4433" t="s">
        <v>4</v>
      </c>
    </row>
    <row r="4434" spans="1:2" x14ac:dyDescent="0.25">
      <c r="A4434" t="s">
        <v>32</v>
      </c>
      <c r="B4434" t="s">
        <v>4</v>
      </c>
    </row>
    <row r="4435" spans="1:2" x14ac:dyDescent="0.25">
      <c r="A4435" t="s">
        <v>33</v>
      </c>
      <c r="B4435" t="s">
        <v>4</v>
      </c>
    </row>
    <row r="4436" spans="1:2" x14ac:dyDescent="0.25">
      <c r="A4436" t="s">
        <v>34</v>
      </c>
      <c r="B4436" t="s">
        <v>4</v>
      </c>
    </row>
    <row r="4437" spans="1:2" x14ac:dyDescent="0.25">
      <c r="A4437" t="s">
        <v>35</v>
      </c>
      <c r="B4437" t="s">
        <v>4</v>
      </c>
    </row>
    <row r="4438" spans="1:2" x14ac:dyDescent="0.25">
      <c r="A4438" t="s">
        <v>36</v>
      </c>
      <c r="B4438" t="s">
        <v>4</v>
      </c>
    </row>
    <row r="4439" spans="1:2" x14ac:dyDescent="0.25">
      <c r="A4439" t="s">
        <v>37</v>
      </c>
      <c r="B4439" t="s">
        <v>4</v>
      </c>
    </row>
    <row r="4440" spans="1:2" x14ac:dyDescent="0.25">
      <c r="A4440" t="s">
        <v>38</v>
      </c>
      <c r="B4440" t="s">
        <v>4</v>
      </c>
    </row>
    <row r="4441" spans="1:2" x14ac:dyDescent="0.25">
      <c r="A4441" t="s">
        <v>39</v>
      </c>
      <c r="B4441" t="s">
        <v>4</v>
      </c>
    </row>
    <row r="4442" spans="1:2" x14ac:dyDescent="0.25">
      <c r="A4442" t="s">
        <v>40</v>
      </c>
      <c r="B4442" t="s">
        <v>4</v>
      </c>
    </row>
    <row r="4443" spans="1:2" x14ac:dyDescent="0.25">
      <c r="A4443" t="s">
        <v>41</v>
      </c>
      <c r="B4443" t="s">
        <v>4</v>
      </c>
    </row>
    <row r="4444" spans="1:2" x14ac:dyDescent="0.25">
      <c r="A4444" t="s">
        <v>42</v>
      </c>
      <c r="B4444" t="s">
        <v>4</v>
      </c>
    </row>
    <row r="4445" spans="1:2" x14ac:dyDescent="0.25">
      <c r="A4445" t="s">
        <v>43</v>
      </c>
      <c r="B4445" t="s">
        <v>4</v>
      </c>
    </row>
    <row r="4446" spans="1:2" x14ac:dyDescent="0.25">
      <c r="A4446" t="s">
        <v>44</v>
      </c>
      <c r="B4446" t="s">
        <v>4</v>
      </c>
    </row>
    <row r="4447" spans="1:2" x14ac:dyDescent="0.25">
      <c r="A4447" t="s">
        <v>45</v>
      </c>
      <c r="B4447" t="s">
        <v>4</v>
      </c>
    </row>
    <row r="4448" spans="1:2" x14ac:dyDescent="0.25">
      <c r="A4448" t="s">
        <v>46</v>
      </c>
      <c r="B4448" t="s">
        <v>4</v>
      </c>
    </row>
    <row r="4449" spans="1:2" x14ac:dyDescent="0.25">
      <c r="A4449" t="s">
        <v>47</v>
      </c>
      <c r="B4449" t="s">
        <v>4</v>
      </c>
    </row>
    <row r="4450" spans="1:2" x14ac:dyDescent="0.25">
      <c r="A4450" t="s">
        <v>48</v>
      </c>
      <c r="B4450" t="s">
        <v>4</v>
      </c>
    </row>
    <row r="4451" spans="1:2" x14ac:dyDescent="0.25">
      <c r="A4451" t="s">
        <v>49</v>
      </c>
      <c r="B4451" t="s">
        <v>4</v>
      </c>
    </row>
    <row r="4452" spans="1:2" x14ac:dyDescent="0.25">
      <c r="A4452" t="s">
        <v>50</v>
      </c>
      <c r="B4452" t="s">
        <v>4</v>
      </c>
    </row>
    <row r="4453" spans="1:2" x14ac:dyDescent="0.25">
      <c r="A4453" t="s">
        <v>51</v>
      </c>
      <c r="B4453" t="s">
        <v>4</v>
      </c>
    </row>
    <row r="4454" spans="1:2" x14ac:dyDescent="0.25">
      <c r="A4454" t="s">
        <v>52</v>
      </c>
      <c r="B4454" t="s">
        <v>4</v>
      </c>
    </row>
    <row r="4455" spans="1:2" x14ac:dyDescent="0.25">
      <c r="A4455" t="s">
        <v>53</v>
      </c>
      <c r="B4455" t="s">
        <v>4</v>
      </c>
    </row>
    <row r="4456" spans="1:2" x14ac:dyDescent="0.25">
      <c r="A4456" t="s">
        <v>54</v>
      </c>
      <c r="B4456" t="s">
        <v>4</v>
      </c>
    </row>
    <row r="4457" spans="1:2" x14ac:dyDescent="0.25">
      <c r="A4457" t="s">
        <v>55</v>
      </c>
      <c r="B4457" t="s">
        <v>4</v>
      </c>
    </row>
    <row r="4458" spans="1:2" x14ac:dyDescent="0.25">
      <c r="A4458" t="s">
        <v>56</v>
      </c>
      <c r="B4458" t="s">
        <v>4</v>
      </c>
    </row>
    <row r="4459" spans="1:2" x14ac:dyDescent="0.25">
      <c r="A4459" t="s">
        <v>57</v>
      </c>
      <c r="B4459" t="s">
        <v>4</v>
      </c>
    </row>
    <row r="4460" spans="1:2" x14ac:dyDescent="0.25">
      <c r="A4460" t="s">
        <v>58</v>
      </c>
      <c r="B4460" t="s">
        <v>4</v>
      </c>
    </row>
    <row r="4461" spans="1:2" x14ac:dyDescent="0.25">
      <c r="A4461" t="s">
        <v>59</v>
      </c>
      <c r="B4461" t="s">
        <v>4</v>
      </c>
    </row>
    <row r="4462" spans="1:2" x14ac:dyDescent="0.25">
      <c r="A4462" t="s">
        <v>60</v>
      </c>
      <c r="B4462" t="s">
        <v>4</v>
      </c>
    </row>
    <row r="4463" spans="1:2" x14ac:dyDescent="0.25">
      <c r="A4463" t="s">
        <v>61</v>
      </c>
      <c r="B4463" t="s">
        <v>4</v>
      </c>
    </row>
    <row r="4464" spans="1:2" x14ac:dyDescent="0.25">
      <c r="A4464" t="s">
        <v>62</v>
      </c>
      <c r="B4464" t="s">
        <v>4</v>
      </c>
    </row>
    <row r="4465" spans="1:2" x14ac:dyDescent="0.25">
      <c r="A4465" t="s">
        <v>63</v>
      </c>
      <c r="B4465" t="s">
        <v>4</v>
      </c>
    </row>
    <row r="4466" spans="1:2" x14ac:dyDescent="0.25">
      <c r="A4466" t="s">
        <v>64</v>
      </c>
      <c r="B4466" t="s">
        <v>4</v>
      </c>
    </row>
    <row r="4467" spans="1:2" x14ac:dyDescent="0.25">
      <c r="A4467" t="s">
        <v>65</v>
      </c>
      <c r="B4467" t="s">
        <v>4</v>
      </c>
    </row>
    <row r="4468" spans="1:2" x14ac:dyDescent="0.25">
      <c r="A4468" t="s">
        <v>66</v>
      </c>
      <c r="B4468" t="s">
        <v>4</v>
      </c>
    </row>
    <row r="4469" spans="1:2" x14ac:dyDescent="0.25">
      <c r="A4469" t="s">
        <v>67</v>
      </c>
      <c r="B4469" t="s">
        <v>4</v>
      </c>
    </row>
    <row r="4470" spans="1:2" x14ac:dyDescent="0.25">
      <c r="A4470" t="s">
        <v>68</v>
      </c>
      <c r="B4470" t="s">
        <v>4</v>
      </c>
    </row>
    <row r="4471" spans="1:2" x14ac:dyDescent="0.25">
      <c r="A4471" t="s">
        <v>69</v>
      </c>
      <c r="B4471" t="s">
        <v>4</v>
      </c>
    </row>
    <row r="4472" spans="1:2" x14ac:dyDescent="0.25">
      <c r="A4472" t="s">
        <v>70</v>
      </c>
      <c r="B4472" t="s">
        <v>4</v>
      </c>
    </row>
    <row r="4473" spans="1:2" x14ac:dyDescent="0.25">
      <c r="A4473" t="s">
        <v>71</v>
      </c>
      <c r="B4473" t="s">
        <v>4</v>
      </c>
    </row>
    <row r="4474" spans="1:2" x14ac:dyDescent="0.25">
      <c r="A4474" t="s">
        <v>72</v>
      </c>
      <c r="B4474" t="s">
        <v>4</v>
      </c>
    </row>
    <row r="4475" spans="1:2" x14ac:dyDescent="0.25">
      <c r="A4475" t="s">
        <v>73</v>
      </c>
      <c r="B4475" t="s">
        <v>4</v>
      </c>
    </row>
    <row r="4476" spans="1:2" x14ac:dyDescent="0.25">
      <c r="A4476" t="s">
        <v>74</v>
      </c>
      <c r="B4476" t="s">
        <v>4</v>
      </c>
    </row>
    <row r="4477" spans="1:2" x14ac:dyDescent="0.25">
      <c r="A4477" t="s">
        <v>75</v>
      </c>
      <c r="B4477" t="s">
        <v>4</v>
      </c>
    </row>
    <row r="4478" spans="1:2" x14ac:dyDescent="0.25">
      <c r="A4478" t="s">
        <v>76</v>
      </c>
      <c r="B4478" t="s">
        <v>4</v>
      </c>
    </row>
    <row r="4479" spans="1:2" x14ac:dyDescent="0.25">
      <c r="A4479" t="s">
        <v>77</v>
      </c>
      <c r="B4479" t="s">
        <v>4</v>
      </c>
    </row>
    <row r="4480" spans="1:2" x14ac:dyDescent="0.25">
      <c r="A4480" t="s">
        <v>78</v>
      </c>
      <c r="B4480" t="s">
        <v>4</v>
      </c>
    </row>
    <row r="4481" spans="1:2" x14ac:dyDescent="0.25">
      <c r="A4481" t="s">
        <v>79</v>
      </c>
      <c r="B4481" t="s">
        <v>4</v>
      </c>
    </row>
    <row r="4482" spans="1:2" x14ac:dyDescent="0.25">
      <c r="A4482" t="s">
        <v>80</v>
      </c>
      <c r="B4482" t="s">
        <v>4</v>
      </c>
    </row>
    <row r="4483" spans="1:2" x14ac:dyDescent="0.25">
      <c r="A4483" t="s">
        <v>81</v>
      </c>
      <c r="B4483" t="s">
        <v>4</v>
      </c>
    </row>
    <row r="4486" spans="1:2" x14ac:dyDescent="0.25">
      <c r="A4486" t="s">
        <v>0</v>
      </c>
      <c r="B4486" t="s">
        <v>129</v>
      </c>
    </row>
    <row r="4488" spans="1:2" s="1" customFormat="1" x14ac:dyDescent="0.25">
      <c r="A4488" s="1" t="s">
        <v>2</v>
      </c>
      <c r="B4488" s="1" t="s">
        <v>157</v>
      </c>
    </row>
    <row r="4489" spans="1:2" x14ac:dyDescent="0.25">
      <c r="A4489" t="s">
        <v>3</v>
      </c>
      <c r="B4489" t="s">
        <v>4</v>
      </c>
    </row>
    <row r="4490" spans="1:2" x14ac:dyDescent="0.25">
      <c r="A4490" t="s">
        <v>5</v>
      </c>
      <c r="B4490" t="s">
        <v>4</v>
      </c>
    </row>
    <row r="4491" spans="1:2" x14ac:dyDescent="0.25">
      <c r="A4491" t="s">
        <v>6</v>
      </c>
      <c r="B4491" t="s">
        <v>4</v>
      </c>
    </row>
    <row r="4492" spans="1:2" x14ac:dyDescent="0.25">
      <c r="A4492" t="s">
        <v>7</v>
      </c>
      <c r="B4492" t="s">
        <v>4</v>
      </c>
    </row>
    <row r="4493" spans="1:2" x14ac:dyDescent="0.25">
      <c r="A4493" t="s">
        <v>8</v>
      </c>
      <c r="B4493" t="s">
        <v>4</v>
      </c>
    </row>
    <row r="4494" spans="1:2" x14ac:dyDescent="0.25">
      <c r="A4494" t="s">
        <v>9</v>
      </c>
      <c r="B4494" t="s">
        <v>4</v>
      </c>
    </row>
    <row r="4495" spans="1:2" x14ac:dyDescent="0.25">
      <c r="A4495" t="s">
        <v>10</v>
      </c>
      <c r="B4495" t="s">
        <v>4</v>
      </c>
    </row>
    <row r="4496" spans="1:2" x14ac:dyDescent="0.25">
      <c r="A4496" t="s">
        <v>11</v>
      </c>
      <c r="B4496" t="s">
        <v>4</v>
      </c>
    </row>
    <row r="4497" spans="1:2" x14ac:dyDescent="0.25">
      <c r="A4497" t="s">
        <v>12</v>
      </c>
      <c r="B4497" t="s">
        <v>4</v>
      </c>
    </row>
    <row r="4498" spans="1:2" x14ac:dyDescent="0.25">
      <c r="A4498" t="s">
        <v>13</v>
      </c>
      <c r="B4498" t="s">
        <v>4</v>
      </c>
    </row>
    <row r="4499" spans="1:2" x14ac:dyDescent="0.25">
      <c r="A4499" t="s">
        <v>14</v>
      </c>
      <c r="B4499" t="s">
        <v>4</v>
      </c>
    </row>
    <row r="4500" spans="1:2" x14ac:dyDescent="0.25">
      <c r="A4500" t="s">
        <v>15</v>
      </c>
      <c r="B4500" t="s">
        <v>4</v>
      </c>
    </row>
    <row r="4501" spans="1:2" x14ac:dyDescent="0.25">
      <c r="A4501" t="s">
        <v>16</v>
      </c>
      <c r="B4501" t="s">
        <v>4</v>
      </c>
    </row>
    <row r="4502" spans="1:2" x14ac:dyDescent="0.25">
      <c r="A4502" t="s">
        <v>17</v>
      </c>
      <c r="B4502" t="s">
        <v>4</v>
      </c>
    </row>
    <row r="4503" spans="1:2" x14ac:dyDescent="0.25">
      <c r="A4503" t="s">
        <v>18</v>
      </c>
      <c r="B4503" t="s">
        <v>4</v>
      </c>
    </row>
    <row r="4504" spans="1:2" x14ac:dyDescent="0.25">
      <c r="A4504" t="s">
        <v>19</v>
      </c>
      <c r="B4504" t="s">
        <v>4</v>
      </c>
    </row>
    <row r="4505" spans="1:2" x14ac:dyDescent="0.25">
      <c r="A4505" t="s">
        <v>20</v>
      </c>
      <c r="B4505" t="s">
        <v>4</v>
      </c>
    </row>
    <row r="4506" spans="1:2" x14ac:dyDescent="0.25">
      <c r="A4506" t="s">
        <v>21</v>
      </c>
      <c r="B4506" t="s">
        <v>4</v>
      </c>
    </row>
    <row r="4507" spans="1:2" x14ac:dyDescent="0.25">
      <c r="A4507" t="s">
        <v>22</v>
      </c>
      <c r="B4507" t="s">
        <v>4</v>
      </c>
    </row>
    <row r="4508" spans="1:2" x14ac:dyDescent="0.25">
      <c r="A4508" t="s">
        <v>23</v>
      </c>
      <c r="B4508" t="s">
        <v>4</v>
      </c>
    </row>
    <row r="4509" spans="1:2" x14ac:dyDescent="0.25">
      <c r="A4509" t="s">
        <v>24</v>
      </c>
      <c r="B4509" t="s">
        <v>4</v>
      </c>
    </row>
    <row r="4510" spans="1:2" x14ac:dyDescent="0.25">
      <c r="A4510" t="s">
        <v>25</v>
      </c>
      <c r="B4510" t="s">
        <v>4</v>
      </c>
    </row>
    <row r="4511" spans="1:2" x14ac:dyDescent="0.25">
      <c r="A4511" t="s">
        <v>26</v>
      </c>
      <c r="B4511" t="s">
        <v>4</v>
      </c>
    </row>
    <row r="4512" spans="1:2" x14ac:dyDescent="0.25">
      <c r="A4512" t="s">
        <v>27</v>
      </c>
      <c r="B4512" t="s">
        <v>4</v>
      </c>
    </row>
    <row r="4513" spans="1:2" x14ac:dyDescent="0.25">
      <c r="A4513" t="s">
        <v>28</v>
      </c>
      <c r="B4513" t="s">
        <v>4</v>
      </c>
    </row>
    <row r="4514" spans="1:2" x14ac:dyDescent="0.25">
      <c r="A4514" t="s">
        <v>29</v>
      </c>
      <c r="B4514" t="s">
        <v>4</v>
      </c>
    </row>
    <row r="4515" spans="1:2" x14ac:dyDescent="0.25">
      <c r="A4515" t="s">
        <v>30</v>
      </c>
      <c r="B4515" t="s">
        <v>4</v>
      </c>
    </row>
    <row r="4516" spans="1:2" x14ac:dyDescent="0.25">
      <c r="A4516" t="s">
        <v>31</v>
      </c>
      <c r="B4516" t="s">
        <v>4</v>
      </c>
    </row>
    <row r="4517" spans="1:2" x14ac:dyDescent="0.25">
      <c r="A4517" t="s">
        <v>32</v>
      </c>
      <c r="B4517" t="s">
        <v>4</v>
      </c>
    </row>
    <row r="4518" spans="1:2" x14ac:dyDescent="0.25">
      <c r="A4518" t="s">
        <v>33</v>
      </c>
      <c r="B4518" t="s">
        <v>4</v>
      </c>
    </row>
    <row r="4519" spans="1:2" x14ac:dyDescent="0.25">
      <c r="A4519" t="s">
        <v>34</v>
      </c>
      <c r="B4519" t="s">
        <v>4</v>
      </c>
    </row>
    <row r="4520" spans="1:2" x14ac:dyDescent="0.25">
      <c r="A4520" t="s">
        <v>35</v>
      </c>
      <c r="B4520" t="s">
        <v>4</v>
      </c>
    </row>
    <row r="4521" spans="1:2" x14ac:dyDescent="0.25">
      <c r="A4521" t="s">
        <v>36</v>
      </c>
      <c r="B4521" t="s">
        <v>4</v>
      </c>
    </row>
    <row r="4522" spans="1:2" x14ac:dyDescent="0.25">
      <c r="A4522" t="s">
        <v>37</v>
      </c>
      <c r="B4522" t="s">
        <v>4</v>
      </c>
    </row>
    <row r="4523" spans="1:2" x14ac:dyDescent="0.25">
      <c r="A4523" t="s">
        <v>38</v>
      </c>
      <c r="B4523" t="s">
        <v>4</v>
      </c>
    </row>
    <row r="4524" spans="1:2" x14ac:dyDescent="0.25">
      <c r="A4524" t="s">
        <v>39</v>
      </c>
      <c r="B4524" t="s">
        <v>4</v>
      </c>
    </row>
    <row r="4525" spans="1:2" x14ac:dyDescent="0.25">
      <c r="A4525" t="s">
        <v>40</v>
      </c>
      <c r="B4525" t="s">
        <v>4</v>
      </c>
    </row>
    <row r="4526" spans="1:2" x14ac:dyDescent="0.25">
      <c r="A4526" t="s">
        <v>41</v>
      </c>
      <c r="B4526" t="s">
        <v>4</v>
      </c>
    </row>
    <row r="4527" spans="1:2" x14ac:dyDescent="0.25">
      <c r="A4527" t="s">
        <v>42</v>
      </c>
      <c r="B4527" t="s">
        <v>4</v>
      </c>
    </row>
    <row r="4528" spans="1:2" x14ac:dyDescent="0.25">
      <c r="A4528" t="s">
        <v>43</v>
      </c>
      <c r="B4528" t="s">
        <v>4</v>
      </c>
    </row>
    <row r="4529" spans="1:2" x14ac:dyDescent="0.25">
      <c r="A4529" t="s">
        <v>44</v>
      </c>
      <c r="B4529" t="s">
        <v>4</v>
      </c>
    </row>
    <row r="4530" spans="1:2" x14ac:dyDescent="0.25">
      <c r="A4530" t="s">
        <v>45</v>
      </c>
      <c r="B4530" t="s">
        <v>4</v>
      </c>
    </row>
    <row r="4531" spans="1:2" x14ac:dyDescent="0.25">
      <c r="A4531" t="s">
        <v>46</v>
      </c>
      <c r="B4531" t="s">
        <v>4</v>
      </c>
    </row>
    <row r="4532" spans="1:2" x14ac:dyDescent="0.25">
      <c r="A4532" t="s">
        <v>47</v>
      </c>
      <c r="B4532" t="s">
        <v>4</v>
      </c>
    </row>
    <row r="4533" spans="1:2" x14ac:dyDescent="0.25">
      <c r="A4533" t="s">
        <v>48</v>
      </c>
      <c r="B4533" t="s">
        <v>4</v>
      </c>
    </row>
    <row r="4534" spans="1:2" x14ac:dyDescent="0.25">
      <c r="A4534" t="s">
        <v>49</v>
      </c>
      <c r="B4534" t="s">
        <v>4</v>
      </c>
    </row>
    <row r="4535" spans="1:2" x14ac:dyDescent="0.25">
      <c r="A4535" t="s">
        <v>50</v>
      </c>
      <c r="B4535" t="s">
        <v>4</v>
      </c>
    </row>
    <row r="4536" spans="1:2" x14ac:dyDescent="0.25">
      <c r="A4536" t="s">
        <v>51</v>
      </c>
      <c r="B4536" t="s">
        <v>4</v>
      </c>
    </row>
    <row r="4537" spans="1:2" x14ac:dyDescent="0.25">
      <c r="A4537" t="s">
        <v>52</v>
      </c>
      <c r="B4537" t="s">
        <v>4</v>
      </c>
    </row>
    <row r="4538" spans="1:2" x14ac:dyDescent="0.25">
      <c r="A4538" t="s">
        <v>53</v>
      </c>
      <c r="B4538" t="s">
        <v>4</v>
      </c>
    </row>
    <row r="4539" spans="1:2" x14ac:dyDescent="0.25">
      <c r="A4539" t="s">
        <v>54</v>
      </c>
      <c r="B4539" t="s">
        <v>4</v>
      </c>
    </row>
    <row r="4540" spans="1:2" x14ac:dyDescent="0.25">
      <c r="A4540" t="s">
        <v>55</v>
      </c>
      <c r="B4540" t="s">
        <v>4</v>
      </c>
    </row>
    <row r="4541" spans="1:2" x14ac:dyDescent="0.25">
      <c r="A4541" t="s">
        <v>56</v>
      </c>
      <c r="B4541" t="s">
        <v>4</v>
      </c>
    </row>
    <row r="4542" spans="1:2" x14ac:dyDescent="0.25">
      <c r="A4542" t="s">
        <v>57</v>
      </c>
      <c r="B4542" t="s">
        <v>4</v>
      </c>
    </row>
    <row r="4543" spans="1:2" x14ac:dyDescent="0.25">
      <c r="A4543" t="s">
        <v>58</v>
      </c>
      <c r="B4543" t="s">
        <v>4</v>
      </c>
    </row>
    <row r="4544" spans="1:2" x14ac:dyDescent="0.25">
      <c r="A4544" t="s">
        <v>59</v>
      </c>
      <c r="B4544" t="s">
        <v>4</v>
      </c>
    </row>
    <row r="4545" spans="1:2" x14ac:dyDescent="0.25">
      <c r="A4545" t="s">
        <v>60</v>
      </c>
      <c r="B4545" t="s">
        <v>4</v>
      </c>
    </row>
    <row r="4546" spans="1:2" x14ac:dyDescent="0.25">
      <c r="A4546" t="s">
        <v>61</v>
      </c>
      <c r="B4546" t="s">
        <v>4</v>
      </c>
    </row>
    <row r="4547" spans="1:2" x14ac:dyDescent="0.25">
      <c r="A4547" t="s">
        <v>62</v>
      </c>
      <c r="B4547" t="s">
        <v>4</v>
      </c>
    </row>
    <row r="4548" spans="1:2" x14ac:dyDescent="0.25">
      <c r="A4548" t="s">
        <v>63</v>
      </c>
      <c r="B4548" t="s">
        <v>4</v>
      </c>
    </row>
    <row r="4549" spans="1:2" x14ac:dyDescent="0.25">
      <c r="A4549" t="s">
        <v>64</v>
      </c>
      <c r="B4549" t="s">
        <v>4</v>
      </c>
    </row>
    <row r="4550" spans="1:2" x14ac:dyDescent="0.25">
      <c r="A4550" t="s">
        <v>65</v>
      </c>
      <c r="B4550" t="s">
        <v>4</v>
      </c>
    </row>
    <row r="4551" spans="1:2" x14ac:dyDescent="0.25">
      <c r="A4551" t="s">
        <v>66</v>
      </c>
      <c r="B4551" t="s">
        <v>4</v>
      </c>
    </row>
    <row r="4552" spans="1:2" x14ac:dyDescent="0.25">
      <c r="A4552" t="s">
        <v>67</v>
      </c>
      <c r="B4552" t="s">
        <v>4</v>
      </c>
    </row>
    <row r="4553" spans="1:2" x14ac:dyDescent="0.25">
      <c r="A4553" t="s">
        <v>68</v>
      </c>
      <c r="B4553" t="s">
        <v>4</v>
      </c>
    </row>
    <row r="4554" spans="1:2" x14ac:dyDescent="0.25">
      <c r="A4554" t="s">
        <v>69</v>
      </c>
      <c r="B4554" t="s">
        <v>4</v>
      </c>
    </row>
    <row r="4555" spans="1:2" x14ac:dyDescent="0.25">
      <c r="A4555" t="s">
        <v>70</v>
      </c>
      <c r="B4555" t="s">
        <v>4</v>
      </c>
    </row>
    <row r="4556" spans="1:2" x14ac:dyDescent="0.25">
      <c r="A4556" t="s">
        <v>71</v>
      </c>
      <c r="B4556" t="s">
        <v>4</v>
      </c>
    </row>
    <row r="4557" spans="1:2" x14ac:dyDescent="0.25">
      <c r="A4557" t="s">
        <v>72</v>
      </c>
      <c r="B4557" t="s">
        <v>4</v>
      </c>
    </row>
    <row r="4558" spans="1:2" x14ac:dyDescent="0.25">
      <c r="A4558" t="s">
        <v>73</v>
      </c>
      <c r="B4558" t="s">
        <v>4</v>
      </c>
    </row>
    <row r="4559" spans="1:2" x14ac:dyDescent="0.25">
      <c r="A4559" t="s">
        <v>74</v>
      </c>
      <c r="B4559" t="s">
        <v>4</v>
      </c>
    </row>
    <row r="4560" spans="1:2" x14ac:dyDescent="0.25">
      <c r="A4560" t="s">
        <v>75</v>
      </c>
      <c r="B4560" t="s">
        <v>4</v>
      </c>
    </row>
    <row r="4561" spans="1:2" x14ac:dyDescent="0.25">
      <c r="A4561" t="s">
        <v>76</v>
      </c>
      <c r="B4561" t="s">
        <v>4</v>
      </c>
    </row>
    <row r="4562" spans="1:2" x14ac:dyDescent="0.25">
      <c r="A4562" t="s">
        <v>77</v>
      </c>
      <c r="B4562" t="s">
        <v>4</v>
      </c>
    </row>
    <row r="4563" spans="1:2" x14ac:dyDescent="0.25">
      <c r="A4563" t="s">
        <v>78</v>
      </c>
      <c r="B4563" t="s">
        <v>4</v>
      </c>
    </row>
    <row r="4564" spans="1:2" x14ac:dyDescent="0.25">
      <c r="A4564" t="s">
        <v>79</v>
      </c>
      <c r="B4564" t="s">
        <v>4</v>
      </c>
    </row>
    <row r="4565" spans="1:2" x14ac:dyDescent="0.25">
      <c r="A4565" t="s">
        <v>80</v>
      </c>
      <c r="B4565" t="s">
        <v>4</v>
      </c>
    </row>
    <row r="4566" spans="1:2" x14ac:dyDescent="0.25">
      <c r="A4566" t="s">
        <v>81</v>
      </c>
      <c r="B4566" t="s">
        <v>4</v>
      </c>
    </row>
    <row r="4569" spans="1:2" x14ac:dyDescent="0.25">
      <c r="A4569" t="s">
        <v>0</v>
      </c>
      <c r="B4569" t="s">
        <v>130</v>
      </c>
    </row>
    <row r="4571" spans="1:2" s="1" customFormat="1" x14ac:dyDescent="0.25">
      <c r="A4571" s="1" t="s">
        <v>2</v>
      </c>
      <c r="B4571" s="1" t="s">
        <v>157</v>
      </c>
    </row>
    <row r="4572" spans="1:2" x14ac:dyDescent="0.25">
      <c r="A4572" t="s">
        <v>3</v>
      </c>
      <c r="B4572" t="s">
        <v>4</v>
      </c>
    </row>
    <row r="4573" spans="1:2" x14ac:dyDescent="0.25">
      <c r="A4573" t="s">
        <v>5</v>
      </c>
      <c r="B4573" t="s">
        <v>4</v>
      </c>
    </row>
    <row r="4574" spans="1:2" x14ac:dyDescent="0.25">
      <c r="A4574" t="s">
        <v>6</v>
      </c>
      <c r="B4574" t="s">
        <v>4</v>
      </c>
    </row>
    <row r="4575" spans="1:2" x14ac:dyDescent="0.25">
      <c r="A4575" t="s">
        <v>7</v>
      </c>
      <c r="B4575" t="s">
        <v>4</v>
      </c>
    </row>
    <row r="4576" spans="1:2" x14ac:dyDescent="0.25">
      <c r="A4576" t="s">
        <v>8</v>
      </c>
      <c r="B4576">
        <v>3870.35</v>
      </c>
    </row>
    <row r="4577" spans="1:2" x14ac:dyDescent="0.25">
      <c r="A4577" t="s">
        <v>9</v>
      </c>
      <c r="B4577">
        <v>481.06</v>
      </c>
    </row>
    <row r="4578" spans="1:2" x14ac:dyDescent="0.25">
      <c r="A4578" t="s">
        <v>10</v>
      </c>
      <c r="B4578">
        <v>3.59</v>
      </c>
    </row>
    <row r="4579" spans="1:2" x14ac:dyDescent="0.25">
      <c r="A4579" t="s">
        <v>11</v>
      </c>
      <c r="B4579" t="s">
        <v>4</v>
      </c>
    </row>
    <row r="4580" spans="1:2" x14ac:dyDescent="0.25">
      <c r="A4580" t="s">
        <v>12</v>
      </c>
      <c r="B4580" t="s">
        <v>4</v>
      </c>
    </row>
    <row r="4581" spans="1:2" x14ac:dyDescent="0.25">
      <c r="A4581" t="s">
        <v>13</v>
      </c>
      <c r="B4581" t="s">
        <v>4</v>
      </c>
    </row>
    <row r="4582" spans="1:2" x14ac:dyDescent="0.25">
      <c r="A4582" t="s">
        <v>14</v>
      </c>
      <c r="B4582">
        <v>56.23</v>
      </c>
    </row>
    <row r="4583" spans="1:2" x14ac:dyDescent="0.25">
      <c r="A4583" t="s">
        <v>15</v>
      </c>
      <c r="B4583">
        <v>23.34</v>
      </c>
    </row>
    <row r="4584" spans="1:2" x14ac:dyDescent="0.25">
      <c r="A4584" t="s">
        <v>16</v>
      </c>
      <c r="B4584">
        <v>20.98</v>
      </c>
    </row>
    <row r="4585" spans="1:2" x14ac:dyDescent="0.25">
      <c r="A4585" t="s">
        <v>17</v>
      </c>
      <c r="B4585">
        <v>3992</v>
      </c>
    </row>
    <row r="4586" spans="1:2" x14ac:dyDescent="0.25">
      <c r="A4586" t="s">
        <v>18</v>
      </c>
      <c r="B4586">
        <v>7.11</v>
      </c>
    </row>
    <row r="4587" spans="1:2" x14ac:dyDescent="0.25">
      <c r="A4587" t="s">
        <v>19</v>
      </c>
      <c r="B4587" t="s">
        <v>4</v>
      </c>
    </row>
    <row r="4588" spans="1:2" x14ac:dyDescent="0.25">
      <c r="A4588" t="s">
        <v>20</v>
      </c>
      <c r="B4588" t="s">
        <v>4</v>
      </c>
    </row>
    <row r="4589" spans="1:2" x14ac:dyDescent="0.25">
      <c r="A4589" t="s">
        <v>21</v>
      </c>
      <c r="B4589">
        <v>13.75</v>
      </c>
    </row>
    <row r="4590" spans="1:2" x14ac:dyDescent="0.25">
      <c r="A4590" t="s">
        <v>22</v>
      </c>
      <c r="B4590">
        <v>13.84</v>
      </c>
    </row>
    <row r="4591" spans="1:2" x14ac:dyDescent="0.25">
      <c r="A4591" t="s">
        <v>23</v>
      </c>
      <c r="B4591">
        <v>13.07</v>
      </c>
    </row>
    <row r="4592" spans="1:2" x14ac:dyDescent="0.25">
      <c r="A4592" t="s">
        <v>24</v>
      </c>
      <c r="B4592">
        <v>13.4</v>
      </c>
    </row>
    <row r="4593" spans="1:2" x14ac:dyDescent="0.25">
      <c r="A4593" t="s">
        <v>25</v>
      </c>
      <c r="B4593" t="s">
        <v>4</v>
      </c>
    </row>
    <row r="4594" spans="1:2" x14ac:dyDescent="0.25">
      <c r="A4594" t="s">
        <v>26</v>
      </c>
      <c r="B4594" t="s">
        <v>4</v>
      </c>
    </row>
    <row r="4595" spans="1:2" x14ac:dyDescent="0.25">
      <c r="A4595" t="s">
        <v>27</v>
      </c>
      <c r="B4595" t="s">
        <v>4</v>
      </c>
    </row>
    <row r="4596" spans="1:2" x14ac:dyDescent="0.25">
      <c r="A4596" t="s">
        <v>28</v>
      </c>
      <c r="B4596" t="s">
        <v>4</v>
      </c>
    </row>
    <row r="4597" spans="1:2" x14ac:dyDescent="0.25">
      <c r="A4597" t="s">
        <v>29</v>
      </c>
      <c r="B4597">
        <v>1558.16</v>
      </c>
    </row>
    <row r="4598" spans="1:2" x14ac:dyDescent="0.25">
      <c r="A4598" t="s">
        <v>30</v>
      </c>
      <c r="B4598">
        <v>124.38</v>
      </c>
    </row>
    <row r="4599" spans="1:2" x14ac:dyDescent="0.25">
      <c r="A4599" t="s">
        <v>31</v>
      </c>
      <c r="B4599">
        <v>267.87</v>
      </c>
    </row>
    <row r="4600" spans="1:2" x14ac:dyDescent="0.25">
      <c r="A4600" t="s">
        <v>32</v>
      </c>
      <c r="B4600" t="s">
        <v>4</v>
      </c>
    </row>
    <row r="4601" spans="1:2" x14ac:dyDescent="0.25">
      <c r="A4601" t="s">
        <v>33</v>
      </c>
      <c r="B4601" t="s">
        <v>4</v>
      </c>
    </row>
    <row r="4602" spans="1:2" x14ac:dyDescent="0.25">
      <c r="A4602" t="s">
        <v>34</v>
      </c>
      <c r="B4602" t="s">
        <v>4</v>
      </c>
    </row>
    <row r="4603" spans="1:2" x14ac:dyDescent="0.25">
      <c r="A4603" t="s">
        <v>35</v>
      </c>
      <c r="B4603" t="s">
        <v>4</v>
      </c>
    </row>
    <row r="4604" spans="1:2" x14ac:dyDescent="0.25">
      <c r="A4604" t="s">
        <v>36</v>
      </c>
      <c r="B4604" t="s">
        <v>4</v>
      </c>
    </row>
    <row r="4605" spans="1:2" x14ac:dyDescent="0.25">
      <c r="A4605" t="s">
        <v>37</v>
      </c>
      <c r="B4605" t="s">
        <v>4</v>
      </c>
    </row>
    <row r="4606" spans="1:2" x14ac:dyDescent="0.25">
      <c r="A4606" t="s">
        <v>38</v>
      </c>
      <c r="B4606" t="s">
        <v>4</v>
      </c>
    </row>
    <row r="4607" spans="1:2" x14ac:dyDescent="0.25">
      <c r="A4607" t="s">
        <v>39</v>
      </c>
      <c r="B4607" t="s">
        <v>4</v>
      </c>
    </row>
    <row r="4608" spans="1:2" x14ac:dyDescent="0.25">
      <c r="A4608" t="s">
        <v>40</v>
      </c>
      <c r="B4608" t="s">
        <v>4</v>
      </c>
    </row>
    <row r="4609" spans="1:2" x14ac:dyDescent="0.25">
      <c r="A4609" t="s">
        <v>41</v>
      </c>
      <c r="B4609" t="s">
        <v>4</v>
      </c>
    </row>
    <row r="4610" spans="1:2" x14ac:dyDescent="0.25">
      <c r="A4610" t="s">
        <v>42</v>
      </c>
      <c r="B4610" t="s">
        <v>4</v>
      </c>
    </row>
    <row r="4611" spans="1:2" x14ac:dyDescent="0.25">
      <c r="A4611" t="s">
        <v>43</v>
      </c>
      <c r="B4611" t="s">
        <v>4</v>
      </c>
    </row>
    <row r="4612" spans="1:2" x14ac:dyDescent="0.25">
      <c r="A4612" t="s">
        <v>44</v>
      </c>
      <c r="B4612" t="s">
        <v>4</v>
      </c>
    </row>
    <row r="4613" spans="1:2" x14ac:dyDescent="0.25">
      <c r="A4613" t="s">
        <v>45</v>
      </c>
      <c r="B4613" t="s">
        <v>4</v>
      </c>
    </row>
    <row r="4614" spans="1:2" x14ac:dyDescent="0.25">
      <c r="A4614" t="s">
        <v>46</v>
      </c>
      <c r="B4614" t="s">
        <v>4</v>
      </c>
    </row>
    <row r="4615" spans="1:2" x14ac:dyDescent="0.25">
      <c r="A4615" t="s">
        <v>47</v>
      </c>
      <c r="B4615" t="s">
        <v>4</v>
      </c>
    </row>
    <row r="4616" spans="1:2" x14ac:dyDescent="0.25">
      <c r="A4616" t="s">
        <v>48</v>
      </c>
      <c r="B4616" t="s">
        <v>4</v>
      </c>
    </row>
    <row r="4617" spans="1:2" x14ac:dyDescent="0.25">
      <c r="A4617" t="s">
        <v>49</v>
      </c>
      <c r="B4617" t="s">
        <v>4</v>
      </c>
    </row>
    <row r="4618" spans="1:2" x14ac:dyDescent="0.25">
      <c r="A4618" t="s">
        <v>50</v>
      </c>
      <c r="B4618" t="s">
        <v>4</v>
      </c>
    </row>
    <row r="4619" spans="1:2" x14ac:dyDescent="0.25">
      <c r="A4619" t="s">
        <v>51</v>
      </c>
      <c r="B4619" t="s">
        <v>4</v>
      </c>
    </row>
    <row r="4620" spans="1:2" x14ac:dyDescent="0.25">
      <c r="A4620" t="s">
        <v>52</v>
      </c>
      <c r="B4620" t="s">
        <v>4</v>
      </c>
    </row>
    <row r="4621" spans="1:2" x14ac:dyDescent="0.25">
      <c r="A4621" t="s">
        <v>53</v>
      </c>
      <c r="B4621">
        <v>25.86</v>
      </c>
    </row>
    <row r="4622" spans="1:2" x14ac:dyDescent="0.25">
      <c r="A4622" t="s">
        <v>54</v>
      </c>
      <c r="B4622">
        <v>9.48</v>
      </c>
    </row>
    <row r="4623" spans="1:2" x14ac:dyDescent="0.25">
      <c r="A4623" t="s">
        <v>55</v>
      </c>
      <c r="B4623">
        <v>12.72</v>
      </c>
    </row>
    <row r="4624" spans="1:2" x14ac:dyDescent="0.25">
      <c r="A4624" t="s">
        <v>56</v>
      </c>
      <c r="B4624" t="s">
        <v>4</v>
      </c>
    </row>
    <row r="4625" spans="1:4" x14ac:dyDescent="0.25">
      <c r="A4625" t="s">
        <v>57</v>
      </c>
      <c r="B4625" t="s">
        <v>4</v>
      </c>
    </row>
    <row r="4626" spans="1:4" x14ac:dyDescent="0.25">
      <c r="A4626" t="s">
        <v>58</v>
      </c>
      <c r="B4626">
        <v>13.8</v>
      </c>
    </row>
    <row r="4627" spans="1:4" x14ac:dyDescent="0.25">
      <c r="A4627" t="s">
        <v>59</v>
      </c>
      <c r="B4627">
        <v>55.38</v>
      </c>
    </row>
    <row r="4628" spans="1:4" x14ac:dyDescent="0.25">
      <c r="A4628" t="s">
        <v>60</v>
      </c>
      <c r="B4628">
        <v>18.34</v>
      </c>
    </row>
    <row r="4629" spans="1:4" x14ac:dyDescent="0.25">
      <c r="A4629" t="s">
        <v>61</v>
      </c>
      <c r="B4629">
        <v>16.3</v>
      </c>
    </row>
    <row r="4630" spans="1:4" x14ac:dyDescent="0.25">
      <c r="A4630" t="s">
        <v>62</v>
      </c>
      <c r="B4630">
        <v>39.31</v>
      </c>
    </row>
    <row r="4631" spans="1:4" x14ac:dyDescent="0.25">
      <c r="A4631" t="s">
        <v>63</v>
      </c>
      <c r="B4631">
        <v>89.86</v>
      </c>
    </row>
    <row r="4632" spans="1:4" x14ac:dyDescent="0.25">
      <c r="A4632" t="s">
        <v>64</v>
      </c>
      <c r="B4632">
        <v>68.17</v>
      </c>
    </row>
    <row r="4633" spans="1:4" x14ac:dyDescent="0.25">
      <c r="A4633" t="s">
        <v>65</v>
      </c>
      <c r="B4633">
        <v>20.46</v>
      </c>
    </row>
    <row r="4634" spans="1:4" x14ac:dyDescent="0.25">
      <c r="A4634" t="s">
        <v>66</v>
      </c>
      <c r="B4634" t="s">
        <v>4</v>
      </c>
    </row>
    <row r="4635" spans="1:4" x14ac:dyDescent="0.25">
      <c r="A4635" t="s">
        <v>67</v>
      </c>
      <c r="B4635">
        <v>4781.66</v>
      </c>
    </row>
    <row r="4636" spans="1:4" x14ac:dyDescent="0.25">
      <c r="A4636" t="s">
        <v>68</v>
      </c>
      <c r="B4636" t="s">
        <v>4</v>
      </c>
    </row>
    <row r="4637" spans="1:4" x14ac:dyDescent="0.25">
      <c r="A4637" t="s">
        <v>69</v>
      </c>
      <c r="B4637" s="2">
        <v>10808.87</v>
      </c>
      <c r="D4637" s="2" t="s">
        <v>166</v>
      </c>
    </row>
    <row r="4638" spans="1:4" x14ac:dyDescent="0.25">
      <c r="A4638" t="s">
        <v>70</v>
      </c>
      <c r="B4638">
        <v>34.03</v>
      </c>
      <c r="D4638" s="2" t="s">
        <v>167</v>
      </c>
    </row>
    <row r="4639" spans="1:4" x14ac:dyDescent="0.25">
      <c r="A4639" t="s">
        <v>71</v>
      </c>
      <c r="B4639">
        <v>48.15</v>
      </c>
    </row>
    <row r="4640" spans="1:4" x14ac:dyDescent="0.25">
      <c r="A4640" t="s">
        <v>72</v>
      </c>
      <c r="B4640">
        <v>46.9</v>
      </c>
    </row>
    <row r="4641" spans="1:2" x14ac:dyDescent="0.25">
      <c r="A4641" t="s">
        <v>73</v>
      </c>
      <c r="B4641" t="s">
        <v>4</v>
      </c>
    </row>
    <row r="4642" spans="1:2" x14ac:dyDescent="0.25">
      <c r="A4642" t="s">
        <v>74</v>
      </c>
      <c r="B4642">
        <v>75.66</v>
      </c>
    </row>
    <row r="4643" spans="1:2" x14ac:dyDescent="0.25">
      <c r="A4643" t="s">
        <v>75</v>
      </c>
      <c r="B4643">
        <v>104.59</v>
      </c>
    </row>
    <row r="4644" spans="1:2" x14ac:dyDescent="0.25">
      <c r="A4644" t="s">
        <v>76</v>
      </c>
      <c r="B4644">
        <v>27.99</v>
      </c>
    </row>
    <row r="4645" spans="1:2" x14ac:dyDescent="0.25">
      <c r="A4645" t="s">
        <v>77</v>
      </c>
      <c r="B4645">
        <v>50.68</v>
      </c>
    </row>
    <row r="4646" spans="1:2" x14ac:dyDescent="0.25">
      <c r="A4646" t="s">
        <v>78</v>
      </c>
      <c r="B4646" t="s">
        <v>4</v>
      </c>
    </row>
    <row r="4647" spans="1:2" x14ac:dyDescent="0.25">
      <c r="A4647" t="s">
        <v>79</v>
      </c>
      <c r="B4647" t="s">
        <v>4</v>
      </c>
    </row>
    <row r="4648" spans="1:2" x14ac:dyDescent="0.25">
      <c r="A4648" t="s">
        <v>80</v>
      </c>
      <c r="B4648" t="s">
        <v>4</v>
      </c>
    </row>
    <row r="4649" spans="1:2" x14ac:dyDescent="0.25">
      <c r="A4649" t="s">
        <v>81</v>
      </c>
      <c r="B4649" t="s">
        <v>4</v>
      </c>
    </row>
    <row r="4652" spans="1:2" x14ac:dyDescent="0.25">
      <c r="A4652" t="s">
        <v>0</v>
      </c>
      <c r="B4652" t="s">
        <v>171</v>
      </c>
    </row>
    <row r="4654" spans="1:2" s="1" customFormat="1" x14ac:dyDescent="0.25">
      <c r="A4654" s="1" t="s">
        <v>2</v>
      </c>
      <c r="B4654" s="1" t="s">
        <v>157</v>
      </c>
    </row>
    <row r="4655" spans="1:2" x14ac:dyDescent="0.25">
      <c r="A4655" t="s">
        <v>3</v>
      </c>
      <c r="B4655" t="s">
        <v>4</v>
      </c>
    </row>
    <row r="4656" spans="1:2" x14ac:dyDescent="0.25">
      <c r="A4656" t="s">
        <v>5</v>
      </c>
      <c r="B4656" t="s">
        <v>4</v>
      </c>
    </row>
    <row r="4657" spans="1:2" x14ac:dyDescent="0.25">
      <c r="A4657" t="s">
        <v>6</v>
      </c>
      <c r="B4657" t="s">
        <v>4</v>
      </c>
    </row>
    <row r="4658" spans="1:2" x14ac:dyDescent="0.25">
      <c r="A4658" t="s">
        <v>7</v>
      </c>
      <c r="B4658" t="s">
        <v>4</v>
      </c>
    </row>
    <row r="4659" spans="1:2" x14ac:dyDescent="0.25">
      <c r="A4659" t="s">
        <v>8</v>
      </c>
      <c r="B4659" t="s">
        <v>4</v>
      </c>
    </row>
    <row r="4660" spans="1:2" x14ac:dyDescent="0.25">
      <c r="A4660" t="s">
        <v>9</v>
      </c>
      <c r="B4660" t="s">
        <v>4</v>
      </c>
    </row>
    <row r="4661" spans="1:2" x14ac:dyDescent="0.25">
      <c r="A4661" t="s">
        <v>10</v>
      </c>
      <c r="B4661" t="s">
        <v>4</v>
      </c>
    </row>
    <row r="4662" spans="1:2" x14ac:dyDescent="0.25">
      <c r="A4662" t="s">
        <v>11</v>
      </c>
      <c r="B4662" t="s">
        <v>4</v>
      </c>
    </row>
    <row r="4663" spans="1:2" x14ac:dyDescent="0.25">
      <c r="A4663" t="s">
        <v>12</v>
      </c>
      <c r="B4663" t="s">
        <v>4</v>
      </c>
    </row>
    <row r="4664" spans="1:2" x14ac:dyDescent="0.25">
      <c r="A4664" t="s">
        <v>13</v>
      </c>
      <c r="B4664" t="s">
        <v>4</v>
      </c>
    </row>
    <row r="4665" spans="1:2" x14ac:dyDescent="0.25">
      <c r="A4665" t="s">
        <v>14</v>
      </c>
      <c r="B4665" t="s">
        <v>4</v>
      </c>
    </row>
    <row r="4666" spans="1:2" x14ac:dyDescent="0.25">
      <c r="A4666" t="s">
        <v>15</v>
      </c>
      <c r="B4666" t="s">
        <v>4</v>
      </c>
    </row>
    <row r="4667" spans="1:2" x14ac:dyDescent="0.25">
      <c r="A4667" t="s">
        <v>16</v>
      </c>
      <c r="B4667" t="s">
        <v>4</v>
      </c>
    </row>
    <row r="4668" spans="1:2" x14ac:dyDescent="0.25">
      <c r="A4668" t="s">
        <v>17</v>
      </c>
      <c r="B4668" t="s">
        <v>4</v>
      </c>
    </row>
    <row r="4669" spans="1:2" x14ac:dyDescent="0.25">
      <c r="A4669" t="s">
        <v>18</v>
      </c>
      <c r="B4669" t="s">
        <v>4</v>
      </c>
    </row>
    <row r="4670" spans="1:2" x14ac:dyDescent="0.25">
      <c r="A4670" t="s">
        <v>19</v>
      </c>
      <c r="B4670" t="s">
        <v>4</v>
      </c>
    </row>
    <row r="4671" spans="1:2" x14ac:dyDescent="0.25">
      <c r="A4671" t="s">
        <v>20</v>
      </c>
      <c r="B4671" t="s">
        <v>4</v>
      </c>
    </row>
    <row r="4672" spans="1:2" x14ac:dyDescent="0.25">
      <c r="A4672" t="s">
        <v>21</v>
      </c>
      <c r="B4672" t="s">
        <v>4</v>
      </c>
    </row>
    <row r="4673" spans="1:2" x14ac:dyDescent="0.25">
      <c r="A4673" t="s">
        <v>22</v>
      </c>
      <c r="B4673" t="s">
        <v>4</v>
      </c>
    </row>
    <row r="4674" spans="1:2" x14ac:dyDescent="0.25">
      <c r="A4674" t="s">
        <v>23</v>
      </c>
      <c r="B4674" t="s">
        <v>4</v>
      </c>
    </row>
    <row r="4675" spans="1:2" x14ac:dyDescent="0.25">
      <c r="A4675" t="s">
        <v>24</v>
      </c>
      <c r="B4675" t="s">
        <v>4</v>
      </c>
    </row>
    <row r="4676" spans="1:2" x14ac:dyDescent="0.25">
      <c r="A4676" t="s">
        <v>25</v>
      </c>
      <c r="B4676" t="s">
        <v>4</v>
      </c>
    </row>
    <row r="4677" spans="1:2" x14ac:dyDescent="0.25">
      <c r="A4677" t="s">
        <v>26</v>
      </c>
      <c r="B4677" t="s">
        <v>4</v>
      </c>
    </row>
    <row r="4678" spans="1:2" x14ac:dyDescent="0.25">
      <c r="A4678" t="s">
        <v>27</v>
      </c>
      <c r="B4678" t="s">
        <v>4</v>
      </c>
    </row>
    <row r="4679" spans="1:2" x14ac:dyDescent="0.25">
      <c r="A4679" t="s">
        <v>28</v>
      </c>
      <c r="B4679" t="s">
        <v>4</v>
      </c>
    </row>
    <row r="4680" spans="1:2" x14ac:dyDescent="0.25">
      <c r="A4680" t="s">
        <v>29</v>
      </c>
      <c r="B4680" t="s">
        <v>4</v>
      </c>
    </row>
    <row r="4681" spans="1:2" x14ac:dyDescent="0.25">
      <c r="A4681" t="s">
        <v>30</v>
      </c>
      <c r="B4681" t="s">
        <v>4</v>
      </c>
    </row>
    <row r="4682" spans="1:2" x14ac:dyDescent="0.25">
      <c r="A4682" t="s">
        <v>31</v>
      </c>
      <c r="B4682" t="s">
        <v>4</v>
      </c>
    </row>
    <row r="4683" spans="1:2" x14ac:dyDescent="0.25">
      <c r="A4683" t="s">
        <v>32</v>
      </c>
      <c r="B4683" t="s">
        <v>4</v>
      </c>
    </row>
    <row r="4684" spans="1:2" x14ac:dyDescent="0.25">
      <c r="A4684" t="s">
        <v>33</v>
      </c>
      <c r="B4684" t="s">
        <v>4</v>
      </c>
    </row>
    <row r="4685" spans="1:2" x14ac:dyDescent="0.25">
      <c r="A4685" t="s">
        <v>34</v>
      </c>
      <c r="B4685" t="s">
        <v>4</v>
      </c>
    </row>
    <row r="4686" spans="1:2" x14ac:dyDescent="0.25">
      <c r="A4686" t="s">
        <v>35</v>
      </c>
      <c r="B4686" t="s">
        <v>4</v>
      </c>
    </row>
    <row r="4687" spans="1:2" x14ac:dyDescent="0.25">
      <c r="A4687" t="s">
        <v>36</v>
      </c>
      <c r="B4687" t="s">
        <v>4</v>
      </c>
    </row>
    <row r="4688" spans="1:2" x14ac:dyDescent="0.25">
      <c r="A4688" t="s">
        <v>37</v>
      </c>
      <c r="B4688" t="s">
        <v>4</v>
      </c>
    </row>
    <row r="4689" spans="1:2" x14ac:dyDescent="0.25">
      <c r="A4689" t="s">
        <v>38</v>
      </c>
      <c r="B4689" t="s">
        <v>4</v>
      </c>
    </row>
    <row r="4690" spans="1:2" x14ac:dyDescent="0.25">
      <c r="A4690" t="s">
        <v>39</v>
      </c>
      <c r="B4690" t="s">
        <v>4</v>
      </c>
    </row>
    <row r="4691" spans="1:2" x14ac:dyDescent="0.25">
      <c r="A4691" t="s">
        <v>40</v>
      </c>
      <c r="B4691" t="s">
        <v>4</v>
      </c>
    </row>
    <row r="4692" spans="1:2" x14ac:dyDescent="0.25">
      <c r="A4692" t="s">
        <v>41</v>
      </c>
      <c r="B4692" t="s">
        <v>4</v>
      </c>
    </row>
    <row r="4693" spans="1:2" x14ac:dyDescent="0.25">
      <c r="A4693" t="s">
        <v>42</v>
      </c>
      <c r="B4693" t="s">
        <v>4</v>
      </c>
    </row>
    <row r="4694" spans="1:2" x14ac:dyDescent="0.25">
      <c r="A4694" t="s">
        <v>43</v>
      </c>
      <c r="B4694" t="s">
        <v>4</v>
      </c>
    </row>
    <row r="4695" spans="1:2" x14ac:dyDescent="0.25">
      <c r="A4695" t="s">
        <v>44</v>
      </c>
      <c r="B4695" t="s">
        <v>4</v>
      </c>
    </row>
    <row r="4696" spans="1:2" x14ac:dyDescent="0.25">
      <c r="A4696" t="s">
        <v>45</v>
      </c>
      <c r="B4696" t="s">
        <v>4</v>
      </c>
    </row>
    <row r="4697" spans="1:2" x14ac:dyDescent="0.25">
      <c r="A4697" t="s">
        <v>46</v>
      </c>
      <c r="B4697" t="s">
        <v>4</v>
      </c>
    </row>
    <row r="4698" spans="1:2" x14ac:dyDescent="0.25">
      <c r="A4698" t="s">
        <v>47</v>
      </c>
      <c r="B4698" t="s">
        <v>4</v>
      </c>
    </row>
    <row r="4699" spans="1:2" x14ac:dyDescent="0.25">
      <c r="A4699" t="s">
        <v>48</v>
      </c>
      <c r="B4699" t="s">
        <v>4</v>
      </c>
    </row>
    <row r="4700" spans="1:2" x14ac:dyDescent="0.25">
      <c r="A4700" t="s">
        <v>49</v>
      </c>
      <c r="B4700" t="s">
        <v>4</v>
      </c>
    </row>
    <row r="4701" spans="1:2" x14ac:dyDescent="0.25">
      <c r="A4701" t="s">
        <v>50</v>
      </c>
      <c r="B4701" t="s">
        <v>4</v>
      </c>
    </row>
    <row r="4702" spans="1:2" x14ac:dyDescent="0.25">
      <c r="A4702" t="s">
        <v>51</v>
      </c>
      <c r="B4702" t="s">
        <v>4</v>
      </c>
    </row>
    <row r="4703" spans="1:2" x14ac:dyDescent="0.25">
      <c r="A4703" t="s">
        <v>52</v>
      </c>
      <c r="B4703" t="s">
        <v>4</v>
      </c>
    </row>
    <row r="4704" spans="1:2" x14ac:dyDescent="0.25">
      <c r="A4704" t="s">
        <v>53</v>
      </c>
      <c r="B4704" t="s">
        <v>4</v>
      </c>
    </row>
    <row r="4705" spans="1:2" x14ac:dyDescent="0.25">
      <c r="A4705" t="s">
        <v>54</v>
      </c>
      <c r="B4705" t="s">
        <v>4</v>
      </c>
    </row>
    <row r="4706" spans="1:2" x14ac:dyDescent="0.25">
      <c r="A4706" t="s">
        <v>55</v>
      </c>
      <c r="B4706" t="s">
        <v>4</v>
      </c>
    </row>
    <row r="4707" spans="1:2" x14ac:dyDescent="0.25">
      <c r="A4707" t="s">
        <v>56</v>
      </c>
      <c r="B4707" t="s">
        <v>4</v>
      </c>
    </row>
    <row r="4708" spans="1:2" x14ac:dyDescent="0.25">
      <c r="A4708" t="s">
        <v>57</v>
      </c>
      <c r="B4708" t="s">
        <v>4</v>
      </c>
    </row>
    <row r="4709" spans="1:2" x14ac:dyDescent="0.25">
      <c r="A4709" t="s">
        <v>58</v>
      </c>
      <c r="B4709" t="s">
        <v>4</v>
      </c>
    </row>
    <row r="4710" spans="1:2" x14ac:dyDescent="0.25">
      <c r="A4710" t="s">
        <v>59</v>
      </c>
      <c r="B4710" t="s">
        <v>4</v>
      </c>
    </row>
    <row r="4711" spans="1:2" x14ac:dyDescent="0.25">
      <c r="A4711" t="s">
        <v>60</v>
      </c>
      <c r="B4711" t="s">
        <v>4</v>
      </c>
    </row>
    <row r="4712" spans="1:2" x14ac:dyDescent="0.25">
      <c r="A4712" t="s">
        <v>61</v>
      </c>
      <c r="B4712" t="s">
        <v>4</v>
      </c>
    </row>
    <row r="4713" spans="1:2" x14ac:dyDescent="0.25">
      <c r="A4713" t="s">
        <v>62</v>
      </c>
      <c r="B4713" t="s">
        <v>4</v>
      </c>
    </row>
    <row r="4714" spans="1:2" x14ac:dyDescent="0.25">
      <c r="A4714" t="s">
        <v>63</v>
      </c>
      <c r="B4714" t="s">
        <v>4</v>
      </c>
    </row>
    <row r="4715" spans="1:2" x14ac:dyDescent="0.25">
      <c r="A4715" t="s">
        <v>64</v>
      </c>
      <c r="B4715" t="s">
        <v>4</v>
      </c>
    </row>
    <row r="4716" spans="1:2" x14ac:dyDescent="0.25">
      <c r="A4716" t="s">
        <v>65</v>
      </c>
      <c r="B4716" t="s">
        <v>4</v>
      </c>
    </row>
    <row r="4717" spans="1:2" x14ac:dyDescent="0.25">
      <c r="A4717" t="s">
        <v>66</v>
      </c>
      <c r="B4717" t="s">
        <v>4</v>
      </c>
    </row>
    <row r="4718" spans="1:2" x14ac:dyDescent="0.25">
      <c r="A4718" t="s">
        <v>67</v>
      </c>
      <c r="B4718" t="s">
        <v>4</v>
      </c>
    </row>
    <row r="4719" spans="1:2" x14ac:dyDescent="0.25">
      <c r="A4719" t="s">
        <v>68</v>
      </c>
      <c r="B4719" t="s">
        <v>4</v>
      </c>
    </row>
    <row r="4720" spans="1:2" x14ac:dyDescent="0.25">
      <c r="A4720" t="s">
        <v>69</v>
      </c>
      <c r="B4720" t="s">
        <v>4</v>
      </c>
    </row>
    <row r="4721" spans="1:2" x14ac:dyDescent="0.25">
      <c r="A4721" t="s">
        <v>70</v>
      </c>
      <c r="B4721" t="s">
        <v>4</v>
      </c>
    </row>
    <row r="4722" spans="1:2" x14ac:dyDescent="0.25">
      <c r="A4722" t="s">
        <v>71</v>
      </c>
      <c r="B4722" t="s">
        <v>4</v>
      </c>
    </row>
    <row r="4723" spans="1:2" x14ac:dyDescent="0.25">
      <c r="A4723" t="s">
        <v>72</v>
      </c>
      <c r="B4723">
        <v>6.38</v>
      </c>
    </row>
    <row r="4724" spans="1:2" x14ac:dyDescent="0.25">
      <c r="A4724" t="s">
        <v>73</v>
      </c>
      <c r="B4724" t="s">
        <v>4</v>
      </c>
    </row>
    <row r="4725" spans="1:2" x14ac:dyDescent="0.25">
      <c r="A4725" t="s">
        <v>74</v>
      </c>
      <c r="B4725">
        <v>4.76</v>
      </c>
    </row>
    <row r="4726" spans="1:2" x14ac:dyDescent="0.25">
      <c r="A4726" t="s">
        <v>75</v>
      </c>
      <c r="B4726">
        <v>6.49</v>
      </c>
    </row>
    <row r="4727" spans="1:2" x14ac:dyDescent="0.25">
      <c r="A4727" t="s">
        <v>76</v>
      </c>
      <c r="B4727">
        <v>8.8800000000000008</v>
      </c>
    </row>
    <row r="4728" spans="1:2" x14ac:dyDescent="0.25">
      <c r="A4728" t="s">
        <v>77</v>
      </c>
      <c r="B4728">
        <v>7.76</v>
      </c>
    </row>
    <row r="4729" spans="1:2" x14ac:dyDescent="0.25">
      <c r="A4729" t="s">
        <v>78</v>
      </c>
      <c r="B4729" t="s">
        <v>4</v>
      </c>
    </row>
    <row r="4730" spans="1:2" x14ac:dyDescent="0.25">
      <c r="A4730" t="s">
        <v>79</v>
      </c>
      <c r="B4730" t="s">
        <v>4</v>
      </c>
    </row>
    <row r="4731" spans="1:2" x14ac:dyDescent="0.25">
      <c r="A4731" t="s">
        <v>80</v>
      </c>
      <c r="B4731" t="s">
        <v>4</v>
      </c>
    </row>
    <row r="4732" spans="1:2" x14ac:dyDescent="0.25">
      <c r="A4732" t="s">
        <v>81</v>
      </c>
      <c r="B4732" t="s">
        <v>4</v>
      </c>
    </row>
    <row r="4735" spans="1:2" x14ac:dyDescent="0.25">
      <c r="A4735" t="s">
        <v>0</v>
      </c>
      <c r="B4735" t="s">
        <v>131</v>
      </c>
    </row>
    <row r="4737" spans="1:2" s="1" customFormat="1" x14ac:dyDescent="0.25">
      <c r="A4737" s="1" t="s">
        <v>2</v>
      </c>
      <c r="B4737" s="1" t="s">
        <v>157</v>
      </c>
    </row>
    <row r="4738" spans="1:2" x14ac:dyDescent="0.25">
      <c r="A4738" t="s">
        <v>3</v>
      </c>
      <c r="B4738" t="s">
        <v>4</v>
      </c>
    </row>
    <row r="4739" spans="1:2" x14ac:dyDescent="0.25">
      <c r="A4739" t="s">
        <v>5</v>
      </c>
      <c r="B4739" t="s">
        <v>4</v>
      </c>
    </row>
    <row r="4740" spans="1:2" x14ac:dyDescent="0.25">
      <c r="A4740" t="s">
        <v>6</v>
      </c>
      <c r="B4740" t="s">
        <v>4</v>
      </c>
    </row>
    <row r="4741" spans="1:2" x14ac:dyDescent="0.25">
      <c r="A4741" t="s">
        <v>7</v>
      </c>
      <c r="B4741" t="s">
        <v>4</v>
      </c>
    </row>
    <row r="4742" spans="1:2" x14ac:dyDescent="0.25">
      <c r="A4742" t="s">
        <v>8</v>
      </c>
      <c r="B4742" t="s">
        <v>4</v>
      </c>
    </row>
    <row r="4743" spans="1:2" x14ac:dyDescent="0.25">
      <c r="A4743" t="s">
        <v>9</v>
      </c>
      <c r="B4743" t="s">
        <v>4</v>
      </c>
    </row>
    <row r="4744" spans="1:2" x14ac:dyDescent="0.25">
      <c r="A4744" t="s">
        <v>10</v>
      </c>
      <c r="B4744" t="s">
        <v>4</v>
      </c>
    </row>
    <row r="4745" spans="1:2" x14ac:dyDescent="0.25">
      <c r="A4745" t="s">
        <v>11</v>
      </c>
      <c r="B4745" t="s">
        <v>4</v>
      </c>
    </row>
    <row r="4746" spans="1:2" x14ac:dyDescent="0.25">
      <c r="A4746" t="s">
        <v>12</v>
      </c>
      <c r="B4746" t="s">
        <v>4</v>
      </c>
    </row>
    <row r="4747" spans="1:2" x14ac:dyDescent="0.25">
      <c r="A4747" t="s">
        <v>13</v>
      </c>
      <c r="B4747" t="s">
        <v>4</v>
      </c>
    </row>
    <row r="4748" spans="1:2" x14ac:dyDescent="0.25">
      <c r="A4748" t="s">
        <v>14</v>
      </c>
      <c r="B4748" t="s">
        <v>4</v>
      </c>
    </row>
    <row r="4749" spans="1:2" x14ac:dyDescent="0.25">
      <c r="A4749" t="s">
        <v>15</v>
      </c>
      <c r="B4749" t="s">
        <v>4</v>
      </c>
    </row>
    <row r="4750" spans="1:2" x14ac:dyDescent="0.25">
      <c r="A4750" t="s">
        <v>16</v>
      </c>
      <c r="B4750" t="s">
        <v>4</v>
      </c>
    </row>
    <row r="4751" spans="1:2" x14ac:dyDescent="0.25">
      <c r="A4751" t="s">
        <v>17</v>
      </c>
      <c r="B4751" t="s">
        <v>4</v>
      </c>
    </row>
    <row r="4752" spans="1:2" x14ac:dyDescent="0.25">
      <c r="A4752" t="s">
        <v>18</v>
      </c>
      <c r="B4752" t="s">
        <v>4</v>
      </c>
    </row>
    <row r="4753" spans="1:2" x14ac:dyDescent="0.25">
      <c r="A4753" t="s">
        <v>19</v>
      </c>
      <c r="B4753" t="s">
        <v>4</v>
      </c>
    </row>
    <row r="4754" spans="1:2" x14ac:dyDescent="0.25">
      <c r="A4754" t="s">
        <v>20</v>
      </c>
      <c r="B4754" t="s">
        <v>4</v>
      </c>
    </row>
    <row r="4755" spans="1:2" x14ac:dyDescent="0.25">
      <c r="A4755" t="s">
        <v>21</v>
      </c>
      <c r="B4755" t="s">
        <v>4</v>
      </c>
    </row>
    <row r="4756" spans="1:2" x14ac:dyDescent="0.25">
      <c r="A4756" t="s">
        <v>22</v>
      </c>
      <c r="B4756" t="s">
        <v>4</v>
      </c>
    </row>
    <row r="4757" spans="1:2" x14ac:dyDescent="0.25">
      <c r="A4757" t="s">
        <v>23</v>
      </c>
      <c r="B4757" t="s">
        <v>4</v>
      </c>
    </row>
    <row r="4758" spans="1:2" x14ac:dyDescent="0.25">
      <c r="A4758" t="s">
        <v>24</v>
      </c>
      <c r="B4758" t="s">
        <v>4</v>
      </c>
    </row>
    <row r="4759" spans="1:2" x14ac:dyDescent="0.25">
      <c r="A4759" t="s">
        <v>25</v>
      </c>
      <c r="B4759" t="s">
        <v>4</v>
      </c>
    </row>
    <row r="4760" spans="1:2" x14ac:dyDescent="0.25">
      <c r="A4760" t="s">
        <v>26</v>
      </c>
      <c r="B4760" t="s">
        <v>4</v>
      </c>
    </row>
    <row r="4761" spans="1:2" x14ac:dyDescent="0.25">
      <c r="A4761" t="s">
        <v>27</v>
      </c>
      <c r="B4761" t="s">
        <v>4</v>
      </c>
    </row>
    <row r="4762" spans="1:2" x14ac:dyDescent="0.25">
      <c r="A4762" t="s">
        <v>28</v>
      </c>
      <c r="B4762" t="s">
        <v>4</v>
      </c>
    </row>
    <row r="4763" spans="1:2" x14ac:dyDescent="0.25">
      <c r="A4763" t="s">
        <v>29</v>
      </c>
      <c r="B4763" t="s">
        <v>4</v>
      </c>
    </row>
    <row r="4764" spans="1:2" x14ac:dyDescent="0.25">
      <c r="A4764" t="s">
        <v>30</v>
      </c>
      <c r="B4764" t="s">
        <v>4</v>
      </c>
    </row>
    <row r="4765" spans="1:2" x14ac:dyDescent="0.25">
      <c r="A4765" t="s">
        <v>31</v>
      </c>
      <c r="B4765" t="s">
        <v>4</v>
      </c>
    </row>
    <row r="4766" spans="1:2" x14ac:dyDescent="0.25">
      <c r="A4766" t="s">
        <v>32</v>
      </c>
      <c r="B4766" t="s">
        <v>4</v>
      </c>
    </row>
    <row r="4767" spans="1:2" x14ac:dyDescent="0.25">
      <c r="A4767" t="s">
        <v>33</v>
      </c>
      <c r="B4767" t="s">
        <v>4</v>
      </c>
    </row>
    <row r="4768" spans="1:2" x14ac:dyDescent="0.25">
      <c r="A4768" t="s">
        <v>34</v>
      </c>
      <c r="B4768" t="s">
        <v>4</v>
      </c>
    </row>
    <row r="4769" spans="1:2" x14ac:dyDescent="0.25">
      <c r="A4769" t="s">
        <v>35</v>
      </c>
      <c r="B4769" t="s">
        <v>4</v>
      </c>
    </row>
    <row r="4770" spans="1:2" x14ac:dyDescent="0.25">
      <c r="A4770" t="s">
        <v>36</v>
      </c>
      <c r="B4770" t="s">
        <v>4</v>
      </c>
    </row>
    <row r="4771" spans="1:2" x14ac:dyDescent="0.25">
      <c r="A4771" t="s">
        <v>37</v>
      </c>
      <c r="B4771" t="s">
        <v>4</v>
      </c>
    </row>
    <row r="4772" spans="1:2" x14ac:dyDescent="0.25">
      <c r="A4772" t="s">
        <v>38</v>
      </c>
      <c r="B4772" t="s">
        <v>4</v>
      </c>
    </row>
    <row r="4773" spans="1:2" x14ac:dyDescent="0.25">
      <c r="A4773" t="s">
        <v>39</v>
      </c>
      <c r="B4773" t="s">
        <v>4</v>
      </c>
    </row>
    <row r="4774" spans="1:2" x14ac:dyDescent="0.25">
      <c r="A4774" t="s">
        <v>40</v>
      </c>
      <c r="B4774" t="s">
        <v>4</v>
      </c>
    </row>
    <row r="4775" spans="1:2" x14ac:dyDescent="0.25">
      <c r="A4775" t="s">
        <v>41</v>
      </c>
      <c r="B4775" t="s">
        <v>4</v>
      </c>
    </row>
    <row r="4776" spans="1:2" x14ac:dyDescent="0.25">
      <c r="A4776" t="s">
        <v>42</v>
      </c>
      <c r="B4776" t="s">
        <v>4</v>
      </c>
    </row>
    <row r="4777" spans="1:2" x14ac:dyDescent="0.25">
      <c r="A4777" t="s">
        <v>43</v>
      </c>
      <c r="B4777" t="s">
        <v>4</v>
      </c>
    </row>
    <row r="4778" spans="1:2" x14ac:dyDescent="0.25">
      <c r="A4778" t="s">
        <v>44</v>
      </c>
      <c r="B4778" t="s">
        <v>4</v>
      </c>
    </row>
    <row r="4779" spans="1:2" x14ac:dyDescent="0.25">
      <c r="A4779" t="s">
        <v>45</v>
      </c>
      <c r="B4779" t="s">
        <v>4</v>
      </c>
    </row>
    <row r="4780" spans="1:2" x14ac:dyDescent="0.25">
      <c r="A4780" t="s">
        <v>46</v>
      </c>
      <c r="B4780" t="s">
        <v>4</v>
      </c>
    </row>
    <row r="4781" spans="1:2" x14ac:dyDescent="0.25">
      <c r="A4781" t="s">
        <v>47</v>
      </c>
      <c r="B4781" t="s">
        <v>4</v>
      </c>
    </row>
    <row r="4782" spans="1:2" x14ac:dyDescent="0.25">
      <c r="A4782" t="s">
        <v>48</v>
      </c>
      <c r="B4782" t="s">
        <v>4</v>
      </c>
    </row>
    <row r="4783" spans="1:2" x14ac:dyDescent="0.25">
      <c r="A4783" t="s">
        <v>49</v>
      </c>
      <c r="B4783" t="s">
        <v>4</v>
      </c>
    </row>
    <row r="4784" spans="1:2" x14ac:dyDescent="0.25">
      <c r="A4784" t="s">
        <v>50</v>
      </c>
      <c r="B4784" t="s">
        <v>4</v>
      </c>
    </row>
    <row r="4785" spans="1:2" x14ac:dyDescent="0.25">
      <c r="A4785" t="s">
        <v>51</v>
      </c>
      <c r="B4785" t="s">
        <v>4</v>
      </c>
    </row>
    <row r="4786" spans="1:2" x14ac:dyDescent="0.25">
      <c r="A4786" t="s">
        <v>52</v>
      </c>
      <c r="B4786" t="s">
        <v>4</v>
      </c>
    </row>
    <row r="4787" spans="1:2" x14ac:dyDescent="0.25">
      <c r="A4787" t="s">
        <v>53</v>
      </c>
      <c r="B4787" t="s">
        <v>4</v>
      </c>
    </row>
    <row r="4788" spans="1:2" x14ac:dyDescent="0.25">
      <c r="A4788" t="s">
        <v>54</v>
      </c>
      <c r="B4788" t="s">
        <v>4</v>
      </c>
    </row>
    <row r="4789" spans="1:2" x14ac:dyDescent="0.25">
      <c r="A4789" t="s">
        <v>55</v>
      </c>
      <c r="B4789" t="s">
        <v>4</v>
      </c>
    </row>
    <row r="4790" spans="1:2" x14ac:dyDescent="0.25">
      <c r="A4790" t="s">
        <v>56</v>
      </c>
      <c r="B4790" t="s">
        <v>4</v>
      </c>
    </row>
    <row r="4791" spans="1:2" x14ac:dyDescent="0.25">
      <c r="A4791" t="s">
        <v>57</v>
      </c>
      <c r="B4791" t="s">
        <v>4</v>
      </c>
    </row>
    <row r="4792" spans="1:2" x14ac:dyDescent="0.25">
      <c r="A4792" t="s">
        <v>58</v>
      </c>
      <c r="B4792" t="s">
        <v>4</v>
      </c>
    </row>
    <row r="4793" spans="1:2" x14ac:dyDescent="0.25">
      <c r="A4793" t="s">
        <v>59</v>
      </c>
      <c r="B4793" t="s">
        <v>4</v>
      </c>
    </row>
    <row r="4794" spans="1:2" x14ac:dyDescent="0.25">
      <c r="A4794" t="s">
        <v>60</v>
      </c>
      <c r="B4794" t="s">
        <v>4</v>
      </c>
    </row>
    <row r="4795" spans="1:2" x14ac:dyDescent="0.25">
      <c r="A4795" t="s">
        <v>61</v>
      </c>
      <c r="B4795" t="s">
        <v>4</v>
      </c>
    </row>
    <row r="4796" spans="1:2" x14ac:dyDescent="0.25">
      <c r="A4796" t="s">
        <v>62</v>
      </c>
      <c r="B4796" t="s">
        <v>4</v>
      </c>
    </row>
    <row r="4797" spans="1:2" x14ac:dyDescent="0.25">
      <c r="A4797" t="s">
        <v>63</v>
      </c>
      <c r="B4797" t="s">
        <v>4</v>
      </c>
    </row>
    <row r="4798" spans="1:2" x14ac:dyDescent="0.25">
      <c r="A4798" t="s">
        <v>64</v>
      </c>
      <c r="B4798" t="s">
        <v>4</v>
      </c>
    </row>
    <row r="4799" spans="1:2" x14ac:dyDescent="0.25">
      <c r="A4799" t="s">
        <v>65</v>
      </c>
      <c r="B4799" t="s">
        <v>4</v>
      </c>
    </row>
    <row r="4800" spans="1:2" x14ac:dyDescent="0.25">
      <c r="A4800" t="s">
        <v>66</v>
      </c>
      <c r="B4800" t="s">
        <v>4</v>
      </c>
    </row>
    <row r="4801" spans="1:2" x14ac:dyDescent="0.25">
      <c r="A4801" t="s">
        <v>67</v>
      </c>
      <c r="B4801" t="s">
        <v>4</v>
      </c>
    </row>
    <row r="4802" spans="1:2" x14ac:dyDescent="0.25">
      <c r="A4802" t="s">
        <v>68</v>
      </c>
      <c r="B4802" t="s">
        <v>4</v>
      </c>
    </row>
    <row r="4803" spans="1:2" x14ac:dyDescent="0.25">
      <c r="A4803" t="s">
        <v>69</v>
      </c>
      <c r="B4803" t="s">
        <v>4</v>
      </c>
    </row>
    <row r="4804" spans="1:2" x14ac:dyDescent="0.25">
      <c r="A4804" t="s">
        <v>70</v>
      </c>
      <c r="B4804" t="s">
        <v>4</v>
      </c>
    </row>
    <row r="4805" spans="1:2" x14ac:dyDescent="0.25">
      <c r="A4805" t="s">
        <v>71</v>
      </c>
      <c r="B4805" t="s">
        <v>4</v>
      </c>
    </row>
    <row r="4806" spans="1:2" x14ac:dyDescent="0.25">
      <c r="A4806" t="s">
        <v>72</v>
      </c>
      <c r="B4806" t="s">
        <v>4</v>
      </c>
    </row>
    <row r="4807" spans="1:2" x14ac:dyDescent="0.25">
      <c r="A4807" t="s">
        <v>73</v>
      </c>
      <c r="B4807" t="s">
        <v>4</v>
      </c>
    </row>
    <row r="4808" spans="1:2" x14ac:dyDescent="0.25">
      <c r="A4808" t="s">
        <v>74</v>
      </c>
      <c r="B4808" t="s">
        <v>4</v>
      </c>
    </row>
    <row r="4809" spans="1:2" x14ac:dyDescent="0.25">
      <c r="A4809" t="s">
        <v>75</v>
      </c>
      <c r="B4809" t="s">
        <v>4</v>
      </c>
    </row>
    <row r="4810" spans="1:2" x14ac:dyDescent="0.25">
      <c r="A4810" t="s">
        <v>76</v>
      </c>
      <c r="B4810" t="s">
        <v>4</v>
      </c>
    </row>
    <row r="4811" spans="1:2" x14ac:dyDescent="0.25">
      <c r="A4811" t="s">
        <v>77</v>
      </c>
      <c r="B4811" t="s">
        <v>4</v>
      </c>
    </row>
    <row r="4812" spans="1:2" x14ac:dyDescent="0.25">
      <c r="A4812" t="s">
        <v>78</v>
      </c>
      <c r="B4812" t="s">
        <v>4</v>
      </c>
    </row>
    <row r="4813" spans="1:2" x14ac:dyDescent="0.25">
      <c r="A4813" t="s">
        <v>79</v>
      </c>
      <c r="B4813" t="s">
        <v>4</v>
      </c>
    </row>
    <row r="4814" spans="1:2" x14ac:dyDescent="0.25">
      <c r="A4814" t="s">
        <v>80</v>
      </c>
      <c r="B4814" t="s">
        <v>4</v>
      </c>
    </row>
    <row r="4815" spans="1:2" x14ac:dyDescent="0.25">
      <c r="A4815" t="s">
        <v>81</v>
      </c>
      <c r="B4815" t="s">
        <v>4</v>
      </c>
    </row>
    <row r="4818" spans="1:2" x14ac:dyDescent="0.25">
      <c r="A4818" t="s">
        <v>0</v>
      </c>
      <c r="B4818" t="s">
        <v>132</v>
      </c>
    </row>
    <row r="4820" spans="1:2" s="1" customFormat="1" x14ac:dyDescent="0.25">
      <c r="A4820" s="1" t="s">
        <v>2</v>
      </c>
      <c r="B4820" s="1" t="s">
        <v>157</v>
      </c>
    </row>
    <row r="4821" spans="1:2" x14ac:dyDescent="0.25">
      <c r="A4821" t="s">
        <v>3</v>
      </c>
      <c r="B4821" t="s">
        <v>4</v>
      </c>
    </row>
    <row r="4822" spans="1:2" x14ac:dyDescent="0.25">
      <c r="A4822" t="s">
        <v>5</v>
      </c>
      <c r="B4822" t="s">
        <v>4</v>
      </c>
    </row>
    <row r="4823" spans="1:2" x14ac:dyDescent="0.25">
      <c r="A4823" t="s">
        <v>6</v>
      </c>
      <c r="B4823" t="s">
        <v>4</v>
      </c>
    </row>
    <row r="4824" spans="1:2" x14ac:dyDescent="0.25">
      <c r="A4824" t="s">
        <v>7</v>
      </c>
      <c r="B4824" t="s">
        <v>4</v>
      </c>
    </row>
    <row r="4825" spans="1:2" x14ac:dyDescent="0.25">
      <c r="A4825" t="s">
        <v>8</v>
      </c>
      <c r="B4825" t="s">
        <v>4</v>
      </c>
    </row>
    <row r="4826" spans="1:2" x14ac:dyDescent="0.25">
      <c r="A4826" t="s">
        <v>9</v>
      </c>
      <c r="B4826" t="s">
        <v>4</v>
      </c>
    </row>
    <row r="4827" spans="1:2" x14ac:dyDescent="0.25">
      <c r="A4827" t="s">
        <v>10</v>
      </c>
      <c r="B4827" t="s">
        <v>4</v>
      </c>
    </row>
    <row r="4828" spans="1:2" x14ac:dyDescent="0.25">
      <c r="A4828" t="s">
        <v>11</v>
      </c>
      <c r="B4828" t="s">
        <v>4</v>
      </c>
    </row>
    <row r="4829" spans="1:2" x14ac:dyDescent="0.25">
      <c r="A4829" t="s">
        <v>12</v>
      </c>
      <c r="B4829" t="s">
        <v>4</v>
      </c>
    </row>
    <row r="4830" spans="1:2" x14ac:dyDescent="0.25">
      <c r="A4830" t="s">
        <v>13</v>
      </c>
      <c r="B4830">
        <v>2.2999999999999998</v>
      </c>
    </row>
    <row r="4831" spans="1:2" x14ac:dyDescent="0.25">
      <c r="A4831" t="s">
        <v>14</v>
      </c>
      <c r="B4831">
        <v>5.81</v>
      </c>
    </row>
    <row r="4832" spans="1:2" x14ac:dyDescent="0.25">
      <c r="A4832" t="s">
        <v>15</v>
      </c>
      <c r="B4832">
        <v>4.04</v>
      </c>
    </row>
    <row r="4833" spans="1:2" x14ac:dyDescent="0.25">
      <c r="A4833" t="s">
        <v>16</v>
      </c>
      <c r="B4833" t="s">
        <v>4</v>
      </c>
    </row>
    <row r="4834" spans="1:2" x14ac:dyDescent="0.25">
      <c r="A4834" t="s">
        <v>17</v>
      </c>
      <c r="B4834" t="s">
        <v>4</v>
      </c>
    </row>
    <row r="4835" spans="1:2" x14ac:dyDescent="0.25">
      <c r="A4835" t="s">
        <v>18</v>
      </c>
      <c r="B4835" t="s">
        <v>4</v>
      </c>
    </row>
    <row r="4836" spans="1:2" x14ac:dyDescent="0.25">
      <c r="A4836" t="s">
        <v>19</v>
      </c>
      <c r="B4836" t="s">
        <v>4</v>
      </c>
    </row>
    <row r="4837" spans="1:2" x14ac:dyDescent="0.25">
      <c r="A4837" t="s">
        <v>20</v>
      </c>
      <c r="B4837" t="s">
        <v>4</v>
      </c>
    </row>
    <row r="4838" spans="1:2" x14ac:dyDescent="0.25">
      <c r="A4838" t="s">
        <v>21</v>
      </c>
      <c r="B4838" t="s">
        <v>4</v>
      </c>
    </row>
    <row r="4839" spans="1:2" x14ac:dyDescent="0.25">
      <c r="A4839" t="s">
        <v>22</v>
      </c>
      <c r="B4839" t="s">
        <v>4</v>
      </c>
    </row>
    <row r="4840" spans="1:2" x14ac:dyDescent="0.25">
      <c r="A4840" t="s">
        <v>23</v>
      </c>
      <c r="B4840" t="s">
        <v>4</v>
      </c>
    </row>
    <row r="4841" spans="1:2" x14ac:dyDescent="0.25">
      <c r="A4841" t="s">
        <v>24</v>
      </c>
      <c r="B4841" t="s">
        <v>4</v>
      </c>
    </row>
    <row r="4842" spans="1:2" x14ac:dyDescent="0.25">
      <c r="A4842" t="s">
        <v>25</v>
      </c>
      <c r="B4842" t="s">
        <v>4</v>
      </c>
    </row>
    <row r="4843" spans="1:2" x14ac:dyDescent="0.25">
      <c r="A4843" t="s">
        <v>26</v>
      </c>
      <c r="B4843" t="s">
        <v>4</v>
      </c>
    </row>
    <row r="4844" spans="1:2" x14ac:dyDescent="0.25">
      <c r="A4844" t="s">
        <v>27</v>
      </c>
      <c r="B4844" t="s">
        <v>4</v>
      </c>
    </row>
    <row r="4845" spans="1:2" x14ac:dyDescent="0.25">
      <c r="A4845" t="s">
        <v>28</v>
      </c>
      <c r="B4845">
        <v>0.71</v>
      </c>
    </row>
    <row r="4846" spans="1:2" x14ac:dyDescent="0.25">
      <c r="A4846" t="s">
        <v>29</v>
      </c>
      <c r="B4846">
        <v>4.21</v>
      </c>
    </row>
    <row r="4847" spans="1:2" x14ac:dyDescent="0.25">
      <c r="A4847" t="s">
        <v>30</v>
      </c>
      <c r="B4847" t="s">
        <v>4</v>
      </c>
    </row>
    <row r="4848" spans="1:2" x14ac:dyDescent="0.25">
      <c r="A4848" t="s">
        <v>31</v>
      </c>
      <c r="B4848">
        <v>0.86</v>
      </c>
    </row>
    <row r="4849" spans="1:2" x14ac:dyDescent="0.25">
      <c r="A4849" t="s">
        <v>32</v>
      </c>
      <c r="B4849" t="s">
        <v>4</v>
      </c>
    </row>
    <row r="4850" spans="1:2" x14ac:dyDescent="0.25">
      <c r="A4850" t="s">
        <v>33</v>
      </c>
      <c r="B4850">
        <v>2.92</v>
      </c>
    </row>
    <row r="4851" spans="1:2" x14ac:dyDescent="0.25">
      <c r="A4851" t="s">
        <v>34</v>
      </c>
      <c r="B4851" t="s">
        <v>4</v>
      </c>
    </row>
    <row r="4852" spans="1:2" x14ac:dyDescent="0.25">
      <c r="A4852" t="s">
        <v>35</v>
      </c>
      <c r="B4852" t="s">
        <v>4</v>
      </c>
    </row>
    <row r="4853" spans="1:2" x14ac:dyDescent="0.25">
      <c r="A4853" t="s">
        <v>36</v>
      </c>
      <c r="B4853" t="s">
        <v>4</v>
      </c>
    </row>
    <row r="4854" spans="1:2" x14ac:dyDescent="0.25">
      <c r="A4854" t="s">
        <v>37</v>
      </c>
      <c r="B4854">
        <v>2.0699999999999998</v>
      </c>
    </row>
    <row r="4855" spans="1:2" x14ac:dyDescent="0.25">
      <c r="A4855" t="s">
        <v>38</v>
      </c>
      <c r="B4855" t="s">
        <v>4</v>
      </c>
    </row>
    <row r="4856" spans="1:2" x14ac:dyDescent="0.25">
      <c r="A4856" t="s">
        <v>39</v>
      </c>
      <c r="B4856" t="s">
        <v>4</v>
      </c>
    </row>
    <row r="4857" spans="1:2" x14ac:dyDescent="0.25">
      <c r="A4857" t="s">
        <v>40</v>
      </c>
      <c r="B4857">
        <v>1.54</v>
      </c>
    </row>
    <row r="4858" spans="1:2" x14ac:dyDescent="0.25">
      <c r="A4858" t="s">
        <v>41</v>
      </c>
      <c r="B4858" t="s">
        <v>4</v>
      </c>
    </row>
    <row r="4859" spans="1:2" x14ac:dyDescent="0.25">
      <c r="A4859" t="s">
        <v>42</v>
      </c>
      <c r="B4859" t="s">
        <v>4</v>
      </c>
    </row>
    <row r="4860" spans="1:2" x14ac:dyDescent="0.25">
      <c r="A4860" t="s">
        <v>43</v>
      </c>
      <c r="B4860" t="s">
        <v>4</v>
      </c>
    </row>
    <row r="4861" spans="1:2" x14ac:dyDescent="0.25">
      <c r="A4861" t="s">
        <v>44</v>
      </c>
      <c r="B4861">
        <v>2.6</v>
      </c>
    </row>
    <row r="4862" spans="1:2" x14ac:dyDescent="0.25">
      <c r="A4862" t="s">
        <v>45</v>
      </c>
      <c r="B4862" t="s">
        <v>4</v>
      </c>
    </row>
    <row r="4863" spans="1:2" x14ac:dyDescent="0.25">
      <c r="A4863" t="s">
        <v>46</v>
      </c>
      <c r="B4863" t="s">
        <v>4</v>
      </c>
    </row>
    <row r="4864" spans="1:2" x14ac:dyDescent="0.25">
      <c r="A4864" t="s">
        <v>47</v>
      </c>
      <c r="B4864" t="s">
        <v>4</v>
      </c>
    </row>
    <row r="4865" spans="1:2" x14ac:dyDescent="0.25">
      <c r="A4865" t="s">
        <v>48</v>
      </c>
      <c r="B4865" t="s">
        <v>4</v>
      </c>
    </row>
    <row r="4866" spans="1:2" x14ac:dyDescent="0.25">
      <c r="A4866" t="s">
        <v>49</v>
      </c>
      <c r="B4866" t="s">
        <v>4</v>
      </c>
    </row>
    <row r="4867" spans="1:2" x14ac:dyDescent="0.25">
      <c r="A4867" t="s">
        <v>50</v>
      </c>
      <c r="B4867">
        <v>1.39</v>
      </c>
    </row>
    <row r="4868" spans="1:2" x14ac:dyDescent="0.25">
      <c r="A4868" t="s">
        <v>51</v>
      </c>
      <c r="B4868" t="s">
        <v>4</v>
      </c>
    </row>
    <row r="4869" spans="1:2" x14ac:dyDescent="0.25">
      <c r="A4869" t="s">
        <v>52</v>
      </c>
      <c r="B4869">
        <v>1.95</v>
      </c>
    </row>
    <row r="4870" spans="1:2" x14ac:dyDescent="0.25">
      <c r="A4870" t="s">
        <v>53</v>
      </c>
      <c r="B4870">
        <v>15.9</v>
      </c>
    </row>
    <row r="4871" spans="1:2" x14ac:dyDescent="0.25">
      <c r="A4871" t="s">
        <v>54</v>
      </c>
      <c r="B4871">
        <v>12.19</v>
      </c>
    </row>
    <row r="4872" spans="1:2" x14ac:dyDescent="0.25">
      <c r="A4872" t="s">
        <v>55</v>
      </c>
      <c r="B4872">
        <v>66.34</v>
      </c>
    </row>
    <row r="4873" spans="1:2" x14ac:dyDescent="0.25">
      <c r="A4873" t="s">
        <v>56</v>
      </c>
      <c r="B4873" t="s">
        <v>4</v>
      </c>
    </row>
    <row r="4874" spans="1:2" x14ac:dyDescent="0.25">
      <c r="A4874" t="s">
        <v>57</v>
      </c>
      <c r="B4874" t="s">
        <v>4</v>
      </c>
    </row>
    <row r="4875" spans="1:2" x14ac:dyDescent="0.25">
      <c r="A4875" t="s">
        <v>58</v>
      </c>
      <c r="B4875" t="s">
        <v>4</v>
      </c>
    </row>
    <row r="4876" spans="1:2" x14ac:dyDescent="0.25">
      <c r="A4876" t="s">
        <v>59</v>
      </c>
      <c r="B4876">
        <v>1.57</v>
      </c>
    </row>
    <row r="4877" spans="1:2" x14ac:dyDescent="0.25">
      <c r="A4877" t="s">
        <v>60</v>
      </c>
      <c r="B4877">
        <v>2.64</v>
      </c>
    </row>
    <row r="4878" spans="1:2" x14ac:dyDescent="0.25">
      <c r="A4878" t="s">
        <v>61</v>
      </c>
      <c r="B4878">
        <v>14.1</v>
      </c>
    </row>
    <row r="4879" spans="1:2" x14ac:dyDescent="0.25">
      <c r="A4879" t="s">
        <v>62</v>
      </c>
      <c r="B4879">
        <v>8.43</v>
      </c>
    </row>
    <row r="4880" spans="1:2" x14ac:dyDescent="0.25">
      <c r="A4880" t="s">
        <v>63</v>
      </c>
      <c r="B4880" t="s">
        <v>4</v>
      </c>
    </row>
    <row r="4881" spans="1:2" x14ac:dyDescent="0.25">
      <c r="A4881" t="s">
        <v>64</v>
      </c>
      <c r="B4881" t="s">
        <v>4</v>
      </c>
    </row>
    <row r="4882" spans="1:2" x14ac:dyDescent="0.25">
      <c r="A4882" t="s">
        <v>65</v>
      </c>
      <c r="B4882">
        <v>2.17</v>
      </c>
    </row>
    <row r="4883" spans="1:2" x14ac:dyDescent="0.25">
      <c r="A4883" t="s">
        <v>66</v>
      </c>
      <c r="B4883" t="s">
        <v>4</v>
      </c>
    </row>
    <row r="4884" spans="1:2" x14ac:dyDescent="0.25">
      <c r="A4884" t="s">
        <v>67</v>
      </c>
      <c r="B4884" t="s">
        <v>4</v>
      </c>
    </row>
    <row r="4885" spans="1:2" x14ac:dyDescent="0.25">
      <c r="A4885" t="s">
        <v>68</v>
      </c>
      <c r="B4885">
        <v>3.38</v>
      </c>
    </row>
    <row r="4886" spans="1:2" x14ac:dyDescent="0.25">
      <c r="A4886" t="s">
        <v>69</v>
      </c>
      <c r="B4886" t="s">
        <v>4</v>
      </c>
    </row>
    <row r="4887" spans="1:2" x14ac:dyDescent="0.25">
      <c r="A4887" t="s">
        <v>70</v>
      </c>
      <c r="B4887" t="s">
        <v>4</v>
      </c>
    </row>
    <row r="4888" spans="1:2" x14ac:dyDescent="0.25">
      <c r="A4888" t="s">
        <v>71</v>
      </c>
      <c r="B4888">
        <v>6.01</v>
      </c>
    </row>
    <row r="4889" spans="1:2" x14ac:dyDescent="0.25">
      <c r="A4889" t="s">
        <v>72</v>
      </c>
      <c r="B4889">
        <v>5.9</v>
      </c>
    </row>
    <row r="4890" spans="1:2" x14ac:dyDescent="0.25">
      <c r="A4890" t="s">
        <v>73</v>
      </c>
      <c r="B4890" t="s">
        <v>4</v>
      </c>
    </row>
    <row r="4891" spans="1:2" x14ac:dyDescent="0.25">
      <c r="A4891" t="s">
        <v>74</v>
      </c>
      <c r="B4891">
        <v>6.64</v>
      </c>
    </row>
    <row r="4892" spans="1:2" x14ac:dyDescent="0.25">
      <c r="A4892" t="s">
        <v>75</v>
      </c>
      <c r="B4892" t="s">
        <v>4</v>
      </c>
    </row>
    <row r="4893" spans="1:2" x14ac:dyDescent="0.25">
      <c r="A4893" t="s">
        <v>76</v>
      </c>
      <c r="B4893">
        <v>5.46</v>
      </c>
    </row>
    <row r="4894" spans="1:2" x14ac:dyDescent="0.25">
      <c r="A4894" t="s">
        <v>77</v>
      </c>
      <c r="B4894">
        <v>5.03</v>
      </c>
    </row>
    <row r="4895" spans="1:2" x14ac:dyDescent="0.25">
      <c r="A4895" t="s">
        <v>78</v>
      </c>
      <c r="B4895" t="s">
        <v>4</v>
      </c>
    </row>
    <row r="4896" spans="1:2" x14ac:dyDescent="0.25">
      <c r="A4896" t="s">
        <v>79</v>
      </c>
      <c r="B4896" t="s">
        <v>4</v>
      </c>
    </row>
    <row r="4897" spans="1:2" x14ac:dyDescent="0.25">
      <c r="A4897" t="s">
        <v>80</v>
      </c>
      <c r="B4897" t="s">
        <v>4</v>
      </c>
    </row>
    <row r="4898" spans="1:2" x14ac:dyDescent="0.25">
      <c r="A4898" t="s">
        <v>81</v>
      </c>
      <c r="B4898" t="s">
        <v>4</v>
      </c>
    </row>
    <row r="4901" spans="1:2" x14ac:dyDescent="0.25">
      <c r="A4901" t="s">
        <v>0</v>
      </c>
      <c r="B4901" t="s">
        <v>133</v>
      </c>
    </row>
    <row r="4903" spans="1:2" s="1" customFormat="1" x14ac:dyDescent="0.25">
      <c r="A4903" s="1" t="s">
        <v>2</v>
      </c>
      <c r="B4903" s="1" t="s">
        <v>157</v>
      </c>
    </row>
    <row r="4904" spans="1:2" x14ac:dyDescent="0.25">
      <c r="A4904" t="s">
        <v>3</v>
      </c>
      <c r="B4904" t="s">
        <v>4</v>
      </c>
    </row>
    <row r="4905" spans="1:2" x14ac:dyDescent="0.25">
      <c r="A4905" t="s">
        <v>5</v>
      </c>
      <c r="B4905" t="s">
        <v>4</v>
      </c>
    </row>
    <row r="4906" spans="1:2" x14ac:dyDescent="0.25">
      <c r="A4906" t="s">
        <v>6</v>
      </c>
      <c r="B4906" t="s">
        <v>4</v>
      </c>
    </row>
    <row r="4907" spans="1:2" x14ac:dyDescent="0.25">
      <c r="A4907" t="s">
        <v>7</v>
      </c>
      <c r="B4907">
        <v>1.43</v>
      </c>
    </row>
    <row r="4908" spans="1:2" x14ac:dyDescent="0.25">
      <c r="A4908" t="s">
        <v>8</v>
      </c>
      <c r="B4908">
        <v>993.72</v>
      </c>
    </row>
    <row r="4909" spans="1:2" x14ac:dyDescent="0.25">
      <c r="A4909" t="s">
        <v>9</v>
      </c>
      <c r="B4909">
        <v>25.38</v>
      </c>
    </row>
    <row r="4910" spans="1:2" x14ac:dyDescent="0.25">
      <c r="A4910" t="s">
        <v>10</v>
      </c>
      <c r="B4910">
        <v>1.99</v>
      </c>
    </row>
    <row r="4911" spans="1:2" x14ac:dyDescent="0.25">
      <c r="A4911" t="s">
        <v>11</v>
      </c>
      <c r="B4911">
        <v>2.29</v>
      </c>
    </row>
    <row r="4912" spans="1:2" x14ac:dyDescent="0.25">
      <c r="A4912" t="s">
        <v>12</v>
      </c>
      <c r="B4912">
        <v>4.2300000000000004</v>
      </c>
    </row>
    <row r="4913" spans="1:2" x14ac:dyDescent="0.25">
      <c r="A4913" t="s">
        <v>13</v>
      </c>
      <c r="B4913">
        <v>1.28</v>
      </c>
    </row>
    <row r="4914" spans="1:2" x14ac:dyDescent="0.25">
      <c r="A4914" t="s">
        <v>14</v>
      </c>
      <c r="B4914">
        <v>2.4</v>
      </c>
    </row>
    <row r="4915" spans="1:2" x14ac:dyDescent="0.25">
      <c r="A4915" t="s">
        <v>15</v>
      </c>
      <c r="B4915">
        <v>1.1100000000000001</v>
      </c>
    </row>
    <row r="4916" spans="1:2" x14ac:dyDescent="0.25">
      <c r="A4916" t="s">
        <v>16</v>
      </c>
      <c r="B4916">
        <v>1.22</v>
      </c>
    </row>
    <row r="4917" spans="1:2" x14ac:dyDescent="0.25">
      <c r="A4917" t="s">
        <v>17</v>
      </c>
      <c r="B4917">
        <v>4125.6899999999996</v>
      </c>
    </row>
    <row r="4918" spans="1:2" x14ac:dyDescent="0.25">
      <c r="A4918" t="s">
        <v>18</v>
      </c>
      <c r="B4918">
        <v>3.14</v>
      </c>
    </row>
    <row r="4919" spans="1:2" x14ac:dyDescent="0.25">
      <c r="A4919" t="s">
        <v>19</v>
      </c>
      <c r="B4919">
        <v>2.27</v>
      </c>
    </row>
    <row r="4920" spans="1:2" x14ac:dyDescent="0.25">
      <c r="A4920" t="s">
        <v>20</v>
      </c>
      <c r="B4920">
        <v>2.0299999999999998</v>
      </c>
    </row>
    <row r="4921" spans="1:2" x14ac:dyDescent="0.25">
      <c r="A4921" t="s">
        <v>21</v>
      </c>
      <c r="B4921">
        <v>2.0499999999999998</v>
      </c>
    </row>
    <row r="4922" spans="1:2" x14ac:dyDescent="0.25">
      <c r="A4922" t="s">
        <v>22</v>
      </c>
      <c r="B4922">
        <v>3.28</v>
      </c>
    </row>
    <row r="4923" spans="1:2" x14ac:dyDescent="0.25">
      <c r="A4923" t="s">
        <v>23</v>
      </c>
      <c r="B4923">
        <v>1.43</v>
      </c>
    </row>
    <row r="4924" spans="1:2" x14ac:dyDescent="0.25">
      <c r="A4924" t="s">
        <v>24</v>
      </c>
      <c r="B4924">
        <v>1.28</v>
      </c>
    </row>
    <row r="4925" spans="1:2" x14ac:dyDescent="0.25">
      <c r="A4925" t="s">
        <v>25</v>
      </c>
      <c r="B4925">
        <v>1.1200000000000001</v>
      </c>
    </row>
    <row r="4926" spans="1:2" x14ac:dyDescent="0.25">
      <c r="A4926" t="s">
        <v>26</v>
      </c>
      <c r="B4926">
        <v>1.1599999999999999</v>
      </c>
    </row>
    <row r="4927" spans="1:2" x14ac:dyDescent="0.25">
      <c r="A4927" t="s">
        <v>27</v>
      </c>
      <c r="B4927">
        <v>2.04</v>
      </c>
    </row>
    <row r="4928" spans="1:2" x14ac:dyDescent="0.25">
      <c r="A4928" t="s">
        <v>28</v>
      </c>
      <c r="B4928">
        <v>0.96</v>
      </c>
    </row>
    <row r="4929" spans="1:2" x14ac:dyDescent="0.25">
      <c r="A4929" t="s">
        <v>29</v>
      </c>
      <c r="B4929">
        <v>509.42</v>
      </c>
    </row>
    <row r="4930" spans="1:2" x14ac:dyDescent="0.25">
      <c r="A4930" t="s">
        <v>30</v>
      </c>
      <c r="B4930">
        <v>26.45</v>
      </c>
    </row>
    <row r="4931" spans="1:2" x14ac:dyDescent="0.25">
      <c r="A4931" t="s">
        <v>31</v>
      </c>
      <c r="B4931">
        <v>41.17</v>
      </c>
    </row>
    <row r="4932" spans="1:2" x14ac:dyDescent="0.25">
      <c r="A4932" t="s">
        <v>32</v>
      </c>
      <c r="B4932">
        <v>5.47</v>
      </c>
    </row>
    <row r="4933" spans="1:2" x14ac:dyDescent="0.25">
      <c r="A4933" t="s">
        <v>33</v>
      </c>
      <c r="B4933">
        <v>1.1000000000000001</v>
      </c>
    </row>
    <row r="4934" spans="1:2" x14ac:dyDescent="0.25">
      <c r="A4934" t="s">
        <v>34</v>
      </c>
      <c r="B4934">
        <v>1.1499999999999999</v>
      </c>
    </row>
    <row r="4935" spans="1:2" x14ac:dyDescent="0.25">
      <c r="A4935" t="s">
        <v>35</v>
      </c>
      <c r="B4935">
        <v>0.35</v>
      </c>
    </row>
    <row r="4936" spans="1:2" x14ac:dyDescent="0.25">
      <c r="A4936" t="s">
        <v>36</v>
      </c>
      <c r="B4936">
        <v>0.34</v>
      </c>
    </row>
    <row r="4937" spans="1:2" x14ac:dyDescent="0.25">
      <c r="A4937" t="s">
        <v>37</v>
      </c>
      <c r="B4937">
        <v>0.96</v>
      </c>
    </row>
    <row r="4938" spans="1:2" x14ac:dyDescent="0.25">
      <c r="A4938" t="s">
        <v>38</v>
      </c>
      <c r="B4938">
        <v>0.54</v>
      </c>
    </row>
    <row r="4939" spans="1:2" x14ac:dyDescent="0.25">
      <c r="A4939" t="s">
        <v>39</v>
      </c>
      <c r="B4939" t="s">
        <v>4</v>
      </c>
    </row>
    <row r="4940" spans="1:2" x14ac:dyDescent="0.25">
      <c r="A4940" t="s">
        <v>40</v>
      </c>
      <c r="B4940" t="s">
        <v>4</v>
      </c>
    </row>
    <row r="4941" spans="1:2" x14ac:dyDescent="0.25">
      <c r="A4941" t="s">
        <v>41</v>
      </c>
      <c r="B4941">
        <v>0.68</v>
      </c>
    </row>
    <row r="4942" spans="1:2" x14ac:dyDescent="0.25">
      <c r="A4942" t="s">
        <v>42</v>
      </c>
      <c r="B4942">
        <v>1.04</v>
      </c>
    </row>
    <row r="4943" spans="1:2" x14ac:dyDescent="0.25">
      <c r="A4943" t="s">
        <v>43</v>
      </c>
      <c r="B4943">
        <v>0.31</v>
      </c>
    </row>
    <row r="4944" spans="1:2" x14ac:dyDescent="0.25">
      <c r="A4944" t="s">
        <v>44</v>
      </c>
      <c r="B4944">
        <v>0.43</v>
      </c>
    </row>
    <row r="4945" spans="1:2" x14ac:dyDescent="0.25">
      <c r="A4945" t="s">
        <v>45</v>
      </c>
      <c r="B4945">
        <v>0.28999999999999998</v>
      </c>
    </row>
    <row r="4946" spans="1:2" x14ac:dyDescent="0.25">
      <c r="A4946" t="s">
        <v>46</v>
      </c>
      <c r="B4946">
        <v>0.44</v>
      </c>
    </row>
    <row r="4947" spans="1:2" x14ac:dyDescent="0.25">
      <c r="A4947" t="s">
        <v>47</v>
      </c>
      <c r="B4947">
        <v>0.23</v>
      </c>
    </row>
    <row r="4948" spans="1:2" x14ac:dyDescent="0.25">
      <c r="A4948" t="s">
        <v>48</v>
      </c>
      <c r="B4948">
        <v>0.3</v>
      </c>
    </row>
    <row r="4949" spans="1:2" x14ac:dyDescent="0.25">
      <c r="A4949" t="s">
        <v>49</v>
      </c>
      <c r="B4949">
        <v>0.61</v>
      </c>
    </row>
    <row r="4950" spans="1:2" x14ac:dyDescent="0.25">
      <c r="A4950" t="s">
        <v>50</v>
      </c>
      <c r="B4950">
        <v>0.25</v>
      </c>
    </row>
    <row r="4951" spans="1:2" x14ac:dyDescent="0.25">
      <c r="A4951" t="s">
        <v>51</v>
      </c>
      <c r="B4951">
        <v>0.9</v>
      </c>
    </row>
    <row r="4952" spans="1:2" x14ac:dyDescent="0.25">
      <c r="A4952" t="s">
        <v>52</v>
      </c>
      <c r="B4952">
        <v>0.19</v>
      </c>
    </row>
    <row r="4953" spans="1:2" x14ac:dyDescent="0.25">
      <c r="A4953" t="s">
        <v>53</v>
      </c>
      <c r="B4953" t="s">
        <v>4</v>
      </c>
    </row>
    <row r="4954" spans="1:2" x14ac:dyDescent="0.25">
      <c r="A4954" t="s">
        <v>54</v>
      </c>
      <c r="B4954">
        <v>0.13</v>
      </c>
    </row>
    <row r="4955" spans="1:2" x14ac:dyDescent="0.25">
      <c r="A4955" t="s">
        <v>55</v>
      </c>
      <c r="B4955" t="s">
        <v>4</v>
      </c>
    </row>
    <row r="4956" spans="1:2" x14ac:dyDescent="0.25">
      <c r="A4956" t="s">
        <v>56</v>
      </c>
      <c r="B4956" t="s">
        <v>4</v>
      </c>
    </row>
    <row r="4957" spans="1:2" x14ac:dyDescent="0.25">
      <c r="A4957" t="s">
        <v>57</v>
      </c>
      <c r="B4957" t="s">
        <v>4</v>
      </c>
    </row>
    <row r="4958" spans="1:2" x14ac:dyDescent="0.25">
      <c r="A4958" t="s">
        <v>58</v>
      </c>
      <c r="B4958">
        <v>0.94</v>
      </c>
    </row>
    <row r="4959" spans="1:2" x14ac:dyDescent="0.25">
      <c r="A4959" t="s">
        <v>59</v>
      </c>
      <c r="B4959" t="s">
        <v>4</v>
      </c>
    </row>
    <row r="4960" spans="1:2" x14ac:dyDescent="0.25">
      <c r="A4960" t="s">
        <v>60</v>
      </c>
      <c r="B4960">
        <v>0.36</v>
      </c>
    </row>
    <row r="4961" spans="1:4" x14ac:dyDescent="0.25">
      <c r="A4961" t="s">
        <v>61</v>
      </c>
      <c r="B4961">
        <v>1.46</v>
      </c>
    </row>
    <row r="4962" spans="1:4" x14ac:dyDescent="0.25">
      <c r="A4962" t="s">
        <v>62</v>
      </c>
      <c r="B4962">
        <v>2.4</v>
      </c>
    </row>
    <row r="4963" spans="1:4" x14ac:dyDescent="0.25">
      <c r="A4963" t="s">
        <v>63</v>
      </c>
      <c r="B4963">
        <v>5.89</v>
      </c>
    </row>
    <row r="4964" spans="1:4" x14ac:dyDescent="0.25">
      <c r="A4964" t="s">
        <v>64</v>
      </c>
      <c r="B4964">
        <v>10.17</v>
      </c>
    </row>
    <row r="4965" spans="1:4" x14ac:dyDescent="0.25">
      <c r="A4965" t="s">
        <v>65</v>
      </c>
      <c r="B4965">
        <v>2.8</v>
      </c>
    </row>
    <row r="4966" spans="1:4" x14ac:dyDescent="0.25">
      <c r="A4966" t="s">
        <v>66</v>
      </c>
      <c r="B4966">
        <v>4.57</v>
      </c>
    </row>
    <row r="4967" spans="1:4" x14ac:dyDescent="0.25">
      <c r="A4967" t="s">
        <v>67</v>
      </c>
      <c r="B4967">
        <v>2062.52</v>
      </c>
    </row>
    <row r="4968" spans="1:4" x14ac:dyDescent="0.25">
      <c r="A4968" t="s">
        <v>68</v>
      </c>
      <c r="B4968">
        <v>0.56999999999999995</v>
      </c>
    </row>
    <row r="4969" spans="1:4" x14ac:dyDescent="0.25">
      <c r="A4969" t="s">
        <v>69</v>
      </c>
      <c r="B4969" s="2">
        <v>11574.01</v>
      </c>
      <c r="D4969" s="2" t="s">
        <v>166</v>
      </c>
    </row>
    <row r="4970" spans="1:4" x14ac:dyDescent="0.25">
      <c r="A4970" t="s">
        <v>70</v>
      </c>
      <c r="B4970">
        <v>2.97</v>
      </c>
      <c r="D4970" s="2" t="s">
        <v>167</v>
      </c>
    </row>
    <row r="4971" spans="1:4" x14ac:dyDescent="0.25">
      <c r="A4971" t="s">
        <v>71</v>
      </c>
      <c r="B4971">
        <v>3.1</v>
      </c>
    </row>
    <row r="4972" spans="1:4" x14ac:dyDescent="0.25">
      <c r="A4972" t="s">
        <v>72</v>
      </c>
      <c r="B4972">
        <v>2.0699999999999998</v>
      </c>
    </row>
    <row r="4973" spans="1:4" x14ac:dyDescent="0.25">
      <c r="A4973" t="s">
        <v>73</v>
      </c>
      <c r="B4973">
        <v>2.12</v>
      </c>
    </row>
    <row r="4974" spans="1:4" x14ac:dyDescent="0.25">
      <c r="A4974" t="s">
        <v>74</v>
      </c>
      <c r="B4974">
        <v>2.27</v>
      </c>
    </row>
    <row r="4975" spans="1:4" x14ac:dyDescent="0.25">
      <c r="A4975" t="s">
        <v>75</v>
      </c>
      <c r="B4975">
        <v>1.98</v>
      </c>
    </row>
    <row r="4976" spans="1:4" x14ac:dyDescent="0.25">
      <c r="A4976" t="s">
        <v>76</v>
      </c>
      <c r="B4976">
        <v>0.98</v>
      </c>
    </row>
    <row r="4977" spans="1:2" x14ac:dyDescent="0.25">
      <c r="A4977" t="s">
        <v>77</v>
      </c>
      <c r="B4977">
        <v>0.93</v>
      </c>
    </row>
    <row r="4978" spans="1:2" x14ac:dyDescent="0.25">
      <c r="A4978" t="s">
        <v>78</v>
      </c>
      <c r="B4978">
        <v>0.41</v>
      </c>
    </row>
    <row r="4979" spans="1:2" x14ac:dyDescent="0.25">
      <c r="A4979" t="s">
        <v>79</v>
      </c>
      <c r="B4979">
        <v>0.25</v>
      </c>
    </row>
    <row r="4980" spans="1:2" x14ac:dyDescent="0.25">
      <c r="A4980" t="s">
        <v>80</v>
      </c>
      <c r="B4980">
        <v>0.98</v>
      </c>
    </row>
    <row r="4981" spans="1:2" x14ac:dyDescent="0.25">
      <c r="A4981" t="s">
        <v>81</v>
      </c>
      <c r="B4981">
        <v>0.35</v>
      </c>
    </row>
    <row r="4984" spans="1:2" x14ac:dyDescent="0.25">
      <c r="A4984" t="s">
        <v>0</v>
      </c>
      <c r="B4984" t="s">
        <v>134</v>
      </c>
    </row>
    <row r="4986" spans="1:2" s="1" customFormat="1" x14ac:dyDescent="0.25">
      <c r="A4986" s="1" t="s">
        <v>2</v>
      </c>
      <c r="B4986" s="1" t="s">
        <v>157</v>
      </c>
    </row>
    <row r="4987" spans="1:2" x14ac:dyDescent="0.25">
      <c r="A4987" t="s">
        <v>3</v>
      </c>
      <c r="B4987" t="s">
        <v>4</v>
      </c>
    </row>
    <row r="4988" spans="1:2" x14ac:dyDescent="0.25">
      <c r="A4988" t="s">
        <v>5</v>
      </c>
      <c r="B4988" t="s">
        <v>4</v>
      </c>
    </row>
    <row r="4989" spans="1:2" x14ac:dyDescent="0.25">
      <c r="A4989" t="s">
        <v>6</v>
      </c>
      <c r="B4989" t="s">
        <v>4</v>
      </c>
    </row>
    <row r="4990" spans="1:2" x14ac:dyDescent="0.25">
      <c r="A4990" t="s">
        <v>7</v>
      </c>
      <c r="B4990" t="s">
        <v>4</v>
      </c>
    </row>
    <row r="4991" spans="1:2" x14ac:dyDescent="0.25">
      <c r="A4991" t="s">
        <v>8</v>
      </c>
      <c r="B4991" t="s">
        <v>4</v>
      </c>
    </row>
    <row r="4992" spans="1:2" x14ac:dyDescent="0.25">
      <c r="A4992" t="s">
        <v>9</v>
      </c>
      <c r="B4992" t="s">
        <v>4</v>
      </c>
    </row>
    <row r="4993" spans="1:2" x14ac:dyDescent="0.25">
      <c r="A4993" t="s">
        <v>10</v>
      </c>
      <c r="B4993" t="s">
        <v>4</v>
      </c>
    </row>
    <row r="4994" spans="1:2" x14ac:dyDescent="0.25">
      <c r="A4994" t="s">
        <v>11</v>
      </c>
      <c r="B4994" t="s">
        <v>4</v>
      </c>
    </row>
    <row r="4995" spans="1:2" x14ac:dyDescent="0.25">
      <c r="A4995" t="s">
        <v>12</v>
      </c>
      <c r="B4995" t="s">
        <v>4</v>
      </c>
    </row>
    <row r="4996" spans="1:2" x14ac:dyDescent="0.25">
      <c r="A4996" t="s">
        <v>13</v>
      </c>
      <c r="B4996" t="s">
        <v>4</v>
      </c>
    </row>
    <row r="4997" spans="1:2" x14ac:dyDescent="0.25">
      <c r="A4997" t="s">
        <v>14</v>
      </c>
      <c r="B4997" t="s">
        <v>4</v>
      </c>
    </row>
    <row r="4998" spans="1:2" x14ac:dyDescent="0.25">
      <c r="A4998" t="s">
        <v>15</v>
      </c>
      <c r="B4998" t="s">
        <v>4</v>
      </c>
    </row>
    <row r="4999" spans="1:2" x14ac:dyDescent="0.25">
      <c r="A4999" t="s">
        <v>16</v>
      </c>
      <c r="B4999" t="s">
        <v>4</v>
      </c>
    </row>
    <row r="5000" spans="1:2" x14ac:dyDescent="0.25">
      <c r="A5000" t="s">
        <v>17</v>
      </c>
      <c r="B5000" t="s">
        <v>4</v>
      </c>
    </row>
    <row r="5001" spans="1:2" x14ac:dyDescent="0.25">
      <c r="A5001" t="s">
        <v>18</v>
      </c>
      <c r="B5001" t="s">
        <v>4</v>
      </c>
    </row>
    <row r="5002" spans="1:2" x14ac:dyDescent="0.25">
      <c r="A5002" t="s">
        <v>19</v>
      </c>
      <c r="B5002" t="s">
        <v>4</v>
      </c>
    </row>
    <row r="5003" spans="1:2" x14ac:dyDescent="0.25">
      <c r="A5003" t="s">
        <v>20</v>
      </c>
      <c r="B5003" t="s">
        <v>4</v>
      </c>
    </row>
    <row r="5004" spans="1:2" x14ac:dyDescent="0.25">
      <c r="A5004" t="s">
        <v>21</v>
      </c>
      <c r="B5004" t="s">
        <v>4</v>
      </c>
    </row>
    <row r="5005" spans="1:2" x14ac:dyDescent="0.25">
      <c r="A5005" t="s">
        <v>22</v>
      </c>
      <c r="B5005" t="s">
        <v>4</v>
      </c>
    </row>
    <row r="5006" spans="1:2" x14ac:dyDescent="0.25">
      <c r="A5006" t="s">
        <v>23</v>
      </c>
      <c r="B5006" t="s">
        <v>4</v>
      </c>
    </row>
    <row r="5007" spans="1:2" x14ac:dyDescent="0.25">
      <c r="A5007" t="s">
        <v>24</v>
      </c>
      <c r="B5007" t="s">
        <v>4</v>
      </c>
    </row>
    <row r="5008" spans="1:2" x14ac:dyDescent="0.25">
      <c r="A5008" t="s">
        <v>25</v>
      </c>
      <c r="B5008" t="s">
        <v>4</v>
      </c>
    </row>
    <row r="5009" spans="1:2" x14ac:dyDescent="0.25">
      <c r="A5009" t="s">
        <v>26</v>
      </c>
      <c r="B5009" t="s">
        <v>4</v>
      </c>
    </row>
    <row r="5010" spans="1:2" x14ac:dyDescent="0.25">
      <c r="A5010" t="s">
        <v>27</v>
      </c>
      <c r="B5010" t="s">
        <v>4</v>
      </c>
    </row>
    <row r="5011" spans="1:2" x14ac:dyDescent="0.25">
      <c r="A5011" t="s">
        <v>28</v>
      </c>
      <c r="B5011" t="s">
        <v>4</v>
      </c>
    </row>
    <row r="5012" spans="1:2" x14ac:dyDescent="0.25">
      <c r="A5012" t="s">
        <v>29</v>
      </c>
      <c r="B5012" t="s">
        <v>4</v>
      </c>
    </row>
    <row r="5013" spans="1:2" x14ac:dyDescent="0.25">
      <c r="A5013" t="s">
        <v>30</v>
      </c>
      <c r="B5013" t="s">
        <v>4</v>
      </c>
    </row>
    <row r="5014" spans="1:2" x14ac:dyDescent="0.25">
      <c r="A5014" t="s">
        <v>31</v>
      </c>
      <c r="B5014" t="s">
        <v>4</v>
      </c>
    </row>
    <row r="5015" spans="1:2" x14ac:dyDescent="0.25">
      <c r="A5015" t="s">
        <v>32</v>
      </c>
      <c r="B5015" t="s">
        <v>4</v>
      </c>
    </row>
    <row r="5016" spans="1:2" x14ac:dyDescent="0.25">
      <c r="A5016" t="s">
        <v>33</v>
      </c>
      <c r="B5016" t="s">
        <v>4</v>
      </c>
    </row>
    <row r="5017" spans="1:2" x14ac:dyDescent="0.25">
      <c r="A5017" t="s">
        <v>34</v>
      </c>
      <c r="B5017" t="s">
        <v>4</v>
      </c>
    </row>
    <row r="5018" spans="1:2" x14ac:dyDescent="0.25">
      <c r="A5018" t="s">
        <v>35</v>
      </c>
      <c r="B5018" t="s">
        <v>4</v>
      </c>
    </row>
    <row r="5019" spans="1:2" x14ac:dyDescent="0.25">
      <c r="A5019" t="s">
        <v>36</v>
      </c>
      <c r="B5019" t="s">
        <v>4</v>
      </c>
    </row>
    <row r="5020" spans="1:2" x14ac:dyDescent="0.25">
      <c r="A5020" t="s">
        <v>37</v>
      </c>
      <c r="B5020" t="s">
        <v>4</v>
      </c>
    </row>
    <row r="5021" spans="1:2" x14ac:dyDescent="0.25">
      <c r="A5021" t="s">
        <v>38</v>
      </c>
      <c r="B5021" t="s">
        <v>4</v>
      </c>
    </row>
    <row r="5022" spans="1:2" x14ac:dyDescent="0.25">
      <c r="A5022" t="s">
        <v>39</v>
      </c>
      <c r="B5022" t="s">
        <v>4</v>
      </c>
    </row>
    <row r="5023" spans="1:2" x14ac:dyDescent="0.25">
      <c r="A5023" t="s">
        <v>40</v>
      </c>
      <c r="B5023" t="s">
        <v>4</v>
      </c>
    </row>
    <row r="5024" spans="1:2" x14ac:dyDescent="0.25">
      <c r="A5024" t="s">
        <v>41</v>
      </c>
      <c r="B5024" t="s">
        <v>4</v>
      </c>
    </row>
    <row r="5025" spans="1:2" x14ac:dyDescent="0.25">
      <c r="A5025" t="s">
        <v>42</v>
      </c>
      <c r="B5025" t="s">
        <v>4</v>
      </c>
    </row>
    <row r="5026" spans="1:2" x14ac:dyDescent="0.25">
      <c r="A5026" t="s">
        <v>43</v>
      </c>
      <c r="B5026" t="s">
        <v>4</v>
      </c>
    </row>
    <row r="5027" spans="1:2" x14ac:dyDescent="0.25">
      <c r="A5027" t="s">
        <v>44</v>
      </c>
      <c r="B5027" t="s">
        <v>4</v>
      </c>
    </row>
    <row r="5028" spans="1:2" x14ac:dyDescent="0.25">
      <c r="A5028" t="s">
        <v>45</v>
      </c>
      <c r="B5028" t="s">
        <v>4</v>
      </c>
    </row>
    <row r="5029" spans="1:2" x14ac:dyDescent="0.25">
      <c r="A5029" t="s">
        <v>46</v>
      </c>
      <c r="B5029" t="s">
        <v>4</v>
      </c>
    </row>
    <row r="5030" spans="1:2" x14ac:dyDescent="0.25">
      <c r="A5030" t="s">
        <v>47</v>
      </c>
      <c r="B5030" t="s">
        <v>4</v>
      </c>
    </row>
    <row r="5031" spans="1:2" x14ac:dyDescent="0.25">
      <c r="A5031" t="s">
        <v>48</v>
      </c>
      <c r="B5031" t="s">
        <v>4</v>
      </c>
    </row>
    <row r="5032" spans="1:2" x14ac:dyDescent="0.25">
      <c r="A5032" t="s">
        <v>49</v>
      </c>
      <c r="B5032" t="s">
        <v>4</v>
      </c>
    </row>
    <row r="5033" spans="1:2" x14ac:dyDescent="0.25">
      <c r="A5033" t="s">
        <v>50</v>
      </c>
      <c r="B5033" t="s">
        <v>4</v>
      </c>
    </row>
    <row r="5034" spans="1:2" x14ac:dyDescent="0.25">
      <c r="A5034" t="s">
        <v>51</v>
      </c>
      <c r="B5034" t="s">
        <v>4</v>
      </c>
    </row>
    <row r="5035" spans="1:2" x14ac:dyDescent="0.25">
      <c r="A5035" t="s">
        <v>52</v>
      </c>
      <c r="B5035" t="s">
        <v>4</v>
      </c>
    </row>
    <row r="5036" spans="1:2" x14ac:dyDescent="0.25">
      <c r="A5036" t="s">
        <v>53</v>
      </c>
      <c r="B5036" t="s">
        <v>4</v>
      </c>
    </row>
    <row r="5037" spans="1:2" x14ac:dyDescent="0.25">
      <c r="A5037" t="s">
        <v>54</v>
      </c>
      <c r="B5037" t="s">
        <v>4</v>
      </c>
    </row>
    <row r="5038" spans="1:2" x14ac:dyDescent="0.25">
      <c r="A5038" t="s">
        <v>55</v>
      </c>
      <c r="B5038" t="s">
        <v>4</v>
      </c>
    </row>
    <row r="5039" spans="1:2" x14ac:dyDescent="0.25">
      <c r="A5039" t="s">
        <v>56</v>
      </c>
      <c r="B5039" t="s">
        <v>4</v>
      </c>
    </row>
    <row r="5040" spans="1:2" x14ac:dyDescent="0.25">
      <c r="A5040" t="s">
        <v>57</v>
      </c>
      <c r="B5040" t="s">
        <v>4</v>
      </c>
    </row>
    <row r="5041" spans="1:2" x14ac:dyDescent="0.25">
      <c r="A5041" t="s">
        <v>58</v>
      </c>
      <c r="B5041" t="s">
        <v>4</v>
      </c>
    </row>
    <row r="5042" spans="1:2" x14ac:dyDescent="0.25">
      <c r="A5042" t="s">
        <v>59</v>
      </c>
      <c r="B5042" t="s">
        <v>4</v>
      </c>
    </row>
    <row r="5043" spans="1:2" x14ac:dyDescent="0.25">
      <c r="A5043" t="s">
        <v>60</v>
      </c>
      <c r="B5043">
        <v>1.95</v>
      </c>
    </row>
    <row r="5044" spans="1:2" x14ac:dyDescent="0.25">
      <c r="A5044" t="s">
        <v>61</v>
      </c>
      <c r="B5044">
        <v>2.2799999999999998</v>
      </c>
    </row>
    <row r="5045" spans="1:2" x14ac:dyDescent="0.25">
      <c r="A5045" t="s">
        <v>62</v>
      </c>
      <c r="B5045">
        <v>2.99</v>
      </c>
    </row>
    <row r="5046" spans="1:2" x14ac:dyDescent="0.25">
      <c r="A5046" t="s">
        <v>63</v>
      </c>
      <c r="B5046">
        <v>6.08</v>
      </c>
    </row>
    <row r="5047" spans="1:2" x14ac:dyDescent="0.25">
      <c r="A5047" t="s">
        <v>64</v>
      </c>
      <c r="B5047">
        <v>5.15</v>
      </c>
    </row>
    <row r="5048" spans="1:2" x14ac:dyDescent="0.25">
      <c r="A5048" t="s">
        <v>65</v>
      </c>
      <c r="B5048" t="s">
        <v>4</v>
      </c>
    </row>
    <row r="5049" spans="1:2" x14ac:dyDescent="0.25">
      <c r="A5049" t="s">
        <v>66</v>
      </c>
      <c r="B5049" t="s">
        <v>4</v>
      </c>
    </row>
    <row r="5050" spans="1:2" x14ac:dyDescent="0.25">
      <c r="A5050" t="s">
        <v>67</v>
      </c>
      <c r="B5050" t="s">
        <v>4</v>
      </c>
    </row>
    <row r="5051" spans="1:2" x14ac:dyDescent="0.25">
      <c r="A5051" t="s">
        <v>68</v>
      </c>
      <c r="B5051" t="s">
        <v>4</v>
      </c>
    </row>
    <row r="5052" spans="1:2" x14ac:dyDescent="0.25">
      <c r="A5052" t="s">
        <v>69</v>
      </c>
      <c r="B5052" t="s">
        <v>4</v>
      </c>
    </row>
    <row r="5053" spans="1:2" x14ac:dyDescent="0.25">
      <c r="A5053" t="s">
        <v>70</v>
      </c>
      <c r="B5053">
        <v>3.48</v>
      </c>
    </row>
    <row r="5054" spans="1:2" x14ac:dyDescent="0.25">
      <c r="A5054" t="s">
        <v>71</v>
      </c>
      <c r="B5054">
        <v>6.69</v>
      </c>
    </row>
    <row r="5055" spans="1:2" x14ac:dyDescent="0.25">
      <c r="A5055" t="s">
        <v>72</v>
      </c>
      <c r="B5055">
        <v>5.68</v>
      </c>
    </row>
    <row r="5056" spans="1:2" x14ac:dyDescent="0.25">
      <c r="A5056" t="s">
        <v>73</v>
      </c>
      <c r="B5056" t="s">
        <v>4</v>
      </c>
    </row>
    <row r="5057" spans="1:5" x14ac:dyDescent="0.25">
      <c r="A5057" t="s">
        <v>74</v>
      </c>
      <c r="B5057">
        <v>5.6</v>
      </c>
    </row>
    <row r="5058" spans="1:5" x14ac:dyDescent="0.25">
      <c r="A5058" t="s">
        <v>75</v>
      </c>
      <c r="B5058">
        <v>3.57</v>
      </c>
    </row>
    <row r="5059" spans="1:5" x14ac:dyDescent="0.25">
      <c r="A5059" t="s">
        <v>76</v>
      </c>
      <c r="B5059">
        <v>4.66</v>
      </c>
    </row>
    <row r="5060" spans="1:5" x14ac:dyDescent="0.25">
      <c r="A5060" t="s">
        <v>77</v>
      </c>
      <c r="B5060">
        <v>3.78</v>
      </c>
    </row>
    <row r="5061" spans="1:5" x14ac:dyDescent="0.25">
      <c r="A5061" t="s">
        <v>78</v>
      </c>
      <c r="B5061" t="s">
        <v>4</v>
      </c>
    </row>
    <row r="5062" spans="1:5" x14ac:dyDescent="0.25">
      <c r="A5062" t="s">
        <v>79</v>
      </c>
      <c r="B5062" t="s">
        <v>4</v>
      </c>
    </row>
    <row r="5063" spans="1:5" x14ac:dyDescent="0.25">
      <c r="A5063" t="s">
        <v>80</v>
      </c>
      <c r="B5063" t="s">
        <v>4</v>
      </c>
    </row>
    <row r="5064" spans="1:5" x14ac:dyDescent="0.25">
      <c r="A5064" t="s">
        <v>81</v>
      </c>
      <c r="B5064" t="s">
        <v>4</v>
      </c>
      <c r="E5064">
        <f>5064-4984</f>
        <v>80</v>
      </c>
    </row>
    <row r="5067" spans="1:5" x14ac:dyDescent="0.25">
      <c r="A5067" t="s">
        <v>0</v>
      </c>
      <c r="B5067" t="s">
        <v>135</v>
      </c>
    </row>
    <row r="5069" spans="1:5" s="1" customFormat="1" x14ac:dyDescent="0.25">
      <c r="A5069" s="1" t="s">
        <v>2</v>
      </c>
      <c r="B5069" s="1" t="s">
        <v>157</v>
      </c>
    </row>
    <row r="5070" spans="1:5" x14ac:dyDescent="0.25">
      <c r="A5070" t="s">
        <v>3</v>
      </c>
      <c r="B5070" t="s">
        <v>4</v>
      </c>
    </row>
    <row r="5071" spans="1:5" x14ac:dyDescent="0.25">
      <c r="A5071" t="s">
        <v>5</v>
      </c>
      <c r="B5071" t="s">
        <v>4</v>
      </c>
    </row>
    <row r="5072" spans="1:5" x14ac:dyDescent="0.25">
      <c r="A5072" t="s">
        <v>6</v>
      </c>
      <c r="B5072" t="s">
        <v>4</v>
      </c>
    </row>
    <row r="5073" spans="1:2" x14ac:dyDescent="0.25">
      <c r="A5073" t="s">
        <v>7</v>
      </c>
      <c r="B5073" t="s">
        <v>4</v>
      </c>
    </row>
    <row r="5074" spans="1:2" x14ac:dyDescent="0.25">
      <c r="A5074" t="s">
        <v>8</v>
      </c>
      <c r="B5074" t="s">
        <v>4</v>
      </c>
    </row>
    <row r="5075" spans="1:2" x14ac:dyDescent="0.25">
      <c r="A5075" t="s">
        <v>9</v>
      </c>
      <c r="B5075" t="s">
        <v>4</v>
      </c>
    </row>
    <row r="5076" spans="1:2" x14ac:dyDescent="0.25">
      <c r="A5076" t="s">
        <v>10</v>
      </c>
      <c r="B5076" t="s">
        <v>4</v>
      </c>
    </row>
    <row r="5077" spans="1:2" x14ac:dyDescent="0.25">
      <c r="A5077" t="s">
        <v>11</v>
      </c>
      <c r="B5077" t="s">
        <v>4</v>
      </c>
    </row>
    <row r="5078" spans="1:2" x14ac:dyDescent="0.25">
      <c r="A5078" t="s">
        <v>12</v>
      </c>
      <c r="B5078" t="s">
        <v>4</v>
      </c>
    </row>
    <row r="5079" spans="1:2" x14ac:dyDescent="0.25">
      <c r="A5079" t="s">
        <v>13</v>
      </c>
      <c r="B5079" t="s">
        <v>4</v>
      </c>
    </row>
    <row r="5080" spans="1:2" x14ac:dyDescent="0.25">
      <c r="A5080" t="s">
        <v>14</v>
      </c>
      <c r="B5080" t="s">
        <v>4</v>
      </c>
    </row>
    <row r="5081" spans="1:2" x14ac:dyDescent="0.25">
      <c r="A5081" t="s">
        <v>15</v>
      </c>
      <c r="B5081" t="s">
        <v>4</v>
      </c>
    </row>
    <row r="5082" spans="1:2" x14ac:dyDescent="0.25">
      <c r="A5082" t="s">
        <v>16</v>
      </c>
      <c r="B5082" t="s">
        <v>4</v>
      </c>
    </row>
    <row r="5083" spans="1:2" x14ac:dyDescent="0.25">
      <c r="A5083" t="s">
        <v>17</v>
      </c>
      <c r="B5083" t="s">
        <v>4</v>
      </c>
    </row>
    <row r="5084" spans="1:2" x14ac:dyDescent="0.25">
      <c r="A5084" t="s">
        <v>18</v>
      </c>
      <c r="B5084" t="s">
        <v>4</v>
      </c>
    </row>
    <row r="5085" spans="1:2" x14ac:dyDescent="0.25">
      <c r="A5085" t="s">
        <v>19</v>
      </c>
      <c r="B5085" t="s">
        <v>4</v>
      </c>
    </row>
    <row r="5086" spans="1:2" x14ac:dyDescent="0.25">
      <c r="A5086" t="s">
        <v>20</v>
      </c>
      <c r="B5086" t="s">
        <v>4</v>
      </c>
    </row>
    <row r="5087" spans="1:2" x14ac:dyDescent="0.25">
      <c r="A5087" t="s">
        <v>21</v>
      </c>
      <c r="B5087" t="s">
        <v>4</v>
      </c>
    </row>
    <row r="5088" spans="1:2" x14ac:dyDescent="0.25">
      <c r="A5088" t="s">
        <v>22</v>
      </c>
      <c r="B5088" t="s">
        <v>4</v>
      </c>
    </row>
    <row r="5089" spans="1:2" x14ac:dyDescent="0.25">
      <c r="A5089" t="s">
        <v>23</v>
      </c>
      <c r="B5089" t="s">
        <v>4</v>
      </c>
    </row>
    <row r="5090" spans="1:2" x14ac:dyDescent="0.25">
      <c r="A5090" t="s">
        <v>24</v>
      </c>
      <c r="B5090" t="s">
        <v>4</v>
      </c>
    </row>
    <row r="5091" spans="1:2" x14ac:dyDescent="0.25">
      <c r="A5091" t="s">
        <v>25</v>
      </c>
      <c r="B5091" t="s">
        <v>4</v>
      </c>
    </row>
    <row r="5092" spans="1:2" x14ac:dyDescent="0.25">
      <c r="A5092" t="s">
        <v>26</v>
      </c>
      <c r="B5092" t="s">
        <v>4</v>
      </c>
    </row>
    <row r="5093" spans="1:2" x14ac:dyDescent="0.25">
      <c r="A5093" t="s">
        <v>27</v>
      </c>
      <c r="B5093" t="s">
        <v>4</v>
      </c>
    </row>
    <row r="5094" spans="1:2" x14ac:dyDescent="0.25">
      <c r="A5094" t="s">
        <v>28</v>
      </c>
      <c r="B5094" t="s">
        <v>4</v>
      </c>
    </row>
    <row r="5095" spans="1:2" x14ac:dyDescent="0.25">
      <c r="A5095" t="s">
        <v>29</v>
      </c>
      <c r="B5095" t="s">
        <v>4</v>
      </c>
    </row>
    <row r="5096" spans="1:2" x14ac:dyDescent="0.25">
      <c r="A5096" t="s">
        <v>30</v>
      </c>
      <c r="B5096" t="s">
        <v>4</v>
      </c>
    </row>
    <row r="5097" spans="1:2" x14ac:dyDescent="0.25">
      <c r="A5097" t="s">
        <v>31</v>
      </c>
      <c r="B5097" t="s">
        <v>4</v>
      </c>
    </row>
    <row r="5098" spans="1:2" x14ac:dyDescent="0.25">
      <c r="A5098" t="s">
        <v>32</v>
      </c>
      <c r="B5098" t="s">
        <v>4</v>
      </c>
    </row>
    <row r="5099" spans="1:2" x14ac:dyDescent="0.25">
      <c r="A5099" t="s">
        <v>33</v>
      </c>
      <c r="B5099" t="s">
        <v>4</v>
      </c>
    </row>
    <row r="5100" spans="1:2" x14ac:dyDescent="0.25">
      <c r="A5100" t="s">
        <v>34</v>
      </c>
      <c r="B5100" t="s">
        <v>4</v>
      </c>
    </row>
    <row r="5101" spans="1:2" x14ac:dyDescent="0.25">
      <c r="A5101" t="s">
        <v>35</v>
      </c>
      <c r="B5101" t="s">
        <v>4</v>
      </c>
    </row>
    <row r="5102" spans="1:2" x14ac:dyDescent="0.25">
      <c r="A5102" t="s">
        <v>36</v>
      </c>
      <c r="B5102" t="s">
        <v>4</v>
      </c>
    </row>
    <row r="5103" spans="1:2" x14ac:dyDescent="0.25">
      <c r="A5103" t="s">
        <v>37</v>
      </c>
      <c r="B5103" t="s">
        <v>4</v>
      </c>
    </row>
    <row r="5104" spans="1:2" x14ac:dyDescent="0.25">
      <c r="A5104" t="s">
        <v>38</v>
      </c>
      <c r="B5104" t="s">
        <v>4</v>
      </c>
    </row>
    <row r="5105" spans="1:2" x14ac:dyDescent="0.25">
      <c r="A5105" t="s">
        <v>39</v>
      </c>
      <c r="B5105" t="s">
        <v>4</v>
      </c>
    </row>
    <row r="5106" spans="1:2" x14ac:dyDescent="0.25">
      <c r="A5106" t="s">
        <v>40</v>
      </c>
      <c r="B5106" t="s">
        <v>4</v>
      </c>
    </row>
    <row r="5107" spans="1:2" x14ac:dyDescent="0.25">
      <c r="A5107" t="s">
        <v>41</v>
      </c>
      <c r="B5107" t="s">
        <v>4</v>
      </c>
    </row>
    <row r="5108" spans="1:2" x14ac:dyDescent="0.25">
      <c r="A5108" t="s">
        <v>42</v>
      </c>
      <c r="B5108" t="s">
        <v>4</v>
      </c>
    </row>
    <row r="5109" spans="1:2" x14ac:dyDescent="0.25">
      <c r="A5109" t="s">
        <v>43</v>
      </c>
      <c r="B5109" t="s">
        <v>4</v>
      </c>
    </row>
    <row r="5110" spans="1:2" x14ac:dyDescent="0.25">
      <c r="A5110" t="s">
        <v>44</v>
      </c>
      <c r="B5110" t="s">
        <v>4</v>
      </c>
    </row>
    <row r="5111" spans="1:2" x14ac:dyDescent="0.25">
      <c r="A5111" t="s">
        <v>45</v>
      </c>
      <c r="B5111" t="s">
        <v>4</v>
      </c>
    </row>
    <row r="5112" spans="1:2" x14ac:dyDescent="0.25">
      <c r="A5112" t="s">
        <v>46</v>
      </c>
      <c r="B5112" t="s">
        <v>4</v>
      </c>
    </row>
    <row r="5113" spans="1:2" x14ac:dyDescent="0.25">
      <c r="A5113" t="s">
        <v>47</v>
      </c>
      <c r="B5113" t="s">
        <v>4</v>
      </c>
    </row>
    <row r="5114" spans="1:2" x14ac:dyDescent="0.25">
      <c r="A5114" t="s">
        <v>48</v>
      </c>
      <c r="B5114" t="s">
        <v>4</v>
      </c>
    </row>
    <row r="5115" spans="1:2" x14ac:dyDescent="0.25">
      <c r="A5115" t="s">
        <v>49</v>
      </c>
      <c r="B5115" t="s">
        <v>4</v>
      </c>
    </row>
    <row r="5116" spans="1:2" x14ac:dyDescent="0.25">
      <c r="A5116" t="s">
        <v>50</v>
      </c>
      <c r="B5116" t="s">
        <v>4</v>
      </c>
    </row>
    <row r="5117" spans="1:2" x14ac:dyDescent="0.25">
      <c r="A5117" t="s">
        <v>51</v>
      </c>
      <c r="B5117" t="s">
        <v>4</v>
      </c>
    </row>
    <row r="5118" spans="1:2" x14ac:dyDescent="0.25">
      <c r="A5118" t="s">
        <v>52</v>
      </c>
      <c r="B5118" t="s">
        <v>4</v>
      </c>
    </row>
    <row r="5119" spans="1:2" x14ac:dyDescent="0.25">
      <c r="A5119" t="s">
        <v>53</v>
      </c>
      <c r="B5119" t="s">
        <v>4</v>
      </c>
    </row>
    <row r="5120" spans="1:2" x14ac:dyDescent="0.25">
      <c r="A5120" t="s">
        <v>54</v>
      </c>
      <c r="B5120" t="s">
        <v>4</v>
      </c>
    </row>
    <row r="5121" spans="1:2" x14ac:dyDescent="0.25">
      <c r="A5121" t="s">
        <v>55</v>
      </c>
      <c r="B5121" t="s">
        <v>4</v>
      </c>
    </row>
    <row r="5122" spans="1:2" x14ac:dyDescent="0.25">
      <c r="A5122" t="s">
        <v>56</v>
      </c>
      <c r="B5122" t="s">
        <v>4</v>
      </c>
    </row>
    <row r="5123" spans="1:2" x14ac:dyDescent="0.25">
      <c r="A5123" t="s">
        <v>57</v>
      </c>
      <c r="B5123" t="s">
        <v>4</v>
      </c>
    </row>
    <row r="5124" spans="1:2" x14ac:dyDescent="0.25">
      <c r="A5124" t="s">
        <v>58</v>
      </c>
      <c r="B5124" t="s">
        <v>4</v>
      </c>
    </row>
    <row r="5125" spans="1:2" x14ac:dyDescent="0.25">
      <c r="A5125" t="s">
        <v>59</v>
      </c>
      <c r="B5125" t="s">
        <v>4</v>
      </c>
    </row>
    <row r="5126" spans="1:2" x14ac:dyDescent="0.25">
      <c r="A5126" t="s">
        <v>60</v>
      </c>
      <c r="B5126" t="s">
        <v>4</v>
      </c>
    </row>
    <row r="5127" spans="1:2" x14ac:dyDescent="0.25">
      <c r="A5127" t="s">
        <v>61</v>
      </c>
      <c r="B5127" t="s">
        <v>4</v>
      </c>
    </row>
    <row r="5128" spans="1:2" x14ac:dyDescent="0.25">
      <c r="A5128" t="s">
        <v>62</v>
      </c>
      <c r="B5128" t="s">
        <v>4</v>
      </c>
    </row>
    <row r="5129" spans="1:2" x14ac:dyDescent="0.25">
      <c r="A5129" t="s">
        <v>63</v>
      </c>
      <c r="B5129" t="s">
        <v>4</v>
      </c>
    </row>
    <row r="5130" spans="1:2" x14ac:dyDescent="0.25">
      <c r="A5130" t="s">
        <v>64</v>
      </c>
      <c r="B5130" t="s">
        <v>4</v>
      </c>
    </row>
    <row r="5131" spans="1:2" x14ac:dyDescent="0.25">
      <c r="A5131" t="s">
        <v>65</v>
      </c>
      <c r="B5131" t="s">
        <v>4</v>
      </c>
    </row>
    <row r="5132" spans="1:2" x14ac:dyDescent="0.25">
      <c r="A5132" t="s">
        <v>66</v>
      </c>
      <c r="B5132" t="s">
        <v>4</v>
      </c>
    </row>
    <row r="5133" spans="1:2" x14ac:dyDescent="0.25">
      <c r="A5133" t="s">
        <v>67</v>
      </c>
      <c r="B5133" t="s">
        <v>4</v>
      </c>
    </row>
    <row r="5134" spans="1:2" x14ac:dyDescent="0.25">
      <c r="A5134" t="s">
        <v>68</v>
      </c>
      <c r="B5134" t="s">
        <v>4</v>
      </c>
    </row>
    <row r="5135" spans="1:2" x14ac:dyDescent="0.25">
      <c r="A5135" t="s">
        <v>69</v>
      </c>
      <c r="B5135" t="s">
        <v>4</v>
      </c>
    </row>
    <row r="5136" spans="1:2" x14ac:dyDescent="0.25">
      <c r="A5136" t="s">
        <v>70</v>
      </c>
      <c r="B5136" t="s">
        <v>4</v>
      </c>
    </row>
    <row r="5137" spans="1:2" x14ac:dyDescent="0.25">
      <c r="A5137" t="s">
        <v>71</v>
      </c>
      <c r="B5137" t="s">
        <v>4</v>
      </c>
    </row>
    <row r="5138" spans="1:2" x14ac:dyDescent="0.25">
      <c r="A5138" t="s">
        <v>72</v>
      </c>
      <c r="B5138" t="s">
        <v>4</v>
      </c>
    </row>
    <row r="5139" spans="1:2" x14ac:dyDescent="0.25">
      <c r="A5139" t="s">
        <v>73</v>
      </c>
      <c r="B5139" t="s">
        <v>4</v>
      </c>
    </row>
    <row r="5140" spans="1:2" x14ac:dyDescent="0.25">
      <c r="A5140" t="s">
        <v>74</v>
      </c>
      <c r="B5140" t="s">
        <v>4</v>
      </c>
    </row>
    <row r="5141" spans="1:2" x14ac:dyDescent="0.25">
      <c r="A5141" t="s">
        <v>75</v>
      </c>
      <c r="B5141" t="s">
        <v>4</v>
      </c>
    </row>
    <row r="5142" spans="1:2" x14ac:dyDescent="0.25">
      <c r="A5142" t="s">
        <v>76</v>
      </c>
      <c r="B5142" t="s">
        <v>4</v>
      </c>
    </row>
    <row r="5143" spans="1:2" x14ac:dyDescent="0.25">
      <c r="A5143" t="s">
        <v>77</v>
      </c>
      <c r="B5143" t="s">
        <v>4</v>
      </c>
    </row>
    <row r="5144" spans="1:2" x14ac:dyDescent="0.25">
      <c r="A5144" t="s">
        <v>78</v>
      </c>
      <c r="B5144" t="s">
        <v>4</v>
      </c>
    </row>
    <row r="5145" spans="1:2" x14ac:dyDescent="0.25">
      <c r="A5145" t="s">
        <v>79</v>
      </c>
      <c r="B5145" t="s">
        <v>4</v>
      </c>
    </row>
    <row r="5146" spans="1:2" x14ac:dyDescent="0.25">
      <c r="A5146" t="s">
        <v>80</v>
      </c>
      <c r="B5146" t="s">
        <v>4</v>
      </c>
    </row>
    <row r="5147" spans="1:2" x14ac:dyDescent="0.25">
      <c r="A5147" t="s">
        <v>81</v>
      </c>
      <c r="B5147" t="s">
        <v>4</v>
      </c>
    </row>
    <row r="5150" spans="1:2" x14ac:dyDescent="0.25">
      <c r="A5150" t="s">
        <v>0</v>
      </c>
      <c r="B5150" t="s">
        <v>136</v>
      </c>
    </row>
    <row r="5152" spans="1:2" s="1" customFormat="1" x14ac:dyDescent="0.25">
      <c r="A5152" s="1" t="s">
        <v>2</v>
      </c>
      <c r="B5152" s="1" t="s">
        <v>157</v>
      </c>
    </row>
    <row r="5153" spans="1:2" x14ac:dyDescent="0.25">
      <c r="A5153" t="s">
        <v>3</v>
      </c>
      <c r="B5153" t="s">
        <v>4</v>
      </c>
    </row>
    <row r="5154" spans="1:2" x14ac:dyDescent="0.25">
      <c r="A5154" t="s">
        <v>5</v>
      </c>
      <c r="B5154" t="s">
        <v>4</v>
      </c>
    </row>
    <row r="5155" spans="1:2" x14ac:dyDescent="0.25">
      <c r="A5155" t="s">
        <v>6</v>
      </c>
      <c r="B5155" t="s">
        <v>4</v>
      </c>
    </row>
    <row r="5156" spans="1:2" x14ac:dyDescent="0.25">
      <c r="A5156" t="s">
        <v>7</v>
      </c>
      <c r="B5156" t="s">
        <v>4</v>
      </c>
    </row>
    <row r="5157" spans="1:2" x14ac:dyDescent="0.25">
      <c r="A5157" t="s">
        <v>8</v>
      </c>
      <c r="B5157" t="s">
        <v>4</v>
      </c>
    </row>
    <row r="5158" spans="1:2" x14ac:dyDescent="0.25">
      <c r="A5158" t="s">
        <v>9</v>
      </c>
      <c r="B5158">
        <v>0.34</v>
      </c>
    </row>
    <row r="5159" spans="1:2" x14ac:dyDescent="0.25">
      <c r="A5159" t="s">
        <v>10</v>
      </c>
      <c r="B5159" t="s">
        <v>4</v>
      </c>
    </row>
    <row r="5160" spans="1:2" x14ac:dyDescent="0.25">
      <c r="A5160" t="s">
        <v>11</v>
      </c>
      <c r="B5160" t="s">
        <v>4</v>
      </c>
    </row>
    <row r="5161" spans="1:2" x14ac:dyDescent="0.25">
      <c r="A5161" t="s">
        <v>12</v>
      </c>
      <c r="B5161" t="s">
        <v>4</v>
      </c>
    </row>
    <row r="5162" spans="1:2" x14ac:dyDescent="0.25">
      <c r="A5162" t="s">
        <v>13</v>
      </c>
      <c r="B5162" t="s">
        <v>4</v>
      </c>
    </row>
    <row r="5163" spans="1:2" x14ac:dyDescent="0.25">
      <c r="A5163" t="s">
        <v>14</v>
      </c>
      <c r="B5163" t="s">
        <v>4</v>
      </c>
    </row>
    <row r="5164" spans="1:2" x14ac:dyDescent="0.25">
      <c r="A5164" t="s">
        <v>15</v>
      </c>
      <c r="B5164" t="s">
        <v>4</v>
      </c>
    </row>
    <row r="5165" spans="1:2" x14ac:dyDescent="0.25">
      <c r="A5165" t="s">
        <v>16</v>
      </c>
      <c r="B5165" t="s">
        <v>4</v>
      </c>
    </row>
    <row r="5166" spans="1:2" x14ac:dyDescent="0.25">
      <c r="A5166" t="s">
        <v>17</v>
      </c>
      <c r="B5166" t="s">
        <v>4</v>
      </c>
    </row>
    <row r="5167" spans="1:2" x14ac:dyDescent="0.25">
      <c r="A5167" t="s">
        <v>18</v>
      </c>
      <c r="B5167" t="s">
        <v>4</v>
      </c>
    </row>
    <row r="5168" spans="1:2" x14ac:dyDescent="0.25">
      <c r="A5168" t="s">
        <v>19</v>
      </c>
      <c r="B5168" t="s">
        <v>4</v>
      </c>
    </row>
    <row r="5169" spans="1:2" x14ac:dyDescent="0.25">
      <c r="A5169" t="s">
        <v>20</v>
      </c>
      <c r="B5169" t="s">
        <v>4</v>
      </c>
    </row>
    <row r="5170" spans="1:2" x14ac:dyDescent="0.25">
      <c r="A5170" t="s">
        <v>21</v>
      </c>
      <c r="B5170" t="s">
        <v>4</v>
      </c>
    </row>
    <row r="5171" spans="1:2" x14ac:dyDescent="0.25">
      <c r="A5171" t="s">
        <v>22</v>
      </c>
      <c r="B5171" t="s">
        <v>4</v>
      </c>
    </row>
    <row r="5172" spans="1:2" x14ac:dyDescent="0.25">
      <c r="A5172" t="s">
        <v>23</v>
      </c>
      <c r="B5172" t="s">
        <v>4</v>
      </c>
    </row>
    <row r="5173" spans="1:2" x14ac:dyDescent="0.25">
      <c r="A5173" t="s">
        <v>24</v>
      </c>
      <c r="B5173" t="s">
        <v>4</v>
      </c>
    </row>
    <row r="5174" spans="1:2" x14ac:dyDescent="0.25">
      <c r="A5174" t="s">
        <v>25</v>
      </c>
      <c r="B5174" t="s">
        <v>4</v>
      </c>
    </row>
    <row r="5175" spans="1:2" x14ac:dyDescent="0.25">
      <c r="A5175" t="s">
        <v>26</v>
      </c>
      <c r="B5175" t="s">
        <v>4</v>
      </c>
    </row>
    <row r="5176" spans="1:2" x14ac:dyDescent="0.25">
      <c r="A5176" t="s">
        <v>27</v>
      </c>
      <c r="B5176" t="s">
        <v>4</v>
      </c>
    </row>
    <row r="5177" spans="1:2" x14ac:dyDescent="0.25">
      <c r="A5177" t="s">
        <v>28</v>
      </c>
      <c r="B5177" t="s">
        <v>4</v>
      </c>
    </row>
    <row r="5178" spans="1:2" x14ac:dyDescent="0.25">
      <c r="A5178" t="s">
        <v>29</v>
      </c>
      <c r="B5178" t="s">
        <v>4</v>
      </c>
    </row>
    <row r="5179" spans="1:2" x14ac:dyDescent="0.25">
      <c r="A5179" t="s">
        <v>30</v>
      </c>
      <c r="B5179" t="s">
        <v>4</v>
      </c>
    </row>
    <row r="5180" spans="1:2" x14ac:dyDescent="0.25">
      <c r="A5180" t="s">
        <v>31</v>
      </c>
      <c r="B5180" t="s">
        <v>4</v>
      </c>
    </row>
    <row r="5181" spans="1:2" x14ac:dyDescent="0.25">
      <c r="A5181" t="s">
        <v>32</v>
      </c>
      <c r="B5181" t="s">
        <v>4</v>
      </c>
    </row>
    <row r="5182" spans="1:2" x14ac:dyDescent="0.25">
      <c r="A5182" t="s">
        <v>33</v>
      </c>
      <c r="B5182" t="s">
        <v>4</v>
      </c>
    </row>
    <row r="5183" spans="1:2" x14ac:dyDescent="0.25">
      <c r="A5183" t="s">
        <v>34</v>
      </c>
      <c r="B5183" t="s">
        <v>4</v>
      </c>
    </row>
    <row r="5184" spans="1:2" x14ac:dyDescent="0.25">
      <c r="A5184" t="s">
        <v>35</v>
      </c>
      <c r="B5184" t="s">
        <v>4</v>
      </c>
    </row>
    <row r="5185" spans="1:2" x14ac:dyDescent="0.25">
      <c r="A5185" t="s">
        <v>36</v>
      </c>
      <c r="B5185" t="s">
        <v>4</v>
      </c>
    </row>
    <row r="5186" spans="1:2" x14ac:dyDescent="0.25">
      <c r="A5186" t="s">
        <v>37</v>
      </c>
      <c r="B5186" t="s">
        <v>4</v>
      </c>
    </row>
    <row r="5187" spans="1:2" x14ac:dyDescent="0.25">
      <c r="A5187" t="s">
        <v>38</v>
      </c>
      <c r="B5187" t="s">
        <v>4</v>
      </c>
    </row>
    <row r="5188" spans="1:2" x14ac:dyDescent="0.25">
      <c r="A5188" t="s">
        <v>39</v>
      </c>
      <c r="B5188" t="s">
        <v>4</v>
      </c>
    </row>
    <row r="5189" spans="1:2" x14ac:dyDescent="0.25">
      <c r="A5189" t="s">
        <v>40</v>
      </c>
      <c r="B5189" t="s">
        <v>4</v>
      </c>
    </row>
    <row r="5190" spans="1:2" x14ac:dyDescent="0.25">
      <c r="A5190" t="s">
        <v>41</v>
      </c>
      <c r="B5190" t="s">
        <v>4</v>
      </c>
    </row>
    <row r="5191" spans="1:2" x14ac:dyDescent="0.25">
      <c r="A5191" t="s">
        <v>42</v>
      </c>
      <c r="B5191" t="s">
        <v>4</v>
      </c>
    </row>
    <row r="5192" spans="1:2" x14ac:dyDescent="0.25">
      <c r="A5192" t="s">
        <v>43</v>
      </c>
      <c r="B5192" t="s">
        <v>4</v>
      </c>
    </row>
    <row r="5193" spans="1:2" x14ac:dyDescent="0.25">
      <c r="A5193" t="s">
        <v>44</v>
      </c>
      <c r="B5193" t="s">
        <v>4</v>
      </c>
    </row>
    <row r="5194" spans="1:2" x14ac:dyDescent="0.25">
      <c r="A5194" t="s">
        <v>45</v>
      </c>
      <c r="B5194" t="s">
        <v>4</v>
      </c>
    </row>
    <row r="5195" spans="1:2" x14ac:dyDescent="0.25">
      <c r="A5195" t="s">
        <v>46</v>
      </c>
      <c r="B5195" t="s">
        <v>4</v>
      </c>
    </row>
    <row r="5196" spans="1:2" x14ac:dyDescent="0.25">
      <c r="A5196" t="s">
        <v>47</v>
      </c>
      <c r="B5196" t="s">
        <v>4</v>
      </c>
    </row>
    <row r="5197" spans="1:2" x14ac:dyDescent="0.25">
      <c r="A5197" t="s">
        <v>48</v>
      </c>
      <c r="B5197" t="s">
        <v>4</v>
      </c>
    </row>
    <row r="5198" spans="1:2" x14ac:dyDescent="0.25">
      <c r="A5198" t="s">
        <v>49</v>
      </c>
      <c r="B5198" t="s">
        <v>4</v>
      </c>
    </row>
    <row r="5199" spans="1:2" x14ac:dyDescent="0.25">
      <c r="A5199" t="s">
        <v>50</v>
      </c>
      <c r="B5199" t="s">
        <v>4</v>
      </c>
    </row>
    <row r="5200" spans="1:2" x14ac:dyDescent="0.25">
      <c r="A5200" t="s">
        <v>51</v>
      </c>
      <c r="B5200" t="s">
        <v>4</v>
      </c>
    </row>
    <row r="5201" spans="1:2" x14ac:dyDescent="0.25">
      <c r="A5201" t="s">
        <v>52</v>
      </c>
      <c r="B5201" t="s">
        <v>4</v>
      </c>
    </row>
    <row r="5202" spans="1:2" x14ac:dyDescent="0.25">
      <c r="A5202" t="s">
        <v>53</v>
      </c>
      <c r="B5202" t="s">
        <v>4</v>
      </c>
    </row>
    <row r="5203" spans="1:2" x14ac:dyDescent="0.25">
      <c r="A5203" t="s">
        <v>54</v>
      </c>
      <c r="B5203" t="s">
        <v>4</v>
      </c>
    </row>
    <row r="5204" spans="1:2" x14ac:dyDescent="0.25">
      <c r="A5204" t="s">
        <v>55</v>
      </c>
      <c r="B5204" t="s">
        <v>4</v>
      </c>
    </row>
    <row r="5205" spans="1:2" x14ac:dyDescent="0.25">
      <c r="A5205" t="s">
        <v>56</v>
      </c>
      <c r="B5205">
        <v>0.2</v>
      </c>
    </row>
    <row r="5206" spans="1:2" x14ac:dyDescent="0.25">
      <c r="A5206" t="s">
        <v>57</v>
      </c>
      <c r="B5206" t="s">
        <v>4</v>
      </c>
    </row>
    <row r="5207" spans="1:2" x14ac:dyDescent="0.25">
      <c r="A5207" t="s">
        <v>58</v>
      </c>
      <c r="B5207">
        <v>0.4</v>
      </c>
    </row>
    <row r="5208" spans="1:2" x14ac:dyDescent="0.25">
      <c r="A5208" t="s">
        <v>59</v>
      </c>
      <c r="B5208">
        <v>0.17</v>
      </c>
    </row>
    <row r="5209" spans="1:2" x14ac:dyDescent="0.25">
      <c r="A5209" t="s">
        <v>60</v>
      </c>
      <c r="B5209" t="s">
        <v>4</v>
      </c>
    </row>
    <row r="5210" spans="1:2" x14ac:dyDescent="0.25">
      <c r="A5210" t="s">
        <v>61</v>
      </c>
      <c r="B5210">
        <v>0.17</v>
      </c>
    </row>
    <row r="5211" spans="1:2" x14ac:dyDescent="0.25">
      <c r="A5211" t="s">
        <v>62</v>
      </c>
      <c r="B5211">
        <v>0.2</v>
      </c>
    </row>
    <row r="5212" spans="1:2" x14ac:dyDescent="0.25">
      <c r="A5212" t="s">
        <v>63</v>
      </c>
      <c r="B5212" t="s">
        <v>4</v>
      </c>
    </row>
    <row r="5213" spans="1:2" x14ac:dyDescent="0.25">
      <c r="A5213" t="s">
        <v>64</v>
      </c>
      <c r="B5213" t="s">
        <v>4</v>
      </c>
    </row>
    <row r="5214" spans="1:2" x14ac:dyDescent="0.25">
      <c r="A5214" t="s">
        <v>65</v>
      </c>
      <c r="B5214" t="s">
        <v>4</v>
      </c>
    </row>
    <row r="5215" spans="1:2" x14ac:dyDescent="0.25">
      <c r="A5215" t="s">
        <v>66</v>
      </c>
      <c r="B5215" t="s">
        <v>4</v>
      </c>
    </row>
    <row r="5216" spans="1:2" x14ac:dyDescent="0.25">
      <c r="A5216" t="s">
        <v>67</v>
      </c>
      <c r="B5216" t="s">
        <v>4</v>
      </c>
    </row>
    <row r="5217" spans="1:2" x14ac:dyDescent="0.25">
      <c r="A5217" t="s">
        <v>68</v>
      </c>
      <c r="B5217" t="s">
        <v>4</v>
      </c>
    </row>
    <row r="5218" spans="1:2" x14ac:dyDescent="0.25">
      <c r="A5218" t="s">
        <v>69</v>
      </c>
      <c r="B5218" t="s">
        <v>4</v>
      </c>
    </row>
    <row r="5219" spans="1:2" x14ac:dyDescent="0.25">
      <c r="A5219" t="s">
        <v>70</v>
      </c>
      <c r="B5219" t="s">
        <v>4</v>
      </c>
    </row>
    <row r="5220" spans="1:2" x14ac:dyDescent="0.25">
      <c r="A5220" t="s">
        <v>71</v>
      </c>
      <c r="B5220" t="s">
        <v>4</v>
      </c>
    </row>
    <row r="5221" spans="1:2" x14ac:dyDescent="0.25">
      <c r="A5221" t="s">
        <v>72</v>
      </c>
      <c r="B5221" t="s">
        <v>4</v>
      </c>
    </row>
    <row r="5222" spans="1:2" x14ac:dyDescent="0.25">
      <c r="A5222" t="s">
        <v>73</v>
      </c>
      <c r="B5222" t="s">
        <v>4</v>
      </c>
    </row>
    <row r="5223" spans="1:2" x14ac:dyDescent="0.25">
      <c r="A5223" t="s">
        <v>74</v>
      </c>
      <c r="B5223" t="s">
        <v>4</v>
      </c>
    </row>
    <row r="5224" spans="1:2" x14ac:dyDescent="0.25">
      <c r="A5224" t="s">
        <v>75</v>
      </c>
      <c r="B5224" t="s">
        <v>4</v>
      </c>
    </row>
    <row r="5225" spans="1:2" x14ac:dyDescent="0.25">
      <c r="A5225" t="s">
        <v>76</v>
      </c>
      <c r="B5225" t="s">
        <v>4</v>
      </c>
    </row>
    <row r="5226" spans="1:2" x14ac:dyDescent="0.25">
      <c r="A5226" t="s">
        <v>77</v>
      </c>
      <c r="B5226" t="s">
        <v>4</v>
      </c>
    </row>
    <row r="5227" spans="1:2" x14ac:dyDescent="0.25">
      <c r="A5227" t="s">
        <v>78</v>
      </c>
      <c r="B5227" t="s">
        <v>4</v>
      </c>
    </row>
    <row r="5228" spans="1:2" x14ac:dyDescent="0.25">
      <c r="A5228" t="s">
        <v>79</v>
      </c>
      <c r="B5228" t="s">
        <v>4</v>
      </c>
    </row>
    <row r="5229" spans="1:2" x14ac:dyDescent="0.25">
      <c r="A5229" t="s">
        <v>80</v>
      </c>
      <c r="B5229" t="s">
        <v>4</v>
      </c>
    </row>
    <row r="5230" spans="1:2" x14ac:dyDescent="0.25">
      <c r="A5230" t="s">
        <v>81</v>
      </c>
      <c r="B5230" t="s">
        <v>4</v>
      </c>
    </row>
    <row r="5233" spans="1:2" x14ac:dyDescent="0.25">
      <c r="A5233" t="s">
        <v>0</v>
      </c>
      <c r="B5233" t="s">
        <v>137</v>
      </c>
    </row>
    <row r="5235" spans="1:2" s="1" customFormat="1" x14ac:dyDescent="0.25">
      <c r="A5235" s="1" t="s">
        <v>2</v>
      </c>
      <c r="B5235" s="1" t="s">
        <v>157</v>
      </c>
    </row>
    <row r="5236" spans="1:2" x14ac:dyDescent="0.25">
      <c r="A5236" t="s">
        <v>3</v>
      </c>
      <c r="B5236" t="s">
        <v>4</v>
      </c>
    </row>
    <row r="5237" spans="1:2" x14ac:dyDescent="0.25">
      <c r="A5237" t="s">
        <v>5</v>
      </c>
      <c r="B5237" t="s">
        <v>4</v>
      </c>
    </row>
    <row r="5238" spans="1:2" x14ac:dyDescent="0.25">
      <c r="A5238" t="s">
        <v>6</v>
      </c>
      <c r="B5238" t="s">
        <v>4</v>
      </c>
    </row>
    <row r="5239" spans="1:2" x14ac:dyDescent="0.25">
      <c r="A5239" t="s">
        <v>7</v>
      </c>
      <c r="B5239" t="s">
        <v>4</v>
      </c>
    </row>
    <row r="5240" spans="1:2" x14ac:dyDescent="0.25">
      <c r="A5240" t="s">
        <v>8</v>
      </c>
      <c r="B5240" t="s">
        <v>4</v>
      </c>
    </row>
    <row r="5241" spans="1:2" x14ac:dyDescent="0.25">
      <c r="A5241" t="s">
        <v>9</v>
      </c>
      <c r="B5241" t="s">
        <v>4</v>
      </c>
    </row>
    <row r="5242" spans="1:2" x14ac:dyDescent="0.25">
      <c r="A5242" t="s">
        <v>10</v>
      </c>
      <c r="B5242" t="s">
        <v>4</v>
      </c>
    </row>
    <row r="5243" spans="1:2" x14ac:dyDescent="0.25">
      <c r="A5243" t="s">
        <v>11</v>
      </c>
      <c r="B5243" t="s">
        <v>4</v>
      </c>
    </row>
    <row r="5244" spans="1:2" x14ac:dyDescent="0.25">
      <c r="A5244" t="s">
        <v>12</v>
      </c>
      <c r="B5244" t="s">
        <v>4</v>
      </c>
    </row>
    <row r="5245" spans="1:2" x14ac:dyDescent="0.25">
      <c r="A5245" t="s">
        <v>13</v>
      </c>
      <c r="B5245" t="s">
        <v>4</v>
      </c>
    </row>
    <row r="5246" spans="1:2" x14ac:dyDescent="0.25">
      <c r="A5246" t="s">
        <v>14</v>
      </c>
      <c r="B5246" t="s">
        <v>4</v>
      </c>
    </row>
    <row r="5247" spans="1:2" x14ac:dyDescent="0.25">
      <c r="A5247" t="s">
        <v>15</v>
      </c>
      <c r="B5247" t="s">
        <v>4</v>
      </c>
    </row>
    <row r="5248" spans="1:2" x14ac:dyDescent="0.25">
      <c r="A5248" t="s">
        <v>16</v>
      </c>
      <c r="B5248" t="s">
        <v>4</v>
      </c>
    </row>
    <row r="5249" spans="1:2" x14ac:dyDescent="0.25">
      <c r="A5249" t="s">
        <v>17</v>
      </c>
      <c r="B5249" t="s">
        <v>4</v>
      </c>
    </row>
    <row r="5250" spans="1:2" x14ac:dyDescent="0.25">
      <c r="A5250" t="s">
        <v>18</v>
      </c>
      <c r="B5250" t="s">
        <v>4</v>
      </c>
    </row>
    <row r="5251" spans="1:2" x14ac:dyDescent="0.25">
      <c r="A5251" t="s">
        <v>19</v>
      </c>
      <c r="B5251" t="s">
        <v>4</v>
      </c>
    </row>
    <row r="5252" spans="1:2" x14ac:dyDescent="0.25">
      <c r="A5252" t="s">
        <v>20</v>
      </c>
      <c r="B5252" t="s">
        <v>4</v>
      </c>
    </row>
    <row r="5253" spans="1:2" x14ac:dyDescent="0.25">
      <c r="A5253" t="s">
        <v>21</v>
      </c>
      <c r="B5253" t="s">
        <v>4</v>
      </c>
    </row>
    <row r="5254" spans="1:2" x14ac:dyDescent="0.25">
      <c r="A5254" t="s">
        <v>22</v>
      </c>
      <c r="B5254" t="s">
        <v>4</v>
      </c>
    </row>
    <row r="5255" spans="1:2" x14ac:dyDescent="0.25">
      <c r="A5255" t="s">
        <v>23</v>
      </c>
      <c r="B5255" t="s">
        <v>4</v>
      </c>
    </row>
    <row r="5256" spans="1:2" x14ac:dyDescent="0.25">
      <c r="A5256" t="s">
        <v>24</v>
      </c>
      <c r="B5256" t="s">
        <v>4</v>
      </c>
    </row>
    <row r="5257" spans="1:2" x14ac:dyDescent="0.25">
      <c r="A5257" t="s">
        <v>25</v>
      </c>
      <c r="B5257" t="s">
        <v>4</v>
      </c>
    </row>
    <row r="5258" spans="1:2" x14ac:dyDescent="0.25">
      <c r="A5258" t="s">
        <v>26</v>
      </c>
      <c r="B5258" t="s">
        <v>4</v>
      </c>
    </row>
    <row r="5259" spans="1:2" x14ac:dyDescent="0.25">
      <c r="A5259" t="s">
        <v>27</v>
      </c>
      <c r="B5259" t="s">
        <v>4</v>
      </c>
    </row>
    <row r="5260" spans="1:2" x14ac:dyDescent="0.25">
      <c r="A5260" t="s">
        <v>28</v>
      </c>
      <c r="B5260" t="s">
        <v>4</v>
      </c>
    </row>
    <row r="5261" spans="1:2" x14ac:dyDescent="0.25">
      <c r="A5261" t="s">
        <v>29</v>
      </c>
      <c r="B5261" t="s">
        <v>4</v>
      </c>
    </row>
    <row r="5262" spans="1:2" x14ac:dyDescent="0.25">
      <c r="A5262" t="s">
        <v>30</v>
      </c>
      <c r="B5262" t="s">
        <v>4</v>
      </c>
    </row>
    <row r="5263" spans="1:2" x14ac:dyDescent="0.25">
      <c r="A5263" t="s">
        <v>31</v>
      </c>
      <c r="B5263" t="s">
        <v>4</v>
      </c>
    </row>
    <row r="5264" spans="1:2" x14ac:dyDescent="0.25">
      <c r="A5264" t="s">
        <v>32</v>
      </c>
      <c r="B5264" t="s">
        <v>4</v>
      </c>
    </row>
    <row r="5265" spans="1:2" x14ac:dyDescent="0.25">
      <c r="A5265" t="s">
        <v>33</v>
      </c>
      <c r="B5265" t="s">
        <v>4</v>
      </c>
    </row>
    <row r="5266" spans="1:2" x14ac:dyDescent="0.25">
      <c r="A5266" t="s">
        <v>34</v>
      </c>
      <c r="B5266">
        <v>0.73</v>
      </c>
    </row>
    <row r="5267" spans="1:2" x14ac:dyDescent="0.25">
      <c r="A5267" t="s">
        <v>35</v>
      </c>
      <c r="B5267" t="s">
        <v>4</v>
      </c>
    </row>
    <row r="5268" spans="1:2" x14ac:dyDescent="0.25">
      <c r="A5268" t="s">
        <v>36</v>
      </c>
      <c r="B5268" t="s">
        <v>4</v>
      </c>
    </row>
    <row r="5269" spans="1:2" x14ac:dyDescent="0.25">
      <c r="A5269" t="s">
        <v>37</v>
      </c>
      <c r="B5269" t="s">
        <v>4</v>
      </c>
    </row>
    <row r="5270" spans="1:2" x14ac:dyDescent="0.25">
      <c r="A5270" t="s">
        <v>38</v>
      </c>
      <c r="B5270">
        <v>0.42</v>
      </c>
    </row>
    <row r="5271" spans="1:2" x14ac:dyDescent="0.25">
      <c r="A5271" t="s">
        <v>39</v>
      </c>
      <c r="B5271" t="s">
        <v>4</v>
      </c>
    </row>
    <row r="5272" spans="1:2" x14ac:dyDescent="0.25">
      <c r="A5272" t="s">
        <v>40</v>
      </c>
      <c r="B5272" t="s">
        <v>4</v>
      </c>
    </row>
    <row r="5273" spans="1:2" x14ac:dyDescent="0.25">
      <c r="A5273" t="s">
        <v>41</v>
      </c>
      <c r="B5273" t="s">
        <v>4</v>
      </c>
    </row>
    <row r="5274" spans="1:2" x14ac:dyDescent="0.25">
      <c r="A5274" t="s">
        <v>42</v>
      </c>
      <c r="B5274">
        <v>0.82</v>
      </c>
    </row>
    <row r="5275" spans="1:2" x14ac:dyDescent="0.25">
      <c r="A5275" t="s">
        <v>43</v>
      </c>
      <c r="B5275" t="s">
        <v>4</v>
      </c>
    </row>
    <row r="5276" spans="1:2" x14ac:dyDescent="0.25">
      <c r="A5276" t="s">
        <v>44</v>
      </c>
      <c r="B5276" t="s">
        <v>4</v>
      </c>
    </row>
    <row r="5277" spans="1:2" x14ac:dyDescent="0.25">
      <c r="A5277" t="s">
        <v>45</v>
      </c>
      <c r="B5277" t="s">
        <v>4</v>
      </c>
    </row>
    <row r="5278" spans="1:2" x14ac:dyDescent="0.25">
      <c r="A5278" t="s">
        <v>46</v>
      </c>
      <c r="B5278">
        <v>0.92</v>
      </c>
    </row>
    <row r="5279" spans="1:2" x14ac:dyDescent="0.25">
      <c r="A5279" t="s">
        <v>47</v>
      </c>
      <c r="B5279" t="s">
        <v>4</v>
      </c>
    </row>
    <row r="5280" spans="1:2" x14ac:dyDescent="0.25">
      <c r="A5280" t="s">
        <v>48</v>
      </c>
      <c r="B5280" t="s">
        <v>4</v>
      </c>
    </row>
    <row r="5281" spans="1:2" x14ac:dyDescent="0.25">
      <c r="A5281" t="s">
        <v>49</v>
      </c>
      <c r="B5281" t="s">
        <v>4</v>
      </c>
    </row>
    <row r="5282" spans="1:2" x14ac:dyDescent="0.25">
      <c r="A5282" t="s">
        <v>50</v>
      </c>
      <c r="B5282" t="s">
        <v>4</v>
      </c>
    </row>
    <row r="5283" spans="1:2" x14ac:dyDescent="0.25">
      <c r="A5283" t="s">
        <v>51</v>
      </c>
      <c r="B5283" t="s">
        <v>4</v>
      </c>
    </row>
    <row r="5284" spans="1:2" x14ac:dyDescent="0.25">
      <c r="A5284" t="s">
        <v>52</v>
      </c>
      <c r="B5284" t="s">
        <v>4</v>
      </c>
    </row>
    <row r="5285" spans="1:2" x14ac:dyDescent="0.25">
      <c r="A5285" t="s">
        <v>53</v>
      </c>
      <c r="B5285">
        <v>60.1</v>
      </c>
    </row>
    <row r="5286" spans="1:2" x14ac:dyDescent="0.25">
      <c r="A5286" t="s">
        <v>54</v>
      </c>
      <c r="B5286">
        <v>13.52</v>
      </c>
    </row>
    <row r="5287" spans="1:2" x14ac:dyDescent="0.25">
      <c r="A5287" t="s">
        <v>55</v>
      </c>
      <c r="B5287">
        <v>43.91</v>
      </c>
    </row>
    <row r="5288" spans="1:2" x14ac:dyDescent="0.25">
      <c r="A5288" t="s">
        <v>56</v>
      </c>
      <c r="B5288">
        <v>1.52</v>
      </c>
    </row>
    <row r="5289" spans="1:2" x14ac:dyDescent="0.25">
      <c r="A5289" t="s">
        <v>57</v>
      </c>
      <c r="B5289" t="s">
        <v>4</v>
      </c>
    </row>
    <row r="5290" spans="1:2" x14ac:dyDescent="0.25">
      <c r="A5290" t="s">
        <v>58</v>
      </c>
      <c r="B5290" t="s">
        <v>4</v>
      </c>
    </row>
    <row r="5291" spans="1:2" x14ac:dyDescent="0.25">
      <c r="A5291" t="s">
        <v>59</v>
      </c>
      <c r="B5291">
        <v>9.91</v>
      </c>
    </row>
    <row r="5292" spans="1:2" x14ac:dyDescent="0.25">
      <c r="A5292" t="s">
        <v>60</v>
      </c>
      <c r="B5292">
        <v>4.25</v>
      </c>
    </row>
    <row r="5293" spans="1:2" x14ac:dyDescent="0.25">
      <c r="A5293" t="s">
        <v>61</v>
      </c>
      <c r="B5293">
        <v>14.15</v>
      </c>
    </row>
    <row r="5294" spans="1:2" x14ac:dyDescent="0.25">
      <c r="A5294" t="s">
        <v>62</v>
      </c>
      <c r="B5294">
        <v>7.09</v>
      </c>
    </row>
    <row r="5295" spans="1:2" x14ac:dyDescent="0.25">
      <c r="A5295" t="s">
        <v>63</v>
      </c>
      <c r="B5295">
        <v>8.43</v>
      </c>
    </row>
    <row r="5296" spans="1:2" x14ac:dyDescent="0.25">
      <c r="A5296" t="s">
        <v>64</v>
      </c>
      <c r="B5296">
        <v>9.17</v>
      </c>
    </row>
    <row r="5297" spans="1:2" x14ac:dyDescent="0.25">
      <c r="A5297" t="s">
        <v>65</v>
      </c>
      <c r="B5297">
        <v>0.3</v>
      </c>
    </row>
    <row r="5298" spans="1:2" x14ac:dyDescent="0.25">
      <c r="A5298" t="s">
        <v>66</v>
      </c>
      <c r="B5298" t="s">
        <v>4</v>
      </c>
    </row>
    <row r="5299" spans="1:2" x14ac:dyDescent="0.25">
      <c r="A5299" t="s">
        <v>67</v>
      </c>
      <c r="B5299" t="s">
        <v>4</v>
      </c>
    </row>
    <row r="5300" spans="1:2" x14ac:dyDescent="0.25">
      <c r="A5300" t="s">
        <v>68</v>
      </c>
      <c r="B5300">
        <v>6.7</v>
      </c>
    </row>
    <row r="5301" spans="1:2" x14ac:dyDescent="0.25">
      <c r="A5301" t="s">
        <v>69</v>
      </c>
      <c r="B5301" t="s">
        <v>4</v>
      </c>
    </row>
    <row r="5302" spans="1:2" x14ac:dyDescent="0.25">
      <c r="A5302" t="s">
        <v>70</v>
      </c>
      <c r="B5302">
        <v>4.9400000000000004</v>
      </c>
    </row>
    <row r="5303" spans="1:2" x14ac:dyDescent="0.25">
      <c r="A5303" t="s">
        <v>71</v>
      </c>
      <c r="B5303">
        <v>32.69</v>
      </c>
    </row>
    <row r="5304" spans="1:2" x14ac:dyDescent="0.25">
      <c r="A5304" t="s">
        <v>72</v>
      </c>
      <c r="B5304">
        <v>17.87</v>
      </c>
    </row>
    <row r="5305" spans="1:2" x14ac:dyDescent="0.25">
      <c r="A5305" t="s">
        <v>73</v>
      </c>
      <c r="B5305" t="s">
        <v>4</v>
      </c>
    </row>
    <row r="5306" spans="1:2" x14ac:dyDescent="0.25">
      <c r="A5306" t="s">
        <v>74</v>
      </c>
      <c r="B5306">
        <v>27.89</v>
      </c>
    </row>
    <row r="5307" spans="1:2" x14ac:dyDescent="0.25">
      <c r="A5307" t="s">
        <v>75</v>
      </c>
      <c r="B5307">
        <v>4.84</v>
      </c>
    </row>
    <row r="5308" spans="1:2" x14ac:dyDescent="0.25">
      <c r="A5308" t="s">
        <v>76</v>
      </c>
      <c r="B5308">
        <v>11.79</v>
      </c>
    </row>
    <row r="5309" spans="1:2" x14ac:dyDescent="0.25">
      <c r="A5309" t="s">
        <v>77</v>
      </c>
      <c r="B5309">
        <v>6.77</v>
      </c>
    </row>
    <row r="5310" spans="1:2" x14ac:dyDescent="0.25">
      <c r="A5310" t="s">
        <v>78</v>
      </c>
      <c r="B5310" t="s">
        <v>4</v>
      </c>
    </row>
    <row r="5311" spans="1:2" x14ac:dyDescent="0.25">
      <c r="A5311" t="s">
        <v>79</v>
      </c>
      <c r="B5311" t="s">
        <v>4</v>
      </c>
    </row>
    <row r="5312" spans="1:2" x14ac:dyDescent="0.25">
      <c r="A5312" t="s">
        <v>80</v>
      </c>
      <c r="B5312" t="s">
        <v>4</v>
      </c>
    </row>
    <row r="5313" spans="1:2" x14ac:dyDescent="0.25">
      <c r="A5313" t="s">
        <v>81</v>
      </c>
      <c r="B5313" t="s">
        <v>4</v>
      </c>
    </row>
    <row r="5316" spans="1:2" x14ac:dyDescent="0.25">
      <c r="A5316" t="s">
        <v>0</v>
      </c>
      <c r="B5316" t="s">
        <v>138</v>
      </c>
    </row>
    <row r="5318" spans="1:2" s="1" customFormat="1" x14ac:dyDescent="0.25">
      <c r="A5318" s="1" t="s">
        <v>2</v>
      </c>
      <c r="B5318" s="1" t="s">
        <v>157</v>
      </c>
    </row>
    <row r="5319" spans="1:2" x14ac:dyDescent="0.25">
      <c r="A5319" t="s">
        <v>3</v>
      </c>
      <c r="B5319" t="s">
        <v>4</v>
      </c>
    </row>
    <row r="5320" spans="1:2" x14ac:dyDescent="0.25">
      <c r="A5320" t="s">
        <v>5</v>
      </c>
      <c r="B5320" t="s">
        <v>4</v>
      </c>
    </row>
    <row r="5321" spans="1:2" x14ac:dyDescent="0.25">
      <c r="A5321" t="s">
        <v>6</v>
      </c>
      <c r="B5321" t="s">
        <v>4</v>
      </c>
    </row>
    <row r="5322" spans="1:2" x14ac:dyDescent="0.25">
      <c r="A5322" t="s">
        <v>7</v>
      </c>
      <c r="B5322" t="s">
        <v>4</v>
      </c>
    </row>
    <row r="5323" spans="1:2" x14ac:dyDescent="0.25">
      <c r="A5323" t="s">
        <v>8</v>
      </c>
      <c r="B5323" t="s">
        <v>4</v>
      </c>
    </row>
    <row r="5324" spans="1:2" x14ac:dyDescent="0.25">
      <c r="A5324" t="s">
        <v>9</v>
      </c>
      <c r="B5324" t="s">
        <v>4</v>
      </c>
    </row>
    <row r="5325" spans="1:2" x14ac:dyDescent="0.25">
      <c r="A5325" t="s">
        <v>10</v>
      </c>
      <c r="B5325" t="s">
        <v>4</v>
      </c>
    </row>
    <row r="5326" spans="1:2" x14ac:dyDescent="0.25">
      <c r="A5326" t="s">
        <v>11</v>
      </c>
      <c r="B5326" t="s">
        <v>4</v>
      </c>
    </row>
    <row r="5327" spans="1:2" x14ac:dyDescent="0.25">
      <c r="A5327" t="s">
        <v>12</v>
      </c>
      <c r="B5327" t="s">
        <v>4</v>
      </c>
    </row>
    <row r="5328" spans="1:2" x14ac:dyDescent="0.25">
      <c r="A5328" t="s">
        <v>13</v>
      </c>
      <c r="B5328" t="s">
        <v>4</v>
      </c>
    </row>
    <row r="5329" spans="1:2" x14ac:dyDescent="0.25">
      <c r="A5329" t="s">
        <v>14</v>
      </c>
      <c r="B5329" t="s">
        <v>4</v>
      </c>
    </row>
    <row r="5330" spans="1:2" x14ac:dyDescent="0.25">
      <c r="A5330" t="s">
        <v>15</v>
      </c>
      <c r="B5330" t="s">
        <v>4</v>
      </c>
    </row>
    <row r="5331" spans="1:2" x14ac:dyDescent="0.25">
      <c r="A5331" t="s">
        <v>16</v>
      </c>
      <c r="B5331" t="s">
        <v>4</v>
      </c>
    </row>
    <row r="5332" spans="1:2" x14ac:dyDescent="0.25">
      <c r="A5332" t="s">
        <v>17</v>
      </c>
      <c r="B5332" t="s">
        <v>4</v>
      </c>
    </row>
    <row r="5333" spans="1:2" x14ac:dyDescent="0.25">
      <c r="A5333" t="s">
        <v>18</v>
      </c>
      <c r="B5333" t="s">
        <v>4</v>
      </c>
    </row>
    <row r="5334" spans="1:2" x14ac:dyDescent="0.25">
      <c r="A5334" t="s">
        <v>19</v>
      </c>
      <c r="B5334" t="s">
        <v>4</v>
      </c>
    </row>
    <row r="5335" spans="1:2" x14ac:dyDescent="0.25">
      <c r="A5335" t="s">
        <v>20</v>
      </c>
      <c r="B5335" t="s">
        <v>4</v>
      </c>
    </row>
    <row r="5336" spans="1:2" x14ac:dyDescent="0.25">
      <c r="A5336" t="s">
        <v>21</v>
      </c>
      <c r="B5336" t="s">
        <v>4</v>
      </c>
    </row>
    <row r="5337" spans="1:2" x14ac:dyDescent="0.25">
      <c r="A5337" t="s">
        <v>22</v>
      </c>
      <c r="B5337" t="s">
        <v>4</v>
      </c>
    </row>
    <row r="5338" spans="1:2" x14ac:dyDescent="0.25">
      <c r="A5338" t="s">
        <v>23</v>
      </c>
      <c r="B5338" t="s">
        <v>4</v>
      </c>
    </row>
    <row r="5339" spans="1:2" x14ac:dyDescent="0.25">
      <c r="A5339" t="s">
        <v>24</v>
      </c>
      <c r="B5339" t="s">
        <v>4</v>
      </c>
    </row>
    <row r="5340" spans="1:2" x14ac:dyDescent="0.25">
      <c r="A5340" t="s">
        <v>25</v>
      </c>
      <c r="B5340" t="s">
        <v>4</v>
      </c>
    </row>
    <row r="5341" spans="1:2" x14ac:dyDescent="0.25">
      <c r="A5341" t="s">
        <v>26</v>
      </c>
      <c r="B5341" t="s">
        <v>4</v>
      </c>
    </row>
    <row r="5342" spans="1:2" x14ac:dyDescent="0.25">
      <c r="A5342" t="s">
        <v>27</v>
      </c>
      <c r="B5342" t="s">
        <v>4</v>
      </c>
    </row>
    <row r="5343" spans="1:2" x14ac:dyDescent="0.25">
      <c r="A5343" t="s">
        <v>28</v>
      </c>
      <c r="B5343" t="s">
        <v>4</v>
      </c>
    </row>
    <row r="5344" spans="1:2" x14ac:dyDescent="0.25">
      <c r="A5344" t="s">
        <v>29</v>
      </c>
      <c r="B5344" t="s">
        <v>4</v>
      </c>
    </row>
    <row r="5345" spans="1:2" x14ac:dyDescent="0.25">
      <c r="A5345" t="s">
        <v>30</v>
      </c>
      <c r="B5345" t="s">
        <v>4</v>
      </c>
    </row>
    <row r="5346" spans="1:2" x14ac:dyDescent="0.25">
      <c r="A5346" t="s">
        <v>31</v>
      </c>
      <c r="B5346" t="s">
        <v>4</v>
      </c>
    </row>
    <row r="5347" spans="1:2" x14ac:dyDescent="0.25">
      <c r="A5347" t="s">
        <v>32</v>
      </c>
      <c r="B5347" t="s">
        <v>4</v>
      </c>
    </row>
    <row r="5348" spans="1:2" x14ac:dyDescent="0.25">
      <c r="A5348" t="s">
        <v>33</v>
      </c>
      <c r="B5348" t="s">
        <v>4</v>
      </c>
    </row>
    <row r="5349" spans="1:2" x14ac:dyDescent="0.25">
      <c r="A5349" t="s">
        <v>34</v>
      </c>
      <c r="B5349" t="s">
        <v>4</v>
      </c>
    </row>
    <row r="5350" spans="1:2" x14ac:dyDescent="0.25">
      <c r="A5350" t="s">
        <v>35</v>
      </c>
      <c r="B5350" t="s">
        <v>4</v>
      </c>
    </row>
    <row r="5351" spans="1:2" x14ac:dyDescent="0.25">
      <c r="A5351" t="s">
        <v>36</v>
      </c>
      <c r="B5351" t="s">
        <v>4</v>
      </c>
    </row>
    <row r="5352" spans="1:2" x14ac:dyDescent="0.25">
      <c r="A5352" t="s">
        <v>37</v>
      </c>
      <c r="B5352" t="s">
        <v>4</v>
      </c>
    </row>
    <row r="5353" spans="1:2" x14ac:dyDescent="0.25">
      <c r="A5353" t="s">
        <v>38</v>
      </c>
      <c r="B5353" t="s">
        <v>4</v>
      </c>
    </row>
    <row r="5354" spans="1:2" x14ac:dyDescent="0.25">
      <c r="A5354" t="s">
        <v>39</v>
      </c>
      <c r="B5354" t="s">
        <v>4</v>
      </c>
    </row>
    <row r="5355" spans="1:2" x14ac:dyDescent="0.25">
      <c r="A5355" t="s">
        <v>40</v>
      </c>
      <c r="B5355" t="s">
        <v>4</v>
      </c>
    </row>
    <row r="5356" spans="1:2" x14ac:dyDescent="0.25">
      <c r="A5356" t="s">
        <v>41</v>
      </c>
      <c r="B5356" t="s">
        <v>4</v>
      </c>
    </row>
    <row r="5357" spans="1:2" x14ac:dyDescent="0.25">
      <c r="A5357" t="s">
        <v>42</v>
      </c>
      <c r="B5357" t="s">
        <v>4</v>
      </c>
    </row>
    <row r="5358" spans="1:2" x14ac:dyDescent="0.25">
      <c r="A5358" t="s">
        <v>43</v>
      </c>
      <c r="B5358" t="s">
        <v>4</v>
      </c>
    </row>
    <row r="5359" spans="1:2" x14ac:dyDescent="0.25">
      <c r="A5359" t="s">
        <v>44</v>
      </c>
      <c r="B5359">
        <v>0.06</v>
      </c>
    </row>
    <row r="5360" spans="1:2" x14ac:dyDescent="0.25">
      <c r="A5360" t="s">
        <v>45</v>
      </c>
      <c r="B5360" t="s">
        <v>4</v>
      </c>
    </row>
    <row r="5361" spans="1:2" x14ac:dyDescent="0.25">
      <c r="A5361" t="s">
        <v>46</v>
      </c>
      <c r="B5361" t="s">
        <v>4</v>
      </c>
    </row>
    <row r="5362" spans="1:2" x14ac:dyDescent="0.25">
      <c r="A5362" t="s">
        <v>47</v>
      </c>
      <c r="B5362" t="s">
        <v>4</v>
      </c>
    </row>
    <row r="5363" spans="1:2" x14ac:dyDescent="0.25">
      <c r="A5363" t="s">
        <v>48</v>
      </c>
      <c r="B5363" t="s">
        <v>4</v>
      </c>
    </row>
    <row r="5364" spans="1:2" x14ac:dyDescent="0.25">
      <c r="A5364" t="s">
        <v>49</v>
      </c>
      <c r="B5364" t="s">
        <v>4</v>
      </c>
    </row>
    <row r="5365" spans="1:2" x14ac:dyDescent="0.25">
      <c r="A5365" t="s">
        <v>50</v>
      </c>
      <c r="B5365" t="s">
        <v>4</v>
      </c>
    </row>
    <row r="5366" spans="1:2" x14ac:dyDescent="0.25">
      <c r="A5366" t="s">
        <v>51</v>
      </c>
      <c r="B5366" t="s">
        <v>4</v>
      </c>
    </row>
    <row r="5367" spans="1:2" x14ac:dyDescent="0.25">
      <c r="A5367" t="s">
        <v>52</v>
      </c>
      <c r="B5367" t="s">
        <v>4</v>
      </c>
    </row>
    <row r="5368" spans="1:2" x14ac:dyDescent="0.25">
      <c r="A5368" t="s">
        <v>53</v>
      </c>
      <c r="B5368" t="s">
        <v>4</v>
      </c>
    </row>
    <row r="5369" spans="1:2" x14ac:dyDescent="0.25">
      <c r="A5369" t="s">
        <v>54</v>
      </c>
      <c r="B5369" t="s">
        <v>4</v>
      </c>
    </row>
    <row r="5370" spans="1:2" x14ac:dyDescent="0.25">
      <c r="A5370" t="s">
        <v>55</v>
      </c>
      <c r="B5370" t="s">
        <v>4</v>
      </c>
    </row>
    <row r="5371" spans="1:2" x14ac:dyDescent="0.25">
      <c r="A5371" t="s">
        <v>56</v>
      </c>
      <c r="B5371" t="s">
        <v>4</v>
      </c>
    </row>
    <row r="5372" spans="1:2" x14ac:dyDescent="0.25">
      <c r="A5372" t="s">
        <v>57</v>
      </c>
      <c r="B5372" t="s">
        <v>4</v>
      </c>
    </row>
    <row r="5373" spans="1:2" x14ac:dyDescent="0.25">
      <c r="A5373" t="s">
        <v>58</v>
      </c>
      <c r="B5373" t="s">
        <v>4</v>
      </c>
    </row>
    <row r="5374" spans="1:2" x14ac:dyDescent="0.25">
      <c r="A5374" t="s">
        <v>59</v>
      </c>
      <c r="B5374" t="s">
        <v>4</v>
      </c>
    </row>
    <row r="5375" spans="1:2" x14ac:dyDescent="0.25">
      <c r="A5375" t="s">
        <v>60</v>
      </c>
      <c r="B5375" t="s">
        <v>4</v>
      </c>
    </row>
    <row r="5376" spans="1:2" x14ac:dyDescent="0.25">
      <c r="A5376" t="s">
        <v>61</v>
      </c>
      <c r="B5376" t="s">
        <v>4</v>
      </c>
    </row>
    <row r="5377" spans="1:2" x14ac:dyDescent="0.25">
      <c r="A5377" t="s">
        <v>62</v>
      </c>
      <c r="B5377" t="s">
        <v>4</v>
      </c>
    </row>
    <row r="5378" spans="1:2" x14ac:dyDescent="0.25">
      <c r="A5378" t="s">
        <v>63</v>
      </c>
      <c r="B5378" t="s">
        <v>4</v>
      </c>
    </row>
    <row r="5379" spans="1:2" x14ac:dyDescent="0.25">
      <c r="A5379" t="s">
        <v>64</v>
      </c>
      <c r="B5379">
        <v>0.24</v>
      </c>
    </row>
    <row r="5380" spans="1:2" x14ac:dyDescent="0.25">
      <c r="A5380" t="s">
        <v>65</v>
      </c>
      <c r="B5380" t="s">
        <v>4</v>
      </c>
    </row>
    <row r="5381" spans="1:2" x14ac:dyDescent="0.25">
      <c r="A5381" t="s">
        <v>66</v>
      </c>
      <c r="B5381" t="s">
        <v>4</v>
      </c>
    </row>
    <row r="5382" spans="1:2" x14ac:dyDescent="0.25">
      <c r="A5382" t="s">
        <v>67</v>
      </c>
      <c r="B5382" t="s">
        <v>4</v>
      </c>
    </row>
    <row r="5383" spans="1:2" x14ac:dyDescent="0.25">
      <c r="A5383" t="s">
        <v>68</v>
      </c>
      <c r="B5383" t="s">
        <v>4</v>
      </c>
    </row>
    <row r="5384" spans="1:2" x14ac:dyDescent="0.25">
      <c r="A5384" t="s">
        <v>69</v>
      </c>
      <c r="B5384" t="s">
        <v>4</v>
      </c>
    </row>
    <row r="5385" spans="1:2" x14ac:dyDescent="0.25">
      <c r="A5385" t="s">
        <v>70</v>
      </c>
      <c r="B5385" t="s">
        <v>4</v>
      </c>
    </row>
    <row r="5386" spans="1:2" x14ac:dyDescent="0.25">
      <c r="A5386" t="s">
        <v>71</v>
      </c>
      <c r="B5386" t="s">
        <v>4</v>
      </c>
    </row>
    <row r="5387" spans="1:2" x14ac:dyDescent="0.25">
      <c r="A5387" t="s">
        <v>72</v>
      </c>
      <c r="B5387" t="s">
        <v>4</v>
      </c>
    </row>
    <row r="5388" spans="1:2" x14ac:dyDescent="0.25">
      <c r="A5388" t="s">
        <v>73</v>
      </c>
      <c r="B5388" t="s">
        <v>4</v>
      </c>
    </row>
    <row r="5389" spans="1:2" x14ac:dyDescent="0.25">
      <c r="A5389" t="s">
        <v>74</v>
      </c>
      <c r="B5389" t="s">
        <v>4</v>
      </c>
    </row>
    <row r="5390" spans="1:2" x14ac:dyDescent="0.25">
      <c r="A5390" t="s">
        <v>75</v>
      </c>
      <c r="B5390" t="s">
        <v>4</v>
      </c>
    </row>
    <row r="5391" spans="1:2" x14ac:dyDescent="0.25">
      <c r="A5391" t="s">
        <v>76</v>
      </c>
      <c r="B5391" t="s">
        <v>4</v>
      </c>
    </row>
    <row r="5392" spans="1:2" x14ac:dyDescent="0.25">
      <c r="A5392" t="s">
        <v>77</v>
      </c>
      <c r="B5392" t="s">
        <v>4</v>
      </c>
    </row>
    <row r="5393" spans="1:3" x14ac:dyDescent="0.25">
      <c r="A5393" t="s">
        <v>78</v>
      </c>
      <c r="B5393" t="s">
        <v>4</v>
      </c>
    </row>
    <row r="5394" spans="1:3" x14ac:dyDescent="0.25">
      <c r="A5394" t="s">
        <v>79</v>
      </c>
      <c r="B5394" t="s">
        <v>4</v>
      </c>
    </row>
    <row r="5395" spans="1:3" x14ac:dyDescent="0.25">
      <c r="A5395" t="s">
        <v>80</v>
      </c>
      <c r="B5395" t="s">
        <v>4</v>
      </c>
    </row>
    <row r="5396" spans="1:3" x14ac:dyDescent="0.25">
      <c r="A5396" t="s">
        <v>81</v>
      </c>
      <c r="B5396" t="s">
        <v>4</v>
      </c>
    </row>
    <row r="5399" spans="1:3" x14ac:dyDescent="0.25">
      <c r="A5399" t="s">
        <v>0</v>
      </c>
      <c r="B5399" t="s">
        <v>139</v>
      </c>
    </row>
    <row r="5401" spans="1:3" s="1" customFormat="1" x14ac:dyDescent="0.25">
      <c r="A5401" s="1" t="s">
        <v>2</v>
      </c>
      <c r="B5401" s="1" t="s">
        <v>157</v>
      </c>
    </row>
    <row r="5402" spans="1:3" x14ac:dyDescent="0.25">
      <c r="A5402" t="s">
        <v>3</v>
      </c>
      <c r="B5402" t="s">
        <v>4</v>
      </c>
    </row>
    <row r="5403" spans="1:3" x14ac:dyDescent="0.25">
      <c r="A5403" t="s">
        <v>5</v>
      </c>
      <c r="B5403" t="s">
        <v>4</v>
      </c>
    </row>
    <row r="5404" spans="1:3" x14ac:dyDescent="0.25">
      <c r="A5404" t="s">
        <v>6</v>
      </c>
      <c r="B5404" s="3">
        <v>0.52</v>
      </c>
    </row>
    <row r="5405" spans="1:3" x14ac:dyDescent="0.25">
      <c r="A5405" t="s">
        <v>7</v>
      </c>
      <c r="B5405">
        <v>0.97</v>
      </c>
      <c r="C5405">
        <f>IF(OR(B5405&lt;$B$5404,B5405&lt;=$B$5404*1.1),"N/A",B5405-$B$5404)</f>
        <v>0.44999999999999996</v>
      </c>
    </row>
    <row r="5406" spans="1:3" x14ac:dyDescent="0.25">
      <c r="A5406" t="s">
        <v>8</v>
      </c>
      <c r="B5406">
        <v>3.71</v>
      </c>
      <c r="C5406">
        <f t="shared" ref="C5406:C5469" si="10">IF(OR(B5406&lt;$B$5404,B5406&lt;=$B$5404*1.1),"N/A",B5406-$B$5404)</f>
        <v>3.19</v>
      </c>
    </row>
    <row r="5407" spans="1:3" x14ac:dyDescent="0.25">
      <c r="A5407" t="s">
        <v>9</v>
      </c>
      <c r="B5407">
        <v>7.34</v>
      </c>
      <c r="C5407">
        <f t="shared" si="10"/>
        <v>6.82</v>
      </c>
    </row>
    <row r="5408" spans="1:3" x14ac:dyDescent="0.25">
      <c r="A5408" t="s">
        <v>10</v>
      </c>
      <c r="B5408">
        <v>2.25</v>
      </c>
      <c r="C5408">
        <f t="shared" si="10"/>
        <v>1.73</v>
      </c>
    </row>
    <row r="5409" spans="1:3" x14ac:dyDescent="0.25">
      <c r="A5409" t="s">
        <v>11</v>
      </c>
      <c r="B5409">
        <v>1.39</v>
      </c>
      <c r="C5409">
        <f t="shared" si="10"/>
        <v>0.86999999999999988</v>
      </c>
    </row>
    <row r="5410" spans="1:3" x14ac:dyDescent="0.25">
      <c r="A5410" t="s">
        <v>12</v>
      </c>
      <c r="B5410">
        <v>0.88</v>
      </c>
      <c r="C5410">
        <f t="shared" si="10"/>
        <v>0.36</v>
      </c>
    </row>
    <row r="5411" spans="1:3" x14ac:dyDescent="0.25">
      <c r="A5411" t="s">
        <v>13</v>
      </c>
      <c r="B5411">
        <v>1.65</v>
      </c>
      <c r="C5411">
        <f t="shared" si="10"/>
        <v>1.1299999999999999</v>
      </c>
    </row>
    <row r="5412" spans="1:3" x14ac:dyDescent="0.25">
      <c r="A5412" t="s">
        <v>14</v>
      </c>
      <c r="B5412">
        <v>2.02</v>
      </c>
      <c r="C5412">
        <f t="shared" si="10"/>
        <v>1.5</v>
      </c>
    </row>
    <row r="5413" spans="1:3" x14ac:dyDescent="0.25">
      <c r="A5413" t="s">
        <v>15</v>
      </c>
      <c r="B5413">
        <v>1.34</v>
      </c>
      <c r="C5413">
        <f t="shared" si="10"/>
        <v>0.82000000000000006</v>
      </c>
    </row>
    <row r="5414" spans="1:3" x14ac:dyDescent="0.25">
      <c r="A5414" t="s">
        <v>16</v>
      </c>
      <c r="B5414">
        <v>2</v>
      </c>
      <c r="C5414">
        <f t="shared" si="10"/>
        <v>1.48</v>
      </c>
    </row>
    <row r="5415" spans="1:3" x14ac:dyDescent="0.25">
      <c r="A5415" t="s">
        <v>17</v>
      </c>
      <c r="B5415">
        <v>1.31</v>
      </c>
      <c r="C5415">
        <f t="shared" si="10"/>
        <v>0.79</v>
      </c>
    </row>
    <row r="5416" spans="1:3" x14ac:dyDescent="0.25">
      <c r="A5416" t="s">
        <v>18</v>
      </c>
      <c r="B5416">
        <v>2.81</v>
      </c>
      <c r="C5416">
        <f t="shared" si="10"/>
        <v>2.29</v>
      </c>
    </row>
    <row r="5417" spans="1:3" x14ac:dyDescent="0.25">
      <c r="A5417" t="s">
        <v>19</v>
      </c>
      <c r="B5417">
        <v>2.58</v>
      </c>
      <c r="C5417">
        <f t="shared" si="10"/>
        <v>2.06</v>
      </c>
    </row>
    <row r="5418" spans="1:3" x14ac:dyDescent="0.25">
      <c r="A5418" t="s">
        <v>20</v>
      </c>
      <c r="B5418">
        <v>3.29</v>
      </c>
      <c r="C5418">
        <f t="shared" si="10"/>
        <v>2.77</v>
      </c>
    </row>
    <row r="5419" spans="1:3" x14ac:dyDescent="0.25">
      <c r="A5419" t="s">
        <v>21</v>
      </c>
      <c r="B5419">
        <v>3.98</v>
      </c>
      <c r="C5419">
        <f t="shared" si="10"/>
        <v>3.46</v>
      </c>
    </row>
    <row r="5420" spans="1:3" x14ac:dyDescent="0.25">
      <c r="A5420" t="s">
        <v>22</v>
      </c>
      <c r="B5420">
        <v>4.2300000000000004</v>
      </c>
      <c r="C5420">
        <f t="shared" si="10"/>
        <v>3.7100000000000004</v>
      </c>
    </row>
    <row r="5421" spans="1:3" x14ac:dyDescent="0.25">
      <c r="A5421" t="s">
        <v>23</v>
      </c>
      <c r="B5421">
        <v>5.0199999999999996</v>
      </c>
      <c r="C5421">
        <f t="shared" si="10"/>
        <v>4.5</v>
      </c>
    </row>
    <row r="5422" spans="1:3" x14ac:dyDescent="0.25">
      <c r="A5422" t="s">
        <v>24</v>
      </c>
      <c r="B5422">
        <v>2.5299999999999998</v>
      </c>
      <c r="C5422">
        <f t="shared" si="10"/>
        <v>2.0099999999999998</v>
      </c>
    </row>
    <row r="5423" spans="1:3" x14ac:dyDescent="0.25">
      <c r="A5423" t="s">
        <v>25</v>
      </c>
      <c r="B5423">
        <v>1.32</v>
      </c>
      <c r="C5423">
        <f t="shared" si="10"/>
        <v>0.8</v>
      </c>
    </row>
    <row r="5424" spans="1:3" x14ac:dyDescent="0.25">
      <c r="A5424" t="s">
        <v>26</v>
      </c>
      <c r="B5424">
        <v>1.91</v>
      </c>
      <c r="C5424">
        <f t="shared" si="10"/>
        <v>1.39</v>
      </c>
    </row>
    <row r="5425" spans="1:3" x14ac:dyDescent="0.25">
      <c r="A5425" t="s">
        <v>27</v>
      </c>
      <c r="B5425">
        <v>2.04</v>
      </c>
      <c r="C5425">
        <f t="shared" si="10"/>
        <v>1.52</v>
      </c>
    </row>
    <row r="5426" spans="1:3" x14ac:dyDescent="0.25">
      <c r="A5426" t="s">
        <v>28</v>
      </c>
      <c r="B5426">
        <v>1.36</v>
      </c>
      <c r="C5426">
        <f t="shared" si="10"/>
        <v>0.84000000000000008</v>
      </c>
    </row>
    <row r="5427" spans="1:3" x14ac:dyDescent="0.25">
      <c r="A5427" t="s">
        <v>29</v>
      </c>
      <c r="B5427">
        <v>8.02</v>
      </c>
      <c r="C5427">
        <f t="shared" si="10"/>
        <v>7.5</v>
      </c>
    </row>
    <row r="5428" spans="1:3" x14ac:dyDescent="0.25">
      <c r="A5428" t="s">
        <v>30</v>
      </c>
      <c r="B5428">
        <v>1.92</v>
      </c>
      <c r="C5428">
        <f t="shared" si="10"/>
        <v>1.4</v>
      </c>
    </row>
    <row r="5429" spans="1:3" x14ac:dyDescent="0.25">
      <c r="A5429" t="s">
        <v>31</v>
      </c>
      <c r="B5429">
        <v>3.13</v>
      </c>
      <c r="C5429">
        <f t="shared" si="10"/>
        <v>2.61</v>
      </c>
    </row>
    <row r="5430" spans="1:3" x14ac:dyDescent="0.25">
      <c r="A5430" t="s">
        <v>32</v>
      </c>
      <c r="B5430">
        <v>3.63</v>
      </c>
      <c r="C5430">
        <f t="shared" si="10"/>
        <v>3.11</v>
      </c>
    </row>
    <row r="5431" spans="1:3" x14ac:dyDescent="0.25">
      <c r="A5431" t="s">
        <v>33</v>
      </c>
      <c r="B5431">
        <v>52.48</v>
      </c>
      <c r="C5431">
        <f t="shared" si="10"/>
        <v>51.959999999999994</v>
      </c>
    </row>
    <row r="5432" spans="1:3" x14ac:dyDescent="0.25">
      <c r="A5432" t="s">
        <v>34</v>
      </c>
      <c r="B5432">
        <v>9.39</v>
      </c>
      <c r="C5432">
        <f t="shared" si="10"/>
        <v>8.870000000000001</v>
      </c>
    </row>
    <row r="5433" spans="1:3" x14ac:dyDescent="0.25">
      <c r="A5433" t="s">
        <v>35</v>
      </c>
      <c r="B5433">
        <v>13.12</v>
      </c>
      <c r="C5433">
        <f t="shared" si="10"/>
        <v>12.6</v>
      </c>
    </row>
    <row r="5434" spans="1:3" x14ac:dyDescent="0.25">
      <c r="A5434" t="s">
        <v>36</v>
      </c>
      <c r="B5434">
        <v>3.09</v>
      </c>
      <c r="C5434">
        <f t="shared" si="10"/>
        <v>2.57</v>
      </c>
    </row>
    <row r="5435" spans="1:3" x14ac:dyDescent="0.25">
      <c r="A5435" t="s">
        <v>37</v>
      </c>
      <c r="B5435">
        <v>58.43</v>
      </c>
      <c r="C5435">
        <f t="shared" si="10"/>
        <v>57.91</v>
      </c>
    </row>
    <row r="5436" spans="1:3" x14ac:dyDescent="0.25">
      <c r="A5436" t="s">
        <v>38</v>
      </c>
      <c r="B5436">
        <v>5.7</v>
      </c>
      <c r="C5436">
        <f t="shared" si="10"/>
        <v>5.18</v>
      </c>
    </row>
    <row r="5437" spans="1:3" x14ac:dyDescent="0.25">
      <c r="A5437" t="s">
        <v>39</v>
      </c>
      <c r="B5437">
        <v>5.7</v>
      </c>
      <c r="C5437">
        <f t="shared" si="10"/>
        <v>5.18</v>
      </c>
    </row>
    <row r="5438" spans="1:3" x14ac:dyDescent="0.25">
      <c r="A5438" t="s">
        <v>40</v>
      </c>
      <c r="B5438">
        <v>2.23</v>
      </c>
      <c r="C5438">
        <f t="shared" si="10"/>
        <v>1.71</v>
      </c>
    </row>
    <row r="5439" spans="1:3" x14ac:dyDescent="0.25">
      <c r="A5439" t="s">
        <v>41</v>
      </c>
      <c r="B5439">
        <v>27.71</v>
      </c>
      <c r="C5439">
        <f t="shared" si="10"/>
        <v>27.19</v>
      </c>
    </row>
    <row r="5440" spans="1:3" x14ac:dyDescent="0.25">
      <c r="A5440" t="s">
        <v>42</v>
      </c>
      <c r="B5440">
        <v>15.8</v>
      </c>
      <c r="C5440">
        <f t="shared" si="10"/>
        <v>15.280000000000001</v>
      </c>
    </row>
    <row r="5441" spans="1:3" x14ac:dyDescent="0.25">
      <c r="A5441" t="s">
        <v>43</v>
      </c>
      <c r="B5441">
        <v>22.06</v>
      </c>
      <c r="C5441">
        <f t="shared" si="10"/>
        <v>21.54</v>
      </c>
    </row>
    <row r="5442" spans="1:3" x14ac:dyDescent="0.25">
      <c r="A5442" t="s">
        <v>44</v>
      </c>
      <c r="B5442">
        <v>7.13</v>
      </c>
      <c r="C5442">
        <f t="shared" si="10"/>
        <v>6.6099999999999994</v>
      </c>
    </row>
    <row r="5443" spans="1:3" x14ac:dyDescent="0.25">
      <c r="A5443" t="s">
        <v>45</v>
      </c>
      <c r="B5443">
        <v>18.39</v>
      </c>
      <c r="C5443">
        <f t="shared" si="10"/>
        <v>17.87</v>
      </c>
    </row>
    <row r="5444" spans="1:3" x14ac:dyDescent="0.25">
      <c r="A5444" t="s">
        <v>46</v>
      </c>
      <c r="B5444">
        <v>9.7799999999999994</v>
      </c>
      <c r="C5444">
        <f t="shared" si="10"/>
        <v>9.26</v>
      </c>
    </row>
    <row r="5445" spans="1:3" x14ac:dyDescent="0.25">
      <c r="A5445" t="s">
        <v>47</v>
      </c>
      <c r="B5445">
        <v>26.03</v>
      </c>
      <c r="C5445">
        <f t="shared" si="10"/>
        <v>25.51</v>
      </c>
    </row>
    <row r="5446" spans="1:3" x14ac:dyDescent="0.25">
      <c r="A5446" t="s">
        <v>48</v>
      </c>
      <c r="B5446">
        <v>6.24</v>
      </c>
      <c r="C5446">
        <f t="shared" si="10"/>
        <v>5.7200000000000006</v>
      </c>
    </row>
    <row r="5447" spans="1:3" x14ac:dyDescent="0.25">
      <c r="A5447" t="s">
        <v>49</v>
      </c>
      <c r="B5447">
        <v>14.01</v>
      </c>
      <c r="C5447">
        <f t="shared" si="10"/>
        <v>13.49</v>
      </c>
    </row>
    <row r="5448" spans="1:3" x14ac:dyDescent="0.25">
      <c r="A5448" t="s">
        <v>50</v>
      </c>
      <c r="B5448">
        <v>7.26</v>
      </c>
      <c r="C5448">
        <f t="shared" si="10"/>
        <v>6.74</v>
      </c>
    </row>
    <row r="5449" spans="1:3" x14ac:dyDescent="0.25">
      <c r="A5449" t="s">
        <v>51</v>
      </c>
      <c r="B5449">
        <v>9.49</v>
      </c>
      <c r="C5449">
        <f t="shared" si="10"/>
        <v>8.9700000000000006</v>
      </c>
    </row>
    <row r="5450" spans="1:3" x14ac:dyDescent="0.25">
      <c r="A5450" t="s">
        <v>52</v>
      </c>
      <c r="B5450">
        <v>2.56</v>
      </c>
      <c r="C5450">
        <f t="shared" si="10"/>
        <v>2.04</v>
      </c>
    </row>
    <row r="5451" spans="1:3" x14ac:dyDescent="0.25">
      <c r="A5451" t="s">
        <v>53</v>
      </c>
      <c r="B5451">
        <v>7.96</v>
      </c>
      <c r="C5451">
        <f t="shared" si="10"/>
        <v>7.4399999999999995</v>
      </c>
    </row>
    <row r="5452" spans="1:3" x14ac:dyDescent="0.25">
      <c r="A5452" t="s">
        <v>54</v>
      </c>
      <c r="B5452">
        <v>7.72</v>
      </c>
      <c r="C5452">
        <f t="shared" si="10"/>
        <v>7.1999999999999993</v>
      </c>
    </row>
    <row r="5453" spans="1:3" x14ac:dyDescent="0.25">
      <c r="A5453" t="s">
        <v>55</v>
      </c>
      <c r="B5453">
        <v>32.39</v>
      </c>
      <c r="C5453">
        <f t="shared" si="10"/>
        <v>31.87</v>
      </c>
    </row>
    <row r="5454" spans="1:3" x14ac:dyDescent="0.25">
      <c r="A5454" t="s">
        <v>56</v>
      </c>
      <c r="B5454">
        <v>1.08</v>
      </c>
      <c r="C5454">
        <f t="shared" si="10"/>
        <v>0.56000000000000005</v>
      </c>
    </row>
    <row r="5455" spans="1:3" x14ac:dyDescent="0.25">
      <c r="A5455" t="s">
        <v>57</v>
      </c>
      <c r="B5455">
        <v>1.62</v>
      </c>
      <c r="C5455">
        <f t="shared" si="10"/>
        <v>1.1000000000000001</v>
      </c>
    </row>
    <row r="5456" spans="1:3" x14ac:dyDescent="0.25">
      <c r="A5456" t="s">
        <v>58</v>
      </c>
      <c r="B5456">
        <v>3.17</v>
      </c>
      <c r="C5456">
        <f t="shared" si="10"/>
        <v>2.65</v>
      </c>
    </row>
    <row r="5457" spans="1:3" x14ac:dyDescent="0.25">
      <c r="A5457" t="s">
        <v>59</v>
      </c>
      <c r="B5457">
        <v>4.7699999999999996</v>
      </c>
      <c r="C5457">
        <f t="shared" si="10"/>
        <v>4.25</v>
      </c>
    </row>
    <row r="5458" spans="1:3" x14ac:dyDescent="0.25">
      <c r="A5458" t="s">
        <v>60</v>
      </c>
      <c r="B5458">
        <v>2.98</v>
      </c>
      <c r="C5458">
        <f t="shared" si="10"/>
        <v>2.46</v>
      </c>
    </row>
    <row r="5459" spans="1:3" x14ac:dyDescent="0.25">
      <c r="A5459" t="s">
        <v>61</v>
      </c>
      <c r="B5459">
        <v>3.79</v>
      </c>
      <c r="C5459">
        <f t="shared" si="10"/>
        <v>3.27</v>
      </c>
    </row>
    <row r="5460" spans="1:3" x14ac:dyDescent="0.25">
      <c r="A5460" t="s">
        <v>62</v>
      </c>
      <c r="B5460">
        <v>4.3899999999999997</v>
      </c>
      <c r="C5460">
        <f t="shared" si="10"/>
        <v>3.8699999999999997</v>
      </c>
    </row>
    <row r="5461" spans="1:3" x14ac:dyDescent="0.25">
      <c r="A5461" t="s">
        <v>63</v>
      </c>
      <c r="B5461">
        <v>6.07</v>
      </c>
      <c r="C5461">
        <f t="shared" si="10"/>
        <v>5.5500000000000007</v>
      </c>
    </row>
    <row r="5462" spans="1:3" x14ac:dyDescent="0.25">
      <c r="A5462" t="s">
        <v>64</v>
      </c>
      <c r="B5462">
        <v>9.08</v>
      </c>
      <c r="C5462">
        <f t="shared" si="10"/>
        <v>8.56</v>
      </c>
    </row>
    <row r="5463" spans="1:3" x14ac:dyDescent="0.25">
      <c r="A5463" t="s">
        <v>65</v>
      </c>
      <c r="B5463">
        <v>3.32</v>
      </c>
      <c r="C5463">
        <f t="shared" si="10"/>
        <v>2.8</v>
      </c>
    </row>
    <row r="5464" spans="1:3" x14ac:dyDescent="0.25">
      <c r="A5464" t="s">
        <v>66</v>
      </c>
      <c r="B5464">
        <v>2.0299999999999998</v>
      </c>
      <c r="C5464">
        <f t="shared" si="10"/>
        <v>1.5099999999999998</v>
      </c>
    </row>
    <row r="5465" spans="1:3" x14ac:dyDescent="0.25">
      <c r="A5465" t="s">
        <v>67</v>
      </c>
      <c r="B5465">
        <v>2.52</v>
      </c>
      <c r="C5465">
        <f t="shared" si="10"/>
        <v>2</v>
      </c>
    </row>
    <row r="5466" spans="1:3" x14ac:dyDescent="0.25">
      <c r="A5466" t="s">
        <v>68</v>
      </c>
      <c r="B5466">
        <v>21.28</v>
      </c>
      <c r="C5466">
        <f t="shared" si="10"/>
        <v>20.76</v>
      </c>
    </row>
    <row r="5467" spans="1:3" x14ac:dyDescent="0.25">
      <c r="A5467" t="s">
        <v>69</v>
      </c>
      <c r="B5467">
        <v>1.75</v>
      </c>
      <c r="C5467">
        <f t="shared" si="10"/>
        <v>1.23</v>
      </c>
    </row>
    <row r="5468" spans="1:3" x14ac:dyDescent="0.25">
      <c r="A5468" t="s">
        <v>70</v>
      </c>
      <c r="B5468">
        <v>8.94</v>
      </c>
      <c r="C5468">
        <f t="shared" si="10"/>
        <v>8.42</v>
      </c>
    </row>
    <row r="5469" spans="1:3" x14ac:dyDescent="0.25">
      <c r="A5469" t="s">
        <v>71</v>
      </c>
      <c r="B5469">
        <v>29.85</v>
      </c>
      <c r="C5469">
        <f t="shared" si="10"/>
        <v>29.330000000000002</v>
      </c>
    </row>
    <row r="5470" spans="1:3" x14ac:dyDescent="0.25">
      <c r="A5470" t="s">
        <v>72</v>
      </c>
      <c r="B5470">
        <v>23.78</v>
      </c>
      <c r="C5470">
        <f t="shared" ref="C5470:C5479" si="11">IF(OR(B5470&lt;$B$5404,B5470&lt;=$B$5404*1.1),"N/A",B5470-$B$5404)</f>
        <v>23.26</v>
      </c>
    </row>
    <row r="5471" spans="1:3" x14ac:dyDescent="0.25">
      <c r="A5471" t="s">
        <v>73</v>
      </c>
      <c r="B5471">
        <v>2.89</v>
      </c>
      <c r="C5471">
        <f t="shared" si="11"/>
        <v>2.37</v>
      </c>
    </row>
    <row r="5472" spans="1:3" x14ac:dyDescent="0.25">
      <c r="A5472" t="s">
        <v>74</v>
      </c>
      <c r="B5472">
        <v>28.64</v>
      </c>
      <c r="C5472">
        <f t="shared" si="11"/>
        <v>28.12</v>
      </c>
    </row>
    <row r="5473" spans="1:3" x14ac:dyDescent="0.25">
      <c r="A5473" t="s">
        <v>75</v>
      </c>
      <c r="B5473">
        <v>8.7799999999999994</v>
      </c>
      <c r="C5473">
        <f t="shared" si="11"/>
        <v>8.26</v>
      </c>
    </row>
    <row r="5474" spans="1:3" x14ac:dyDescent="0.25">
      <c r="A5474" t="s">
        <v>76</v>
      </c>
      <c r="B5474">
        <v>20.43</v>
      </c>
      <c r="C5474">
        <f t="shared" si="11"/>
        <v>19.91</v>
      </c>
    </row>
    <row r="5475" spans="1:3" x14ac:dyDescent="0.25">
      <c r="A5475" t="s">
        <v>77</v>
      </c>
      <c r="B5475">
        <v>12.59</v>
      </c>
      <c r="C5475">
        <f t="shared" si="11"/>
        <v>12.07</v>
      </c>
    </row>
    <row r="5476" spans="1:3" x14ac:dyDescent="0.25">
      <c r="A5476" t="s">
        <v>78</v>
      </c>
      <c r="B5476">
        <v>1.26</v>
      </c>
      <c r="C5476">
        <f t="shared" si="11"/>
        <v>0.74</v>
      </c>
    </row>
    <row r="5477" spans="1:3" x14ac:dyDescent="0.25">
      <c r="A5477" t="s">
        <v>79</v>
      </c>
      <c r="B5477">
        <v>2.86</v>
      </c>
      <c r="C5477">
        <f t="shared" si="11"/>
        <v>2.34</v>
      </c>
    </row>
    <row r="5478" spans="1:3" x14ac:dyDescent="0.25">
      <c r="A5478" t="s">
        <v>80</v>
      </c>
      <c r="B5478">
        <v>13.29</v>
      </c>
      <c r="C5478">
        <f t="shared" si="11"/>
        <v>12.77</v>
      </c>
    </row>
    <row r="5479" spans="1:3" x14ac:dyDescent="0.25">
      <c r="A5479" t="s">
        <v>81</v>
      </c>
      <c r="B5479">
        <v>5.33</v>
      </c>
      <c r="C5479">
        <f t="shared" si="11"/>
        <v>4.8100000000000005</v>
      </c>
    </row>
    <row r="5482" spans="1:3" x14ac:dyDescent="0.25">
      <c r="A5482" t="s">
        <v>0</v>
      </c>
      <c r="B5482" t="s">
        <v>140</v>
      </c>
    </row>
    <row r="5484" spans="1:3" s="1" customFormat="1" x14ac:dyDescent="0.25">
      <c r="A5484" s="1" t="s">
        <v>2</v>
      </c>
      <c r="B5484" s="1" t="s">
        <v>157</v>
      </c>
    </row>
    <row r="5485" spans="1:3" x14ac:dyDescent="0.25">
      <c r="A5485" t="s">
        <v>3</v>
      </c>
      <c r="B5485" t="s">
        <v>4</v>
      </c>
    </row>
    <row r="5486" spans="1:3" x14ac:dyDescent="0.25">
      <c r="A5486" t="s">
        <v>5</v>
      </c>
      <c r="B5486" t="s">
        <v>4</v>
      </c>
    </row>
    <row r="5487" spans="1:3" x14ac:dyDescent="0.25">
      <c r="A5487" t="s">
        <v>6</v>
      </c>
      <c r="B5487" t="s">
        <v>4</v>
      </c>
    </row>
    <row r="5488" spans="1:3" x14ac:dyDescent="0.25">
      <c r="A5488" t="s">
        <v>7</v>
      </c>
      <c r="B5488" t="s">
        <v>4</v>
      </c>
    </row>
    <row r="5489" spans="1:2" x14ac:dyDescent="0.25">
      <c r="A5489" t="s">
        <v>8</v>
      </c>
      <c r="B5489" t="s">
        <v>4</v>
      </c>
    </row>
    <row r="5490" spans="1:2" x14ac:dyDescent="0.25">
      <c r="A5490" t="s">
        <v>9</v>
      </c>
      <c r="B5490" t="s">
        <v>4</v>
      </c>
    </row>
    <row r="5491" spans="1:2" x14ac:dyDescent="0.25">
      <c r="A5491" t="s">
        <v>10</v>
      </c>
      <c r="B5491" t="s">
        <v>4</v>
      </c>
    </row>
    <row r="5492" spans="1:2" x14ac:dyDescent="0.25">
      <c r="A5492" t="s">
        <v>11</v>
      </c>
      <c r="B5492" t="s">
        <v>4</v>
      </c>
    </row>
    <row r="5493" spans="1:2" x14ac:dyDescent="0.25">
      <c r="A5493" t="s">
        <v>12</v>
      </c>
      <c r="B5493" t="s">
        <v>4</v>
      </c>
    </row>
    <row r="5494" spans="1:2" x14ac:dyDescent="0.25">
      <c r="A5494" t="s">
        <v>13</v>
      </c>
      <c r="B5494" t="s">
        <v>4</v>
      </c>
    </row>
    <row r="5495" spans="1:2" x14ac:dyDescent="0.25">
      <c r="A5495" t="s">
        <v>14</v>
      </c>
      <c r="B5495" t="s">
        <v>4</v>
      </c>
    </row>
    <row r="5496" spans="1:2" x14ac:dyDescent="0.25">
      <c r="A5496" t="s">
        <v>15</v>
      </c>
      <c r="B5496" t="s">
        <v>4</v>
      </c>
    </row>
    <row r="5497" spans="1:2" x14ac:dyDescent="0.25">
      <c r="A5497" t="s">
        <v>16</v>
      </c>
      <c r="B5497" t="s">
        <v>4</v>
      </c>
    </row>
    <row r="5498" spans="1:2" x14ac:dyDescent="0.25">
      <c r="A5498" t="s">
        <v>17</v>
      </c>
      <c r="B5498" t="s">
        <v>4</v>
      </c>
    </row>
    <row r="5499" spans="1:2" x14ac:dyDescent="0.25">
      <c r="A5499" t="s">
        <v>18</v>
      </c>
      <c r="B5499" t="s">
        <v>4</v>
      </c>
    </row>
    <row r="5500" spans="1:2" x14ac:dyDescent="0.25">
      <c r="A5500" t="s">
        <v>19</v>
      </c>
      <c r="B5500" t="s">
        <v>4</v>
      </c>
    </row>
    <row r="5501" spans="1:2" x14ac:dyDescent="0.25">
      <c r="A5501" t="s">
        <v>20</v>
      </c>
      <c r="B5501" t="s">
        <v>4</v>
      </c>
    </row>
    <row r="5502" spans="1:2" x14ac:dyDescent="0.25">
      <c r="A5502" t="s">
        <v>21</v>
      </c>
      <c r="B5502" t="s">
        <v>4</v>
      </c>
    </row>
    <row r="5503" spans="1:2" x14ac:dyDescent="0.25">
      <c r="A5503" t="s">
        <v>22</v>
      </c>
      <c r="B5503" t="s">
        <v>4</v>
      </c>
    </row>
    <row r="5504" spans="1:2" x14ac:dyDescent="0.25">
      <c r="A5504" t="s">
        <v>23</v>
      </c>
      <c r="B5504" t="s">
        <v>4</v>
      </c>
    </row>
    <row r="5505" spans="1:2" x14ac:dyDescent="0.25">
      <c r="A5505" t="s">
        <v>24</v>
      </c>
      <c r="B5505" t="s">
        <v>4</v>
      </c>
    </row>
    <row r="5506" spans="1:2" x14ac:dyDescent="0.25">
      <c r="A5506" t="s">
        <v>25</v>
      </c>
      <c r="B5506" t="s">
        <v>4</v>
      </c>
    </row>
    <row r="5507" spans="1:2" x14ac:dyDescent="0.25">
      <c r="A5507" t="s">
        <v>26</v>
      </c>
      <c r="B5507" t="s">
        <v>4</v>
      </c>
    </row>
    <row r="5508" spans="1:2" x14ac:dyDescent="0.25">
      <c r="A5508" t="s">
        <v>27</v>
      </c>
      <c r="B5508" t="s">
        <v>4</v>
      </c>
    </row>
    <row r="5509" spans="1:2" x14ac:dyDescent="0.25">
      <c r="A5509" t="s">
        <v>28</v>
      </c>
      <c r="B5509" t="s">
        <v>4</v>
      </c>
    </row>
    <row r="5510" spans="1:2" x14ac:dyDescent="0.25">
      <c r="A5510" t="s">
        <v>29</v>
      </c>
      <c r="B5510" t="s">
        <v>4</v>
      </c>
    </row>
    <row r="5511" spans="1:2" x14ac:dyDescent="0.25">
      <c r="A5511" t="s">
        <v>30</v>
      </c>
      <c r="B5511" t="s">
        <v>4</v>
      </c>
    </row>
    <row r="5512" spans="1:2" x14ac:dyDescent="0.25">
      <c r="A5512" t="s">
        <v>31</v>
      </c>
      <c r="B5512" t="s">
        <v>4</v>
      </c>
    </row>
    <row r="5513" spans="1:2" x14ac:dyDescent="0.25">
      <c r="A5513" t="s">
        <v>32</v>
      </c>
      <c r="B5513" t="s">
        <v>4</v>
      </c>
    </row>
    <row r="5514" spans="1:2" x14ac:dyDescent="0.25">
      <c r="A5514" t="s">
        <v>33</v>
      </c>
      <c r="B5514" t="s">
        <v>4</v>
      </c>
    </row>
    <row r="5515" spans="1:2" x14ac:dyDescent="0.25">
      <c r="A5515" t="s">
        <v>34</v>
      </c>
      <c r="B5515" t="s">
        <v>4</v>
      </c>
    </row>
    <row r="5516" spans="1:2" x14ac:dyDescent="0.25">
      <c r="A5516" t="s">
        <v>35</v>
      </c>
      <c r="B5516" t="s">
        <v>4</v>
      </c>
    </row>
    <row r="5517" spans="1:2" x14ac:dyDescent="0.25">
      <c r="A5517" t="s">
        <v>36</v>
      </c>
      <c r="B5517" t="s">
        <v>4</v>
      </c>
    </row>
    <row r="5518" spans="1:2" x14ac:dyDescent="0.25">
      <c r="A5518" t="s">
        <v>37</v>
      </c>
      <c r="B5518" t="s">
        <v>4</v>
      </c>
    </row>
    <row r="5519" spans="1:2" x14ac:dyDescent="0.25">
      <c r="A5519" t="s">
        <v>38</v>
      </c>
      <c r="B5519" t="s">
        <v>4</v>
      </c>
    </row>
    <row r="5520" spans="1:2" x14ac:dyDescent="0.25">
      <c r="A5520" t="s">
        <v>39</v>
      </c>
      <c r="B5520" t="s">
        <v>4</v>
      </c>
    </row>
    <row r="5521" spans="1:2" x14ac:dyDescent="0.25">
      <c r="A5521" t="s">
        <v>40</v>
      </c>
      <c r="B5521" t="s">
        <v>4</v>
      </c>
    </row>
    <row r="5522" spans="1:2" x14ac:dyDescent="0.25">
      <c r="A5522" t="s">
        <v>41</v>
      </c>
      <c r="B5522" t="s">
        <v>4</v>
      </c>
    </row>
    <row r="5523" spans="1:2" x14ac:dyDescent="0.25">
      <c r="A5523" t="s">
        <v>42</v>
      </c>
      <c r="B5523" t="s">
        <v>4</v>
      </c>
    </row>
    <row r="5524" spans="1:2" x14ac:dyDescent="0.25">
      <c r="A5524" t="s">
        <v>43</v>
      </c>
      <c r="B5524" t="s">
        <v>4</v>
      </c>
    </row>
    <row r="5525" spans="1:2" x14ac:dyDescent="0.25">
      <c r="A5525" t="s">
        <v>44</v>
      </c>
      <c r="B5525" t="s">
        <v>4</v>
      </c>
    </row>
    <row r="5526" spans="1:2" x14ac:dyDescent="0.25">
      <c r="A5526" t="s">
        <v>45</v>
      </c>
      <c r="B5526" t="s">
        <v>4</v>
      </c>
    </row>
    <row r="5527" spans="1:2" x14ac:dyDescent="0.25">
      <c r="A5527" t="s">
        <v>46</v>
      </c>
      <c r="B5527" t="s">
        <v>4</v>
      </c>
    </row>
    <row r="5528" spans="1:2" x14ac:dyDescent="0.25">
      <c r="A5528" t="s">
        <v>47</v>
      </c>
      <c r="B5528" t="s">
        <v>4</v>
      </c>
    </row>
    <row r="5529" spans="1:2" x14ac:dyDescent="0.25">
      <c r="A5529" t="s">
        <v>48</v>
      </c>
      <c r="B5529" t="s">
        <v>4</v>
      </c>
    </row>
    <row r="5530" spans="1:2" x14ac:dyDescent="0.25">
      <c r="A5530" t="s">
        <v>49</v>
      </c>
      <c r="B5530" t="s">
        <v>4</v>
      </c>
    </row>
    <row r="5531" spans="1:2" x14ac:dyDescent="0.25">
      <c r="A5531" t="s">
        <v>50</v>
      </c>
      <c r="B5531" t="s">
        <v>4</v>
      </c>
    </row>
    <row r="5532" spans="1:2" x14ac:dyDescent="0.25">
      <c r="A5532" t="s">
        <v>51</v>
      </c>
      <c r="B5532" t="s">
        <v>4</v>
      </c>
    </row>
    <row r="5533" spans="1:2" x14ac:dyDescent="0.25">
      <c r="A5533" t="s">
        <v>52</v>
      </c>
      <c r="B5533" t="s">
        <v>4</v>
      </c>
    </row>
    <row r="5534" spans="1:2" x14ac:dyDescent="0.25">
      <c r="A5534" t="s">
        <v>53</v>
      </c>
      <c r="B5534" t="s">
        <v>4</v>
      </c>
    </row>
    <row r="5535" spans="1:2" x14ac:dyDescent="0.25">
      <c r="A5535" t="s">
        <v>54</v>
      </c>
      <c r="B5535" t="s">
        <v>4</v>
      </c>
    </row>
    <row r="5536" spans="1:2" x14ac:dyDescent="0.25">
      <c r="A5536" t="s">
        <v>55</v>
      </c>
      <c r="B5536" t="s">
        <v>4</v>
      </c>
    </row>
    <row r="5537" spans="1:2" x14ac:dyDescent="0.25">
      <c r="A5537" t="s">
        <v>56</v>
      </c>
      <c r="B5537" t="s">
        <v>4</v>
      </c>
    </row>
    <row r="5538" spans="1:2" x14ac:dyDescent="0.25">
      <c r="A5538" t="s">
        <v>57</v>
      </c>
      <c r="B5538" t="s">
        <v>4</v>
      </c>
    </row>
    <row r="5539" spans="1:2" x14ac:dyDescent="0.25">
      <c r="A5539" t="s">
        <v>58</v>
      </c>
      <c r="B5539" t="s">
        <v>4</v>
      </c>
    </row>
    <row r="5540" spans="1:2" x14ac:dyDescent="0.25">
      <c r="A5540" t="s">
        <v>59</v>
      </c>
      <c r="B5540" t="s">
        <v>4</v>
      </c>
    </row>
    <row r="5541" spans="1:2" x14ac:dyDescent="0.25">
      <c r="A5541" t="s">
        <v>60</v>
      </c>
      <c r="B5541" t="s">
        <v>4</v>
      </c>
    </row>
    <row r="5542" spans="1:2" x14ac:dyDescent="0.25">
      <c r="A5542" t="s">
        <v>61</v>
      </c>
      <c r="B5542" t="s">
        <v>4</v>
      </c>
    </row>
    <row r="5543" spans="1:2" x14ac:dyDescent="0.25">
      <c r="A5543" t="s">
        <v>62</v>
      </c>
      <c r="B5543" t="s">
        <v>4</v>
      </c>
    </row>
    <row r="5544" spans="1:2" x14ac:dyDescent="0.25">
      <c r="A5544" t="s">
        <v>63</v>
      </c>
      <c r="B5544" t="s">
        <v>4</v>
      </c>
    </row>
    <row r="5545" spans="1:2" x14ac:dyDescent="0.25">
      <c r="A5545" t="s">
        <v>64</v>
      </c>
      <c r="B5545" t="s">
        <v>4</v>
      </c>
    </row>
    <row r="5546" spans="1:2" x14ac:dyDescent="0.25">
      <c r="A5546" t="s">
        <v>65</v>
      </c>
      <c r="B5546" t="s">
        <v>4</v>
      </c>
    </row>
    <row r="5547" spans="1:2" x14ac:dyDescent="0.25">
      <c r="A5547" t="s">
        <v>66</v>
      </c>
      <c r="B5547" t="s">
        <v>4</v>
      </c>
    </row>
    <row r="5548" spans="1:2" x14ac:dyDescent="0.25">
      <c r="A5548" t="s">
        <v>67</v>
      </c>
      <c r="B5548" t="s">
        <v>4</v>
      </c>
    </row>
    <row r="5549" spans="1:2" x14ac:dyDescent="0.25">
      <c r="A5549" t="s">
        <v>68</v>
      </c>
      <c r="B5549" t="s">
        <v>4</v>
      </c>
    </row>
    <row r="5550" spans="1:2" x14ac:dyDescent="0.25">
      <c r="A5550" t="s">
        <v>69</v>
      </c>
      <c r="B5550" t="s">
        <v>4</v>
      </c>
    </row>
    <row r="5551" spans="1:2" x14ac:dyDescent="0.25">
      <c r="A5551" t="s">
        <v>70</v>
      </c>
      <c r="B5551" t="s">
        <v>4</v>
      </c>
    </row>
    <row r="5552" spans="1:2" x14ac:dyDescent="0.25">
      <c r="A5552" t="s">
        <v>71</v>
      </c>
      <c r="B5552" t="s">
        <v>4</v>
      </c>
    </row>
    <row r="5553" spans="1:2" x14ac:dyDescent="0.25">
      <c r="A5553" t="s">
        <v>72</v>
      </c>
      <c r="B5553" t="s">
        <v>4</v>
      </c>
    </row>
    <row r="5554" spans="1:2" x14ac:dyDescent="0.25">
      <c r="A5554" t="s">
        <v>73</v>
      </c>
      <c r="B5554" t="s">
        <v>4</v>
      </c>
    </row>
    <row r="5555" spans="1:2" x14ac:dyDescent="0.25">
      <c r="A5555" t="s">
        <v>74</v>
      </c>
      <c r="B5555" t="s">
        <v>4</v>
      </c>
    </row>
    <row r="5556" spans="1:2" x14ac:dyDescent="0.25">
      <c r="A5556" t="s">
        <v>75</v>
      </c>
      <c r="B5556">
        <v>1.1000000000000001</v>
      </c>
    </row>
    <row r="5557" spans="1:2" x14ac:dyDescent="0.25">
      <c r="A5557" t="s">
        <v>76</v>
      </c>
      <c r="B5557" t="s">
        <v>4</v>
      </c>
    </row>
    <row r="5558" spans="1:2" x14ac:dyDescent="0.25">
      <c r="A5558" t="s">
        <v>77</v>
      </c>
      <c r="B5558" t="s">
        <v>4</v>
      </c>
    </row>
    <row r="5559" spans="1:2" x14ac:dyDescent="0.25">
      <c r="A5559" t="s">
        <v>78</v>
      </c>
      <c r="B5559" t="s">
        <v>4</v>
      </c>
    </row>
    <row r="5560" spans="1:2" x14ac:dyDescent="0.25">
      <c r="A5560" t="s">
        <v>79</v>
      </c>
      <c r="B5560" t="s">
        <v>4</v>
      </c>
    </row>
    <row r="5561" spans="1:2" x14ac:dyDescent="0.25">
      <c r="A5561" t="s">
        <v>80</v>
      </c>
      <c r="B5561" t="s">
        <v>4</v>
      </c>
    </row>
    <row r="5562" spans="1:2" x14ac:dyDescent="0.25">
      <c r="A5562" t="s">
        <v>81</v>
      </c>
      <c r="B5562" t="s">
        <v>4</v>
      </c>
    </row>
    <row r="5565" spans="1:2" x14ac:dyDescent="0.25">
      <c r="A5565" t="s">
        <v>0</v>
      </c>
      <c r="B5565" t="s">
        <v>141</v>
      </c>
    </row>
    <row r="5567" spans="1:2" s="1" customFormat="1" x14ac:dyDescent="0.25">
      <c r="A5567" s="1" t="s">
        <v>2</v>
      </c>
      <c r="B5567" s="1" t="s">
        <v>157</v>
      </c>
    </row>
    <row r="5568" spans="1:2" x14ac:dyDescent="0.25">
      <c r="A5568" t="s">
        <v>3</v>
      </c>
      <c r="B5568" t="s">
        <v>4</v>
      </c>
    </row>
    <row r="5569" spans="1:2" x14ac:dyDescent="0.25">
      <c r="A5569" t="s">
        <v>5</v>
      </c>
      <c r="B5569" t="s">
        <v>4</v>
      </c>
    </row>
    <row r="5570" spans="1:2" x14ac:dyDescent="0.25">
      <c r="A5570" t="s">
        <v>6</v>
      </c>
      <c r="B5570" t="s">
        <v>4</v>
      </c>
    </row>
    <row r="5571" spans="1:2" x14ac:dyDescent="0.25">
      <c r="A5571" t="s">
        <v>7</v>
      </c>
      <c r="B5571" t="s">
        <v>4</v>
      </c>
    </row>
    <row r="5572" spans="1:2" x14ac:dyDescent="0.25">
      <c r="A5572" t="s">
        <v>8</v>
      </c>
      <c r="B5572" t="s">
        <v>4</v>
      </c>
    </row>
    <row r="5573" spans="1:2" x14ac:dyDescent="0.25">
      <c r="A5573" t="s">
        <v>9</v>
      </c>
      <c r="B5573" t="s">
        <v>4</v>
      </c>
    </row>
    <row r="5574" spans="1:2" x14ac:dyDescent="0.25">
      <c r="A5574" t="s">
        <v>10</v>
      </c>
      <c r="B5574" t="s">
        <v>4</v>
      </c>
    </row>
    <row r="5575" spans="1:2" x14ac:dyDescent="0.25">
      <c r="A5575" t="s">
        <v>11</v>
      </c>
      <c r="B5575" t="s">
        <v>4</v>
      </c>
    </row>
    <row r="5576" spans="1:2" x14ac:dyDescent="0.25">
      <c r="A5576" t="s">
        <v>12</v>
      </c>
      <c r="B5576" t="s">
        <v>4</v>
      </c>
    </row>
    <row r="5577" spans="1:2" x14ac:dyDescent="0.25">
      <c r="A5577" t="s">
        <v>13</v>
      </c>
      <c r="B5577" t="s">
        <v>4</v>
      </c>
    </row>
    <row r="5578" spans="1:2" x14ac:dyDescent="0.25">
      <c r="A5578" t="s">
        <v>14</v>
      </c>
      <c r="B5578" t="s">
        <v>4</v>
      </c>
    </row>
    <row r="5579" spans="1:2" x14ac:dyDescent="0.25">
      <c r="A5579" t="s">
        <v>15</v>
      </c>
      <c r="B5579" t="s">
        <v>4</v>
      </c>
    </row>
    <row r="5580" spans="1:2" x14ac:dyDescent="0.25">
      <c r="A5580" t="s">
        <v>16</v>
      </c>
      <c r="B5580" t="s">
        <v>4</v>
      </c>
    </row>
    <row r="5581" spans="1:2" x14ac:dyDescent="0.25">
      <c r="A5581" t="s">
        <v>17</v>
      </c>
      <c r="B5581" t="s">
        <v>4</v>
      </c>
    </row>
    <row r="5582" spans="1:2" x14ac:dyDescent="0.25">
      <c r="A5582" t="s">
        <v>18</v>
      </c>
      <c r="B5582" t="s">
        <v>4</v>
      </c>
    </row>
    <row r="5583" spans="1:2" x14ac:dyDescent="0.25">
      <c r="A5583" t="s">
        <v>19</v>
      </c>
      <c r="B5583" t="s">
        <v>4</v>
      </c>
    </row>
    <row r="5584" spans="1:2" x14ac:dyDescent="0.25">
      <c r="A5584" t="s">
        <v>20</v>
      </c>
      <c r="B5584">
        <v>7.3</v>
      </c>
    </row>
    <row r="5585" spans="1:2" x14ac:dyDescent="0.25">
      <c r="A5585" t="s">
        <v>21</v>
      </c>
      <c r="B5585" t="s">
        <v>4</v>
      </c>
    </row>
    <row r="5586" spans="1:2" x14ac:dyDescent="0.25">
      <c r="A5586" t="s">
        <v>22</v>
      </c>
      <c r="B5586" t="s">
        <v>4</v>
      </c>
    </row>
    <row r="5587" spans="1:2" x14ac:dyDescent="0.25">
      <c r="A5587" t="s">
        <v>23</v>
      </c>
      <c r="B5587" t="s">
        <v>4</v>
      </c>
    </row>
    <row r="5588" spans="1:2" x14ac:dyDescent="0.25">
      <c r="A5588" t="s">
        <v>24</v>
      </c>
      <c r="B5588" t="s">
        <v>4</v>
      </c>
    </row>
    <row r="5589" spans="1:2" x14ac:dyDescent="0.25">
      <c r="A5589" t="s">
        <v>25</v>
      </c>
      <c r="B5589" t="s">
        <v>4</v>
      </c>
    </row>
    <row r="5590" spans="1:2" x14ac:dyDescent="0.25">
      <c r="A5590" t="s">
        <v>26</v>
      </c>
      <c r="B5590" t="s">
        <v>4</v>
      </c>
    </row>
    <row r="5591" spans="1:2" x14ac:dyDescent="0.25">
      <c r="A5591" t="s">
        <v>27</v>
      </c>
      <c r="B5591" t="s">
        <v>4</v>
      </c>
    </row>
    <row r="5592" spans="1:2" x14ac:dyDescent="0.25">
      <c r="A5592" t="s">
        <v>28</v>
      </c>
      <c r="B5592" t="s">
        <v>4</v>
      </c>
    </row>
    <row r="5593" spans="1:2" x14ac:dyDescent="0.25">
      <c r="A5593" t="s">
        <v>29</v>
      </c>
      <c r="B5593" t="s">
        <v>4</v>
      </c>
    </row>
    <row r="5594" spans="1:2" x14ac:dyDescent="0.25">
      <c r="A5594" t="s">
        <v>30</v>
      </c>
      <c r="B5594" t="s">
        <v>4</v>
      </c>
    </row>
    <row r="5595" spans="1:2" x14ac:dyDescent="0.25">
      <c r="A5595" t="s">
        <v>31</v>
      </c>
      <c r="B5595">
        <v>3.53</v>
      </c>
    </row>
    <row r="5596" spans="1:2" x14ac:dyDescent="0.25">
      <c r="A5596" t="s">
        <v>32</v>
      </c>
      <c r="B5596" t="s">
        <v>4</v>
      </c>
    </row>
    <row r="5597" spans="1:2" x14ac:dyDescent="0.25">
      <c r="A5597" t="s">
        <v>33</v>
      </c>
      <c r="B5597" t="s">
        <v>4</v>
      </c>
    </row>
    <row r="5598" spans="1:2" x14ac:dyDescent="0.25">
      <c r="A5598" t="s">
        <v>34</v>
      </c>
      <c r="B5598" t="s">
        <v>4</v>
      </c>
    </row>
    <row r="5599" spans="1:2" x14ac:dyDescent="0.25">
      <c r="A5599" t="s">
        <v>35</v>
      </c>
      <c r="B5599" t="s">
        <v>4</v>
      </c>
    </row>
    <row r="5600" spans="1:2" x14ac:dyDescent="0.25">
      <c r="A5600" t="s">
        <v>36</v>
      </c>
      <c r="B5600" t="s">
        <v>4</v>
      </c>
    </row>
    <row r="5601" spans="1:2" x14ac:dyDescent="0.25">
      <c r="A5601" t="s">
        <v>37</v>
      </c>
      <c r="B5601" t="s">
        <v>4</v>
      </c>
    </row>
    <row r="5602" spans="1:2" x14ac:dyDescent="0.25">
      <c r="A5602" t="s">
        <v>38</v>
      </c>
      <c r="B5602" t="s">
        <v>4</v>
      </c>
    </row>
    <row r="5603" spans="1:2" x14ac:dyDescent="0.25">
      <c r="A5603" t="s">
        <v>39</v>
      </c>
      <c r="B5603" t="s">
        <v>4</v>
      </c>
    </row>
    <row r="5604" spans="1:2" x14ac:dyDescent="0.25">
      <c r="A5604" t="s">
        <v>40</v>
      </c>
      <c r="B5604" t="s">
        <v>4</v>
      </c>
    </row>
    <row r="5605" spans="1:2" x14ac:dyDescent="0.25">
      <c r="A5605" t="s">
        <v>41</v>
      </c>
      <c r="B5605" t="s">
        <v>4</v>
      </c>
    </row>
    <row r="5606" spans="1:2" x14ac:dyDescent="0.25">
      <c r="A5606" t="s">
        <v>42</v>
      </c>
      <c r="B5606" t="s">
        <v>4</v>
      </c>
    </row>
    <row r="5607" spans="1:2" x14ac:dyDescent="0.25">
      <c r="A5607" t="s">
        <v>43</v>
      </c>
      <c r="B5607" t="s">
        <v>4</v>
      </c>
    </row>
    <row r="5608" spans="1:2" x14ac:dyDescent="0.25">
      <c r="A5608" t="s">
        <v>44</v>
      </c>
      <c r="B5608" t="s">
        <v>4</v>
      </c>
    </row>
    <row r="5609" spans="1:2" x14ac:dyDescent="0.25">
      <c r="A5609" t="s">
        <v>45</v>
      </c>
      <c r="B5609" t="s">
        <v>4</v>
      </c>
    </row>
    <row r="5610" spans="1:2" x14ac:dyDescent="0.25">
      <c r="A5610" t="s">
        <v>46</v>
      </c>
      <c r="B5610" t="s">
        <v>4</v>
      </c>
    </row>
    <row r="5611" spans="1:2" x14ac:dyDescent="0.25">
      <c r="A5611" t="s">
        <v>47</v>
      </c>
      <c r="B5611" t="s">
        <v>4</v>
      </c>
    </row>
    <row r="5612" spans="1:2" x14ac:dyDescent="0.25">
      <c r="A5612" t="s">
        <v>48</v>
      </c>
      <c r="B5612" t="s">
        <v>4</v>
      </c>
    </row>
    <row r="5613" spans="1:2" x14ac:dyDescent="0.25">
      <c r="A5613" t="s">
        <v>49</v>
      </c>
      <c r="B5613" t="s">
        <v>4</v>
      </c>
    </row>
    <row r="5614" spans="1:2" x14ac:dyDescent="0.25">
      <c r="A5614" t="s">
        <v>50</v>
      </c>
      <c r="B5614" t="s">
        <v>4</v>
      </c>
    </row>
    <row r="5615" spans="1:2" x14ac:dyDescent="0.25">
      <c r="A5615" t="s">
        <v>51</v>
      </c>
      <c r="B5615" t="s">
        <v>4</v>
      </c>
    </row>
    <row r="5616" spans="1:2" x14ac:dyDescent="0.25">
      <c r="A5616" t="s">
        <v>52</v>
      </c>
      <c r="B5616" t="s">
        <v>4</v>
      </c>
    </row>
    <row r="5617" spans="1:2" x14ac:dyDescent="0.25">
      <c r="A5617" t="s">
        <v>53</v>
      </c>
      <c r="B5617">
        <v>4.45</v>
      </c>
    </row>
    <row r="5618" spans="1:2" x14ac:dyDescent="0.25">
      <c r="A5618" t="s">
        <v>54</v>
      </c>
      <c r="B5618" t="s">
        <v>4</v>
      </c>
    </row>
    <row r="5619" spans="1:2" x14ac:dyDescent="0.25">
      <c r="A5619" t="s">
        <v>55</v>
      </c>
      <c r="B5619">
        <v>4.68</v>
      </c>
    </row>
    <row r="5620" spans="1:2" x14ac:dyDescent="0.25">
      <c r="A5620" t="s">
        <v>56</v>
      </c>
      <c r="B5620" t="s">
        <v>4</v>
      </c>
    </row>
    <row r="5621" spans="1:2" x14ac:dyDescent="0.25">
      <c r="A5621" t="s">
        <v>57</v>
      </c>
      <c r="B5621" t="s">
        <v>4</v>
      </c>
    </row>
    <row r="5622" spans="1:2" x14ac:dyDescent="0.25">
      <c r="A5622" t="s">
        <v>58</v>
      </c>
      <c r="B5622" t="s">
        <v>4</v>
      </c>
    </row>
    <row r="5623" spans="1:2" x14ac:dyDescent="0.25">
      <c r="A5623" t="s">
        <v>59</v>
      </c>
      <c r="B5623">
        <v>7.84</v>
      </c>
    </row>
    <row r="5624" spans="1:2" x14ac:dyDescent="0.25">
      <c r="A5624" t="s">
        <v>60</v>
      </c>
      <c r="B5624" t="s">
        <v>4</v>
      </c>
    </row>
    <row r="5625" spans="1:2" x14ac:dyDescent="0.25">
      <c r="A5625" t="s">
        <v>61</v>
      </c>
      <c r="B5625">
        <v>2.77</v>
      </c>
    </row>
    <row r="5626" spans="1:2" x14ac:dyDescent="0.25">
      <c r="A5626" t="s">
        <v>62</v>
      </c>
      <c r="B5626" t="s">
        <v>4</v>
      </c>
    </row>
    <row r="5627" spans="1:2" x14ac:dyDescent="0.25">
      <c r="A5627" t="s">
        <v>63</v>
      </c>
      <c r="B5627" t="s">
        <v>4</v>
      </c>
    </row>
    <row r="5628" spans="1:2" x14ac:dyDescent="0.25">
      <c r="A5628" t="s">
        <v>64</v>
      </c>
      <c r="B5628">
        <v>2.74</v>
      </c>
    </row>
    <row r="5629" spans="1:2" x14ac:dyDescent="0.25">
      <c r="A5629" t="s">
        <v>65</v>
      </c>
      <c r="B5629" t="s">
        <v>4</v>
      </c>
    </row>
    <row r="5630" spans="1:2" x14ac:dyDescent="0.25">
      <c r="A5630" t="s">
        <v>66</v>
      </c>
      <c r="B5630" t="s">
        <v>4</v>
      </c>
    </row>
    <row r="5631" spans="1:2" x14ac:dyDescent="0.25">
      <c r="A5631" t="s">
        <v>67</v>
      </c>
      <c r="B5631" t="s">
        <v>4</v>
      </c>
    </row>
    <row r="5632" spans="1:2" x14ac:dyDescent="0.25">
      <c r="A5632" t="s">
        <v>68</v>
      </c>
      <c r="B5632" t="s">
        <v>4</v>
      </c>
    </row>
    <row r="5633" spans="1:2" x14ac:dyDescent="0.25">
      <c r="A5633" t="s">
        <v>69</v>
      </c>
      <c r="B5633" t="s">
        <v>4</v>
      </c>
    </row>
    <row r="5634" spans="1:2" x14ac:dyDescent="0.25">
      <c r="A5634" t="s">
        <v>70</v>
      </c>
      <c r="B5634" t="s">
        <v>4</v>
      </c>
    </row>
    <row r="5635" spans="1:2" x14ac:dyDescent="0.25">
      <c r="A5635" t="s">
        <v>71</v>
      </c>
      <c r="B5635">
        <v>4.7300000000000004</v>
      </c>
    </row>
    <row r="5636" spans="1:2" x14ac:dyDescent="0.25">
      <c r="A5636" t="s">
        <v>72</v>
      </c>
      <c r="B5636" t="s">
        <v>4</v>
      </c>
    </row>
    <row r="5637" spans="1:2" x14ac:dyDescent="0.25">
      <c r="A5637" t="s">
        <v>73</v>
      </c>
      <c r="B5637" t="s">
        <v>4</v>
      </c>
    </row>
    <row r="5638" spans="1:2" x14ac:dyDescent="0.25">
      <c r="A5638" t="s">
        <v>74</v>
      </c>
      <c r="B5638">
        <v>4.1500000000000004</v>
      </c>
    </row>
    <row r="5639" spans="1:2" x14ac:dyDescent="0.25">
      <c r="A5639" t="s">
        <v>75</v>
      </c>
      <c r="B5639" t="s">
        <v>4</v>
      </c>
    </row>
    <row r="5640" spans="1:2" x14ac:dyDescent="0.25">
      <c r="A5640" t="s">
        <v>76</v>
      </c>
      <c r="B5640">
        <v>3.36</v>
      </c>
    </row>
    <row r="5641" spans="1:2" x14ac:dyDescent="0.25">
      <c r="A5641" t="s">
        <v>77</v>
      </c>
      <c r="B5641">
        <v>4.67</v>
      </c>
    </row>
    <row r="5642" spans="1:2" x14ac:dyDescent="0.25">
      <c r="A5642" t="s">
        <v>78</v>
      </c>
      <c r="B5642" t="s">
        <v>4</v>
      </c>
    </row>
    <row r="5643" spans="1:2" x14ac:dyDescent="0.25">
      <c r="A5643" t="s">
        <v>79</v>
      </c>
      <c r="B5643" t="s">
        <v>4</v>
      </c>
    </row>
    <row r="5644" spans="1:2" x14ac:dyDescent="0.25">
      <c r="A5644" t="s">
        <v>80</v>
      </c>
      <c r="B5644" t="s">
        <v>4</v>
      </c>
    </row>
    <row r="5645" spans="1:2" x14ac:dyDescent="0.25">
      <c r="A5645" t="s">
        <v>81</v>
      </c>
      <c r="B5645">
        <v>1.85</v>
      </c>
    </row>
    <row r="5648" spans="1:2" x14ac:dyDescent="0.25">
      <c r="A5648" t="s">
        <v>0</v>
      </c>
      <c r="B5648" t="s">
        <v>142</v>
      </c>
    </row>
    <row r="5650" spans="1:2" s="1" customFormat="1" x14ac:dyDescent="0.25">
      <c r="A5650" s="1" t="s">
        <v>2</v>
      </c>
      <c r="B5650" s="1" t="s">
        <v>157</v>
      </c>
    </row>
    <row r="5651" spans="1:2" x14ac:dyDescent="0.25">
      <c r="A5651" t="s">
        <v>3</v>
      </c>
      <c r="B5651" t="s">
        <v>4</v>
      </c>
    </row>
    <row r="5652" spans="1:2" x14ac:dyDescent="0.25">
      <c r="A5652" t="s">
        <v>5</v>
      </c>
      <c r="B5652" t="s">
        <v>4</v>
      </c>
    </row>
    <row r="5653" spans="1:2" x14ac:dyDescent="0.25">
      <c r="A5653" t="s">
        <v>6</v>
      </c>
      <c r="B5653" t="s">
        <v>4</v>
      </c>
    </row>
    <row r="5654" spans="1:2" x14ac:dyDescent="0.25">
      <c r="A5654" t="s">
        <v>7</v>
      </c>
      <c r="B5654" t="s">
        <v>4</v>
      </c>
    </row>
    <row r="5655" spans="1:2" x14ac:dyDescent="0.25">
      <c r="A5655" t="s">
        <v>8</v>
      </c>
      <c r="B5655">
        <v>26.8</v>
      </c>
    </row>
    <row r="5656" spans="1:2" x14ac:dyDescent="0.25">
      <c r="A5656" t="s">
        <v>9</v>
      </c>
      <c r="B5656">
        <v>367.37</v>
      </c>
    </row>
    <row r="5657" spans="1:2" x14ac:dyDescent="0.25">
      <c r="A5657" t="s">
        <v>10</v>
      </c>
      <c r="B5657">
        <v>2.48</v>
      </c>
    </row>
    <row r="5658" spans="1:2" x14ac:dyDescent="0.25">
      <c r="A5658" t="s">
        <v>11</v>
      </c>
      <c r="B5658">
        <v>1.49</v>
      </c>
    </row>
    <row r="5659" spans="1:2" x14ac:dyDescent="0.25">
      <c r="A5659" t="s">
        <v>12</v>
      </c>
      <c r="B5659" t="s">
        <v>4</v>
      </c>
    </row>
    <row r="5660" spans="1:2" x14ac:dyDescent="0.25">
      <c r="A5660" t="s">
        <v>13</v>
      </c>
      <c r="B5660" t="s">
        <v>4</v>
      </c>
    </row>
    <row r="5661" spans="1:2" x14ac:dyDescent="0.25">
      <c r="A5661" t="s">
        <v>14</v>
      </c>
      <c r="B5661" t="s">
        <v>4</v>
      </c>
    </row>
    <row r="5662" spans="1:2" x14ac:dyDescent="0.25">
      <c r="A5662" t="s">
        <v>15</v>
      </c>
      <c r="B5662">
        <v>7.46</v>
      </c>
    </row>
    <row r="5663" spans="1:2" x14ac:dyDescent="0.25">
      <c r="A5663" t="s">
        <v>16</v>
      </c>
      <c r="B5663">
        <v>3.02</v>
      </c>
    </row>
    <row r="5664" spans="1:2" x14ac:dyDescent="0.25">
      <c r="A5664" t="s">
        <v>17</v>
      </c>
      <c r="B5664" t="s">
        <v>4</v>
      </c>
    </row>
    <row r="5665" spans="1:2" x14ac:dyDescent="0.25">
      <c r="A5665" t="s">
        <v>18</v>
      </c>
      <c r="B5665">
        <v>7.07</v>
      </c>
    </row>
    <row r="5666" spans="1:2" x14ac:dyDescent="0.25">
      <c r="A5666" t="s">
        <v>19</v>
      </c>
      <c r="B5666" t="s">
        <v>4</v>
      </c>
    </row>
    <row r="5667" spans="1:2" x14ac:dyDescent="0.25">
      <c r="A5667" t="s">
        <v>20</v>
      </c>
      <c r="B5667">
        <v>2.2799999999999998</v>
      </c>
    </row>
    <row r="5668" spans="1:2" x14ac:dyDescent="0.25">
      <c r="A5668" t="s">
        <v>21</v>
      </c>
      <c r="B5668" t="s">
        <v>4</v>
      </c>
    </row>
    <row r="5669" spans="1:2" x14ac:dyDescent="0.25">
      <c r="A5669" t="s">
        <v>22</v>
      </c>
      <c r="B5669" t="s">
        <v>4</v>
      </c>
    </row>
    <row r="5670" spans="1:2" x14ac:dyDescent="0.25">
      <c r="A5670" t="s">
        <v>23</v>
      </c>
      <c r="B5670" t="s">
        <v>4</v>
      </c>
    </row>
    <row r="5671" spans="1:2" x14ac:dyDescent="0.25">
      <c r="A5671" t="s">
        <v>24</v>
      </c>
      <c r="B5671" t="s">
        <v>4</v>
      </c>
    </row>
    <row r="5672" spans="1:2" x14ac:dyDescent="0.25">
      <c r="A5672" t="s">
        <v>25</v>
      </c>
      <c r="B5672">
        <v>8.01</v>
      </c>
    </row>
    <row r="5673" spans="1:2" x14ac:dyDescent="0.25">
      <c r="A5673" t="s">
        <v>26</v>
      </c>
      <c r="B5673">
        <v>10.89</v>
      </c>
    </row>
    <row r="5674" spans="1:2" x14ac:dyDescent="0.25">
      <c r="A5674" t="s">
        <v>27</v>
      </c>
      <c r="B5674" t="s">
        <v>4</v>
      </c>
    </row>
    <row r="5675" spans="1:2" x14ac:dyDescent="0.25">
      <c r="A5675" t="s">
        <v>28</v>
      </c>
      <c r="B5675" t="s">
        <v>4</v>
      </c>
    </row>
    <row r="5676" spans="1:2" x14ac:dyDescent="0.25">
      <c r="A5676" t="s">
        <v>29</v>
      </c>
      <c r="B5676" t="s">
        <v>4</v>
      </c>
    </row>
    <row r="5677" spans="1:2" x14ac:dyDescent="0.25">
      <c r="A5677" t="s">
        <v>30</v>
      </c>
      <c r="B5677" t="s">
        <v>4</v>
      </c>
    </row>
    <row r="5678" spans="1:2" x14ac:dyDescent="0.25">
      <c r="A5678" t="s">
        <v>31</v>
      </c>
      <c r="B5678" t="s">
        <v>4</v>
      </c>
    </row>
    <row r="5679" spans="1:2" x14ac:dyDescent="0.25">
      <c r="A5679" t="s">
        <v>32</v>
      </c>
      <c r="B5679" t="s">
        <v>4</v>
      </c>
    </row>
    <row r="5680" spans="1:2" x14ac:dyDescent="0.25">
      <c r="A5680" t="s">
        <v>33</v>
      </c>
      <c r="B5680">
        <v>10.050000000000001</v>
      </c>
    </row>
    <row r="5681" spans="1:2" x14ac:dyDescent="0.25">
      <c r="A5681" t="s">
        <v>34</v>
      </c>
      <c r="B5681">
        <v>2.15</v>
      </c>
    </row>
    <row r="5682" spans="1:2" x14ac:dyDescent="0.25">
      <c r="A5682" t="s">
        <v>35</v>
      </c>
      <c r="B5682">
        <v>6.69</v>
      </c>
    </row>
    <row r="5683" spans="1:2" x14ac:dyDescent="0.25">
      <c r="A5683" t="s">
        <v>36</v>
      </c>
      <c r="B5683">
        <v>1.84</v>
      </c>
    </row>
    <row r="5684" spans="1:2" x14ac:dyDescent="0.25">
      <c r="A5684" t="s">
        <v>37</v>
      </c>
      <c r="B5684">
        <v>14.94</v>
      </c>
    </row>
    <row r="5685" spans="1:2" x14ac:dyDescent="0.25">
      <c r="A5685" t="s">
        <v>38</v>
      </c>
      <c r="B5685">
        <v>1.78</v>
      </c>
    </row>
    <row r="5686" spans="1:2" x14ac:dyDescent="0.25">
      <c r="A5686" t="s">
        <v>39</v>
      </c>
      <c r="B5686">
        <v>22.59</v>
      </c>
    </row>
    <row r="5687" spans="1:2" x14ac:dyDescent="0.25">
      <c r="A5687" t="s">
        <v>40</v>
      </c>
      <c r="B5687">
        <v>3.18</v>
      </c>
    </row>
    <row r="5688" spans="1:2" x14ac:dyDescent="0.25">
      <c r="A5688" t="s">
        <v>41</v>
      </c>
      <c r="B5688">
        <v>5.52</v>
      </c>
    </row>
    <row r="5689" spans="1:2" x14ac:dyDescent="0.25">
      <c r="A5689" t="s">
        <v>42</v>
      </c>
      <c r="B5689">
        <v>2.21</v>
      </c>
    </row>
    <row r="5690" spans="1:2" x14ac:dyDescent="0.25">
      <c r="A5690" t="s">
        <v>43</v>
      </c>
      <c r="B5690">
        <v>10.27</v>
      </c>
    </row>
    <row r="5691" spans="1:2" x14ac:dyDescent="0.25">
      <c r="A5691" t="s">
        <v>44</v>
      </c>
      <c r="B5691" t="s">
        <v>4</v>
      </c>
    </row>
    <row r="5692" spans="1:2" x14ac:dyDescent="0.25">
      <c r="A5692" t="s">
        <v>45</v>
      </c>
      <c r="B5692">
        <v>5.44</v>
      </c>
    </row>
    <row r="5693" spans="1:2" x14ac:dyDescent="0.25">
      <c r="A5693" t="s">
        <v>46</v>
      </c>
      <c r="B5693">
        <v>5.39</v>
      </c>
    </row>
    <row r="5694" spans="1:2" x14ac:dyDescent="0.25">
      <c r="A5694" t="s">
        <v>47</v>
      </c>
      <c r="B5694">
        <v>16.95</v>
      </c>
    </row>
    <row r="5695" spans="1:2" x14ac:dyDescent="0.25">
      <c r="A5695" t="s">
        <v>48</v>
      </c>
      <c r="B5695">
        <v>4.37</v>
      </c>
    </row>
    <row r="5696" spans="1:2" x14ac:dyDescent="0.25">
      <c r="A5696" t="s">
        <v>49</v>
      </c>
      <c r="B5696">
        <v>8.5299999999999994</v>
      </c>
    </row>
    <row r="5697" spans="1:2" x14ac:dyDescent="0.25">
      <c r="A5697" t="s">
        <v>50</v>
      </c>
      <c r="B5697" t="s">
        <v>4</v>
      </c>
    </row>
    <row r="5698" spans="1:2" x14ac:dyDescent="0.25">
      <c r="A5698" t="s">
        <v>51</v>
      </c>
      <c r="B5698">
        <v>5.44</v>
      </c>
    </row>
    <row r="5699" spans="1:2" x14ac:dyDescent="0.25">
      <c r="A5699" t="s">
        <v>52</v>
      </c>
      <c r="B5699" t="s">
        <v>4</v>
      </c>
    </row>
    <row r="5700" spans="1:2" x14ac:dyDescent="0.25">
      <c r="A5700" t="s">
        <v>53</v>
      </c>
      <c r="B5700">
        <v>9.26</v>
      </c>
    </row>
    <row r="5701" spans="1:2" x14ac:dyDescent="0.25">
      <c r="A5701" t="s">
        <v>54</v>
      </c>
      <c r="B5701">
        <v>2.2799999999999998</v>
      </c>
    </row>
    <row r="5702" spans="1:2" x14ac:dyDescent="0.25">
      <c r="A5702" t="s">
        <v>55</v>
      </c>
      <c r="B5702">
        <v>12.81</v>
      </c>
    </row>
    <row r="5703" spans="1:2" x14ac:dyDescent="0.25">
      <c r="A5703" t="s">
        <v>56</v>
      </c>
      <c r="B5703" t="s">
        <v>4</v>
      </c>
    </row>
    <row r="5704" spans="1:2" x14ac:dyDescent="0.25">
      <c r="A5704" t="s">
        <v>57</v>
      </c>
      <c r="B5704">
        <v>91.97</v>
      </c>
    </row>
    <row r="5705" spans="1:2" x14ac:dyDescent="0.25">
      <c r="A5705" t="s">
        <v>58</v>
      </c>
      <c r="B5705">
        <v>33.24</v>
      </c>
    </row>
    <row r="5706" spans="1:2" x14ac:dyDescent="0.25">
      <c r="A5706" t="s">
        <v>59</v>
      </c>
      <c r="B5706">
        <v>9.85</v>
      </c>
    </row>
    <row r="5707" spans="1:2" x14ac:dyDescent="0.25">
      <c r="A5707" t="s">
        <v>60</v>
      </c>
      <c r="B5707">
        <v>6.75</v>
      </c>
    </row>
    <row r="5708" spans="1:2" x14ac:dyDescent="0.25">
      <c r="A5708" t="s">
        <v>61</v>
      </c>
      <c r="B5708">
        <v>5.92</v>
      </c>
    </row>
    <row r="5709" spans="1:2" x14ac:dyDescent="0.25">
      <c r="A5709" t="s">
        <v>62</v>
      </c>
      <c r="B5709">
        <v>4.41</v>
      </c>
    </row>
    <row r="5710" spans="1:2" x14ac:dyDescent="0.25">
      <c r="A5710" t="s">
        <v>63</v>
      </c>
      <c r="B5710">
        <v>6.38</v>
      </c>
    </row>
    <row r="5711" spans="1:2" x14ac:dyDescent="0.25">
      <c r="A5711" t="s">
        <v>64</v>
      </c>
      <c r="B5711">
        <v>7.28</v>
      </c>
    </row>
    <row r="5712" spans="1:2" x14ac:dyDescent="0.25">
      <c r="A5712" t="s">
        <v>65</v>
      </c>
      <c r="B5712">
        <v>3.14</v>
      </c>
    </row>
    <row r="5713" spans="1:2" x14ac:dyDescent="0.25">
      <c r="A5713" t="s">
        <v>66</v>
      </c>
      <c r="B5713">
        <v>33.520000000000003</v>
      </c>
    </row>
    <row r="5714" spans="1:2" x14ac:dyDescent="0.25">
      <c r="A5714" t="s">
        <v>67</v>
      </c>
      <c r="B5714" t="s">
        <v>4</v>
      </c>
    </row>
    <row r="5715" spans="1:2" x14ac:dyDescent="0.25">
      <c r="A5715" t="s">
        <v>68</v>
      </c>
      <c r="B5715">
        <v>20.170000000000002</v>
      </c>
    </row>
    <row r="5716" spans="1:2" x14ac:dyDescent="0.25">
      <c r="A5716" t="s">
        <v>69</v>
      </c>
      <c r="B5716">
        <v>5.67</v>
      </c>
    </row>
    <row r="5717" spans="1:2" x14ac:dyDescent="0.25">
      <c r="A5717" t="s">
        <v>70</v>
      </c>
      <c r="B5717">
        <v>6.6</v>
      </c>
    </row>
    <row r="5718" spans="1:2" x14ac:dyDescent="0.25">
      <c r="A5718" t="s">
        <v>71</v>
      </c>
      <c r="B5718">
        <v>17.52</v>
      </c>
    </row>
    <row r="5719" spans="1:2" x14ac:dyDescent="0.25">
      <c r="A5719" t="s">
        <v>72</v>
      </c>
      <c r="B5719">
        <v>11.3</v>
      </c>
    </row>
    <row r="5720" spans="1:2" x14ac:dyDescent="0.25">
      <c r="A5720" t="s">
        <v>73</v>
      </c>
      <c r="B5720" t="s">
        <v>4</v>
      </c>
    </row>
    <row r="5721" spans="1:2" x14ac:dyDescent="0.25">
      <c r="A5721" t="s">
        <v>74</v>
      </c>
      <c r="B5721">
        <v>12.35</v>
      </c>
    </row>
    <row r="5722" spans="1:2" x14ac:dyDescent="0.25">
      <c r="A5722" t="s">
        <v>75</v>
      </c>
      <c r="B5722">
        <v>10.07</v>
      </c>
    </row>
    <row r="5723" spans="1:2" x14ac:dyDescent="0.25">
      <c r="A5723" t="s">
        <v>76</v>
      </c>
      <c r="B5723">
        <v>11.56</v>
      </c>
    </row>
    <row r="5724" spans="1:2" x14ac:dyDescent="0.25">
      <c r="A5724" t="s">
        <v>77</v>
      </c>
      <c r="B5724">
        <v>8.14</v>
      </c>
    </row>
    <row r="5725" spans="1:2" x14ac:dyDescent="0.25">
      <c r="A5725" t="s">
        <v>78</v>
      </c>
      <c r="B5725">
        <v>3.69</v>
      </c>
    </row>
    <row r="5726" spans="1:2" x14ac:dyDescent="0.25">
      <c r="A5726" t="s">
        <v>79</v>
      </c>
      <c r="B5726">
        <v>5.49</v>
      </c>
    </row>
    <row r="5727" spans="1:2" x14ac:dyDescent="0.25">
      <c r="A5727" t="s">
        <v>80</v>
      </c>
      <c r="B5727">
        <v>8.18</v>
      </c>
    </row>
    <row r="5728" spans="1:2" x14ac:dyDescent="0.25">
      <c r="A5728" t="s">
        <v>81</v>
      </c>
      <c r="B5728">
        <v>4</v>
      </c>
    </row>
    <row r="5731" spans="1:2" x14ac:dyDescent="0.25">
      <c r="A5731" t="s">
        <v>0</v>
      </c>
      <c r="B5731" t="s">
        <v>143</v>
      </c>
    </row>
    <row r="5733" spans="1:2" s="1" customFormat="1" x14ac:dyDescent="0.25">
      <c r="A5733" s="1" t="s">
        <v>2</v>
      </c>
      <c r="B5733" s="1" t="s">
        <v>157</v>
      </c>
    </row>
    <row r="5734" spans="1:2" x14ac:dyDescent="0.25">
      <c r="A5734" t="s">
        <v>3</v>
      </c>
      <c r="B5734" t="s">
        <v>4</v>
      </c>
    </row>
    <row r="5735" spans="1:2" x14ac:dyDescent="0.25">
      <c r="A5735" t="s">
        <v>5</v>
      </c>
      <c r="B5735" t="s">
        <v>4</v>
      </c>
    </row>
    <row r="5736" spans="1:2" x14ac:dyDescent="0.25">
      <c r="A5736" t="s">
        <v>6</v>
      </c>
      <c r="B5736" t="s">
        <v>4</v>
      </c>
    </row>
    <row r="5737" spans="1:2" x14ac:dyDescent="0.25">
      <c r="A5737" t="s">
        <v>7</v>
      </c>
      <c r="B5737">
        <v>4.5</v>
      </c>
    </row>
    <row r="5738" spans="1:2" x14ac:dyDescent="0.25">
      <c r="A5738" t="s">
        <v>8</v>
      </c>
      <c r="B5738" t="s">
        <v>4</v>
      </c>
    </row>
    <row r="5739" spans="1:2" x14ac:dyDescent="0.25">
      <c r="A5739" t="s">
        <v>9</v>
      </c>
      <c r="B5739" t="s">
        <v>4</v>
      </c>
    </row>
    <row r="5740" spans="1:2" x14ac:dyDescent="0.25">
      <c r="A5740" t="s">
        <v>10</v>
      </c>
      <c r="B5740">
        <v>91.53</v>
      </c>
    </row>
    <row r="5741" spans="1:2" x14ac:dyDescent="0.25">
      <c r="A5741" t="s">
        <v>11</v>
      </c>
      <c r="B5741">
        <v>30.82</v>
      </c>
    </row>
    <row r="5742" spans="1:2" x14ac:dyDescent="0.25">
      <c r="A5742" t="s">
        <v>12</v>
      </c>
      <c r="B5742">
        <v>10.62</v>
      </c>
    </row>
    <row r="5743" spans="1:2" x14ac:dyDescent="0.25">
      <c r="A5743" t="s">
        <v>13</v>
      </c>
      <c r="B5743">
        <v>67.84</v>
      </c>
    </row>
    <row r="5744" spans="1:2" x14ac:dyDescent="0.25">
      <c r="A5744" t="s">
        <v>14</v>
      </c>
      <c r="B5744">
        <v>93.59</v>
      </c>
    </row>
    <row r="5745" spans="1:2" x14ac:dyDescent="0.25">
      <c r="A5745" t="s">
        <v>15</v>
      </c>
      <c r="B5745">
        <v>36.549999999999997</v>
      </c>
    </row>
    <row r="5746" spans="1:2" x14ac:dyDescent="0.25">
      <c r="A5746" t="s">
        <v>16</v>
      </c>
      <c r="B5746">
        <v>54.72</v>
      </c>
    </row>
    <row r="5747" spans="1:2" x14ac:dyDescent="0.25">
      <c r="A5747" t="s">
        <v>17</v>
      </c>
      <c r="B5747" t="s">
        <v>4</v>
      </c>
    </row>
    <row r="5748" spans="1:2" x14ac:dyDescent="0.25">
      <c r="A5748" t="s">
        <v>18</v>
      </c>
      <c r="B5748">
        <v>9.9499999999999993</v>
      </c>
    </row>
    <row r="5749" spans="1:2" x14ac:dyDescent="0.25">
      <c r="A5749" t="s">
        <v>19</v>
      </c>
      <c r="B5749">
        <v>5.65</v>
      </c>
    </row>
    <row r="5750" spans="1:2" x14ac:dyDescent="0.25">
      <c r="A5750" t="s">
        <v>20</v>
      </c>
      <c r="B5750">
        <v>2.5</v>
      </c>
    </row>
    <row r="5751" spans="1:2" x14ac:dyDescent="0.25">
      <c r="A5751" t="s">
        <v>21</v>
      </c>
      <c r="B5751">
        <v>18.309999999999999</v>
      </c>
    </row>
    <row r="5752" spans="1:2" x14ac:dyDescent="0.25">
      <c r="A5752" t="s">
        <v>22</v>
      </c>
      <c r="B5752">
        <v>9.94</v>
      </c>
    </row>
    <row r="5753" spans="1:2" x14ac:dyDescent="0.25">
      <c r="A5753" t="s">
        <v>23</v>
      </c>
      <c r="B5753">
        <v>13.8</v>
      </c>
    </row>
    <row r="5754" spans="1:2" x14ac:dyDescent="0.25">
      <c r="A5754" t="s">
        <v>24</v>
      </c>
      <c r="B5754" t="s">
        <v>4</v>
      </c>
    </row>
    <row r="5755" spans="1:2" x14ac:dyDescent="0.25">
      <c r="A5755" t="s">
        <v>25</v>
      </c>
      <c r="B5755">
        <v>4.71</v>
      </c>
    </row>
    <row r="5756" spans="1:2" x14ac:dyDescent="0.25">
      <c r="A5756" t="s">
        <v>26</v>
      </c>
      <c r="B5756" t="s">
        <v>4</v>
      </c>
    </row>
    <row r="5757" spans="1:2" x14ac:dyDescent="0.25">
      <c r="A5757" t="s">
        <v>27</v>
      </c>
      <c r="B5757" t="s">
        <v>4</v>
      </c>
    </row>
    <row r="5758" spans="1:2" x14ac:dyDescent="0.25">
      <c r="A5758" t="s">
        <v>28</v>
      </c>
      <c r="B5758" t="s">
        <v>4</v>
      </c>
    </row>
    <row r="5759" spans="1:2" x14ac:dyDescent="0.25">
      <c r="A5759" t="s">
        <v>29</v>
      </c>
      <c r="B5759" t="s">
        <v>4</v>
      </c>
    </row>
    <row r="5760" spans="1:2" x14ac:dyDescent="0.25">
      <c r="A5760" t="s">
        <v>30</v>
      </c>
      <c r="B5760" t="s">
        <v>4</v>
      </c>
    </row>
    <row r="5761" spans="1:2" x14ac:dyDescent="0.25">
      <c r="A5761" t="s">
        <v>31</v>
      </c>
      <c r="B5761" t="s">
        <v>4</v>
      </c>
    </row>
    <row r="5762" spans="1:2" x14ac:dyDescent="0.25">
      <c r="A5762" t="s">
        <v>32</v>
      </c>
      <c r="B5762" t="s">
        <v>4</v>
      </c>
    </row>
    <row r="5763" spans="1:2" x14ac:dyDescent="0.25">
      <c r="A5763" t="s">
        <v>33</v>
      </c>
      <c r="B5763" t="s">
        <v>4</v>
      </c>
    </row>
    <row r="5764" spans="1:2" x14ac:dyDescent="0.25">
      <c r="A5764" t="s">
        <v>34</v>
      </c>
      <c r="B5764" t="s">
        <v>4</v>
      </c>
    </row>
    <row r="5765" spans="1:2" x14ac:dyDescent="0.25">
      <c r="A5765" t="s">
        <v>35</v>
      </c>
      <c r="B5765" t="s">
        <v>4</v>
      </c>
    </row>
    <row r="5766" spans="1:2" x14ac:dyDescent="0.25">
      <c r="A5766" t="s">
        <v>36</v>
      </c>
      <c r="B5766" t="s">
        <v>4</v>
      </c>
    </row>
    <row r="5767" spans="1:2" x14ac:dyDescent="0.25">
      <c r="A5767" t="s">
        <v>37</v>
      </c>
      <c r="B5767" t="s">
        <v>4</v>
      </c>
    </row>
    <row r="5768" spans="1:2" x14ac:dyDescent="0.25">
      <c r="A5768" t="s">
        <v>38</v>
      </c>
      <c r="B5768" t="s">
        <v>4</v>
      </c>
    </row>
    <row r="5769" spans="1:2" x14ac:dyDescent="0.25">
      <c r="A5769" t="s">
        <v>39</v>
      </c>
      <c r="B5769" t="s">
        <v>4</v>
      </c>
    </row>
    <row r="5770" spans="1:2" x14ac:dyDescent="0.25">
      <c r="A5770" t="s">
        <v>40</v>
      </c>
      <c r="B5770" t="s">
        <v>4</v>
      </c>
    </row>
    <row r="5771" spans="1:2" x14ac:dyDescent="0.25">
      <c r="A5771" t="s">
        <v>41</v>
      </c>
      <c r="B5771" t="s">
        <v>4</v>
      </c>
    </row>
    <row r="5772" spans="1:2" x14ac:dyDescent="0.25">
      <c r="A5772" t="s">
        <v>42</v>
      </c>
      <c r="B5772" t="s">
        <v>4</v>
      </c>
    </row>
    <row r="5773" spans="1:2" x14ac:dyDescent="0.25">
      <c r="A5773" t="s">
        <v>43</v>
      </c>
      <c r="B5773" t="s">
        <v>4</v>
      </c>
    </row>
    <row r="5774" spans="1:2" x14ac:dyDescent="0.25">
      <c r="A5774" t="s">
        <v>44</v>
      </c>
      <c r="B5774" t="s">
        <v>4</v>
      </c>
    </row>
    <row r="5775" spans="1:2" x14ac:dyDescent="0.25">
      <c r="A5775" t="s">
        <v>45</v>
      </c>
      <c r="B5775" t="s">
        <v>4</v>
      </c>
    </row>
    <row r="5776" spans="1:2" x14ac:dyDescent="0.25">
      <c r="A5776" t="s">
        <v>46</v>
      </c>
      <c r="B5776" t="s">
        <v>4</v>
      </c>
    </row>
    <row r="5777" spans="1:2" x14ac:dyDescent="0.25">
      <c r="A5777" t="s">
        <v>47</v>
      </c>
      <c r="B5777" t="s">
        <v>4</v>
      </c>
    </row>
    <row r="5778" spans="1:2" x14ac:dyDescent="0.25">
      <c r="A5778" t="s">
        <v>48</v>
      </c>
      <c r="B5778" t="s">
        <v>4</v>
      </c>
    </row>
    <row r="5779" spans="1:2" x14ac:dyDescent="0.25">
      <c r="A5779" t="s">
        <v>49</v>
      </c>
      <c r="B5779" t="s">
        <v>4</v>
      </c>
    </row>
    <row r="5780" spans="1:2" x14ac:dyDescent="0.25">
      <c r="A5780" t="s">
        <v>50</v>
      </c>
      <c r="B5780" t="s">
        <v>4</v>
      </c>
    </row>
    <row r="5781" spans="1:2" x14ac:dyDescent="0.25">
      <c r="A5781" t="s">
        <v>51</v>
      </c>
      <c r="B5781" t="s">
        <v>4</v>
      </c>
    </row>
    <row r="5782" spans="1:2" x14ac:dyDescent="0.25">
      <c r="A5782" t="s">
        <v>52</v>
      </c>
      <c r="B5782" t="s">
        <v>4</v>
      </c>
    </row>
    <row r="5783" spans="1:2" x14ac:dyDescent="0.25">
      <c r="A5783" t="s">
        <v>53</v>
      </c>
      <c r="B5783" t="s">
        <v>4</v>
      </c>
    </row>
    <row r="5784" spans="1:2" x14ac:dyDescent="0.25">
      <c r="A5784" t="s">
        <v>54</v>
      </c>
      <c r="B5784" t="s">
        <v>4</v>
      </c>
    </row>
    <row r="5785" spans="1:2" x14ac:dyDescent="0.25">
      <c r="A5785" t="s">
        <v>55</v>
      </c>
      <c r="B5785" t="s">
        <v>4</v>
      </c>
    </row>
    <row r="5786" spans="1:2" x14ac:dyDescent="0.25">
      <c r="A5786" t="s">
        <v>56</v>
      </c>
      <c r="B5786" t="s">
        <v>4</v>
      </c>
    </row>
    <row r="5787" spans="1:2" x14ac:dyDescent="0.25">
      <c r="A5787" t="s">
        <v>57</v>
      </c>
      <c r="B5787" t="s">
        <v>4</v>
      </c>
    </row>
    <row r="5788" spans="1:2" x14ac:dyDescent="0.25">
      <c r="A5788" t="s">
        <v>58</v>
      </c>
      <c r="B5788" t="s">
        <v>4</v>
      </c>
    </row>
    <row r="5789" spans="1:2" x14ac:dyDescent="0.25">
      <c r="A5789" t="s">
        <v>59</v>
      </c>
      <c r="B5789">
        <v>26.4</v>
      </c>
    </row>
    <row r="5790" spans="1:2" x14ac:dyDescent="0.25">
      <c r="A5790" t="s">
        <v>60</v>
      </c>
      <c r="B5790">
        <v>11.7</v>
      </c>
    </row>
    <row r="5791" spans="1:2" x14ac:dyDescent="0.25">
      <c r="A5791" t="s">
        <v>61</v>
      </c>
      <c r="B5791">
        <v>10.78</v>
      </c>
    </row>
    <row r="5792" spans="1:2" x14ac:dyDescent="0.25">
      <c r="A5792" t="s">
        <v>62</v>
      </c>
      <c r="B5792">
        <v>8.6300000000000008</v>
      </c>
    </row>
    <row r="5793" spans="1:2" x14ac:dyDescent="0.25">
      <c r="A5793" t="s">
        <v>63</v>
      </c>
      <c r="B5793">
        <v>8.19</v>
      </c>
    </row>
    <row r="5794" spans="1:2" x14ac:dyDescent="0.25">
      <c r="A5794" t="s">
        <v>64</v>
      </c>
      <c r="B5794">
        <v>22.35</v>
      </c>
    </row>
    <row r="5795" spans="1:2" x14ac:dyDescent="0.25">
      <c r="A5795" t="s">
        <v>65</v>
      </c>
      <c r="B5795">
        <v>22.39</v>
      </c>
    </row>
    <row r="5796" spans="1:2" x14ac:dyDescent="0.25">
      <c r="A5796" t="s">
        <v>66</v>
      </c>
      <c r="B5796" t="s">
        <v>4</v>
      </c>
    </row>
    <row r="5797" spans="1:2" x14ac:dyDescent="0.25">
      <c r="A5797" t="s">
        <v>67</v>
      </c>
      <c r="B5797" t="s">
        <v>4</v>
      </c>
    </row>
    <row r="5798" spans="1:2" x14ac:dyDescent="0.25">
      <c r="A5798" t="s">
        <v>68</v>
      </c>
      <c r="B5798" t="s">
        <v>4</v>
      </c>
    </row>
    <row r="5799" spans="1:2" x14ac:dyDescent="0.25">
      <c r="A5799" t="s">
        <v>69</v>
      </c>
      <c r="B5799" t="s">
        <v>4</v>
      </c>
    </row>
    <row r="5800" spans="1:2" x14ac:dyDescent="0.25">
      <c r="A5800" t="s">
        <v>70</v>
      </c>
      <c r="B5800">
        <v>139.79</v>
      </c>
    </row>
    <row r="5801" spans="1:2" x14ac:dyDescent="0.25">
      <c r="A5801" t="s">
        <v>71</v>
      </c>
      <c r="B5801">
        <v>17.940000000000001</v>
      </c>
    </row>
    <row r="5802" spans="1:2" x14ac:dyDescent="0.25">
      <c r="A5802" t="s">
        <v>72</v>
      </c>
      <c r="B5802">
        <v>11.21</v>
      </c>
    </row>
    <row r="5803" spans="1:2" x14ac:dyDescent="0.25">
      <c r="A5803" t="s">
        <v>73</v>
      </c>
      <c r="B5803">
        <v>6.88</v>
      </c>
    </row>
    <row r="5804" spans="1:2" x14ac:dyDescent="0.25">
      <c r="A5804" t="s">
        <v>74</v>
      </c>
      <c r="B5804">
        <v>16.54</v>
      </c>
    </row>
    <row r="5805" spans="1:2" x14ac:dyDescent="0.25">
      <c r="A5805" t="s">
        <v>75</v>
      </c>
      <c r="B5805">
        <v>322.19</v>
      </c>
    </row>
    <row r="5806" spans="1:2" x14ac:dyDescent="0.25">
      <c r="A5806" t="s">
        <v>76</v>
      </c>
      <c r="B5806">
        <v>21.2</v>
      </c>
    </row>
    <row r="5807" spans="1:2" x14ac:dyDescent="0.25">
      <c r="A5807" t="s">
        <v>77</v>
      </c>
      <c r="B5807">
        <v>70.19</v>
      </c>
    </row>
    <row r="5808" spans="1:2" x14ac:dyDescent="0.25">
      <c r="A5808" t="s">
        <v>78</v>
      </c>
      <c r="B5808" t="s">
        <v>4</v>
      </c>
    </row>
    <row r="5809" spans="1:8" x14ac:dyDescent="0.25">
      <c r="A5809" t="s">
        <v>79</v>
      </c>
      <c r="B5809" t="s">
        <v>4</v>
      </c>
    </row>
    <row r="5810" spans="1:8" x14ac:dyDescent="0.25">
      <c r="A5810" t="s">
        <v>80</v>
      </c>
      <c r="B5810">
        <v>4.03</v>
      </c>
      <c r="H5810" s="133"/>
    </row>
    <row r="5811" spans="1:8" x14ac:dyDescent="0.25">
      <c r="A5811" t="s">
        <v>81</v>
      </c>
      <c r="B5811">
        <v>15.24</v>
      </c>
      <c r="H5811" s="134"/>
    </row>
    <row r="5814" spans="1:8" x14ac:dyDescent="0.25">
      <c r="A5814" t="s">
        <v>0</v>
      </c>
      <c r="B5814" t="s">
        <v>144</v>
      </c>
    </row>
    <row r="5816" spans="1:8" s="1" customFormat="1" x14ac:dyDescent="0.25">
      <c r="A5816" s="1" t="s">
        <v>2</v>
      </c>
      <c r="B5816" s="1" t="s">
        <v>157</v>
      </c>
    </row>
    <row r="5817" spans="1:8" x14ac:dyDescent="0.25">
      <c r="A5817" t="s">
        <v>3</v>
      </c>
      <c r="B5817" t="s">
        <v>4</v>
      </c>
    </row>
    <row r="5818" spans="1:8" x14ac:dyDescent="0.25">
      <c r="A5818" t="s">
        <v>5</v>
      </c>
      <c r="B5818" t="s">
        <v>4</v>
      </c>
    </row>
    <row r="5819" spans="1:8" x14ac:dyDescent="0.25">
      <c r="A5819" t="s">
        <v>6</v>
      </c>
      <c r="B5819" t="s">
        <v>4</v>
      </c>
    </row>
    <row r="5820" spans="1:8" x14ac:dyDescent="0.25">
      <c r="A5820" t="s">
        <v>7</v>
      </c>
      <c r="B5820" t="s">
        <v>4</v>
      </c>
    </row>
    <row r="5821" spans="1:8" x14ac:dyDescent="0.25">
      <c r="A5821" t="s">
        <v>8</v>
      </c>
      <c r="B5821" t="s">
        <v>4</v>
      </c>
    </row>
    <row r="5822" spans="1:8" x14ac:dyDescent="0.25">
      <c r="A5822" t="s">
        <v>9</v>
      </c>
      <c r="B5822" t="s">
        <v>4</v>
      </c>
    </row>
    <row r="5823" spans="1:8" x14ac:dyDescent="0.25">
      <c r="A5823" t="s">
        <v>10</v>
      </c>
      <c r="B5823" t="s">
        <v>4</v>
      </c>
    </row>
    <row r="5824" spans="1:8" x14ac:dyDescent="0.25">
      <c r="A5824" t="s">
        <v>11</v>
      </c>
      <c r="B5824" t="s">
        <v>4</v>
      </c>
    </row>
    <row r="5825" spans="1:2" x14ac:dyDescent="0.25">
      <c r="A5825" t="s">
        <v>12</v>
      </c>
      <c r="B5825" t="s">
        <v>4</v>
      </c>
    </row>
    <row r="5826" spans="1:2" x14ac:dyDescent="0.25">
      <c r="A5826" t="s">
        <v>13</v>
      </c>
      <c r="B5826" t="s">
        <v>4</v>
      </c>
    </row>
    <row r="5827" spans="1:2" x14ac:dyDescent="0.25">
      <c r="A5827" t="s">
        <v>14</v>
      </c>
      <c r="B5827" t="s">
        <v>4</v>
      </c>
    </row>
    <row r="5828" spans="1:2" x14ac:dyDescent="0.25">
      <c r="A5828" t="s">
        <v>15</v>
      </c>
      <c r="B5828" t="s">
        <v>4</v>
      </c>
    </row>
    <row r="5829" spans="1:2" x14ac:dyDescent="0.25">
      <c r="A5829" t="s">
        <v>16</v>
      </c>
      <c r="B5829" t="s">
        <v>4</v>
      </c>
    </row>
    <row r="5830" spans="1:2" x14ac:dyDescent="0.25">
      <c r="A5830" t="s">
        <v>17</v>
      </c>
      <c r="B5830" t="s">
        <v>4</v>
      </c>
    </row>
    <row r="5831" spans="1:2" x14ac:dyDescent="0.25">
      <c r="A5831" t="s">
        <v>18</v>
      </c>
      <c r="B5831" t="s">
        <v>4</v>
      </c>
    </row>
    <row r="5832" spans="1:2" x14ac:dyDescent="0.25">
      <c r="A5832" t="s">
        <v>19</v>
      </c>
      <c r="B5832" t="s">
        <v>4</v>
      </c>
    </row>
    <row r="5833" spans="1:2" x14ac:dyDescent="0.25">
      <c r="A5833" t="s">
        <v>20</v>
      </c>
      <c r="B5833" t="s">
        <v>4</v>
      </c>
    </row>
    <row r="5834" spans="1:2" x14ac:dyDescent="0.25">
      <c r="A5834" t="s">
        <v>21</v>
      </c>
      <c r="B5834" t="s">
        <v>4</v>
      </c>
    </row>
    <row r="5835" spans="1:2" x14ac:dyDescent="0.25">
      <c r="A5835" t="s">
        <v>22</v>
      </c>
      <c r="B5835" t="s">
        <v>4</v>
      </c>
    </row>
    <row r="5836" spans="1:2" x14ac:dyDescent="0.25">
      <c r="A5836" t="s">
        <v>23</v>
      </c>
      <c r="B5836" t="s">
        <v>4</v>
      </c>
    </row>
    <row r="5837" spans="1:2" x14ac:dyDescent="0.25">
      <c r="A5837" t="s">
        <v>24</v>
      </c>
      <c r="B5837" t="s">
        <v>4</v>
      </c>
    </row>
    <row r="5838" spans="1:2" x14ac:dyDescent="0.25">
      <c r="A5838" t="s">
        <v>25</v>
      </c>
      <c r="B5838" t="s">
        <v>4</v>
      </c>
    </row>
    <row r="5839" spans="1:2" x14ac:dyDescent="0.25">
      <c r="A5839" t="s">
        <v>26</v>
      </c>
      <c r="B5839" t="s">
        <v>4</v>
      </c>
    </row>
    <row r="5840" spans="1:2" x14ac:dyDescent="0.25">
      <c r="A5840" t="s">
        <v>27</v>
      </c>
      <c r="B5840" t="s">
        <v>4</v>
      </c>
    </row>
    <row r="5841" spans="1:2" x14ac:dyDescent="0.25">
      <c r="A5841" t="s">
        <v>28</v>
      </c>
      <c r="B5841" t="s">
        <v>4</v>
      </c>
    </row>
    <row r="5842" spans="1:2" x14ac:dyDescent="0.25">
      <c r="A5842" t="s">
        <v>29</v>
      </c>
      <c r="B5842" t="s">
        <v>4</v>
      </c>
    </row>
    <row r="5843" spans="1:2" x14ac:dyDescent="0.25">
      <c r="A5843" t="s">
        <v>30</v>
      </c>
      <c r="B5843" t="s">
        <v>4</v>
      </c>
    </row>
    <row r="5844" spans="1:2" x14ac:dyDescent="0.25">
      <c r="A5844" t="s">
        <v>31</v>
      </c>
      <c r="B5844" t="s">
        <v>4</v>
      </c>
    </row>
    <row r="5845" spans="1:2" x14ac:dyDescent="0.25">
      <c r="A5845" t="s">
        <v>32</v>
      </c>
      <c r="B5845" t="s">
        <v>4</v>
      </c>
    </row>
    <row r="5846" spans="1:2" x14ac:dyDescent="0.25">
      <c r="A5846" t="s">
        <v>33</v>
      </c>
      <c r="B5846" t="s">
        <v>4</v>
      </c>
    </row>
    <row r="5847" spans="1:2" x14ac:dyDescent="0.25">
      <c r="A5847" t="s">
        <v>34</v>
      </c>
      <c r="B5847" t="s">
        <v>4</v>
      </c>
    </row>
    <row r="5848" spans="1:2" x14ac:dyDescent="0.25">
      <c r="A5848" t="s">
        <v>35</v>
      </c>
      <c r="B5848" t="s">
        <v>4</v>
      </c>
    </row>
    <row r="5849" spans="1:2" x14ac:dyDescent="0.25">
      <c r="A5849" t="s">
        <v>36</v>
      </c>
      <c r="B5849" t="s">
        <v>4</v>
      </c>
    </row>
    <row r="5850" spans="1:2" x14ac:dyDescent="0.25">
      <c r="A5850" t="s">
        <v>37</v>
      </c>
      <c r="B5850" t="s">
        <v>4</v>
      </c>
    </row>
    <row r="5851" spans="1:2" x14ac:dyDescent="0.25">
      <c r="A5851" t="s">
        <v>38</v>
      </c>
      <c r="B5851" t="s">
        <v>4</v>
      </c>
    </row>
    <row r="5852" spans="1:2" x14ac:dyDescent="0.25">
      <c r="A5852" t="s">
        <v>39</v>
      </c>
      <c r="B5852" t="s">
        <v>4</v>
      </c>
    </row>
    <row r="5853" spans="1:2" x14ac:dyDescent="0.25">
      <c r="A5853" t="s">
        <v>40</v>
      </c>
      <c r="B5853" t="s">
        <v>4</v>
      </c>
    </row>
    <row r="5854" spans="1:2" x14ac:dyDescent="0.25">
      <c r="A5854" t="s">
        <v>41</v>
      </c>
      <c r="B5854" t="s">
        <v>4</v>
      </c>
    </row>
    <row r="5855" spans="1:2" x14ac:dyDescent="0.25">
      <c r="A5855" t="s">
        <v>42</v>
      </c>
      <c r="B5855" t="s">
        <v>4</v>
      </c>
    </row>
    <row r="5856" spans="1:2" x14ac:dyDescent="0.25">
      <c r="A5856" t="s">
        <v>43</v>
      </c>
      <c r="B5856" t="s">
        <v>4</v>
      </c>
    </row>
    <row r="5857" spans="1:2" x14ac:dyDescent="0.25">
      <c r="A5857" t="s">
        <v>44</v>
      </c>
      <c r="B5857" t="s">
        <v>4</v>
      </c>
    </row>
    <row r="5858" spans="1:2" x14ac:dyDescent="0.25">
      <c r="A5858" t="s">
        <v>45</v>
      </c>
      <c r="B5858" t="s">
        <v>4</v>
      </c>
    </row>
    <row r="5859" spans="1:2" x14ac:dyDescent="0.25">
      <c r="A5859" t="s">
        <v>46</v>
      </c>
      <c r="B5859" t="s">
        <v>4</v>
      </c>
    </row>
    <row r="5860" spans="1:2" x14ac:dyDescent="0.25">
      <c r="A5860" t="s">
        <v>47</v>
      </c>
      <c r="B5860" t="s">
        <v>4</v>
      </c>
    </row>
    <row r="5861" spans="1:2" x14ac:dyDescent="0.25">
      <c r="A5861" t="s">
        <v>48</v>
      </c>
      <c r="B5861" t="s">
        <v>4</v>
      </c>
    </row>
    <row r="5862" spans="1:2" x14ac:dyDescent="0.25">
      <c r="A5862" t="s">
        <v>49</v>
      </c>
      <c r="B5862" t="s">
        <v>4</v>
      </c>
    </row>
    <row r="5863" spans="1:2" x14ac:dyDescent="0.25">
      <c r="A5863" t="s">
        <v>50</v>
      </c>
      <c r="B5863" t="s">
        <v>4</v>
      </c>
    </row>
    <row r="5864" spans="1:2" x14ac:dyDescent="0.25">
      <c r="A5864" t="s">
        <v>51</v>
      </c>
      <c r="B5864" t="s">
        <v>4</v>
      </c>
    </row>
    <row r="5865" spans="1:2" x14ac:dyDescent="0.25">
      <c r="A5865" t="s">
        <v>52</v>
      </c>
      <c r="B5865" t="s">
        <v>4</v>
      </c>
    </row>
    <row r="5866" spans="1:2" x14ac:dyDescent="0.25">
      <c r="A5866" t="s">
        <v>53</v>
      </c>
      <c r="B5866" t="s">
        <v>4</v>
      </c>
    </row>
    <row r="5867" spans="1:2" x14ac:dyDescent="0.25">
      <c r="A5867" t="s">
        <v>54</v>
      </c>
      <c r="B5867" t="s">
        <v>4</v>
      </c>
    </row>
    <row r="5868" spans="1:2" x14ac:dyDescent="0.25">
      <c r="A5868" t="s">
        <v>55</v>
      </c>
      <c r="B5868" t="s">
        <v>4</v>
      </c>
    </row>
    <row r="5869" spans="1:2" x14ac:dyDescent="0.25">
      <c r="A5869" t="s">
        <v>56</v>
      </c>
      <c r="B5869" t="s">
        <v>4</v>
      </c>
    </row>
    <row r="5870" spans="1:2" x14ac:dyDescent="0.25">
      <c r="A5870" t="s">
        <v>57</v>
      </c>
      <c r="B5870" t="s">
        <v>4</v>
      </c>
    </row>
    <row r="5871" spans="1:2" x14ac:dyDescent="0.25">
      <c r="A5871" t="s">
        <v>58</v>
      </c>
      <c r="B5871" t="s">
        <v>4</v>
      </c>
    </row>
    <row r="5872" spans="1:2" x14ac:dyDescent="0.25">
      <c r="A5872" t="s">
        <v>59</v>
      </c>
      <c r="B5872" t="s">
        <v>4</v>
      </c>
    </row>
    <row r="5873" spans="1:2" x14ac:dyDescent="0.25">
      <c r="A5873" t="s">
        <v>60</v>
      </c>
      <c r="B5873" t="s">
        <v>4</v>
      </c>
    </row>
    <row r="5874" spans="1:2" x14ac:dyDescent="0.25">
      <c r="A5874" t="s">
        <v>61</v>
      </c>
      <c r="B5874" t="s">
        <v>4</v>
      </c>
    </row>
    <row r="5875" spans="1:2" x14ac:dyDescent="0.25">
      <c r="A5875" t="s">
        <v>62</v>
      </c>
      <c r="B5875" t="s">
        <v>4</v>
      </c>
    </row>
    <row r="5876" spans="1:2" x14ac:dyDescent="0.25">
      <c r="A5876" t="s">
        <v>63</v>
      </c>
      <c r="B5876" t="s">
        <v>4</v>
      </c>
    </row>
    <row r="5877" spans="1:2" x14ac:dyDescent="0.25">
      <c r="A5877" t="s">
        <v>64</v>
      </c>
      <c r="B5877" t="s">
        <v>4</v>
      </c>
    </row>
    <row r="5878" spans="1:2" x14ac:dyDescent="0.25">
      <c r="A5878" t="s">
        <v>65</v>
      </c>
      <c r="B5878" t="s">
        <v>4</v>
      </c>
    </row>
    <row r="5879" spans="1:2" x14ac:dyDescent="0.25">
      <c r="A5879" t="s">
        <v>66</v>
      </c>
      <c r="B5879" t="s">
        <v>4</v>
      </c>
    </row>
    <row r="5880" spans="1:2" x14ac:dyDescent="0.25">
      <c r="A5880" t="s">
        <v>67</v>
      </c>
      <c r="B5880" t="s">
        <v>4</v>
      </c>
    </row>
    <row r="5881" spans="1:2" x14ac:dyDescent="0.25">
      <c r="A5881" t="s">
        <v>68</v>
      </c>
      <c r="B5881" t="s">
        <v>4</v>
      </c>
    </row>
    <row r="5882" spans="1:2" x14ac:dyDescent="0.25">
      <c r="A5882" t="s">
        <v>69</v>
      </c>
      <c r="B5882" t="s">
        <v>4</v>
      </c>
    </row>
    <row r="5883" spans="1:2" x14ac:dyDescent="0.25">
      <c r="A5883" t="s">
        <v>70</v>
      </c>
      <c r="B5883">
        <v>6.65</v>
      </c>
    </row>
    <row r="5884" spans="1:2" x14ac:dyDescent="0.25">
      <c r="A5884" t="s">
        <v>71</v>
      </c>
      <c r="B5884" t="s">
        <v>4</v>
      </c>
    </row>
    <row r="5885" spans="1:2" x14ac:dyDescent="0.25">
      <c r="A5885" t="s">
        <v>72</v>
      </c>
      <c r="B5885" t="s">
        <v>4</v>
      </c>
    </row>
    <row r="5886" spans="1:2" x14ac:dyDescent="0.25">
      <c r="A5886" t="s">
        <v>73</v>
      </c>
      <c r="B5886" t="s">
        <v>4</v>
      </c>
    </row>
    <row r="5887" spans="1:2" x14ac:dyDescent="0.25">
      <c r="A5887" t="s">
        <v>74</v>
      </c>
      <c r="B5887" t="s">
        <v>4</v>
      </c>
    </row>
    <row r="5888" spans="1:2" x14ac:dyDescent="0.25">
      <c r="A5888" t="s">
        <v>75</v>
      </c>
      <c r="B5888">
        <v>6.6</v>
      </c>
    </row>
    <row r="5889" spans="1:11" x14ac:dyDescent="0.25">
      <c r="A5889" t="s">
        <v>76</v>
      </c>
      <c r="B5889" t="s">
        <v>4</v>
      </c>
    </row>
    <row r="5890" spans="1:11" x14ac:dyDescent="0.25">
      <c r="A5890" t="s">
        <v>77</v>
      </c>
      <c r="B5890" t="s">
        <v>4</v>
      </c>
    </row>
    <row r="5891" spans="1:11" x14ac:dyDescent="0.25">
      <c r="A5891" t="s">
        <v>78</v>
      </c>
      <c r="B5891" t="s">
        <v>4</v>
      </c>
    </row>
    <row r="5892" spans="1:11" x14ac:dyDescent="0.25">
      <c r="A5892" t="s">
        <v>79</v>
      </c>
      <c r="B5892" t="s">
        <v>4</v>
      </c>
    </row>
    <row r="5893" spans="1:11" x14ac:dyDescent="0.25">
      <c r="A5893" t="s">
        <v>80</v>
      </c>
      <c r="B5893" t="s">
        <v>4</v>
      </c>
    </row>
    <row r="5894" spans="1:11" x14ac:dyDescent="0.25">
      <c r="A5894" t="s">
        <v>81</v>
      </c>
      <c r="B5894" t="s">
        <v>4</v>
      </c>
    </row>
    <row r="5897" spans="1:11" x14ac:dyDescent="0.25">
      <c r="A5897" t="s">
        <v>0</v>
      </c>
      <c r="B5897" t="s">
        <v>145</v>
      </c>
    </row>
    <row r="5899" spans="1:11" s="1" customFormat="1" x14ac:dyDescent="0.25">
      <c r="A5899" s="1" t="s">
        <v>2</v>
      </c>
      <c r="B5899" s="1" t="s">
        <v>157</v>
      </c>
    </row>
    <row r="5900" spans="1:11" x14ac:dyDescent="0.25">
      <c r="A5900" t="s">
        <v>3</v>
      </c>
      <c r="B5900" t="s">
        <v>4</v>
      </c>
    </row>
    <row r="5901" spans="1:11" x14ac:dyDescent="0.25">
      <c r="A5901" t="s">
        <v>5</v>
      </c>
      <c r="B5901" t="s">
        <v>4</v>
      </c>
    </row>
    <row r="5902" spans="1:11" x14ac:dyDescent="0.25">
      <c r="A5902" t="s">
        <v>6</v>
      </c>
      <c r="B5902" t="s">
        <v>4</v>
      </c>
      <c r="D5902" s="3"/>
      <c r="E5902" s="3"/>
      <c r="F5902" s="3"/>
      <c r="G5902" s="3"/>
      <c r="H5902" s="3"/>
      <c r="I5902" s="3"/>
      <c r="J5902" s="3"/>
      <c r="K5902" s="3"/>
    </row>
    <row r="5903" spans="1:11" x14ac:dyDescent="0.25">
      <c r="A5903" t="s">
        <v>7</v>
      </c>
      <c r="B5903" t="s">
        <v>4</v>
      </c>
      <c r="D5903" s="3"/>
      <c r="E5903" s="3"/>
      <c r="F5903" s="3"/>
      <c r="G5903" s="3"/>
      <c r="H5903" s="3"/>
      <c r="I5903" s="3"/>
      <c r="J5903" s="3"/>
      <c r="K5903" s="3"/>
    </row>
    <row r="5904" spans="1:11" x14ac:dyDescent="0.25">
      <c r="A5904" t="s">
        <v>8</v>
      </c>
      <c r="B5904" t="s">
        <v>4</v>
      </c>
    </row>
    <row r="5905" spans="1:2" x14ac:dyDescent="0.25">
      <c r="A5905" t="s">
        <v>9</v>
      </c>
      <c r="B5905" t="s">
        <v>4</v>
      </c>
    </row>
    <row r="5906" spans="1:2" x14ac:dyDescent="0.25">
      <c r="A5906" t="s">
        <v>10</v>
      </c>
      <c r="B5906" t="s">
        <v>4</v>
      </c>
    </row>
    <row r="5907" spans="1:2" x14ac:dyDescent="0.25">
      <c r="A5907" t="s">
        <v>11</v>
      </c>
      <c r="B5907" t="s">
        <v>4</v>
      </c>
    </row>
    <row r="5908" spans="1:2" x14ac:dyDescent="0.25">
      <c r="A5908" t="s">
        <v>12</v>
      </c>
      <c r="B5908" t="s">
        <v>4</v>
      </c>
    </row>
    <row r="5909" spans="1:2" x14ac:dyDescent="0.25">
      <c r="A5909" t="s">
        <v>13</v>
      </c>
      <c r="B5909" t="s">
        <v>4</v>
      </c>
    </row>
    <row r="5910" spans="1:2" x14ac:dyDescent="0.25">
      <c r="A5910" t="s">
        <v>14</v>
      </c>
      <c r="B5910" t="s">
        <v>4</v>
      </c>
    </row>
    <row r="5911" spans="1:2" x14ac:dyDescent="0.25">
      <c r="A5911" t="s">
        <v>15</v>
      </c>
      <c r="B5911" t="s">
        <v>4</v>
      </c>
    </row>
    <row r="5912" spans="1:2" x14ac:dyDescent="0.25">
      <c r="A5912" t="s">
        <v>16</v>
      </c>
      <c r="B5912" t="s">
        <v>4</v>
      </c>
    </row>
    <row r="5913" spans="1:2" x14ac:dyDescent="0.25">
      <c r="A5913" t="s">
        <v>17</v>
      </c>
      <c r="B5913" t="s">
        <v>4</v>
      </c>
    </row>
    <row r="5914" spans="1:2" x14ac:dyDescent="0.25">
      <c r="A5914" t="s">
        <v>18</v>
      </c>
      <c r="B5914" t="s">
        <v>4</v>
      </c>
    </row>
    <row r="5915" spans="1:2" x14ac:dyDescent="0.25">
      <c r="A5915" t="s">
        <v>19</v>
      </c>
      <c r="B5915" t="s">
        <v>4</v>
      </c>
    </row>
    <row r="5916" spans="1:2" x14ac:dyDescent="0.25">
      <c r="A5916" t="s">
        <v>20</v>
      </c>
      <c r="B5916" t="s">
        <v>4</v>
      </c>
    </row>
    <row r="5917" spans="1:2" x14ac:dyDescent="0.25">
      <c r="A5917" t="s">
        <v>21</v>
      </c>
      <c r="B5917" t="s">
        <v>4</v>
      </c>
    </row>
    <row r="5918" spans="1:2" x14ac:dyDescent="0.25">
      <c r="A5918" t="s">
        <v>22</v>
      </c>
      <c r="B5918" t="s">
        <v>4</v>
      </c>
    </row>
    <row r="5919" spans="1:2" x14ac:dyDescent="0.25">
      <c r="A5919" t="s">
        <v>23</v>
      </c>
      <c r="B5919" t="s">
        <v>4</v>
      </c>
    </row>
    <row r="5920" spans="1:2" x14ac:dyDescent="0.25">
      <c r="A5920" t="s">
        <v>24</v>
      </c>
      <c r="B5920" t="s">
        <v>4</v>
      </c>
    </row>
    <row r="5921" spans="1:2" x14ac:dyDescent="0.25">
      <c r="A5921" t="s">
        <v>25</v>
      </c>
      <c r="B5921" t="s">
        <v>4</v>
      </c>
    </row>
    <row r="5922" spans="1:2" x14ac:dyDescent="0.25">
      <c r="A5922" t="s">
        <v>26</v>
      </c>
      <c r="B5922" t="s">
        <v>4</v>
      </c>
    </row>
    <row r="5923" spans="1:2" x14ac:dyDescent="0.25">
      <c r="A5923" t="s">
        <v>27</v>
      </c>
      <c r="B5923" t="s">
        <v>4</v>
      </c>
    </row>
    <row r="5924" spans="1:2" x14ac:dyDescent="0.25">
      <c r="A5924" t="s">
        <v>28</v>
      </c>
      <c r="B5924" t="s">
        <v>4</v>
      </c>
    </row>
    <row r="5925" spans="1:2" x14ac:dyDescent="0.25">
      <c r="A5925" t="s">
        <v>29</v>
      </c>
      <c r="B5925" t="s">
        <v>4</v>
      </c>
    </row>
    <row r="5926" spans="1:2" x14ac:dyDescent="0.25">
      <c r="A5926" t="s">
        <v>30</v>
      </c>
      <c r="B5926" t="s">
        <v>4</v>
      </c>
    </row>
    <row r="5927" spans="1:2" x14ac:dyDescent="0.25">
      <c r="A5927" t="s">
        <v>31</v>
      </c>
      <c r="B5927" t="s">
        <v>4</v>
      </c>
    </row>
    <row r="5928" spans="1:2" x14ac:dyDescent="0.25">
      <c r="A5928" t="s">
        <v>32</v>
      </c>
      <c r="B5928" t="s">
        <v>4</v>
      </c>
    </row>
    <row r="5929" spans="1:2" x14ac:dyDescent="0.25">
      <c r="A5929" t="s">
        <v>33</v>
      </c>
      <c r="B5929" t="s">
        <v>4</v>
      </c>
    </row>
    <row r="5930" spans="1:2" x14ac:dyDescent="0.25">
      <c r="A5930" t="s">
        <v>34</v>
      </c>
      <c r="B5930" t="s">
        <v>4</v>
      </c>
    </row>
    <row r="5931" spans="1:2" x14ac:dyDescent="0.25">
      <c r="A5931" t="s">
        <v>35</v>
      </c>
      <c r="B5931" t="s">
        <v>4</v>
      </c>
    </row>
    <row r="5932" spans="1:2" x14ac:dyDescent="0.25">
      <c r="A5932" t="s">
        <v>36</v>
      </c>
      <c r="B5932" t="s">
        <v>4</v>
      </c>
    </row>
    <row r="5933" spans="1:2" x14ac:dyDescent="0.25">
      <c r="A5933" t="s">
        <v>37</v>
      </c>
      <c r="B5933" t="s">
        <v>4</v>
      </c>
    </row>
    <row r="5934" spans="1:2" x14ac:dyDescent="0.25">
      <c r="A5934" t="s">
        <v>38</v>
      </c>
      <c r="B5934" t="s">
        <v>4</v>
      </c>
    </row>
    <row r="5935" spans="1:2" x14ac:dyDescent="0.25">
      <c r="A5935" t="s">
        <v>39</v>
      </c>
      <c r="B5935" t="s">
        <v>4</v>
      </c>
    </row>
    <row r="5936" spans="1:2" x14ac:dyDescent="0.25">
      <c r="A5936" t="s">
        <v>40</v>
      </c>
      <c r="B5936" t="s">
        <v>4</v>
      </c>
    </row>
    <row r="5937" spans="1:2" x14ac:dyDescent="0.25">
      <c r="A5937" t="s">
        <v>41</v>
      </c>
      <c r="B5937" t="s">
        <v>4</v>
      </c>
    </row>
    <row r="5938" spans="1:2" x14ac:dyDescent="0.25">
      <c r="A5938" t="s">
        <v>42</v>
      </c>
      <c r="B5938" t="s">
        <v>4</v>
      </c>
    </row>
    <row r="5939" spans="1:2" x14ac:dyDescent="0.25">
      <c r="A5939" t="s">
        <v>43</v>
      </c>
      <c r="B5939" t="s">
        <v>4</v>
      </c>
    </row>
    <row r="5940" spans="1:2" x14ac:dyDescent="0.25">
      <c r="A5940" t="s">
        <v>44</v>
      </c>
      <c r="B5940" t="s">
        <v>4</v>
      </c>
    </row>
    <row r="5941" spans="1:2" x14ac:dyDescent="0.25">
      <c r="A5941" t="s">
        <v>45</v>
      </c>
      <c r="B5941" t="s">
        <v>4</v>
      </c>
    </row>
    <row r="5942" spans="1:2" x14ac:dyDescent="0.25">
      <c r="A5942" t="s">
        <v>46</v>
      </c>
      <c r="B5942" t="s">
        <v>4</v>
      </c>
    </row>
    <row r="5943" spans="1:2" x14ac:dyDescent="0.25">
      <c r="A5943" t="s">
        <v>47</v>
      </c>
      <c r="B5943" t="s">
        <v>4</v>
      </c>
    </row>
    <row r="5944" spans="1:2" x14ac:dyDescent="0.25">
      <c r="A5944" t="s">
        <v>48</v>
      </c>
      <c r="B5944" t="s">
        <v>4</v>
      </c>
    </row>
    <row r="5945" spans="1:2" x14ac:dyDescent="0.25">
      <c r="A5945" t="s">
        <v>49</v>
      </c>
      <c r="B5945" t="s">
        <v>4</v>
      </c>
    </row>
    <row r="5946" spans="1:2" x14ac:dyDescent="0.25">
      <c r="A5946" t="s">
        <v>50</v>
      </c>
      <c r="B5946" t="s">
        <v>4</v>
      </c>
    </row>
    <row r="5947" spans="1:2" x14ac:dyDescent="0.25">
      <c r="A5947" t="s">
        <v>51</v>
      </c>
      <c r="B5947" t="s">
        <v>4</v>
      </c>
    </row>
    <row r="5948" spans="1:2" x14ac:dyDescent="0.25">
      <c r="A5948" t="s">
        <v>52</v>
      </c>
      <c r="B5948" t="s">
        <v>4</v>
      </c>
    </row>
    <row r="5949" spans="1:2" x14ac:dyDescent="0.25">
      <c r="A5949" t="s">
        <v>53</v>
      </c>
      <c r="B5949" t="s">
        <v>4</v>
      </c>
    </row>
    <row r="5950" spans="1:2" x14ac:dyDescent="0.25">
      <c r="A5950" t="s">
        <v>54</v>
      </c>
      <c r="B5950" t="s">
        <v>4</v>
      </c>
    </row>
    <row r="5951" spans="1:2" x14ac:dyDescent="0.25">
      <c r="A5951" t="s">
        <v>55</v>
      </c>
      <c r="B5951" t="s">
        <v>4</v>
      </c>
    </row>
    <row r="5952" spans="1:2" x14ac:dyDescent="0.25">
      <c r="A5952" t="s">
        <v>56</v>
      </c>
      <c r="B5952" t="s">
        <v>4</v>
      </c>
    </row>
    <row r="5953" spans="1:2" x14ac:dyDescent="0.25">
      <c r="A5953" t="s">
        <v>57</v>
      </c>
      <c r="B5953" t="s">
        <v>4</v>
      </c>
    </row>
    <row r="5954" spans="1:2" x14ac:dyDescent="0.25">
      <c r="A5954" t="s">
        <v>58</v>
      </c>
      <c r="B5954" t="s">
        <v>4</v>
      </c>
    </row>
    <row r="5955" spans="1:2" x14ac:dyDescent="0.25">
      <c r="A5955" t="s">
        <v>59</v>
      </c>
      <c r="B5955" t="s">
        <v>4</v>
      </c>
    </row>
    <row r="5956" spans="1:2" x14ac:dyDescent="0.25">
      <c r="A5956" t="s">
        <v>60</v>
      </c>
      <c r="B5956" t="s">
        <v>4</v>
      </c>
    </row>
    <row r="5957" spans="1:2" x14ac:dyDescent="0.25">
      <c r="A5957" t="s">
        <v>61</v>
      </c>
      <c r="B5957" t="s">
        <v>4</v>
      </c>
    </row>
    <row r="5958" spans="1:2" x14ac:dyDescent="0.25">
      <c r="A5958" t="s">
        <v>62</v>
      </c>
      <c r="B5958" t="s">
        <v>4</v>
      </c>
    </row>
    <row r="5959" spans="1:2" x14ac:dyDescent="0.25">
      <c r="A5959" t="s">
        <v>63</v>
      </c>
      <c r="B5959" t="s">
        <v>4</v>
      </c>
    </row>
    <row r="5960" spans="1:2" x14ac:dyDescent="0.25">
      <c r="A5960" t="s">
        <v>64</v>
      </c>
      <c r="B5960" t="s">
        <v>4</v>
      </c>
    </row>
    <row r="5961" spans="1:2" x14ac:dyDescent="0.25">
      <c r="A5961" t="s">
        <v>65</v>
      </c>
      <c r="B5961" t="s">
        <v>4</v>
      </c>
    </row>
    <row r="5962" spans="1:2" x14ac:dyDescent="0.25">
      <c r="A5962" t="s">
        <v>66</v>
      </c>
      <c r="B5962" t="s">
        <v>4</v>
      </c>
    </row>
    <row r="5963" spans="1:2" x14ac:dyDescent="0.25">
      <c r="A5963" t="s">
        <v>67</v>
      </c>
      <c r="B5963" t="s">
        <v>4</v>
      </c>
    </row>
    <row r="5964" spans="1:2" x14ac:dyDescent="0.25">
      <c r="A5964" t="s">
        <v>68</v>
      </c>
      <c r="B5964" t="s">
        <v>4</v>
      </c>
    </row>
    <row r="5965" spans="1:2" x14ac:dyDescent="0.25">
      <c r="A5965" t="s">
        <v>69</v>
      </c>
      <c r="B5965" t="s">
        <v>4</v>
      </c>
    </row>
    <row r="5966" spans="1:2" x14ac:dyDescent="0.25">
      <c r="A5966" t="s">
        <v>70</v>
      </c>
      <c r="B5966" t="s">
        <v>4</v>
      </c>
    </row>
    <row r="5967" spans="1:2" x14ac:dyDescent="0.25">
      <c r="A5967" t="s">
        <v>71</v>
      </c>
      <c r="B5967" t="s">
        <v>4</v>
      </c>
    </row>
    <row r="5968" spans="1:2" x14ac:dyDescent="0.25">
      <c r="A5968" t="s">
        <v>72</v>
      </c>
      <c r="B5968" t="s">
        <v>4</v>
      </c>
    </row>
    <row r="5969" spans="1:2" x14ac:dyDescent="0.25">
      <c r="A5969" t="s">
        <v>73</v>
      </c>
      <c r="B5969" t="s">
        <v>4</v>
      </c>
    </row>
    <row r="5970" spans="1:2" x14ac:dyDescent="0.25">
      <c r="A5970" t="s">
        <v>74</v>
      </c>
      <c r="B5970" t="s">
        <v>4</v>
      </c>
    </row>
    <row r="5971" spans="1:2" x14ac:dyDescent="0.25">
      <c r="A5971" t="s">
        <v>75</v>
      </c>
      <c r="B5971" t="s">
        <v>4</v>
      </c>
    </row>
    <row r="5972" spans="1:2" x14ac:dyDescent="0.25">
      <c r="A5972" t="s">
        <v>76</v>
      </c>
      <c r="B5972" t="s">
        <v>4</v>
      </c>
    </row>
    <row r="5973" spans="1:2" x14ac:dyDescent="0.25">
      <c r="A5973" t="s">
        <v>77</v>
      </c>
      <c r="B5973" t="s">
        <v>4</v>
      </c>
    </row>
    <row r="5974" spans="1:2" x14ac:dyDescent="0.25">
      <c r="A5974" t="s">
        <v>78</v>
      </c>
      <c r="B5974" t="s">
        <v>4</v>
      </c>
    </row>
    <row r="5975" spans="1:2" x14ac:dyDescent="0.25">
      <c r="A5975" t="s">
        <v>79</v>
      </c>
      <c r="B5975" t="s">
        <v>4</v>
      </c>
    </row>
    <row r="5976" spans="1:2" x14ac:dyDescent="0.25">
      <c r="A5976" t="s">
        <v>80</v>
      </c>
      <c r="B5976" t="s">
        <v>4</v>
      </c>
    </row>
    <row r="5977" spans="1:2" x14ac:dyDescent="0.25">
      <c r="A5977" t="s">
        <v>81</v>
      </c>
      <c r="B5977" t="s">
        <v>4</v>
      </c>
    </row>
    <row r="5980" spans="1:2" x14ac:dyDescent="0.25">
      <c r="A5980" t="s">
        <v>0</v>
      </c>
      <c r="B5980" t="s">
        <v>146</v>
      </c>
    </row>
    <row r="5982" spans="1:2" s="1" customFormat="1" x14ac:dyDescent="0.25">
      <c r="A5982" s="1" t="s">
        <v>2</v>
      </c>
      <c r="B5982" s="1" t="s">
        <v>157</v>
      </c>
    </row>
    <row r="5983" spans="1:2" x14ac:dyDescent="0.25">
      <c r="A5983" t="s">
        <v>3</v>
      </c>
      <c r="B5983" t="s">
        <v>4</v>
      </c>
    </row>
    <row r="5984" spans="1:2" x14ac:dyDescent="0.25">
      <c r="A5984" t="s">
        <v>5</v>
      </c>
      <c r="B5984" t="s">
        <v>4</v>
      </c>
    </row>
    <row r="5985" spans="1:2" x14ac:dyDescent="0.25">
      <c r="A5985" t="s">
        <v>6</v>
      </c>
      <c r="B5985" t="s">
        <v>4</v>
      </c>
    </row>
    <row r="5986" spans="1:2" x14ac:dyDescent="0.25">
      <c r="A5986" t="s">
        <v>7</v>
      </c>
      <c r="B5986" t="s">
        <v>4</v>
      </c>
    </row>
    <row r="5987" spans="1:2" x14ac:dyDescent="0.25">
      <c r="A5987" t="s">
        <v>8</v>
      </c>
      <c r="B5987" t="s">
        <v>4</v>
      </c>
    </row>
    <row r="5988" spans="1:2" x14ac:dyDescent="0.25">
      <c r="A5988" t="s">
        <v>9</v>
      </c>
      <c r="B5988" t="s">
        <v>4</v>
      </c>
    </row>
    <row r="5989" spans="1:2" x14ac:dyDescent="0.25">
      <c r="A5989" t="s">
        <v>10</v>
      </c>
      <c r="B5989" t="s">
        <v>4</v>
      </c>
    </row>
    <row r="5990" spans="1:2" x14ac:dyDescent="0.25">
      <c r="A5990" t="s">
        <v>11</v>
      </c>
      <c r="B5990" t="s">
        <v>4</v>
      </c>
    </row>
    <row r="5991" spans="1:2" x14ac:dyDescent="0.25">
      <c r="A5991" t="s">
        <v>12</v>
      </c>
      <c r="B5991" t="s">
        <v>4</v>
      </c>
    </row>
    <row r="5992" spans="1:2" x14ac:dyDescent="0.25">
      <c r="A5992" t="s">
        <v>13</v>
      </c>
      <c r="B5992" t="s">
        <v>4</v>
      </c>
    </row>
    <row r="5993" spans="1:2" x14ac:dyDescent="0.25">
      <c r="A5993" t="s">
        <v>14</v>
      </c>
      <c r="B5993" t="s">
        <v>4</v>
      </c>
    </row>
    <row r="5994" spans="1:2" x14ac:dyDescent="0.25">
      <c r="A5994" t="s">
        <v>15</v>
      </c>
      <c r="B5994" t="s">
        <v>4</v>
      </c>
    </row>
    <row r="5995" spans="1:2" x14ac:dyDescent="0.25">
      <c r="A5995" t="s">
        <v>16</v>
      </c>
      <c r="B5995" t="s">
        <v>4</v>
      </c>
    </row>
    <row r="5996" spans="1:2" x14ac:dyDescent="0.25">
      <c r="A5996" t="s">
        <v>17</v>
      </c>
      <c r="B5996" t="s">
        <v>4</v>
      </c>
    </row>
    <row r="5997" spans="1:2" x14ac:dyDescent="0.25">
      <c r="A5997" t="s">
        <v>18</v>
      </c>
      <c r="B5997" t="s">
        <v>4</v>
      </c>
    </row>
    <row r="5998" spans="1:2" x14ac:dyDescent="0.25">
      <c r="A5998" t="s">
        <v>19</v>
      </c>
      <c r="B5998" t="s">
        <v>4</v>
      </c>
    </row>
    <row r="5999" spans="1:2" x14ac:dyDescent="0.25">
      <c r="A5999" t="s">
        <v>20</v>
      </c>
      <c r="B5999" t="s">
        <v>4</v>
      </c>
    </row>
    <row r="6000" spans="1:2" x14ac:dyDescent="0.25">
      <c r="A6000" t="s">
        <v>21</v>
      </c>
      <c r="B6000" t="s">
        <v>4</v>
      </c>
    </row>
    <row r="6001" spans="1:2" x14ac:dyDescent="0.25">
      <c r="A6001" t="s">
        <v>22</v>
      </c>
      <c r="B6001" t="s">
        <v>4</v>
      </c>
    </row>
    <row r="6002" spans="1:2" x14ac:dyDescent="0.25">
      <c r="A6002" t="s">
        <v>23</v>
      </c>
      <c r="B6002" t="s">
        <v>4</v>
      </c>
    </row>
    <row r="6003" spans="1:2" x14ac:dyDescent="0.25">
      <c r="A6003" t="s">
        <v>24</v>
      </c>
      <c r="B6003" t="s">
        <v>4</v>
      </c>
    </row>
    <row r="6004" spans="1:2" x14ac:dyDescent="0.25">
      <c r="A6004" t="s">
        <v>25</v>
      </c>
      <c r="B6004" t="s">
        <v>4</v>
      </c>
    </row>
    <row r="6005" spans="1:2" x14ac:dyDescent="0.25">
      <c r="A6005" t="s">
        <v>26</v>
      </c>
      <c r="B6005" t="s">
        <v>4</v>
      </c>
    </row>
    <row r="6006" spans="1:2" x14ac:dyDescent="0.25">
      <c r="A6006" t="s">
        <v>27</v>
      </c>
      <c r="B6006" t="s">
        <v>4</v>
      </c>
    </row>
    <row r="6007" spans="1:2" x14ac:dyDescent="0.25">
      <c r="A6007" t="s">
        <v>28</v>
      </c>
      <c r="B6007" t="s">
        <v>4</v>
      </c>
    </row>
    <row r="6008" spans="1:2" x14ac:dyDescent="0.25">
      <c r="A6008" t="s">
        <v>29</v>
      </c>
      <c r="B6008">
        <v>139.66</v>
      </c>
    </row>
    <row r="6009" spans="1:2" x14ac:dyDescent="0.25">
      <c r="A6009" t="s">
        <v>30</v>
      </c>
      <c r="B6009" t="s">
        <v>4</v>
      </c>
    </row>
    <row r="6010" spans="1:2" x14ac:dyDescent="0.25">
      <c r="A6010" t="s">
        <v>31</v>
      </c>
      <c r="B6010" t="s">
        <v>4</v>
      </c>
    </row>
    <row r="6011" spans="1:2" x14ac:dyDescent="0.25">
      <c r="A6011" t="s">
        <v>32</v>
      </c>
      <c r="B6011" t="s">
        <v>4</v>
      </c>
    </row>
    <row r="6012" spans="1:2" x14ac:dyDescent="0.25">
      <c r="A6012" t="s">
        <v>33</v>
      </c>
      <c r="B6012" t="s">
        <v>4</v>
      </c>
    </row>
    <row r="6013" spans="1:2" x14ac:dyDescent="0.25">
      <c r="A6013" t="s">
        <v>34</v>
      </c>
      <c r="B6013" t="s">
        <v>4</v>
      </c>
    </row>
    <row r="6014" spans="1:2" x14ac:dyDescent="0.25">
      <c r="A6014" t="s">
        <v>35</v>
      </c>
      <c r="B6014" t="s">
        <v>4</v>
      </c>
    </row>
    <row r="6015" spans="1:2" x14ac:dyDescent="0.25">
      <c r="A6015" t="s">
        <v>36</v>
      </c>
      <c r="B6015" t="s">
        <v>4</v>
      </c>
    </row>
    <row r="6016" spans="1:2" x14ac:dyDescent="0.25">
      <c r="A6016" t="s">
        <v>37</v>
      </c>
      <c r="B6016" t="s">
        <v>4</v>
      </c>
    </row>
    <row r="6017" spans="1:2" x14ac:dyDescent="0.25">
      <c r="A6017" t="s">
        <v>38</v>
      </c>
      <c r="B6017" t="s">
        <v>4</v>
      </c>
    </row>
    <row r="6018" spans="1:2" x14ac:dyDescent="0.25">
      <c r="A6018" t="s">
        <v>39</v>
      </c>
      <c r="B6018" t="s">
        <v>4</v>
      </c>
    </row>
    <row r="6019" spans="1:2" x14ac:dyDescent="0.25">
      <c r="A6019" t="s">
        <v>40</v>
      </c>
      <c r="B6019" t="s">
        <v>4</v>
      </c>
    </row>
    <row r="6020" spans="1:2" x14ac:dyDescent="0.25">
      <c r="A6020" t="s">
        <v>41</v>
      </c>
      <c r="B6020" t="s">
        <v>4</v>
      </c>
    </row>
    <row r="6021" spans="1:2" x14ac:dyDescent="0.25">
      <c r="A6021" t="s">
        <v>42</v>
      </c>
      <c r="B6021" t="s">
        <v>4</v>
      </c>
    </row>
    <row r="6022" spans="1:2" x14ac:dyDescent="0.25">
      <c r="A6022" t="s">
        <v>43</v>
      </c>
      <c r="B6022" t="s">
        <v>4</v>
      </c>
    </row>
    <row r="6023" spans="1:2" x14ac:dyDescent="0.25">
      <c r="A6023" t="s">
        <v>44</v>
      </c>
      <c r="B6023" t="s">
        <v>4</v>
      </c>
    </row>
    <row r="6024" spans="1:2" x14ac:dyDescent="0.25">
      <c r="A6024" t="s">
        <v>45</v>
      </c>
      <c r="B6024" t="s">
        <v>4</v>
      </c>
    </row>
    <row r="6025" spans="1:2" x14ac:dyDescent="0.25">
      <c r="A6025" t="s">
        <v>46</v>
      </c>
      <c r="B6025" t="s">
        <v>4</v>
      </c>
    </row>
    <row r="6026" spans="1:2" x14ac:dyDescent="0.25">
      <c r="A6026" t="s">
        <v>47</v>
      </c>
      <c r="B6026">
        <v>21.16</v>
      </c>
    </row>
    <row r="6027" spans="1:2" x14ac:dyDescent="0.25">
      <c r="A6027" t="s">
        <v>48</v>
      </c>
      <c r="B6027" t="s">
        <v>4</v>
      </c>
    </row>
    <row r="6028" spans="1:2" x14ac:dyDescent="0.25">
      <c r="A6028" t="s">
        <v>49</v>
      </c>
      <c r="B6028" t="s">
        <v>4</v>
      </c>
    </row>
    <row r="6029" spans="1:2" x14ac:dyDescent="0.25">
      <c r="A6029" t="s">
        <v>50</v>
      </c>
      <c r="B6029" t="s">
        <v>4</v>
      </c>
    </row>
    <row r="6030" spans="1:2" x14ac:dyDescent="0.25">
      <c r="A6030" t="s">
        <v>51</v>
      </c>
      <c r="B6030" t="s">
        <v>4</v>
      </c>
    </row>
    <row r="6031" spans="1:2" x14ac:dyDescent="0.25">
      <c r="A6031" t="s">
        <v>52</v>
      </c>
      <c r="B6031" t="s">
        <v>4</v>
      </c>
    </row>
    <row r="6032" spans="1:2" x14ac:dyDescent="0.25">
      <c r="A6032" t="s">
        <v>53</v>
      </c>
      <c r="B6032" t="s">
        <v>4</v>
      </c>
    </row>
    <row r="6033" spans="1:2" x14ac:dyDescent="0.25">
      <c r="A6033" t="s">
        <v>54</v>
      </c>
      <c r="B6033" t="s">
        <v>4</v>
      </c>
    </row>
    <row r="6034" spans="1:2" x14ac:dyDescent="0.25">
      <c r="A6034" t="s">
        <v>55</v>
      </c>
      <c r="B6034">
        <v>16</v>
      </c>
    </row>
    <row r="6035" spans="1:2" x14ac:dyDescent="0.25">
      <c r="A6035" t="s">
        <v>56</v>
      </c>
      <c r="B6035" t="s">
        <v>4</v>
      </c>
    </row>
    <row r="6036" spans="1:2" x14ac:dyDescent="0.25">
      <c r="A6036" t="s">
        <v>57</v>
      </c>
      <c r="B6036" t="s">
        <v>4</v>
      </c>
    </row>
    <row r="6037" spans="1:2" x14ac:dyDescent="0.25">
      <c r="A6037" t="s">
        <v>58</v>
      </c>
      <c r="B6037" t="s">
        <v>4</v>
      </c>
    </row>
    <row r="6038" spans="1:2" x14ac:dyDescent="0.25">
      <c r="A6038" t="s">
        <v>59</v>
      </c>
      <c r="B6038" t="s">
        <v>4</v>
      </c>
    </row>
    <row r="6039" spans="1:2" x14ac:dyDescent="0.25">
      <c r="A6039" t="s">
        <v>60</v>
      </c>
      <c r="B6039" t="s">
        <v>4</v>
      </c>
    </row>
    <row r="6040" spans="1:2" x14ac:dyDescent="0.25">
      <c r="A6040" t="s">
        <v>61</v>
      </c>
      <c r="B6040" t="s">
        <v>4</v>
      </c>
    </row>
    <row r="6041" spans="1:2" x14ac:dyDescent="0.25">
      <c r="A6041" t="s">
        <v>62</v>
      </c>
      <c r="B6041" t="s">
        <v>4</v>
      </c>
    </row>
    <row r="6042" spans="1:2" x14ac:dyDescent="0.25">
      <c r="A6042" t="s">
        <v>63</v>
      </c>
      <c r="B6042" t="s">
        <v>4</v>
      </c>
    </row>
    <row r="6043" spans="1:2" x14ac:dyDescent="0.25">
      <c r="A6043" t="s">
        <v>64</v>
      </c>
      <c r="B6043" t="s">
        <v>4</v>
      </c>
    </row>
    <row r="6044" spans="1:2" x14ac:dyDescent="0.25">
      <c r="A6044" t="s">
        <v>65</v>
      </c>
      <c r="B6044" t="s">
        <v>4</v>
      </c>
    </row>
    <row r="6045" spans="1:2" x14ac:dyDescent="0.25">
      <c r="A6045" t="s">
        <v>66</v>
      </c>
      <c r="B6045" t="s">
        <v>4</v>
      </c>
    </row>
    <row r="6046" spans="1:2" x14ac:dyDescent="0.25">
      <c r="A6046" t="s">
        <v>67</v>
      </c>
      <c r="B6046" t="s">
        <v>4</v>
      </c>
    </row>
    <row r="6047" spans="1:2" x14ac:dyDescent="0.25">
      <c r="A6047" t="s">
        <v>68</v>
      </c>
      <c r="B6047">
        <v>18.420000000000002</v>
      </c>
    </row>
    <row r="6048" spans="1:2" x14ac:dyDescent="0.25">
      <c r="A6048" t="s">
        <v>69</v>
      </c>
      <c r="B6048" t="s">
        <v>4</v>
      </c>
    </row>
    <row r="6049" spans="1:2" x14ac:dyDescent="0.25">
      <c r="A6049" t="s">
        <v>70</v>
      </c>
      <c r="B6049" t="s">
        <v>4</v>
      </c>
    </row>
    <row r="6050" spans="1:2" x14ac:dyDescent="0.25">
      <c r="A6050" t="s">
        <v>71</v>
      </c>
      <c r="B6050">
        <v>16.38</v>
      </c>
    </row>
    <row r="6051" spans="1:2" x14ac:dyDescent="0.25">
      <c r="A6051" t="s">
        <v>72</v>
      </c>
      <c r="B6051">
        <v>10.91</v>
      </c>
    </row>
    <row r="6052" spans="1:2" x14ac:dyDescent="0.25">
      <c r="A6052" t="s">
        <v>73</v>
      </c>
      <c r="B6052">
        <v>7.52</v>
      </c>
    </row>
    <row r="6053" spans="1:2" x14ac:dyDescent="0.25">
      <c r="A6053" t="s">
        <v>74</v>
      </c>
      <c r="B6053">
        <v>9.82</v>
      </c>
    </row>
    <row r="6054" spans="1:2" x14ac:dyDescent="0.25">
      <c r="A6054" t="s">
        <v>75</v>
      </c>
      <c r="B6054">
        <v>7.71</v>
      </c>
    </row>
    <row r="6055" spans="1:2" x14ac:dyDescent="0.25">
      <c r="A6055" t="s">
        <v>76</v>
      </c>
      <c r="B6055">
        <v>9.09</v>
      </c>
    </row>
    <row r="6056" spans="1:2" x14ac:dyDescent="0.25">
      <c r="A6056" t="s">
        <v>77</v>
      </c>
      <c r="B6056" t="s">
        <v>4</v>
      </c>
    </row>
    <row r="6057" spans="1:2" x14ac:dyDescent="0.25">
      <c r="A6057" t="s">
        <v>78</v>
      </c>
      <c r="B6057" t="s">
        <v>4</v>
      </c>
    </row>
    <row r="6058" spans="1:2" x14ac:dyDescent="0.25">
      <c r="A6058" t="s">
        <v>79</v>
      </c>
      <c r="B6058" t="s">
        <v>4</v>
      </c>
    </row>
    <row r="6059" spans="1:2" x14ac:dyDescent="0.25">
      <c r="A6059" t="s">
        <v>80</v>
      </c>
      <c r="B6059" t="s">
        <v>4</v>
      </c>
    </row>
    <row r="6060" spans="1:2" x14ac:dyDescent="0.25">
      <c r="A6060" t="s">
        <v>81</v>
      </c>
      <c r="B6060" t="s">
        <v>4</v>
      </c>
    </row>
    <row r="6063" spans="1:2" x14ac:dyDescent="0.25">
      <c r="A6063" t="s">
        <v>0</v>
      </c>
      <c r="B6063" t="s">
        <v>147</v>
      </c>
    </row>
    <row r="6065" spans="1:2" s="1" customFormat="1" x14ac:dyDescent="0.25">
      <c r="A6065" s="1" t="s">
        <v>2</v>
      </c>
      <c r="B6065" s="1" t="s">
        <v>157</v>
      </c>
    </row>
    <row r="6066" spans="1:2" x14ac:dyDescent="0.25">
      <c r="A6066" t="s">
        <v>3</v>
      </c>
      <c r="B6066" t="s">
        <v>4</v>
      </c>
    </row>
    <row r="6067" spans="1:2" x14ac:dyDescent="0.25">
      <c r="A6067" t="s">
        <v>5</v>
      </c>
      <c r="B6067" t="s">
        <v>4</v>
      </c>
    </row>
    <row r="6068" spans="1:2" x14ac:dyDescent="0.25">
      <c r="A6068" t="s">
        <v>6</v>
      </c>
      <c r="B6068" t="s">
        <v>4</v>
      </c>
    </row>
    <row r="6069" spans="1:2" x14ac:dyDescent="0.25">
      <c r="A6069" t="s">
        <v>7</v>
      </c>
      <c r="B6069" t="s">
        <v>4</v>
      </c>
    </row>
    <row r="6070" spans="1:2" x14ac:dyDescent="0.25">
      <c r="A6070" t="s">
        <v>8</v>
      </c>
      <c r="B6070" t="s">
        <v>4</v>
      </c>
    </row>
    <row r="6071" spans="1:2" x14ac:dyDescent="0.25">
      <c r="A6071" t="s">
        <v>9</v>
      </c>
      <c r="B6071" t="s">
        <v>4</v>
      </c>
    </row>
    <row r="6072" spans="1:2" x14ac:dyDescent="0.25">
      <c r="A6072" t="s">
        <v>10</v>
      </c>
      <c r="B6072" t="s">
        <v>4</v>
      </c>
    </row>
    <row r="6073" spans="1:2" x14ac:dyDescent="0.25">
      <c r="A6073" t="s">
        <v>11</v>
      </c>
      <c r="B6073" t="s">
        <v>4</v>
      </c>
    </row>
    <row r="6074" spans="1:2" x14ac:dyDescent="0.25">
      <c r="A6074" t="s">
        <v>12</v>
      </c>
      <c r="B6074" t="s">
        <v>4</v>
      </c>
    </row>
    <row r="6075" spans="1:2" x14ac:dyDescent="0.25">
      <c r="A6075" t="s">
        <v>13</v>
      </c>
      <c r="B6075" t="s">
        <v>4</v>
      </c>
    </row>
    <row r="6076" spans="1:2" x14ac:dyDescent="0.25">
      <c r="A6076" t="s">
        <v>14</v>
      </c>
      <c r="B6076" t="s">
        <v>4</v>
      </c>
    </row>
    <row r="6077" spans="1:2" x14ac:dyDescent="0.25">
      <c r="A6077" t="s">
        <v>15</v>
      </c>
      <c r="B6077" t="s">
        <v>4</v>
      </c>
    </row>
    <row r="6078" spans="1:2" x14ac:dyDescent="0.25">
      <c r="A6078" t="s">
        <v>16</v>
      </c>
      <c r="B6078" t="s">
        <v>4</v>
      </c>
    </row>
    <row r="6079" spans="1:2" x14ac:dyDescent="0.25">
      <c r="A6079" t="s">
        <v>17</v>
      </c>
      <c r="B6079" t="s">
        <v>4</v>
      </c>
    </row>
    <row r="6080" spans="1:2" x14ac:dyDescent="0.25">
      <c r="A6080" t="s">
        <v>18</v>
      </c>
      <c r="B6080" t="s">
        <v>4</v>
      </c>
    </row>
    <row r="6081" spans="1:2" x14ac:dyDescent="0.25">
      <c r="A6081" t="s">
        <v>19</v>
      </c>
      <c r="B6081" t="s">
        <v>4</v>
      </c>
    </row>
    <row r="6082" spans="1:2" x14ac:dyDescent="0.25">
      <c r="A6082" t="s">
        <v>20</v>
      </c>
      <c r="B6082" t="s">
        <v>4</v>
      </c>
    </row>
    <row r="6083" spans="1:2" x14ac:dyDescent="0.25">
      <c r="A6083" t="s">
        <v>21</v>
      </c>
      <c r="B6083" t="s">
        <v>4</v>
      </c>
    </row>
    <row r="6084" spans="1:2" x14ac:dyDescent="0.25">
      <c r="A6084" t="s">
        <v>22</v>
      </c>
      <c r="B6084" t="s">
        <v>4</v>
      </c>
    </row>
    <row r="6085" spans="1:2" x14ac:dyDescent="0.25">
      <c r="A6085" t="s">
        <v>23</v>
      </c>
      <c r="B6085" t="s">
        <v>4</v>
      </c>
    </row>
    <row r="6086" spans="1:2" x14ac:dyDescent="0.25">
      <c r="A6086" t="s">
        <v>24</v>
      </c>
      <c r="B6086" t="s">
        <v>4</v>
      </c>
    </row>
    <row r="6087" spans="1:2" x14ac:dyDescent="0.25">
      <c r="A6087" t="s">
        <v>25</v>
      </c>
      <c r="B6087" t="s">
        <v>4</v>
      </c>
    </row>
    <row r="6088" spans="1:2" x14ac:dyDescent="0.25">
      <c r="A6088" t="s">
        <v>26</v>
      </c>
      <c r="B6088" t="s">
        <v>4</v>
      </c>
    </row>
    <row r="6089" spans="1:2" x14ac:dyDescent="0.25">
      <c r="A6089" t="s">
        <v>27</v>
      </c>
      <c r="B6089" t="s">
        <v>4</v>
      </c>
    </row>
    <row r="6090" spans="1:2" x14ac:dyDescent="0.25">
      <c r="A6090" t="s">
        <v>28</v>
      </c>
      <c r="B6090" t="s">
        <v>4</v>
      </c>
    </row>
    <row r="6091" spans="1:2" x14ac:dyDescent="0.25">
      <c r="A6091" t="s">
        <v>29</v>
      </c>
      <c r="B6091" t="s">
        <v>4</v>
      </c>
    </row>
    <row r="6092" spans="1:2" x14ac:dyDescent="0.25">
      <c r="A6092" t="s">
        <v>30</v>
      </c>
      <c r="B6092" t="s">
        <v>4</v>
      </c>
    </row>
    <row r="6093" spans="1:2" x14ac:dyDescent="0.25">
      <c r="A6093" t="s">
        <v>31</v>
      </c>
      <c r="B6093" t="s">
        <v>4</v>
      </c>
    </row>
    <row r="6094" spans="1:2" x14ac:dyDescent="0.25">
      <c r="A6094" t="s">
        <v>32</v>
      </c>
      <c r="B6094" t="s">
        <v>4</v>
      </c>
    </row>
    <row r="6095" spans="1:2" x14ac:dyDescent="0.25">
      <c r="A6095" t="s">
        <v>33</v>
      </c>
      <c r="B6095">
        <v>7.38</v>
      </c>
    </row>
    <row r="6096" spans="1:2" x14ac:dyDescent="0.25">
      <c r="A6096" t="s">
        <v>34</v>
      </c>
      <c r="B6096" t="s">
        <v>4</v>
      </c>
    </row>
    <row r="6097" spans="1:2" x14ac:dyDescent="0.25">
      <c r="A6097" t="s">
        <v>35</v>
      </c>
      <c r="B6097">
        <v>5.0599999999999996</v>
      </c>
    </row>
    <row r="6098" spans="1:2" x14ac:dyDescent="0.25">
      <c r="A6098" t="s">
        <v>36</v>
      </c>
      <c r="B6098" t="s">
        <v>4</v>
      </c>
    </row>
    <row r="6099" spans="1:2" x14ac:dyDescent="0.25">
      <c r="A6099" t="s">
        <v>37</v>
      </c>
      <c r="B6099">
        <v>5.36</v>
      </c>
    </row>
    <row r="6100" spans="1:2" x14ac:dyDescent="0.25">
      <c r="A6100" t="s">
        <v>38</v>
      </c>
      <c r="B6100" t="s">
        <v>4</v>
      </c>
    </row>
    <row r="6101" spans="1:2" x14ac:dyDescent="0.25">
      <c r="A6101" t="s">
        <v>39</v>
      </c>
      <c r="B6101">
        <v>7.21</v>
      </c>
    </row>
    <row r="6102" spans="1:2" x14ac:dyDescent="0.25">
      <c r="A6102" t="s">
        <v>40</v>
      </c>
      <c r="B6102" t="s">
        <v>4</v>
      </c>
    </row>
    <row r="6103" spans="1:2" x14ac:dyDescent="0.25">
      <c r="A6103" t="s">
        <v>41</v>
      </c>
      <c r="B6103">
        <v>1.59</v>
      </c>
    </row>
    <row r="6104" spans="1:2" x14ac:dyDescent="0.25">
      <c r="A6104" t="s">
        <v>42</v>
      </c>
      <c r="B6104" t="s">
        <v>4</v>
      </c>
    </row>
    <row r="6105" spans="1:2" x14ac:dyDescent="0.25">
      <c r="A6105" t="s">
        <v>43</v>
      </c>
      <c r="B6105">
        <v>4.67</v>
      </c>
    </row>
    <row r="6106" spans="1:2" x14ac:dyDescent="0.25">
      <c r="A6106" t="s">
        <v>44</v>
      </c>
      <c r="B6106" t="s">
        <v>4</v>
      </c>
    </row>
    <row r="6107" spans="1:2" x14ac:dyDescent="0.25">
      <c r="A6107" t="s">
        <v>45</v>
      </c>
      <c r="B6107">
        <v>2.95</v>
      </c>
    </row>
    <row r="6108" spans="1:2" x14ac:dyDescent="0.25">
      <c r="A6108" t="s">
        <v>46</v>
      </c>
      <c r="B6108" t="s">
        <v>4</v>
      </c>
    </row>
    <row r="6109" spans="1:2" x14ac:dyDescent="0.25">
      <c r="A6109" t="s">
        <v>47</v>
      </c>
      <c r="B6109">
        <v>5.01</v>
      </c>
    </row>
    <row r="6110" spans="1:2" x14ac:dyDescent="0.25">
      <c r="A6110" t="s">
        <v>48</v>
      </c>
      <c r="B6110" t="s">
        <v>4</v>
      </c>
    </row>
    <row r="6111" spans="1:2" x14ac:dyDescent="0.25">
      <c r="A6111" t="s">
        <v>49</v>
      </c>
      <c r="B6111">
        <v>4.88</v>
      </c>
    </row>
    <row r="6112" spans="1:2" x14ac:dyDescent="0.25">
      <c r="A6112" t="s">
        <v>50</v>
      </c>
      <c r="B6112" t="s">
        <v>4</v>
      </c>
    </row>
    <row r="6113" spans="1:2" x14ac:dyDescent="0.25">
      <c r="A6113" t="s">
        <v>51</v>
      </c>
      <c r="B6113" t="s">
        <v>4</v>
      </c>
    </row>
    <row r="6114" spans="1:2" x14ac:dyDescent="0.25">
      <c r="A6114" t="s">
        <v>52</v>
      </c>
      <c r="B6114" t="s">
        <v>4</v>
      </c>
    </row>
    <row r="6115" spans="1:2" x14ac:dyDescent="0.25">
      <c r="A6115" t="s">
        <v>53</v>
      </c>
      <c r="B6115" t="s">
        <v>4</v>
      </c>
    </row>
    <row r="6116" spans="1:2" x14ac:dyDescent="0.25">
      <c r="A6116" t="s">
        <v>54</v>
      </c>
      <c r="B6116" t="s">
        <v>4</v>
      </c>
    </row>
    <row r="6117" spans="1:2" x14ac:dyDescent="0.25">
      <c r="A6117" t="s">
        <v>55</v>
      </c>
      <c r="B6117" t="s">
        <v>4</v>
      </c>
    </row>
    <row r="6118" spans="1:2" x14ac:dyDescent="0.25">
      <c r="A6118" t="s">
        <v>56</v>
      </c>
      <c r="B6118" t="s">
        <v>4</v>
      </c>
    </row>
    <row r="6119" spans="1:2" x14ac:dyDescent="0.25">
      <c r="A6119" t="s">
        <v>57</v>
      </c>
      <c r="B6119" t="s">
        <v>4</v>
      </c>
    </row>
    <row r="6120" spans="1:2" x14ac:dyDescent="0.25">
      <c r="A6120" t="s">
        <v>58</v>
      </c>
      <c r="B6120" t="s">
        <v>4</v>
      </c>
    </row>
    <row r="6121" spans="1:2" x14ac:dyDescent="0.25">
      <c r="A6121" t="s">
        <v>59</v>
      </c>
      <c r="B6121">
        <v>6.01</v>
      </c>
    </row>
    <row r="6122" spans="1:2" x14ac:dyDescent="0.25">
      <c r="A6122" t="s">
        <v>60</v>
      </c>
      <c r="B6122">
        <v>221.47</v>
      </c>
    </row>
    <row r="6123" spans="1:2" x14ac:dyDescent="0.25">
      <c r="A6123" t="s">
        <v>61</v>
      </c>
      <c r="B6123">
        <v>75.900000000000006</v>
      </c>
    </row>
    <row r="6124" spans="1:2" x14ac:dyDescent="0.25">
      <c r="A6124" t="s">
        <v>62</v>
      </c>
      <c r="B6124">
        <v>54.66</v>
      </c>
    </row>
    <row r="6125" spans="1:2" x14ac:dyDescent="0.25">
      <c r="A6125" t="s">
        <v>63</v>
      </c>
      <c r="B6125">
        <v>45.25</v>
      </c>
    </row>
    <row r="6126" spans="1:2" x14ac:dyDescent="0.25">
      <c r="A6126" t="s">
        <v>64</v>
      </c>
      <c r="B6126">
        <v>33.85</v>
      </c>
    </row>
    <row r="6127" spans="1:2" x14ac:dyDescent="0.25">
      <c r="A6127" t="s">
        <v>65</v>
      </c>
      <c r="B6127" t="s">
        <v>4</v>
      </c>
    </row>
    <row r="6128" spans="1:2" x14ac:dyDescent="0.25">
      <c r="A6128" t="s">
        <v>66</v>
      </c>
      <c r="B6128" t="s">
        <v>4</v>
      </c>
    </row>
    <row r="6129" spans="1:2" x14ac:dyDescent="0.25">
      <c r="A6129" t="s">
        <v>67</v>
      </c>
      <c r="B6129" t="s">
        <v>4</v>
      </c>
    </row>
    <row r="6130" spans="1:2" x14ac:dyDescent="0.25">
      <c r="A6130" t="s">
        <v>68</v>
      </c>
      <c r="B6130" t="s">
        <v>4</v>
      </c>
    </row>
    <row r="6131" spans="1:2" x14ac:dyDescent="0.25">
      <c r="A6131" t="s">
        <v>69</v>
      </c>
      <c r="B6131" t="s">
        <v>4</v>
      </c>
    </row>
    <row r="6132" spans="1:2" x14ac:dyDescent="0.25">
      <c r="A6132" t="s">
        <v>70</v>
      </c>
      <c r="B6132">
        <v>6.56</v>
      </c>
    </row>
    <row r="6133" spans="1:2" x14ac:dyDescent="0.25">
      <c r="A6133" t="s">
        <v>71</v>
      </c>
      <c r="B6133">
        <v>4</v>
      </c>
    </row>
    <row r="6134" spans="1:2" x14ac:dyDescent="0.25">
      <c r="A6134" t="s">
        <v>72</v>
      </c>
      <c r="B6134">
        <v>2.74</v>
      </c>
    </row>
    <row r="6135" spans="1:2" x14ac:dyDescent="0.25">
      <c r="A6135" t="s">
        <v>73</v>
      </c>
      <c r="B6135" t="s">
        <v>4</v>
      </c>
    </row>
    <row r="6136" spans="1:2" x14ac:dyDescent="0.25">
      <c r="A6136" t="s">
        <v>74</v>
      </c>
      <c r="B6136">
        <v>2.4700000000000002</v>
      </c>
    </row>
    <row r="6137" spans="1:2" x14ac:dyDescent="0.25">
      <c r="A6137" t="s">
        <v>75</v>
      </c>
      <c r="B6137">
        <v>4.78</v>
      </c>
    </row>
    <row r="6138" spans="1:2" x14ac:dyDescent="0.25">
      <c r="A6138" t="s">
        <v>76</v>
      </c>
      <c r="B6138">
        <v>2.17</v>
      </c>
    </row>
    <row r="6139" spans="1:2" x14ac:dyDescent="0.25">
      <c r="A6139" t="s">
        <v>77</v>
      </c>
      <c r="B6139">
        <v>2.98</v>
      </c>
    </row>
    <row r="6140" spans="1:2" x14ac:dyDescent="0.25">
      <c r="A6140" t="s">
        <v>78</v>
      </c>
      <c r="B6140" t="s">
        <v>4</v>
      </c>
    </row>
    <row r="6141" spans="1:2" x14ac:dyDescent="0.25">
      <c r="A6141" t="s">
        <v>79</v>
      </c>
      <c r="B6141">
        <v>2.34</v>
      </c>
    </row>
    <row r="6142" spans="1:2" x14ac:dyDescent="0.25">
      <c r="A6142" t="s">
        <v>80</v>
      </c>
      <c r="B6142">
        <v>2.16</v>
      </c>
    </row>
    <row r="6143" spans="1:2" x14ac:dyDescent="0.25">
      <c r="A6143" t="s">
        <v>81</v>
      </c>
      <c r="B6143" t="s">
        <v>4</v>
      </c>
    </row>
    <row r="6146" spans="1:2" x14ac:dyDescent="0.25">
      <c r="A6146" t="s">
        <v>0</v>
      </c>
      <c r="B6146" t="s">
        <v>148</v>
      </c>
    </row>
    <row r="6148" spans="1:2" s="1" customFormat="1" x14ac:dyDescent="0.25">
      <c r="A6148" s="1" t="s">
        <v>2</v>
      </c>
      <c r="B6148" s="1" t="s">
        <v>157</v>
      </c>
    </row>
    <row r="6149" spans="1:2" x14ac:dyDescent="0.25">
      <c r="A6149" t="s">
        <v>3</v>
      </c>
      <c r="B6149" t="s">
        <v>4</v>
      </c>
    </row>
    <row r="6150" spans="1:2" x14ac:dyDescent="0.25">
      <c r="A6150" t="s">
        <v>5</v>
      </c>
      <c r="B6150" t="s">
        <v>4</v>
      </c>
    </row>
    <row r="6151" spans="1:2" x14ac:dyDescent="0.25">
      <c r="A6151" t="s">
        <v>6</v>
      </c>
      <c r="B6151" t="s">
        <v>4</v>
      </c>
    </row>
    <row r="6152" spans="1:2" x14ac:dyDescent="0.25">
      <c r="A6152" t="s">
        <v>7</v>
      </c>
      <c r="B6152" t="s">
        <v>4</v>
      </c>
    </row>
    <row r="6153" spans="1:2" x14ac:dyDescent="0.25">
      <c r="A6153" t="s">
        <v>8</v>
      </c>
      <c r="B6153" t="s">
        <v>4</v>
      </c>
    </row>
    <row r="6154" spans="1:2" x14ac:dyDescent="0.25">
      <c r="A6154" t="s">
        <v>9</v>
      </c>
      <c r="B6154">
        <v>1.87</v>
      </c>
    </row>
    <row r="6155" spans="1:2" x14ac:dyDescent="0.25">
      <c r="A6155" t="s">
        <v>10</v>
      </c>
      <c r="B6155" t="s">
        <v>4</v>
      </c>
    </row>
    <row r="6156" spans="1:2" x14ac:dyDescent="0.25">
      <c r="A6156" t="s">
        <v>11</v>
      </c>
      <c r="B6156" t="s">
        <v>4</v>
      </c>
    </row>
    <row r="6157" spans="1:2" x14ac:dyDescent="0.25">
      <c r="A6157" t="s">
        <v>12</v>
      </c>
      <c r="B6157" t="s">
        <v>4</v>
      </c>
    </row>
    <row r="6158" spans="1:2" x14ac:dyDescent="0.25">
      <c r="A6158" t="s">
        <v>13</v>
      </c>
      <c r="B6158" t="s">
        <v>4</v>
      </c>
    </row>
    <row r="6159" spans="1:2" x14ac:dyDescent="0.25">
      <c r="A6159" t="s">
        <v>14</v>
      </c>
      <c r="B6159" t="s">
        <v>4</v>
      </c>
    </row>
    <row r="6160" spans="1:2" x14ac:dyDescent="0.25">
      <c r="A6160" t="s">
        <v>15</v>
      </c>
      <c r="B6160" t="s">
        <v>4</v>
      </c>
    </row>
    <row r="6161" spans="1:2" x14ac:dyDescent="0.25">
      <c r="A6161" t="s">
        <v>16</v>
      </c>
      <c r="B6161" t="s">
        <v>4</v>
      </c>
    </row>
    <row r="6162" spans="1:2" x14ac:dyDescent="0.25">
      <c r="A6162" t="s">
        <v>17</v>
      </c>
      <c r="B6162" t="s">
        <v>4</v>
      </c>
    </row>
    <row r="6163" spans="1:2" x14ac:dyDescent="0.25">
      <c r="A6163" t="s">
        <v>18</v>
      </c>
      <c r="B6163" t="s">
        <v>4</v>
      </c>
    </row>
    <row r="6164" spans="1:2" x14ac:dyDescent="0.25">
      <c r="A6164" t="s">
        <v>19</v>
      </c>
      <c r="B6164" t="s">
        <v>4</v>
      </c>
    </row>
    <row r="6165" spans="1:2" x14ac:dyDescent="0.25">
      <c r="A6165" t="s">
        <v>20</v>
      </c>
      <c r="B6165" t="s">
        <v>4</v>
      </c>
    </row>
    <row r="6166" spans="1:2" x14ac:dyDescent="0.25">
      <c r="A6166" t="s">
        <v>21</v>
      </c>
      <c r="B6166" t="s">
        <v>4</v>
      </c>
    </row>
    <row r="6167" spans="1:2" x14ac:dyDescent="0.25">
      <c r="A6167" t="s">
        <v>22</v>
      </c>
      <c r="B6167" t="s">
        <v>4</v>
      </c>
    </row>
    <row r="6168" spans="1:2" x14ac:dyDescent="0.25">
      <c r="A6168" t="s">
        <v>23</v>
      </c>
      <c r="B6168" t="s">
        <v>4</v>
      </c>
    </row>
    <row r="6169" spans="1:2" x14ac:dyDescent="0.25">
      <c r="A6169" t="s">
        <v>24</v>
      </c>
      <c r="B6169" t="s">
        <v>4</v>
      </c>
    </row>
    <row r="6170" spans="1:2" x14ac:dyDescent="0.25">
      <c r="A6170" t="s">
        <v>25</v>
      </c>
      <c r="B6170" t="s">
        <v>4</v>
      </c>
    </row>
    <row r="6171" spans="1:2" x14ac:dyDescent="0.25">
      <c r="A6171" t="s">
        <v>26</v>
      </c>
      <c r="B6171" t="s">
        <v>4</v>
      </c>
    </row>
    <row r="6172" spans="1:2" x14ac:dyDescent="0.25">
      <c r="A6172" t="s">
        <v>27</v>
      </c>
      <c r="B6172" t="s">
        <v>4</v>
      </c>
    </row>
    <row r="6173" spans="1:2" x14ac:dyDescent="0.25">
      <c r="A6173" t="s">
        <v>28</v>
      </c>
      <c r="B6173" t="s">
        <v>4</v>
      </c>
    </row>
    <row r="6174" spans="1:2" x14ac:dyDescent="0.25">
      <c r="A6174" t="s">
        <v>29</v>
      </c>
      <c r="B6174" t="s">
        <v>4</v>
      </c>
    </row>
    <row r="6175" spans="1:2" x14ac:dyDescent="0.25">
      <c r="A6175" t="s">
        <v>30</v>
      </c>
      <c r="B6175" t="s">
        <v>4</v>
      </c>
    </row>
    <row r="6176" spans="1:2" x14ac:dyDescent="0.25">
      <c r="A6176" t="s">
        <v>31</v>
      </c>
      <c r="B6176" t="s">
        <v>4</v>
      </c>
    </row>
    <row r="6177" spans="1:2" x14ac:dyDescent="0.25">
      <c r="A6177" t="s">
        <v>32</v>
      </c>
      <c r="B6177" t="s">
        <v>4</v>
      </c>
    </row>
    <row r="6178" spans="1:2" x14ac:dyDescent="0.25">
      <c r="A6178" t="s">
        <v>33</v>
      </c>
      <c r="B6178" t="s">
        <v>4</v>
      </c>
    </row>
    <row r="6179" spans="1:2" x14ac:dyDescent="0.25">
      <c r="A6179" t="s">
        <v>34</v>
      </c>
      <c r="B6179" t="s">
        <v>4</v>
      </c>
    </row>
    <row r="6180" spans="1:2" x14ac:dyDescent="0.25">
      <c r="A6180" t="s">
        <v>35</v>
      </c>
      <c r="B6180" t="s">
        <v>4</v>
      </c>
    </row>
    <row r="6181" spans="1:2" x14ac:dyDescent="0.25">
      <c r="A6181" t="s">
        <v>36</v>
      </c>
      <c r="B6181" t="s">
        <v>4</v>
      </c>
    </row>
    <row r="6182" spans="1:2" x14ac:dyDescent="0.25">
      <c r="A6182" t="s">
        <v>37</v>
      </c>
      <c r="B6182" t="s">
        <v>4</v>
      </c>
    </row>
    <row r="6183" spans="1:2" x14ac:dyDescent="0.25">
      <c r="A6183" t="s">
        <v>38</v>
      </c>
      <c r="B6183" t="s">
        <v>4</v>
      </c>
    </row>
    <row r="6184" spans="1:2" x14ac:dyDescent="0.25">
      <c r="A6184" t="s">
        <v>39</v>
      </c>
      <c r="B6184" t="s">
        <v>4</v>
      </c>
    </row>
    <row r="6185" spans="1:2" x14ac:dyDescent="0.25">
      <c r="A6185" t="s">
        <v>40</v>
      </c>
      <c r="B6185" t="s">
        <v>4</v>
      </c>
    </row>
    <row r="6186" spans="1:2" x14ac:dyDescent="0.25">
      <c r="A6186" t="s">
        <v>41</v>
      </c>
      <c r="B6186" t="s">
        <v>4</v>
      </c>
    </row>
    <row r="6187" spans="1:2" x14ac:dyDescent="0.25">
      <c r="A6187" t="s">
        <v>42</v>
      </c>
      <c r="B6187" t="s">
        <v>4</v>
      </c>
    </row>
    <row r="6188" spans="1:2" x14ac:dyDescent="0.25">
      <c r="A6188" t="s">
        <v>43</v>
      </c>
      <c r="B6188" t="s">
        <v>4</v>
      </c>
    </row>
    <row r="6189" spans="1:2" x14ac:dyDescent="0.25">
      <c r="A6189" t="s">
        <v>44</v>
      </c>
      <c r="B6189" t="s">
        <v>4</v>
      </c>
    </row>
    <row r="6190" spans="1:2" x14ac:dyDescent="0.25">
      <c r="A6190" t="s">
        <v>45</v>
      </c>
      <c r="B6190" t="s">
        <v>4</v>
      </c>
    </row>
    <row r="6191" spans="1:2" x14ac:dyDescent="0.25">
      <c r="A6191" t="s">
        <v>46</v>
      </c>
      <c r="B6191" t="s">
        <v>4</v>
      </c>
    </row>
    <row r="6192" spans="1:2" x14ac:dyDescent="0.25">
      <c r="A6192" t="s">
        <v>47</v>
      </c>
      <c r="B6192" t="s">
        <v>4</v>
      </c>
    </row>
    <row r="6193" spans="1:2" x14ac:dyDescent="0.25">
      <c r="A6193" t="s">
        <v>48</v>
      </c>
      <c r="B6193" t="s">
        <v>4</v>
      </c>
    </row>
    <row r="6194" spans="1:2" x14ac:dyDescent="0.25">
      <c r="A6194" t="s">
        <v>49</v>
      </c>
      <c r="B6194" t="s">
        <v>4</v>
      </c>
    </row>
    <row r="6195" spans="1:2" x14ac:dyDescent="0.25">
      <c r="A6195" t="s">
        <v>50</v>
      </c>
      <c r="B6195" t="s">
        <v>4</v>
      </c>
    </row>
    <row r="6196" spans="1:2" x14ac:dyDescent="0.25">
      <c r="A6196" t="s">
        <v>51</v>
      </c>
      <c r="B6196" t="s">
        <v>4</v>
      </c>
    </row>
    <row r="6197" spans="1:2" x14ac:dyDescent="0.25">
      <c r="A6197" t="s">
        <v>52</v>
      </c>
      <c r="B6197" t="s">
        <v>4</v>
      </c>
    </row>
    <row r="6198" spans="1:2" x14ac:dyDescent="0.25">
      <c r="A6198" t="s">
        <v>53</v>
      </c>
      <c r="B6198">
        <v>13.9</v>
      </c>
    </row>
    <row r="6199" spans="1:2" x14ac:dyDescent="0.25">
      <c r="A6199" t="s">
        <v>54</v>
      </c>
      <c r="B6199">
        <v>2.23</v>
      </c>
    </row>
    <row r="6200" spans="1:2" x14ac:dyDescent="0.25">
      <c r="A6200" t="s">
        <v>55</v>
      </c>
      <c r="B6200">
        <v>70.77</v>
      </c>
    </row>
    <row r="6201" spans="1:2" x14ac:dyDescent="0.25">
      <c r="A6201" t="s">
        <v>56</v>
      </c>
      <c r="B6201" t="s">
        <v>4</v>
      </c>
    </row>
    <row r="6202" spans="1:2" x14ac:dyDescent="0.25">
      <c r="A6202" t="s">
        <v>57</v>
      </c>
      <c r="B6202" t="s">
        <v>4</v>
      </c>
    </row>
    <row r="6203" spans="1:2" x14ac:dyDescent="0.25">
      <c r="A6203" t="s">
        <v>58</v>
      </c>
      <c r="B6203">
        <v>1.85</v>
      </c>
    </row>
    <row r="6204" spans="1:2" x14ac:dyDescent="0.25">
      <c r="A6204" t="s">
        <v>59</v>
      </c>
      <c r="B6204">
        <v>32.909999999999997</v>
      </c>
    </row>
    <row r="6205" spans="1:2" x14ac:dyDescent="0.25">
      <c r="A6205" t="s">
        <v>60</v>
      </c>
      <c r="B6205">
        <v>16.329999999999998</v>
      </c>
    </row>
    <row r="6206" spans="1:2" x14ac:dyDescent="0.25">
      <c r="A6206" t="s">
        <v>61</v>
      </c>
      <c r="B6206">
        <v>12.27</v>
      </c>
    </row>
    <row r="6207" spans="1:2" x14ac:dyDescent="0.25">
      <c r="A6207" t="s">
        <v>62</v>
      </c>
      <c r="B6207">
        <v>9.32</v>
      </c>
    </row>
    <row r="6208" spans="1:2" x14ac:dyDescent="0.25">
      <c r="A6208" t="s">
        <v>63</v>
      </c>
      <c r="B6208">
        <v>8.82</v>
      </c>
    </row>
    <row r="6209" spans="1:2" x14ac:dyDescent="0.25">
      <c r="A6209" t="s">
        <v>64</v>
      </c>
      <c r="B6209">
        <v>12.28</v>
      </c>
    </row>
    <row r="6210" spans="1:2" x14ac:dyDescent="0.25">
      <c r="A6210" t="s">
        <v>65</v>
      </c>
      <c r="B6210" t="s">
        <v>4</v>
      </c>
    </row>
    <row r="6211" spans="1:2" x14ac:dyDescent="0.25">
      <c r="A6211" t="s">
        <v>66</v>
      </c>
      <c r="B6211" t="s">
        <v>4</v>
      </c>
    </row>
    <row r="6212" spans="1:2" x14ac:dyDescent="0.25">
      <c r="A6212" t="s">
        <v>67</v>
      </c>
      <c r="B6212" t="s">
        <v>4</v>
      </c>
    </row>
    <row r="6213" spans="1:2" x14ac:dyDescent="0.25">
      <c r="A6213" t="s">
        <v>68</v>
      </c>
      <c r="B6213">
        <v>156.84</v>
      </c>
    </row>
    <row r="6214" spans="1:2" x14ac:dyDescent="0.25">
      <c r="A6214" t="s">
        <v>69</v>
      </c>
      <c r="B6214" t="s">
        <v>4</v>
      </c>
    </row>
    <row r="6215" spans="1:2" x14ac:dyDescent="0.25">
      <c r="A6215" t="s">
        <v>70</v>
      </c>
      <c r="B6215">
        <v>11.28</v>
      </c>
    </row>
    <row r="6216" spans="1:2" x14ac:dyDescent="0.25">
      <c r="A6216" t="s">
        <v>71</v>
      </c>
      <c r="B6216">
        <v>35.729999999999997</v>
      </c>
    </row>
    <row r="6217" spans="1:2" x14ac:dyDescent="0.25">
      <c r="A6217" t="s">
        <v>72</v>
      </c>
      <c r="B6217">
        <v>23.97</v>
      </c>
    </row>
    <row r="6218" spans="1:2" x14ac:dyDescent="0.25">
      <c r="A6218" t="s">
        <v>73</v>
      </c>
      <c r="B6218" t="s">
        <v>4</v>
      </c>
    </row>
    <row r="6219" spans="1:2" x14ac:dyDescent="0.25">
      <c r="A6219" t="s">
        <v>74</v>
      </c>
      <c r="B6219">
        <v>32.42</v>
      </c>
    </row>
    <row r="6220" spans="1:2" x14ac:dyDescent="0.25">
      <c r="A6220" t="s">
        <v>75</v>
      </c>
      <c r="B6220">
        <v>11.7</v>
      </c>
    </row>
    <row r="6221" spans="1:2" x14ac:dyDescent="0.25">
      <c r="A6221" t="s">
        <v>76</v>
      </c>
      <c r="B6221">
        <v>22.13</v>
      </c>
    </row>
    <row r="6222" spans="1:2" x14ac:dyDescent="0.25">
      <c r="A6222" t="s">
        <v>77</v>
      </c>
      <c r="B6222">
        <v>15.12</v>
      </c>
    </row>
    <row r="6223" spans="1:2" x14ac:dyDescent="0.25">
      <c r="A6223" t="s">
        <v>78</v>
      </c>
      <c r="B6223" t="s">
        <v>4</v>
      </c>
    </row>
    <row r="6224" spans="1:2" x14ac:dyDescent="0.25">
      <c r="A6224" t="s">
        <v>79</v>
      </c>
      <c r="B6224" t="s">
        <v>4</v>
      </c>
    </row>
    <row r="6225" spans="1:2" x14ac:dyDescent="0.25">
      <c r="A6225" t="s">
        <v>80</v>
      </c>
      <c r="B6225" t="s">
        <v>4</v>
      </c>
    </row>
    <row r="6226" spans="1:2" x14ac:dyDescent="0.25">
      <c r="A6226" t="s">
        <v>81</v>
      </c>
      <c r="B6226" t="s">
        <v>4</v>
      </c>
    </row>
    <row r="6229" spans="1:2" x14ac:dyDescent="0.25">
      <c r="A6229" t="s">
        <v>0</v>
      </c>
      <c r="B6229" t="s">
        <v>149</v>
      </c>
    </row>
    <row r="6231" spans="1:2" s="1" customFormat="1" x14ac:dyDescent="0.25">
      <c r="A6231" s="1" t="s">
        <v>2</v>
      </c>
      <c r="B6231" s="1" t="s">
        <v>157</v>
      </c>
    </row>
    <row r="6232" spans="1:2" x14ac:dyDescent="0.25">
      <c r="A6232" t="s">
        <v>3</v>
      </c>
      <c r="B6232" t="s">
        <v>4</v>
      </c>
    </row>
    <row r="6233" spans="1:2" x14ac:dyDescent="0.25">
      <c r="A6233" t="s">
        <v>5</v>
      </c>
      <c r="B6233" t="s">
        <v>4</v>
      </c>
    </row>
    <row r="6234" spans="1:2" x14ac:dyDescent="0.25">
      <c r="A6234" t="s">
        <v>6</v>
      </c>
      <c r="B6234" t="s">
        <v>4</v>
      </c>
    </row>
    <row r="6235" spans="1:2" x14ac:dyDescent="0.25">
      <c r="A6235" t="s">
        <v>7</v>
      </c>
      <c r="B6235" t="s">
        <v>4</v>
      </c>
    </row>
    <row r="6236" spans="1:2" x14ac:dyDescent="0.25">
      <c r="A6236" t="s">
        <v>8</v>
      </c>
      <c r="B6236" t="s">
        <v>4</v>
      </c>
    </row>
    <row r="6237" spans="1:2" x14ac:dyDescent="0.25">
      <c r="A6237" t="s">
        <v>9</v>
      </c>
      <c r="B6237" t="s">
        <v>4</v>
      </c>
    </row>
    <row r="6238" spans="1:2" x14ac:dyDescent="0.25">
      <c r="A6238" t="s">
        <v>10</v>
      </c>
      <c r="B6238" t="s">
        <v>4</v>
      </c>
    </row>
    <row r="6239" spans="1:2" x14ac:dyDescent="0.25">
      <c r="A6239" t="s">
        <v>11</v>
      </c>
      <c r="B6239" t="s">
        <v>4</v>
      </c>
    </row>
    <row r="6240" spans="1:2" x14ac:dyDescent="0.25">
      <c r="A6240" t="s">
        <v>12</v>
      </c>
      <c r="B6240" t="s">
        <v>4</v>
      </c>
    </row>
    <row r="6241" spans="1:2" x14ac:dyDescent="0.25">
      <c r="A6241" t="s">
        <v>13</v>
      </c>
      <c r="B6241" t="s">
        <v>4</v>
      </c>
    </row>
    <row r="6242" spans="1:2" x14ac:dyDescent="0.25">
      <c r="A6242" t="s">
        <v>14</v>
      </c>
      <c r="B6242" t="s">
        <v>4</v>
      </c>
    </row>
    <row r="6243" spans="1:2" x14ac:dyDescent="0.25">
      <c r="A6243" t="s">
        <v>15</v>
      </c>
      <c r="B6243" t="s">
        <v>4</v>
      </c>
    </row>
    <row r="6244" spans="1:2" x14ac:dyDescent="0.25">
      <c r="A6244" t="s">
        <v>16</v>
      </c>
      <c r="B6244" t="s">
        <v>4</v>
      </c>
    </row>
    <row r="6245" spans="1:2" x14ac:dyDescent="0.25">
      <c r="A6245" t="s">
        <v>17</v>
      </c>
      <c r="B6245" t="s">
        <v>4</v>
      </c>
    </row>
    <row r="6246" spans="1:2" x14ac:dyDescent="0.25">
      <c r="A6246" t="s">
        <v>18</v>
      </c>
      <c r="B6246" t="s">
        <v>4</v>
      </c>
    </row>
    <row r="6247" spans="1:2" x14ac:dyDescent="0.25">
      <c r="A6247" t="s">
        <v>19</v>
      </c>
      <c r="B6247" t="s">
        <v>4</v>
      </c>
    </row>
    <row r="6248" spans="1:2" x14ac:dyDescent="0.25">
      <c r="A6248" t="s">
        <v>20</v>
      </c>
      <c r="B6248" t="s">
        <v>4</v>
      </c>
    </row>
    <row r="6249" spans="1:2" x14ac:dyDescent="0.25">
      <c r="A6249" t="s">
        <v>21</v>
      </c>
      <c r="B6249" t="s">
        <v>4</v>
      </c>
    </row>
    <row r="6250" spans="1:2" x14ac:dyDescent="0.25">
      <c r="A6250" t="s">
        <v>22</v>
      </c>
      <c r="B6250" t="s">
        <v>4</v>
      </c>
    </row>
    <row r="6251" spans="1:2" x14ac:dyDescent="0.25">
      <c r="A6251" t="s">
        <v>23</v>
      </c>
      <c r="B6251" t="s">
        <v>4</v>
      </c>
    </row>
    <row r="6252" spans="1:2" x14ac:dyDescent="0.25">
      <c r="A6252" t="s">
        <v>24</v>
      </c>
      <c r="B6252" t="s">
        <v>4</v>
      </c>
    </row>
    <row r="6253" spans="1:2" x14ac:dyDescent="0.25">
      <c r="A6253" t="s">
        <v>25</v>
      </c>
      <c r="B6253" t="s">
        <v>4</v>
      </c>
    </row>
    <row r="6254" spans="1:2" x14ac:dyDescent="0.25">
      <c r="A6254" t="s">
        <v>26</v>
      </c>
      <c r="B6254" t="s">
        <v>4</v>
      </c>
    </row>
    <row r="6255" spans="1:2" x14ac:dyDescent="0.25">
      <c r="A6255" t="s">
        <v>27</v>
      </c>
      <c r="B6255" t="s">
        <v>4</v>
      </c>
    </row>
    <row r="6256" spans="1:2" x14ac:dyDescent="0.25">
      <c r="A6256" t="s">
        <v>28</v>
      </c>
      <c r="B6256" t="s">
        <v>4</v>
      </c>
    </row>
    <row r="6257" spans="1:2" x14ac:dyDescent="0.25">
      <c r="A6257" t="s">
        <v>29</v>
      </c>
      <c r="B6257" t="s">
        <v>4</v>
      </c>
    </row>
    <row r="6258" spans="1:2" x14ac:dyDescent="0.25">
      <c r="A6258" t="s">
        <v>30</v>
      </c>
      <c r="B6258" t="s">
        <v>4</v>
      </c>
    </row>
    <row r="6259" spans="1:2" x14ac:dyDescent="0.25">
      <c r="A6259" t="s">
        <v>31</v>
      </c>
      <c r="B6259" t="s">
        <v>4</v>
      </c>
    </row>
    <row r="6260" spans="1:2" x14ac:dyDescent="0.25">
      <c r="A6260" t="s">
        <v>32</v>
      </c>
      <c r="B6260" t="s">
        <v>4</v>
      </c>
    </row>
    <row r="6261" spans="1:2" x14ac:dyDescent="0.25">
      <c r="A6261" t="s">
        <v>33</v>
      </c>
      <c r="B6261" t="s">
        <v>4</v>
      </c>
    </row>
    <row r="6262" spans="1:2" x14ac:dyDescent="0.25">
      <c r="A6262" t="s">
        <v>34</v>
      </c>
      <c r="B6262" t="s">
        <v>4</v>
      </c>
    </row>
    <row r="6263" spans="1:2" x14ac:dyDescent="0.25">
      <c r="A6263" t="s">
        <v>35</v>
      </c>
      <c r="B6263" t="s">
        <v>4</v>
      </c>
    </row>
    <row r="6264" spans="1:2" x14ac:dyDescent="0.25">
      <c r="A6264" t="s">
        <v>36</v>
      </c>
      <c r="B6264" t="s">
        <v>4</v>
      </c>
    </row>
    <row r="6265" spans="1:2" x14ac:dyDescent="0.25">
      <c r="A6265" t="s">
        <v>37</v>
      </c>
      <c r="B6265" t="s">
        <v>4</v>
      </c>
    </row>
    <row r="6266" spans="1:2" x14ac:dyDescent="0.25">
      <c r="A6266" t="s">
        <v>38</v>
      </c>
      <c r="B6266" t="s">
        <v>4</v>
      </c>
    </row>
    <row r="6267" spans="1:2" x14ac:dyDescent="0.25">
      <c r="A6267" t="s">
        <v>39</v>
      </c>
      <c r="B6267" t="s">
        <v>4</v>
      </c>
    </row>
    <row r="6268" spans="1:2" x14ac:dyDescent="0.25">
      <c r="A6268" t="s">
        <v>40</v>
      </c>
      <c r="B6268" t="s">
        <v>4</v>
      </c>
    </row>
    <row r="6269" spans="1:2" x14ac:dyDescent="0.25">
      <c r="A6269" t="s">
        <v>41</v>
      </c>
      <c r="B6269" t="s">
        <v>4</v>
      </c>
    </row>
    <row r="6270" spans="1:2" x14ac:dyDescent="0.25">
      <c r="A6270" t="s">
        <v>42</v>
      </c>
      <c r="B6270" t="s">
        <v>4</v>
      </c>
    </row>
    <row r="6271" spans="1:2" x14ac:dyDescent="0.25">
      <c r="A6271" t="s">
        <v>43</v>
      </c>
      <c r="B6271" t="s">
        <v>4</v>
      </c>
    </row>
    <row r="6272" spans="1:2" x14ac:dyDescent="0.25">
      <c r="A6272" t="s">
        <v>44</v>
      </c>
      <c r="B6272" t="s">
        <v>4</v>
      </c>
    </row>
    <row r="6273" spans="1:2" x14ac:dyDescent="0.25">
      <c r="A6273" t="s">
        <v>45</v>
      </c>
      <c r="B6273" t="s">
        <v>4</v>
      </c>
    </row>
    <row r="6274" spans="1:2" x14ac:dyDescent="0.25">
      <c r="A6274" t="s">
        <v>46</v>
      </c>
      <c r="B6274" t="s">
        <v>4</v>
      </c>
    </row>
    <row r="6275" spans="1:2" x14ac:dyDescent="0.25">
      <c r="A6275" t="s">
        <v>47</v>
      </c>
      <c r="B6275" t="s">
        <v>4</v>
      </c>
    </row>
    <row r="6276" spans="1:2" x14ac:dyDescent="0.25">
      <c r="A6276" t="s">
        <v>48</v>
      </c>
      <c r="B6276" t="s">
        <v>4</v>
      </c>
    </row>
    <row r="6277" spans="1:2" x14ac:dyDescent="0.25">
      <c r="A6277" t="s">
        <v>49</v>
      </c>
      <c r="B6277" t="s">
        <v>4</v>
      </c>
    </row>
    <row r="6278" spans="1:2" x14ac:dyDescent="0.25">
      <c r="A6278" t="s">
        <v>50</v>
      </c>
      <c r="B6278" t="s">
        <v>4</v>
      </c>
    </row>
    <row r="6279" spans="1:2" x14ac:dyDescent="0.25">
      <c r="A6279" t="s">
        <v>51</v>
      </c>
      <c r="B6279" t="s">
        <v>4</v>
      </c>
    </row>
    <row r="6280" spans="1:2" x14ac:dyDescent="0.25">
      <c r="A6280" t="s">
        <v>52</v>
      </c>
      <c r="B6280" t="s">
        <v>4</v>
      </c>
    </row>
    <row r="6281" spans="1:2" x14ac:dyDescent="0.25">
      <c r="A6281" t="s">
        <v>53</v>
      </c>
      <c r="B6281">
        <v>10.68</v>
      </c>
    </row>
    <row r="6282" spans="1:2" x14ac:dyDescent="0.25">
      <c r="A6282" t="s">
        <v>54</v>
      </c>
      <c r="B6282">
        <v>1.52</v>
      </c>
    </row>
    <row r="6283" spans="1:2" x14ac:dyDescent="0.25">
      <c r="A6283" t="s">
        <v>55</v>
      </c>
      <c r="B6283">
        <v>69.06</v>
      </c>
    </row>
    <row r="6284" spans="1:2" x14ac:dyDescent="0.25">
      <c r="A6284" t="s">
        <v>56</v>
      </c>
      <c r="B6284" t="s">
        <v>4</v>
      </c>
    </row>
    <row r="6285" spans="1:2" x14ac:dyDescent="0.25">
      <c r="A6285" t="s">
        <v>57</v>
      </c>
      <c r="B6285" t="s">
        <v>4</v>
      </c>
    </row>
    <row r="6286" spans="1:2" x14ac:dyDescent="0.25">
      <c r="A6286" t="s">
        <v>58</v>
      </c>
      <c r="B6286" t="s">
        <v>4</v>
      </c>
    </row>
    <row r="6287" spans="1:2" x14ac:dyDescent="0.25">
      <c r="A6287" t="s">
        <v>59</v>
      </c>
      <c r="B6287">
        <v>23.12</v>
      </c>
    </row>
    <row r="6288" spans="1:2" x14ac:dyDescent="0.25">
      <c r="A6288" t="s">
        <v>60</v>
      </c>
      <c r="B6288">
        <v>8.7100000000000009</v>
      </c>
    </row>
    <row r="6289" spans="1:2" x14ac:dyDescent="0.25">
      <c r="A6289" t="s">
        <v>61</v>
      </c>
      <c r="B6289">
        <v>7.53</v>
      </c>
    </row>
    <row r="6290" spans="1:2" x14ac:dyDescent="0.25">
      <c r="A6290" t="s">
        <v>62</v>
      </c>
      <c r="B6290">
        <v>5.45</v>
      </c>
    </row>
    <row r="6291" spans="1:2" x14ac:dyDescent="0.25">
      <c r="A6291" t="s">
        <v>63</v>
      </c>
      <c r="B6291">
        <v>5.16</v>
      </c>
    </row>
    <row r="6292" spans="1:2" x14ac:dyDescent="0.25">
      <c r="A6292" t="s">
        <v>64</v>
      </c>
      <c r="B6292">
        <v>7.14</v>
      </c>
    </row>
    <row r="6293" spans="1:2" x14ac:dyDescent="0.25">
      <c r="A6293" t="s">
        <v>65</v>
      </c>
      <c r="B6293" t="s">
        <v>4</v>
      </c>
    </row>
    <row r="6294" spans="1:2" x14ac:dyDescent="0.25">
      <c r="A6294" t="s">
        <v>66</v>
      </c>
      <c r="B6294" t="s">
        <v>4</v>
      </c>
    </row>
    <row r="6295" spans="1:2" x14ac:dyDescent="0.25">
      <c r="A6295" t="s">
        <v>67</v>
      </c>
      <c r="B6295" t="s">
        <v>4</v>
      </c>
    </row>
    <row r="6296" spans="1:2" x14ac:dyDescent="0.25">
      <c r="A6296" t="s">
        <v>68</v>
      </c>
      <c r="B6296">
        <v>112.83</v>
      </c>
    </row>
    <row r="6297" spans="1:2" x14ac:dyDescent="0.25">
      <c r="A6297" t="s">
        <v>69</v>
      </c>
      <c r="B6297" t="s">
        <v>4</v>
      </c>
    </row>
    <row r="6298" spans="1:2" x14ac:dyDescent="0.25">
      <c r="A6298" t="s">
        <v>70</v>
      </c>
      <c r="B6298">
        <v>6.49</v>
      </c>
    </row>
    <row r="6299" spans="1:2" x14ac:dyDescent="0.25">
      <c r="A6299" t="s">
        <v>71</v>
      </c>
      <c r="B6299">
        <v>20.65</v>
      </c>
    </row>
    <row r="6300" spans="1:2" x14ac:dyDescent="0.25">
      <c r="A6300" t="s">
        <v>72</v>
      </c>
      <c r="B6300">
        <v>12.27</v>
      </c>
    </row>
    <row r="6301" spans="1:2" x14ac:dyDescent="0.25">
      <c r="A6301" t="s">
        <v>73</v>
      </c>
      <c r="B6301" t="s">
        <v>4</v>
      </c>
    </row>
    <row r="6302" spans="1:2" x14ac:dyDescent="0.25">
      <c r="A6302" t="s">
        <v>74</v>
      </c>
      <c r="B6302">
        <v>17.920000000000002</v>
      </c>
    </row>
    <row r="6303" spans="1:2" x14ac:dyDescent="0.25">
      <c r="A6303" t="s">
        <v>75</v>
      </c>
      <c r="B6303">
        <v>6.44</v>
      </c>
    </row>
    <row r="6304" spans="1:2" x14ac:dyDescent="0.25">
      <c r="A6304" t="s">
        <v>76</v>
      </c>
      <c r="B6304">
        <v>10.42</v>
      </c>
    </row>
    <row r="6305" spans="1:2" x14ac:dyDescent="0.25">
      <c r="A6305" t="s">
        <v>77</v>
      </c>
      <c r="B6305">
        <v>8.07</v>
      </c>
    </row>
    <row r="6306" spans="1:2" x14ac:dyDescent="0.25">
      <c r="A6306" t="s">
        <v>78</v>
      </c>
      <c r="B6306" t="s">
        <v>4</v>
      </c>
    </row>
    <row r="6307" spans="1:2" x14ac:dyDescent="0.25">
      <c r="A6307" t="s">
        <v>79</v>
      </c>
      <c r="B6307" t="s">
        <v>4</v>
      </c>
    </row>
    <row r="6308" spans="1:2" x14ac:dyDescent="0.25">
      <c r="A6308" t="s">
        <v>80</v>
      </c>
      <c r="B6308" t="s">
        <v>4</v>
      </c>
    </row>
    <row r="6309" spans="1:2" x14ac:dyDescent="0.25">
      <c r="A6309" t="s">
        <v>81</v>
      </c>
      <c r="B6309" t="s">
        <v>4</v>
      </c>
    </row>
    <row r="6312" spans="1:2" x14ac:dyDescent="0.25">
      <c r="A6312" t="s">
        <v>0</v>
      </c>
      <c r="B6312" t="s">
        <v>150</v>
      </c>
    </row>
    <row r="6314" spans="1:2" s="1" customFormat="1" x14ac:dyDescent="0.25">
      <c r="A6314" s="1" t="s">
        <v>2</v>
      </c>
      <c r="B6314" s="1" t="s">
        <v>157</v>
      </c>
    </row>
    <row r="6315" spans="1:2" x14ac:dyDescent="0.25">
      <c r="A6315" t="s">
        <v>3</v>
      </c>
      <c r="B6315" t="s">
        <v>4</v>
      </c>
    </row>
    <row r="6316" spans="1:2" x14ac:dyDescent="0.25">
      <c r="A6316" t="s">
        <v>5</v>
      </c>
      <c r="B6316" t="s">
        <v>4</v>
      </c>
    </row>
    <row r="6317" spans="1:2" x14ac:dyDescent="0.25">
      <c r="A6317" t="s">
        <v>6</v>
      </c>
      <c r="B6317" t="s">
        <v>4</v>
      </c>
    </row>
    <row r="6318" spans="1:2" x14ac:dyDescent="0.25">
      <c r="A6318" t="s">
        <v>7</v>
      </c>
      <c r="B6318" t="s">
        <v>4</v>
      </c>
    </row>
    <row r="6319" spans="1:2" x14ac:dyDescent="0.25">
      <c r="A6319" t="s">
        <v>8</v>
      </c>
      <c r="B6319" t="s">
        <v>4</v>
      </c>
    </row>
    <row r="6320" spans="1:2" x14ac:dyDescent="0.25">
      <c r="A6320" t="s">
        <v>9</v>
      </c>
      <c r="B6320" t="s">
        <v>4</v>
      </c>
    </row>
    <row r="6321" spans="1:2" x14ac:dyDescent="0.25">
      <c r="A6321" t="s">
        <v>10</v>
      </c>
      <c r="B6321" t="s">
        <v>4</v>
      </c>
    </row>
    <row r="6322" spans="1:2" x14ac:dyDescent="0.25">
      <c r="A6322" t="s">
        <v>11</v>
      </c>
      <c r="B6322" t="s">
        <v>4</v>
      </c>
    </row>
    <row r="6323" spans="1:2" x14ac:dyDescent="0.25">
      <c r="A6323" t="s">
        <v>12</v>
      </c>
      <c r="B6323" t="s">
        <v>4</v>
      </c>
    </row>
    <row r="6324" spans="1:2" x14ac:dyDescent="0.25">
      <c r="A6324" t="s">
        <v>13</v>
      </c>
      <c r="B6324" t="s">
        <v>4</v>
      </c>
    </row>
    <row r="6325" spans="1:2" x14ac:dyDescent="0.25">
      <c r="A6325" t="s">
        <v>14</v>
      </c>
      <c r="B6325" t="s">
        <v>4</v>
      </c>
    </row>
    <row r="6326" spans="1:2" x14ac:dyDescent="0.25">
      <c r="A6326" t="s">
        <v>15</v>
      </c>
      <c r="B6326" t="s">
        <v>4</v>
      </c>
    </row>
    <row r="6327" spans="1:2" x14ac:dyDescent="0.25">
      <c r="A6327" t="s">
        <v>16</v>
      </c>
      <c r="B6327" t="s">
        <v>4</v>
      </c>
    </row>
    <row r="6328" spans="1:2" x14ac:dyDescent="0.25">
      <c r="A6328" t="s">
        <v>17</v>
      </c>
      <c r="B6328" t="s">
        <v>4</v>
      </c>
    </row>
    <row r="6329" spans="1:2" x14ac:dyDescent="0.25">
      <c r="A6329" t="s">
        <v>18</v>
      </c>
      <c r="B6329" t="s">
        <v>4</v>
      </c>
    </row>
    <row r="6330" spans="1:2" x14ac:dyDescent="0.25">
      <c r="A6330" t="s">
        <v>19</v>
      </c>
      <c r="B6330" t="s">
        <v>4</v>
      </c>
    </row>
    <row r="6331" spans="1:2" x14ac:dyDescent="0.25">
      <c r="A6331" t="s">
        <v>20</v>
      </c>
      <c r="B6331" t="s">
        <v>4</v>
      </c>
    </row>
    <row r="6332" spans="1:2" x14ac:dyDescent="0.25">
      <c r="A6332" t="s">
        <v>21</v>
      </c>
      <c r="B6332" t="s">
        <v>4</v>
      </c>
    </row>
    <row r="6333" spans="1:2" x14ac:dyDescent="0.25">
      <c r="A6333" t="s">
        <v>22</v>
      </c>
      <c r="B6333" t="s">
        <v>4</v>
      </c>
    </row>
    <row r="6334" spans="1:2" x14ac:dyDescent="0.25">
      <c r="A6334" t="s">
        <v>23</v>
      </c>
      <c r="B6334" t="s">
        <v>4</v>
      </c>
    </row>
    <row r="6335" spans="1:2" x14ac:dyDescent="0.25">
      <c r="A6335" t="s">
        <v>24</v>
      </c>
      <c r="B6335" t="s">
        <v>4</v>
      </c>
    </row>
    <row r="6336" spans="1:2" x14ac:dyDescent="0.25">
      <c r="A6336" t="s">
        <v>25</v>
      </c>
      <c r="B6336" t="s">
        <v>4</v>
      </c>
    </row>
    <row r="6337" spans="1:2" x14ac:dyDescent="0.25">
      <c r="A6337" t="s">
        <v>26</v>
      </c>
      <c r="B6337" t="s">
        <v>4</v>
      </c>
    </row>
    <row r="6338" spans="1:2" x14ac:dyDescent="0.25">
      <c r="A6338" t="s">
        <v>27</v>
      </c>
      <c r="B6338" t="s">
        <v>4</v>
      </c>
    </row>
    <row r="6339" spans="1:2" x14ac:dyDescent="0.25">
      <c r="A6339" t="s">
        <v>28</v>
      </c>
      <c r="B6339" t="s">
        <v>4</v>
      </c>
    </row>
    <row r="6340" spans="1:2" x14ac:dyDescent="0.25">
      <c r="A6340" t="s">
        <v>29</v>
      </c>
      <c r="B6340" t="s">
        <v>4</v>
      </c>
    </row>
    <row r="6341" spans="1:2" x14ac:dyDescent="0.25">
      <c r="A6341" t="s">
        <v>30</v>
      </c>
      <c r="B6341" t="s">
        <v>4</v>
      </c>
    </row>
    <row r="6342" spans="1:2" x14ac:dyDescent="0.25">
      <c r="A6342" t="s">
        <v>31</v>
      </c>
      <c r="B6342" t="s">
        <v>4</v>
      </c>
    </row>
    <row r="6343" spans="1:2" x14ac:dyDescent="0.25">
      <c r="A6343" t="s">
        <v>32</v>
      </c>
      <c r="B6343" t="s">
        <v>4</v>
      </c>
    </row>
    <row r="6344" spans="1:2" x14ac:dyDescent="0.25">
      <c r="A6344" t="s">
        <v>33</v>
      </c>
      <c r="B6344" t="s">
        <v>4</v>
      </c>
    </row>
    <row r="6345" spans="1:2" x14ac:dyDescent="0.25">
      <c r="A6345" t="s">
        <v>34</v>
      </c>
      <c r="B6345" t="s">
        <v>4</v>
      </c>
    </row>
    <row r="6346" spans="1:2" x14ac:dyDescent="0.25">
      <c r="A6346" t="s">
        <v>35</v>
      </c>
      <c r="B6346" t="s">
        <v>4</v>
      </c>
    </row>
    <row r="6347" spans="1:2" x14ac:dyDescent="0.25">
      <c r="A6347" t="s">
        <v>36</v>
      </c>
      <c r="B6347" t="s">
        <v>4</v>
      </c>
    </row>
    <row r="6348" spans="1:2" x14ac:dyDescent="0.25">
      <c r="A6348" t="s">
        <v>37</v>
      </c>
      <c r="B6348" t="s">
        <v>4</v>
      </c>
    </row>
    <row r="6349" spans="1:2" x14ac:dyDescent="0.25">
      <c r="A6349" t="s">
        <v>38</v>
      </c>
      <c r="B6349" t="s">
        <v>4</v>
      </c>
    </row>
    <row r="6350" spans="1:2" x14ac:dyDescent="0.25">
      <c r="A6350" t="s">
        <v>39</v>
      </c>
      <c r="B6350" t="s">
        <v>4</v>
      </c>
    </row>
    <row r="6351" spans="1:2" x14ac:dyDescent="0.25">
      <c r="A6351" t="s">
        <v>40</v>
      </c>
      <c r="B6351" t="s">
        <v>4</v>
      </c>
    </row>
    <row r="6352" spans="1:2" x14ac:dyDescent="0.25">
      <c r="A6352" t="s">
        <v>41</v>
      </c>
      <c r="B6352" t="s">
        <v>4</v>
      </c>
    </row>
    <row r="6353" spans="1:2" x14ac:dyDescent="0.25">
      <c r="A6353" t="s">
        <v>42</v>
      </c>
      <c r="B6353" t="s">
        <v>4</v>
      </c>
    </row>
    <row r="6354" spans="1:2" x14ac:dyDescent="0.25">
      <c r="A6354" t="s">
        <v>43</v>
      </c>
      <c r="B6354" t="s">
        <v>4</v>
      </c>
    </row>
    <row r="6355" spans="1:2" x14ac:dyDescent="0.25">
      <c r="A6355" t="s">
        <v>44</v>
      </c>
      <c r="B6355" t="s">
        <v>4</v>
      </c>
    </row>
    <row r="6356" spans="1:2" x14ac:dyDescent="0.25">
      <c r="A6356" t="s">
        <v>45</v>
      </c>
      <c r="B6356" t="s">
        <v>4</v>
      </c>
    </row>
    <row r="6357" spans="1:2" x14ac:dyDescent="0.25">
      <c r="A6357" t="s">
        <v>46</v>
      </c>
      <c r="B6357" t="s">
        <v>4</v>
      </c>
    </row>
    <row r="6358" spans="1:2" x14ac:dyDescent="0.25">
      <c r="A6358" t="s">
        <v>47</v>
      </c>
      <c r="B6358" t="s">
        <v>4</v>
      </c>
    </row>
    <row r="6359" spans="1:2" x14ac:dyDescent="0.25">
      <c r="A6359" t="s">
        <v>48</v>
      </c>
      <c r="B6359" t="s">
        <v>4</v>
      </c>
    </row>
    <row r="6360" spans="1:2" x14ac:dyDescent="0.25">
      <c r="A6360" t="s">
        <v>49</v>
      </c>
      <c r="B6360" t="s">
        <v>4</v>
      </c>
    </row>
    <row r="6361" spans="1:2" x14ac:dyDescent="0.25">
      <c r="A6361" t="s">
        <v>50</v>
      </c>
      <c r="B6361" t="s">
        <v>4</v>
      </c>
    </row>
    <row r="6362" spans="1:2" x14ac:dyDescent="0.25">
      <c r="A6362" t="s">
        <v>51</v>
      </c>
      <c r="B6362" t="s">
        <v>4</v>
      </c>
    </row>
    <row r="6363" spans="1:2" x14ac:dyDescent="0.25">
      <c r="A6363" t="s">
        <v>52</v>
      </c>
      <c r="B6363" t="s">
        <v>4</v>
      </c>
    </row>
    <row r="6364" spans="1:2" x14ac:dyDescent="0.25">
      <c r="A6364" t="s">
        <v>53</v>
      </c>
      <c r="B6364" t="s">
        <v>4</v>
      </c>
    </row>
    <row r="6365" spans="1:2" x14ac:dyDescent="0.25">
      <c r="A6365" t="s">
        <v>54</v>
      </c>
      <c r="B6365" t="s">
        <v>4</v>
      </c>
    </row>
    <row r="6366" spans="1:2" x14ac:dyDescent="0.25">
      <c r="A6366" t="s">
        <v>55</v>
      </c>
      <c r="B6366" t="s">
        <v>4</v>
      </c>
    </row>
    <row r="6367" spans="1:2" x14ac:dyDescent="0.25">
      <c r="A6367" t="s">
        <v>56</v>
      </c>
      <c r="B6367" t="s">
        <v>4</v>
      </c>
    </row>
    <row r="6368" spans="1:2" x14ac:dyDescent="0.25">
      <c r="A6368" t="s">
        <v>57</v>
      </c>
      <c r="B6368" t="s">
        <v>4</v>
      </c>
    </row>
    <row r="6369" spans="1:2" x14ac:dyDescent="0.25">
      <c r="A6369" t="s">
        <v>58</v>
      </c>
      <c r="B6369" t="s">
        <v>4</v>
      </c>
    </row>
    <row r="6370" spans="1:2" x14ac:dyDescent="0.25">
      <c r="A6370" t="s">
        <v>59</v>
      </c>
      <c r="B6370" t="s">
        <v>4</v>
      </c>
    </row>
    <row r="6371" spans="1:2" x14ac:dyDescent="0.25">
      <c r="A6371" t="s">
        <v>60</v>
      </c>
      <c r="B6371" t="s">
        <v>4</v>
      </c>
    </row>
    <row r="6372" spans="1:2" x14ac:dyDescent="0.25">
      <c r="A6372" t="s">
        <v>61</v>
      </c>
      <c r="B6372" t="s">
        <v>4</v>
      </c>
    </row>
    <row r="6373" spans="1:2" x14ac:dyDescent="0.25">
      <c r="A6373" t="s">
        <v>62</v>
      </c>
      <c r="B6373" t="s">
        <v>4</v>
      </c>
    </row>
    <row r="6374" spans="1:2" x14ac:dyDescent="0.25">
      <c r="A6374" t="s">
        <v>63</v>
      </c>
      <c r="B6374" t="s">
        <v>4</v>
      </c>
    </row>
    <row r="6375" spans="1:2" x14ac:dyDescent="0.25">
      <c r="A6375" t="s">
        <v>64</v>
      </c>
      <c r="B6375" t="s">
        <v>4</v>
      </c>
    </row>
    <row r="6376" spans="1:2" x14ac:dyDescent="0.25">
      <c r="A6376" t="s">
        <v>65</v>
      </c>
      <c r="B6376" t="s">
        <v>4</v>
      </c>
    </row>
    <row r="6377" spans="1:2" x14ac:dyDescent="0.25">
      <c r="A6377" t="s">
        <v>66</v>
      </c>
      <c r="B6377" t="s">
        <v>4</v>
      </c>
    </row>
    <row r="6378" spans="1:2" x14ac:dyDescent="0.25">
      <c r="A6378" t="s">
        <v>67</v>
      </c>
      <c r="B6378" t="s">
        <v>4</v>
      </c>
    </row>
    <row r="6379" spans="1:2" x14ac:dyDescent="0.25">
      <c r="A6379" t="s">
        <v>68</v>
      </c>
      <c r="B6379" t="s">
        <v>4</v>
      </c>
    </row>
    <row r="6380" spans="1:2" x14ac:dyDescent="0.25">
      <c r="A6380" t="s">
        <v>69</v>
      </c>
      <c r="B6380" t="s">
        <v>4</v>
      </c>
    </row>
    <row r="6381" spans="1:2" x14ac:dyDescent="0.25">
      <c r="A6381" t="s">
        <v>70</v>
      </c>
      <c r="B6381" t="s">
        <v>4</v>
      </c>
    </row>
    <row r="6382" spans="1:2" x14ac:dyDescent="0.25">
      <c r="A6382" t="s">
        <v>71</v>
      </c>
      <c r="B6382" t="s">
        <v>4</v>
      </c>
    </row>
    <row r="6383" spans="1:2" x14ac:dyDescent="0.25">
      <c r="A6383" t="s">
        <v>72</v>
      </c>
      <c r="B6383" t="s">
        <v>4</v>
      </c>
    </row>
    <row r="6384" spans="1:2" x14ac:dyDescent="0.25">
      <c r="A6384" t="s">
        <v>73</v>
      </c>
      <c r="B6384" t="s">
        <v>4</v>
      </c>
    </row>
    <row r="6385" spans="1:2" x14ac:dyDescent="0.25">
      <c r="A6385" t="s">
        <v>74</v>
      </c>
      <c r="B6385" t="s">
        <v>4</v>
      </c>
    </row>
    <row r="6386" spans="1:2" x14ac:dyDescent="0.25">
      <c r="A6386" t="s">
        <v>75</v>
      </c>
      <c r="B6386" t="s">
        <v>4</v>
      </c>
    </row>
    <row r="6387" spans="1:2" x14ac:dyDescent="0.25">
      <c r="A6387" t="s">
        <v>76</v>
      </c>
      <c r="B6387" t="s">
        <v>4</v>
      </c>
    </row>
    <row r="6388" spans="1:2" x14ac:dyDescent="0.25">
      <c r="A6388" t="s">
        <v>77</v>
      </c>
      <c r="B6388" t="s">
        <v>4</v>
      </c>
    </row>
    <row r="6389" spans="1:2" x14ac:dyDescent="0.25">
      <c r="A6389" t="s">
        <v>78</v>
      </c>
      <c r="B6389" t="s">
        <v>4</v>
      </c>
    </row>
    <row r="6390" spans="1:2" x14ac:dyDescent="0.25">
      <c r="A6390" t="s">
        <v>79</v>
      </c>
      <c r="B6390" t="s">
        <v>4</v>
      </c>
    </row>
    <row r="6391" spans="1:2" x14ac:dyDescent="0.25">
      <c r="A6391" t="s">
        <v>80</v>
      </c>
      <c r="B6391" t="s">
        <v>4</v>
      </c>
    </row>
    <row r="6392" spans="1:2" x14ac:dyDescent="0.25">
      <c r="A6392" t="s">
        <v>81</v>
      </c>
      <c r="B6392" t="s">
        <v>4</v>
      </c>
    </row>
    <row r="6395" spans="1:2" x14ac:dyDescent="0.25">
      <c r="A6395" t="s">
        <v>0</v>
      </c>
      <c r="B6395" t="s">
        <v>151</v>
      </c>
    </row>
    <row r="6397" spans="1:2" s="1" customFormat="1" x14ac:dyDescent="0.25">
      <c r="A6397" s="1" t="s">
        <v>2</v>
      </c>
      <c r="B6397" s="1" t="s">
        <v>157</v>
      </c>
    </row>
    <row r="6398" spans="1:2" x14ac:dyDescent="0.25">
      <c r="A6398" t="s">
        <v>3</v>
      </c>
      <c r="B6398" t="s">
        <v>4</v>
      </c>
    </row>
    <row r="6399" spans="1:2" x14ac:dyDescent="0.25">
      <c r="A6399" t="s">
        <v>5</v>
      </c>
      <c r="B6399" t="s">
        <v>4</v>
      </c>
    </row>
    <row r="6400" spans="1:2" x14ac:dyDescent="0.25">
      <c r="A6400" t="s">
        <v>6</v>
      </c>
      <c r="B6400" t="s">
        <v>4</v>
      </c>
    </row>
    <row r="6401" spans="1:2" x14ac:dyDescent="0.25">
      <c r="A6401" t="s">
        <v>7</v>
      </c>
      <c r="B6401">
        <v>5.85</v>
      </c>
    </row>
    <row r="6402" spans="1:2" x14ac:dyDescent="0.25">
      <c r="A6402" t="s">
        <v>8</v>
      </c>
      <c r="B6402">
        <v>41.29</v>
      </c>
    </row>
    <row r="6403" spans="1:2" x14ac:dyDescent="0.25">
      <c r="A6403" t="s">
        <v>9</v>
      </c>
      <c r="B6403">
        <v>5.67</v>
      </c>
    </row>
    <row r="6404" spans="1:2" x14ac:dyDescent="0.25">
      <c r="A6404" t="s">
        <v>10</v>
      </c>
      <c r="B6404">
        <v>7.27</v>
      </c>
    </row>
    <row r="6405" spans="1:2" x14ac:dyDescent="0.25">
      <c r="A6405" t="s">
        <v>11</v>
      </c>
      <c r="B6405">
        <v>2.39</v>
      </c>
    </row>
    <row r="6406" spans="1:2" x14ac:dyDescent="0.25">
      <c r="A6406" t="s">
        <v>12</v>
      </c>
      <c r="B6406">
        <v>3.38</v>
      </c>
    </row>
    <row r="6407" spans="1:2" x14ac:dyDescent="0.25">
      <c r="A6407" t="s">
        <v>13</v>
      </c>
      <c r="B6407">
        <v>12.74</v>
      </c>
    </row>
    <row r="6408" spans="1:2" x14ac:dyDescent="0.25">
      <c r="A6408" t="s">
        <v>14</v>
      </c>
      <c r="B6408">
        <v>42.46</v>
      </c>
    </row>
    <row r="6409" spans="1:2" x14ac:dyDescent="0.25">
      <c r="A6409" t="s">
        <v>15</v>
      </c>
      <c r="B6409">
        <v>38.26</v>
      </c>
    </row>
    <row r="6410" spans="1:2" x14ac:dyDescent="0.25">
      <c r="A6410" t="s">
        <v>16</v>
      </c>
      <c r="B6410">
        <v>22.05</v>
      </c>
    </row>
    <row r="6411" spans="1:2" x14ac:dyDescent="0.25">
      <c r="A6411" t="s">
        <v>17</v>
      </c>
      <c r="B6411">
        <v>12.8</v>
      </c>
    </row>
    <row r="6412" spans="1:2" x14ac:dyDescent="0.25">
      <c r="A6412" t="s">
        <v>18</v>
      </c>
      <c r="B6412">
        <v>7.24</v>
      </c>
    </row>
    <row r="6413" spans="1:2" x14ac:dyDescent="0.25">
      <c r="A6413" t="s">
        <v>19</v>
      </c>
      <c r="B6413">
        <v>4.66</v>
      </c>
    </row>
    <row r="6414" spans="1:2" x14ac:dyDescent="0.25">
      <c r="A6414" t="s">
        <v>20</v>
      </c>
      <c r="B6414">
        <v>6.34</v>
      </c>
    </row>
    <row r="6415" spans="1:2" x14ac:dyDescent="0.25">
      <c r="A6415" t="s">
        <v>21</v>
      </c>
      <c r="B6415">
        <v>9.83</v>
      </c>
    </row>
    <row r="6416" spans="1:2" x14ac:dyDescent="0.25">
      <c r="A6416" t="s">
        <v>22</v>
      </c>
      <c r="B6416">
        <v>8.06</v>
      </c>
    </row>
    <row r="6417" spans="1:2" x14ac:dyDescent="0.25">
      <c r="A6417" t="s">
        <v>23</v>
      </c>
      <c r="B6417">
        <v>13.3</v>
      </c>
    </row>
    <row r="6418" spans="1:2" x14ac:dyDescent="0.25">
      <c r="A6418" t="s">
        <v>24</v>
      </c>
      <c r="B6418">
        <v>17.66</v>
      </c>
    </row>
    <row r="6419" spans="1:2" x14ac:dyDescent="0.25">
      <c r="A6419" t="s">
        <v>25</v>
      </c>
      <c r="B6419">
        <v>8.1999999999999993</v>
      </c>
    </row>
    <row r="6420" spans="1:2" x14ac:dyDescent="0.25">
      <c r="A6420" t="s">
        <v>26</v>
      </c>
      <c r="B6420">
        <v>7.66</v>
      </c>
    </row>
    <row r="6421" spans="1:2" x14ac:dyDescent="0.25">
      <c r="A6421" t="s">
        <v>27</v>
      </c>
      <c r="B6421">
        <v>7.2</v>
      </c>
    </row>
    <row r="6422" spans="1:2" x14ac:dyDescent="0.25">
      <c r="A6422" t="s">
        <v>28</v>
      </c>
      <c r="B6422">
        <v>8.7100000000000009</v>
      </c>
    </row>
    <row r="6423" spans="1:2" x14ac:dyDescent="0.25">
      <c r="A6423" t="s">
        <v>29</v>
      </c>
      <c r="B6423">
        <v>34.33</v>
      </c>
    </row>
    <row r="6424" spans="1:2" x14ac:dyDescent="0.25">
      <c r="A6424" t="s">
        <v>30</v>
      </c>
      <c r="B6424">
        <v>7.68</v>
      </c>
    </row>
    <row r="6425" spans="1:2" x14ac:dyDescent="0.25">
      <c r="A6425" t="s">
        <v>31</v>
      </c>
      <c r="B6425">
        <v>7.32</v>
      </c>
    </row>
    <row r="6426" spans="1:2" x14ac:dyDescent="0.25">
      <c r="A6426" t="s">
        <v>32</v>
      </c>
      <c r="B6426">
        <v>3.52</v>
      </c>
    </row>
    <row r="6427" spans="1:2" x14ac:dyDescent="0.25">
      <c r="A6427" t="s">
        <v>33</v>
      </c>
      <c r="B6427">
        <v>14.6</v>
      </c>
    </row>
    <row r="6428" spans="1:2" x14ac:dyDescent="0.25">
      <c r="A6428" t="s">
        <v>34</v>
      </c>
      <c r="B6428">
        <v>13.8</v>
      </c>
    </row>
    <row r="6429" spans="1:2" x14ac:dyDescent="0.25">
      <c r="A6429" t="s">
        <v>35</v>
      </c>
      <c r="B6429">
        <v>3.51</v>
      </c>
    </row>
    <row r="6430" spans="1:2" x14ac:dyDescent="0.25">
      <c r="A6430" t="s">
        <v>36</v>
      </c>
      <c r="B6430">
        <v>6.43</v>
      </c>
    </row>
    <row r="6431" spans="1:2" x14ac:dyDescent="0.25">
      <c r="A6431" t="s">
        <v>37</v>
      </c>
      <c r="B6431">
        <v>18.54</v>
      </c>
    </row>
    <row r="6432" spans="1:2" x14ac:dyDescent="0.25">
      <c r="A6432" t="s">
        <v>38</v>
      </c>
      <c r="B6432">
        <v>6.04</v>
      </c>
    </row>
    <row r="6433" spans="1:2" x14ac:dyDescent="0.25">
      <c r="A6433" t="s">
        <v>39</v>
      </c>
      <c r="B6433">
        <v>3.83</v>
      </c>
    </row>
    <row r="6434" spans="1:2" x14ac:dyDescent="0.25">
      <c r="A6434" t="s">
        <v>40</v>
      </c>
      <c r="B6434">
        <v>6.18</v>
      </c>
    </row>
    <row r="6435" spans="1:2" x14ac:dyDescent="0.25">
      <c r="A6435" t="s">
        <v>41</v>
      </c>
      <c r="B6435">
        <v>17.64</v>
      </c>
    </row>
    <row r="6436" spans="1:2" x14ac:dyDescent="0.25">
      <c r="A6436" t="s">
        <v>42</v>
      </c>
      <c r="B6436">
        <v>18.8</v>
      </c>
    </row>
    <row r="6437" spans="1:2" x14ac:dyDescent="0.25">
      <c r="A6437" t="s">
        <v>43</v>
      </c>
      <c r="B6437">
        <v>10.8</v>
      </c>
    </row>
    <row r="6438" spans="1:2" x14ac:dyDescent="0.25">
      <c r="A6438" t="s">
        <v>44</v>
      </c>
      <c r="B6438">
        <v>14.86</v>
      </c>
    </row>
    <row r="6439" spans="1:2" x14ac:dyDescent="0.25">
      <c r="A6439" t="s">
        <v>45</v>
      </c>
      <c r="B6439">
        <v>9.07</v>
      </c>
    </row>
    <row r="6440" spans="1:2" x14ac:dyDescent="0.25">
      <c r="A6440" t="s">
        <v>46</v>
      </c>
      <c r="B6440">
        <v>12.52</v>
      </c>
    </row>
    <row r="6441" spans="1:2" x14ac:dyDescent="0.25">
      <c r="A6441" t="s">
        <v>47</v>
      </c>
      <c r="B6441">
        <v>12.64</v>
      </c>
    </row>
    <row r="6442" spans="1:2" x14ac:dyDescent="0.25">
      <c r="A6442" t="s">
        <v>48</v>
      </c>
      <c r="B6442">
        <v>10.99</v>
      </c>
    </row>
    <row r="6443" spans="1:2" x14ac:dyDescent="0.25">
      <c r="A6443" t="s">
        <v>49</v>
      </c>
      <c r="B6443">
        <v>8.65</v>
      </c>
    </row>
    <row r="6444" spans="1:2" x14ac:dyDescent="0.25">
      <c r="A6444" t="s">
        <v>50</v>
      </c>
      <c r="B6444">
        <v>10.86</v>
      </c>
    </row>
    <row r="6445" spans="1:2" x14ac:dyDescent="0.25">
      <c r="A6445" t="s">
        <v>51</v>
      </c>
      <c r="B6445">
        <v>4.4800000000000004</v>
      </c>
    </row>
    <row r="6446" spans="1:2" x14ac:dyDescent="0.25">
      <c r="A6446" t="s">
        <v>52</v>
      </c>
      <c r="B6446">
        <v>7.74</v>
      </c>
    </row>
    <row r="6447" spans="1:2" x14ac:dyDescent="0.25">
      <c r="A6447" t="s">
        <v>53</v>
      </c>
      <c r="B6447">
        <v>20.76</v>
      </c>
    </row>
    <row r="6448" spans="1:2" x14ac:dyDescent="0.25">
      <c r="A6448" t="s">
        <v>54</v>
      </c>
      <c r="B6448">
        <v>8.09</v>
      </c>
    </row>
    <row r="6449" spans="1:2" x14ac:dyDescent="0.25">
      <c r="A6449" t="s">
        <v>55</v>
      </c>
      <c r="B6449">
        <v>12.07</v>
      </c>
    </row>
    <row r="6450" spans="1:2" x14ac:dyDescent="0.25">
      <c r="A6450" t="s">
        <v>56</v>
      </c>
      <c r="B6450" t="s">
        <v>4</v>
      </c>
    </row>
    <row r="6451" spans="1:2" x14ac:dyDescent="0.25">
      <c r="A6451" t="s">
        <v>57</v>
      </c>
      <c r="B6451" t="s">
        <v>4</v>
      </c>
    </row>
    <row r="6452" spans="1:2" x14ac:dyDescent="0.25">
      <c r="A6452" t="s">
        <v>58</v>
      </c>
      <c r="B6452">
        <v>4.5</v>
      </c>
    </row>
    <row r="6453" spans="1:2" x14ac:dyDescent="0.25">
      <c r="A6453" t="s">
        <v>59</v>
      </c>
      <c r="B6453">
        <v>11.05</v>
      </c>
    </row>
    <row r="6454" spans="1:2" x14ac:dyDescent="0.25">
      <c r="A6454" t="s">
        <v>60</v>
      </c>
      <c r="B6454">
        <v>22.54</v>
      </c>
    </row>
    <row r="6455" spans="1:2" x14ac:dyDescent="0.25">
      <c r="A6455" t="s">
        <v>61</v>
      </c>
      <c r="B6455">
        <v>41.12</v>
      </c>
    </row>
    <row r="6456" spans="1:2" x14ac:dyDescent="0.25">
      <c r="A6456" t="s">
        <v>62</v>
      </c>
      <c r="B6456">
        <v>67.569999999999993</v>
      </c>
    </row>
    <row r="6457" spans="1:2" x14ac:dyDescent="0.25">
      <c r="A6457" t="s">
        <v>63</v>
      </c>
      <c r="B6457">
        <v>83.7</v>
      </c>
    </row>
    <row r="6458" spans="1:2" x14ac:dyDescent="0.25">
      <c r="A6458" t="s">
        <v>64</v>
      </c>
      <c r="B6458">
        <v>127.81</v>
      </c>
    </row>
    <row r="6459" spans="1:2" x14ac:dyDescent="0.25">
      <c r="A6459" t="s">
        <v>65</v>
      </c>
      <c r="B6459">
        <v>39.700000000000003</v>
      </c>
    </row>
    <row r="6460" spans="1:2" x14ac:dyDescent="0.25">
      <c r="A6460" t="s">
        <v>66</v>
      </c>
      <c r="B6460">
        <v>14.46</v>
      </c>
    </row>
    <row r="6461" spans="1:2" x14ac:dyDescent="0.25">
      <c r="A6461" t="s">
        <v>67</v>
      </c>
      <c r="B6461">
        <v>42.51</v>
      </c>
    </row>
    <row r="6462" spans="1:2" x14ac:dyDescent="0.25">
      <c r="A6462" t="s">
        <v>68</v>
      </c>
      <c r="B6462">
        <v>9.17</v>
      </c>
    </row>
    <row r="6463" spans="1:2" x14ac:dyDescent="0.25">
      <c r="A6463" t="s">
        <v>69</v>
      </c>
      <c r="B6463">
        <v>12.21</v>
      </c>
    </row>
    <row r="6464" spans="1:2" x14ac:dyDescent="0.25">
      <c r="A6464" t="s">
        <v>70</v>
      </c>
      <c r="B6464">
        <v>24.41</v>
      </c>
    </row>
    <row r="6465" spans="1:2" x14ac:dyDescent="0.25">
      <c r="A6465" t="s">
        <v>71</v>
      </c>
      <c r="B6465">
        <v>22.69</v>
      </c>
    </row>
    <row r="6466" spans="1:2" x14ac:dyDescent="0.25">
      <c r="A6466" t="s">
        <v>72</v>
      </c>
      <c r="B6466">
        <v>14.21</v>
      </c>
    </row>
    <row r="6467" spans="1:2" x14ac:dyDescent="0.25">
      <c r="A6467" t="s">
        <v>73</v>
      </c>
      <c r="B6467">
        <v>8.92</v>
      </c>
    </row>
    <row r="6468" spans="1:2" x14ac:dyDescent="0.25">
      <c r="A6468" t="s">
        <v>74</v>
      </c>
      <c r="B6468">
        <v>18.45</v>
      </c>
    </row>
    <row r="6469" spans="1:2" x14ac:dyDescent="0.25">
      <c r="A6469" t="s">
        <v>75</v>
      </c>
      <c r="B6469">
        <v>40</v>
      </c>
    </row>
    <row r="6470" spans="1:2" x14ac:dyDescent="0.25">
      <c r="A6470" t="s">
        <v>76</v>
      </c>
      <c r="B6470">
        <v>15.78</v>
      </c>
    </row>
    <row r="6471" spans="1:2" x14ac:dyDescent="0.25">
      <c r="A6471" t="s">
        <v>77</v>
      </c>
      <c r="B6471">
        <v>16.420000000000002</v>
      </c>
    </row>
    <row r="6472" spans="1:2" x14ac:dyDescent="0.25">
      <c r="A6472" t="s">
        <v>78</v>
      </c>
      <c r="B6472">
        <v>8.27</v>
      </c>
    </row>
    <row r="6473" spans="1:2" x14ac:dyDescent="0.25">
      <c r="A6473" t="s">
        <v>79</v>
      </c>
      <c r="B6473" t="s">
        <v>4</v>
      </c>
    </row>
    <row r="6474" spans="1:2" x14ac:dyDescent="0.25">
      <c r="A6474" t="s">
        <v>80</v>
      </c>
      <c r="B6474">
        <v>4.67</v>
      </c>
    </row>
    <row r="6475" spans="1:2" x14ac:dyDescent="0.25">
      <c r="A6475" t="s">
        <v>81</v>
      </c>
      <c r="B6475">
        <v>9.2799999999999994</v>
      </c>
    </row>
    <row r="6478" spans="1:2" x14ac:dyDescent="0.25">
      <c r="A6478" t="s">
        <v>0</v>
      </c>
      <c r="B6478" t="s">
        <v>152</v>
      </c>
    </row>
    <row r="6480" spans="1:2" s="1" customFormat="1" x14ac:dyDescent="0.25">
      <c r="A6480" s="1" t="s">
        <v>2</v>
      </c>
      <c r="B6480" s="1" t="s">
        <v>157</v>
      </c>
    </row>
    <row r="6481" spans="1:2" x14ac:dyDescent="0.25">
      <c r="A6481" t="s">
        <v>3</v>
      </c>
      <c r="B6481" t="s">
        <v>4</v>
      </c>
    </row>
    <row r="6482" spans="1:2" x14ac:dyDescent="0.25">
      <c r="A6482" t="s">
        <v>5</v>
      </c>
      <c r="B6482" t="s">
        <v>4</v>
      </c>
    </row>
    <row r="6483" spans="1:2" x14ac:dyDescent="0.25">
      <c r="A6483" t="s">
        <v>6</v>
      </c>
      <c r="B6483" t="s">
        <v>4</v>
      </c>
    </row>
    <row r="6484" spans="1:2" x14ac:dyDescent="0.25">
      <c r="A6484" t="s">
        <v>7</v>
      </c>
      <c r="B6484" t="s">
        <v>4</v>
      </c>
    </row>
    <row r="6485" spans="1:2" x14ac:dyDescent="0.25">
      <c r="A6485" t="s">
        <v>8</v>
      </c>
      <c r="B6485" t="s">
        <v>4</v>
      </c>
    </row>
    <row r="6486" spans="1:2" x14ac:dyDescent="0.25">
      <c r="A6486" t="s">
        <v>9</v>
      </c>
      <c r="B6486">
        <v>1.59</v>
      </c>
    </row>
    <row r="6487" spans="1:2" x14ac:dyDescent="0.25">
      <c r="A6487" t="s">
        <v>10</v>
      </c>
      <c r="B6487" t="s">
        <v>4</v>
      </c>
    </row>
    <row r="6488" spans="1:2" x14ac:dyDescent="0.25">
      <c r="A6488" t="s">
        <v>11</v>
      </c>
      <c r="B6488" t="s">
        <v>4</v>
      </c>
    </row>
    <row r="6489" spans="1:2" x14ac:dyDescent="0.25">
      <c r="A6489" t="s">
        <v>12</v>
      </c>
      <c r="B6489" t="s">
        <v>4</v>
      </c>
    </row>
    <row r="6490" spans="1:2" x14ac:dyDescent="0.25">
      <c r="A6490" t="s">
        <v>13</v>
      </c>
      <c r="B6490" t="s">
        <v>4</v>
      </c>
    </row>
    <row r="6491" spans="1:2" x14ac:dyDescent="0.25">
      <c r="A6491" t="s">
        <v>14</v>
      </c>
      <c r="B6491" t="s">
        <v>4</v>
      </c>
    </row>
    <row r="6492" spans="1:2" x14ac:dyDescent="0.25">
      <c r="A6492" t="s">
        <v>15</v>
      </c>
      <c r="B6492" t="s">
        <v>4</v>
      </c>
    </row>
    <row r="6493" spans="1:2" x14ac:dyDescent="0.25">
      <c r="A6493" t="s">
        <v>16</v>
      </c>
      <c r="B6493" t="s">
        <v>4</v>
      </c>
    </row>
    <row r="6494" spans="1:2" x14ac:dyDescent="0.25">
      <c r="A6494" t="s">
        <v>17</v>
      </c>
      <c r="B6494" t="s">
        <v>4</v>
      </c>
    </row>
    <row r="6495" spans="1:2" x14ac:dyDescent="0.25">
      <c r="A6495" t="s">
        <v>18</v>
      </c>
      <c r="B6495" t="s">
        <v>4</v>
      </c>
    </row>
    <row r="6496" spans="1:2" x14ac:dyDescent="0.25">
      <c r="A6496" t="s">
        <v>19</v>
      </c>
      <c r="B6496" t="s">
        <v>4</v>
      </c>
    </row>
    <row r="6497" spans="1:2" x14ac:dyDescent="0.25">
      <c r="A6497" t="s">
        <v>20</v>
      </c>
      <c r="B6497" t="s">
        <v>4</v>
      </c>
    </row>
    <row r="6498" spans="1:2" x14ac:dyDescent="0.25">
      <c r="A6498" t="s">
        <v>21</v>
      </c>
      <c r="B6498" t="s">
        <v>4</v>
      </c>
    </row>
    <row r="6499" spans="1:2" x14ac:dyDescent="0.25">
      <c r="A6499" t="s">
        <v>22</v>
      </c>
      <c r="B6499" t="s">
        <v>4</v>
      </c>
    </row>
    <row r="6500" spans="1:2" x14ac:dyDescent="0.25">
      <c r="A6500" t="s">
        <v>23</v>
      </c>
      <c r="B6500" t="s">
        <v>4</v>
      </c>
    </row>
    <row r="6501" spans="1:2" x14ac:dyDescent="0.25">
      <c r="A6501" t="s">
        <v>24</v>
      </c>
      <c r="B6501" t="s">
        <v>4</v>
      </c>
    </row>
    <row r="6502" spans="1:2" x14ac:dyDescent="0.25">
      <c r="A6502" t="s">
        <v>25</v>
      </c>
      <c r="B6502" t="s">
        <v>4</v>
      </c>
    </row>
    <row r="6503" spans="1:2" x14ac:dyDescent="0.25">
      <c r="A6503" t="s">
        <v>26</v>
      </c>
      <c r="B6503" t="s">
        <v>4</v>
      </c>
    </row>
    <row r="6504" spans="1:2" x14ac:dyDescent="0.25">
      <c r="A6504" t="s">
        <v>27</v>
      </c>
      <c r="B6504" t="s">
        <v>4</v>
      </c>
    </row>
    <row r="6505" spans="1:2" x14ac:dyDescent="0.25">
      <c r="A6505" t="s">
        <v>28</v>
      </c>
      <c r="B6505" t="s">
        <v>4</v>
      </c>
    </row>
    <row r="6506" spans="1:2" x14ac:dyDescent="0.25">
      <c r="A6506" t="s">
        <v>29</v>
      </c>
      <c r="B6506" t="s">
        <v>4</v>
      </c>
    </row>
    <row r="6507" spans="1:2" x14ac:dyDescent="0.25">
      <c r="A6507" t="s">
        <v>30</v>
      </c>
      <c r="B6507" t="s">
        <v>4</v>
      </c>
    </row>
    <row r="6508" spans="1:2" x14ac:dyDescent="0.25">
      <c r="A6508" t="s">
        <v>31</v>
      </c>
      <c r="B6508" t="s">
        <v>4</v>
      </c>
    </row>
    <row r="6509" spans="1:2" x14ac:dyDescent="0.25">
      <c r="A6509" t="s">
        <v>32</v>
      </c>
      <c r="B6509" t="s">
        <v>4</v>
      </c>
    </row>
    <row r="6510" spans="1:2" x14ac:dyDescent="0.25">
      <c r="A6510" t="s">
        <v>33</v>
      </c>
      <c r="B6510" t="s">
        <v>4</v>
      </c>
    </row>
    <row r="6511" spans="1:2" x14ac:dyDescent="0.25">
      <c r="A6511" t="s">
        <v>34</v>
      </c>
      <c r="B6511" t="s">
        <v>4</v>
      </c>
    </row>
    <row r="6512" spans="1:2" x14ac:dyDescent="0.25">
      <c r="A6512" t="s">
        <v>35</v>
      </c>
      <c r="B6512" t="s">
        <v>4</v>
      </c>
    </row>
    <row r="6513" spans="1:2" x14ac:dyDescent="0.25">
      <c r="A6513" t="s">
        <v>36</v>
      </c>
      <c r="B6513" t="s">
        <v>4</v>
      </c>
    </row>
    <row r="6514" spans="1:2" x14ac:dyDescent="0.25">
      <c r="A6514" t="s">
        <v>37</v>
      </c>
      <c r="B6514" t="s">
        <v>4</v>
      </c>
    </row>
    <row r="6515" spans="1:2" x14ac:dyDescent="0.25">
      <c r="A6515" t="s">
        <v>38</v>
      </c>
      <c r="B6515" t="s">
        <v>4</v>
      </c>
    </row>
    <row r="6516" spans="1:2" x14ac:dyDescent="0.25">
      <c r="A6516" t="s">
        <v>39</v>
      </c>
      <c r="B6516" t="s">
        <v>4</v>
      </c>
    </row>
    <row r="6517" spans="1:2" x14ac:dyDescent="0.25">
      <c r="A6517" t="s">
        <v>40</v>
      </c>
      <c r="B6517" t="s">
        <v>4</v>
      </c>
    </row>
    <row r="6518" spans="1:2" x14ac:dyDescent="0.25">
      <c r="A6518" t="s">
        <v>41</v>
      </c>
      <c r="B6518" t="s">
        <v>4</v>
      </c>
    </row>
    <row r="6519" spans="1:2" x14ac:dyDescent="0.25">
      <c r="A6519" t="s">
        <v>42</v>
      </c>
      <c r="B6519" t="s">
        <v>4</v>
      </c>
    </row>
    <row r="6520" spans="1:2" x14ac:dyDescent="0.25">
      <c r="A6520" t="s">
        <v>43</v>
      </c>
      <c r="B6520" t="s">
        <v>4</v>
      </c>
    </row>
    <row r="6521" spans="1:2" x14ac:dyDescent="0.25">
      <c r="A6521" t="s">
        <v>44</v>
      </c>
      <c r="B6521" t="s">
        <v>4</v>
      </c>
    </row>
    <row r="6522" spans="1:2" x14ac:dyDescent="0.25">
      <c r="A6522" t="s">
        <v>45</v>
      </c>
      <c r="B6522" t="s">
        <v>4</v>
      </c>
    </row>
    <row r="6523" spans="1:2" x14ac:dyDescent="0.25">
      <c r="A6523" t="s">
        <v>46</v>
      </c>
      <c r="B6523" t="s">
        <v>4</v>
      </c>
    </row>
    <row r="6524" spans="1:2" x14ac:dyDescent="0.25">
      <c r="A6524" t="s">
        <v>47</v>
      </c>
      <c r="B6524" t="s">
        <v>4</v>
      </c>
    </row>
    <row r="6525" spans="1:2" x14ac:dyDescent="0.25">
      <c r="A6525" t="s">
        <v>48</v>
      </c>
      <c r="B6525" t="s">
        <v>4</v>
      </c>
    </row>
    <row r="6526" spans="1:2" x14ac:dyDescent="0.25">
      <c r="A6526" t="s">
        <v>49</v>
      </c>
      <c r="B6526" t="s">
        <v>4</v>
      </c>
    </row>
    <row r="6527" spans="1:2" x14ac:dyDescent="0.25">
      <c r="A6527" t="s">
        <v>50</v>
      </c>
      <c r="B6527" t="s">
        <v>4</v>
      </c>
    </row>
    <row r="6528" spans="1:2" x14ac:dyDescent="0.25">
      <c r="A6528" t="s">
        <v>51</v>
      </c>
      <c r="B6528" t="s">
        <v>4</v>
      </c>
    </row>
    <row r="6529" spans="1:2" x14ac:dyDescent="0.25">
      <c r="A6529" t="s">
        <v>52</v>
      </c>
      <c r="B6529" t="s">
        <v>4</v>
      </c>
    </row>
    <row r="6530" spans="1:2" x14ac:dyDescent="0.25">
      <c r="A6530" t="s">
        <v>53</v>
      </c>
      <c r="B6530" t="s">
        <v>4</v>
      </c>
    </row>
    <row r="6531" spans="1:2" x14ac:dyDescent="0.25">
      <c r="A6531" t="s">
        <v>54</v>
      </c>
      <c r="B6531" t="s">
        <v>4</v>
      </c>
    </row>
    <row r="6532" spans="1:2" x14ac:dyDescent="0.25">
      <c r="A6532" t="s">
        <v>55</v>
      </c>
      <c r="B6532" t="s">
        <v>4</v>
      </c>
    </row>
    <row r="6533" spans="1:2" x14ac:dyDescent="0.25">
      <c r="A6533" t="s">
        <v>56</v>
      </c>
      <c r="B6533" t="s">
        <v>4</v>
      </c>
    </row>
    <row r="6534" spans="1:2" x14ac:dyDescent="0.25">
      <c r="A6534" t="s">
        <v>57</v>
      </c>
      <c r="B6534" t="s">
        <v>4</v>
      </c>
    </row>
    <row r="6535" spans="1:2" x14ac:dyDescent="0.25">
      <c r="A6535" t="s">
        <v>58</v>
      </c>
      <c r="B6535">
        <v>1.1299999999999999</v>
      </c>
    </row>
    <row r="6536" spans="1:2" x14ac:dyDescent="0.25">
      <c r="A6536" t="s">
        <v>59</v>
      </c>
      <c r="B6536" t="s">
        <v>4</v>
      </c>
    </row>
    <row r="6537" spans="1:2" x14ac:dyDescent="0.25">
      <c r="A6537" t="s">
        <v>60</v>
      </c>
      <c r="B6537" t="s">
        <v>4</v>
      </c>
    </row>
    <row r="6538" spans="1:2" x14ac:dyDescent="0.25">
      <c r="A6538" t="s">
        <v>61</v>
      </c>
      <c r="B6538" t="s">
        <v>4</v>
      </c>
    </row>
    <row r="6539" spans="1:2" x14ac:dyDescent="0.25">
      <c r="A6539" t="s">
        <v>62</v>
      </c>
      <c r="B6539" t="s">
        <v>4</v>
      </c>
    </row>
    <row r="6540" spans="1:2" x14ac:dyDescent="0.25">
      <c r="A6540" t="s">
        <v>63</v>
      </c>
      <c r="B6540" t="s">
        <v>4</v>
      </c>
    </row>
    <row r="6541" spans="1:2" x14ac:dyDescent="0.25">
      <c r="A6541" t="s">
        <v>64</v>
      </c>
      <c r="B6541" t="s">
        <v>4</v>
      </c>
    </row>
    <row r="6542" spans="1:2" x14ac:dyDescent="0.25">
      <c r="A6542" t="s">
        <v>65</v>
      </c>
      <c r="B6542" t="s">
        <v>4</v>
      </c>
    </row>
    <row r="6543" spans="1:2" x14ac:dyDescent="0.25">
      <c r="A6543" t="s">
        <v>66</v>
      </c>
      <c r="B6543" t="s">
        <v>4</v>
      </c>
    </row>
    <row r="6544" spans="1:2" x14ac:dyDescent="0.25">
      <c r="A6544" t="s">
        <v>67</v>
      </c>
      <c r="B6544" t="s">
        <v>4</v>
      </c>
    </row>
    <row r="6545" spans="1:2" x14ac:dyDescent="0.25">
      <c r="A6545" t="s">
        <v>68</v>
      </c>
      <c r="B6545" t="s">
        <v>4</v>
      </c>
    </row>
    <row r="6546" spans="1:2" x14ac:dyDescent="0.25">
      <c r="A6546" t="s">
        <v>69</v>
      </c>
      <c r="B6546" t="s">
        <v>4</v>
      </c>
    </row>
    <row r="6547" spans="1:2" x14ac:dyDescent="0.25">
      <c r="A6547" t="s">
        <v>70</v>
      </c>
      <c r="B6547" t="s">
        <v>4</v>
      </c>
    </row>
    <row r="6548" spans="1:2" x14ac:dyDescent="0.25">
      <c r="A6548" t="s">
        <v>71</v>
      </c>
      <c r="B6548" t="s">
        <v>4</v>
      </c>
    </row>
    <row r="6549" spans="1:2" x14ac:dyDescent="0.25">
      <c r="A6549" t="s">
        <v>72</v>
      </c>
      <c r="B6549" t="s">
        <v>4</v>
      </c>
    </row>
    <row r="6550" spans="1:2" x14ac:dyDescent="0.25">
      <c r="A6550" t="s">
        <v>73</v>
      </c>
      <c r="B6550" t="s">
        <v>4</v>
      </c>
    </row>
    <row r="6551" spans="1:2" x14ac:dyDescent="0.25">
      <c r="A6551" t="s">
        <v>74</v>
      </c>
      <c r="B6551" t="s">
        <v>4</v>
      </c>
    </row>
    <row r="6552" spans="1:2" x14ac:dyDescent="0.25">
      <c r="A6552" t="s">
        <v>75</v>
      </c>
      <c r="B6552" t="s">
        <v>4</v>
      </c>
    </row>
    <row r="6553" spans="1:2" x14ac:dyDescent="0.25">
      <c r="A6553" t="s">
        <v>76</v>
      </c>
      <c r="B6553" t="s">
        <v>4</v>
      </c>
    </row>
    <row r="6554" spans="1:2" x14ac:dyDescent="0.25">
      <c r="A6554" t="s">
        <v>77</v>
      </c>
      <c r="B6554" t="s">
        <v>4</v>
      </c>
    </row>
    <row r="6555" spans="1:2" x14ac:dyDescent="0.25">
      <c r="A6555" t="s">
        <v>78</v>
      </c>
      <c r="B6555" t="s">
        <v>4</v>
      </c>
    </row>
    <row r="6556" spans="1:2" x14ac:dyDescent="0.25">
      <c r="A6556" t="s">
        <v>79</v>
      </c>
      <c r="B6556" t="s">
        <v>4</v>
      </c>
    </row>
    <row r="6557" spans="1:2" x14ac:dyDescent="0.25">
      <c r="A6557" t="s">
        <v>80</v>
      </c>
      <c r="B6557" t="s">
        <v>4</v>
      </c>
    </row>
    <row r="6558" spans="1:2" x14ac:dyDescent="0.25">
      <c r="A6558" t="s">
        <v>81</v>
      </c>
      <c r="B6558" t="s">
        <v>4</v>
      </c>
    </row>
    <row r="6561" spans="1:2" x14ac:dyDescent="0.25">
      <c r="A6561" t="s">
        <v>0</v>
      </c>
      <c r="B6561" t="s">
        <v>153</v>
      </c>
    </row>
    <row r="6563" spans="1:2" s="1" customFormat="1" x14ac:dyDescent="0.25">
      <c r="A6563" s="1" t="s">
        <v>2</v>
      </c>
      <c r="B6563" s="1" t="s">
        <v>157</v>
      </c>
    </row>
    <row r="6564" spans="1:2" x14ac:dyDescent="0.25">
      <c r="A6564" t="s">
        <v>3</v>
      </c>
      <c r="B6564" t="s">
        <v>4</v>
      </c>
    </row>
    <row r="6565" spans="1:2" x14ac:dyDescent="0.25">
      <c r="A6565" t="s">
        <v>5</v>
      </c>
      <c r="B6565" t="s">
        <v>4</v>
      </c>
    </row>
    <row r="6566" spans="1:2" x14ac:dyDescent="0.25">
      <c r="A6566" t="s">
        <v>6</v>
      </c>
      <c r="B6566" t="s">
        <v>4</v>
      </c>
    </row>
    <row r="6567" spans="1:2" x14ac:dyDescent="0.25">
      <c r="A6567" t="s">
        <v>7</v>
      </c>
      <c r="B6567">
        <v>1.34</v>
      </c>
    </row>
    <row r="6568" spans="1:2" x14ac:dyDescent="0.25">
      <c r="A6568" t="s">
        <v>8</v>
      </c>
      <c r="B6568">
        <v>2.84</v>
      </c>
    </row>
    <row r="6569" spans="1:2" x14ac:dyDescent="0.25">
      <c r="A6569" t="s">
        <v>9</v>
      </c>
      <c r="B6569">
        <v>1.08</v>
      </c>
    </row>
    <row r="6570" spans="1:2" x14ac:dyDescent="0.25">
      <c r="A6570" t="s">
        <v>10</v>
      </c>
      <c r="B6570">
        <v>9.15</v>
      </c>
    </row>
    <row r="6571" spans="1:2" x14ac:dyDescent="0.25">
      <c r="A6571" t="s">
        <v>11</v>
      </c>
      <c r="B6571">
        <v>1.05</v>
      </c>
    </row>
    <row r="6572" spans="1:2" x14ac:dyDescent="0.25">
      <c r="A6572" t="s">
        <v>12</v>
      </c>
      <c r="B6572" t="s">
        <v>4</v>
      </c>
    </row>
    <row r="6573" spans="1:2" x14ac:dyDescent="0.25">
      <c r="A6573" t="s">
        <v>13</v>
      </c>
      <c r="B6573">
        <v>1.8</v>
      </c>
    </row>
    <row r="6574" spans="1:2" x14ac:dyDescent="0.25">
      <c r="A6574" t="s">
        <v>14</v>
      </c>
      <c r="B6574">
        <v>3.25</v>
      </c>
    </row>
    <row r="6575" spans="1:2" x14ac:dyDescent="0.25">
      <c r="A6575" t="s">
        <v>15</v>
      </c>
      <c r="B6575">
        <v>1.81</v>
      </c>
    </row>
    <row r="6576" spans="1:2" x14ac:dyDescent="0.25">
      <c r="A6576" t="s">
        <v>16</v>
      </c>
      <c r="B6576">
        <v>2.5299999999999998</v>
      </c>
    </row>
    <row r="6577" spans="1:2" x14ac:dyDescent="0.25">
      <c r="A6577" t="s">
        <v>17</v>
      </c>
      <c r="B6577">
        <v>4.1100000000000003</v>
      </c>
    </row>
    <row r="6578" spans="1:2" x14ac:dyDescent="0.25">
      <c r="A6578" t="s">
        <v>18</v>
      </c>
      <c r="B6578" t="s">
        <v>4</v>
      </c>
    </row>
    <row r="6579" spans="1:2" x14ac:dyDescent="0.25">
      <c r="A6579" t="s">
        <v>19</v>
      </c>
      <c r="B6579" t="s">
        <v>4</v>
      </c>
    </row>
    <row r="6580" spans="1:2" x14ac:dyDescent="0.25">
      <c r="A6580" t="s">
        <v>20</v>
      </c>
      <c r="B6580" t="s">
        <v>4</v>
      </c>
    </row>
    <row r="6581" spans="1:2" x14ac:dyDescent="0.25">
      <c r="A6581" t="s">
        <v>21</v>
      </c>
      <c r="B6581" t="s">
        <v>4</v>
      </c>
    </row>
    <row r="6582" spans="1:2" x14ac:dyDescent="0.25">
      <c r="A6582" t="s">
        <v>22</v>
      </c>
      <c r="B6582">
        <v>0.56000000000000005</v>
      </c>
    </row>
    <row r="6583" spans="1:2" x14ac:dyDescent="0.25">
      <c r="A6583" t="s">
        <v>23</v>
      </c>
      <c r="B6583">
        <v>4.21</v>
      </c>
    </row>
    <row r="6584" spans="1:2" x14ac:dyDescent="0.25">
      <c r="A6584" t="s">
        <v>24</v>
      </c>
      <c r="B6584">
        <v>1.1200000000000001</v>
      </c>
    </row>
    <row r="6585" spans="1:2" x14ac:dyDescent="0.25">
      <c r="A6585" t="s">
        <v>25</v>
      </c>
      <c r="B6585">
        <v>0.89</v>
      </c>
    </row>
    <row r="6586" spans="1:2" x14ac:dyDescent="0.25">
      <c r="A6586" t="s">
        <v>26</v>
      </c>
      <c r="B6586">
        <v>1.1200000000000001</v>
      </c>
    </row>
    <row r="6587" spans="1:2" x14ac:dyDescent="0.25">
      <c r="A6587" t="s">
        <v>27</v>
      </c>
      <c r="B6587">
        <v>1.1100000000000001</v>
      </c>
    </row>
    <row r="6588" spans="1:2" x14ac:dyDescent="0.25">
      <c r="A6588" t="s">
        <v>28</v>
      </c>
      <c r="B6588">
        <v>1.1100000000000001</v>
      </c>
    </row>
    <row r="6589" spans="1:2" x14ac:dyDescent="0.25">
      <c r="A6589" t="s">
        <v>29</v>
      </c>
      <c r="B6589">
        <v>5.82</v>
      </c>
    </row>
    <row r="6590" spans="1:2" x14ac:dyDescent="0.25">
      <c r="A6590" t="s">
        <v>30</v>
      </c>
      <c r="B6590" t="s">
        <v>4</v>
      </c>
    </row>
    <row r="6591" spans="1:2" x14ac:dyDescent="0.25">
      <c r="A6591" t="s">
        <v>31</v>
      </c>
      <c r="B6591">
        <v>0.51</v>
      </c>
    </row>
    <row r="6592" spans="1:2" x14ac:dyDescent="0.25">
      <c r="A6592" t="s">
        <v>32</v>
      </c>
      <c r="B6592" t="s">
        <v>4</v>
      </c>
    </row>
    <row r="6593" spans="1:2" x14ac:dyDescent="0.25">
      <c r="A6593" t="s">
        <v>33</v>
      </c>
      <c r="B6593">
        <v>3.79</v>
      </c>
    </row>
    <row r="6594" spans="1:2" x14ac:dyDescent="0.25">
      <c r="A6594" t="s">
        <v>34</v>
      </c>
      <c r="B6594">
        <v>8.59</v>
      </c>
    </row>
    <row r="6595" spans="1:2" x14ac:dyDescent="0.25">
      <c r="A6595" t="s">
        <v>35</v>
      </c>
      <c r="B6595">
        <v>1.29</v>
      </c>
    </row>
    <row r="6596" spans="1:2" x14ac:dyDescent="0.25">
      <c r="A6596" t="s">
        <v>36</v>
      </c>
      <c r="B6596" t="s">
        <v>4</v>
      </c>
    </row>
    <row r="6597" spans="1:2" x14ac:dyDescent="0.25">
      <c r="A6597" t="s">
        <v>37</v>
      </c>
      <c r="B6597">
        <v>2.96</v>
      </c>
    </row>
    <row r="6598" spans="1:2" x14ac:dyDescent="0.25">
      <c r="A6598" t="s">
        <v>38</v>
      </c>
      <c r="B6598">
        <v>8.4499999999999993</v>
      </c>
    </row>
    <row r="6599" spans="1:2" x14ac:dyDescent="0.25">
      <c r="A6599" t="s">
        <v>39</v>
      </c>
      <c r="B6599">
        <v>1.0900000000000001</v>
      </c>
    </row>
    <row r="6600" spans="1:2" x14ac:dyDescent="0.25">
      <c r="A6600" t="s">
        <v>40</v>
      </c>
      <c r="B6600" t="s">
        <v>4</v>
      </c>
    </row>
    <row r="6601" spans="1:2" x14ac:dyDescent="0.25">
      <c r="A6601" t="s">
        <v>41</v>
      </c>
      <c r="B6601">
        <v>1.96</v>
      </c>
    </row>
    <row r="6602" spans="1:2" x14ac:dyDescent="0.25">
      <c r="A6602" t="s">
        <v>42</v>
      </c>
      <c r="B6602">
        <v>9.27</v>
      </c>
    </row>
    <row r="6603" spans="1:2" x14ac:dyDescent="0.25">
      <c r="A6603" t="s">
        <v>43</v>
      </c>
      <c r="B6603">
        <v>1.5</v>
      </c>
    </row>
    <row r="6604" spans="1:2" x14ac:dyDescent="0.25">
      <c r="A6604" t="s">
        <v>44</v>
      </c>
      <c r="B6604" t="s">
        <v>4</v>
      </c>
    </row>
    <row r="6605" spans="1:2" x14ac:dyDescent="0.25">
      <c r="A6605" t="s">
        <v>45</v>
      </c>
      <c r="B6605">
        <v>1.61</v>
      </c>
    </row>
    <row r="6606" spans="1:2" x14ac:dyDescent="0.25">
      <c r="A6606" t="s">
        <v>46</v>
      </c>
      <c r="B6606">
        <v>7.78</v>
      </c>
    </row>
    <row r="6607" spans="1:2" x14ac:dyDescent="0.25">
      <c r="A6607" t="s">
        <v>47</v>
      </c>
      <c r="B6607">
        <v>1.86</v>
      </c>
    </row>
    <row r="6608" spans="1:2" x14ac:dyDescent="0.25">
      <c r="A6608" t="s">
        <v>48</v>
      </c>
      <c r="B6608">
        <v>0.67</v>
      </c>
    </row>
    <row r="6609" spans="1:2" x14ac:dyDescent="0.25">
      <c r="A6609" t="s">
        <v>49</v>
      </c>
      <c r="B6609">
        <v>1.81</v>
      </c>
    </row>
    <row r="6610" spans="1:2" x14ac:dyDescent="0.25">
      <c r="A6610" t="s">
        <v>50</v>
      </c>
      <c r="B6610">
        <v>6.56</v>
      </c>
    </row>
    <row r="6611" spans="1:2" x14ac:dyDescent="0.25">
      <c r="A6611" t="s">
        <v>51</v>
      </c>
      <c r="B6611">
        <v>0.68</v>
      </c>
    </row>
    <row r="6612" spans="1:2" x14ac:dyDescent="0.25">
      <c r="A6612" t="s">
        <v>52</v>
      </c>
      <c r="B6612" t="s">
        <v>4</v>
      </c>
    </row>
    <row r="6613" spans="1:2" x14ac:dyDescent="0.25">
      <c r="A6613" t="s">
        <v>53</v>
      </c>
      <c r="B6613">
        <v>6.25</v>
      </c>
    </row>
    <row r="6614" spans="1:2" x14ac:dyDescent="0.25">
      <c r="A6614" t="s">
        <v>54</v>
      </c>
      <c r="B6614">
        <v>48.23</v>
      </c>
    </row>
    <row r="6615" spans="1:2" x14ac:dyDescent="0.25">
      <c r="A6615" t="s">
        <v>55</v>
      </c>
      <c r="B6615">
        <v>21.47</v>
      </c>
    </row>
    <row r="6616" spans="1:2" x14ac:dyDescent="0.25">
      <c r="A6616" t="s">
        <v>56</v>
      </c>
      <c r="B6616">
        <v>0.79</v>
      </c>
    </row>
    <row r="6617" spans="1:2" x14ac:dyDescent="0.25">
      <c r="A6617" t="s">
        <v>57</v>
      </c>
      <c r="B6617" t="s">
        <v>4</v>
      </c>
    </row>
    <row r="6618" spans="1:2" x14ac:dyDescent="0.25">
      <c r="A6618" t="s">
        <v>58</v>
      </c>
      <c r="B6618">
        <v>1.81</v>
      </c>
    </row>
    <row r="6619" spans="1:2" x14ac:dyDescent="0.25">
      <c r="A6619" t="s">
        <v>59</v>
      </c>
      <c r="B6619">
        <v>11.85</v>
      </c>
    </row>
    <row r="6620" spans="1:2" x14ac:dyDescent="0.25">
      <c r="A6620" t="s">
        <v>60</v>
      </c>
      <c r="B6620">
        <v>239.08</v>
      </c>
    </row>
    <row r="6621" spans="1:2" x14ac:dyDescent="0.25">
      <c r="A6621" t="s">
        <v>61</v>
      </c>
      <c r="B6621">
        <v>476.45</v>
      </c>
    </row>
    <row r="6622" spans="1:2" x14ac:dyDescent="0.25">
      <c r="A6622" t="s">
        <v>62</v>
      </c>
      <c r="B6622">
        <v>388.28</v>
      </c>
    </row>
    <row r="6623" spans="1:2" x14ac:dyDescent="0.25">
      <c r="A6623" t="s">
        <v>63</v>
      </c>
      <c r="B6623">
        <v>567.70000000000005</v>
      </c>
    </row>
    <row r="6624" spans="1:2" x14ac:dyDescent="0.25">
      <c r="A6624" t="s">
        <v>64</v>
      </c>
      <c r="B6624">
        <v>465.93</v>
      </c>
    </row>
    <row r="6625" spans="1:2" x14ac:dyDescent="0.25">
      <c r="A6625" t="s">
        <v>65</v>
      </c>
      <c r="B6625">
        <v>2.88</v>
      </c>
    </row>
    <row r="6626" spans="1:2" x14ac:dyDescent="0.25">
      <c r="A6626" t="s">
        <v>66</v>
      </c>
      <c r="B6626">
        <v>4.07</v>
      </c>
    </row>
    <row r="6627" spans="1:2" x14ac:dyDescent="0.25">
      <c r="A6627" t="s">
        <v>67</v>
      </c>
      <c r="B6627">
        <v>20.68</v>
      </c>
    </row>
    <row r="6628" spans="1:2" x14ac:dyDescent="0.25">
      <c r="A6628" t="s">
        <v>68</v>
      </c>
      <c r="B6628">
        <v>3.74</v>
      </c>
    </row>
    <row r="6629" spans="1:2" x14ac:dyDescent="0.25">
      <c r="A6629" t="s">
        <v>69</v>
      </c>
      <c r="B6629">
        <v>4.13</v>
      </c>
    </row>
    <row r="6630" spans="1:2" x14ac:dyDescent="0.25">
      <c r="A6630" t="s">
        <v>70</v>
      </c>
      <c r="B6630">
        <v>25.41</v>
      </c>
    </row>
    <row r="6631" spans="1:2" x14ac:dyDescent="0.25">
      <c r="A6631" t="s">
        <v>71</v>
      </c>
      <c r="B6631">
        <v>30.04</v>
      </c>
    </row>
    <row r="6632" spans="1:2" x14ac:dyDescent="0.25">
      <c r="A6632" t="s">
        <v>72</v>
      </c>
      <c r="B6632">
        <v>21.29</v>
      </c>
    </row>
    <row r="6633" spans="1:2" x14ac:dyDescent="0.25">
      <c r="A6633" t="s">
        <v>73</v>
      </c>
      <c r="B6633">
        <v>1.01</v>
      </c>
    </row>
    <row r="6634" spans="1:2" x14ac:dyDescent="0.25">
      <c r="A6634" t="s">
        <v>74</v>
      </c>
      <c r="B6634">
        <v>26.84</v>
      </c>
    </row>
    <row r="6635" spans="1:2" x14ac:dyDescent="0.25">
      <c r="A6635" t="s">
        <v>75</v>
      </c>
      <c r="B6635">
        <v>42.19</v>
      </c>
    </row>
    <row r="6636" spans="1:2" x14ac:dyDescent="0.25">
      <c r="A6636" t="s">
        <v>76</v>
      </c>
      <c r="B6636">
        <v>17.41</v>
      </c>
    </row>
    <row r="6637" spans="1:2" x14ac:dyDescent="0.25">
      <c r="A6637" t="s">
        <v>77</v>
      </c>
      <c r="B6637">
        <v>20.59</v>
      </c>
    </row>
    <row r="6638" spans="1:2" x14ac:dyDescent="0.25">
      <c r="A6638" t="s">
        <v>78</v>
      </c>
      <c r="B6638" t="s">
        <v>4</v>
      </c>
    </row>
    <row r="6639" spans="1:2" x14ac:dyDescent="0.25">
      <c r="A6639" t="s">
        <v>79</v>
      </c>
      <c r="B6639" t="s">
        <v>4</v>
      </c>
    </row>
    <row r="6640" spans="1:2" x14ac:dyDescent="0.25">
      <c r="A6640" t="s">
        <v>80</v>
      </c>
      <c r="B6640">
        <v>4.1500000000000004</v>
      </c>
    </row>
    <row r="6641" spans="1:2" x14ac:dyDescent="0.25">
      <c r="A6641" t="s">
        <v>81</v>
      </c>
      <c r="B6641">
        <v>79.150000000000006</v>
      </c>
    </row>
    <row r="6644" spans="1:2" x14ac:dyDescent="0.25">
      <c r="A6644" t="s">
        <v>0</v>
      </c>
      <c r="B6644" t="s">
        <v>154</v>
      </c>
    </row>
    <row r="6646" spans="1:2" s="1" customFormat="1" x14ac:dyDescent="0.25">
      <c r="A6646" s="1" t="s">
        <v>2</v>
      </c>
      <c r="B6646" s="1" t="s">
        <v>157</v>
      </c>
    </row>
    <row r="6647" spans="1:2" x14ac:dyDescent="0.25">
      <c r="A6647" t="s">
        <v>3</v>
      </c>
      <c r="B6647" t="s">
        <v>4</v>
      </c>
    </row>
    <row r="6648" spans="1:2" x14ac:dyDescent="0.25">
      <c r="A6648" t="s">
        <v>5</v>
      </c>
      <c r="B6648" t="s">
        <v>4</v>
      </c>
    </row>
    <row r="6649" spans="1:2" x14ac:dyDescent="0.25">
      <c r="A6649" t="s">
        <v>6</v>
      </c>
      <c r="B6649" t="s">
        <v>4</v>
      </c>
    </row>
    <row r="6650" spans="1:2" x14ac:dyDescent="0.25">
      <c r="A6650" t="s">
        <v>7</v>
      </c>
      <c r="B6650" t="s">
        <v>4</v>
      </c>
    </row>
    <row r="6651" spans="1:2" x14ac:dyDescent="0.25">
      <c r="A6651" t="s">
        <v>8</v>
      </c>
      <c r="B6651" t="s">
        <v>4</v>
      </c>
    </row>
    <row r="6652" spans="1:2" x14ac:dyDescent="0.25">
      <c r="A6652" t="s">
        <v>9</v>
      </c>
      <c r="B6652" t="s">
        <v>4</v>
      </c>
    </row>
    <row r="6653" spans="1:2" x14ac:dyDescent="0.25">
      <c r="A6653" t="s">
        <v>10</v>
      </c>
      <c r="B6653" t="s">
        <v>4</v>
      </c>
    </row>
    <row r="6654" spans="1:2" x14ac:dyDescent="0.25">
      <c r="A6654" t="s">
        <v>11</v>
      </c>
      <c r="B6654" t="s">
        <v>4</v>
      </c>
    </row>
    <row r="6655" spans="1:2" x14ac:dyDescent="0.25">
      <c r="A6655" t="s">
        <v>12</v>
      </c>
      <c r="B6655" t="s">
        <v>4</v>
      </c>
    </row>
    <row r="6656" spans="1:2" x14ac:dyDescent="0.25">
      <c r="A6656" t="s">
        <v>13</v>
      </c>
      <c r="B6656" t="s">
        <v>4</v>
      </c>
    </row>
    <row r="6657" spans="1:2" x14ac:dyDescent="0.25">
      <c r="A6657" t="s">
        <v>14</v>
      </c>
      <c r="B6657" t="s">
        <v>4</v>
      </c>
    </row>
    <row r="6658" spans="1:2" x14ac:dyDescent="0.25">
      <c r="A6658" t="s">
        <v>15</v>
      </c>
      <c r="B6658" t="s">
        <v>4</v>
      </c>
    </row>
    <row r="6659" spans="1:2" x14ac:dyDescent="0.25">
      <c r="A6659" t="s">
        <v>16</v>
      </c>
      <c r="B6659" t="s">
        <v>4</v>
      </c>
    </row>
    <row r="6660" spans="1:2" x14ac:dyDescent="0.25">
      <c r="A6660" t="s">
        <v>17</v>
      </c>
      <c r="B6660">
        <v>0.82</v>
      </c>
    </row>
    <row r="6661" spans="1:2" x14ac:dyDescent="0.25">
      <c r="A6661" t="s">
        <v>18</v>
      </c>
      <c r="B6661">
        <v>0.59</v>
      </c>
    </row>
    <row r="6662" spans="1:2" x14ac:dyDescent="0.25">
      <c r="A6662" t="s">
        <v>19</v>
      </c>
      <c r="B6662" t="s">
        <v>4</v>
      </c>
    </row>
    <row r="6663" spans="1:2" x14ac:dyDescent="0.25">
      <c r="A6663" t="s">
        <v>20</v>
      </c>
      <c r="B6663" t="s">
        <v>4</v>
      </c>
    </row>
    <row r="6664" spans="1:2" x14ac:dyDescent="0.25">
      <c r="A6664" t="s">
        <v>21</v>
      </c>
      <c r="B6664" t="s">
        <v>4</v>
      </c>
    </row>
    <row r="6665" spans="1:2" x14ac:dyDescent="0.25">
      <c r="A6665" t="s">
        <v>22</v>
      </c>
      <c r="B6665" t="s">
        <v>4</v>
      </c>
    </row>
    <row r="6666" spans="1:2" x14ac:dyDescent="0.25">
      <c r="A6666" t="s">
        <v>23</v>
      </c>
      <c r="B6666" t="s">
        <v>4</v>
      </c>
    </row>
    <row r="6667" spans="1:2" x14ac:dyDescent="0.25">
      <c r="A6667" t="s">
        <v>24</v>
      </c>
      <c r="B6667" t="s">
        <v>4</v>
      </c>
    </row>
    <row r="6668" spans="1:2" x14ac:dyDescent="0.25">
      <c r="A6668" t="s">
        <v>25</v>
      </c>
      <c r="B6668" t="s">
        <v>4</v>
      </c>
    </row>
    <row r="6669" spans="1:2" x14ac:dyDescent="0.25">
      <c r="A6669" t="s">
        <v>26</v>
      </c>
      <c r="B6669" t="s">
        <v>4</v>
      </c>
    </row>
    <row r="6670" spans="1:2" x14ac:dyDescent="0.25">
      <c r="A6670" t="s">
        <v>27</v>
      </c>
      <c r="B6670" t="s">
        <v>4</v>
      </c>
    </row>
    <row r="6671" spans="1:2" x14ac:dyDescent="0.25">
      <c r="A6671" t="s">
        <v>28</v>
      </c>
      <c r="B6671" t="s">
        <v>4</v>
      </c>
    </row>
    <row r="6672" spans="1:2" x14ac:dyDescent="0.25">
      <c r="A6672" t="s">
        <v>29</v>
      </c>
      <c r="B6672" t="s">
        <v>4</v>
      </c>
    </row>
    <row r="6673" spans="1:2" x14ac:dyDescent="0.25">
      <c r="A6673" t="s">
        <v>30</v>
      </c>
      <c r="B6673" t="s">
        <v>4</v>
      </c>
    </row>
    <row r="6674" spans="1:2" x14ac:dyDescent="0.25">
      <c r="A6674" t="s">
        <v>31</v>
      </c>
      <c r="B6674" t="s">
        <v>4</v>
      </c>
    </row>
    <row r="6675" spans="1:2" x14ac:dyDescent="0.25">
      <c r="A6675" t="s">
        <v>32</v>
      </c>
      <c r="B6675" t="s">
        <v>4</v>
      </c>
    </row>
    <row r="6676" spans="1:2" x14ac:dyDescent="0.25">
      <c r="A6676" t="s">
        <v>33</v>
      </c>
      <c r="B6676" t="s">
        <v>4</v>
      </c>
    </row>
    <row r="6677" spans="1:2" x14ac:dyDescent="0.25">
      <c r="A6677" t="s">
        <v>34</v>
      </c>
      <c r="B6677" t="s">
        <v>4</v>
      </c>
    </row>
    <row r="6678" spans="1:2" x14ac:dyDescent="0.25">
      <c r="A6678" t="s">
        <v>35</v>
      </c>
      <c r="B6678" t="s">
        <v>4</v>
      </c>
    </row>
    <row r="6679" spans="1:2" x14ac:dyDescent="0.25">
      <c r="A6679" t="s">
        <v>36</v>
      </c>
      <c r="B6679" t="s">
        <v>4</v>
      </c>
    </row>
    <row r="6680" spans="1:2" x14ac:dyDescent="0.25">
      <c r="A6680" t="s">
        <v>37</v>
      </c>
      <c r="B6680" t="s">
        <v>4</v>
      </c>
    </row>
    <row r="6681" spans="1:2" x14ac:dyDescent="0.25">
      <c r="A6681" t="s">
        <v>38</v>
      </c>
      <c r="B6681" t="s">
        <v>4</v>
      </c>
    </row>
    <row r="6682" spans="1:2" x14ac:dyDescent="0.25">
      <c r="A6682" t="s">
        <v>39</v>
      </c>
      <c r="B6682" t="s">
        <v>4</v>
      </c>
    </row>
    <row r="6683" spans="1:2" x14ac:dyDescent="0.25">
      <c r="A6683" t="s">
        <v>40</v>
      </c>
      <c r="B6683" t="s">
        <v>4</v>
      </c>
    </row>
    <row r="6684" spans="1:2" x14ac:dyDescent="0.25">
      <c r="A6684" t="s">
        <v>41</v>
      </c>
      <c r="B6684" t="s">
        <v>4</v>
      </c>
    </row>
    <row r="6685" spans="1:2" x14ac:dyDescent="0.25">
      <c r="A6685" t="s">
        <v>42</v>
      </c>
      <c r="B6685" t="s">
        <v>4</v>
      </c>
    </row>
    <row r="6686" spans="1:2" x14ac:dyDescent="0.25">
      <c r="A6686" t="s">
        <v>43</v>
      </c>
      <c r="B6686" t="s">
        <v>4</v>
      </c>
    </row>
    <row r="6687" spans="1:2" x14ac:dyDescent="0.25">
      <c r="A6687" t="s">
        <v>44</v>
      </c>
      <c r="B6687" t="s">
        <v>4</v>
      </c>
    </row>
    <row r="6688" spans="1:2" x14ac:dyDescent="0.25">
      <c r="A6688" t="s">
        <v>45</v>
      </c>
      <c r="B6688" t="s">
        <v>4</v>
      </c>
    </row>
    <row r="6689" spans="1:2" x14ac:dyDescent="0.25">
      <c r="A6689" t="s">
        <v>46</v>
      </c>
      <c r="B6689" t="s">
        <v>4</v>
      </c>
    </row>
    <row r="6690" spans="1:2" x14ac:dyDescent="0.25">
      <c r="A6690" t="s">
        <v>47</v>
      </c>
      <c r="B6690" t="s">
        <v>4</v>
      </c>
    </row>
    <row r="6691" spans="1:2" x14ac:dyDescent="0.25">
      <c r="A6691" t="s">
        <v>48</v>
      </c>
      <c r="B6691" t="s">
        <v>4</v>
      </c>
    </row>
    <row r="6692" spans="1:2" x14ac:dyDescent="0.25">
      <c r="A6692" t="s">
        <v>49</v>
      </c>
      <c r="B6692" t="s">
        <v>4</v>
      </c>
    </row>
    <row r="6693" spans="1:2" x14ac:dyDescent="0.25">
      <c r="A6693" t="s">
        <v>50</v>
      </c>
      <c r="B6693" t="s">
        <v>4</v>
      </c>
    </row>
    <row r="6694" spans="1:2" x14ac:dyDescent="0.25">
      <c r="A6694" t="s">
        <v>51</v>
      </c>
      <c r="B6694" t="s">
        <v>4</v>
      </c>
    </row>
    <row r="6695" spans="1:2" x14ac:dyDescent="0.25">
      <c r="A6695" t="s">
        <v>52</v>
      </c>
      <c r="B6695" t="s">
        <v>4</v>
      </c>
    </row>
    <row r="6696" spans="1:2" x14ac:dyDescent="0.25">
      <c r="A6696" t="s">
        <v>53</v>
      </c>
      <c r="B6696" t="s">
        <v>4</v>
      </c>
    </row>
    <row r="6697" spans="1:2" x14ac:dyDescent="0.25">
      <c r="A6697" t="s">
        <v>54</v>
      </c>
      <c r="B6697" t="s">
        <v>4</v>
      </c>
    </row>
    <row r="6698" spans="1:2" x14ac:dyDescent="0.25">
      <c r="A6698" t="s">
        <v>55</v>
      </c>
      <c r="B6698">
        <v>0.84</v>
      </c>
    </row>
    <row r="6699" spans="1:2" x14ac:dyDescent="0.25">
      <c r="A6699" t="s">
        <v>56</v>
      </c>
      <c r="B6699" t="s">
        <v>4</v>
      </c>
    </row>
    <row r="6700" spans="1:2" x14ac:dyDescent="0.25">
      <c r="A6700" t="s">
        <v>57</v>
      </c>
      <c r="B6700" t="s">
        <v>4</v>
      </c>
    </row>
    <row r="6701" spans="1:2" x14ac:dyDescent="0.25">
      <c r="A6701" t="s">
        <v>58</v>
      </c>
      <c r="B6701" t="s">
        <v>4</v>
      </c>
    </row>
    <row r="6702" spans="1:2" x14ac:dyDescent="0.25">
      <c r="A6702" t="s">
        <v>59</v>
      </c>
      <c r="B6702">
        <v>1.0900000000000001</v>
      </c>
    </row>
    <row r="6703" spans="1:2" x14ac:dyDescent="0.25">
      <c r="A6703" t="s">
        <v>60</v>
      </c>
      <c r="B6703">
        <v>1.04</v>
      </c>
    </row>
    <row r="6704" spans="1:2" x14ac:dyDescent="0.25">
      <c r="A6704" t="s">
        <v>61</v>
      </c>
      <c r="B6704">
        <v>3.93</v>
      </c>
    </row>
    <row r="6705" spans="1:2" x14ac:dyDescent="0.25">
      <c r="A6705" t="s">
        <v>62</v>
      </c>
      <c r="B6705">
        <v>4</v>
      </c>
    </row>
    <row r="6706" spans="1:2" x14ac:dyDescent="0.25">
      <c r="A6706" t="s">
        <v>63</v>
      </c>
      <c r="B6706">
        <v>3.73</v>
      </c>
    </row>
    <row r="6707" spans="1:2" x14ac:dyDescent="0.25">
      <c r="A6707" t="s">
        <v>64</v>
      </c>
      <c r="B6707">
        <v>8.15</v>
      </c>
    </row>
    <row r="6708" spans="1:2" x14ac:dyDescent="0.25">
      <c r="A6708" t="s">
        <v>65</v>
      </c>
      <c r="B6708" t="s">
        <v>4</v>
      </c>
    </row>
    <row r="6709" spans="1:2" x14ac:dyDescent="0.25">
      <c r="A6709" t="s">
        <v>66</v>
      </c>
      <c r="B6709" t="s">
        <v>4</v>
      </c>
    </row>
    <row r="6710" spans="1:2" x14ac:dyDescent="0.25">
      <c r="A6710" t="s">
        <v>67</v>
      </c>
      <c r="B6710" t="s">
        <v>4</v>
      </c>
    </row>
    <row r="6711" spans="1:2" x14ac:dyDescent="0.25">
      <c r="A6711" t="s">
        <v>68</v>
      </c>
      <c r="B6711">
        <v>0.91</v>
      </c>
    </row>
    <row r="6712" spans="1:2" x14ac:dyDescent="0.25">
      <c r="A6712" t="s">
        <v>69</v>
      </c>
      <c r="B6712" t="s">
        <v>4</v>
      </c>
    </row>
    <row r="6713" spans="1:2" x14ac:dyDescent="0.25">
      <c r="A6713" t="s">
        <v>70</v>
      </c>
      <c r="B6713">
        <v>1.06</v>
      </c>
    </row>
    <row r="6714" spans="1:2" x14ac:dyDescent="0.25">
      <c r="A6714" t="s">
        <v>71</v>
      </c>
      <c r="B6714" t="s">
        <v>4</v>
      </c>
    </row>
    <row r="6715" spans="1:2" x14ac:dyDescent="0.25">
      <c r="A6715" t="s">
        <v>72</v>
      </c>
      <c r="B6715">
        <v>1.01</v>
      </c>
    </row>
    <row r="6716" spans="1:2" x14ac:dyDescent="0.25">
      <c r="A6716" t="s">
        <v>73</v>
      </c>
      <c r="B6716" t="s">
        <v>4</v>
      </c>
    </row>
    <row r="6717" spans="1:2" x14ac:dyDescent="0.25">
      <c r="A6717" t="s">
        <v>74</v>
      </c>
      <c r="B6717" t="s">
        <v>4</v>
      </c>
    </row>
    <row r="6718" spans="1:2" x14ac:dyDescent="0.25">
      <c r="A6718" t="s">
        <v>75</v>
      </c>
      <c r="B6718" t="s">
        <v>4</v>
      </c>
    </row>
    <row r="6719" spans="1:2" x14ac:dyDescent="0.25">
      <c r="A6719" t="s">
        <v>76</v>
      </c>
      <c r="B6719">
        <v>1.47</v>
      </c>
    </row>
    <row r="6720" spans="1:2" x14ac:dyDescent="0.25">
      <c r="A6720" t="s">
        <v>77</v>
      </c>
      <c r="B6720">
        <v>1.1100000000000001</v>
      </c>
    </row>
    <row r="6721" spans="1:2" x14ac:dyDescent="0.25">
      <c r="A6721" t="s">
        <v>78</v>
      </c>
      <c r="B6721" t="s">
        <v>4</v>
      </c>
    </row>
    <row r="6722" spans="1:2" x14ac:dyDescent="0.25">
      <c r="A6722" t="s">
        <v>79</v>
      </c>
      <c r="B6722" t="s">
        <v>4</v>
      </c>
    </row>
    <row r="6723" spans="1:2" x14ac:dyDescent="0.25">
      <c r="A6723" t="s">
        <v>80</v>
      </c>
      <c r="B6723" t="s">
        <v>4</v>
      </c>
    </row>
    <row r="6724" spans="1:2" x14ac:dyDescent="0.25">
      <c r="A6724" t="s">
        <v>81</v>
      </c>
      <c r="B6724" t="s">
        <v>4</v>
      </c>
    </row>
    <row r="6727" spans="1:2" x14ac:dyDescent="0.25">
      <c r="A6727" t="s">
        <v>0</v>
      </c>
      <c r="B6727" t="s">
        <v>155</v>
      </c>
    </row>
    <row r="6729" spans="1:2" s="1" customFormat="1" x14ac:dyDescent="0.25">
      <c r="A6729" s="1" t="s">
        <v>2</v>
      </c>
      <c r="B6729" s="1" t="s">
        <v>157</v>
      </c>
    </row>
    <row r="6730" spans="1:2" x14ac:dyDescent="0.25">
      <c r="A6730" t="s">
        <v>3</v>
      </c>
      <c r="B6730" t="s">
        <v>4</v>
      </c>
    </row>
    <row r="6731" spans="1:2" x14ac:dyDescent="0.25">
      <c r="A6731" t="s">
        <v>5</v>
      </c>
      <c r="B6731" t="s">
        <v>4</v>
      </c>
    </row>
    <row r="6732" spans="1:2" x14ac:dyDescent="0.25">
      <c r="A6732" t="s">
        <v>6</v>
      </c>
      <c r="B6732" t="s">
        <v>4</v>
      </c>
    </row>
    <row r="6733" spans="1:2" x14ac:dyDescent="0.25">
      <c r="A6733" t="s">
        <v>7</v>
      </c>
      <c r="B6733" t="s">
        <v>4</v>
      </c>
    </row>
    <row r="6734" spans="1:2" x14ac:dyDescent="0.25">
      <c r="A6734" t="s">
        <v>8</v>
      </c>
      <c r="B6734" t="s">
        <v>4</v>
      </c>
    </row>
    <row r="6735" spans="1:2" x14ac:dyDescent="0.25">
      <c r="A6735" t="s">
        <v>9</v>
      </c>
      <c r="B6735" t="s">
        <v>4</v>
      </c>
    </row>
    <row r="6736" spans="1:2" x14ac:dyDescent="0.25">
      <c r="A6736" t="s">
        <v>10</v>
      </c>
      <c r="B6736" t="s">
        <v>4</v>
      </c>
    </row>
    <row r="6737" spans="1:2" x14ac:dyDescent="0.25">
      <c r="A6737" t="s">
        <v>11</v>
      </c>
      <c r="B6737" t="s">
        <v>4</v>
      </c>
    </row>
    <row r="6738" spans="1:2" x14ac:dyDescent="0.25">
      <c r="A6738" t="s">
        <v>12</v>
      </c>
      <c r="B6738" t="s">
        <v>4</v>
      </c>
    </row>
    <row r="6739" spans="1:2" x14ac:dyDescent="0.25">
      <c r="A6739" t="s">
        <v>13</v>
      </c>
      <c r="B6739" t="s">
        <v>4</v>
      </c>
    </row>
    <row r="6740" spans="1:2" x14ac:dyDescent="0.25">
      <c r="A6740" t="s">
        <v>14</v>
      </c>
      <c r="B6740" t="s">
        <v>4</v>
      </c>
    </row>
    <row r="6741" spans="1:2" x14ac:dyDescent="0.25">
      <c r="A6741" t="s">
        <v>15</v>
      </c>
      <c r="B6741" t="s">
        <v>4</v>
      </c>
    </row>
    <row r="6742" spans="1:2" x14ac:dyDescent="0.25">
      <c r="A6742" t="s">
        <v>16</v>
      </c>
      <c r="B6742" t="s">
        <v>4</v>
      </c>
    </row>
    <row r="6743" spans="1:2" x14ac:dyDescent="0.25">
      <c r="A6743" t="s">
        <v>17</v>
      </c>
      <c r="B6743" t="s">
        <v>4</v>
      </c>
    </row>
    <row r="6744" spans="1:2" x14ac:dyDescent="0.25">
      <c r="A6744" t="s">
        <v>18</v>
      </c>
      <c r="B6744" t="s">
        <v>4</v>
      </c>
    </row>
    <row r="6745" spans="1:2" x14ac:dyDescent="0.25">
      <c r="A6745" t="s">
        <v>19</v>
      </c>
      <c r="B6745" t="s">
        <v>4</v>
      </c>
    </row>
    <row r="6746" spans="1:2" x14ac:dyDescent="0.25">
      <c r="A6746" t="s">
        <v>20</v>
      </c>
      <c r="B6746" t="s">
        <v>4</v>
      </c>
    </row>
    <row r="6747" spans="1:2" x14ac:dyDescent="0.25">
      <c r="A6747" t="s">
        <v>21</v>
      </c>
      <c r="B6747" t="s">
        <v>4</v>
      </c>
    </row>
    <row r="6748" spans="1:2" x14ac:dyDescent="0.25">
      <c r="A6748" t="s">
        <v>22</v>
      </c>
      <c r="B6748" t="s">
        <v>4</v>
      </c>
    </row>
    <row r="6749" spans="1:2" x14ac:dyDescent="0.25">
      <c r="A6749" t="s">
        <v>23</v>
      </c>
      <c r="B6749" t="s">
        <v>4</v>
      </c>
    </row>
    <row r="6750" spans="1:2" x14ac:dyDescent="0.25">
      <c r="A6750" t="s">
        <v>24</v>
      </c>
      <c r="B6750" t="s">
        <v>4</v>
      </c>
    </row>
    <row r="6751" spans="1:2" x14ac:dyDescent="0.25">
      <c r="A6751" t="s">
        <v>25</v>
      </c>
      <c r="B6751" t="s">
        <v>4</v>
      </c>
    </row>
    <row r="6752" spans="1:2" x14ac:dyDescent="0.25">
      <c r="A6752" t="s">
        <v>26</v>
      </c>
      <c r="B6752" t="s">
        <v>4</v>
      </c>
    </row>
    <row r="6753" spans="1:2" x14ac:dyDescent="0.25">
      <c r="A6753" t="s">
        <v>27</v>
      </c>
      <c r="B6753" t="s">
        <v>4</v>
      </c>
    </row>
    <row r="6754" spans="1:2" x14ac:dyDescent="0.25">
      <c r="A6754" t="s">
        <v>28</v>
      </c>
      <c r="B6754" t="s">
        <v>4</v>
      </c>
    </row>
    <row r="6755" spans="1:2" x14ac:dyDescent="0.25">
      <c r="A6755" t="s">
        <v>29</v>
      </c>
      <c r="B6755" t="s">
        <v>4</v>
      </c>
    </row>
    <row r="6756" spans="1:2" x14ac:dyDescent="0.25">
      <c r="A6756" t="s">
        <v>30</v>
      </c>
      <c r="B6756" t="s">
        <v>4</v>
      </c>
    </row>
    <row r="6757" spans="1:2" x14ac:dyDescent="0.25">
      <c r="A6757" t="s">
        <v>31</v>
      </c>
      <c r="B6757" t="s">
        <v>4</v>
      </c>
    </row>
    <row r="6758" spans="1:2" x14ac:dyDescent="0.25">
      <c r="A6758" t="s">
        <v>32</v>
      </c>
      <c r="B6758" t="s">
        <v>4</v>
      </c>
    </row>
    <row r="6759" spans="1:2" x14ac:dyDescent="0.25">
      <c r="A6759" t="s">
        <v>33</v>
      </c>
      <c r="B6759" t="s">
        <v>4</v>
      </c>
    </row>
    <row r="6760" spans="1:2" x14ac:dyDescent="0.25">
      <c r="A6760" t="s">
        <v>34</v>
      </c>
      <c r="B6760" t="s">
        <v>4</v>
      </c>
    </row>
    <row r="6761" spans="1:2" x14ac:dyDescent="0.25">
      <c r="A6761" t="s">
        <v>35</v>
      </c>
      <c r="B6761" t="s">
        <v>4</v>
      </c>
    </row>
    <row r="6762" spans="1:2" x14ac:dyDescent="0.25">
      <c r="A6762" t="s">
        <v>36</v>
      </c>
      <c r="B6762" t="s">
        <v>4</v>
      </c>
    </row>
    <row r="6763" spans="1:2" x14ac:dyDescent="0.25">
      <c r="A6763" t="s">
        <v>37</v>
      </c>
      <c r="B6763" t="s">
        <v>4</v>
      </c>
    </row>
    <row r="6764" spans="1:2" x14ac:dyDescent="0.25">
      <c r="A6764" t="s">
        <v>38</v>
      </c>
      <c r="B6764" t="s">
        <v>4</v>
      </c>
    </row>
    <row r="6765" spans="1:2" x14ac:dyDescent="0.25">
      <c r="A6765" t="s">
        <v>39</v>
      </c>
      <c r="B6765" t="s">
        <v>4</v>
      </c>
    </row>
    <row r="6766" spans="1:2" x14ac:dyDescent="0.25">
      <c r="A6766" t="s">
        <v>40</v>
      </c>
      <c r="B6766" t="s">
        <v>4</v>
      </c>
    </row>
    <row r="6767" spans="1:2" x14ac:dyDescent="0.25">
      <c r="A6767" t="s">
        <v>41</v>
      </c>
      <c r="B6767" t="s">
        <v>4</v>
      </c>
    </row>
    <row r="6768" spans="1:2" x14ac:dyDescent="0.25">
      <c r="A6768" t="s">
        <v>42</v>
      </c>
      <c r="B6768" t="s">
        <v>4</v>
      </c>
    </row>
    <row r="6769" spans="1:2" x14ac:dyDescent="0.25">
      <c r="A6769" t="s">
        <v>43</v>
      </c>
      <c r="B6769" t="s">
        <v>4</v>
      </c>
    </row>
    <row r="6770" spans="1:2" x14ac:dyDescent="0.25">
      <c r="A6770" t="s">
        <v>44</v>
      </c>
      <c r="B6770" t="s">
        <v>4</v>
      </c>
    </row>
    <row r="6771" spans="1:2" x14ac:dyDescent="0.25">
      <c r="A6771" t="s">
        <v>45</v>
      </c>
      <c r="B6771" t="s">
        <v>4</v>
      </c>
    </row>
    <row r="6772" spans="1:2" x14ac:dyDescent="0.25">
      <c r="A6772" t="s">
        <v>46</v>
      </c>
      <c r="B6772" t="s">
        <v>4</v>
      </c>
    </row>
    <row r="6773" spans="1:2" x14ac:dyDescent="0.25">
      <c r="A6773" t="s">
        <v>47</v>
      </c>
      <c r="B6773" t="s">
        <v>4</v>
      </c>
    </row>
    <row r="6774" spans="1:2" x14ac:dyDescent="0.25">
      <c r="A6774" t="s">
        <v>48</v>
      </c>
      <c r="B6774" t="s">
        <v>4</v>
      </c>
    </row>
    <row r="6775" spans="1:2" x14ac:dyDescent="0.25">
      <c r="A6775" t="s">
        <v>49</v>
      </c>
      <c r="B6775" t="s">
        <v>4</v>
      </c>
    </row>
    <row r="6776" spans="1:2" x14ac:dyDescent="0.25">
      <c r="A6776" t="s">
        <v>50</v>
      </c>
      <c r="B6776" t="s">
        <v>4</v>
      </c>
    </row>
    <row r="6777" spans="1:2" x14ac:dyDescent="0.25">
      <c r="A6777" t="s">
        <v>51</v>
      </c>
      <c r="B6777" t="s">
        <v>4</v>
      </c>
    </row>
    <row r="6778" spans="1:2" x14ac:dyDescent="0.25">
      <c r="A6778" t="s">
        <v>52</v>
      </c>
      <c r="B6778" t="s">
        <v>4</v>
      </c>
    </row>
    <row r="6779" spans="1:2" x14ac:dyDescent="0.25">
      <c r="A6779" t="s">
        <v>53</v>
      </c>
      <c r="B6779" t="s">
        <v>4</v>
      </c>
    </row>
    <row r="6780" spans="1:2" x14ac:dyDescent="0.25">
      <c r="A6780" t="s">
        <v>54</v>
      </c>
      <c r="B6780" t="s">
        <v>4</v>
      </c>
    </row>
    <row r="6781" spans="1:2" x14ac:dyDescent="0.25">
      <c r="A6781" t="s">
        <v>55</v>
      </c>
      <c r="B6781" t="s">
        <v>4</v>
      </c>
    </row>
    <row r="6782" spans="1:2" x14ac:dyDescent="0.25">
      <c r="A6782" t="s">
        <v>56</v>
      </c>
      <c r="B6782" t="s">
        <v>4</v>
      </c>
    </row>
    <row r="6783" spans="1:2" x14ac:dyDescent="0.25">
      <c r="A6783" t="s">
        <v>57</v>
      </c>
      <c r="B6783" t="s">
        <v>4</v>
      </c>
    </row>
    <row r="6784" spans="1:2" x14ac:dyDescent="0.25">
      <c r="A6784" t="s">
        <v>58</v>
      </c>
      <c r="B6784" t="s">
        <v>4</v>
      </c>
    </row>
    <row r="6785" spans="1:2" x14ac:dyDescent="0.25">
      <c r="A6785" t="s">
        <v>59</v>
      </c>
      <c r="B6785" t="s">
        <v>4</v>
      </c>
    </row>
    <row r="6786" spans="1:2" x14ac:dyDescent="0.25">
      <c r="A6786" t="s">
        <v>60</v>
      </c>
      <c r="B6786" t="s">
        <v>4</v>
      </c>
    </row>
    <row r="6787" spans="1:2" x14ac:dyDescent="0.25">
      <c r="A6787" t="s">
        <v>61</v>
      </c>
      <c r="B6787" t="s">
        <v>4</v>
      </c>
    </row>
    <row r="6788" spans="1:2" x14ac:dyDescent="0.25">
      <c r="A6788" t="s">
        <v>62</v>
      </c>
      <c r="B6788" t="s">
        <v>4</v>
      </c>
    </row>
    <row r="6789" spans="1:2" x14ac:dyDescent="0.25">
      <c r="A6789" t="s">
        <v>63</v>
      </c>
      <c r="B6789" t="s">
        <v>4</v>
      </c>
    </row>
    <row r="6790" spans="1:2" x14ac:dyDescent="0.25">
      <c r="A6790" t="s">
        <v>64</v>
      </c>
      <c r="B6790" t="s">
        <v>4</v>
      </c>
    </row>
    <row r="6791" spans="1:2" x14ac:dyDescent="0.25">
      <c r="A6791" t="s">
        <v>65</v>
      </c>
      <c r="B6791" t="s">
        <v>4</v>
      </c>
    </row>
    <row r="6792" spans="1:2" x14ac:dyDescent="0.25">
      <c r="A6792" t="s">
        <v>66</v>
      </c>
      <c r="B6792" t="s">
        <v>4</v>
      </c>
    </row>
    <row r="6793" spans="1:2" x14ac:dyDescent="0.25">
      <c r="A6793" t="s">
        <v>67</v>
      </c>
      <c r="B6793" t="s">
        <v>4</v>
      </c>
    </row>
    <row r="6794" spans="1:2" x14ac:dyDescent="0.25">
      <c r="A6794" t="s">
        <v>68</v>
      </c>
      <c r="B6794" t="s">
        <v>4</v>
      </c>
    </row>
    <row r="6795" spans="1:2" x14ac:dyDescent="0.25">
      <c r="A6795" t="s">
        <v>69</v>
      </c>
      <c r="B6795" t="s">
        <v>4</v>
      </c>
    </row>
    <row r="6796" spans="1:2" x14ac:dyDescent="0.25">
      <c r="A6796" t="s">
        <v>70</v>
      </c>
      <c r="B6796" t="s">
        <v>4</v>
      </c>
    </row>
    <row r="6797" spans="1:2" x14ac:dyDescent="0.25">
      <c r="A6797" t="s">
        <v>71</v>
      </c>
      <c r="B6797" t="s">
        <v>4</v>
      </c>
    </row>
    <row r="6798" spans="1:2" x14ac:dyDescent="0.25">
      <c r="A6798" t="s">
        <v>72</v>
      </c>
      <c r="B6798" t="s">
        <v>4</v>
      </c>
    </row>
    <row r="6799" spans="1:2" x14ac:dyDescent="0.25">
      <c r="A6799" t="s">
        <v>73</v>
      </c>
      <c r="B6799" t="s">
        <v>4</v>
      </c>
    </row>
    <row r="6800" spans="1:2" x14ac:dyDescent="0.25">
      <c r="A6800" t="s">
        <v>74</v>
      </c>
      <c r="B6800" t="s">
        <v>4</v>
      </c>
    </row>
    <row r="6801" spans="1:2" x14ac:dyDescent="0.25">
      <c r="A6801" t="s">
        <v>75</v>
      </c>
      <c r="B6801" t="s">
        <v>4</v>
      </c>
    </row>
    <row r="6802" spans="1:2" x14ac:dyDescent="0.25">
      <c r="A6802" t="s">
        <v>76</v>
      </c>
      <c r="B6802" t="s">
        <v>4</v>
      </c>
    </row>
    <row r="6803" spans="1:2" x14ac:dyDescent="0.25">
      <c r="A6803" t="s">
        <v>77</v>
      </c>
      <c r="B6803" t="s">
        <v>4</v>
      </c>
    </row>
    <row r="6804" spans="1:2" x14ac:dyDescent="0.25">
      <c r="A6804" t="s">
        <v>78</v>
      </c>
      <c r="B6804" t="s">
        <v>4</v>
      </c>
    </row>
    <row r="6805" spans="1:2" x14ac:dyDescent="0.25">
      <c r="A6805" t="s">
        <v>79</v>
      </c>
      <c r="B6805" t="s">
        <v>4</v>
      </c>
    </row>
    <row r="6806" spans="1:2" x14ac:dyDescent="0.25">
      <c r="A6806" t="s">
        <v>80</v>
      </c>
      <c r="B6806" t="s">
        <v>4</v>
      </c>
    </row>
    <row r="6807" spans="1:2" x14ac:dyDescent="0.25">
      <c r="A6807" t="s">
        <v>81</v>
      </c>
      <c r="B6807" t="s">
        <v>4</v>
      </c>
    </row>
    <row r="6810" spans="1:2" x14ac:dyDescent="0.25">
      <c r="A6810" t="s">
        <v>0</v>
      </c>
      <c r="B6810" t="s">
        <v>156</v>
      </c>
    </row>
    <row r="6812" spans="1:2" s="1" customFormat="1" x14ac:dyDescent="0.25">
      <c r="A6812" s="1" t="s">
        <v>2</v>
      </c>
      <c r="B6812" s="1" t="s">
        <v>157</v>
      </c>
    </row>
    <row r="6813" spans="1:2" x14ac:dyDescent="0.25">
      <c r="A6813" t="s">
        <v>3</v>
      </c>
      <c r="B6813" t="s">
        <v>4</v>
      </c>
    </row>
    <row r="6814" spans="1:2" x14ac:dyDescent="0.25">
      <c r="A6814" t="s">
        <v>5</v>
      </c>
      <c r="B6814" t="s">
        <v>4</v>
      </c>
    </row>
    <row r="6815" spans="1:2" x14ac:dyDescent="0.25">
      <c r="A6815" t="s">
        <v>6</v>
      </c>
      <c r="B6815" t="s">
        <v>4</v>
      </c>
    </row>
    <row r="6816" spans="1:2" x14ac:dyDescent="0.25">
      <c r="A6816" t="s">
        <v>7</v>
      </c>
      <c r="B6816" t="s">
        <v>4</v>
      </c>
    </row>
    <row r="6817" spans="1:2" x14ac:dyDescent="0.25">
      <c r="A6817" t="s">
        <v>8</v>
      </c>
      <c r="B6817" t="s">
        <v>4</v>
      </c>
    </row>
    <row r="6818" spans="1:2" x14ac:dyDescent="0.25">
      <c r="A6818" t="s">
        <v>9</v>
      </c>
      <c r="B6818" t="s">
        <v>4</v>
      </c>
    </row>
    <row r="6819" spans="1:2" x14ac:dyDescent="0.25">
      <c r="A6819" t="s">
        <v>10</v>
      </c>
      <c r="B6819" t="s">
        <v>4</v>
      </c>
    </row>
    <row r="6820" spans="1:2" x14ac:dyDescent="0.25">
      <c r="A6820" t="s">
        <v>11</v>
      </c>
      <c r="B6820" t="s">
        <v>4</v>
      </c>
    </row>
    <row r="6821" spans="1:2" x14ac:dyDescent="0.25">
      <c r="A6821" t="s">
        <v>12</v>
      </c>
      <c r="B6821" t="s">
        <v>4</v>
      </c>
    </row>
    <row r="6822" spans="1:2" x14ac:dyDescent="0.25">
      <c r="A6822" t="s">
        <v>13</v>
      </c>
      <c r="B6822" t="s">
        <v>4</v>
      </c>
    </row>
    <row r="6823" spans="1:2" x14ac:dyDescent="0.25">
      <c r="A6823" t="s">
        <v>14</v>
      </c>
      <c r="B6823" t="s">
        <v>4</v>
      </c>
    </row>
    <row r="6824" spans="1:2" x14ac:dyDescent="0.25">
      <c r="A6824" t="s">
        <v>15</v>
      </c>
      <c r="B6824" t="s">
        <v>4</v>
      </c>
    </row>
    <row r="6825" spans="1:2" x14ac:dyDescent="0.25">
      <c r="A6825" t="s">
        <v>16</v>
      </c>
      <c r="B6825" t="s">
        <v>4</v>
      </c>
    </row>
    <row r="6826" spans="1:2" x14ac:dyDescent="0.25">
      <c r="A6826" t="s">
        <v>17</v>
      </c>
      <c r="B6826" t="s">
        <v>4</v>
      </c>
    </row>
    <row r="6827" spans="1:2" x14ac:dyDescent="0.25">
      <c r="A6827" t="s">
        <v>18</v>
      </c>
      <c r="B6827" t="s">
        <v>4</v>
      </c>
    </row>
    <row r="6828" spans="1:2" x14ac:dyDescent="0.25">
      <c r="A6828" t="s">
        <v>19</v>
      </c>
      <c r="B6828" t="s">
        <v>4</v>
      </c>
    </row>
    <row r="6829" spans="1:2" x14ac:dyDescent="0.25">
      <c r="A6829" t="s">
        <v>20</v>
      </c>
      <c r="B6829" t="s">
        <v>4</v>
      </c>
    </row>
    <row r="6830" spans="1:2" x14ac:dyDescent="0.25">
      <c r="A6830" t="s">
        <v>21</v>
      </c>
      <c r="B6830" t="s">
        <v>4</v>
      </c>
    </row>
    <row r="6831" spans="1:2" x14ac:dyDescent="0.25">
      <c r="A6831" t="s">
        <v>22</v>
      </c>
      <c r="B6831" t="s">
        <v>4</v>
      </c>
    </row>
    <row r="6832" spans="1:2" x14ac:dyDescent="0.25">
      <c r="A6832" t="s">
        <v>23</v>
      </c>
      <c r="B6832" t="s">
        <v>4</v>
      </c>
    </row>
    <row r="6833" spans="1:2" x14ac:dyDescent="0.25">
      <c r="A6833" t="s">
        <v>24</v>
      </c>
      <c r="B6833" t="s">
        <v>4</v>
      </c>
    </row>
    <row r="6834" spans="1:2" x14ac:dyDescent="0.25">
      <c r="A6834" t="s">
        <v>25</v>
      </c>
      <c r="B6834" t="s">
        <v>4</v>
      </c>
    </row>
    <row r="6835" spans="1:2" x14ac:dyDescent="0.25">
      <c r="A6835" t="s">
        <v>26</v>
      </c>
      <c r="B6835" t="s">
        <v>4</v>
      </c>
    </row>
    <row r="6836" spans="1:2" x14ac:dyDescent="0.25">
      <c r="A6836" t="s">
        <v>27</v>
      </c>
      <c r="B6836" t="s">
        <v>4</v>
      </c>
    </row>
    <row r="6837" spans="1:2" x14ac:dyDescent="0.25">
      <c r="A6837" t="s">
        <v>28</v>
      </c>
      <c r="B6837" t="s">
        <v>4</v>
      </c>
    </row>
    <row r="6838" spans="1:2" x14ac:dyDescent="0.25">
      <c r="A6838" t="s">
        <v>29</v>
      </c>
      <c r="B6838" t="s">
        <v>4</v>
      </c>
    </row>
    <row r="6839" spans="1:2" x14ac:dyDescent="0.25">
      <c r="A6839" t="s">
        <v>30</v>
      </c>
      <c r="B6839" t="s">
        <v>4</v>
      </c>
    </row>
    <row r="6840" spans="1:2" x14ac:dyDescent="0.25">
      <c r="A6840" t="s">
        <v>31</v>
      </c>
      <c r="B6840" t="s">
        <v>4</v>
      </c>
    </row>
    <row r="6841" spans="1:2" x14ac:dyDescent="0.25">
      <c r="A6841" t="s">
        <v>32</v>
      </c>
      <c r="B6841" t="s">
        <v>4</v>
      </c>
    </row>
    <row r="6842" spans="1:2" x14ac:dyDescent="0.25">
      <c r="A6842" t="s">
        <v>33</v>
      </c>
      <c r="B6842" t="s">
        <v>4</v>
      </c>
    </row>
    <row r="6843" spans="1:2" x14ac:dyDescent="0.25">
      <c r="A6843" t="s">
        <v>34</v>
      </c>
      <c r="B6843" t="s">
        <v>4</v>
      </c>
    </row>
    <row r="6844" spans="1:2" x14ac:dyDescent="0.25">
      <c r="A6844" t="s">
        <v>35</v>
      </c>
      <c r="B6844" t="s">
        <v>4</v>
      </c>
    </row>
    <row r="6845" spans="1:2" x14ac:dyDescent="0.25">
      <c r="A6845" t="s">
        <v>36</v>
      </c>
      <c r="B6845" t="s">
        <v>4</v>
      </c>
    </row>
    <row r="6846" spans="1:2" x14ac:dyDescent="0.25">
      <c r="A6846" t="s">
        <v>37</v>
      </c>
      <c r="B6846" t="s">
        <v>4</v>
      </c>
    </row>
    <row r="6847" spans="1:2" x14ac:dyDescent="0.25">
      <c r="A6847" t="s">
        <v>38</v>
      </c>
      <c r="B6847" t="s">
        <v>4</v>
      </c>
    </row>
    <row r="6848" spans="1:2" x14ac:dyDescent="0.25">
      <c r="A6848" t="s">
        <v>39</v>
      </c>
      <c r="B6848" t="s">
        <v>4</v>
      </c>
    </row>
    <row r="6849" spans="1:2" x14ac:dyDescent="0.25">
      <c r="A6849" t="s">
        <v>40</v>
      </c>
      <c r="B6849" t="s">
        <v>4</v>
      </c>
    </row>
    <row r="6850" spans="1:2" x14ac:dyDescent="0.25">
      <c r="A6850" t="s">
        <v>41</v>
      </c>
      <c r="B6850" t="s">
        <v>4</v>
      </c>
    </row>
    <row r="6851" spans="1:2" x14ac:dyDescent="0.25">
      <c r="A6851" t="s">
        <v>42</v>
      </c>
      <c r="B6851" t="s">
        <v>4</v>
      </c>
    </row>
    <row r="6852" spans="1:2" x14ac:dyDescent="0.25">
      <c r="A6852" t="s">
        <v>43</v>
      </c>
      <c r="B6852" t="s">
        <v>4</v>
      </c>
    </row>
    <row r="6853" spans="1:2" x14ac:dyDescent="0.25">
      <c r="A6853" t="s">
        <v>44</v>
      </c>
      <c r="B6853" t="s">
        <v>4</v>
      </c>
    </row>
    <row r="6854" spans="1:2" x14ac:dyDescent="0.25">
      <c r="A6854" t="s">
        <v>45</v>
      </c>
      <c r="B6854" t="s">
        <v>4</v>
      </c>
    </row>
    <row r="6855" spans="1:2" x14ac:dyDescent="0.25">
      <c r="A6855" t="s">
        <v>46</v>
      </c>
      <c r="B6855" t="s">
        <v>4</v>
      </c>
    </row>
    <row r="6856" spans="1:2" x14ac:dyDescent="0.25">
      <c r="A6856" t="s">
        <v>47</v>
      </c>
      <c r="B6856" t="s">
        <v>4</v>
      </c>
    </row>
    <row r="6857" spans="1:2" x14ac:dyDescent="0.25">
      <c r="A6857" t="s">
        <v>48</v>
      </c>
      <c r="B6857" t="s">
        <v>4</v>
      </c>
    </row>
    <row r="6858" spans="1:2" x14ac:dyDescent="0.25">
      <c r="A6858" t="s">
        <v>49</v>
      </c>
      <c r="B6858" t="s">
        <v>4</v>
      </c>
    </row>
    <row r="6859" spans="1:2" x14ac:dyDescent="0.25">
      <c r="A6859" t="s">
        <v>50</v>
      </c>
      <c r="B6859" t="s">
        <v>4</v>
      </c>
    </row>
    <row r="6860" spans="1:2" x14ac:dyDescent="0.25">
      <c r="A6860" t="s">
        <v>51</v>
      </c>
      <c r="B6860" t="s">
        <v>4</v>
      </c>
    </row>
    <row r="6861" spans="1:2" x14ac:dyDescent="0.25">
      <c r="A6861" t="s">
        <v>52</v>
      </c>
      <c r="B6861" t="s">
        <v>4</v>
      </c>
    </row>
    <row r="6862" spans="1:2" x14ac:dyDescent="0.25">
      <c r="A6862" t="s">
        <v>53</v>
      </c>
      <c r="B6862">
        <v>10.19</v>
      </c>
    </row>
    <row r="6863" spans="1:2" x14ac:dyDescent="0.25">
      <c r="A6863" t="s">
        <v>54</v>
      </c>
      <c r="B6863">
        <v>8.5299999999999994</v>
      </c>
    </row>
    <row r="6864" spans="1:2" x14ac:dyDescent="0.25">
      <c r="A6864" t="s">
        <v>55</v>
      </c>
      <c r="B6864">
        <v>23.21</v>
      </c>
    </row>
    <row r="6865" spans="1:2" x14ac:dyDescent="0.25">
      <c r="A6865" t="s">
        <v>56</v>
      </c>
      <c r="B6865" t="s">
        <v>4</v>
      </c>
    </row>
    <row r="6866" spans="1:2" x14ac:dyDescent="0.25">
      <c r="A6866" t="s">
        <v>57</v>
      </c>
      <c r="B6866" t="s">
        <v>4</v>
      </c>
    </row>
    <row r="6867" spans="1:2" x14ac:dyDescent="0.25">
      <c r="A6867" t="s">
        <v>58</v>
      </c>
      <c r="B6867" t="s">
        <v>4</v>
      </c>
    </row>
    <row r="6868" spans="1:2" x14ac:dyDescent="0.25">
      <c r="A6868" t="s">
        <v>59</v>
      </c>
      <c r="B6868" t="s">
        <v>4</v>
      </c>
    </row>
    <row r="6869" spans="1:2" x14ac:dyDescent="0.25">
      <c r="A6869" t="s">
        <v>60</v>
      </c>
      <c r="B6869">
        <v>18.57</v>
      </c>
    </row>
    <row r="6870" spans="1:2" x14ac:dyDescent="0.25">
      <c r="A6870" t="s">
        <v>61</v>
      </c>
      <c r="B6870">
        <v>13.85</v>
      </c>
    </row>
    <row r="6871" spans="1:2" x14ac:dyDescent="0.25">
      <c r="A6871" t="s">
        <v>62</v>
      </c>
      <c r="B6871">
        <v>18.579999999999998</v>
      </c>
    </row>
    <row r="6872" spans="1:2" x14ac:dyDescent="0.25">
      <c r="A6872" t="s">
        <v>63</v>
      </c>
      <c r="B6872">
        <v>23.08</v>
      </c>
    </row>
    <row r="6873" spans="1:2" x14ac:dyDescent="0.25">
      <c r="A6873" t="s">
        <v>64</v>
      </c>
      <c r="B6873">
        <v>25.14</v>
      </c>
    </row>
    <row r="6874" spans="1:2" x14ac:dyDescent="0.25">
      <c r="A6874" t="s">
        <v>65</v>
      </c>
      <c r="B6874" t="s">
        <v>4</v>
      </c>
    </row>
    <row r="6875" spans="1:2" x14ac:dyDescent="0.25">
      <c r="A6875" t="s">
        <v>66</v>
      </c>
      <c r="B6875" t="s">
        <v>4</v>
      </c>
    </row>
    <row r="6876" spans="1:2" x14ac:dyDescent="0.25">
      <c r="A6876" t="s">
        <v>67</v>
      </c>
      <c r="B6876" t="s">
        <v>4</v>
      </c>
    </row>
    <row r="6877" spans="1:2" x14ac:dyDescent="0.25">
      <c r="A6877" t="s">
        <v>68</v>
      </c>
      <c r="B6877">
        <v>10.31</v>
      </c>
    </row>
    <row r="6878" spans="1:2" x14ac:dyDescent="0.25">
      <c r="A6878" t="s">
        <v>69</v>
      </c>
      <c r="B6878" t="s">
        <v>4</v>
      </c>
    </row>
    <row r="6879" spans="1:2" x14ac:dyDescent="0.25">
      <c r="A6879" t="s">
        <v>70</v>
      </c>
      <c r="B6879">
        <v>15.32</v>
      </c>
    </row>
    <row r="6880" spans="1:2" x14ac:dyDescent="0.25">
      <c r="A6880" t="s">
        <v>71</v>
      </c>
      <c r="B6880">
        <v>25.54</v>
      </c>
    </row>
    <row r="6881" spans="1:2" x14ac:dyDescent="0.25">
      <c r="A6881" t="s">
        <v>72</v>
      </c>
      <c r="B6881">
        <v>18.260000000000002</v>
      </c>
    </row>
    <row r="6882" spans="1:2" x14ac:dyDescent="0.25">
      <c r="A6882" t="s">
        <v>73</v>
      </c>
      <c r="B6882" t="s">
        <v>4</v>
      </c>
    </row>
    <row r="6883" spans="1:2" x14ac:dyDescent="0.25">
      <c r="A6883" t="s">
        <v>74</v>
      </c>
      <c r="B6883">
        <v>20.78</v>
      </c>
    </row>
    <row r="6884" spans="1:2" x14ac:dyDescent="0.25">
      <c r="A6884" t="s">
        <v>75</v>
      </c>
      <c r="B6884">
        <v>18.61</v>
      </c>
    </row>
    <row r="6885" spans="1:2" x14ac:dyDescent="0.25">
      <c r="A6885" t="s">
        <v>76</v>
      </c>
      <c r="B6885">
        <v>14.02</v>
      </c>
    </row>
    <row r="6886" spans="1:2" x14ac:dyDescent="0.25">
      <c r="A6886" t="s">
        <v>77</v>
      </c>
      <c r="B6886">
        <v>12.92</v>
      </c>
    </row>
    <row r="6887" spans="1:2" x14ac:dyDescent="0.25">
      <c r="A6887" t="s">
        <v>78</v>
      </c>
      <c r="B6887" t="s">
        <v>4</v>
      </c>
    </row>
    <row r="6888" spans="1:2" x14ac:dyDescent="0.25">
      <c r="A6888" t="s">
        <v>79</v>
      </c>
      <c r="B6888" t="s">
        <v>4</v>
      </c>
    </row>
    <row r="6889" spans="1:2" x14ac:dyDescent="0.25">
      <c r="A6889" t="s">
        <v>80</v>
      </c>
      <c r="B6889" t="s">
        <v>4</v>
      </c>
    </row>
    <row r="6890" spans="1:2" x14ac:dyDescent="0.25">
      <c r="A6890" t="s">
        <v>81</v>
      </c>
      <c r="B6890" t="s">
        <v>4</v>
      </c>
    </row>
    <row r="6899" spans="1:1" x14ac:dyDescent="0.25">
      <c r="A6899">
        <f>6892/83</f>
        <v>83.036144578313255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S117"/>
  <sheetViews>
    <sheetView topLeftCell="A28" zoomScaleNormal="100" workbookViewId="0">
      <pane xSplit="2" topLeftCell="C1" activePane="topRight" state="frozen"/>
      <selection activeCell="A13" sqref="A13"/>
      <selection pane="topRight" activeCell="C43" sqref="C43:CS43"/>
    </sheetView>
  </sheetViews>
  <sheetFormatPr defaultRowHeight="13.8" x14ac:dyDescent="0.25"/>
  <cols>
    <col min="1" max="1" width="28.19921875" customWidth="1"/>
    <col min="9" max="9" width="16.69921875" customWidth="1"/>
    <col min="10" max="10" width="18.19921875" customWidth="1"/>
    <col min="16" max="16" width="16.69921875" customWidth="1"/>
    <col min="17" max="17" width="19.8984375" customWidth="1"/>
    <col min="31" max="31" width="9" style="24"/>
  </cols>
  <sheetData>
    <row r="1" spans="1:97" x14ac:dyDescent="0.25">
      <c r="B1" t="s">
        <v>334</v>
      </c>
    </row>
    <row r="2" spans="1:97" x14ac:dyDescent="0.25">
      <c r="A2" t="s">
        <v>0</v>
      </c>
      <c r="B2" t="s">
        <v>330</v>
      </c>
    </row>
    <row r="3" spans="1:97" x14ac:dyDescent="0.25">
      <c r="B3" t="s">
        <v>332</v>
      </c>
      <c r="N3" s="1"/>
    </row>
    <row r="4" spans="1:97" x14ac:dyDescent="0.25">
      <c r="A4" s="1" t="s">
        <v>2</v>
      </c>
      <c r="B4" s="1"/>
      <c r="C4" t="s">
        <v>253</v>
      </c>
      <c r="D4" s="41" t="s">
        <v>254</v>
      </c>
      <c r="E4" t="s">
        <v>255</v>
      </c>
      <c r="F4" t="s">
        <v>158</v>
      </c>
      <c r="G4" t="s">
        <v>256</v>
      </c>
      <c r="H4" t="s">
        <v>257</v>
      </c>
      <c r="I4" s="30" t="s">
        <v>258</v>
      </c>
      <c r="J4" t="s">
        <v>259</v>
      </c>
      <c r="K4" t="s">
        <v>260</v>
      </c>
      <c r="L4" t="s">
        <v>261</v>
      </c>
      <c r="M4" s="30" t="s">
        <v>262</v>
      </c>
      <c r="N4" t="s">
        <v>266</v>
      </c>
      <c r="O4" t="s">
        <v>263</v>
      </c>
      <c r="P4" t="s">
        <v>264</v>
      </c>
      <c r="Q4" t="s">
        <v>265</v>
      </c>
      <c r="R4" t="s">
        <v>163</v>
      </c>
      <c r="S4" t="s">
        <v>164</v>
      </c>
      <c r="T4" t="s">
        <v>165</v>
      </c>
      <c r="U4" s="29" t="s">
        <v>267</v>
      </c>
      <c r="V4" t="s">
        <v>268</v>
      </c>
      <c r="W4" t="s">
        <v>269</v>
      </c>
      <c r="X4" t="s">
        <v>270</v>
      </c>
      <c r="Y4" s="30" t="s">
        <v>271</v>
      </c>
      <c r="Z4" t="s">
        <v>272</v>
      </c>
      <c r="AA4" t="s">
        <v>273</v>
      </c>
      <c r="AB4" t="s">
        <v>274</v>
      </c>
      <c r="AC4" t="s">
        <v>275</v>
      </c>
      <c r="AD4" s="30" t="s">
        <v>276</v>
      </c>
      <c r="AE4" s="31" t="s">
        <v>277</v>
      </c>
      <c r="AF4" s="30" t="s">
        <v>278</v>
      </c>
      <c r="AG4" t="s">
        <v>279</v>
      </c>
      <c r="AH4" t="s">
        <v>280</v>
      </c>
      <c r="AI4" t="s">
        <v>281</v>
      </c>
      <c r="AJ4" t="s">
        <v>282</v>
      </c>
      <c r="AK4" t="s">
        <v>283</v>
      </c>
      <c r="AL4" s="29" t="s">
        <v>284</v>
      </c>
      <c r="AM4" t="s">
        <v>285</v>
      </c>
      <c r="AN4" t="s">
        <v>286</v>
      </c>
      <c r="AO4" s="29" t="s">
        <v>287</v>
      </c>
      <c r="AP4" s="32" t="s">
        <v>288</v>
      </c>
      <c r="AQ4" t="s">
        <v>289</v>
      </c>
      <c r="AR4" t="s">
        <v>290</v>
      </c>
      <c r="AS4" t="s">
        <v>291</v>
      </c>
      <c r="AT4" t="s">
        <v>292</v>
      </c>
      <c r="AU4" s="29" t="s">
        <v>293</v>
      </c>
      <c r="AV4" t="s">
        <v>294</v>
      </c>
      <c r="AW4" t="s">
        <v>295</v>
      </c>
      <c r="AX4" s="30" t="s">
        <v>296</v>
      </c>
      <c r="AY4" s="29" t="s">
        <v>297</v>
      </c>
      <c r="AZ4" t="s">
        <v>298</v>
      </c>
      <c r="BA4" t="s">
        <v>299</v>
      </c>
      <c r="BB4" t="s">
        <v>300</v>
      </c>
      <c r="BC4" t="s">
        <v>301</v>
      </c>
      <c r="BD4" s="30" t="s">
        <v>302</v>
      </c>
      <c r="BE4" t="s">
        <v>171</v>
      </c>
      <c r="BF4" t="s">
        <v>303</v>
      </c>
      <c r="BG4" t="s">
        <v>304</v>
      </c>
      <c r="BH4" s="30" t="s">
        <v>305</v>
      </c>
      <c r="BI4" t="s">
        <v>306</v>
      </c>
      <c r="BJ4" t="s">
        <v>307</v>
      </c>
      <c r="BK4" t="s">
        <v>308</v>
      </c>
      <c r="BL4" t="s">
        <v>309</v>
      </c>
      <c r="BM4" t="s">
        <v>310</v>
      </c>
      <c r="BN4" s="29" t="s">
        <v>311</v>
      </c>
      <c r="BO4" t="s">
        <v>312</v>
      </c>
      <c r="BP4" t="s">
        <v>313</v>
      </c>
      <c r="BQ4" t="s">
        <v>314</v>
      </c>
      <c r="BR4" s="32" t="s">
        <v>315</v>
      </c>
      <c r="BS4" t="s">
        <v>316</v>
      </c>
      <c r="BT4" t="s">
        <v>317</v>
      </c>
      <c r="BU4" t="s">
        <v>318</v>
      </c>
      <c r="BV4" t="s">
        <v>319</v>
      </c>
      <c r="BW4" t="s">
        <v>320</v>
      </c>
      <c r="BX4" t="s">
        <v>321</v>
      </c>
      <c r="BY4" t="s">
        <v>322</v>
      </c>
      <c r="BZ4" t="s">
        <v>323</v>
      </c>
      <c r="CA4" t="s">
        <v>324</v>
      </c>
      <c r="CB4" s="32" t="s">
        <v>325</v>
      </c>
      <c r="CC4" t="s">
        <v>326</v>
      </c>
      <c r="CD4" t="s">
        <v>327</v>
      </c>
      <c r="CE4" t="s">
        <v>328</v>
      </c>
      <c r="CF4" t="s">
        <v>389</v>
      </c>
      <c r="CG4" t="s">
        <v>390</v>
      </c>
      <c r="CH4" t="s">
        <v>391</v>
      </c>
      <c r="CI4" t="s">
        <v>392</v>
      </c>
      <c r="CJ4" t="s">
        <v>393</v>
      </c>
      <c r="CK4" t="s">
        <v>394</v>
      </c>
      <c r="CL4" t="s">
        <v>395</v>
      </c>
      <c r="CM4" t="s">
        <v>396</v>
      </c>
      <c r="CN4" t="s">
        <v>397</v>
      </c>
      <c r="CO4" t="s">
        <v>398</v>
      </c>
      <c r="CP4" t="s">
        <v>399</v>
      </c>
      <c r="CQ4" t="s">
        <v>400</v>
      </c>
      <c r="CR4" t="s">
        <v>401</v>
      </c>
      <c r="CS4" t="s">
        <v>402</v>
      </c>
    </row>
    <row r="5" spans="1:97" ht="14.4" x14ac:dyDescent="0.3">
      <c r="A5" t="s">
        <v>53</v>
      </c>
      <c r="B5" s="11" t="s">
        <v>228</v>
      </c>
      <c r="C5" t="s">
        <v>4</v>
      </c>
      <c r="D5">
        <v>1.71</v>
      </c>
      <c r="E5" t="s">
        <v>4</v>
      </c>
      <c r="F5" t="s">
        <v>4</v>
      </c>
      <c r="G5">
        <v>1.41</v>
      </c>
      <c r="H5">
        <v>2.5299999999999998</v>
      </c>
      <c r="I5" t="s">
        <v>4</v>
      </c>
      <c r="J5" t="s">
        <v>4</v>
      </c>
      <c r="K5">
        <v>11.52</v>
      </c>
      <c r="L5">
        <v>57.3</v>
      </c>
      <c r="M5">
        <v>27.04</v>
      </c>
      <c r="N5" t="s">
        <v>4</v>
      </c>
      <c r="O5" s="24">
        <v>47.65</v>
      </c>
      <c r="P5">
        <v>120.01</v>
      </c>
      <c r="Q5">
        <v>8.34</v>
      </c>
      <c r="R5">
        <v>4.42</v>
      </c>
      <c r="S5">
        <v>8.4700000000000006</v>
      </c>
      <c r="T5">
        <v>182</v>
      </c>
      <c r="U5">
        <v>6.33</v>
      </c>
      <c r="V5">
        <v>1.08</v>
      </c>
      <c r="W5" t="s">
        <v>4</v>
      </c>
      <c r="X5">
        <v>18.559999999999999</v>
      </c>
      <c r="Y5" t="s">
        <v>4</v>
      </c>
      <c r="Z5" t="s">
        <v>4</v>
      </c>
      <c r="AA5" t="s">
        <v>4</v>
      </c>
      <c r="AB5">
        <v>85.51</v>
      </c>
      <c r="AC5" t="s">
        <v>4</v>
      </c>
      <c r="AD5" s="24">
        <v>3.71</v>
      </c>
      <c r="AE5" s="24">
        <v>29.220000000000002</v>
      </c>
      <c r="AF5">
        <v>7.36</v>
      </c>
      <c r="AG5">
        <v>1412.74</v>
      </c>
      <c r="AH5" t="s">
        <v>4</v>
      </c>
      <c r="AI5">
        <v>165.63</v>
      </c>
      <c r="AJ5">
        <v>22.27</v>
      </c>
      <c r="AK5" t="s">
        <v>4</v>
      </c>
      <c r="AL5" t="s">
        <v>4</v>
      </c>
      <c r="AM5">
        <v>8.73</v>
      </c>
      <c r="AN5" t="s">
        <v>4</v>
      </c>
      <c r="AO5" t="s">
        <v>4</v>
      </c>
      <c r="AP5">
        <v>233.55</v>
      </c>
      <c r="AQ5">
        <v>11.38</v>
      </c>
      <c r="AR5">
        <v>40.81</v>
      </c>
      <c r="AS5">
        <v>11.52</v>
      </c>
      <c r="AT5" t="s">
        <v>4</v>
      </c>
      <c r="AU5" s="24">
        <v>37.4</v>
      </c>
      <c r="AV5" t="s">
        <v>4</v>
      </c>
      <c r="AW5" t="s">
        <v>4</v>
      </c>
      <c r="AX5">
        <v>35.880000000000003</v>
      </c>
      <c r="AY5" s="24">
        <v>75.239999999999995</v>
      </c>
      <c r="AZ5">
        <v>5.0599999999999996</v>
      </c>
      <c r="BA5">
        <v>4.8099999999999996</v>
      </c>
      <c r="BB5" t="s">
        <v>4</v>
      </c>
      <c r="BC5" t="s">
        <v>4</v>
      </c>
      <c r="BD5">
        <v>25.86</v>
      </c>
      <c r="BE5" t="s">
        <v>4</v>
      </c>
      <c r="BF5" t="s">
        <v>4</v>
      </c>
      <c r="BG5">
        <v>15.9</v>
      </c>
      <c r="BH5" t="s">
        <v>4</v>
      </c>
      <c r="BI5" t="s">
        <v>4</v>
      </c>
      <c r="BJ5" t="s">
        <v>4</v>
      </c>
      <c r="BK5" t="s">
        <v>4</v>
      </c>
      <c r="BL5">
        <v>60.1</v>
      </c>
      <c r="BM5" t="s">
        <v>4</v>
      </c>
      <c r="BN5" s="24">
        <v>7.4399999999999995</v>
      </c>
      <c r="BO5" t="s">
        <v>4</v>
      </c>
      <c r="BP5">
        <v>4.45</v>
      </c>
      <c r="BQ5">
        <v>9.26</v>
      </c>
      <c r="BR5" t="s">
        <v>4</v>
      </c>
      <c r="BS5" t="s">
        <v>4</v>
      </c>
      <c r="BT5" t="s">
        <v>4</v>
      </c>
      <c r="BU5" t="s">
        <v>4</v>
      </c>
      <c r="BV5" t="s">
        <v>4</v>
      </c>
      <c r="BW5">
        <v>13.9</v>
      </c>
      <c r="BX5">
        <v>10.68</v>
      </c>
      <c r="BY5" t="s">
        <v>4</v>
      </c>
      <c r="BZ5">
        <v>20.76</v>
      </c>
      <c r="CA5" t="s">
        <v>4</v>
      </c>
      <c r="CB5">
        <v>6.25</v>
      </c>
      <c r="CC5" t="s">
        <v>4</v>
      </c>
      <c r="CD5" t="s">
        <v>4</v>
      </c>
      <c r="CE5">
        <v>10.19</v>
      </c>
      <c r="CF5">
        <v>0.24</v>
      </c>
      <c r="CG5" t="s">
        <v>4</v>
      </c>
      <c r="CH5" t="s">
        <v>4</v>
      </c>
      <c r="CI5" t="s">
        <v>4</v>
      </c>
      <c r="CJ5">
        <v>2.11</v>
      </c>
      <c r="CK5">
        <v>105.06</v>
      </c>
      <c r="CL5">
        <v>154.91999999999999</v>
      </c>
      <c r="CM5" t="s">
        <v>4</v>
      </c>
      <c r="CN5">
        <v>18.619999999999997</v>
      </c>
      <c r="CO5" t="s">
        <v>4</v>
      </c>
      <c r="CP5" t="s">
        <v>4</v>
      </c>
      <c r="CQ5" t="s">
        <v>4</v>
      </c>
      <c r="CR5">
        <v>14.65</v>
      </c>
      <c r="CS5" t="s">
        <v>4</v>
      </c>
    </row>
    <row r="6" spans="1:97" x14ac:dyDescent="0.25">
      <c r="A6" t="s">
        <v>68</v>
      </c>
      <c r="B6" s="13" t="s">
        <v>243</v>
      </c>
      <c r="C6" t="s">
        <v>4</v>
      </c>
      <c r="D6">
        <v>2.77</v>
      </c>
      <c r="E6" t="s">
        <v>4</v>
      </c>
      <c r="F6" t="s">
        <v>4</v>
      </c>
      <c r="G6">
        <v>0.86</v>
      </c>
      <c r="H6" t="s">
        <v>4</v>
      </c>
      <c r="I6" t="s">
        <v>4</v>
      </c>
      <c r="J6" t="s">
        <v>4</v>
      </c>
      <c r="K6">
        <v>2.19</v>
      </c>
      <c r="L6">
        <v>122.34</v>
      </c>
      <c r="M6">
        <v>10.81</v>
      </c>
      <c r="N6" t="s">
        <v>4</v>
      </c>
      <c r="O6" s="24">
        <v>20.65</v>
      </c>
      <c r="P6">
        <v>1580.89</v>
      </c>
      <c r="Q6">
        <v>40.99</v>
      </c>
      <c r="R6">
        <v>25.32</v>
      </c>
      <c r="S6">
        <v>51.38</v>
      </c>
      <c r="T6">
        <v>1340.43</v>
      </c>
      <c r="U6">
        <v>7.71</v>
      </c>
      <c r="V6" t="s">
        <v>4</v>
      </c>
      <c r="W6" t="s">
        <v>4</v>
      </c>
      <c r="X6">
        <v>6.84</v>
      </c>
      <c r="Y6" t="s">
        <v>4</v>
      </c>
      <c r="Z6" t="s">
        <v>4</v>
      </c>
      <c r="AA6" t="s">
        <v>4</v>
      </c>
      <c r="AB6">
        <v>286.75</v>
      </c>
      <c r="AC6" t="s">
        <v>4</v>
      </c>
      <c r="AD6" s="24">
        <v>2.33</v>
      </c>
      <c r="AE6" s="24">
        <v>1.95</v>
      </c>
      <c r="AF6">
        <v>2.21</v>
      </c>
      <c r="AG6">
        <v>571.33000000000004</v>
      </c>
      <c r="AH6" t="s">
        <v>4</v>
      </c>
      <c r="AI6">
        <v>7.67</v>
      </c>
      <c r="AJ6">
        <v>10.56</v>
      </c>
      <c r="AK6" t="s">
        <v>4</v>
      </c>
      <c r="AL6" t="s">
        <v>4</v>
      </c>
      <c r="AM6">
        <v>2.76</v>
      </c>
      <c r="AN6" t="s">
        <v>4</v>
      </c>
      <c r="AO6" t="s">
        <v>4</v>
      </c>
      <c r="AP6">
        <v>41.6</v>
      </c>
      <c r="AQ6" t="s">
        <v>4</v>
      </c>
      <c r="AR6">
        <v>733.46</v>
      </c>
      <c r="AS6" t="s">
        <v>4</v>
      </c>
      <c r="AT6" t="s">
        <v>4</v>
      </c>
      <c r="AU6" s="24">
        <v>4</v>
      </c>
      <c r="AV6" t="s">
        <v>4</v>
      </c>
      <c r="AW6" t="s">
        <v>4</v>
      </c>
      <c r="AX6">
        <v>9.18</v>
      </c>
      <c r="AY6" s="24">
        <v>2.35</v>
      </c>
      <c r="AZ6">
        <v>60.48</v>
      </c>
      <c r="BA6">
        <v>6.38</v>
      </c>
      <c r="BB6" t="s">
        <v>4</v>
      </c>
      <c r="BC6" t="s">
        <v>4</v>
      </c>
      <c r="BD6" t="s">
        <v>4</v>
      </c>
      <c r="BE6" t="s">
        <v>4</v>
      </c>
      <c r="BF6" t="s">
        <v>4</v>
      </c>
      <c r="BG6">
        <v>3.38</v>
      </c>
      <c r="BH6">
        <v>0.56999999999999995</v>
      </c>
      <c r="BI6" t="s">
        <v>4</v>
      </c>
      <c r="BJ6" t="s">
        <v>4</v>
      </c>
      <c r="BK6" t="s">
        <v>4</v>
      </c>
      <c r="BL6">
        <v>6.7</v>
      </c>
      <c r="BM6" t="s">
        <v>4</v>
      </c>
      <c r="BN6" s="24">
        <v>20.76</v>
      </c>
      <c r="BO6" t="s">
        <v>4</v>
      </c>
      <c r="BP6" t="s">
        <v>4</v>
      </c>
      <c r="BQ6">
        <v>20.170000000000002</v>
      </c>
      <c r="BR6" t="s">
        <v>4</v>
      </c>
      <c r="BS6" t="s">
        <v>4</v>
      </c>
      <c r="BT6" t="s">
        <v>4</v>
      </c>
      <c r="BU6">
        <v>18.420000000000002</v>
      </c>
      <c r="BV6" t="s">
        <v>4</v>
      </c>
      <c r="BW6">
        <v>156.84</v>
      </c>
      <c r="BX6">
        <v>112.83</v>
      </c>
      <c r="BY6" t="s">
        <v>4</v>
      </c>
      <c r="BZ6">
        <v>9.17</v>
      </c>
      <c r="CA6" t="s">
        <v>4</v>
      </c>
      <c r="CB6">
        <v>3.74</v>
      </c>
      <c r="CC6">
        <v>0.91</v>
      </c>
      <c r="CD6" t="s">
        <v>4</v>
      </c>
      <c r="CE6">
        <v>10.31</v>
      </c>
      <c r="CF6">
        <v>1.0900000000000001</v>
      </c>
      <c r="CG6" t="s">
        <v>4</v>
      </c>
      <c r="CH6" t="s">
        <v>4</v>
      </c>
      <c r="CI6" t="s">
        <v>4</v>
      </c>
      <c r="CJ6">
        <v>5.72</v>
      </c>
      <c r="CK6">
        <v>198.23</v>
      </c>
      <c r="CL6">
        <v>503</v>
      </c>
      <c r="CM6">
        <v>2.3100000000000005</v>
      </c>
      <c r="CN6">
        <v>19</v>
      </c>
      <c r="CO6" t="s">
        <v>4</v>
      </c>
      <c r="CP6" t="s">
        <v>4</v>
      </c>
      <c r="CQ6" t="s">
        <v>4</v>
      </c>
      <c r="CR6">
        <v>1.35</v>
      </c>
      <c r="CS6" t="s">
        <v>4</v>
      </c>
    </row>
    <row r="7" spans="1:97" ht="14.4" x14ac:dyDescent="0.3">
      <c r="A7" t="s">
        <v>56</v>
      </c>
      <c r="B7" s="11" t="s">
        <v>231</v>
      </c>
      <c r="C7" t="s">
        <v>4</v>
      </c>
      <c r="D7" t="s">
        <v>4</v>
      </c>
      <c r="E7" t="s">
        <v>4</v>
      </c>
      <c r="F7" t="s">
        <v>4</v>
      </c>
      <c r="G7">
        <v>0.4</v>
      </c>
      <c r="H7">
        <v>5.0599999999999996</v>
      </c>
      <c r="I7">
        <v>6.71</v>
      </c>
      <c r="J7" t="s">
        <v>4</v>
      </c>
      <c r="K7" t="s">
        <v>4</v>
      </c>
      <c r="L7" t="s">
        <v>4</v>
      </c>
      <c r="M7">
        <v>14.99</v>
      </c>
      <c r="N7" t="s">
        <v>4</v>
      </c>
      <c r="O7" s="24" t="s">
        <v>4</v>
      </c>
      <c r="P7">
        <v>127.58</v>
      </c>
      <c r="Q7">
        <v>19.04</v>
      </c>
      <c r="R7" t="s">
        <v>4</v>
      </c>
      <c r="S7" t="s">
        <v>4</v>
      </c>
      <c r="T7">
        <v>7.79</v>
      </c>
      <c r="U7" t="s">
        <v>4</v>
      </c>
      <c r="V7" t="s">
        <v>4</v>
      </c>
      <c r="W7" t="s">
        <v>4</v>
      </c>
      <c r="X7">
        <v>43.55</v>
      </c>
      <c r="Y7" t="s">
        <v>4</v>
      </c>
      <c r="Z7" t="s">
        <v>4</v>
      </c>
      <c r="AA7" t="s">
        <v>4</v>
      </c>
      <c r="AB7" t="s">
        <v>4</v>
      </c>
      <c r="AC7" t="s">
        <v>4</v>
      </c>
      <c r="AD7" s="24">
        <v>0.59999999999999964</v>
      </c>
      <c r="AE7" s="24" t="s">
        <v>4</v>
      </c>
      <c r="AF7" t="s">
        <v>4</v>
      </c>
      <c r="AG7">
        <v>4.82</v>
      </c>
      <c r="AH7" t="s">
        <v>4</v>
      </c>
      <c r="AI7" t="s">
        <v>4</v>
      </c>
      <c r="AJ7" t="s">
        <v>4</v>
      </c>
      <c r="AK7" t="s">
        <v>4</v>
      </c>
      <c r="AL7">
        <v>11.98</v>
      </c>
      <c r="AM7" t="s">
        <v>4</v>
      </c>
      <c r="AN7">
        <v>0.26</v>
      </c>
      <c r="AO7" t="s">
        <v>4</v>
      </c>
      <c r="AP7">
        <v>117.69</v>
      </c>
      <c r="AQ7" t="s">
        <v>4</v>
      </c>
      <c r="AR7">
        <v>9.56</v>
      </c>
      <c r="AS7" t="s">
        <v>4</v>
      </c>
      <c r="AT7" t="s">
        <v>4</v>
      </c>
      <c r="AU7" s="24">
        <v>1.24</v>
      </c>
      <c r="AV7">
        <v>7.65</v>
      </c>
      <c r="AW7" t="s">
        <v>4</v>
      </c>
      <c r="AX7">
        <v>60.59</v>
      </c>
      <c r="AY7" s="24">
        <v>1.53</v>
      </c>
      <c r="AZ7" t="s">
        <v>4</v>
      </c>
      <c r="BA7" t="s">
        <v>4</v>
      </c>
      <c r="BB7" t="s">
        <v>4</v>
      </c>
      <c r="BC7" t="s">
        <v>4</v>
      </c>
      <c r="BD7" t="s">
        <v>4</v>
      </c>
      <c r="BE7" t="s">
        <v>4</v>
      </c>
      <c r="BF7" t="s">
        <v>4</v>
      </c>
      <c r="BG7" t="s">
        <v>4</v>
      </c>
      <c r="BH7" t="s">
        <v>4</v>
      </c>
      <c r="BI7" t="s">
        <v>4</v>
      </c>
      <c r="BJ7" t="s">
        <v>4</v>
      </c>
      <c r="BK7">
        <v>0.2</v>
      </c>
      <c r="BL7">
        <v>1.52</v>
      </c>
      <c r="BM7" t="s">
        <v>4</v>
      </c>
      <c r="BN7" s="24">
        <v>0.56000000000000005</v>
      </c>
      <c r="BO7" t="s">
        <v>4</v>
      </c>
      <c r="BP7" t="s">
        <v>4</v>
      </c>
      <c r="BQ7" t="s">
        <v>4</v>
      </c>
      <c r="BR7" t="s">
        <v>4</v>
      </c>
      <c r="BS7" t="s">
        <v>4</v>
      </c>
      <c r="BT7" t="s">
        <v>4</v>
      </c>
      <c r="BU7" t="s">
        <v>4</v>
      </c>
      <c r="BV7" t="s">
        <v>4</v>
      </c>
      <c r="BW7" t="s">
        <v>4</v>
      </c>
      <c r="BX7" t="s">
        <v>4</v>
      </c>
      <c r="BY7" t="s">
        <v>4</v>
      </c>
      <c r="BZ7" t="s">
        <v>4</v>
      </c>
      <c r="CA7" t="s">
        <v>4</v>
      </c>
      <c r="CB7">
        <v>0.79</v>
      </c>
      <c r="CC7" t="s">
        <v>4</v>
      </c>
      <c r="CD7" t="s">
        <v>4</v>
      </c>
      <c r="CE7" t="s">
        <v>4</v>
      </c>
      <c r="CF7" t="s">
        <v>4</v>
      </c>
      <c r="CG7" t="s">
        <v>4</v>
      </c>
      <c r="CH7">
        <v>64.03</v>
      </c>
      <c r="CI7" t="s">
        <v>4</v>
      </c>
      <c r="CJ7" t="s">
        <v>4</v>
      </c>
      <c r="CK7" t="s">
        <v>4</v>
      </c>
      <c r="CL7" t="s">
        <v>4</v>
      </c>
      <c r="CM7" t="s">
        <v>4</v>
      </c>
      <c r="CN7">
        <v>0.91999999999999993</v>
      </c>
      <c r="CO7" t="s">
        <v>4</v>
      </c>
      <c r="CP7" t="s">
        <v>4</v>
      </c>
      <c r="CQ7" t="s">
        <v>4</v>
      </c>
      <c r="CR7" t="s">
        <v>4</v>
      </c>
      <c r="CS7" t="s">
        <v>4</v>
      </c>
    </row>
    <row r="8" spans="1:97" ht="14.4" x14ac:dyDescent="0.3">
      <c r="A8" t="s">
        <v>9</v>
      </c>
      <c r="B8" s="11" t="s">
        <v>180</v>
      </c>
      <c r="C8">
        <v>1308.08</v>
      </c>
      <c r="D8" t="s">
        <v>4</v>
      </c>
      <c r="E8" t="s">
        <v>4</v>
      </c>
      <c r="F8" t="s">
        <v>4</v>
      </c>
      <c r="G8" t="s">
        <v>4</v>
      </c>
      <c r="H8">
        <v>24.56</v>
      </c>
      <c r="I8">
        <v>71.62</v>
      </c>
      <c r="J8">
        <v>67.709999999999994</v>
      </c>
      <c r="K8">
        <v>1.18</v>
      </c>
      <c r="L8" t="s">
        <v>4</v>
      </c>
      <c r="M8">
        <v>82.04</v>
      </c>
      <c r="N8" t="s">
        <v>4</v>
      </c>
      <c r="O8" s="24">
        <v>47.38</v>
      </c>
      <c r="P8">
        <v>1421.1</v>
      </c>
      <c r="Q8">
        <v>209.33</v>
      </c>
      <c r="R8" t="s">
        <v>4</v>
      </c>
      <c r="S8" t="s">
        <v>4</v>
      </c>
      <c r="T8">
        <v>68.06</v>
      </c>
      <c r="U8">
        <v>0.33</v>
      </c>
      <c r="V8" t="s">
        <v>4</v>
      </c>
      <c r="W8" t="s">
        <v>4</v>
      </c>
      <c r="X8">
        <v>755.48</v>
      </c>
      <c r="Y8" t="s">
        <v>4</v>
      </c>
      <c r="Z8" t="s">
        <v>4</v>
      </c>
      <c r="AA8" t="s">
        <v>4</v>
      </c>
      <c r="AB8" t="s">
        <v>4</v>
      </c>
      <c r="AC8" t="s">
        <v>4</v>
      </c>
      <c r="AD8" s="24">
        <v>6.38</v>
      </c>
      <c r="AE8" s="24">
        <v>103.07000000000001</v>
      </c>
      <c r="AF8" t="s">
        <v>4</v>
      </c>
      <c r="AG8">
        <v>736.87</v>
      </c>
      <c r="AH8" t="s">
        <v>4</v>
      </c>
      <c r="AI8" t="s">
        <v>4</v>
      </c>
      <c r="AJ8" t="s">
        <v>4</v>
      </c>
      <c r="AK8" t="s">
        <v>4</v>
      </c>
      <c r="AL8">
        <v>3.51</v>
      </c>
      <c r="AM8" t="s">
        <v>4</v>
      </c>
      <c r="AN8">
        <v>0.91</v>
      </c>
      <c r="AO8" t="s">
        <v>4</v>
      </c>
      <c r="AP8">
        <v>1777.71</v>
      </c>
      <c r="AQ8" t="s">
        <v>4</v>
      </c>
      <c r="AR8">
        <v>83.48</v>
      </c>
      <c r="AS8" t="s">
        <v>4</v>
      </c>
      <c r="AT8" t="s">
        <v>4</v>
      </c>
      <c r="AU8" s="24">
        <v>9.1199999999999992</v>
      </c>
      <c r="AV8" t="s">
        <v>4</v>
      </c>
      <c r="AW8" t="s">
        <v>4</v>
      </c>
      <c r="AX8">
        <v>971.37</v>
      </c>
      <c r="AY8" s="24">
        <v>6.7</v>
      </c>
      <c r="AZ8" t="s">
        <v>4</v>
      </c>
      <c r="BA8" t="s">
        <v>4</v>
      </c>
      <c r="BB8" t="s">
        <v>4</v>
      </c>
      <c r="BC8" t="s">
        <v>4</v>
      </c>
      <c r="BD8">
        <v>481.06</v>
      </c>
      <c r="BE8" t="s">
        <v>4</v>
      </c>
      <c r="BF8" t="s">
        <v>4</v>
      </c>
      <c r="BG8" t="s">
        <v>4</v>
      </c>
      <c r="BH8">
        <v>25.38</v>
      </c>
      <c r="BI8" t="s">
        <v>4</v>
      </c>
      <c r="BJ8" t="s">
        <v>4</v>
      </c>
      <c r="BK8">
        <v>0.34</v>
      </c>
      <c r="BL8" t="s">
        <v>4</v>
      </c>
      <c r="BM8" t="s">
        <v>4</v>
      </c>
      <c r="BN8" s="24">
        <v>6.82</v>
      </c>
      <c r="BO8" t="s">
        <v>4</v>
      </c>
      <c r="BP8" t="s">
        <v>4</v>
      </c>
      <c r="BQ8">
        <v>367.37</v>
      </c>
      <c r="BR8" t="s">
        <v>4</v>
      </c>
      <c r="BS8" t="s">
        <v>4</v>
      </c>
      <c r="BT8" t="s">
        <v>4</v>
      </c>
      <c r="BU8" t="s">
        <v>4</v>
      </c>
      <c r="BV8" t="s">
        <v>4</v>
      </c>
      <c r="BW8">
        <v>1.87</v>
      </c>
      <c r="BX8" t="s">
        <v>4</v>
      </c>
      <c r="BY8" t="s">
        <v>4</v>
      </c>
      <c r="BZ8">
        <v>5.67</v>
      </c>
      <c r="CA8">
        <v>1.59</v>
      </c>
      <c r="CB8">
        <v>1.08</v>
      </c>
      <c r="CC8" t="s">
        <v>4</v>
      </c>
      <c r="CD8" t="s">
        <v>4</v>
      </c>
      <c r="CE8" t="s">
        <v>4</v>
      </c>
      <c r="CF8" t="s">
        <v>4</v>
      </c>
      <c r="CG8" t="s">
        <v>4</v>
      </c>
      <c r="CH8">
        <v>23.16</v>
      </c>
      <c r="CI8" t="s">
        <v>4</v>
      </c>
      <c r="CJ8" t="s">
        <v>4</v>
      </c>
      <c r="CK8" t="s">
        <v>4</v>
      </c>
      <c r="CL8" t="s">
        <v>4</v>
      </c>
      <c r="CM8">
        <v>5.17</v>
      </c>
      <c r="CN8">
        <v>5.8100000000000005</v>
      </c>
      <c r="CO8" t="s">
        <v>4</v>
      </c>
      <c r="CP8" t="s">
        <v>4</v>
      </c>
      <c r="CQ8" t="s">
        <v>4</v>
      </c>
      <c r="CR8" t="s">
        <v>4</v>
      </c>
      <c r="CS8" t="s">
        <v>4</v>
      </c>
    </row>
    <row r="9" spans="1:97" ht="14.4" x14ac:dyDescent="0.3">
      <c r="A9" t="s">
        <v>10</v>
      </c>
      <c r="B9" s="11" t="s">
        <v>181</v>
      </c>
      <c r="C9" t="s">
        <v>4</v>
      </c>
      <c r="D9" t="s">
        <v>4</v>
      </c>
      <c r="E9" t="s">
        <v>4</v>
      </c>
      <c r="F9" t="s">
        <v>4</v>
      </c>
      <c r="G9" t="s">
        <v>4</v>
      </c>
      <c r="H9">
        <v>0.84</v>
      </c>
      <c r="I9" t="s">
        <v>4</v>
      </c>
      <c r="J9" t="s">
        <v>4</v>
      </c>
      <c r="K9">
        <v>1.19</v>
      </c>
      <c r="L9" t="s">
        <v>4</v>
      </c>
      <c r="M9">
        <v>130.22999999999999</v>
      </c>
      <c r="N9" t="s">
        <v>4</v>
      </c>
      <c r="O9" s="24" t="s">
        <v>4</v>
      </c>
      <c r="P9">
        <v>231.37</v>
      </c>
      <c r="Q9">
        <v>50.77</v>
      </c>
      <c r="R9" t="s">
        <v>4</v>
      </c>
      <c r="S9" t="s">
        <v>4</v>
      </c>
      <c r="T9">
        <v>3.93</v>
      </c>
      <c r="U9">
        <v>1.57</v>
      </c>
      <c r="V9" t="s">
        <v>4</v>
      </c>
      <c r="W9" t="s">
        <v>4</v>
      </c>
      <c r="X9">
        <v>7.64</v>
      </c>
      <c r="Y9" t="s">
        <v>4</v>
      </c>
      <c r="Z9" t="s">
        <v>4</v>
      </c>
      <c r="AA9" t="s">
        <v>4</v>
      </c>
      <c r="AB9" t="s">
        <v>4</v>
      </c>
      <c r="AC9" t="s">
        <v>4</v>
      </c>
      <c r="AD9" s="24">
        <v>1</v>
      </c>
      <c r="AE9" s="24">
        <v>0.92999999999999994</v>
      </c>
      <c r="AF9" t="s">
        <v>4</v>
      </c>
      <c r="AG9" s="2">
        <v>98996.18</v>
      </c>
      <c r="AH9" t="s">
        <v>4</v>
      </c>
      <c r="AI9">
        <v>15.76</v>
      </c>
      <c r="AJ9" t="s">
        <v>4</v>
      </c>
      <c r="AK9" t="s">
        <v>4</v>
      </c>
      <c r="AL9">
        <v>3.98</v>
      </c>
      <c r="AM9" t="s">
        <v>4</v>
      </c>
      <c r="AN9" t="s">
        <v>4</v>
      </c>
      <c r="AO9" t="s">
        <v>4</v>
      </c>
      <c r="AP9">
        <v>93.31</v>
      </c>
      <c r="AQ9" t="s">
        <v>4</v>
      </c>
      <c r="AR9">
        <v>29.05</v>
      </c>
      <c r="AS9" t="s">
        <v>4</v>
      </c>
      <c r="AT9" t="s">
        <v>4</v>
      </c>
      <c r="AU9" s="24">
        <v>26.060000000000002</v>
      </c>
      <c r="AV9" t="s">
        <v>4</v>
      </c>
      <c r="AW9" t="s">
        <v>4</v>
      </c>
      <c r="AX9">
        <v>5.39</v>
      </c>
      <c r="AY9" s="24">
        <v>4.09</v>
      </c>
      <c r="AZ9" t="s">
        <v>4</v>
      </c>
      <c r="BA9" t="s">
        <v>4</v>
      </c>
      <c r="BB9" t="s">
        <v>4</v>
      </c>
      <c r="BC9" t="s">
        <v>4</v>
      </c>
      <c r="BD9">
        <v>3.59</v>
      </c>
      <c r="BE9" t="s">
        <v>4</v>
      </c>
      <c r="BF9" t="s">
        <v>4</v>
      </c>
      <c r="BG9" t="s">
        <v>4</v>
      </c>
      <c r="BH9">
        <v>1.99</v>
      </c>
      <c r="BI9" t="s">
        <v>4</v>
      </c>
      <c r="BJ9" t="s">
        <v>4</v>
      </c>
      <c r="BK9" t="s">
        <v>4</v>
      </c>
      <c r="BL9" t="s">
        <v>4</v>
      </c>
      <c r="BM9" t="s">
        <v>4</v>
      </c>
      <c r="BN9" s="24">
        <v>1.73</v>
      </c>
      <c r="BO9" t="s">
        <v>4</v>
      </c>
      <c r="BP9" t="s">
        <v>4</v>
      </c>
      <c r="BQ9">
        <v>2.48</v>
      </c>
      <c r="BR9">
        <v>91.53</v>
      </c>
      <c r="BS9" t="s">
        <v>4</v>
      </c>
      <c r="BT9" t="s">
        <v>4</v>
      </c>
      <c r="BU9" t="s">
        <v>4</v>
      </c>
      <c r="BV9" t="s">
        <v>4</v>
      </c>
      <c r="BW9" t="s">
        <v>4</v>
      </c>
      <c r="BX9" t="s">
        <v>4</v>
      </c>
      <c r="BY9" t="s">
        <v>4</v>
      </c>
      <c r="BZ9">
        <v>7.27</v>
      </c>
      <c r="CA9" t="s">
        <v>4</v>
      </c>
      <c r="CB9">
        <v>9.15</v>
      </c>
      <c r="CC9" t="s">
        <v>4</v>
      </c>
      <c r="CD9" t="s">
        <v>4</v>
      </c>
      <c r="CE9" t="s">
        <v>4</v>
      </c>
      <c r="CF9" t="s">
        <v>4</v>
      </c>
      <c r="CG9" t="s">
        <v>4</v>
      </c>
      <c r="CH9" t="s">
        <v>4</v>
      </c>
      <c r="CI9" t="s">
        <v>4</v>
      </c>
      <c r="CJ9" t="s">
        <v>4</v>
      </c>
      <c r="CK9" t="s">
        <v>4</v>
      </c>
      <c r="CL9" t="s">
        <v>4</v>
      </c>
      <c r="CM9">
        <v>3.4800000000000004</v>
      </c>
      <c r="CN9">
        <v>5.8599999999999994</v>
      </c>
      <c r="CO9" t="s">
        <v>4</v>
      </c>
      <c r="CP9" t="s">
        <v>4</v>
      </c>
      <c r="CQ9" t="s">
        <v>4</v>
      </c>
      <c r="CR9" t="s">
        <v>4</v>
      </c>
      <c r="CS9" t="s">
        <v>4</v>
      </c>
    </row>
    <row r="10" spans="1:97" ht="14.4" x14ac:dyDescent="0.3">
      <c r="A10" t="s">
        <v>11</v>
      </c>
      <c r="B10" s="11" t="s">
        <v>182</v>
      </c>
      <c r="C10" t="s">
        <v>4</v>
      </c>
      <c r="D10" t="s">
        <v>4</v>
      </c>
      <c r="E10" t="s">
        <v>4</v>
      </c>
      <c r="F10" t="s">
        <v>4</v>
      </c>
      <c r="G10" t="s">
        <v>4</v>
      </c>
      <c r="H10" t="s">
        <v>4</v>
      </c>
      <c r="I10" t="s">
        <v>4</v>
      </c>
      <c r="J10" t="s">
        <v>4</v>
      </c>
      <c r="K10">
        <v>0.47</v>
      </c>
      <c r="L10" t="s">
        <v>4</v>
      </c>
      <c r="M10">
        <v>51.95</v>
      </c>
      <c r="N10" t="s">
        <v>4</v>
      </c>
      <c r="O10" s="24">
        <v>20.729999999999997</v>
      </c>
      <c r="P10">
        <v>39.6</v>
      </c>
      <c r="Q10">
        <v>7.29</v>
      </c>
      <c r="R10" t="s">
        <v>4</v>
      </c>
      <c r="S10" t="s">
        <v>4</v>
      </c>
      <c r="T10" t="s">
        <v>4</v>
      </c>
      <c r="U10">
        <v>0.86</v>
      </c>
      <c r="V10" t="s">
        <v>4</v>
      </c>
      <c r="W10" t="s">
        <v>4</v>
      </c>
      <c r="X10" t="s">
        <v>4</v>
      </c>
      <c r="Y10" t="s">
        <v>4</v>
      </c>
      <c r="Z10" t="s">
        <v>4</v>
      </c>
      <c r="AA10" t="s">
        <v>4</v>
      </c>
      <c r="AB10" t="s">
        <v>4</v>
      </c>
      <c r="AC10" t="s">
        <v>4</v>
      </c>
      <c r="AD10" s="24">
        <v>0.47999999999999954</v>
      </c>
      <c r="AE10" s="24">
        <v>1.86</v>
      </c>
      <c r="AF10" t="s">
        <v>4</v>
      </c>
      <c r="AG10" s="2">
        <v>58690.51</v>
      </c>
      <c r="AH10" t="s">
        <v>4</v>
      </c>
      <c r="AI10">
        <v>3.22</v>
      </c>
      <c r="AJ10" t="s">
        <v>4</v>
      </c>
      <c r="AK10" t="s">
        <v>4</v>
      </c>
      <c r="AL10" t="s">
        <v>4</v>
      </c>
      <c r="AM10" t="s">
        <v>4</v>
      </c>
      <c r="AN10" t="s">
        <v>4</v>
      </c>
      <c r="AO10" t="s">
        <v>4</v>
      </c>
      <c r="AP10">
        <v>14.71</v>
      </c>
      <c r="AQ10" t="s">
        <v>4</v>
      </c>
      <c r="AR10">
        <v>6.53</v>
      </c>
      <c r="AS10" t="s">
        <v>4</v>
      </c>
      <c r="AT10" t="s">
        <v>4</v>
      </c>
      <c r="AU10" s="24">
        <v>4.37</v>
      </c>
      <c r="AV10" t="s">
        <v>4</v>
      </c>
      <c r="AW10" t="s">
        <v>4</v>
      </c>
      <c r="AX10">
        <v>1.01</v>
      </c>
      <c r="AY10" s="24">
        <v>1.33</v>
      </c>
      <c r="AZ10" t="s">
        <v>4</v>
      </c>
      <c r="BA10" t="s">
        <v>4</v>
      </c>
      <c r="BB10" t="s">
        <v>4</v>
      </c>
      <c r="BC10" t="s">
        <v>4</v>
      </c>
      <c r="BD10" t="s">
        <v>4</v>
      </c>
      <c r="BE10" t="s">
        <v>4</v>
      </c>
      <c r="BF10" t="s">
        <v>4</v>
      </c>
      <c r="BG10" t="s">
        <v>4</v>
      </c>
      <c r="BH10">
        <v>2.29</v>
      </c>
      <c r="BI10" t="s">
        <v>4</v>
      </c>
      <c r="BJ10" t="s">
        <v>4</v>
      </c>
      <c r="BK10" t="s">
        <v>4</v>
      </c>
      <c r="BL10" t="s">
        <v>4</v>
      </c>
      <c r="BM10" t="s">
        <v>4</v>
      </c>
      <c r="BN10" s="24">
        <v>0.86999999999999988</v>
      </c>
      <c r="BO10" t="s">
        <v>4</v>
      </c>
      <c r="BP10" t="s">
        <v>4</v>
      </c>
      <c r="BQ10">
        <v>1.49</v>
      </c>
      <c r="BR10">
        <v>30.82</v>
      </c>
      <c r="BS10" t="s">
        <v>4</v>
      </c>
      <c r="BT10" t="s">
        <v>4</v>
      </c>
      <c r="BU10" t="s">
        <v>4</v>
      </c>
      <c r="BV10" t="s">
        <v>4</v>
      </c>
      <c r="BW10" t="s">
        <v>4</v>
      </c>
      <c r="BX10" t="s">
        <v>4</v>
      </c>
      <c r="BY10" t="s">
        <v>4</v>
      </c>
      <c r="BZ10">
        <v>2.39</v>
      </c>
      <c r="CA10" t="s">
        <v>4</v>
      </c>
      <c r="CB10">
        <v>1.05</v>
      </c>
      <c r="CC10" t="s">
        <v>4</v>
      </c>
      <c r="CD10" t="s">
        <v>4</v>
      </c>
      <c r="CE10" t="s">
        <v>4</v>
      </c>
      <c r="CF10" t="s">
        <v>4</v>
      </c>
      <c r="CG10" t="s">
        <v>4</v>
      </c>
      <c r="CH10" t="s">
        <v>4</v>
      </c>
      <c r="CI10" t="s">
        <v>4</v>
      </c>
      <c r="CJ10" t="s">
        <v>4</v>
      </c>
      <c r="CK10" t="s">
        <v>4</v>
      </c>
      <c r="CL10" t="s">
        <v>4</v>
      </c>
      <c r="CM10">
        <v>0.75999999999999979</v>
      </c>
      <c r="CN10">
        <v>4.9000000000000004</v>
      </c>
      <c r="CO10" t="s">
        <v>4</v>
      </c>
      <c r="CP10" t="s">
        <v>4</v>
      </c>
      <c r="CQ10" t="s">
        <v>4</v>
      </c>
      <c r="CR10" t="s">
        <v>4</v>
      </c>
      <c r="CS10" t="s">
        <v>4</v>
      </c>
    </row>
    <row r="11" spans="1:97" ht="14.4" x14ac:dyDescent="0.3">
      <c r="A11" t="s">
        <v>12</v>
      </c>
      <c r="B11" s="11" t="s">
        <v>183</v>
      </c>
      <c r="C11" t="s">
        <v>4</v>
      </c>
      <c r="D11" t="s">
        <v>4</v>
      </c>
      <c r="E11" t="s">
        <v>4</v>
      </c>
      <c r="F11" t="s">
        <v>4</v>
      </c>
      <c r="G11" t="s">
        <v>4</v>
      </c>
      <c r="H11" t="s">
        <v>4</v>
      </c>
      <c r="I11" t="s">
        <v>4</v>
      </c>
      <c r="J11" t="s">
        <v>4</v>
      </c>
      <c r="K11">
        <v>0.18</v>
      </c>
      <c r="L11" t="s">
        <v>4</v>
      </c>
      <c r="M11">
        <v>19.43</v>
      </c>
      <c r="N11" t="s">
        <v>4</v>
      </c>
      <c r="O11" s="24" t="s">
        <v>4</v>
      </c>
      <c r="P11">
        <v>22.72</v>
      </c>
      <c r="Q11">
        <v>4.0999999999999996</v>
      </c>
      <c r="R11" t="s">
        <v>4</v>
      </c>
      <c r="S11" t="s">
        <v>4</v>
      </c>
      <c r="T11" t="s">
        <v>4</v>
      </c>
      <c r="U11">
        <v>0.53</v>
      </c>
      <c r="V11" t="s">
        <v>4</v>
      </c>
      <c r="W11" t="s">
        <v>4</v>
      </c>
      <c r="X11" t="s">
        <v>4</v>
      </c>
      <c r="Y11" t="s">
        <v>4</v>
      </c>
      <c r="Z11" t="s">
        <v>4</v>
      </c>
      <c r="AA11" t="s">
        <v>4</v>
      </c>
      <c r="AB11" t="s">
        <v>4</v>
      </c>
      <c r="AC11" t="s">
        <v>4</v>
      </c>
      <c r="AD11" s="24">
        <v>0.54999999999999982</v>
      </c>
      <c r="AE11" s="24">
        <v>1.5399999999999998</v>
      </c>
      <c r="AF11" t="s">
        <v>4</v>
      </c>
      <c r="AG11" s="2">
        <v>32026.71</v>
      </c>
      <c r="AH11" t="s">
        <v>4</v>
      </c>
      <c r="AI11">
        <v>1.5</v>
      </c>
      <c r="AJ11" t="s">
        <v>4</v>
      </c>
      <c r="AK11" t="s">
        <v>4</v>
      </c>
      <c r="AL11" t="s">
        <v>4</v>
      </c>
      <c r="AM11" t="s">
        <v>4</v>
      </c>
      <c r="AN11" t="s">
        <v>4</v>
      </c>
      <c r="AO11" t="s">
        <v>4</v>
      </c>
      <c r="AP11">
        <v>17.93</v>
      </c>
      <c r="AQ11" t="s">
        <v>4</v>
      </c>
      <c r="AR11">
        <v>5.08</v>
      </c>
      <c r="AS11" t="s">
        <v>4</v>
      </c>
      <c r="AT11" t="s">
        <v>4</v>
      </c>
      <c r="AU11" s="24">
        <v>2.16</v>
      </c>
      <c r="AV11" t="s">
        <v>4</v>
      </c>
      <c r="AW11" t="s">
        <v>4</v>
      </c>
      <c r="AX11">
        <v>1.21</v>
      </c>
      <c r="AY11" s="24">
        <v>0.92000000000000015</v>
      </c>
      <c r="AZ11" t="s">
        <v>4</v>
      </c>
      <c r="BA11" t="s">
        <v>4</v>
      </c>
      <c r="BB11" t="s">
        <v>4</v>
      </c>
      <c r="BC11" t="s">
        <v>4</v>
      </c>
      <c r="BD11" t="s">
        <v>4</v>
      </c>
      <c r="BE11" t="s">
        <v>4</v>
      </c>
      <c r="BF11" t="s">
        <v>4</v>
      </c>
      <c r="BG11" t="s">
        <v>4</v>
      </c>
      <c r="BH11">
        <v>4.2300000000000004</v>
      </c>
      <c r="BI11" t="s">
        <v>4</v>
      </c>
      <c r="BJ11" t="s">
        <v>4</v>
      </c>
      <c r="BK11" t="s">
        <v>4</v>
      </c>
      <c r="BL11" t="s">
        <v>4</v>
      </c>
      <c r="BM11" t="s">
        <v>4</v>
      </c>
      <c r="BN11" s="24">
        <v>0.36</v>
      </c>
      <c r="BO11" t="s">
        <v>4</v>
      </c>
      <c r="BP11" t="s">
        <v>4</v>
      </c>
      <c r="BQ11" t="s">
        <v>4</v>
      </c>
      <c r="BR11">
        <v>10.62</v>
      </c>
      <c r="BS11" t="s">
        <v>4</v>
      </c>
      <c r="BT11" t="s">
        <v>4</v>
      </c>
      <c r="BU11" t="s">
        <v>4</v>
      </c>
      <c r="BV11" t="s">
        <v>4</v>
      </c>
      <c r="BW11" t="s">
        <v>4</v>
      </c>
      <c r="BX11" t="s">
        <v>4</v>
      </c>
      <c r="BY11" t="s">
        <v>4</v>
      </c>
      <c r="BZ11">
        <v>3.38</v>
      </c>
      <c r="CA11" t="s">
        <v>4</v>
      </c>
      <c r="CB11" t="s">
        <v>4</v>
      </c>
      <c r="CC11" t="s">
        <v>4</v>
      </c>
      <c r="CD11" t="s">
        <v>4</v>
      </c>
      <c r="CE11" t="s">
        <v>4</v>
      </c>
      <c r="CF11" t="s">
        <v>4</v>
      </c>
      <c r="CG11" t="s">
        <v>4</v>
      </c>
      <c r="CH11" t="s">
        <v>4</v>
      </c>
      <c r="CI11" t="s">
        <v>4</v>
      </c>
      <c r="CJ11" t="s">
        <v>4</v>
      </c>
      <c r="CK11" t="s">
        <v>4</v>
      </c>
      <c r="CL11" t="s">
        <v>4</v>
      </c>
      <c r="CM11">
        <v>4.2100000000000009</v>
      </c>
      <c r="CN11">
        <v>3.1799999999999997</v>
      </c>
      <c r="CO11" t="s">
        <v>4</v>
      </c>
      <c r="CP11" t="s">
        <v>4</v>
      </c>
      <c r="CQ11" t="s">
        <v>4</v>
      </c>
      <c r="CR11" t="s">
        <v>4</v>
      </c>
      <c r="CS11" t="s">
        <v>4</v>
      </c>
    </row>
    <row r="12" spans="1:97" ht="14.4" x14ac:dyDescent="0.3">
      <c r="A12" t="s">
        <v>13</v>
      </c>
      <c r="B12" s="11" t="s">
        <v>184</v>
      </c>
      <c r="C12" t="s">
        <v>4</v>
      </c>
      <c r="D12" t="s">
        <v>4</v>
      </c>
      <c r="E12" t="s">
        <v>4</v>
      </c>
      <c r="F12" t="s">
        <v>4</v>
      </c>
      <c r="G12" t="s">
        <v>4</v>
      </c>
      <c r="H12" t="s">
        <v>4</v>
      </c>
      <c r="I12" t="s">
        <v>4</v>
      </c>
      <c r="J12" t="s">
        <v>4</v>
      </c>
      <c r="K12">
        <v>1.42</v>
      </c>
      <c r="L12" t="s">
        <v>4</v>
      </c>
      <c r="M12">
        <v>98.93</v>
      </c>
      <c r="N12" t="s">
        <v>4</v>
      </c>
      <c r="O12" s="24" t="s">
        <v>4</v>
      </c>
      <c r="P12">
        <v>62.74</v>
      </c>
      <c r="Q12">
        <v>10.75</v>
      </c>
      <c r="R12" t="s">
        <v>4</v>
      </c>
      <c r="S12" t="s">
        <v>4</v>
      </c>
      <c r="T12">
        <v>3.71</v>
      </c>
      <c r="U12">
        <v>0.95</v>
      </c>
      <c r="V12" t="s">
        <v>4</v>
      </c>
      <c r="W12" t="s">
        <v>4</v>
      </c>
      <c r="X12">
        <v>6.66</v>
      </c>
      <c r="Y12">
        <v>12.48</v>
      </c>
      <c r="Z12" t="s">
        <v>4</v>
      </c>
      <c r="AA12" t="s">
        <v>4</v>
      </c>
      <c r="AB12" t="s">
        <v>4</v>
      </c>
      <c r="AC12" t="s">
        <v>4</v>
      </c>
      <c r="AD12" s="24">
        <v>0.72999999999999954</v>
      </c>
      <c r="AE12" s="24">
        <v>1.3699999999999999</v>
      </c>
      <c r="AF12" t="s">
        <v>4</v>
      </c>
      <c r="AG12" s="2">
        <v>78676.92</v>
      </c>
      <c r="AH12" t="s">
        <v>4</v>
      </c>
      <c r="AI12">
        <v>10.76</v>
      </c>
      <c r="AJ12" t="s">
        <v>4</v>
      </c>
      <c r="AK12" t="s">
        <v>4</v>
      </c>
      <c r="AL12">
        <v>5.13</v>
      </c>
      <c r="AM12" t="s">
        <v>4</v>
      </c>
      <c r="AN12" t="s">
        <v>4</v>
      </c>
      <c r="AO12" t="s">
        <v>4</v>
      </c>
      <c r="AP12">
        <v>38.18</v>
      </c>
      <c r="AQ12" t="s">
        <v>4</v>
      </c>
      <c r="AR12">
        <v>5.27</v>
      </c>
      <c r="AS12" t="s">
        <v>4</v>
      </c>
      <c r="AT12" t="s">
        <v>4</v>
      </c>
      <c r="AU12" s="24">
        <v>22.69</v>
      </c>
      <c r="AV12" t="s">
        <v>4</v>
      </c>
      <c r="AW12" t="s">
        <v>4</v>
      </c>
      <c r="AX12">
        <v>9.5299999999999994</v>
      </c>
      <c r="AY12" s="24">
        <v>8.06</v>
      </c>
      <c r="AZ12" t="s">
        <v>4</v>
      </c>
      <c r="BA12" t="s">
        <v>4</v>
      </c>
      <c r="BB12" t="s">
        <v>4</v>
      </c>
      <c r="BC12" t="s">
        <v>4</v>
      </c>
      <c r="BD12" t="s">
        <v>4</v>
      </c>
      <c r="BE12" t="s">
        <v>4</v>
      </c>
      <c r="BF12" t="s">
        <v>4</v>
      </c>
      <c r="BG12">
        <v>2.2999999999999998</v>
      </c>
      <c r="BH12">
        <v>1.28</v>
      </c>
      <c r="BI12" t="s">
        <v>4</v>
      </c>
      <c r="BJ12" t="s">
        <v>4</v>
      </c>
      <c r="BK12" t="s">
        <v>4</v>
      </c>
      <c r="BL12" t="s">
        <v>4</v>
      </c>
      <c r="BM12" t="s">
        <v>4</v>
      </c>
      <c r="BN12" s="24">
        <v>1.1299999999999999</v>
      </c>
      <c r="BO12" t="s">
        <v>4</v>
      </c>
      <c r="BP12" t="s">
        <v>4</v>
      </c>
      <c r="BQ12" t="s">
        <v>4</v>
      </c>
      <c r="BR12">
        <v>67.84</v>
      </c>
      <c r="BS12" t="s">
        <v>4</v>
      </c>
      <c r="BT12" t="s">
        <v>4</v>
      </c>
      <c r="BU12" t="s">
        <v>4</v>
      </c>
      <c r="BV12" t="s">
        <v>4</v>
      </c>
      <c r="BW12" t="s">
        <v>4</v>
      </c>
      <c r="BX12" t="s">
        <v>4</v>
      </c>
      <c r="BY12" t="s">
        <v>4</v>
      </c>
      <c r="BZ12">
        <v>12.74</v>
      </c>
      <c r="CA12" t="s">
        <v>4</v>
      </c>
      <c r="CB12">
        <v>1.8</v>
      </c>
      <c r="CC12" t="s">
        <v>4</v>
      </c>
      <c r="CD12" t="s">
        <v>4</v>
      </c>
      <c r="CE12" t="s">
        <v>4</v>
      </c>
      <c r="CF12" t="s">
        <v>4</v>
      </c>
      <c r="CG12" t="s">
        <v>4</v>
      </c>
      <c r="CH12" t="s">
        <v>4</v>
      </c>
      <c r="CI12" t="s">
        <v>4</v>
      </c>
      <c r="CJ12" t="s">
        <v>4</v>
      </c>
      <c r="CK12" t="s">
        <v>4</v>
      </c>
      <c r="CL12" t="s">
        <v>4</v>
      </c>
      <c r="CM12">
        <v>7.41</v>
      </c>
      <c r="CN12">
        <v>8.64</v>
      </c>
      <c r="CO12" t="s">
        <v>4</v>
      </c>
      <c r="CP12" t="s">
        <v>4</v>
      </c>
      <c r="CQ12" t="s">
        <v>4</v>
      </c>
      <c r="CR12" t="s">
        <v>4</v>
      </c>
      <c r="CS12" t="s">
        <v>4</v>
      </c>
    </row>
    <row r="13" spans="1:97" ht="14.4" x14ac:dyDescent="0.3">
      <c r="A13" t="s">
        <v>14</v>
      </c>
      <c r="B13" s="11" t="s">
        <v>185</v>
      </c>
      <c r="C13" t="s">
        <v>4</v>
      </c>
      <c r="D13" t="s">
        <v>4</v>
      </c>
      <c r="E13" t="s">
        <v>4</v>
      </c>
      <c r="F13" t="s">
        <v>4</v>
      </c>
      <c r="G13" t="s">
        <v>4</v>
      </c>
      <c r="H13">
        <v>1.69</v>
      </c>
      <c r="I13" t="s">
        <v>4</v>
      </c>
      <c r="J13" t="s">
        <v>4</v>
      </c>
      <c r="K13">
        <v>2.2799999999999998</v>
      </c>
      <c r="L13" t="s">
        <v>4</v>
      </c>
      <c r="M13">
        <v>302.16000000000003</v>
      </c>
      <c r="N13" t="s">
        <v>4</v>
      </c>
      <c r="O13" s="24" t="s">
        <v>4</v>
      </c>
      <c r="P13">
        <v>101.55</v>
      </c>
      <c r="Q13">
        <v>14.3</v>
      </c>
      <c r="R13" t="s">
        <v>4</v>
      </c>
      <c r="S13" t="s">
        <v>4</v>
      </c>
      <c r="T13">
        <v>4.1900000000000004</v>
      </c>
      <c r="U13">
        <v>1.81</v>
      </c>
      <c r="V13" t="s">
        <v>4</v>
      </c>
      <c r="W13" t="s">
        <v>4</v>
      </c>
      <c r="X13">
        <v>8.59</v>
      </c>
      <c r="Y13">
        <v>31.17</v>
      </c>
      <c r="Z13" t="s">
        <v>4</v>
      </c>
      <c r="AA13" t="s">
        <v>4</v>
      </c>
      <c r="AB13" t="s">
        <v>4</v>
      </c>
      <c r="AC13" t="s">
        <v>4</v>
      </c>
      <c r="AD13" s="24">
        <v>3.05</v>
      </c>
      <c r="AE13" s="24">
        <v>6.2600000000000007</v>
      </c>
      <c r="AF13">
        <v>6.17</v>
      </c>
      <c r="AG13" s="2">
        <v>75575.850000000006</v>
      </c>
      <c r="AH13" t="s">
        <v>4</v>
      </c>
      <c r="AI13">
        <v>21.31</v>
      </c>
      <c r="AJ13" t="s">
        <v>4</v>
      </c>
      <c r="AK13" t="s">
        <v>4</v>
      </c>
      <c r="AL13">
        <v>11.18</v>
      </c>
      <c r="AM13" t="s">
        <v>4</v>
      </c>
      <c r="AN13" t="s">
        <v>4</v>
      </c>
      <c r="AO13" t="s">
        <v>4</v>
      </c>
      <c r="AP13">
        <v>54.67</v>
      </c>
      <c r="AQ13" t="s">
        <v>4</v>
      </c>
      <c r="AR13">
        <v>5.98</v>
      </c>
      <c r="AS13" t="s">
        <v>4</v>
      </c>
      <c r="AT13" t="s">
        <v>4</v>
      </c>
      <c r="AU13" s="24">
        <v>36.979999999999997</v>
      </c>
      <c r="AV13" t="s">
        <v>4</v>
      </c>
      <c r="AW13" t="s">
        <v>4</v>
      </c>
      <c r="AX13">
        <v>13.07</v>
      </c>
      <c r="AY13" s="24">
        <v>13.99</v>
      </c>
      <c r="AZ13" t="s">
        <v>4</v>
      </c>
      <c r="BA13" t="s">
        <v>4</v>
      </c>
      <c r="BB13" t="s">
        <v>4</v>
      </c>
      <c r="BC13" t="s">
        <v>4</v>
      </c>
      <c r="BD13">
        <v>56.23</v>
      </c>
      <c r="BE13" t="s">
        <v>4</v>
      </c>
      <c r="BF13" t="s">
        <v>4</v>
      </c>
      <c r="BG13">
        <v>5.81</v>
      </c>
      <c r="BH13">
        <v>2.4</v>
      </c>
      <c r="BI13" t="s">
        <v>4</v>
      </c>
      <c r="BJ13" t="s">
        <v>4</v>
      </c>
      <c r="BK13" t="s">
        <v>4</v>
      </c>
      <c r="BL13" t="s">
        <v>4</v>
      </c>
      <c r="BM13" t="s">
        <v>4</v>
      </c>
      <c r="BN13" s="24">
        <v>1.5</v>
      </c>
      <c r="BO13" t="s">
        <v>4</v>
      </c>
      <c r="BP13" t="s">
        <v>4</v>
      </c>
      <c r="BQ13" t="s">
        <v>4</v>
      </c>
      <c r="BR13">
        <v>93.59</v>
      </c>
      <c r="BS13" t="s">
        <v>4</v>
      </c>
      <c r="BT13" t="s">
        <v>4</v>
      </c>
      <c r="BU13" t="s">
        <v>4</v>
      </c>
      <c r="BV13" t="s">
        <v>4</v>
      </c>
      <c r="BW13" t="s">
        <v>4</v>
      </c>
      <c r="BX13" t="s">
        <v>4</v>
      </c>
      <c r="BY13" t="s">
        <v>4</v>
      </c>
      <c r="BZ13">
        <v>42.46</v>
      </c>
      <c r="CA13" t="s">
        <v>4</v>
      </c>
      <c r="CB13">
        <v>3.25</v>
      </c>
      <c r="CC13" t="s">
        <v>4</v>
      </c>
      <c r="CD13" t="s">
        <v>4</v>
      </c>
      <c r="CE13" t="s">
        <v>4</v>
      </c>
      <c r="CF13" t="s">
        <v>4</v>
      </c>
      <c r="CG13" t="s">
        <v>4</v>
      </c>
      <c r="CH13" t="s">
        <v>4</v>
      </c>
      <c r="CI13" t="s">
        <v>4</v>
      </c>
      <c r="CJ13" t="s">
        <v>4</v>
      </c>
      <c r="CK13" t="s">
        <v>4</v>
      </c>
      <c r="CL13" t="s">
        <v>4</v>
      </c>
      <c r="CM13">
        <v>2.9699999999999998</v>
      </c>
      <c r="CN13">
        <v>5.84</v>
      </c>
      <c r="CO13" t="s">
        <v>4</v>
      </c>
      <c r="CP13" t="s">
        <v>4</v>
      </c>
      <c r="CQ13" t="s">
        <v>4</v>
      </c>
      <c r="CR13" t="s">
        <v>4</v>
      </c>
      <c r="CS13" t="s">
        <v>4</v>
      </c>
    </row>
    <row r="14" spans="1:97" ht="14.4" x14ac:dyDescent="0.3">
      <c r="A14" t="s">
        <v>15</v>
      </c>
      <c r="B14" s="11" t="s">
        <v>186</v>
      </c>
      <c r="C14" t="s">
        <v>4</v>
      </c>
      <c r="D14" t="s">
        <v>4</v>
      </c>
      <c r="E14" t="s">
        <v>4</v>
      </c>
      <c r="F14" t="s">
        <v>4</v>
      </c>
      <c r="G14" t="s">
        <v>4</v>
      </c>
      <c r="H14">
        <v>1.99</v>
      </c>
      <c r="I14" t="s">
        <v>4</v>
      </c>
      <c r="J14" t="s">
        <v>4</v>
      </c>
      <c r="K14">
        <v>4.26</v>
      </c>
      <c r="L14" t="s">
        <v>4</v>
      </c>
      <c r="M14">
        <v>137.02000000000001</v>
      </c>
      <c r="N14" t="s">
        <v>4</v>
      </c>
      <c r="O14" s="24" t="s">
        <v>4</v>
      </c>
      <c r="P14">
        <v>101.71</v>
      </c>
      <c r="Q14">
        <v>24.59</v>
      </c>
      <c r="R14">
        <v>4.8</v>
      </c>
      <c r="S14" t="s">
        <v>4</v>
      </c>
      <c r="T14">
        <v>4.33</v>
      </c>
      <c r="U14">
        <v>1.1299999999999999</v>
      </c>
      <c r="V14" t="s">
        <v>4</v>
      </c>
      <c r="W14" t="s">
        <v>4</v>
      </c>
      <c r="X14">
        <v>21.23</v>
      </c>
      <c r="Y14">
        <v>12.49</v>
      </c>
      <c r="Z14" t="s">
        <v>4</v>
      </c>
      <c r="AA14" t="s">
        <v>4</v>
      </c>
      <c r="AB14" t="s">
        <v>4</v>
      </c>
      <c r="AC14" t="s">
        <v>4</v>
      </c>
      <c r="AD14" s="24">
        <v>1.9299999999999997</v>
      </c>
      <c r="AE14" s="24">
        <v>7.09</v>
      </c>
      <c r="AF14">
        <v>4.07</v>
      </c>
      <c r="AG14" s="2">
        <v>45957.55</v>
      </c>
      <c r="AH14" t="s">
        <v>4</v>
      </c>
      <c r="AI14">
        <v>16.72</v>
      </c>
      <c r="AJ14" t="s">
        <v>4</v>
      </c>
      <c r="AK14" t="s">
        <v>4</v>
      </c>
      <c r="AL14">
        <v>6.08</v>
      </c>
      <c r="AM14" t="s">
        <v>4</v>
      </c>
      <c r="AN14" t="s">
        <v>4</v>
      </c>
      <c r="AO14" t="s">
        <v>4</v>
      </c>
      <c r="AP14">
        <v>45.66</v>
      </c>
      <c r="AQ14">
        <v>1.21</v>
      </c>
      <c r="AR14">
        <v>6.49</v>
      </c>
      <c r="AS14" t="s">
        <v>4</v>
      </c>
      <c r="AT14" t="s">
        <v>4</v>
      </c>
      <c r="AU14" s="24">
        <v>27.73</v>
      </c>
      <c r="AV14" t="s">
        <v>4</v>
      </c>
      <c r="AW14" t="s">
        <v>4</v>
      </c>
      <c r="AX14">
        <v>19.309999999999999</v>
      </c>
      <c r="AY14" s="24">
        <v>14.290000000000001</v>
      </c>
      <c r="AZ14" t="s">
        <v>4</v>
      </c>
      <c r="BA14" t="s">
        <v>4</v>
      </c>
      <c r="BB14" t="s">
        <v>4</v>
      </c>
      <c r="BC14" t="s">
        <v>4</v>
      </c>
      <c r="BD14">
        <v>23.34</v>
      </c>
      <c r="BE14" t="s">
        <v>4</v>
      </c>
      <c r="BF14" t="s">
        <v>4</v>
      </c>
      <c r="BG14">
        <v>4.04</v>
      </c>
      <c r="BH14">
        <v>1.1100000000000001</v>
      </c>
      <c r="BI14" t="s">
        <v>4</v>
      </c>
      <c r="BJ14" t="s">
        <v>4</v>
      </c>
      <c r="BK14" t="s">
        <v>4</v>
      </c>
      <c r="BL14" t="s">
        <v>4</v>
      </c>
      <c r="BM14" t="s">
        <v>4</v>
      </c>
      <c r="BN14" s="24">
        <v>0.82000000000000006</v>
      </c>
      <c r="BO14" t="s">
        <v>4</v>
      </c>
      <c r="BP14" t="s">
        <v>4</v>
      </c>
      <c r="BQ14">
        <v>7.46</v>
      </c>
      <c r="BR14">
        <v>36.549999999999997</v>
      </c>
      <c r="BS14" t="s">
        <v>4</v>
      </c>
      <c r="BT14" t="s">
        <v>4</v>
      </c>
      <c r="BU14" t="s">
        <v>4</v>
      </c>
      <c r="BV14" t="s">
        <v>4</v>
      </c>
      <c r="BW14" t="s">
        <v>4</v>
      </c>
      <c r="BX14" t="s">
        <v>4</v>
      </c>
      <c r="BY14" t="s">
        <v>4</v>
      </c>
      <c r="BZ14">
        <v>38.26</v>
      </c>
      <c r="CA14" t="s">
        <v>4</v>
      </c>
      <c r="CB14">
        <v>1.81</v>
      </c>
      <c r="CC14" t="s">
        <v>4</v>
      </c>
      <c r="CD14" t="s">
        <v>4</v>
      </c>
      <c r="CE14" t="s">
        <v>4</v>
      </c>
      <c r="CF14" t="s">
        <v>4</v>
      </c>
      <c r="CG14" t="s">
        <v>4</v>
      </c>
      <c r="CH14" t="s">
        <v>4</v>
      </c>
      <c r="CI14" t="s">
        <v>4</v>
      </c>
      <c r="CJ14" t="s">
        <v>4</v>
      </c>
      <c r="CK14" t="s">
        <v>4</v>
      </c>
      <c r="CL14" t="s">
        <v>4</v>
      </c>
      <c r="CM14">
        <v>6.82</v>
      </c>
      <c r="CN14">
        <v>7.34</v>
      </c>
      <c r="CO14" t="s">
        <v>4</v>
      </c>
      <c r="CP14" t="s">
        <v>4</v>
      </c>
      <c r="CQ14" t="s">
        <v>4</v>
      </c>
      <c r="CR14" t="s">
        <v>4</v>
      </c>
      <c r="CS14" t="s">
        <v>4</v>
      </c>
    </row>
    <row r="15" spans="1:97" ht="14.4" x14ac:dyDescent="0.3">
      <c r="A15" t="s">
        <v>16</v>
      </c>
      <c r="B15" s="33" t="s">
        <v>187</v>
      </c>
      <c r="C15" t="s">
        <v>4</v>
      </c>
      <c r="D15" t="s">
        <v>4</v>
      </c>
      <c r="E15" t="s">
        <v>4</v>
      </c>
      <c r="F15" t="s">
        <v>4</v>
      </c>
      <c r="G15" t="s">
        <v>4</v>
      </c>
      <c r="H15">
        <v>1.08</v>
      </c>
      <c r="I15" t="s">
        <v>4</v>
      </c>
      <c r="J15" t="s">
        <v>4</v>
      </c>
      <c r="K15">
        <v>2.5099999999999998</v>
      </c>
      <c r="L15" t="s">
        <v>4</v>
      </c>
      <c r="M15">
        <v>120.44</v>
      </c>
      <c r="N15" t="s">
        <v>4</v>
      </c>
      <c r="O15" s="24" t="s">
        <v>4</v>
      </c>
      <c r="P15">
        <v>62.84</v>
      </c>
      <c r="Q15">
        <v>11.63</v>
      </c>
      <c r="R15" t="s">
        <v>4</v>
      </c>
      <c r="S15" t="s">
        <v>4</v>
      </c>
      <c r="T15" t="s">
        <v>4</v>
      </c>
      <c r="U15">
        <v>1.06</v>
      </c>
      <c r="V15" t="s">
        <v>4</v>
      </c>
      <c r="W15" t="s">
        <v>4</v>
      </c>
      <c r="X15">
        <v>10.029999999999999</v>
      </c>
      <c r="Y15">
        <v>14.45</v>
      </c>
      <c r="Z15" t="s">
        <v>4</v>
      </c>
      <c r="AA15" t="s">
        <v>4</v>
      </c>
      <c r="AB15" t="s">
        <v>4</v>
      </c>
      <c r="AC15" t="s">
        <v>4</v>
      </c>
      <c r="AD15" s="24">
        <v>1</v>
      </c>
      <c r="AE15" s="24">
        <v>4.0100000000000007</v>
      </c>
      <c r="AF15">
        <v>4.29</v>
      </c>
      <c r="AG15" s="2">
        <v>78710.61</v>
      </c>
      <c r="AH15" t="s">
        <v>4</v>
      </c>
      <c r="AI15">
        <v>20.03</v>
      </c>
      <c r="AJ15" t="s">
        <v>4</v>
      </c>
      <c r="AK15" t="s">
        <v>4</v>
      </c>
      <c r="AL15">
        <v>6.35</v>
      </c>
      <c r="AM15" t="s">
        <v>4</v>
      </c>
      <c r="AN15" t="s">
        <v>4</v>
      </c>
      <c r="AO15" t="s">
        <v>4</v>
      </c>
      <c r="AP15">
        <v>38.299999999999997</v>
      </c>
      <c r="AQ15" t="s">
        <v>4</v>
      </c>
      <c r="AR15">
        <v>5.89</v>
      </c>
      <c r="AS15" t="s">
        <v>4</v>
      </c>
      <c r="AT15" t="s">
        <v>4</v>
      </c>
      <c r="AU15" s="24">
        <v>27.270000000000003</v>
      </c>
      <c r="AV15" t="s">
        <v>4</v>
      </c>
      <c r="AW15" t="s">
        <v>4</v>
      </c>
      <c r="AX15">
        <v>11.83</v>
      </c>
      <c r="AY15" s="24">
        <v>8.06</v>
      </c>
      <c r="AZ15" t="s">
        <v>4</v>
      </c>
      <c r="BA15" t="s">
        <v>4</v>
      </c>
      <c r="BB15" t="s">
        <v>4</v>
      </c>
      <c r="BC15" t="s">
        <v>4</v>
      </c>
      <c r="BD15">
        <v>20.98</v>
      </c>
      <c r="BE15" t="s">
        <v>4</v>
      </c>
      <c r="BF15" t="s">
        <v>4</v>
      </c>
      <c r="BG15" t="s">
        <v>4</v>
      </c>
      <c r="BH15">
        <v>1.22</v>
      </c>
      <c r="BI15" t="s">
        <v>4</v>
      </c>
      <c r="BJ15" t="s">
        <v>4</v>
      </c>
      <c r="BK15" t="s">
        <v>4</v>
      </c>
      <c r="BL15" t="s">
        <v>4</v>
      </c>
      <c r="BM15" t="s">
        <v>4</v>
      </c>
      <c r="BN15" s="24">
        <v>1.48</v>
      </c>
      <c r="BO15" t="s">
        <v>4</v>
      </c>
      <c r="BP15" t="s">
        <v>4</v>
      </c>
      <c r="BQ15">
        <v>3.02</v>
      </c>
      <c r="BR15">
        <v>54.72</v>
      </c>
      <c r="BS15" t="s">
        <v>4</v>
      </c>
      <c r="BT15" t="s">
        <v>4</v>
      </c>
      <c r="BU15" t="s">
        <v>4</v>
      </c>
      <c r="BV15" t="s">
        <v>4</v>
      </c>
      <c r="BW15" t="s">
        <v>4</v>
      </c>
      <c r="BX15" t="s">
        <v>4</v>
      </c>
      <c r="BY15" t="s">
        <v>4</v>
      </c>
      <c r="BZ15">
        <v>22.05</v>
      </c>
      <c r="CA15" t="s">
        <v>4</v>
      </c>
      <c r="CB15">
        <v>2.5299999999999998</v>
      </c>
      <c r="CC15" t="s">
        <v>4</v>
      </c>
      <c r="CD15" t="s">
        <v>4</v>
      </c>
      <c r="CE15" t="s">
        <v>4</v>
      </c>
      <c r="CF15" t="s">
        <v>4</v>
      </c>
      <c r="CG15" t="s">
        <v>4</v>
      </c>
      <c r="CH15" t="s">
        <v>4</v>
      </c>
      <c r="CI15" t="s">
        <v>4</v>
      </c>
      <c r="CJ15" t="s">
        <v>4</v>
      </c>
      <c r="CK15" t="s">
        <v>4</v>
      </c>
      <c r="CL15" t="s">
        <v>4</v>
      </c>
      <c r="CM15">
        <v>5.35</v>
      </c>
      <c r="CN15">
        <v>3.99</v>
      </c>
      <c r="CO15" t="s">
        <v>4</v>
      </c>
      <c r="CP15" t="s">
        <v>4</v>
      </c>
      <c r="CQ15" t="s">
        <v>4</v>
      </c>
      <c r="CR15" t="s">
        <v>4</v>
      </c>
      <c r="CS15" t="s">
        <v>4</v>
      </c>
    </row>
    <row r="16" spans="1:97" x14ac:dyDescent="0.25">
      <c r="A16" t="s">
        <v>66</v>
      </c>
      <c r="B16" s="13" t="s">
        <v>241</v>
      </c>
      <c r="C16" t="s">
        <v>4</v>
      </c>
      <c r="D16" t="s">
        <v>4</v>
      </c>
      <c r="E16" t="s">
        <v>4</v>
      </c>
      <c r="F16" t="s">
        <v>4</v>
      </c>
      <c r="G16" t="s">
        <v>4</v>
      </c>
      <c r="H16">
        <v>1.91</v>
      </c>
      <c r="I16" t="s">
        <v>4</v>
      </c>
      <c r="J16" t="s">
        <v>4</v>
      </c>
      <c r="K16">
        <v>1.7</v>
      </c>
      <c r="L16" t="s">
        <v>4</v>
      </c>
      <c r="M16">
        <v>30.29</v>
      </c>
      <c r="N16" t="s">
        <v>4</v>
      </c>
      <c r="O16" s="24">
        <v>49.410000000000004</v>
      </c>
      <c r="P16">
        <v>80.16</v>
      </c>
      <c r="Q16">
        <v>8.8699999999999992</v>
      </c>
      <c r="R16" t="s">
        <v>4</v>
      </c>
      <c r="S16" t="s">
        <v>4</v>
      </c>
      <c r="T16" t="s">
        <v>4</v>
      </c>
      <c r="U16">
        <v>1.08</v>
      </c>
      <c r="V16" t="s">
        <v>4</v>
      </c>
      <c r="W16" t="s">
        <v>4</v>
      </c>
      <c r="X16" t="s">
        <v>4</v>
      </c>
      <c r="Y16" t="s">
        <v>4</v>
      </c>
      <c r="Z16" t="s">
        <v>4</v>
      </c>
      <c r="AA16" t="s">
        <v>4</v>
      </c>
      <c r="AB16" t="s">
        <v>4</v>
      </c>
      <c r="AC16" t="s">
        <v>4</v>
      </c>
      <c r="AD16" s="24">
        <v>4.95</v>
      </c>
      <c r="AE16" s="24">
        <v>0.83000000000000007</v>
      </c>
      <c r="AF16" t="s">
        <v>4</v>
      </c>
      <c r="AG16">
        <v>242.88</v>
      </c>
      <c r="AH16" t="s">
        <v>4</v>
      </c>
      <c r="AI16">
        <v>12.31</v>
      </c>
      <c r="AJ16">
        <v>5.8</v>
      </c>
      <c r="AK16" t="s">
        <v>4</v>
      </c>
      <c r="AL16" t="s">
        <v>4</v>
      </c>
      <c r="AM16" t="s">
        <v>4</v>
      </c>
      <c r="AN16" t="s">
        <v>4</v>
      </c>
      <c r="AO16" t="s">
        <v>4</v>
      </c>
      <c r="AP16">
        <v>157.19</v>
      </c>
      <c r="AQ16" t="s">
        <v>4</v>
      </c>
      <c r="AR16">
        <v>16.559999999999999</v>
      </c>
      <c r="AS16" t="s">
        <v>4</v>
      </c>
      <c r="AT16" t="s">
        <v>4</v>
      </c>
      <c r="AU16" s="24">
        <v>5.59</v>
      </c>
      <c r="AV16" t="s">
        <v>4</v>
      </c>
      <c r="AW16" t="s">
        <v>4</v>
      </c>
      <c r="AX16">
        <v>0.61</v>
      </c>
      <c r="AY16" s="24">
        <v>4.63</v>
      </c>
      <c r="AZ16" t="s">
        <v>4</v>
      </c>
      <c r="BA16" t="s">
        <v>4</v>
      </c>
      <c r="BB16" t="s">
        <v>4</v>
      </c>
      <c r="BC16" t="s">
        <v>4</v>
      </c>
      <c r="BD16" t="s">
        <v>4</v>
      </c>
      <c r="BE16" t="s">
        <v>4</v>
      </c>
      <c r="BF16" t="s">
        <v>4</v>
      </c>
      <c r="BG16" t="s">
        <v>4</v>
      </c>
      <c r="BH16">
        <v>4.57</v>
      </c>
      <c r="BI16" t="s">
        <v>4</v>
      </c>
      <c r="BJ16" t="s">
        <v>4</v>
      </c>
      <c r="BK16" t="s">
        <v>4</v>
      </c>
      <c r="BL16" t="s">
        <v>4</v>
      </c>
      <c r="BM16" t="s">
        <v>4</v>
      </c>
      <c r="BN16" s="24">
        <v>1.5099999999999998</v>
      </c>
      <c r="BO16" t="s">
        <v>4</v>
      </c>
      <c r="BP16" t="s">
        <v>4</v>
      </c>
      <c r="BQ16">
        <v>33.520000000000003</v>
      </c>
      <c r="BR16" t="s">
        <v>4</v>
      </c>
      <c r="BS16" t="s">
        <v>4</v>
      </c>
      <c r="BT16" t="s">
        <v>4</v>
      </c>
      <c r="BU16" t="s">
        <v>4</v>
      </c>
      <c r="BV16" t="s">
        <v>4</v>
      </c>
      <c r="BW16" t="s">
        <v>4</v>
      </c>
      <c r="BX16" t="s">
        <v>4</v>
      </c>
      <c r="BY16" t="s">
        <v>4</v>
      </c>
      <c r="BZ16">
        <v>14.46</v>
      </c>
      <c r="CA16" t="s">
        <v>4</v>
      </c>
      <c r="CB16">
        <v>4.07</v>
      </c>
      <c r="CC16" t="s">
        <v>4</v>
      </c>
      <c r="CD16" t="s">
        <v>4</v>
      </c>
      <c r="CE16" t="s">
        <v>4</v>
      </c>
      <c r="CF16" t="s">
        <v>4</v>
      </c>
      <c r="CG16" t="s">
        <v>4</v>
      </c>
      <c r="CH16" t="s">
        <v>4</v>
      </c>
      <c r="CI16" t="s">
        <v>4</v>
      </c>
      <c r="CJ16" t="s">
        <v>4</v>
      </c>
      <c r="CK16" t="s">
        <v>4</v>
      </c>
      <c r="CL16" t="s">
        <v>4</v>
      </c>
      <c r="CM16">
        <v>0.54</v>
      </c>
      <c r="CN16">
        <v>4.91</v>
      </c>
      <c r="CO16" t="s">
        <v>4</v>
      </c>
      <c r="CP16" t="s">
        <v>4</v>
      </c>
      <c r="CQ16" t="s">
        <v>4</v>
      </c>
      <c r="CR16" t="s">
        <v>4</v>
      </c>
      <c r="CS16" t="s">
        <v>4</v>
      </c>
    </row>
    <row r="17" spans="1:97" x14ac:dyDescent="0.25">
      <c r="A17" t="s">
        <v>69</v>
      </c>
      <c r="B17" s="36" t="s">
        <v>244</v>
      </c>
      <c r="C17" t="s">
        <v>4</v>
      </c>
      <c r="D17" t="s">
        <v>4</v>
      </c>
      <c r="E17" t="s">
        <v>4</v>
      </c>
      <c r="F17" t="s">
        <v>4</v>
      </c>
      <c r="G17" t="s">
        <v>4</v>
      </c>
      <c r="H17" t="s">
        <v>4</v>
      </c>
      <c r="I17" t="s">
        <v>4</v>
      </c>
      <c r="J17" t="s">
        <v>4</v>
      </c>
      <c r="K17">
        <v>0.66</v>
      </c>
      <c r="L17" t="s">
        <v>4</v>
      </c>
      <c r="M17">
        <v>151.62</v>
      </c>
      <c r="N17" t="s">
        <v>4</v>
      </c>
      <c r="O17" s="24" t="s">
        <v>4</v>
      </c>
      <c r="P17">
        <v>217.58</v>
      </c>
      <c r="Q17">
        <v>48.21</v>
      </c>
      <c r="R17" t="s">
        <v>4</v>
      </c>
      <c r="S17" t="s">
        <v>4</v>
      </c>
      <c r="T17">
        <v>12.75</v>
      </c>
      <c r="U17">
        <v>0.63</v>
      </c>
      <c r="V17" t="s">
        <v>4</v>
      </c>
      <c r="W17" t="s">
        <v>4</v>
      </c>
      <c r="X17">
        <v>710.89</v>
      </c>
      <c r="Y17" t="s">
        <v>4</v>
      </c>
      <c r="Z17" t="s">
        <v>4</v>
      </c>
      <c r="AA17" t="s">
        <v>4</v>
      </c>
      <c r="AB17" t="s">
        <v>4</v>
      </c>
      <c r="AC17" t="s">
        <v>4</v>
      </c>
      <c r="AD17" s="24">
        <v>11.93</v>
      </c>
      <c r="AE17" s="24">
        <v>6585.84</v>
      </c>
      <c r="AF17" t="s">
        <v>4</v>
      </c>
      <c r="AG17">
        <v>109.22</v>
      </c>
      <c r="AH17" t="s">
        <v>4</v>
      </c>
      <c r="AI17">
        <v>9.86</v>
      </c>
      <c r="AJ17" t="s">
        <v>4</v>
      </c>
      <c r="AK17" t="s">
        <v>4</v>
      </c>
      <c r="AL17" t="s">
        <v>4</v>
      </c>
      <c r="AM17" t="s">
        <v>4</v>
      </c>
      <c r="AN17" t="s">
        <v>4</v>
      </c>
      <c r="AO17" t="s">
        <v>4</v>
      </c>
      <c r="AP17">
        <v>4918.03</v>
      </c>
      <c r="AQ17" t="s">
        <v>4</v>
      </c>
      <c r="AR17">
        <v>23.15</v>
      </c>
      <c r="AS17" t="s">
        <v>4</v>
      </c>
      <c r="AT17" t="s">
        <v>4</v>
      </c>
      <c r="AU17" s="24">
        <v>9.94</v>
      </c>
      <c r="AV17" t="s">
        <v>4</v>
      </c>
      <c r="AW17" t="s">
        <v>4</v>
      </c>
      <c r="AX17">
        <v>239.88</v>
      </c>
      <c r="AY17" s="24">
        <v>3.17</v>
      </c>
      <c r="AZ17" t="s">
        <v>4</v>
      </c>
      <c r="BA17" t="s">
        <v>4</v>
      </c>
      <c r="BB17" t="s">
        <v>4</v>
      </c>
      <c r="BC17" t="s">
        <v>4</v>
      </c>
      <c r="BD17" s="2">
        <v>10808.87</v>
      </c>
      <c r="BE17" t="s">
        <v>4</v>
      </c>
      <c r="BF17" t="s">
        <v>4</v>
      </c>
      <c r="BG17" t="s">
        <v>4</v>
      </c>
      <c r="BH17" s="2">
        <v>11574.01</v>
      </c>
      <c r="BI17" t="s">
        <v>4</v>
      </c>
      <c r="BJ17" t="s">
        <v>4</v>
      </c>
      <c r="BK17" t="s">
        <v>4</v>
      </c>
      <c r="BL17" t="s">
        <v>4</v>
      </c>
      <c r="BM17" t="s">
        <v>4</v>
      </c>
      <c r="BN17" s="24">
        <v>1.23</v>
      </c>
      <c r="BO17" t="s">
        <v>4</v>
      </c>
      <c r="BP17" t="s">
        <v>4</v>
      </c>
      <c r="BQ17">
        <v>5.67</v>
      </c>
      <c r="BR17" t="s">
        <v>4</v>
      </c>
      <c r="BS17" t="s">
        <v>4</v>
      </c>
      <c r="BT17" t="s">
        <v>4</v>
      </c>
      <c r="BU17" t="s">
        <v>4</v>
      </c>
      <c r="BV17" t="s">
        <v>4</v>
      </c>
      <c r="BW17" t="s">
        <v>4</v>
      </c>
      <c r="BX17" t="s">
        <v>4</v>
      </c>
      <c r="BY17" t="s">
        <v>4</v>
      </c>
      <c r="BZ17">
        <v>12.21</v>
      </c>
      <c r="CA17" t="s">
        <v>4</v>
      </c>
      <c r="CB17">
        <v>4.13</v>
      </c>
      <c r="CC17" t="s">
        <v>4</v>
      </c>
      <c r="CD17" t="s">
        <v>4</v>
      </c>
      <c r="CE17" t="s">
        <v>4</v>
      </c>
      <c r="CF17" t="s">
        <v>4</v>
      </c>
      <c r="CG17" t="s">
        <v>4</v>
      </c>
      <c r="CH17" t="s">
        <v>4</v>
      </c>
      <c r="CI17" t="s">
        <v>4</v>
      </c>
      <c r="CJ17" t="s">
        <v>4</v>
      </c>
      <c r="CK17" t="s">
        <v>4</v>
      </c>
      <c r="CL17" t="s">
        <v>4</v>
      </c>
      <c r="CM17" t="s">
        <v>4</v>
      </c>
      <c r="CN17">
        <v>6.8000000000000007</v>
      </c>
      <c r="CO17" t="s">
        <v>4</v>
      </c>
      <c r="CP17" t="s">
        <v>4</v>
      </c>
      <c r="CQ17" t="s">
        <v>4</v>
      </c>
      <c r="CR17" t="s">
        <v>4</v>
      </c>
      <c r="CS17" t="s">
        <v>4</v>
      </c>
    </row>
    <row r="18" spans="1:97" ht="14.4" x14ac:dyDescent="0.3">
      <c r="A18" t="s">
        <v>17</v>
      </c>
      <c r="B18" s="37" t="s">
        <v>188</v>
      </c>
      <c r="C18" t="s">
        <v>4</v>
      </c>
      <c r="D18" t="s">
        <v>4</v>
      </c>
      <c r="E18" t="s">
        <v>4</v>
      </c>
      <c r="F18" t="s">
        <v>4</v>
      </c>
      <c r="G18" t="s">
        <v>4</v>
      </c>
      <c r="H18">
        <v>11.84</v>
      </c>
      <c r="I18">
        <v>14.87</v>
      </c>
      <c r="J18" t="s">
        <v>4</v>
      </c>
      <c r="K18">
        <v>3.68</v>
      </c>
      <c r="L18" t="s">
        <v>4</v>
      </c>
      <c r="M18">
        <v>302.27999999999997</v>
      </c>
      <c r="N18" t="s">
        <v>4</v>
      </c>
      <c r="O18" s="24" t="s">
        <v>4</v>
      </c>
      <c r="P18">
        <v>721.16</v>
      </c>
      <c r="Q18">
        <v>145.86000000000001</v>
      </c>
      <c r="R18" t="s">
        <v>4</v>
      </c>
      <c r="S18" t="s">
        <v>4</v>
      </c>
      <c r="T18">
        <v>59.97</v>
      </c>
      <c r="U18">
        <v>0.57999999999999996</v>
      </c>
      <c r="V18" t="s">
        <v>4</v>
      </c>
      <c r="W18" t="s">
        <v>4</v>
      </c>
      <c r="X18">
        <v>1475.69</v>
      </c>
      <c r="Y18" t="s">
        <v>4</v>
      </c>
      <c r="Z18" t="s">
        <v>4</v>
      </c>
      <c r="AA18" t="s">
        <v>4</v>
      </c>
      <c r="AB18" t="s">
        <v>4</v>
      </c>
      <c r="AC18" t="s">
        <v>4</v>
      </c>
      <c r="AD18" s="24">
        <v>9.1499999999999986</v>
      </c>
      <c r="AE18" s="24">
        <v>6032.19</v>
      </c>
      <c r="AF18" t="s">
        <v>4</v>
      </c>
      <c r="AG18">
        <v>28.59</v>
      </c>
      <c r="AH18" t="s">
        <v>4</v>
      </c>
      <c r="AI18">
        <v>7.72</v>
      </c>
      <c r="AJ18" t="s">
        <v>4</v>
      </c>
      <c r="AK18" t="s">
        <v>4</v>
      </c>
      <c r="AL18">
        <v>0.33</v>
      </c>
      <c r="AM18" t="s">
        <v>4</v>
      </c>
      <c r="AN18" t="s">
        <v>4</v>
      </c>
      <c r="AO18" t="s">
        <v>4</v>
      </c>
      <c r="AP18" s="2">
        <v>10621.34</v>
      </c>
      <c r="AQ18" t="s">
        <v>4</v>
      </c>
      <c r="AR18">
        <v>54.87</v>
      </c>
      <c r="AS18" t="s">
        <v>4</v>
      </c>
      <c r="AT18" t="s">
        <v>4</v>
      </c>
      <c r="AU18" s="24">
        <v>21.76</v>
      </c>
      <c r="AV18" t="s">
        <v>4</v>
      </c>
      <c r="AW18" t="s">
        <v>4</v>
      </c>
      <c r="AX18">
        <v>116.07</v>
      </c>
      <c r="AY18" s="24">
        <v>16.669999999999998</v>
      </c>
      <c r="AZ18" t="s">
        <v>4</v>
      </c>
      <c r="BA18">
        <v>5.25</v>
      </c>
      <c r="BB18" t="s">
        <v>4</v>
      </c>
      <c r="BC18" t="s">
        <v>4</v>
      </c>
      <c r="BD18">
        <v>3992</v>
      </c>
      <c r="BE18" t="s">
        <v>4</v>
      </c>
      <c r="BF18" t="s">
        <v>4</v>
      </c>
      <c r="BG18" t="s">
        <v>4</v>
      </c>
      <c r="BH18">
        <v>4125.6899999999996</v>
      </c>
      <c r="BI18" t="s">
        <v>4</v>
      </c>
      <c r="BJ18" t="s">
        <v>4</v>
      </c>
      <c r="BK18" t="s">
        <v>4</v>
      </c>
      <c r="BL18" t="s">
        <v>4</v>
      </c>
      <c r="BM18" t="s">
        <v>4</v>
      </c>
      <c r="BN18" s="24">
        <v>0.79</v>
      </c>
      <c r="BO18" t="s">
        <v>4</v>
      </c>
      <c r="BP18" t="s">
        <v>4</v>
      </c>
      <c r="BQ18" t="s">
        <v>4</v>
      </c>
      <c r="BR18" t="s">
        <v>4</v>
      </c>
      <c r="BS18" t="s">
        <v>4</v>
      </c>
      <c r="BT18" t="s">
        <v>4</v>
      </c>
      <c r="BU18" t="s">
        <v>4</v>
      </c>
      <c r="BV18" t="s">
        <v>4</v>
      </c>
      <c r="BW18" t="s">
        <v>4</v>
      </c>
      <c r="BX18" t="s">
        <v>4</v>
      </c>
      <c r="BY18" t="s">
        <v>4</v>
      </c>
      <c r="BZ18">
        <v>12.8</v>
      </c>
      <c r="CA18" t="s">
        <v>4</v>
      </c>
      <c r="CB18">
        <v>4.1100000000000003</v>
      </c>
      <c r="CC18">
        <v>0.82</v>
      </c>
      <c r="CD18" t="s">
        <v>4</v>
      </c>
      <c r="CE18" t="s">
        <v>4</v>
      </c>
      <c r="CF18" t="s">
        <v>4</v>
      </c>
      <c r="CG18" t="s">
        <v>4</v>
      </c>
      <c r="CH18" t="s">
        <v>4</v>
      </c>
      <c r="CI18" t="s">
        <v>4</v>
      </c>
      <c r="CJ18" t="s">
        <v>4</v>
      </c>
      <c r="CK18" t="s">
        <v>4</v>
      </c>
      <c r="CL18" t="s">
        <v>4</v>
      </c>
      <c r="CM18">
        <v>10.77</v>
      </c>
      <c r="CN18">
        <v>130.96</v>
      </c>
      <c r="CO18" t="s">
        <v>4</v>
      </c>
      <c r="CP18" t="s">
        <v>4</v>
      </c>
      <c r="CQ18" t="s">
        <v>4</v>
      </c>
      <c r="CR18" t="s">
        <v>4</v>
      </c>
      <c r="CS18" t="s">
        <v>4</v>
      </c>
    </row>
    <row r="19" spans="1:97" ht="14.4" x14ac:dyDescent="0.3">
      <c r="A19" t="s">
        <v>8</v>
      </c>
      <c r="B19" s="25" t="s">
        <v>179</v>
      </c>
      <c r="C19" t="s">
        <v>4</v>
      </c>
      <c r="D19" t="s">
        <v>4</v>
      </c>
      <c r="E19" t="s">
        <v>4</v>
      </c>
      <c r="F19" t="s">
        <v>4</v>
      </c>
      <c r="G19" t="s">
        <v>4</v>
      </c>
      <c r="H19">
        <v>3.62</v>
      </c>
      <c r="I19">
        <v>13.65</v>
      </c>
      <c r="J19">
        <v>19.899999999999999</v>
      </c>
      <c r="K19">
        <v>9.5</v>
      </c>
      <c r="L19" t="s">
        <v>4</v>
      </c>
      <c r="M19">
        <v>134.44</v>
      </c>
      <c r="N19" t="s">
        <v>4</v>
      </c>
      <c r="O19" s="24">
        <v>2799.52</v>
      </c>
      <c r="P19">
        <v>303.01</v>
      </c>
      <c r="Q19">
        <v>61.96</v>
      </c>
      <c r="R19" t="s">
        <v>4</v>
      </c>
      <c r="S19" t="s">
        <v>4</v>
      </c>
      <c r="T19">
        <v>16.66</v>
      </c>
      <c r="U19">
        <v>0.62</v>
      </c>
      <c r="V19" t="s">
        <v>4</v>
      </c>
      <c r="W19" t="s">
        <v>4</v>
      </c>
      <c r="X19">
        <v>100.02</v>
      </c>
      <c r="Y19" t="s">
        <v>4</v>
      </c>
      <c r="Z19" t="s">
        <v>4</v>
      </c>
      <c r="AA19" t="s">
        <v>4</v>
      </c>
      <c r="AB19" t="s">
        <v>4</v>
      </c>
      <c r="AC19" t="s">
        <v>4</v>
      </c>
      <c r="AD19" s="24">
        <v>10.82</v>
      </c>
      <c r="AE19" s="24">
        <v>1773.94</v>
      </c>
      <c r="AF19" t="s">
        <v>4</v>
      </c>
      <c r="AG19">
        <v>106.66</v>
      </c>
      <c r="AH19" t="s">
        <v>4</v>
      </c>
      <c r="AI19">
        <v>6.93</v>
      </c>
      <c r="AJ19" t="s">
        <v>4</v>
      </c>
      <c r="AK19" t="s">
        <v>4</v>
      </c>
      <c r="AL19" t="s">
        <v>4</v>
      </c>
      <c r="AM19" t="s">
        <v>4</v>
      </c>
      <c r="AN19" t="s">
        <v>4</v>
      </c>
      <c r="AO19" t="s">
        <v>4</v>
      </c>
      <c r="AP19" s="2">
        <v>6088.54</v>
      </c>
      <c r="AQ19" t="s">
        <v>4</v>
      </c>
      <c r="AR19">
        <v>47.19</v>
      </c>
      <c r="AS19" t="s">
        <v>4</v>
      </c>
      <c r="AT19" t="s">
        <v>4</v>
      </c>
      <c r="AU19" s="24">
        <v>14.879999999999999</v>
      </c>
      <c r="AV19" t="s">
        <v>4</v>
      </c>
      <c r="AW19" t="s">
        <v>4</v>
      </c>
      <c r="AX19">
        <v>199.22</v>
      </c>
      <c r="AY19" s="24">
        <v>20.049999999999997</v>
      </c>
      <c r="AZ19" t="s">
        <v>4</v>
      </c>
      <c r="BA19" t="s">
        <v>4</v>
      </c>
      <c r="BB19" t="s">
        <v>4</v>
      </c>
      <c r="BC19" t="s">
        <v>4</v>
      </c>
      <c r="BD19">
        <v>3870.35</v>
      </c>
      <c r="BE19" t="s">
        <v>4</v>
      </c>
      <c r="BF19" t="s">
        <v>4</v>
      </c>
      <c r="BG19" t="s">
        <v>4</v>
      </c>
      <c r="BH19">
        <v>993.72</v>
      </c>
      <c r="BI19" t="s">
        <v>4</v>
      </c>
      <c r="BJ19" t="s">
        <v>4</v>
      </c>
      <c r="BK19" t="s">
        <v>4</v>
      </c>
      <c r="BL19" t="s">
        <v>4</v>
      </c>
      <c r="BM19" t="s">
        <v>4</v>
      </c>
      <c r="BN19" s="24">
        <v>3.19</v>
      </c>
      <c r="BO19" t="s">
        <v>4</v>
      </c>
      <c r="BP19" t="s">
        <v>4</v>
      </c>
      <c r="BQ19">
        <v>26.8</v>
      </c>
      <c r="BR19" t="s">
        <v>4</v>
      </c>
      <c r="BS19" t="s">
        <v>4</v>
      </c>
      <c r="BT19" t="s">
        <v>4</v>
      </c>
      <c r="BU19" t="s">
        <v>4</v>
      </c>
      <c r="BV19" t="s">
        <v>4</v>
      </c>
      <c r="BW19" t="s">
        <v>4</v>
      </c>
      <c r="BX19" t="s">
        <v>4</v>
      </c>
      <c r="BY19" t="s">
        <v>4</v>
      </c>
      <c r="BZ19">
        <v>41.29</v>
      </c>
      <c r="CA19" t="s">
        <v>4</v>
      </c>
      <c r="CB19">
        <v>2.84</v>
      </c>
      <c r="CC19" t="s">
        <v>4</v>
      </c>
      <c r="CD19" t="s">
        <v>4</v>
      </c>
      <c r="CE19" t="s">
        <v>4</v>
      </c>
      <c r="CF19" t="s">
        <v>4</v>
      </c>
      <c r="CG19" t="s">
        <v>4</v>
      </c>
      <c r="CH19" t="s">
        <v>4</v>
      </c>
      <c r="CI19" t="s">
        <v>4</v>
      </c>
      <c r="CJ19" t="s">
        <v>4</v>
      </c>
      <c r="CK19" t="s">
        <v>4</v>
      </c>
      <c r="CL19" t="s">
        <v>4</v>
      </c>
      <c r="CM19">
        <v>9.39</v>
      </c>
      <c r="CN19">
        <v>16.479999999999997</v>
      </c>
      <c r="CO19" t="s">
        <v>4</v>
      </c>
      <c r="CP19" t="s">
        <v>4</v>
      </c>
      <c r="CQ19" t="s">
        <v>4</v>
      </c>
      <c r="CR19" t="s">
        <v>4</v>
      </c>
      <c r="CS19" t="s">
        <v>4</v>
      </c>
    </row>
    <row r="20" spans="1:97" s="26" customFormat="1" ht="15" thickBot="1" x14ac:dyDescent="0.35">
      <c r="A20" s="26" t="s">
        <v>7</v>
      </c>
      <c r="B20" s="40" t="s">
        <v>329</v>
      </c>
      <c r="C20" s="26" t="s">
        <v>4</v>
      </c>
      <c r="D20" s="26" t="s">
        <v>4</v>
      </c>
      <c r="E20" s="26" t="s">
        <v>4</v>
      </c>
      <c r="F20" s="26" t="s">
        <v>4</v>
      </c>
      <c r="G20" s="26" t="s">
        <v>4</v>
      </c>
      <c r="H20" s="26">
        <v>4.37</v>
      </c>
      <c r="I20" s="26">
        <v>6.09</v>
      </c>
      <c r="J20" s="26">
        <v>13.59</v>
      </c>
      <c r="K20" s="26">
        <v>2.79</v>
      </c>
      <c r="L20" s="26" t="s">
        <v>4</v>
      </c>
      <c r="M20" s="26">
        <v>29.23</v>
      </c>
      <c r="N20" s="26" t="s">
        <v>4</v>
      </c>
      <c r="O20" s="27" t="s">
        <v>4</v>
      </c>
      <c r="P20" s="26">
        <v>20.45</v>
      </c>
      <c r="Q20" s="26">
        <v>3.21</v>
      </c>
      <c r="R20" s="26" t="s">
        <v>4</v>
      </c>
      <c r="S20" s="26" t="s">
        <v>4</v>
      </c>
      <c r="T20" s="26" t="s">
        <v>4</v>
      </c>
      <c r="U20" s="26">
        <v>0.59</v>
      </c>
      <c r="V20" s="26" t="s">
        <v>4</v>
      </c>
      <c r="W20" s="26" t="s">
        <v>4</v>
      </c>
      <c r="X20" s="26">
        <v>5.73</v>
      </c>
      <c r="Y20" s="26" t="s">
        <v>4</v>
      </c>
      <c r="Z20" s="26" t="s">
        <v>4</v>
      </c>
      <c r="AA20" s="26" t="s">
        <v>4</v>
      </c>
      <c r="AB20" s="26" t="s">
        <v>4</v>
      </c>
      <c r="AC20" s="26" t="s">
        <v>4</v>
      </c>
      <c r="AD20" s="27">
        <v>2.4500000000000002</v>
      </c>
      <c r="AE20" s="27">
        <v>5.24</v>
      </c>
      <c r="AF20" s="26" t="s">
        <v>4</v>
      </c>
      <c r="AG20" s="26">
        <v>203.14</v>
      </c>
      <c r="AH20" s="26" t="s">
        <v>4</v>
      </c>
      <c r="AI20" s="26">
        <v>3.82</v>
      </c>
      <c r="AJ20" s="26" t="s">
        <v>4</v>
      </c>
      <c r="AK20" s="26" t="s">
        <v>4</v>
      </c>
      <c r="AL20" s="26" t="s">
        <v>4</v>
      </c>
      <c r="AM20" s="26" t="s">
        <v>4</v>
      </c>
      <c r="AN20" s="26" t="s">
        <v>4</v>
      </c>
      <c r="AO20" s="26" t="s">
        <v>4</v>
      </c>
      <c r="AP20" s="26">
        <v>69.349999999999994</v>
      </c>
      <c r="AQ20" s="26" t="s">
        <v>4</v>
      </c>
      <c r="AR20" s="26" t="s">
        <v>4</v>
      </c>
      <c r="AS20" s="26" t="s">
        <v>4</v>
      </c>
      <c r="AT20" s="26" t="s">
        <v>4</v>
      </c>
      <c r="AU20" s="27">
        <v>9.2200000000000006</v>
      </c>
      <c r="AV20" s="26" t="s">
        <v>4</v>
      </c>
      <c r="AW20" s="26" t="s">
        <v>4</v>
      </c>
      <c r="AX20" s="26">
        <v>6.26</v>
      </c>
      <c r="AY20" s="27">
        <v>5.13</v>
      </c>
      <c r="AZ20" s="26" t="s">
        <v>4</v>
      </c>
      <c r="BA20" s="26" t="s">
        <v>4</v>
      </c>
      <c r="BB20" s="26" t="s">
        <v>4</v>
      </c>
      <c r="BC20" s="26" t="s">
        <v>4</v>
      </c>
      <c r="BD20" s="26" t="s">
        <v>4</v>
      </c>
      <c r="BE20" s="26" t="s">
        <v>4</v>
      </c>
      <c r="BF20" s="26" t="s">
        <v>4</v>
      </c>
      <c r="BG20" s="26" t="s">
        <v>4</v>
      </c>
      <c r="BH20" s="26">
        <v>1.43</v>
      </c>
      <c r="BI20" s="26" t="s">
        <v>4</v>
      </c>
      <c r="BJ20" s="26" t="s">
        <v>4</v>
      </c>
      <c r="BK20" s="26" t="s">
        <v>4</v>
      </c>
      <c r="BL20" s="26" t="s">
        <v>4</v>
      </c>
      <c r="BM20" s="26" t="s">
        <v>4</v>
      </c>
      <c r="BN20" s="27">
        <v>0.44999999999999996</v>
      </c>
      <c r="BO20" s="26" t="s">
        <v>4</v>
      </c>
      <c r="BP20" s="26" t="s">
        <v>4</v>
      </c>
      <c r="BQ20" s="26" t="s">
        <v>4</v>
      </c>
      <c r="BR20" s="26">
        <v>4.5</v>
      </c>
      <c r="BS20" s="26" t="s">
        <v>4</v>
      </c>
      <c r="BT20" s="26" t="s">
        <v>4</v>
      </c>
      <c r="BU20" s="26" t="s">
        <v>4</v>
      </c>
      <c r="BV20" s="26" t="s">
        <v>4</v>
      </c>
      <c r="BW20" s="26" t="s">
        <v>4</v>
      </c>
      <c r="BX20" s="26" t="s">
        <v>4</v>
      </c>
      <c r="BY20" s="26" t="s">
        <v>4</v>
      </c>
      <c r="BZ20" s="26">
        <v>5.85</v>
      </c>
      <c r="CA20" s="26" t="s">
        <v>4</v>
      </c>
      <c r="CB20" s="26">
        <v>1.34</v>
      </c>
      <c r="CC20" s="26" t="s">
        <v>4</v>
      </c>
      <c r="CD20" s="26" t="s">
        <v>4</v>
      </c>
      <c r="CE20" s="26" t="s">
        <v>4</v>
      </c>
      <c r="CF20" s="26" t="s">
        <v>4</v>
      </c>
      <c r="CG20" s="26" t="s">
        <v>4</v>
      </c>
      <c r="CH20" s="26" t="s">
        <v>4</v>
      </c>
      <c r="CI20" s="26" t="s">
        <v>4</v>
      </c>
      <c r="CJ20" s="26" t="s">
        <v>4</v>
      </c>
      <c r="CK20" s="26" t="s">
        <v>4</v>
      </c>
      <c r="CL20" s="26" t="s">
        <v>4</v>
      </c>
      <c r="CM20" s="26">
        <v>4.9800000000000004</v>
      </c>
      <c r="CN20" s="26">
        <v>7.2000000000000011</v>
      </c>
      <c r="CO20" s="26" t="s">
        <v>4</v>
      </c>
      <c r="CP20" s="26" t="s">
        <v>4</v>
      </c>
      <c r="CQ20" s="26" t="s">
        <v>4</v>
      </c>
      <c r="CR20" s="26" t="s">
        <v>4</v>
      </c>
      <c r="CS20" s="26" t="s">
        <v>4</v>
      </c>
    </row>
    <row r="21" spans="1:97" x14ac:dyDescent="0.25">
      <c r="A21" s="1" t="s">
        <v>2</v>
      </c>
      <c r="B21" s="1"/>
      <c r="C21" t="s">
        <v>253</v>
      </c>
      <c r="D21" s="41" t="s">
        <v>254</v>
      </c>
      <c r="E21" t="s">
        <v>255</v>
      </c>
      <c r="F21" t="s">
        <v>158</v>
      </c>
      <c r="G21" t="s">
        <v>256</v>
      </c>
      <c r="H21" t="s">
        <v>257</v>
      </c>
      <c r="I21" s="30" t="s">
        <v>258</v>
      </c>
      <c r="J21" t="s">
        <v>259</v>
      </c>
      <c r="K21" s="32" t="s">
        <v>260</v>
      </c>
      <c r="L21" t="s">
        <v>261</v>
      </c>
      <c r="M21" s="30" t="s">
        <v>262</v>
      </c>
      <c r="N21" t="s">
        <v>266</v>
      </c>
      <c r="O21" t="s">
        <v>263</v>
      </c>
      <c r="P21" t="s">
        <v>264</v>
      </c>
      <c r="Q21" t="s">
        <v>265</v>
      </c>
      <c r="R21" t="s">
        <v>163</v>
      </c>
      <c r="S21" t="s">
        <v>164</v>
      </c>
      <c r="T21" t="s">
        <v>165</v>
      </c>
      <c r="U21" s="29" t="s">
        <v>267</v>
      </c>
      <c r="V21" t="s">
        <v>268</v>
      </c>
      <c r="W21" t="s">
        <v>269</v>
      </c>
      <c r="X21" t="s">
        <v>270</v>
      </c>
      <c r="Y21" s="30" t="s">
        <v>271</v>
      </c>
      <c r="Z21" t="s">
        <v>272</v>
      </c>
      <c r="AA21" t="s">
        <v>273</v>
      </c>
      <c r="AB21" t="s">
        <v>274</v>
      </c>
      <c r="AC21" t="s">
        <v>275</v>
      </c>
      <c r="AD21" s="30" t="s">
        <v>276</v>
      </c>
      <c r="AE21" s="31" t="s">
        <v>277</v>
      </c>
      <c r="AF21" s="30" t="s">
        <v>278</v>
      </c>
      <c r="AG21" s="30" t="s">
        <v>279</v>
      </c>
      <c r="AH21" t="s">
        <v>280</v>
      </c>
      <c r="AI21" t="s">
        <v>281</v>
      </c>
      <c r="AJ21" t="s">
        <v>282</v>
      </c>
      <c r="AK21" t="s">
        <v>283</v>
      </c>
      <c r="AL21" s="29" t="s">
        <v>284</v>
      </c>
      <c r="AM21" t="s">
        <v>285</v>
      </c>
      <c r="AN21" t="s">
        <v>286</v>
      </c>
      <c r="AO21" s="29" t="s">
        <v>287</v>
      </c>
      <c r="AP21" s="32" t="s">
        <v>288</v>
      </c>
      <c r="AQ21" t="s">
        <v>289</v>
      </c>
      <c r="AR21" t="s">
        <v>290</v>
      </c>
      <c r="AS21" t="s">
        <v>291</v>
      </c>
      <c r="AT21" t="s">
        <v>292</v>
      </c>
      <c r="AU21" s="29" t="s">
        <v>293</v>
      </c>
      <c r="AV21" t="s">
        <v>294</v>
      </c>
      <c r="AW21" t="s">
        <v>295</v>
      </c>
      <c r="AX21" s="30" t="s">
        <v>296</v>
      </c>
      <c r="AY21" s="29" t="s">
        <v>297</v>
      </c>
      <c r="AZ21" t="s">
        <v>298</v>
      </c>
      <c r="BA21" t="s">
        <v>299</v>
      </c>
      <c r="BB21" t="s">
        <v>300</v>
      </c>
      <c r="BC21" t="s">
        <v>301</v>
      </c>
      <c r="BD21" s="30" t="s">
        <v>302</v>
      </c>
      <c r="BE21" t="s">
        <v>171</v>
      </c>
      <c r="BF21" t="s">
        <v>303</v>
      </c>
      <c r="BG21" t="s">
        <v>304</v>
      </c>
      <c r="BH21" s="30" t="s">
        <v>305</v>
      </c>
      <c r="BI21" t="s">
        <v>306</v>
      </c>
      <c r="BJ21" t="s">
        <v>307</v>
      </c>
      <c r="BK21" t="s">
        <v>308</v>
      </c>
      <c r="BL21" t="s">
        <v>309</v>
      </c>
      <c r="BM21" t="s">
        <v>310</v>
      </c>
      <c r="BN21" s="29" t="s">
        <v>311</v>
      </c>
      <c r="BO21" t="s">
        <v>312</v>
      </c>
      <c r="BP21" t="s">
        <v>313</v>
      </c>
      <c r="BQ21" t="s">
        <v>314</v>
      </c>
      <c r="BR21" s="32" t="s">
        <v>315</v>
      </c>
      <c r="BS21" t="s">
        <v>316</v>
      </c>
      <c r="BT21" t="s">
        <v>317</v>
      </c>
      <c r="BU21" t="s">
        <v>318</v>
      </c>
      <c r="BV21" t="s">
        <v>319</v>
      </c>
      <c r="BW21" t="s">
        <v>320</v>
      </c>
      <c r="BX21" t="s">
        <v>321</v>
      </c>
      <c r="BY21" t="s">
        <v>322</v>
      </c>
      <c r="BZ21" t="s">
        <v>323</v>
      </c>
      <c r="CA21" t="s">
        <v>324</v>
      </c>
      <c r="CB21" s="32" t="s">
        <v>325</v>
      </c>
      <c r="CC21" t="s">
        <v>326</v>
      </c>
      <c r="CD21" t="s">
        <v>327</v>
      </c>
      <c r="CE21" t="s">
        <v>328</v>
      </c>
      <c r="CF21" t="s">
        <v>389</v>
      </c>
      <c r="CG21" t="s">
        <v>390</v>
      </c>
      <c r="CH21" t="s">
        <v>391</v>
      </c>
      <c r="CI21" t="s">
        <v>392</v>
      </c>
      <c r="CJ21" t="s">
        <v>393</v>
      </c>
      <c r="CK21" t="s">
        <v>394</v>
      </c>
      <c r="CL21" t="s">
        <v>395</v>
      </c>
      <c r="CM21" t="s">
        <v>396</v>
      </c>
      <c r="CN21" t="s">
        <v>397</v>
      </c>
      <c r="CO21" t="s">
        <v>398</v>
      </c>
      <c r="CP21" t="s">
        <v>399</v>
      </c>
      <c r="CQ21" t="s">
        <v>400</v>
      </c>
      <c r="CR21" t="s">
        <v>401</v>
      </c>
      <c r="CS21" t="s">
        <v>402</v>
      </c>
    </row>
    <row r="22" spans="1:97" ht="14.4" x14ac:dyDescent="0.3">
      <c r="A22" t="s">
        <v>54</v>
      </c>
      <c r="B22" s="11" t="s">
        <v>229</v>
      </c>
      <c r="C22">
        <v>271.60000000000002</v>
      </c>
      <c r="D22">
        <v>0.81</v>
      </c>
      <c r="E22" t="s">
        <v>4</v>
      </c>
      <c r="F22" t="s">
        <v>4</v>
      </c>
      <c r="G22">
        <v>0.38</v>
      </c>
      <c r="H22">
        <v>0.95</v>
      </c>
      <c r="I22" t="s">
        <v>4</v>
      </c>
      <c r="J22" t="s">
        <v>4</v>
      </c>
      <c r="K22">
        <v>5.92</v>
      </c>
      <c r="L22">
        <v>8.93</v>
      </c>
      <c r="M22">
        <v>22.79</v>
      </c>
      <c r="N22" t="s">
        <v>4</v>
      </c>
      <c r="O22" s="24">
        <v>801.39</v>
      </c>
      <c r="P22">
        <v>22.74</v>
      </c>
      <c r="Q22">
        <v>2.78</v>
      </c>
      <c r="R22">
        <v>0.79</v>
      </c>
      <c r="S22">
        <v>1.52</v>
      </c>
      <c r="T22">
        <v>21.76</v>
      </c>
      <c r="U22">
        <v>4.45</v>
      </c>
      <c r="V22" t="s">
        <v>4</v>
      </c>
      <c r="W22" t="s">
        <v>4</v>
      </c>
      <c r="X22">
        <v>15.14</v>
      </c>
      <c r="Y22" t="s">
        <v>4</v>
      </c>
      <c r="Z22" t="s">
        <v>4</v>
      </c>
      <c r="AA22" t="s">
        <v>4</v>
      </c>
      <c r="AB22">
        <v>12.72</v>
      </c>
      <c r="AC22" t="s">
        <v>4</v>
      </c>
      <c r="AD22" s="24">
        <v>3.7499999999999991</v>
      </c>
      <c r="AE22" s="24">
        <v>9.2299999999999986</v>
      </c>
      <c r="AF22">
        <v>8.8000000000000007</v>
      </c>
      <c r="AG22">
        <v>268.5</v>
      </c>
      <c r="AH22" t="s">
        <v>4</v>
      </c>
      <c r="AI22">
        <v>56.99</v>
      </c>
      <c r="AJ22">
        <v>10.25</v>
      </c>
      <c r="AK22" t="s">
        <v>4</v>
      </c>
      <c r="AL22" t="s">
        <v>4</v>
      </c>
      <c r="AM22">
        <v>8.73</v>
      </c>
      <c r="AN22" t="s">
        <v>4</v>
      </c>
      <c r="AO22" t="s">
        <v>4</v>
      </c>
      <c r="AP22">
        <v>136.94</v>
      </c>
      <c r="AQ22">
        <v>2.2799999999999998</v>
      </c>
      <c r="AR22">
        <v>5.53</v>
      </c>
      <c r="AS22" t="s">
        <v>4</v>
      </c>
      <c r="AT22" t="s">
        <v>4</v>
      </c>
      <c r="AU22" s="24">
        <v>14.15</v>
      </c>
      <c r="AV22" t="s">
        <v>4</v>
      </c>
      <c r="AW22" t="s">
        <v>4</v>
      </c>
      <c r="AX22">
        <v>24.59</v>
      </c>
      <c r="AY22" s="24">
        <v>78.149999999999991</v>
      </c>
      <c r="AZ22" t="s">
        <v>4</v>
      </c>
      <c r="BA22" t="s">
        <v>4</v>
      </c>
      <c r="BB22" t="s">
        <v>4</v>
      </c>
      <c r="BC22" t="s">
        <v>4</v>
      </c>
      <c r="BD22">
        <v>9.48</v>
      </c>
      <c r="BE22" t="s">
        <v>4</v>
      </c>
      <c r="BF22" t="s">
        <v>4</v>
      </c>
      <c r="BG22">
        <v>12.19</v>
      </c>
      <c r="BH22">
        <v>0.13</v>
      </c>
      <c r="BI22" t="s">
        <v>4</v>
      </c>
      <c r="BJ22" t="s">
        <v>4</v>
      </c>
      <c r="BK22" t="s">
        <v>4</v>
      </c>
      <c r="BL22">
        <v>13.52</v>
      </c>
      <c r="BM22" t="s">
        <v>4</v>
      </c>
      <c r="BN22" s="24">
        <v>7.1999999999999993</v>
      </c>
      <c r="BO22" t="s">
        <v>4</v>
      </c>
      <c r="BP22" t="s">
        <v>4</v>
      </c>
      <c r="BQ22">
        <v>2.2799999999999998</v>
      </c>
      <c r="BR22" t="s">
        <v>4</v>
      </c>
      <c r="BS22" t="s">
        <v>4</v>
      </c>
      <c r="BT22" t="s">
        <v>4</v>
      </c>
      <c r="BU22" t="s">
        <v>4</v>
      </c>
      <c r="BV22" t="s">
        <v>4</v>
      </c>
      <c r="BW22">
        <v>2.23</v>
      </c>
      <c r="BX22">
        <v>1.52</v>
      </c>
      <c r="BY22" t="s">
        <v>4</v>
      </c>
      <c r="BZ22">
        <v>8.09</v>
      </c>
      <c r="CA22" t="s">
        <v>4</v>
      </c>
      <c r="CB22">
        <v>48.23</v>
      </c>
      <c r="CC22" t="s">
        <v>4</v>
      </c>
      <c r="CD22" t="s">
        <v>4</v>
      </c>
      <c r="CE22">
        <v>8.5299999999999994</v>
      </c>
      <c r="CF22" t="s">
        <v>4</v>
      </c>
      <c r="CG22" t="s">
        <v>4</v>
      </c>
      <c r="CH22" t="s">
        <v>4</v>
      </c>
      <c r="CI22" t="s">
        <v>4</v>
      </c>
      <c r="CJ22">
        <v>0.57999999999999996</v>
      </c>
      <c r="CK22">
        <v>63.61</v>
      </c>
      <c r="CL22">
        <v>17.010000000000002</v>
      </c>
      <c r="CM22" t="s">
        <v>4</v>
      </c>
      <c r="CN22">
        <v>8.7200000000000006</v>
      </c>
      <c r="CO22" t="s">
        <v>4</v>
      </c>
      <c r="CP22" t="s">
        <v>4</v>
      </c>
      <c r="CQ22" t="s">
        <v>4</v>
      </c>
      <c r="CR22">
        <v>2.21</v>
      </c>
      <c r="CS22" t="s">
        <v>4</v>
      </c>
    </row>
    <row r="23" spans="1:97" ht="14.4" x14ac:dyDescent="0.3">
      <c r="A23" t="s">
        <v>57</v>
      </c>
      <c r="B23" s="11" t="s">
        <v>232</v>
      </c>
      <c r="C23">
        <v>44.91</v>
      </c>
      <c r="D23" t="s">
        <v>4</v>
      </c>
      <c r="E23" t="s">
        <v>4</v>
      </c>
      <c r="F23" t="s">
        <v>4</v>
      </c>
      <c r="G23" t="s">
        <v>4</v>
      </c>
      <c r="H23" t="s">
        <v>4</v>
      </c>
      <c r="I23" t="s">
        <v>4</v>
      </c>
      <c r="J23" t="s">
        <v>4</v>
      </c>
      <c r="K23" t="s">
        <v>4</v>
      </c>
      <c r="L23" t="s">
        <v>4</v>
      </c>
      <c r="M23" t="s">
        <v>4</v>
      </c>
      <c r="N23" t="s">
        <v>4</v>
      </c>
      <c r="O23" s="24" t="s">
        <v>4</v>
      </c>
      <c r="P23">
        <v>10.47</v>
      </c>
      <c r="Q23">
        <v>2.1</v>
      </c>
      <c r="R23" t="s">
        <v>4</v>
      </c>
      <c r="S23" t="s">
        <v>4</v>
      </c>
      <c r="T23" t="s">
        <v>4</v>
      </c>
      <c r="U23">
        <v>0.36</v>
      </c>
      <c r="V23" t="s">
        <v>4</v>
      </c>
      <c r="W23" t="s">
        <v>4</v>
      </c>
      <c r="X23" t="s">
        <v>4</v>
      </c>
      <c r="Y23" t="s">
        <v>4</v>
      </c>
      <c r="Z23" t="s">
        <v>4</v>
      </c>
      <c r="AA23" t="s">
        <v>4</v>
      </c>
      <c r="AB23" t="s">
        <v>4</v>
      </c>
      <c r="AC23" t="s">
        <v>4</v>
      </c>
      <c r="AD23" s="24" t="s">
        <v>4</v>
      </c>
      <c r="AE23" s="24" t="s">
        <v>4</v>
      </c>
      <c r="AF23" t="s">
        <v>4</v>
      </c>
      <c r="AG23">
        <v>523.9</v>
      </c>
      <c r="AH23" t="s">
        <v>4</v>
      </c>
      <c r="AI23" t="s">
        <v>4</v>
      </c>
      <c r="AJ23" t="s">
        <v>4</v>
      </c>
      <c r="AK23" t="s">
        <v>4</v>
      </c>
      <c r="AL23" t="s">
        <v>4</v>
      </c>
      <c r="AM23" t="s">
        <v>4</v>
      </c>
      <c r="AN23" t="s">
        <v>4</v>
      </c>
      <c r="AO23" t="s">
        <v>4</v>
      </c>
      <c r="AP23">
        <v>6</v>
      </c>
      <c r="AQ23" t="s">
        <v>4</v>
      </c>
      <c r="AR23" t="s">
        <v>4</v>
      </c>
      <c r="AS23" t="s">
        <v>4</v>
      </c>
      <c r="AT23" t="s">
        <v>4</v>
      </c>
      <c r="AU23" s="24">
        <v>0.12</v>
      </c>
      <c r="AV23" t="s">
        <v>4</v>
      </c>
      <c r="AW23" t="s">
        <v>4</v>
      </c>
      <c r="AX23">
        <v>3.59</v>
      </c>
      <c r="AY23" s="24">
        <v>0.81</v>
      </c>
      <c r="AZ23" t="s">
        <v>4</v>
      </c>
      <c r="BA23" t="s">
        <v>4</v>
      </c>
      <c r="BB23" t="s">
        <v>4</v>
      </c>
      <c r="BC23" t="s">
        <v>4</v>
      </c>
      <c r="BD23" t="s">
        <v>4</v>
      </c>
      <c r="BE23" t="s">
        <v>4</v>
      </c>
      <c r="BF23" t="s">
        <v>4</v>
      </c>
      <c r="BG23" t="s">
        <v>4</v>
      </c>
      <c r="BH23" t="s">
        <v>4</v>
      </c>
      <c r="BI23" t="s">
        <v>4</v>
      </c>
      <c r="BJ23" t="s">
        <v>4</v>
      </c>
      <c r="BK23" t="s">
        <v>4</v>
      </c>
      <c r="BL23" t="s">
        <v>4</v>
      </c>
      <c r="BM23" t="s">
        <v>4</v>
      </c>
      <c r="BN23" s="24">
        <v>1.1000000000000001</v>
      </c>
      <c r="BO23" t="s">
        <v>4</v>
      </c>
      <c r="BP23" t="s">
        <v>4</v>
      </c>
      <c r="BQ23">
        <v>91.97</v>
      </c>
      <c r="BR23" t="s">
        <v>4</v>
      </c>
      <c r="BS23" t="s">
        <v>4</v>
      </c>
      <c r="BT23" t="s">
        <v>4</v>
      </c>
      <c r="BU23" t="s">
        <v>4</v>
      </c>
      <c r="BV23" t="s">
        <v>4</v>
      </c>
      <c r="BW23" t="s">
        <v>4</v>
      </c>
      <c r="BX23" t="s">
        <v>4</v>
      </c>
      <c r="BY23" t="s">
        <v>4</v>
      </c>
      <c r="BZ23" t="s">
        <v>4</v>
      </c>
      <c r="CA23" t="s">
        <v>4</v>
      </c>
      <c r="CB23" t="s">
        <v>4</v>
      </c>
      <c r="CC23" t="s">
        <v>4</v>
      </c>
      <c r="CD23" t="s">
        <v>4</v>
      </c>
      <c r="CE23" t="s">
        <v>4</v>
      </c>
      <c r="CF23" t="s">
        <v>4</v>
      </c>
      <c r="CG23" t="s">
        <v>4</v>
      </c>
      <c r="CH23" t="s">
        <v>4</v>
      </c>
      <c r="CI23" t="s">
        <v>4</v>
      </c>
      <c r="CJ23" t="s">
        <v>4</v>
      </c>
      <c r="CK23">
        <v>11.13</v>
      </c>
      <c r="CL23" t="s">
        <v>4</v>
      </c>
      <c r="CM23" t="s">
        <v>4</v>
      </c>
      <c r="CN23">
        <v>10.01</v>
      </c>
      <c r="CO23" t="s">
        <v>4</v>
      </c>
      <c r="CP23" t="s">
        <v>4</v>
      </c>
      <c r="CQ23" t="s">
        <v>4</v>
      </c>
      <c r="CR23" t="s">
        <v>4</v>
      </c>
      <c r="CS23" t="s">
        <v>4</v>
      </c>
    </row>
    <row r="24" spans="1:97" ht="14.4" x14ac:dyDescent="0.3">
      <c r="A24" t="s">
        <v>58</v>
      </c>
      <c r="B24" s="11" t="s">
        <v>233</v>
      </c>
      <c r="C24">
        <v>7.02</v>
      </c>
      <c r="D24" t="s">
        <v>4</v>
      </c>
      <c r="E24" t="s">
        <v>4</v>
      </c>
      <c r="F24" t="s">
        <v>4</v>
      </c>
      <c r="G24" t="s">
        <v>4</v>
      </c>
      <c r="H24">
        <v>30.95</v>
      </c>
      <c r="I24">
        <v>127.1</v>
      </c>
      <c r="J24">
        <v>86.47</v>
      </c>
      <c r="K24">
        <v>0.63</v>
      </c>
      <c r="L24" t="s">
        <v>4</v>
      </c>
      <c r="M24">
        <v>64.05</v>
      </c>
      <c r="N24" t="s">
        <v>4</v>
      </c>
      <c r="O24" s="24">
        <v>39.300000000000004</v>
      </c>
      <c r="P24">
        <v>1278.8900000000001</v>
      </c>
      <c r="Q24">
        <v>305.54000000000002</v>
      </c>
      <c r="R24" t="s">
        <v>4</v>
      </c>
      <c r="S24" t="s">
        <v>4</v>
      </c>
      <c r="T24">
        <v>58.04</v>
      </c>
      <c r="U24" t="s">
        <v>4</v>
      </c>
      <c r="V24" t="s">
        <v>4</v>
      </c>
      <c r="W24" t="s">
        <v>4</v>
      </c>
      <c r="X24">
        <v>468.36</v>
      </c>
      <c r="Y24" t="s">
        <v>4</v>
      </c>
      <c r="Z24" t="s">
        <v>4</v>
      </c>
      <c r="AA24" t="s">
        <v>4</v>
      </c>
      <c r="AB24" t="s">
        <v>4</v>
      </c>
      <c r="AC24" t="s">
        <v>4</v>
      </c>
      <c r="AD24" s="24">
        <v>5.9300000000000006</v>
      </c>
      <c r="AE24" s="24">
        <v>2.71</v>
      </c>
      <c r="AF24" t="s">
        <v>4</v>
      </c>
      <c r="AG24">
        <v>30.72</v>
      </c>
      <c r="AH24" t="s">
        <v>4</v>
      </c>
      <c r="AI24" t="s">
        <v>4</v>
      </c>
      <c r="AJ24" t="s">
        <v>4</v>
      </c>
      <c r="AK24">
        <v>19.79</v>
      </c>
      <c r="AL24" t="s">
        <v>4</v>
      </c>
      <c r="AM24" t="s">
        <v>4</v>
      </c>
      <c r="AN24">
        <v>1.2</v>
      </c>
      <c r="AO24" t="s">
        <v>4</v>
      </c>
      <c r="AP24">
        <v>1016.73</v>
      </c>
      <c r="AQ24" t="s">
        <v>4</v>
      </c>
      <c r="AR24">
        <v>130.97</v>
      </c>
      <c r="AS24" t="s">
        <v>4</v>
      </c>
      <c r="AT24" t="s">
        <v>4</v>
      </c>
      <c r="AU24" s="24">
        <v>7.82</v>
      </c>
      <c r="AV24" t="s">
        <v>4</v>
      </c>
      <c r="AW24" t="s">
        <v>4</v>
      </c>
      <c r="AX24">
        <v>747.32</v>
      </c>
      <c r="AY24" s="24">
        <v>15.9</v>
      </c>
      <c r="AZ24" t="s">
        <v>4</v>
      </c>
      <c r="BA24" t="s">
        <v>4</v>
      </c>
      <c r="BB24" t="s">
        <v>4</v>
      </c>
      <c r="BC24" t="s">
        <v>4</v>
      </c>
      <c r="BD24">
        <v>13.8</v>
      </c>
      <c r="BE24" t="s">
        <v>4</v>
      </c>
      <c r="BF24" t="s">
        <v>4</v>
      </c>
      <c r="BG24" t="s">
        <v>4</v>
      </c>
      <c r="BH24">
        <v>0.94</v>
      </c>
      <c r="BI24" t="s">
        <v>4</v>
      </c>
      <c r="BJ24" t="s">
        <v>4</v>
      </c>
      <c r="BK24">
        <v>0.4</v>
      </c>
      <c r="BL24" t="s">
        <v>4</v>
      </c>
      <c r="BM24" t="s">
        <v>4</v>
      </c>
      <c r="BN24" s="24">
        <v>2.65</v>
      </c>
      <c r="BO24" t="s">
        <v>4</v>
      </c>
      <c r="BP24" t="s">
        <v>4</v>
      </c>
      <c r="BQ24">
        <v>33.24</v>
      </c>
      <c r="BR24" t="s">
        <v>4</v>
      </c>
      <c r="BS24" t="s">
        <v>4</v>
      </c>
      <c r="BT24" t="s">
        <v>4</v>
      </c>
      <c r="BU24" t="s">
        <v>4</v>
      </c>
      <c r="BV24" t="s">
        <v>4</v>
      </c>
      <c r="BW24">
        <v>1.85</v>
      </c>
      <c r="BX24" t="s">
        <v>4</v>
      </c>
      <c r="BY24" t="s">
        <v>4</v>
      </c>
      <c r="BZ24">
        <v>4.5</v>
      </c>
      <c r="CA24">
        <v>1.1299999999999999</v>
      </c>
      <c r="CB24">
        <v>1.81</v>
      </c>
      <c r="CC24" t="s">
        <v>4</v>
      </c>
      <c r="CD24" t="s">
        <v>4</v>
      </c>
      <c r="CE24" t="s">
        <v>4</v>
      </c>
      <c r="CF24" t="s">
        <v>4</v>
      </c>
      <c r="CG24" t="s">
        <v>4</v>
      </c>
      <c r="CH24" t="s">
        <v>4</v>
      </c>
      <c r="CI24" t="s">
        <v>4</v>
      </c>
      <c r="CJ24" t="s">
        <v>4</v>
      </c>
      <c r="CK24" t="s">
        <v>4</v>
      </c>
      <c r="CL24" t="s">
        <v>4</v>
      </c>
      <c r="CM24" t="s">
        <v>4</v>
      </c>
      <c r="CN24">
        <v>4.59</v>
      </c>
      <c r="CO24" t="s">
        <v>4</v>
      </c>
      <c r="CP24" t="s">
        <v>4</v>
      </c>
      <c r="CQ24" t="s">
        <v>4</v>
      </c>
      <c r="CR24" t="s">
        <v>4</v>
      </c>
      <c r="CS24" t="s">
        <v>4</v>
      </c>
    </row>
    <row r="25" spans="1:97" ht="14.4" x14ac:dyDescent="0.3">
      <c r="A25" t="s">
        <v>20</v>
      </c>
      <c r="B25" s="11" t="s">
        <v>191</v>
      </c>
      <c r="C25" t="s">
        <v>4</v>
      </c>
      <c r="D25">
        <v>1.34</v>
      </c>
      <c r="E25" t="s">
        <v>4</v>
      </c>
      <c r="F25" t="s">
        <v>4</v>
      </c>
      <c r="G25" t="s">
        <v>4</v>
      </c>
      <c r="H25" t="s">
        <v>4</v>
      </c>
      <c r="I25" t="s">
        <v>4</v>
      </c>
      <c r="J25" t="s">
        <v>4</v>
      </c>
      <c r="K25">
        <v>1.21</v>
      </c>
      <c r="L25">
        <v>21.61</v>
      </c>
      <c r="M25">
        <v>45.65</v>
      </c>
      <c r="N25" t="s">
        <v>4</v>
      </c>
      <c r="O25" s="24" t="s">
        <v>4</v>
      </c>
      <c r="P25">
        <v>21.31</v>
      </c>
      <c r="Q25">
        <v>2.57</v>
      </c>
      <c r="R25" t="s">
        <v>4</v>
      </c>
      <c r="S25" t="s">
        <v>4</v>
      </c>
      <c r="T25" t="s">
        <v>4</v>
      </c>
      <c r="U25">
        <v>10.19</v>
      </c>
      <c r="V25" t="s">
        <v>4</v>
      </c>
      <c r="W25" t="s">
        <v>4</v>
      </c>
      <c r="X25">
        <v>5.24</v>
      </c>
      <c r="Y25" t="s">
        <v>4</v>
      </c>
      <c r="Z25" t="s">
        <v>4</v>
      </c>
      <c r="AA25" t="s">
        <v>4</v>
      </c>
      <c r="AB25" t="s">
        <v>4</v>
      </c>
      <c r="AC25" t="s">
        <v>4</v>
      </c>
      <c r="AD25" s="24">
        <v>1.2400000000000002</v>
      </c>
      <c r="AE25" s="24">
        <v>0.38000000000000012</v>
      </c>
      <c r="AF25" t="s">
        <v>4</v>
      </c>
      <c r="AG25" s="2">
        <v>6908.82</v>
      </c>
      <c r="AH25" t="s">
        <v>4</v>
      </c>
      <c r="AI25" t="s">
        <v>4</v>
      </c>
      <c r="AJ25" t="s">
        <v>4</v>
      </c>
      <c r="AK25" t="s">
        <v>4</v>
      </c>
      <c r="AL25" t="s">
        <v>4</v>
      </c>
      <c r="AM25" t="s">
        <v>4</v>
      </c>
      <c r="AN25" t="s">
        <v>4</v>
      </c>
      <c r="AO25" t="s">
        <v>4</v>
      </c>
      <c r="AP25">
        <v>10.7</v>
      </c>
      <c r="AQ25" t="s">
        <v>4</v>
      </c>
      <c r="AR25">
        <v>7.71</v>
      </c>
      <c r="AS25" t="s">
        <v>4</v>
      </c>
      <c r="AT25" t="s">
        <v>4</v>
      </c>
      <c r="AU25" s="24">
        <v>1.1200000000000001</v>
      </c>
      <c r="AV25" t="s">
        <v>4</v>
      </c>
      <c r="AW25" t="s">
        <v>4</v>
      </c>
      <c r="AX25">
        <v>1.35</v>
      </c>
      <c r="AY25" s="24">
        <v>1.51</v>
      </c>
      <c r="AZ25" t="s">
        <v>4</v>
      </c>
      <c r="BA25" t="s">
        <v>4</v>
      </c>
      <c r="BB25" t="s">
        <v>4</v>
      </c>
      <c r="BC25" t="s">
        <v>4</v>
      </c>
      <c r="BD25" t="s">
        <v>4</v>
      </c>
      <c r="BE25" t="s">
        <v>4</v>
      </c>
      <c r="BF25" t="s">
        <v>4</v>
      </c>
      <c r="BG25" t="s">
        <v>4</v>
      </c>
      <c r="BH25">
        <v>2.0299999999999998</v>
      </c>
      <c r="BI25" t="s">
        <v>4</v>
      </c>
      <c r="BJ25" t="s">
        <v>4</v>
      </c>
      <c r="BK25" t="s">
        <v>4</v>
      </c>
      <c r="BL25" t="s">
        <v>4</v>
      </c>
      <c r="BM25" t="s">
        <v>4</v>
      </c>
      <c r="BN25" s="24">
        <v>2.77</v>
      </c>
      <c r="BO25" t="s">
        <v>4</v>
      </c>
      <c r="BP25">
        <v>7.3</v>
      </c>
      <c r="BQ25">
        <v>2.2799999999999998</v>
      </c>
      <c r="BR25">
        <v>2.5</v>
      </c>
      <c r="BS25" t="s">
        <v>4</v>
      </c>
      <c r="BT25" t="s">
        <v>4</v>
      </c>
      <c r="BU25" t="s">
        <v>4</v>
      </c>
      <c r="BV25" t="s">
        <v>4</v>
      </c>
      <c r="BW25" t="s">
        <v>4</v>
      </c>
      <c r="BX25" t="s">
        <v>4</v>
      </c>
      <c r="BY25" t="s">
        <v>4</v>
      </c>
      <c r="BZ25">
        <v>6.34</v>
      </c>
      <c r="CA25" t="s">
        <v>4</v>
      </c>
      <c r="CB25" t="s">
        <v>4</v>
      </c>
      <c r="CC25" t="s">
        <v>4</v>
      </c>
      <c r="CD25" t="s">
        <v>4</v>
      </c>
      <c r="CE25" t="s">
        <v>4</v>
      </c>
      <c r="CF25" t="s">
        <v>4</v>
      </c>
      <c r="CG25">
        <v>4.99</v>
      </c>
      <c r="CH25" t="s">
        <v>4</v>
      </c>
      <c r="CI25" t="s">
        <v>4</v>
      </c>
      <c r="CJ25" t="s">
        <v>4</v>
      </c>
      <c r="CK25" t="s">
        <v>4</v>
      </c>
      <c r="CL25" t="s">
        <v>4</v>
      </c>
      <c r="CM25" t="s">
        <v>4</v>
      </c>
      <c r="CN25">
        <v>5.65</v>
      </c>
      <c r="CO25" t="s">
        <v>4</v>
      </c>
      <c r="CP25" t="s">
        <v>4</v>
      </c>
      <c r="CQ25" t="s">
        <v>4</v>
      </c>
      <c r="CR25" t="s">
        <v>4</v>
      </c>
      <c r="CS25" t="s">
        <v>4</v>
      </c>
    </row>
    <row r="26" spans="1:97" ht="14.4" x14ac:dyDescent="0.3">
      <c r="A26" t="s">
        <v>18</v>
      </c>
      <c r="B26" s="25" t="s">
        <v>189</v>
      </c>
      <c r="C26" t="s">
        <v>4</v>
      </c>
      <c r="D26">
        <v>1.1200000000000001</v>
      </c>
      <c r="E26" t="s">
        <v>4</v>
      </c>
      <c r="F26" t="s">
        <v>4</v>
      </c>
      <c r="G26" t="s">
        <v>4</v>
      </c>
      <c r="H26" t="s">
        <v>4</v>
      </c>
      <c r="I26" t="s">
        <v>4</v>
      </c>
      <c r="J26" t="s">
        <v>4</v>
      </c>
      <c r="K26">
        <v>1.73</v>
      </c>
      <c r="L26">
        <v>7.8</v>
      </c>
      <c r="M26">
        <v>72.44</v>
      </c>
      <c r="N26" t="s">
        <v>4</v>
      </c>
      <c r="O26" s="24" t="s">
        <v>4</v>
      </c>
      <c r="P26">
        <v>28.73</v>
      </c>
      <c r="Q26">
        <v>4.1100000000000003</v>
      </c>
      <c r="R26" t="s">
        <v>4</v>
      </c>
      <c r="S26" t="s">
        <v>4</v>
      </c>
      <c r="T26" t="s">
        <v>4</v>
      </c>
      <c r="U26">
        <v>2.35</v>
      </c>
      <c r="V26" t="s">
        <v>4</v>
      </c>
      <c r="W26" t="s">
        <v>4</v>
      </c>
      <c r="X26">
        <v>5.95</v>
      </c>
      <c r="Y26" t="s">
        <v>4</v>
      </c>
      <c r="Z26" t="s">
        <v>4</v>
      </c>
      <c r="AA26" t="s">
        <v>4</v>
      </c>
      <c r="AB26" t="s">
        <v>4</v>
      </c>
      <c r="AC26" t="s">
        <v>4</v>
      </c>
      <c r="AD26" s="24">
        <v>1.42</v>
      </c>
      <c r="AE26" s="24">
        <v>2.12</v>
      </c>
      <c r="AF26" t="s">
        <v>4</v>
      </c>
      <c r="AG26" s="2">
        <v>33700.01</v>
      </c>
      <c r="AH26" t="s">
        <v>4</v>
      </c>
      <c r="AI26" t="s">
        <v>4</v>
      </c>
      <c r="AJ26" t="s">
        <v>4</v>
      </c>
      <c r="AK26" t="s">
        <v>4</v>
      </c>
      <c r="AL26" t="s">
        <v>4</v>
      </c>
      <c r="AM26" t="s">
        <v>4</v>
      </c>
      <c r="AN26" t="s">
        <v>4</v>
      </c>
      <c r="AO26" t="s">
        <v>4</v>
      </c>
      <c r="AP26">
        <v>15.55</v>
      </c>
      <c r="AQ26" t="s">
        <v>4</v>
      </c>
      <c r="AR26">
        <v>7.13</v>
      </c>
      <c r="AS26" t="s">
        <v>4</v>
      </c>
      <c r="AT26" t="s">
        <v>4</v>
      </c>
      <c r="AU26" s="24">
        <v>1.74</v>
      </c>
      <c r="AV26" t="s">
        <v>4</v>
      </c>
      <c r="AW26" t="s">
        <v>4</v>
      </c>
      <c r="AX26" t="s">
        <v>4</v>
      </c>
      <c r="AY26" s="24">
        <v>1.1600000000000001</v>
      </c>
      <c r="AZ26" t="s">
        <v>4</v>
      </c>
      <c r="BA26" t="s">
        <v>4</v>
      </c>
      <c r="BB26" t="s">
        <v>4</v>
      </c>
      <c r="BC26" t="s">
        <v>4</v>
      </c>
      <c r="BD26">
        <v>7.11</v>
      </c>
      <c r="BE26" t="s">
        <v>4</v>
      </c>
      <c r="BF26" t="s">
        <v>4</v>
      </c>
      <c r="BG26" t="s">
        <v>4</v>
      </c>
      <c r="BH26">
        <v>3.14</v>
      </c>
      <c r="BI26" t="s">
        <v>4</v>
      </c>
      <c r="BJ26" t="s">
        <v>4</v>
      </c>
      <c r="BK26" t="s">
        <v>4</v>
      </c>
      <c r="BL26" t="s">
        <v>4</v>
      </c>
      <c r="BM26" t="s">
        <v>4</v>
      </c>
      <c r="BN26" s="24">
        <v>2.29</v>
      </c>
      <c r="BO26" t="s">
        <v>4</v>
      </c>
      <c r="BP26" t="s">
        <v>4</v>
      </c>
      <c r="BQ26">
        <v>7.07</v>
      </c>
      <c r="BR26">
        <v>9.9499999999999993</v>
      </c>
      <c r="BS26" t="s">
        <v>4</v>
      </c>
      <c r="BT26" t="s">
        <v>4</v>
      </c>
      <c r="BU26" t="s">
        <v>4</v>
      </c>
      <c r="BV26" t="s">
        <v>4</v>
      </c>
      <c r="BW26" t="s">
        <v>4</v>
      </c>
      <c r="BX26" t="s">
        <v>4</v>
      </c>
      <c r="BY26" t="s">
        <v>4</v>
      </c>
      <c r="BZ26">
        <v>7.24</v>
      </c>
      <c r="CA26" t="s">
        <v>4</v>
      </c>
      <c r="CB26" t="s">
        <v>4</v>
      </c>
      <c r="CC26">
        <v>0.59</v>
      </c>
      <c r="CD26" t="s">
        <v>4</v>
      </c>
      <c r="CE26" t="s">
        <v>4</v>
      </c>
      <c r="CF26" t="s">
        <v>4</v>
      </c>
      <c r="CG26" t="s">
        <v>4</v>
      </c>
      <c r="CH26" t="s">
        <v>4</v>
      </c>
      <c r="CI26" t="s">
        <v>4</v>
      </c>
      <c r="CJ26" t="s">
        <v>4</v>
      </c>
      <c r="CK26" t="s">
        <v>4</v>
      </c>
      <c r="CL26" t="s">
        <v>4</v>
      </c>
      <c r="CM26">
        <v>4.9600000000000009</v>
      </c>
      <c r="CN26">
        <v>2.7900000000000009</v>
      </c>
      <c r="CO26" t="s">
        <v>4</v>
      </c>
      <c r="CP26" t="s">
        <v>4</v>
      </c>
      <c r="CQ26" t="s">
        <v>4</v>
      </c>
      <c r="CR26" t="s">
        <v>4</v>
      </c>
      <c r="CS26" t="s">
        <v>4</v>
      </c>
    </row>
    <row r="27" spans="1:97" ht="14.4" x14ac:dyDescent="0.3">
      <c r="A27" t="s">
        <v>19</v>
      </c>
      <c r="B27" s="11" t="s">
        <v>190</v>
      </c>
      <c r="C27" t="s">
        <v>4</v>
      </c>
      <c r="D27" t="s">
        <v>4</v>
      </c>
      <c r="E27" t="s">
        <v>4</v>
      </c>
      <c r="F27" t="s">
        <v>4</v>
      </c>
      <c r="G27" t="s">
        <v>4</v>
      </c>
      <c r="H27" t="s">
        <v>4</v>
      </c>
      <c r="I27" t="s">
        <v>4</v>
      </c>
      <c r="J27" t="s">
        <v>4</v>
      </c>
      <c r="K27">
        <v>0.74</v>
      </c>
      <c r="L27" t="s">
        <v>4</v>
      </c>
      <c r="M27">
        <v>27.71</v>
      </c>
      <c r="N27" t="s">
        <v>4</v>
      </c>
      <c r="O27" s="24" t="s">
        <v>4</v>
      </c>
      <c r="P27">
        <v>13.54</v>
      </c>
      <c r="Q27">
        <v>1.88</v>
      </c>
      <c r="R27" t="s">
        <v>4</v>
      </c>
      <c r="S27" t="s">
        <v>4</v>
      </c>
      <c r="T27" t="s">
        <v>4</v>
      </c>
      <c r="U27">
        <v>0.84</v>
      </c>
      <c r="V27" t="s">
        <v>4</v>
      </c>
      <c r="W27" t="s">
        <v>4</v>
      </c>
      <c r="X27" t="s">
        <v>4</v>
      </c>
      <c r="Y27" t="s">
        <v>4</v>
      </c>
      <c r="Z27" t="s">
        <v>4</v>
      </c>
      <c r="AA27" t="s">
        <v>4</v>
      </c>
      <c r="AB27" t="s">
        <v>4</v>
      </c>
      <c r="AC27" t="s">
        <v>4</v>
      </c>
      <c r="AD27" s="24">
        <v>0.79999999999999982</v>
      </c>
      <c r="AE27" s="24">
        <v>0.57000000000000006</v>
      </c>
      <c r="AF27" t="s">
        <v>4</v>
      </c>
      <c r="AG27" s="2">
        <v>19313.98</v>
      </c>
      <c r="AH27" t="s">
        <v>4</v>
      </c>
      <c r="AI27" t="s">
        <v>4</v>
      </c>
      <c r="AJ27" t="s">
        <v>4</v>
      </c>
      <c r="AK27" t="s">
        <v>4</v>
      </c>
      <c r="AL27" t="s">
        <v>4</v>
      </c>
      <c r="AM27" t="s">
        <v>4</v>
      </c>
      <c r="AN27" t="s">
        <v>4</v>
      </c>
      <c r="AO27" t="s">
        <v>4</v>
      </c>
      <c r="AP27">
        <v>8.16</v>
      </c>
      <c r="AQ27" t="s">
        <v>4</v>
      </c>
      <c r="AR27" t="s">
        <v>4</v>
      </c>
      <c r="AS27" t="s">
        <v>4</v>
      </c>
      <c r="AT27" t="s">
        <v>4</v>
      </c>
      <c r="AU27" s="24">
        <v>1.8499999999999999</v>
      </c>
      <c r="AV27" t="s">
        <v>4</v>
      </c>
      <c r="AW27" t="s">
        <v>4</v>
      </c>
      <c r="AX27" t="s">
        <v>4</v>
      </c>
      <c r="AY27" s="24">
        <v>1.1300000000000001</v>
      </c>
      <c r="AZ27" t="s">
        <v>4</v>
      </c>
      <c r="BA27" t="s">
        <v>4</v>
      </c>
      <c r="BB27" t="s">
        <v>4</v>
      </c>
      <c r="BC27" t="s">
        <v>4</v>
      </c>
      <c r="BD27" t="s">
        <v>4</v>
      </c>
      <c r="BE27" t="s">
        <v>4</v>
      </c>
      <c r="BF27" t="s">
        <v>4</v>
      </c>
      <c r="BG27" t="s">
        <v>4</v>
      </c>
      <c r="BH27">
        <v>2.27</v>
      </c>
      <c r="BI27" t="s">
        <v>4</v>
      </c>
      <c r="BJ27" t="s">
        <v>4</v>
      </c>
      <c r="BK27" t="s">
        <v>4</v>
      </c>
      <c r="BL27" t="s">
        <v>4</v>
      </c>
      <c r="BM27" t="s">
        <v>4</v>
      </c>
      <c r="BN27" s="24">
        <v>2.06</v>
      </c>
      <c r="BO27" t="s">
        <v>4</v>
      </c>
      <c r="BP27" t="s">
        <v>4</v>
      </c>
      <c r="BQ27" t="s">
        <v>4</v>
      </c>
      <c r="BR27">
        <v>5.65</v>
      </c>
      <c r="BS27" t="s">
        <v>4</v>
      </c>
      <c r="BT27" t="s">
        <v>4</v>
      </c>
      <c r="BU27" t="s">
        <v>4</v>
      </c>
      <c r="BV27" t="s">
        <v>4</v>
      </c>
      <c r="BW27" t="s">
        <v>4</v>
      </c>
      <c r="BX27" t="s">
        <v>4</v>
      </c>
      <c r="BY27" t="s">
        <v>4</v>
      </c>
      <c r="BZ27">
        <v>4.66</v>
      </c>
      <c r="CA27" t="s">
        <v>4</v>
      </c>
      <c r="CB27" t="s">
        <v>4</v>
      </c>
      <c r="CC27" t="s">
        <v>4</v>
      </c>
      <c r="CD27" t="s">
        <v>4</v>
      </c>
      <c r="CE27" t="s">
        <v>4</v>
      </c>
      <c r="CF27" t="s">
        <v>4</v>
      </c>
      <c r="CG27" t="s">
        <v>4</v>
      </c>
      <c r="CH27" t="s">
        <v>4</v>
      </c>
      <c r="CI27" t="s">
        <v>4</v>
      </c>
      <c r="CJ27" t="s">
        <v>4</v>
      </c>
      <c r="CK27" t="s">
        <v>4</v>
      </c>
      <c r="CL27" t="s">
        <v>4</v>
      </c>
      <c r="CM27">
        <v>5.0199999999999996</v>
      </c>
      <c r="CN27">
        <v>3.4299999999999997</v>
      </c>
      <c r="CO27" t="s">
        <v>4</v>
      </c>
      <c r="CP27" t="s">
        <v>4</v>
      </c>
      <c r="CQ27" t="s">
        <v>4</v>
      </c>
      <c r="CR27" t="s">
        <v>4</v>
      </c>
      <c r="CS27" t="s">
        <v>4</v>
      </c>
    </row>
    <row r="28" spans="1:97" ht="14.4" x14ac:dyDescent="0.3">
      <c r="A28" t="s">
        <v>21</v>
      </c>
      <c r="B28" s="11" t="s">
        <v>192</v>
      </c>
      <c r="C28">
        <v>4.25</v>
      </c>
      <c r="D28" t="s">
        <v>4</v>
      </c>
      <c r="E28" t="s">
        <v>4</v>
      </c>
      <c r="F28" t="s">
        <v>4</v>
      </c>
      <c r="G28" t="s">
        <v>4</v>
      </c>
      <c r="H28" t="s">
        <v>4</v>
      </c>
      <c r="I28">
        <v>23.88</v>
      </c>
      <c r="J28" t="s">
        <v>4</v>
      </c>
      <c r="K28">
        <v>1.55</v>
      </c>
      <c r="L28" t="s">
        <v>4</v>
      </c>
      <c r="M28">
        <v>54.8</v>
      </c>
      <c r="N28" t="s">
        <v>4</v>
      </c>
      <c r="O28" s="24" t="s">
        <v>4</v>
      </c>
      <c r="P28">
        <v>28.48</v>
      </c>
      <c r="Q28">
        <v>4.0199999999999996</v>
      </c>
      <c r="R28" t="s">
        <v>4</v>
      </c>
      <c r="S28" t="s">
        <v>4</v>
      </c>
      <c r="T28" t="s">
        <v>4</v>
      </c>
      <c r="U28">
        <v>4.3899999999999997</v>
      </c>
      <c r="V28" t="s">
        <v>4</v>
      </c>
      <c r="W28" t="s">
        <v>4</v>
      </c>
      <c r="X28" t="s">
        <v>4</v>
      </c>
      <c r="Y28" t="s">
        <v>4</v>
      </c>
      <c r="Z28" t="s">
        <v>4</v>
      </c>
      <c r="AA28" t="s">
        <v>4</v>
      </c>
      <c r="AB28" t="s">
        <v>4</v>
      </c>
      <c r="AC28" t="s">
        <v>4</v>
      </c>
      <c r="AD28" s="24">
        <v>2.6500000000000004</v>
      </c>
      <c r="AE28" s="24">
        <v>0.8600000000000001</v>
      </c>
      <c r="AF28" t="s">
        <v>4</v>
      </c>
      <c r="AG28" s="2">
        <v>38331.160000000003</v>
      </c>
      <c r="AH28" t="s">
        <v>4</v>
      </c>
      <c r="AI28" t="s">
        <v>4</v>
      </c>
      <c r="AJ28" t="s">
        <v>4</v>
      </c>
      <c r="AK28" t="s">
        <v>4</v>
      </c>
      <c r="AL28" t="s">
        <v>4</v>
      </c>
      <c r="AM28" t="s">
        <v>4</v>
      </c>
      <c r="AN28" t="s">
        <v>4</v>
      </c>
      <c r="AO28" t="s">
        <v>4</v>
      </c>
      <c r="AP28">
        <v>16.18</v>
      </c>
      <c r="AQ28" t="s">
        <v>4</v>
      </c>
      <c r="AR28" t="s">
        <v>4</v>
      </c>
      <c r="AS28" t="s">
        <v>4</v>
      </c>
      <c r="AT28" t="s">
        <v>4</v>
      </c>
      <c r="AU28" s="24">
        <v>4.34</v>
      </c>
      <c r="AV28" t="s">
        <v>4</v>
      </c>
      <c r="AW28" t="s">
        <v>4</v>
      </c>
      <c r="AX28">
        <v>2.5</v>
      </c>
      <c r="AY28" s="24">
        <v>1.7200000000000002</v>
      </c>
      <c r="AZ28" t="s">
        <v>4</v>
      </c>
      <c r="BA28" t="s">
        <v>4</v>
      </c>
      <c r="BB28" t="s">
        <v>4</v>
      </c>
      <c r="BC28" t="s">
        <v>4</v>
      </c>
      <c r="BD28">
        <v>13.75</v>
      </c>
      <c r="BE28" t="s">
        <v>4</v>
      </c>
      <c r="BF28" t="s">
        <v>4</v>
      </c>
      <c r="BG28" t="s">
        <v>4</v>
      </c>
      <c r="BH28">
        <v>2.0499999999999998</v>
      </c>
      <c r="BI28" t="s">
        <v>4</v>
      </c>
      <c r="BJ28" t="s">
        <v>4</v>
      </c>
      <c r="BK28" t="s">
        <v>4</v>
      </c>
      <c r="BL28" t="s">
        <v>4</v>
      </c>
      <c r="BM28" t="s">
        <v>4</v>
      </c>
      <c r="BN28" s="24">
        <v>3.46</v>
      </c>
      <c r="BO28" t="s">
        <v>4</v>
      </c>
      <c r="BP28" t="s">
        <v>4</v>
      </c>
      <c r="BQ28" t="s">
        <v>4</v>
      </c>
      <c r="BR28">
        <v>18.309999999999999</v>
      </c>
      <c r="BS28" t="s">
        <v>4</v>
      </c>
      <c r="BT28" t="s">
        <v>4</v>
      </c>
      <c r="BU28" t="s">
        <v>4</v>
      </c>
      <c r="BV28" t="s">
        <v>4</v>
      </c>
      <c r="BW28" t="s">
        <v>4</v>
      </c>
      <c r="BX28" t="s">
        <v>4</v>
      </c>
      <c r="BY28" t="s">
        <v>4</v>
      </c>
      <c r="BZ28">
        <v>9.83</v>
      </c>
      <c r="CA28" t="s">
        <v>4</v>
      </c>
      <c r="CB28" t="s">
        <v>4</v>
      </c>
      <c r="CC28" t="s">
        <v>4</v>
      </c>
      <c r="CD28" t="s">
        <v>4</v>
      </c>
      <c r="CE28" t="s">
        <v>4</v>
      </c>
      <c r="CF28" t="s">
        <v>4</v>
      </c>
      <c r="CG28" t="s">
        <v>4</v>
      </c>
      <c r="CH28">
        <v>2.81</v>
      </c>
      <c r="CI28" t="s">
        <v>4</v>
      </c>
      <c r="CJ28" t="s">
        <v>4</v>
      </c>
      <c r="CK28" t="s">
        <v>4</v>
      </c>
      <c r="CL28" t="s">
        <v>4</v>
      </c>
      <c r="CM28" t="s">
        <v>4</v>
      </c>
      <c r="CN28">
        <v>55.4</v>
      </c>
      <c r="CO28" t="s">
        <v>4</v>
      </c>
      <c r="CP28" t="s">
        <v>4</v>
      </c>
      <c r="CQ28" t="s">
        <v>4</v>
      </c>
      <c r="CR28" t="s">
        <v>4</v>
      </c>
      <c r="CS28" t="s">
        <v>4</v>
      </c>
    </row>
    <row r="29" spans="1:97" x14ac:dyDescent="0.25">
      <c r="A29" t="s">
        <v>22</v>
      </c>
      <c r="B29" s="12" t="s">
        <v>193</v>
      </c>
      <c r="C29" t="s">
        <v>4</v>
      </c>
      <c r="D29">
        <v>0.38</v>
      </c>
      <c r="E29" t="s">
        <v>4</v>
      </c>
      <c r="F29" t="s">
        <v>4</v>
      </c>
      <c r="G29" t="s">
        <v>4</v>
      </c>
      <c r="H29" t="s">
        <v>4</v>
      </c>
      <c r="I29" t="s">
        <v>4</v>
      </c>
      <c r="J29" t="s">
        <v>4</v>
      </c>
      <c r="K29">
        <v>1.53</v>
      </c>
      <c r="L29" t="s">
        <v>4</v>
      </c>
      <c r="M29">
        <v>46.64</v>
      </c>
      <c r="N29" t="s">
        <v>4</v>
      </c>
      <c r="O29" s="24" t="s">
        <v>4</v>
      </c>
      <c r="P29">
        <v>24.44</v>
      </c>
      <c r="Q29">
        <v>3.89</v>
      </c>
      <c r="R29">
        <v>1.23</v>
      </c>
      <c r="S29" t="s">
        <v>4</v>
      </c>
      <c r="T29" t="s">
        <v>4</v>
      </c>
      <c r="U29">
        <v>3.23</v>
      </c>
      <c r="V29" t="s">
        <v>4</v>
      </c>
      <c r="W29" t="s">
        <v>4</v>
      </c>
      <c r="X29" t="s">
        <v>4</v>
      </c>
      <c r="Y29" t="s">
        <v>4</v>
      </c>
      <c r="Z29" t="s">
        <v>4</v>
      </c>
      <c r="AA29" t="s">
        <v>4</v>
      </c>
      <c r="AB29" t="s">
        <v>4</v>
      </c>
      <c r="AC29" t="s">
        <v>4</v>
      </c>
      <c r="AD29" s="24">
        <v>2.1900000000000004</v>
      </c>
      <c r="AE29" s="24">
        <v>2.2300000000000004</v>
      </c>
      <c r="AF29" t="s">
        <v>4</v>
      </c>
      <c r="AG29" s="2">
        <v>30793.119999999999</v>
      </c>
      <c r="AH29" t="s">
        <v>4</v>
      </c>
      <c r="AI29">
        <v>2.16</v>
      </c>
      <c r="AJ29" t="s">
        <v>4</v>
      </c>
      <c r="AK29" t="s">
        <v>4</v>
      </c>
      <c r="AL29" t="s">
        <v>4</v>
      </c>
      <c r="AM29" t="s">
        <v>4</v>
      </c>
      <c r="AN29" t="s">
        <v>4</v>
      </c>
      <c r="AO29" t="s">
        <v>4</v>
      </c>
      <c r="AP29">
        <v>14.57</v>
      </c>
      <c r="AQ29" t="s">
        <v>4</v>
      </c>
      <c r="AR29" t="s">
        <v>4</v>
      </c>
      <c r="AS29" t="s">
        <v>4</v>
      </c>
      <c r="AT29" t="s">
        <v>4</v>
      </c>
      <c r="AU29" s="24">
        <v>3.63</v>
      </c>
      <c r="AV29" t="s">
        <v>4</v>
      </c>
      <c r="AW29" t="s">
        <v>4</v>
      </c>
      <c r="AX29">
        <v>2.58</v>
      </c>
      <c r="AY29" s="24">
        <v>2.16</v>
      </c>
      <c r="AZ29" t="s">
        <v>4</v>
      </c>
      <c r="BA29" t="s">
        <v>4</v>
      </c>
      <c r="BB29" t="s">
        <v>4</v>
      </c>
      <c r="BC29" t="s">
        <v>4</v>
      </c>
      <c r="BD29">
        <v>13.84</v>
      </c>
      <c r="BE29" t="s">
        <v>4</v>
      </c>
      <c r="BF29" t="s">
        <v>4</v>
      </c>
      <c r="BG29" t="s">
        <v>4</v>
      </c>
      <c r="BH29">
        <v>3.28</v>
      </c>
      <c r="BI29" t="s">
        <v>4</v>
      </c>
      <c r="BJ29" t="s">
        <v>4</v>
      </c>
      <c r="BK29" t="s">
        <v>4</v>
      </c>
      <c r="BL29" t="s">
        <v>4</v>
      </c>
      <c r="BM29" t="s">
        <v>4</v>
      </c>
      <c r="BN29" s="24">
        <v>3.7100000000000004</v>
      </c>
      <c r="BO29" t="s">
        <v>4</v>
      </c>
      <c r="BP29" t="s">
        <v>4</v>
      </c>
      <c r="BQ29" t="s">
        <v>4</v>
      </c>
      <c r="BR29">
        <v>9.94</v>
      </c>
      <c r="BS29" t="s">
        <v>4</v>
      </c>
      <c r="BT29" t="s">
        <v>4</v>
      </c>
      <c r="BU29" t="s">
        <v>4</v>
      </c>
      <c r="BV29" t="s">
        <v>4</v>
      </c>
      <c r="BW29" t="s">
        <v>4</v>
      </c>
      <c r="BX29" t="s">
        <v>4</v>
      </c>
      <c r="BY29" t="s">
        <v>4</v>
      </c>
      <c r="BZ29">
        <v>8.06</v>
      </c>
      <c r="CA29" t="s">
        <v>4</v>
      </c>
      <c r="CB29">
        <v>0.56000000000000005</v>
      </c>
      <c r="CC29" t="s">
        <v>4</v>
      </c>
      <c r="CD29" t="s">
        <v>4</v>
      </c>
      <c r="CE29" t="s">
        <v>4</v>
      </c>
      <c r="CF29" t="s">
        <v>4</v>
      </c>
      <c r="CG29" t="s">
        <v>4</v>
      </c>
      <c r="CH29" t="s">
        <v>4</v>
      </c>
      <c r="CI29" t="s">
        <v>4</v>
      </c>
      <c r="CJ29" t="s">
        <v>4</v>
      </c>
      <c r="CK29" t="s">
        <v>4</v>
      </c>
      <c r="CL29" t="s">
        <v>4</v>
      </c>
      <c r="CM29">
        <v>2.1799999999999997</v>
      </c>
      <c r="CN29">
        <v>12.69</v>
      </c>
      <c r="CO29" t="s">
        <v>4</v>
      </c>
      <c r="CP29" t="s">
        <v>4</v>
      </c>
      <c r="CQ29" t="s">
        <v>4</v>
      </c>
      <c r="CR29" t="s">
        <v>4</v>
      </c>
      <c r="CS29" t="s">
        <v>4</v>
      </c>
    </row>
    <row r="30" spans="1:97" ht="14.4" x14ac:dyDescent="0.3">
      <c r="A30" t="s">
        <v>23</v>
      </c>
      <c r="B30" s="11" t="s">
        <v>194</v>
      </c>
      <c r="C30" t="s">
        <v>4</v>
      </c>
      <c r="D30">
        <v>0.61</v>
      </c>
      <c r="E30" t="s">
        <v>4</v>
      </c>
      <c r="F30" t="s">
        <v>4</v>
      </c>
      <c r="G30" t="s">
        <v>4</v>
      </c>
      <c r="H30" t="s">
        <v>4</v>
      </c>
      <c r="I30" t="s">
        <v>4</v>
      </c>
      <c r="J30" t="s">
        <v>4</v>
      </c>
      <c r="K30">
        <v>1.81</v>
      </c>
      <c r="L30" t="s">
        <v>4</v>
      </c>
      <c r="M30">
        <v>58.1</v>
      </c>
      <c r="N30" t="s">
        <v>4</v>
      </c>
      <c r="O30" s="24" t="s">
        <v>4</v>
      </c>
      <c r="P30">
        <v>25.71</v>
      </c>
      <c r="Q30">
        <v>4.5199999999999996</v>
      </c>
      <c r="R30" t="s">
        <v>4</v>
      </c>
      <c r="S30" t="s">
        <v>4</v>
      </c>
      <c r="T30" t="s">
        <v>4</v>
      </c>
      <c r="U30">
        <v>1.63</v>
      </c>
      <c r="V30" t="s">
        <v>4</v>
      </c>
      <c r="W30" t="s">
        <v>4</v>
      </c>
      <c r="X30">
        <v>4.26</v>
      </c>
      <c r="Y30" t="s">
        <v>4</v>
      </c>
      <c r="Z30" t="s">
        <v>4</v>
      </c>
      <c r="AA30" t="s">
        <v>4</v>
      </c>
      <c r="AB30" t="s">
        <v>4</v>
      </c>
      <c r="AC30" t="s">
        <v>4</v>
      </c>
      <c r="AD30" s="24">
        <v>1.6799999999999997</v>
      </c>
      <c r="AE30" s="24">
        <v>1.74</v>
      </c>
      <c r="AF30">
        <v>2.48</v>
      </c>
      <c r="AG30" s="2">
        <v>32982.33</v>
      </c>
      <c r="AH30" t="s">
        <v>4</v>
      </c>
      <c r="AI30">
        <v>4.3600000000000003</v>
      </c>
      <c r="AJ30" t="s">
        <v>4</v>
      </c>
      <c r="AK30" t="s">
        <v>4</v>
      </c>
      <c r="AL30">
        <v>0.93</v>
      </c>
      <c r="AM30" t="s">
        <v>4</v>
      </c>
      <c r="AN30" t="s">
        <v>4</v>
      </c>
      <c r="AO30" t="s">
        <v>4</v>
      </c>
      <c r="AP30">
        <v>16.34</v>
      </c>
      <c r="AQ30" t="s">
        <v>4</v>
      </c>
      <c r="AR30">
        <v>4.57</v>
      </c>
      <c r="AS30" t="s">
        <v>4</v>
      </c>
      <c r="AT30" t="s">
        <v>4</v>
      </c>
      <c r="AU30" s="24">
        <v>6.26</v>
      </c>
      <c r="AV30" t="s">
        <v>4</v>
      </c>
      <c r="AW30" t="s">
        <v>4</v>
      </c>
      <c r="AX30">
        <v>3.46</v>
      </c>
      <c r="AY30" s="24">
        <v>2.71</v>
      </c>
      <c r="AZ30" t="s">
        <v>4</v>
      </c>
      <c r="BA30" t="s">
        <v>4</v>
      </c>
      <c r="BB30" t="s">
        <v>4</v>
      </c>
      <c r="BC30" t="s">
        <v>4</v>
      </c>
      <c r="BD30">
        <v>13.07</v>
      </c>
      <c r="BE30" t="s">
        <v>4</v>
      </c>
      <c r="BF30" t="s">
        <v>4</v>
      </c>
      <c r="BG30" t="s">
        <v>4</v>
      </c>
      <c r="BH30">
        <v>1.43</v>
      </c>
      <c r="BI30" t="s">
        <v>4</v>
      </c>
      <c r="BJ30" t="s">
        <v>4</v>
      </c>
      <c r="BK30" t="s">
        <v>4</v>
      </c>
      <c r="BL30" t="s">
        <v>4</v>
      </c>
      <c r="BM30" t="s">
        <v>4</v>
      </c>
      <c r="BN30" s="24">
        <v>4.5</v>
      </c>
      <c r="BO30" t="s">
        <v>4</v>
      </c>
      <c r="BP30" t="s">
        <v>4</v>
      </c>
      <c r="BQ30" t="s">
        <v>4</v>
      </c>
      <c r="BR30">
        <v>13.8</v>
      </c>
      <c r="BS30" t="s">
        <v>4</v>
      </c>
      <c r="BT30" t="s">
        <v>4</v>
      </c>
      <c r="BU30" t="s">
        <v>4</v>
      </c>
      <c r="BV30" t="s">
        <v>4</v>
      </c>
      <c r="BW30" t="s">
        <v>4</v>
      </c>
      <c r="BX30" t="s">
        <v>4</v>
      </c>
      <c r="BY30" t="s">
        <v>4</v>
      </c>
      <c r="BZ30">
        <v>13.3</v>
      </c>
      <c r="CA30" t="s">
        <v>4</v>
      </c>
      <c r="CB30">
        <v>4.21</v>
      </c>
      <c r="CC30" t="s">
        <v>4</v>
      </c>
      <c r="CD30" t="s">
        <v>4</v>
      </c>
      <c r="CE30" t="s">
        <v>4</v>
      </c>
      <c r="CF30" t="s">
        <v>4</v>
      </c>
      <c r="CG30" t="s">
        <v>4</v>
      </c>
      <c r="CH30" t="s">
        <v>4</v>
      </c>
      <c r="CI30" t="s">
        <v>4</v>
      </c>
      <c r="CJ30" t="s">
        <v>4</v>
      </c>
      <c r="CK30" t="s">
        <v>4</v>
      </c>
      <c r="CL30" t="s">
        <v>4</v>
      </c>
      <c r="CM30">
        <v>5.1999999999999993</v>
      </c>
      <c r="CN30">
        <v>3.5600000000000005</v>
      </c>
      <c r="CO30" t="s">
        <v>4</v>
      </c>
      <c r="CP30" t="s">
        <v>4</v>
      </c>
      <c r="CQ30" t="s">
        <v>4</v>
      </c>
      <c r="CR30" t="s">
        <v>4</v>
      </c>
      <c r="CS30" t="s">
        <v>4</v>
      </c>
    </row>
    <row r="31" spans="1:97" x14ac:dyDescent="0.25">
      <c r="A31" t="s">
        <v>65</v>
      </c>
      <c r="B31" s="13" t="s">
        <v>240</v>
      </c>
      <c r="C31" t="s">
        <v>4</v>
      </c>
      <c r="D31">
        <v>0.48</v>
      </c>
      <c r="E31" t="s">
        <v>4</v>
      </c>
      <c r="F31" t="s">
        <v>4</v>
      </c>
      <c r="G31" t="s">
        <v>4</v>
      </c>
      <c r="H31">
        <v>1.04</v>
      </c>
      <c r="I31" t="s">
        <v>4</v>
      </c>
      <c r="J31" t="s">
        <v>4</v>
      </c>
      <c r="K31">
        <v>4.55</v>
      </c>
      <c r="L31" t="s">
        <v>4</v>
      </c>
      <c r="M31">
        <v>100.61</v>
      </c>
      <c r="N31" t="s">
        <v>4</v>
      </c>
      <c r="O31" s="24" t="s">
        <v>4</v>
      </c>
      <c r="P31">
        <v>40.69</v>
      </c>
      <c r="Q31">
        <v>5.43</v>
      </c>
      <c r="R31" t="s">
        <v>4</v>
      </c>
      <c r="S31" t="s">
        <v>4</v>
      </c>
      <c r="T31" t="s">
        <v>4</v>
      </c>
      <c r="U31">
        <v>5.22</v>
      </c>
      <c r="V31" t="s">
        <v>4</v>
      </c>
      <c r="W31" t="s">
        <v>4</v>
      </c>
      <c r="X31">
        <v>12.11</v>
      </c>
      <c r="Y31" t="s">
        <v>4</v>
      </c>
      <c r="Z31" t="s">
        <v>4</v>
      </c>
      <c r="AA31" t="s">
        <v>4</v>
      </c>
      <c r="AB31" t="s">
        <v>4</v>
      </c>
      <c r="AC31" t="s">
        <v>4</v>
      </c>
      <c r="AD31" s="24">
        <v>3.9899999999999993</v>
      </c>
      <c r="AE31" s="24">
        <v>5.44</v>
      </c>
      <c r="AF31">
        <v>5.37</v>
      </c>
      <c r="AG31" s="2">
        <v>43988.93</v>
      </c>
      <c r="AH31" t="s">
        <v>4</v>
      </c>
      <c r="AI31">
        <v>10.25</v>
      </c>
      <c r="AJ31">
        <v>28.24</v>
      </c>
      <c r="AK31" t="s">
        <v>4</v>
      </c>
      <c r="AL31">
        <v>3.34</v>
      </c>
      <c r="AM31" t="s">
        <v>4</v>
      </c>
      <c r="AN31" t="s">
        <v>4</v>
      </c>
      <c r="AO31" t="s">
        <v>4</v>
      </c>
      <c r="AP31">
        <v>31.84</v>
      </c>
      <c r="AQ31">
        <v>0.9</v>
      </c>
      <c r="AR31">
        <v>6.22</v>
      </c>
      <c r="AS31" t="s">
        <v>4</v>
      </c>
      <c r="AT31" t="s">
        <v>4</v>
      </c>
      <c r="AU31" s="24">
        <v>11.709999999999999</v>
      </c>
      <c r="AV31" t="s">
        <v>4</v>
      </c>
      <c r="AW31" t="s">
        <v>4</v>
      </c>
      <c r="AX31">
        <v>9.48</v>
      </c>
      <c r="AY31" s="24">
        <v>8.91</v>
      </c>
      <c r="AZ31" t="s">
        <v>4</v>
      </c>
      <c r="BA31" t="s">
        <v>4</v>
      </c>
      <c r="BB31" t="s">
        <v>4</v>
      </c>
      <c r="BC31" t="s">
        <v>4</v>
      </c>
      <c r="BD31">
        <v>20.46</v>
      </c>
      <c r="BE31" t="s">
        <v>4</v>
      </c>
      <c r="BF31" t="s">
        <v>4</v>
      </c>
      <c r="BG31">
        <v>2.17</v>
      </c>
      <c r="BH31">
        <v>2.8</v>
      </c>
      <c r="BI31" t="s">
        <v>4</v>
      </c>
      <c r="BJ31" t="s">
        <v>4</v>
      </c>
      <c r="BK31" t="s">
        <v>4</v>
      </c>
      <c r="BL31">
        <v>0.3</v>
      </c>
      <c r="BM31" t="s">
        <v>4</v>
      </c>
      <c r="BN31" s="24">
        <v>2.8</v>
      </c>
      <c r="BO31" t="s">
        <v>4</v>
      </c>
      <c r="BP31" t="s">
        <v>4</v>
      </c>
      <c r="BQ31">
        <v>3.14</v>
      </c>
      <c r="BR31">
        <v>22.39</v>
      </c>
      <c r="BS31" t="s">
        <v>4</v>
      </c>
      <c r="BT31" t="s">
        <v>4</v>
      </c>
      <c r="BU31" t="s">
        <v>4</v>
      </c>
      <c r="BV31" t="s">
        <v>4</v>
      </c>
      <c r="BW31" t="s">
        <v>4</v>
      </c>
      <c r="BX31" t="s">
        <v>4</v>
      </c>
      <c r="BY31" t="s">
        <v>4</v>
      </c>
      <c r="BZ31">
        <v>39.700000000000003</v>
      </c>
      <c r="CA31" t="s">
        <v>4</v>
      </c>
      <c r="CB31">
        <v>2.88</v>
      </c>
      <c r="CC31" t="s">
        <v>4</v>
      </c>
      <c r="CD31" t="s">
        <v>4</v>
      </c>
      <c r="CE31" t="s">
        <v>4</v>
      </c>
      <c r="CF31" t="s">
        <v>4</v>
      </c>
      <c r="CG31" t="s">
        <v>4</v>
      </c>
      <c r="CH31" t="s">
        <v>4</v>
      </c>
      <c r="CI31" t="s">
        <v>4</v>
      </c>
      <c r="CJ31" t="s">
        <v>4</v>
      </c>
      <c r="CK31" t="s">
        <v>4</v>
      </c>
      <c r="CL31" t="s">
        <v>4</v>
      </c>
      <c r="CM31" t="s">
        <v>4</v>
      </c>
      <c r="CN31">
        <v>3.66</v>
      </c>
      <c r="CO31" t="s">
        <v>4</v>
      </c>
      <c r="CP31" t="s">
        <v>4</v>
      </c>
      <c r="CQ31" t="s">
        <v>4</v>
      </c>
      <c r="CR31" t="s">
        <v>4</v>
      </c>
      <c r="CS31" t="s">
        <v>4</v>
      </c>
    </row>
    <row r="32" spans="1:97" x14ac:dyDescent="0.25">
      <c r="A32" t="s">
        <v>73</v>
      </c>
      <c r="B32" s="13" t="s">
        <v>248</v>
      </c>
      <c r="C32" t="s">
        <v>4</v>
      </c>
      <c r="D32">
        <v>0.78</v>
      </c>
      <c r="E32" t="s">
        <v>4</v>
      </c>
      <c r="F32" t="s">
        <v>4</v>
      </c>
      <c r="G32" t="s">
        <v>4</v>
      </c>
      <c r="H32" t="s">
        <v>4</v>
      </c>
      <c r="I32" t="s">
        <v>4</v>
      </c>
      <c r="J32" t="s">
        <v>4</v>
      </c>
      <c r="K32">
        <v>0.9</v>
      </c>
      <c r="L32">
        <v>3.69</v>
      </c>
      <c r="M32">
        <v>34.24</v>
      </c>
      <c r="N32" t="s">
        <v>4</v>
      </c>
      <c r="O32" s="24" t="s">
        <v>4</v>
      </c>
      <c r="P32">
        <v>17.489999999999998</v>
      </c>
      <c r="Q32">
        <v>2.44</v>
      </c>
      <c r="R32" t="s">
        <v>4</v>
      </c>
      <c r="S32" t="s">
        <v>4</v>
      </c>
      <c r="T32" t="s">
        <v>4</v>
      </c>
      <c r="U32">
        <v>1.57</v>
      </c>
      <c r="V32" t="s">
        <v>4</v>
      </c>
      <c r="W32" t="s">
        <v>4</v>
      </c>
      <c r="X32" t="s">
        <v>4</v>
      </c>
      <c r="Y32" t="s">
        <v>4</v>
      </c>
      <c r="Z32" t="s">
        <v>4</v>
      </c>
      <c r="AA32" t="s">
        <v>4</v>
      </c>
      <c r="AB32" t="s">
        <v>4</v>
      </c>
      <c r="AC32" t="s">
        <v>4</v>
      </c>
      <c r="AD32" s="24">
        <v>1.6900000000000004</v>
      </c>
      <c r="AE32" s="24">
        <v>0.62000000000000011</v>
      </c>
      <c r="AF32" t="s">
        <v>4</v>
      </c>
      <c r="AG32" s="2">
        <v>25395.59</v>
      </c>
      <c r="AH32" t="s">
        <v>4</v>
      </c>
      <c r="AI32">
        <v>2.8</v>
      </c>
      <c r="AJ32" t="s">
        <v>4</v>
      </c>
      <c r="AK32" t="s">
        <v>4</v>
      </c>
      <c r="AL32" t="s">
        <v>4</v>
      </c>
      <c r="AM32" t="s">
        <v>4</v>
      </c>
      <c r="AN32" t="s">
        <v>4</v>
      </c>
      <c r="AO32" t="s">
        <v>4</v>
      </c>
      <c r="AP32">
        <v>12.71</v>
      </c>
      <c r="AQ32" t="s">
        <v>4</v>
      </c>
      <c r="AR32" t="s">
        <v>4</v>
      </c>
      <c r="AS32" t="s">
        <v>4</v>
      </c>
      <c r="AT32" t="s">
        <v>4</v>
      </c>
      <c r="AU32" s="24">
        <v>3.75</v>
      </c>
      <c r="AV32" t="s">
        <v>4</v>
      </c>
      <c r="AW32" t="s">
        <v>4</v>
      </c>
      <c r="AX32">
        <v>2.93</v>
      </c>
      <c r="AY32" s="24">
        <v>1.2000000000000002</v>
      </c>
      <c r="AZ32" t="s">
        <v>4</v>
      </c>
      <c r="BA32" t="s">
        <v>4</v>
      </c>
      <c r="BB32" t="s">
        <v>4</v>
      </c>
      <c r="BC32" t="s">
        <v>4</v>
      </c>
      <c r="BD32" t="s">
        <v>4</v>
      </c>
      <c r="BE32" t="s">
        <v>4</v>
      </c>
      <c r="BF32" t="s">
        <v>4</v>
      </c>
      <c r="BG32" t="s">
        <v>4</v>
      </c>
      <c r="BH32">
        <v>2.12</v>
      </c>
      <c r="BI32" t="s">
        <v>4</v>
      </c>
      <c r="BJ32" t="s">
        <v>4</v>
      </c>
      <c r="BK32" t="s">
        <v>4</v>
      </c>
      <c r="BL32" t="s">
        <v>4</v>
      </c>
      <c r="BM32" t="s">
        <v>4</v>
      </c>
      <c r="BN32" s="24">
        <v>2.37</v>
      </c>
      <c r="BO32" t="s">
        <v>4</v>
      </c>
      <c r="BP32" t="s">
        <v>4</v>
      </c>
      <c r="BQ32" t="s">
        <v>4</v>
      </c>
      <c r="BR32">
        <v>6.88</v>
      </c>
      <c r="BS32" t="s">
        <v>4</v>
      </c>
      <c r="BT32" t="s">
        <v>4</v>
      </c>
      <c r="BU32">
        <v>7.52</v>
      </c>
      <c r="BV32" t="s">
        <v>4</v>
      </c>
      <c r="BW32" t="s">
        <v>4</v>
      </c>
      <c r="BX32" t="s">
        <v>4</v>
      </c>
      <c r="BY32" t="s">
        <v>4</v>
      </c>
      <c r="BZ32">
        <v>8.92</v>
      </c>
      <c r="CA32" t="s">
        <v>4</v>
      </c>
      <c r="CB32">
        <v>1.01</v>
      </c>
      <c r="CC32" t="s">
        <v>4</v>
      </c>
      <c r="CD32" t="s">
        <v>4</v>
      </c>
      <c r="CE32" t="s">
        <v>4</v>
      </c>
      <c r="CF32" t="s">
        <v>4</v>
      </c>
      <c r="CG32">
        <v>1.19</v>
      </c>
      <c r="CH32" t="s">
        <v>4</v>
      </c>
      <c r="CI32" t="s">
        <v>4</v>
      </c>
      <c r="CJ32" t="s">
        <v>4</v>
      </c>
      <c r="CK32" t="s">
        <v>4</v>
      </c>
      <c r="CL32" t="s">
        <v>4</v>
      </c>
      <c r="CM32" t="s">
        <v>4</v>
      </c>
      <c r="CN32">
        <v>1.6400000000000006</v>
      </c>
      <c r="CO32" t="s">
        <v>4</v>
      </c>
      <c r="CP32" t="s">
        <v>4</v>
      </c>
      <c r="CQ32" t="s">
        <v>4</v>
      </c>
      <c r="CR32" t="s">
        <v>4</v>
      </c>
      <c r="CS32" t="s">
        <v>4</v>
      </c>
    </row>
    <row r="33" spans="1:97" ht="14.4" x14ac:dyDescent="0.3">
      <c r="A33" t="s">
        <v>24</v>
      </c>
      <c r="B33" s="11" t="s">
        <v>195</v>
      </c>
      <c r="C33" t="s">
        <v>4</v>
      </c>
      <c r="D33">
        <v>0.5</v>
      </c>
      <c r="E33" t="s">
        <v>4</v>
      </c>
      <c r="F33" t="s">
        <v>4</v>
      </c>
      <c r="G33" t="s">
        <v>4</v>
      </c>
      <c r="H33" t="s">
        <v>4</v>
      </c>
      <c r="I33" t="s">
        <v>4</v>
      </c>
      <c r="J33" t="s">
        <v>4</v>
      </c>
      <c r="K33">
        <v>1.26</v>
      </c>
      <c r="L33" t="s">
        <v>4</v>
      </c>
      <c r="M33">
        <v>42.57</v>
      </c>
      <c r="N33" t="s">
        <v>4</v>
      </c>
      <c r="O33" s="24" t="s">
        <v>4</v>
      </c>
      <c r="P33">
        <v>14.72</v>
      </c>
      <c r="Q33">
        <v>2.4</v>
      </c>
      <c r="R33" t="s">
        <v>4</v>
      </c>
      <c r="S33" t="s">
        <v>4</v>
      </c>
      <c r="T33" t="s">
        <v>4</v>
      </c>
      <c r="U33">
        <v>1.26</v>
      </c>
      <c r="V33" t="s">
        <v>4</v>
      </c>
      <c r="W33" t="s">
        <v>4</v>
      </c>
      <c r="X33">
        <v>4.84</v>
      </c>
      <c r="Y33" t="s">
        <v>4</v>
      </c>
      <c r="Z33" t="s">
        <v>4</v>
      </c>
      <c r="AA33" t="s">
        <v>4</v>
      </c>
      <c r="AB33">
        <v>3.48</v>
      </c>
      <c r="AC33" t="s">
        <v>4</v>
      </c>
      <c r="AD33" s="24">
        <v>1.63</v>
      </c>
      <c r="AE33" s="24">
        <v>1.99</v>
      </c>
      <c r="AF33">
        <v>1.87</v>
      </c>
      <c r="AG33" s="2">
        <v>19526.45</v>
      </c>
      <c r="AH33" t="s">
        <v>4</v>
      </c>
      <c r="AI33">
        <v>2.3199999999999998</v>
      </c>
      <c r="AJ33" t="s">
        <v>4</v>
      </c>
      <c r="AK33" t="s">
        <v>4</v>
      </c>
      <c r="AL33" t="s">
        <v>4</v>
      </c>
      <c r="AM33" t="s">
        <v>4</v>
      </c>
      <c r="AN33" t="s">
        <v>4</v>
      </c>
      <c r="AO33" t="s">
        <v>4</v>
      </c>
      <c r="AP33">
        <v>11.97</v>
      </c>
      <c r="AQ33" t="s">
        <v>4</v>
      </c>
      <c r="AR33" t="s">
        <v>4</v>
      </c>
      <c r="AS33" t="s">
        <v>4</v>
      </c>
      <c r="AT33" t="s">
        <v>4</v>
      </c>
      <c r="AU33" s="24">
        <v>3.9399999999999995</v>
      </c>
      <c r="AV33" t="s">
        <v>4</v>
      </c>
      <c r="AW33" t="s">
        <v>4</v>
      </c>
      <c r="AX33">
        <v>3.48</v>
      </c>
      <c r="AY33" s="24">
        <v>4.66</v>
      </c>
      <c r="AZ33" t="s">
        <v>4</v>
      </c>
      <c r="BA33" t="s">
        <v>4</v>
      </c>
      <c r="BB33" t="s">
        <v>4</v>
      </c>
      <c r="BC33" t="s">
        <v>4</v>
      </c>
      <c r="BD33">
        <v>13.4</v>
      </c>
      <c r="BE33" t="s">
        <v>4</v>
      </c>
      <c r="BF33" t="s">
        <v>4</v>
      </c>
      <c r="BG33" t="s">
        <v>4</v>
      </c>
      <c r="BH33">
        <v>1.28</v>
      </c>
      <c r="BI33" t="s">
        <v>4</v>
      </c>
      <c r="BJ33" t="s">
        <v>4</v>
      </c>
      <c r="BK33" t="s">
        <v>4</v>
      </c>
      <c r="BL33" t="s">
        <v>4</v>
      </c>
      <c r="BM33" t="s">
        <v>4</v>
      </c>
      <c r="BN33" s="24">
        <v>2.0099999999999998</v>
      </c>
      <c r="BO33" t="s">
        <v>4</v>
      </c>
      <c r="BP33" t="s">
        <v>4</v>
      </c>
      <c r="BQ33" t="s">
        <v>4</v>
      </c>
      <c r="BR33" t="s">
        <v>4</v>
      </c>
      <c r="BS33" t="s">
        <v>4</v>
      </c>
      <c r="BT33" t="s">
        <v>4</v>
      </c>
      <c r="BU33" t="s">
        <v>4</v>
      </c>
      <c r="BV33" t="s">
        <v>4</v>
      </c>
      <c r="BW33" t="s">
        <v>4</v>
      </c>
      <c r="BX33" t="s">
        <v>4</v>
      </c>
      <c r="BY33" t="s">
        <v>4</v>
      </c>
      <c r="BZ33">
        <v>17.66</v>
      </c>
      <c r="CA33" t="s">
        <v>4</v>
      </c>
      <c r="CB33">
        <v>1.1200000000000001</v>
      </c>
      <c r="CC33" t="s">
        <v>4</v>
      </c>
      <c r="CD33" t="s">
        <v>4</v>
      </c>
      <c r="CE33" t="s">
        <v>4</v>
      </c>
      <c r="CF33" t="s">
        <v>4</v>
      </c>
      <c r="CG33" t="s">
        <v>4</v>
      </c>
      <c r="CH33">
        <v>3.76</v>
      </c>
      <c r="CI33" t="s">
        <v>4</v>
      </c>
      <c r="CJ33" t="s">
        <v>4</v>
      </c>
      <c r="CK33" t="s">
        <v>4</v>
      </c>
      <c r="CL33" t="s">
        <v>4</v>
      </c>
      <c r="CM33">
        <v>3.05</v>
      </c>
      <c r="CN33">
        <v>4.3499999999999996</v>
      </c>
      <c r="CO33" t="s">
        <v>4</v>
      </c>
      <c r="CP33" t="s">
        <v>4</v>
      </c>
      <c r="CQ33" t="s">
        <v>4</v>
      </c>
      <c r="CR33" t="s">
        <v>4</v>
      </c>
      <c r="CS33" t="s">
        <v>4</v>
      </c>
    </row>
    <row r="34" spans="1:97" ht="14.4" x14ac:dyDescent="0.3">
      <c r="A34" t="s">
        <v>25</v>
      </c>
      <c r="B34" s="11" t="s">
        <v>196</v>
      </c>
      <c r="C34" t="s">
        <v>4</v>
      </c>
      <c r="D34" t="s">
        <v>4</v>
      </c>
      <c r="E34" t="s">
        <v>4</v>
      </c>
      <c r="F34" t="s">
        <v>4</v>
      </c>
      <c r="G34" t="s">
        <v>4</v>
      </c>
      <c r="H34">
        <v>14.01</v>
      </c>
      <c r="I34">
        <v>19.52</v>
      </c>
      <c r="J34">
        <v>27.13</v>
      </c>
      <c r="K34">
        <v>1.57</v>
      </c>
      <c r="L34" t="s">
        <v>4</v>
      </c>
      <c r="M34">
        <v>24.95</v>
      </c>
      <c r="N34" t="s">
        <v>4</v>
      </c>
      <c r="O34" s="24" t="s">
        <v>4</v>
      </c>
      <c r="P34">
        <v>115.3</v>
      </c>
      <c r="Q34">
        <v>14.56</v>
      </c>
      <c r="R34" t="s">
        <v>4</v>
      </c>
      <c r="S34" t="s">
        <v>4</v>
      </c>
      <c r="T34">
        <v>3.28</v>
      </c>
      <c r="U34">
        <v>1.58</v>
      </c>
      <c r="V34" t="s">
        <v>4</v>
      </c>
      <c r="W34" t="s">
        <v>4</v>
      </c>
      <c r="X34">
        <v>10.35</v>
      </c>
      <c r="Y34" t="s">
        <v>4</v>
      </c>
      <c r="Z34" t="s">
        <v>4</v>
      </c>
      <c r="AA34" t="s">
        <v>4</v>
      </c>
      <c r="AB34" t="s">
        <v>4</v>
      </c>
      <c r="AC34" t="s">
        <v>4</v>
      </c>
      <c r="AD34" s="24">
        <v>6.44</v>
      </c>
      <c r="AE34" s="24">
        <v>0.90999999999999992</v>
      </c>
      <c r="AF34" t="s">
        <v>4</v>
      </c>
      <c r="AG34">
        <v>2554.81</v>
      </c>
      <c r="AH34" t="s">
        <v>4</v>
      </c>
      <c r="AI34">
        <v>5.94</v>
      </c>
      <c r="AJ34" t="s">
        <v>4</v>
      </c>
      <c r="AK34" t="s">
        <v>4</v>
      </c>
      <c r="AL34" t="s">
        <v>4</v>
      </c>
      <c r="AM34" t="s">
        <v>4</v>
      </c>
      <c r="AN34" t="s">
        <v>4</v>
      </c>
      <c r="AO34" t="s">
        <v>4</v>
      </c>
      <c r="AP34">
        <v>38.549999999999997</v>
      </c>
      <c r="AQ34" t="s">
        <v>4</v>
      </c>
      <c r="AR34">
        <v>7.49</v>
      </c>
      <c r="AS34" t="s">
        <v>4</v>
      </c>
      <c r="AT34" t="s">
        <v>4</v>
      </c>
      <c r="AU34" s="24">
        <v>19.580000000000002</v>
      </c>
      <c r="AV34" t="s">
        <v>4</v>
      </c>
      <c r="AW34" t="s">
        <v>4</v>
      </c>
      <c r="AX34">
        <v>15.83</v>
      </c>
      <c r="AY34" s="24">
        <v>6.5</v>
      </c>
      <c r="AZ34" t="s">
        <v>4</v>
      </c>
      <c r="BA34" t="s">
        <v>4</v>
      </c>
      <c r="BB34" t="s">
        <v>4</v>
      </c>
      <c r="BC34" t="s">
        <v>4</v>
      </c>
      <c r="BD34" t="s">
        <v>4</v>
      </c>
      <c r="BE34" t="s">
        <v>4</v>
      </c>
      <c r="BF34" t="s">
        <v>4</v>
      </c>
      <c r="BG34" t="s">
        <v>4</v>
      </c>
      <c r="BH34">
        <v>1.1200000000000001</v>
      </c>
      <c r="BI34" t="s">
        <v>4</v>
      </c>
      <c r="BJ34" t="s">
        <v>4</v>
      </c>
      <c r="BK34" t="s">
        <v>4</v>
      </c>
      <c r="BL34" t="s">
        <v>4</v>
      </c>
      <c r="BM34" t="s">
        <v>4</v>
      </c>
      <c r="BN34" s="24">
        <v>0.8</v>
      </c>
      <c r="BO34" t="s">
        <v>4</v>
      </c>
      <c r="BP34" t="s">
        <v>4</v>
      </c>
      <c r="BQ34">
        <v>8.01</v>
      </c>
      <c r="BR34">
        <v>4.71</v>
      </c>
      <c r="BS34" t="s">
        <v>4</v>
      </c>
      <c r="BT34" t="s">
        <v>4</v>
      </c>
      <c r="BU34" t="s">
        <v>4</v>
      </c>
      <c r="BV34" t="s">
        <v>4</v>
      </c>
      <c r="BW34" t="s">
        <v>4</v>
      </c>
      <c r="BX34" t="s">
        <v>4</v>
      </c>
      <c r="BY34" t="s">
        <v>4</v>
      </c>
      <c r="BZ34">
        <v>8.1999999999999993</v>
      </c>
      <c r="CA34" t="s">
        <v>4</v>
      </c>
      <c r="CB34">
        <v>0.89</v>
      </c>
      <c r="CC34" t="s">
        <v>4</v>
      </c>
      <c r="CD34" t="s">
        <v>4</v>
      </c>
      <c r="CE34" t="s">
        <v>4</v>
      </c>
      <c r="CF34" t="s">
        <v>4</v>
      </c>
      <c r="CG34" t="s">
        <v>4</v>
      </c>
      <c r="CH34" t="s">
        <v>4</v>
      </c>
      <c r="CI34" t="s">
        <v>4</v>
      </c>
      <c r="CJ34" t="s">
        <v>4</v>
      </c>
      <c r="CK34" t="s">
        <v>4</v>
      </c>
      <c r="CL34" t="s">
        <v>4</v>
      </c>
      <c r="CM34">
        <v>10.75</v>
      </c>
      <c r="CN34">
        <v>2.2300000000000004</v>
      </c>
      <c r="CO34" t="s">
        <v>4</v>
      </c>
      <c r="CP34" t="s">
        <v>4</v>
      </c>
      <c r="CQ34" t="s">
        <v>4</v>
      </c>
      <c r="CR34" t="s">
        <v>4</v>
      </c>
      <c r="CS34" t="s">
        <v>4</v>
      </c>
    </row>
    <row r="35" spans="1:97" x14ac:dyDescent="0.25">
      <c r="A35" t="s">
        <v>26</v>
      </c>
      <c r="B35" s="12" t="s">
        <v>197</v>
      </c>
      <c r="C35" t="s">
        <v>4</v>
      </c>
      <c r="D35">
        <v>0.47</v>
      </c>
      <c r="E35" t="s">
        <v>4</v>
      </c>
      <c r="F35" t="s">
        <v>4</v>
      </c>
      <c r="G35">
        <v>0.51</v>
      </c>
      <c r="H35">
        <v>24.12</v>
      </c>
      <c r="I35">
        <v>36.799999999999997</v>
      </c>
      <c r="J35">
        <v>54.15</v>
      </c>
      <c r="K35">
        <v>2.86</v>
      </c>
      <c r="L35" t="s">
        <v>4</v>
      </c>
      <c r="M35">
        <v>150.19</v>
      </c>
      <c r="N35" t="s">
        <v>4</v>
      </c>
      <c r="O35" s="24" t="s">
        <v>4</v>
      </c>
      <c r="P35">
        <v>208.27</v>
      </c>
      <c r="Q35">
        <v>32.03</v>
      </c>
      <c r="R35" t="s">
        <v>4</v>
      </c>
      <c r="S35" t="s">
        <v>4</v>
      </c>
      <c r="T35">
        <v>9.9700000000000006</v>
      </c>
      <c r="U35">
        <v>1.48</v>
      </c>
      <c r="V35" t="s">
        <v>4</v>
      </c>
      <c r="W35" t="s">
        <v>4</v>
      </c>
      <c r="X35">
        <v>30.68</v>
      </c>
      <c r="Y35" t="s">
        <v>4</v>
      </c>
      <c r="Z35" t="s">
        <v>4</v>
      </c>
      <c r="AA35" t="s">
        <v>4</v>
      </c>
      <c r="AB35" t="s">
        <v>4</v>
      </c>
      <c r="AC35" t="s">
        <v>4</v>
      </c>
      <c r="AD35" s="24">
        <v>17.12</v>
      </c>
      <c r="AE35" s="24">
        <v>1.55</v>
      </c>
      <c r="AF35" t="s">
        <v>4</v>
      </c>
      <c r="AG35">
        <v>194.05</v>
      </c>
      <c r="AH35" t="s">
        <v>4</v>
      </c>
      <c r="AI35">
        <v>3.61</v>
      </c>
      <c r="AJ35" t="s">
        <v>4</v>
      </c>
      <c r="AK35" t="s">
        <v>4</v>
      </c>
      <c r="AL35" t="s">
        <v>4</v>
      </c>
      <c r="AM35" t="s">
        <v>4</v>
      </c>
      <c r="AN35" t="s">
        <v>4</v>
      </c>
      <c r="AO35" t="s">
        <v>4</v>
      </c>
      <c r="AP35">
        <v>84.26</v>
      </c>
      <c r="AQ35" t="s">
        <v>4</v>
      </c>
      <c r="AR35">
        <v>17.53</v>
      </c>
      <c r="AS35" t="s">
        <v>4</v>
      </c>
      <c r="AT35" t="s">
        <v>4</v>
      </c>
      <c r="AU35" s="24">
        <v>20.94</v>
      </c>
      <c r="AV35" t="s">
        <v>4</v>
      </c>
      <c r="AW35" t="s">
        <v>4</v>
      </c>
      <c r="AX35">
        <v>55.11</v>
      </c>
      <c r="AY35" s="24">
        <v>10.02</v>
      </c>
      <c r="AZ35" t="s">
        <v>4</v>
      </c>
      <c r="BA35" t="s">
        <v>4</v>
      </c>
      <c r="BB35" t="s">
        <v>4</v>
      </c>
      <c r="BC35" t="s">
        <v>4</v>
      </c>
      <c r="BD35" t="s">
        <v>4</v>
      </c>
      <c r="BE35" t="s">
        <v>4</v>
      </c>
      <c r="BF35" t="s">
        <v>4</v>
      </c>
      <c r="BG35" t="s">
        <v>4</v>
      </c>
      <c r="BH35">
        <v>1.1599999999999999</v>
      </c>
      <c r="BI35" t="s">
        <v>4</v>
      </c>
      <c r="BJ35" t="s">
        <v>4</v>
      </c>
      <c r="BK35" t="s">
        <v>4</v>
      </c>
      <c r="BL35" t="s">
        <v>4</v>
      </c>
      <c r="BM35" t="s">
        <v>4</v>
      </c>
      <c r="BN35" s="24">
        <v>1.39</v>
      </c>
      <c r="BO35" t="s">
        <v>4</v>
      </c>
      <c r="BP35" t="s">
        <v>4</v>
      </c>
      <c r="BQ35">
        <v>10.89</v>
      </c>
      <c r="BR35" t="s">
        <v>4</v>
      </c>
      <c r="BS35" t="s">
        <v>4</v>
      </c>
      <c r="BT35" t="s">
        <v>4</v>
      </c>
      <c r="BU35" t="s">
        <v>4</v>
      </c>
      <c r="BV35" t="s">
        <v>4</v>
      </c>
      <c r="BW35" t="s">
        <v>4</v>
      </c>
      <c r="BX35" t="s">
        <v>4</v>
      </c>
      <c r="BY35" t="s">
        <v>4</v>
      </c>
      <c r="BZ35">
        <v>7.66</v>
      </c>
      <c r="CA35" t="s">
        <v>4</v>
      </c>
      <c r="CB35">
        <v>1.1200000000000001</v>
      </c>
      <c r="CC35" t="s">
        <v>4</v>
      </c>
      <c r="CD35" t="s">
        <v>4</v>
      </c>
      <c r="CE35" t="s">
        <v>4</v>
      </c>
      <c r="CF35" t="s">
        <v>4</v>
      </c>
      <c r="CG35" t="s">
        <v>4</v>
      </c>
      <c r="CH35" t="s">
        <v>4</v>
      </c>
      <c r="CI35" t="s">
        <v>4</v>
      </c>
      <c r="CJ35" t="s">
        <v>4</v>
      </c>
      <c r="CK35" t="s">
        <v>4</v>
      </c>
      <c r="CL35" t="s">
        <v>4</v>
      </c>
      <c r="CM35">
        <v>6.5299999999999994</v>
      </c>
      <c r="CN35">
        <v>2.4299999999999997</v>
      </c>
      <c r="CO35" t="s">
        <v>4</v>
      </c>
      <c r="CP35" t="s">
        <v>4</v>
      </c>
      <c r="CQ35" t="s">
        <v>4</v>
      </c>
      <c r="CR35" t="s">
        <v>4</v>
      </c>
      <c r="CS35" t="s">
        <v>4</v>
      </c>
    </row>
    <row r="36" spans="1:97" ht="14.4" x14ac:dyDescent="0.3">
      <c r="A36" t="s">
        <v>27</v>
      </c>
      <c r="B36" s="11" t="s">
        <v>198</v>
      </c>
      <c r="C36" t="s">
        <v>4</v>
      </c>
      <c r="D36" t="s">
        <v>4</v>
      </c>
      <c r="E36" t="s">
        <v>4</v>
      </c>
      <c r="F36" t="s">
        <v>4</v>
      </c>
      <c r="G36" t="s">
        <v>4</v>
      </c>
      <c r="H36">
        <v>2.4500000000000002</v>
      </c>
      <c r="I36">
        <v>5.12</v>
      </c>
      <c r="J36">
        <v>11.33</v>
      </c>
      <c r="K36">
        <v>2.4300000000000002</v>
      </c>
      <c r="L36" t="s">
        <v>4</v>
      </c>
      <c r="M36">
        <v>22.67</v>
      </c>
      <c r="N36" t="s">
        <v>4</v>
      </c>
      <c r="O36" s="24" t="s">
        <v>4</v>
      </c>
      <c r="P36">
        <v>14.11</v>
      </c>
      <c r="Q36">
        <v>2.0499999999999998</v>
      </c>
      <c r="R36" t="s">
        <v>4</v>
      </c>
      <c r="S36" t="s">
        <v>4</v>
      </c>
      <c r="T36" t="s">
        <v>4</v>
      </c>
      <c r="U36">
        <v>0.83</v>
      </c>
      <c r="V36" t="s">
        <v>4</v>
      </c>
      <c r="W36" t="s">
        <v>4</v>
      </c>
      <c r="X36">
        <v>5.57</v>
      </c>
      <c r="Y36" t="s">
        <v>4</v>
      </c>
      <c r="Z36" t="s">
        <v>4</v>
      </c>
      <c r="AA36" t="s">
        <v>4</v>
      </c>
      <c r="AB36">
        <v>10.32</v>
      </c>
      <c r="AC36" t="s">
        <v>4</v>
      </c>
      <c r="AD36" s="24">
        <v>2.71</v>
      </c>
      <c r="AE36" s="24">
        <v>1.5000000000000002</v>
      </c>
      <c r="AF36" t="s">
        <v>4</v>
      </c>
      <c r="AG36">
        <v>156.33000000000001</v>
      </c>
      <c r="AH36" t="s">
        <v>4</v>
      </c>
      <c r="AI36">
        <v>2.71</v>
      </c>
      <c r="AJ36" t="s">
        <v>4</v>
      </c>
      <c r="AK36" t="s">
        <v>4</v>
      </c>
      <c r="AL36" t="s">
        <v>4</v>
      </c>
      <c r="AM36" t="s">
        <v>4</v>
      </c>
      <c r="AN36" t="s">
        <v>4</v>
      </c>
      <c r="AO36" t="s">
        <v>4</v>
      </c>
      <c r="AP36">
        <v>47.96</v>
      </c>
      <c r="AQ36" t="s">
        <v>4</v>
      </c>
      <c r="AR36" t="s">
        <v>4</v>
      </c>
      <c r="AS36" t="s">
        <v>4</v>
      </c>
      <c r="AT36" t="s">
        <v>4</v>
      </c>
      <c r="AU36" s="24">
        <v>4.42</v>
      </c>
      <c r="AV36" t="s">
        <v>4</v>
      </c>
      <c r="AW36" t="s">
        <v>4</v>
      </c>
      <c r="AX36">
        <v>6.11</v>
      </c>
      <c r="AY36" s="24">
        <v>3.43</v>
      </c>
      <c r="AZ36" t="s">
        <v>4</v>
      </c>
      <c r="BA36" t="s">
        <v>4</v>
      </c>
      <c r="BB36" t="s">
        <v>4</v>
      </c>
      <c r="BC36" t="s">
        <v>4</v>
      </c>
      <c r="BD36" t="s">
        <v>4</v>
      </c>
      <c r="BE36" t="s">
        <v>4</v>
      </c>
      <c r="BF36" t="s">
        <v>4</v>
      </c>
      <c r="BG36" t="s">
        <v>4</v>
      </c>
      <c r="BH36">
        <v>2.04</v>
      </c>
      <c r="BI36" t="s">
        <v>4</v>
      </c>
      <c r="BJ36" t="s">
        <v>4</v>
      </c>
      <c r="BK36" t="s">
        <v>4</v>
      </c>
      <c r="BL36" t="s">
        <v>4</v>
      </c>
      <c r="BM36" t="s">
        <v>4</v>
      </c>
      <c r="BN36" s="24">
        <v>1.52</v>
      </c>
      <c r="BO36" t="s">
        <v>4</v>
      </c>
      <c r="BP36" t="s">
        <v>4</v>
      </c>
      <c r="BQ36" t="s">
        <v>4</v>
      </c>
      <c r="BR36" t="s">
        <v>4</v>
      </c>
      <c r="BS36" t="s">
        <v>4</v>
      </c>
      <c r="BT36" t="s">
        <v>4</v>
      </c>
      <c r="BU36" t="s">
        <v>4</v>
      </c>
      <c r="BV36" t="s">
        <v>4</v>
      </c>
      <c r="BW36" t="s">
        <v>4</v>
      </c>
      <c r="BX36" t="s">
        <v>4</v>
      </c>
      <c r="BY36" t="s">
        <v>4</v>
      </c>
      <c r="BZ36">
        <v>7.2</v>
      </c>
      <c r="CA36" t="s">
        <v>4</v>
      </c>
      <c r="CB36">
        <v>1.1100000000000001</v>
      </c>
      <c r="CC36" t="s">
        <v>4</v>
      </c>
      <c r="CD36" t="s">
        <v>4</v>
      </c>
      <c r="CE36" t="s">
        <v>4</v>
      </c>
      <c r="CF36" t="s">
        <v>4</v>
      </c>
      <c r="CG36" t="s">
        <v>4</v>
      </c>
      <c r="CH36" t="s">
        <v>4</v>
      </c>
      <c r="CI36" t="s">
        <v>4</v>
      </c>
      <c r="CJ36" t="s">
        <v>4</v>
      </c>
      <c r="CK36" t="s">
        <v>4</v>
      </c>
      <c r="CL36" t="s">
        <v>4</v>
      </c>
      <c r="CM36">
        <v>5.0999999999999996</v>
      </c>
      <c r="CN36">
        <v>11.209999999999999</v>
      </c>
      <c r="CO36" t="s">
        <v>4</v>
      </c>
      <c r="CP36" t="s">
        <v>4</v>
      </c>
      <c r="CQ36" t="s">
        <v>4</v>
      </c>
      <c r="CR36" t="s">
        <v>4</v>
      </c>
      <c r="CS36" t="s">
        <v>4</v>
      </c>
    </row>
    <row r="37" spans="1:97" ht="14.4" x14ac:dyDescent="0.3">
      <c r="A37" t="s">
        <v>28</v>
      </c>
      <c r="B37" s="33" t="s">
        <v>199</v>
      </c>
      <c r="C37" t="s">
        <v>4</v>
      </c>
      <c r="D37" t="s">
        <v>4</v>
      </c>
      <c r="E37" t="s">
        <v>4</v>
      </c>
      <c r="F37" t="s">
        <v>4</v>
      </c>
      <c r="G37" t="s">
        <v>4</v>
      </c>
      <c r="H37">
        <v>8.02</v>
      </c>
      <c r="I37">
        <v>7.76</v>
      </c>
      <c r="J37">
        <v>22.53</v>
      </c>
      <c r="K37">
        <v>3.63</v>
      </c>
      <c r="L37" t="s">
        <v>4</v>
      </c>
      <c r="M37">
        <v>30.23</v>
      </c>
      <c r="N37" t="s">
        <v>4</v>
      </c>
      <c r="O37" s="24" t="s">
        <v>4</v>
      </c>
      <c r="P37">
        <v>29.01</v>
      </c>
      <c r="Q37">
        <v>3.62</v>
      </c>
      <c r="R37" t="s">
        <v>4</v>
      </c>
      <c r="S37" t="s">
        <v>4</v>
      </c>
      <c r="T37" t="s">
        <v>4</v>
      </c>
      <c r="U37">
        <v>0.89</v>
      </c>
      <c r="V37" t="s">
        <v>4</v>
      </c>
      <c r="W37" t="s">
        <v>4</v>
      </c>
      <c r="X37">
        <v>5.21</v>
      </c>
      <c r="Y37" t="s">
        <v>4</v>
      </c>
      <c r="Z37" t="s">
        <v>4</v>
      </c>
      <c r="AA37" t="s">
        <v>4</v>
      </c>
      <c r="AB37">
        <v>2.25</v>
      </c>
      <c r="AC37" t="s">
        <v>4</v>
      </c>
      <c r="AD37" s="24">
        <v>2.16</v>
      </c>
      <c r="AE37" s="24">
        <v>1.3099999999999998</v>
      </c>
      <c r="AF37" t="s">
        <v>4</v>
      </c>
      <c r="AG37">
        <v>176.2</v>
      </c>
      <c r="AH37" t="s">
        <v>4</v>
      </c>
      <c r="AI37">
        <v>636.04999999999995</v>
      </c>
      <c r="AJ37">
        <v>1.29</v>
      </c>
      <c r="AK37" t="s">
        <v>4</v>
      </c>
      <c r="AL37" t="s">
        <v>4</v>
      </c>
      <c r="AM37" t="s">
        <v>4</v>
      </c>
      <c r="AN37" t="s">
        <v>4</v>
      </c>
      <c r="AO37" t="s">
        <v>4</v>
      </c>
      <c r="AP37">
        <v>68.62</v>
      </c>
      <c r="AQ37" t="s">
        <v>4</v>
      </c>
      <c r="AR37" t="s">
        <v>4</v>
      </c>
      <c r="AS37" t="s">
        <v>4</v>
      </c>
      <c r="AT37" t="s">
        <v>4</v>
      </c>
      <c r="AU37" s="24">
        <v>4.63</v>
      </c>
      <c r="AV37" t="s">
        <v>4</v>
      </c>
      <c r="AW37" t="s">
        <v>4</v>
      </c>
      <c r="AX37">
        <v>10.06</v>
      </c>
      <c r="AY37" s="24">
        <v>4.2</v>
      </c>
      <c r="AZ37" t="s">
        <v>4</v>
      </c>
      <c r="BA37" t="s">
        <v>4</v>
      </c>
      <c r="BB37" t="s">
        <v>4</v>
      </c>
      <c r="BC37" t="s">
        <v>4</v>
      </c>
      <c r="BD37" t="s">
        <v>4</v>
      </c>
      <c r="BE37" t="s">
        <v>4</v>
      </c>
      <c r="BF37" t="s">
        <v>4</v>
      </c>
      <c r="BG37">
        <v>0.71</v>
      </c>
      <c r="BH37">
        <v>0.96</v>
      </c>
      <c r="BI37" t="s">
        <v>4</v>
      </c>
      <c r="BJ37" t="s">
        <v>4</v>
      </c>
      <c r="BK37" t="s">
        <v>4</v>
      </c>
      <c r="BL37" t="s">
        <v>4</v>
      </c>
      <c r="BM37" t="s">
        <v>4</v>
      </c>
      <c r="BN37" s="24">
        <v>0.84000000000000008</v>
      </c>
      <c r="BO37" t="s">
        <v>4</v>
      </c>
      <c r="BP37" t="s">
        <v>4</v>
      </c>
      <c r="BQ37" t="s">
        <v>4</v>
      </c>
      <c r="BR37" t="s">
        <v>4</v>
      </c>
      <c r="BS37" t="s">
        <v>4</v>
      </c>
      <c r="BT37" t="s">
        <v>4</v>
      </c>
      <c r="BU37" t="s">
        <v>4</v>
      </c>
      <c r="BV37" t="s">
        <v>4</v>
      </c>
      <c r="BW37" t="s">
        <v>4</v>
      </c>
      <c r="BX37" t="s">
        <v>4</v>
      </c>
      <c r="BY37" t="s">
        <v>4</v>
      </c>
      <c r="BZ37">
        <v>8.7100000000000009</v>
      </c>
      <c r="CA37" t="s">
        <v>4</v>
      </c>
      <c r="CB37">
        <v>1.1100000000000001</v>
      </c>
      <c r="CC37" t="s">
        <v>4</v>
      </c>
      <c r="CD37" t="s">
        <v>4</v>
      </c>
      <c r="CE37" t="s">
        <v>4</v>
      </c>
      <c r="CF37" t="s">
        <v>4</v>
      </c>
      <c r="CG37" t="s">
        <v>4</v>
      </c>
      <c r="CH37" t="s">
        <v>4</v>
      </c>
      <c r="CI37" t="s">
        <v>4</v>
      </c>
      <c r="CJ37" t="s">
        <v>4</v>
      </c>
      <c r="CK37" t="s">
        <v>4</v>
      </c>
      <c r="CL37" t="s">
        <v>4</v>
      </c>
      <c r="CM37">
        <v>7.99</v>
      </c>
      <c r="CN37">
        <v>4.01</v>
      </c>
      <c r="CO37" t="s">
        <v>4</v>
      </c>
      <c r="CP37" t="s">
        <v>4</v>
      </c>
      <c r="CQ37" t="s">
        <v>4</v>
      </c>
      <c r="CR37" t="s">
        <v>4</v>
      </c>
      <c r="CS37" t="s">
        <v>4</v>
      </c>
    </row>
    <row r="38" spans="1:97" x14ac:dyDescent="0.25">
      <c r="A38" t="s">
        <v>67</v>
      </c>
      <c r="B38" s="36" t="s">
        <v>331</v>
      </c>
      <c r="C38" t="s">
        <v>4</v>
      </c>
      <c r="D38" t="s">
        <v>4</v>
      </c>
      <c r="E38" t="s">
        <v>4</v>
      </c>
      <c r="F38" t="s">
        <v>4</v>
      </c>
      <c r="G38" t="s">
        <v>4</v>
      </c>
      <c r="H38">
        <v>2.95</v>
      </c>
      <c r="I38" t="s">
        <v>4</v>
      </c>
      <c r="J38" t="s">
        <v>4</v>
      </c>
      <c r="K38">
        <v>7.87</v>
      </c>
      <c r="L38" t="s">
        <v>4</v>
      </c>
      <c r="M38">
        <v>184.87</v>
      </c>
      <c r="N38" t="s">
        <v>4</v>
      </c>
      <c r="O38" s="24" t="s">
        <v>4</v>
      </c>
      <c r="P38">
        <v>342.74</v>
      </c>
      <c r="Q38">
        <v>68.3</v>
      </c>
      <c r="R38" t="s">
        <v>4</v>
      </c>
      <c r="S38" t="s">
        <v>4</v>
      </c>
      <c r="T38">
        <v>20.72</v>
      </c>
      <c r="U38">
        <v>1.24</v>
      </c>
      <c r="V38" t="s">
        <v>4</v>
      </c>
      <c r="W38" t="s">
        <v>4</v>
      </c>
      <c r="X38">
        <v>815.72</v>
      </c>
      <c r="Y38" t="s">
        <v>4</v>
      </c>
      <c r="Z38" t="s">
        <v>4</v>
      </c>
      <c r="AA38" t="s">
        <v>4</v>
      </c>
      <c r="AB38" t="s">
        <v>4</v>
      </c>
      <c r="AC38" t="s">
        <v>4</v>
      </c>
      <c r="AD38" s="24">
        <v>9.34</v>
      </c>
      <c r="AE38" s="24">
        <v>2888.8300000000004</v>
      </c>
      <c r="AF38" t="s">
        <v>4</v>
      </c>
      <c r="AG38">
        <v>76.56</v>
      </c>
      <c r="AH38" t="s">
        <v>4</v>
      </c>
      <c r="AI38">
        <v>10.97</v>
      </c>
      <c r="AJ38">
        <v>3.24</v>
      </c>
      <c r="AK38" t="s">
        <v>4</v>
      </c>
      <c r="AL38" t="s">
        <v>4</v>
      </c>
      <c r="AM38" t="s">
        <v>4</v>
      </c>
      <c r="AN38" t="s">
        <v>4</v>
      </c>
      <c r="AO38" t="s">
        <v>4</v>
      </c>
      <c r="AP38" s="2">
        <v>9544.66</v>
      </c>
      <c r="AQ38" t="s">
        <v>4</v>
      </c>
      <c r="AR38">
        <v>24.46</v>
      </c>
      <c r="AS38" t="s">
        <v>4</v>
      </c>
      <c r="AT38" t="s">
        <v>4</v>
      </c>
      <c r="AU38" s="24">
        <v>13.709999999999999</v>
      </c>
      <c r="AV38" t="s">
        <v>4</v>
      </c>
      <c r="AW38">
        <v>3.91</v>
      </c>
      <c r="AX38">
        <v>258.23</v>
      </c>
      <c r="AY38" s="24">
        <v>33.85</v>
      </c>
      <c r="AZ38" t="s">
        <v>4</v>
      </c>
      <c r="BA38">
        <v>8</v>
      </c>
      <c r="BB38" t="s">
        <v>4</v>
      </c>
      <c r="BC38" t="s">
        <v>4</v>
      </c>
      <c r="BD38">
        <v>4781.66</v>
      </c>
      <c r="BE38" t="s">
        <v>4</v>
      </c>
      <c r="BF38" t="s">
        <v>4</v>
      </c>
      <c r="BG38" t="s">
        <v>4</v>
      </c>
      <c r="BH38">
        <v>2062.52</v>
      </c>
      <c r="BI38" t="s">
        <v>4</v>
      </c>
      <c r="BJ38" t="s">
        <v>4</v>
      </c>
      <c r="BK38" t="s">
        <v>4</v>
      </c>
      <c r="BL38" t="s">
        <v>4</v>
      </c>
      <c r="BM38" t="s">
        <v>4</v>
      </c>
      <c r="BN38" s="24">
        <v>2</v>
      </c>
      <c r="BO38" t="s">
        <v>4</v>
      </c>
      <c r="BP38" t="s">
        <v>4</v>
      </c>
      <c r="BQ38" t="s">
        <v>4</v>
      </c>
      <c r="BR38" t="s">
        <v>4</v>
      </c>
      <c r="BS38" t="s">
        <v>4</v>
      </c>
      <c r="BT38" t="s">
        <v>4</v>
      </c>
      <c r="BU38" t="s">
        <v>4</v>
      </c>
      <c r="BV38" t="s">
        <v>4</v>
      </c>
      <c r="BW38" t="s">
        <v>4</v>
      </c>
      <c r="BX38" t="s">
        <v>4</v>
      </c>
      <c r="BY38" t="s">
        <v>4</v>
      </c>
      <c r="BZ38">
        <v>42.51</v>
      </c>
      <c r="CA38" t="s">
        <v>4</v>
      </c>
      <c r="CB38">
        <v>20.68</v>
      </c>
      <c r="CC38" t="s">
        <v>4</v>
      </c>
      <c r="CD38" t="s">
        <v>4</v>
      </c>
      <c r="CE38" t="s">
        <v>4</v>
      </c>
      <c r="CF38" t="s">
        <v>4</v>
      </c>
      <c r="CG38" t="s">
        <v>4</v>
      </c>
      <c r="CH38" t="s">
        <v>4</v>
      </c>
      <c r="CI38" t="s">
        <v>4</v>
      </c>
      <c r="CJ38" t="s">
        <v>4</v>
      </c>
      <c r="CK38" t="s">
        <v>4</v>
      </c>
      <c r="CL38" t="s">
        <v>4</v>
      </c>
      <c r="CM38" t="s">
        <v>4</v>
      </c>
      <c r="CN38">
        <v>13.000000000000002</v>
      </c>
      <c r="CO38" t="s">
        <v>4</v>
      </c>
      <c r="CP38" t="s">
        <v>4</v>
      </c>
      <c r="CQ38" t="s">
        <v>4</v>
      </c>
      <c r="CR38" t="s">
        <v>4</v>
      </c>
      <c r="CS38" t="s">
        <v>4</v>
      </c>
    </row>
    <row r="39" spans="1:97" ht="14.4" x14ac:dyDescent="0.3">
      <c r="A39" t="s">
        <v>32</v>
      </c>
      <c r="B39" s="25" t="s">
        <v>203</v>
      </c>
      <c r="C39" t="s">
        <v>4</v>
      </c>
      <c r="D39" t="s">
        <v>4</v>
      </c>
      <c r="E39" t="s">
        <v>4</v>
      </c>
      <c r="F39" t="s">
        <v>4</v>
      </c>
      <c r="G39" t="s">
        <v>4</v>
      </c>
      <c r="H39" t="s">
        <v>4</v>
      </c>
      <c r="I39" t="s">
        <v>4</v>
      </c>
      <c r="J39" t="s">
        <v>4</v>
      </c>
      <c r="K39">
        <v>0.36</v>
      </c>
      <c r="L39" t="s">
        <v>4</v>
      </c>
      <c r="M39">
        <v>10.89</v>
      </c>
      <c r="N39" t="s">
        <v>4</v>
      </c>
      <c r="O39" s="24" t="s">
        <v>4</v>
      </c>
      <c r="P39">
        <v>7.31</v>
      </c>
      <c r="Q39">
        <v>0.68</v>
      </c>
      <c r="R39" t="s">
        <v>4</v>
      </c>
      <c r="S39" t="s">
        <v>4</v>
      </c>
      <c r="T39" t="s">
        <v>4</v>
      </c>
      <c r="U39">
        <v>0.89</v>
      </c>
      <c r="V39" t="s">
        <v>4</v>
      </c>
      <c r="W39" t="s">
        <v>4</v>
      </c>
      <c r="X39" t="s">
        <v>4</v>
      </c>
      <c r="Y39" t="s">
        <v>4</v>
      </c>
      <c r="Z39" t="s">
        <v>4</v>
      </c>
      <c r="AA39" t="s">
        <v>4</v>
      </c>
      <c r="AB39" t="s">
        <v>4</v>
      </c>
      <c r="AC39" t="s">
        <v>4</v>
      </c>
      <c r="AD39" s="24">
        <v>5.38</v>
      </c>
      <c r="AE39" s="24">
        <v>0.66999999999999993</v>
      </c>
      <c r="AF39" t="s">
        <v>4</v>
      </c>
      <c r="AG39">
        <v>34.5</v>
      </c>
      <c r="AH39" t="s">
        <v>4</v>
      </c>
      <c r="AI39" t="s">
        <v>4</v>
      </c>
      <c r="AJ39" t="s">
        <v>4</v>
      </c>
      <c r="AK39" t="s">
        <v>4</v>
      </c>
      <c r="AL39" t="s">
        <v>4</v>
      </c>
      <c r="AM39" t="s">
        <v>4</v>
      </c>
      <c r="AN39" t="s">
        <v>4</v>
      </c>
      <c r="AO39" t="s">
        <v>4</v>
      </c>
      <c r="AP39">
        <v>19.829999999999998</v>
      </c>
      <c r="AQ39" t="s">
        <v>4</v>
      </c>
      <c r="AR39">
        <v>4.3899999999999997</v>
      </c>
      <c r="AS39" t="s">
        <v>4</v>
      </c>
      <c r="AT39" t="s">
        <v>4</v>
      </c>
      <c r="AU39" s="24">
        <v>0.55000000000000004</v>
      </c>
      <c r="AV39" t="s">
        <v>4</v>
      </c>
      <c r="AW39" t="s">
        <v>4</v>
      </c>
      <c r="AX39" t="s">
        <v>4</v>
      </c>
      <c r="AY39" s="24">
        <v>1.23</v>
      </c>
      <c r="AZ39" t="s">
        <v>4</v>
      </c>
      <c r="BA39" t="s">
        <v>4</v>
      </c>
      <c r="BB39" t="s">
        <v>4</v>
      </c>
      <c r="BC39" t="s">
        <v>4</v>
      </c>
      <c r="BD39" t="s">
        <v>4</v>
      </c>
      <c r="BE39" t="s">
        <v>4</v>
      </c>
      <c r="BF39" t="s">
        <v>4</v>
      </c>
      <c r="BG39" t="s">
        <v>4</v>
      </c>
      <c r="BH39">
        <v>5.47</v>
      </c>
      <c r="BI39" t="s">
        <v>4</v>
      </c>
      <c r="BJ39" t="s">
        <v>4</v>
      </c>
      <c r="BK39" t="s">
        <v>4</v>
      </c>
      <c r="BL39" t="s">
        <v>4</v>
      </c>
      <c r="BM39" t="s">
        <v>4</v>
      </c>
      <c r="BN39" s="24">
        <v>3.11</v>
      </c>
      <c r="BO39" t="s">
        <v>4</v>
      </c>
      <c r="BP39" t="s">
        <v>4</v>
      </c>
      <c r="BQ39" t="s">
        <v>4</v>
      </c>
      <c r="BR39" t="s">
        <v>4</v>
      </c>
      <c r="BS39" t="s">
        <v>4</v>
      </c>
      <c r="BT39" t="s">
        <v>4</v>
      </c>
      <c r="BU39" t="s">
        <v>4</v>
      </c>
      <c r="BV39" t="s">
        <v>4</v>
      </c>
      <c r="BW39" t="s">
        <v>4</v>
      </c>
      <c r="BX39" t="s">
        <v>4</v>
      </c>
      <c r="BY39" t="s">
        <v>4</v>
      </c>
      <c r="BZ39">
        <v>3.52</v>
      </c>
      <c r="CA39" t="s">
        <v>4</v>
      </c>
      <c r="CB39" t="s">
        <v>4</v>
      </c>
      <c r="CC39" t="s">
        <v>4</v>
      </c>
      <c r="CD39" t="s">
        <v>4</v>
      </c>
      <c r="CE39" t="s">
        <v>4</v>
      </c>
      <c r="CF39" t="s">
        <v>4</v>
      </c>
      <c r="CG39" t="s">
        <v>4</v>
      </c>
      <c r="CH39" t="s">
        <v>4</v>
      </c>
      <c r="CI39" t="s">
        <v>4</v>
      </c>
      <c r="CJ39" t="s">
        <v>4</v>
      </c>
      <c r="CK39" t="s">
        <v>4</v>
      </c>
      <c r="CL39" t="s">
        <v>4</v>
      </c>
      <c r="CM39" t="s">
        <v>4</v>
      </c>
      <c r="CN39">
        <v>2.0600000000000005</v>
      </c>
      <c r="CO39" t="s">
        <v>4</v>
      </c>
      <c r="CP39" t="s">
        <v>4</v>
      </c>
      <c r="CQ39" t="s">
        <v>4</v>
      </c>
      <c r="CR39" t="s">
        <v>4</v>
      </c>
      <c r="CS39" t="s">
        <v>4</v>
      </c>
    </row>
    <row r="40" spans="1:97" ht="14.4" x14ac:dyDescent="0.3">
      <c r="A40" t="s">
        <v>31</v>
      </c>
      <c r="B40" s="11" t="s">
        <v>202</v>
      </c>
      <c r="C40">
        <v>6.66</v>
      </c>
      <c r="D40">
        <v>1.64</v>
      </c>
      <c r="E40" t="s">
        <v>4</v>
      </c>
      <c r="F40" t="s">
        <v>4</v>
      </c>
      <c r="G40" t="s">
        <v>4</v>
      </c>
      <c r="H40">
        <v>7.8</v>
      </c>
      <c r="I40">
        <v>14.68</v>
      </c>
      <c r="J40">
        <v>18.489999999999998</v>
      </c>
      <c r="K40">
        <v>2.2799999999999998</v>
      </c>
      <c r="L40">
        <v>14.06</v>
      </c>
      <c r="M40">
        <v>99.32</v>
      </c>
      <c r="N40" t="s">
        <v>4</v>
      </c>
      <c r="O40" s="24">
        <v>52.949999999999996</v>
      </c>
      <c r="P40">
        <v>490.85</v>
      </c>
      <c r="Q40">
        <v>92.02</v>
      </c>
      <c r="R40" t="s">
        <v>4</v>
      </c>
      <c r="S40" t="s">
        <v>4</v>
      </c>
      <c r="T40">
        <v>20.07</v>
      </c>
      <c r="U40">
        <v>1.68</v>
      </c>
      <c r="V40" t="s">
        <v>4</v>
      </c>
      <c r="W40" t="s">
        <v>4</v>
      </c>
      <c r="X40">
        <v>212.87</v>
      </c>
      <c r="Y40" t="s">
        <v>4</v>
      </c>
      <c r="Z40" t="s">
        <v>4</v>
      </c>
      <c r="AA40" t="s">
        <v>4</v>
      </c>
      <c r="AB40" t="s">
        <v>4</v>
      </c>
      <c r="AC40" t="s">
        <v>4</v>
      </c>
      <c r="AD40" s="24">
        <v>9.3000000000000007</v>
      </c>
      <c r="AE40" s="24">
        <v>138.38</v>
      </c>
      <c r="AF40" t="s">
        <v>4</v>
      </c>
      <c r="AG40">
        <v>600.87</v>
      </c>
      <c r="AH40" t="s">
        <v>4</v>
      </c>
      <c r="AI40">
        <v>3.44</v>
      </c>
      <c r="AJ40" t="s">
        <v>4</v>
      </c>
      <c r="AK40" t="s">
        <v>4</v>
      </c>
      <c r="AL40" t="s">
        <v>4</v>
      </c>
      <c r="AM40" t="s">
        <v>4</v>
      </c>
      <c r="AN40">
        <v>0.28999999999999998</v>
      </c>
      <c r="AO40" t="s">
        <v>4</v>
      </c>
      <c r="AP40">
        <v>1927.36</v>
      </c>
      <c r="AQ40" t="s">
        <v>4</v>
      </c>
      <c r="AR40">
        <v>71.06</v>
      </c>
      <c r="AS40" t="s">
        <v>4</v>
      </c>
      <c r="AT40" t="s">
        <v>4</v>
      </c>
      <c r="AU40" s="24">
        <v>6.83</v>
      </c>
      <c r="AV40" t="s">
        <v>4</v>
      </c>
      <c r="AW40" t="s">
        <v>4</v>
      </c>
      <c r="AX40">
        <v>511.53</v>
      </c>
      <c r="AY40" s="24">
        <v>7.03</v>
      </c>
      <c r="AZ40" t="s">
        <v>4</v>
      </c>
      <c r="BA40" t="s">
        <v>4</v>
      </c>
      <c r="BB40" t="s">
        <v>4</v>
      </c>
      <c r="BC40" t="s">
        <v>4</v>
      </c>
      <c r="BD40">
        <v>267.87</v>
      </c>
      <c r="BE40" t="s">
        <v>4</v>
      </c>
      <c r="BF40" t="s">
        <v>4</v>
      </c>
      <c r="BG40">
        <v>0.86</v>
      </c>
      <c r="BH40">
        <v>41.17</v>
      </c>
      <c r="BI40" t="s">
        <v>4</v>
      </c>
      <c r="BJ40" t="s">
        <v>4</v>
      </c>
      <c r="BK40" t="s">
        <v>4</v>
      </c>
      <c r="BL40" t="s">
        <v>4</v>
      </c>
      <c r="BM40" t="s">
        <v>4</v>
      </c>
      <c r="BN40" s="24">
        <v>2.61</v>
      </c>
      <c r="BO40" t="s">
        <v>4</v>
      </c>
      <c r="BP40">
        <v>3.53</v>
      </c>
      <c r="BQ40" t="s">
        <v>4</v>
      </c>
      <c r="BR40" t="s">
        <v>4</v>
      </c>
      <c r="BS40" t="s">
        <v>4</v>
      </c>
      <c r="BT40" t="s">
        <v>4</v>
      </c>
      <c r="BU40" t="s">
        <v>4</v>
      </c>
      <c r="BV40" t="s">
        <v>4</v>
      </c>
      <c r="BW40" t="s">
        <v>4</v>
      </c>
      <c r="BX40" t="s">
        <v>4</v>
      </c>
      <c r="BY40" t="s">
        <v>4</v>
      </c>
      <c r="BZ40">
        <v>7.32</v>
      </c>
      <c r="CA40" t="s">
        <v>4</v>
      </c>
      <c r="CB40">
        <v>0.51</v>
      </c>
      <c r="CC40" t="s">
        <v>4</v>
      </c>
      <c r="CD40" t="s">
        <v>4</v>
      </c>
      <c r="CE40" t="s">
        <v>4</v>
      </c>
      <c r="CF40">
        <v>0.73</v>
      </c>
      <c r="CG40" t="s">
        <v>4</v>
      </c>
      <c r="CH40">
        <v>1.1499999999999999</v>
      </c>
      <c r="CI40" t="s">
        <v>4</v>
      </c>
      <c r="CJ40" t="s">
        <v>4</v>
      </c>
      <c r="CK40" t="s">
        <v>4</v>
      </c>
      <c r="CL40" t="s">
        <v>4</v>
      </c>
      <c r="CM40" t="s">
        <v>4</v>
      </c>
      <c r="CN40">
        <v>6.33</v>
      </c>
      <c r="CO40" t="s">
        <v>4</v>
      </c>
      <c r="CP40" t="s">
        <v>4</v>
      </c>
      <c r="CQ40" t="s">
        <v>4</v>
      </c>
      <c r="CR40" t="s">
        <v>4</v>
      </c>
      <c r="CS40" t="s">
        <v>4</v>
      </c>
    </row>
    <row r="41" spans="1:97" ht="14.4" x14ac:dyDescent="0.3">
      <c r="A41" t="s">
        <v>30</v>
      </c>
      <c r="B41" s="11" t="s">
        <v>201</v>
      </c>
      <c r="C41" t="s">
        <v>4</v>
      </c>
      <c r="D41" t="s">
        <v>4</v>
      </c>
      <c r="E41" t="s">
        <v>4</v>
      </c>
      <c r="F41" t="s">
        <v>4</v>
      </c>
      <c r="G41" t="s">
        <v>4</v>
      </c>
      <c r="H41">
        <v>6.88</v>
      </c>
      <c r="I41">
        <v>18.579999999999998</v>
      </c>
      <c r="J41">
        <v>30</v>
      </c>
      <c r="K41">
        <v>1.5</v>
      </c>
      <c r="L41" t="s">
        <v>4</v>
      </c>
      <c r="M41">
        <v>111.21</v>
      </c>
      <c r="N41" t="s">
        <v>4</v>
      </c>
      <c r="O41" s="24" t="s">
        <v>4</v>
      </c>
      <c r="P41">
        <v>661.81</v>
      </c>
      <c r="Q41">
        <v>126.4</v>
      </c>
      <c r="R41" t="s">
        <v>4</v>
      </c>
      <c r="S41" t="s">
        <v>4</v>
      </c>
      <c r="T41">
        <v>29.14</v>
      </c>
      <c r="U41">
        <v>0.85</v>
      </c>
      <c r="V41" t="s">
        <v>4</v>
      </c>
      <c r="W41" t="s">
        <v>4</v>
      </c>
      <c r="X41">
        <v>290.63</v>
      </c>
      <c r="Y41" t="s">
        <v>4</v>
      </c>
      <c r="Z41" t="s">
        <v>4</v>
      </c>
      <c r="AA41" t="s">
        <v>4</v>
      </c>
      <c r="AB41" t="s">
        <v>4</v>
      </c>
      <c r="AC41" t="s">
        <v>4</v>
      </c>
      <c r="AD41" s="24">
        <v>9.0799999999999983</v>
      </c>
      <c r="AE41" s="24">
        <v>55.050000000000004</v>
      </c>
      <c r="AF41" t="s">
        <v>4</v>
      </c>
      <c r="AG41">
        <v>258.56</v>
      </c>
      <c r="AH41" t="s">
        <v>4</v>
      </c>
      <c r="AI41">
        <v>3.59</v>
      </c>
      <c r="AJ41" t="s">
        <v>4</v>
      </c>
      <c r="AK41" t="s">
        <v>4</v>
      </c>
      <c r="AL41" t="s">
        <v>4</v>
      </c>
      <c r="AM41" t="s">
        <v>4</v>
      </c>
      <c r="AN41">
        <v>0.38</v>
      </c>
      <c r="AO41" t="s">
        <v>4</v>
      </c>
      <c r="AP41">
        <v>1981.27</v>
      </c>
      <c r="AQ41" t="s">
        <v>4</v>
      </c>
      <c r="AR41">
        <v>76.62</v>
      </c>
      <c r="AS41" t="s">
        <v>4</v>
      </c>
      <c r="AT41" t="s">
        <v>4</v>
      </c>
      <c r="AU41" s="24">
        <v>8.9</v>
      </c>
      <c r="AV41" t="s">
        <v>4</v>
      </c>
      <c r="AW41" t="s">
        <v>4</v>
      </c>
      <c r="AX41">
        <v>677.86</v>
      </c>
      <c r="AY41" s="24">
        <v>7.11</v>
      </c>
      <c r="AZ41" t="s">
        <v>4</v>
      </c>
      <c r="BA41" t="s">
        <v>4</v>
      </c>
      <c r="BB41" t="s">
        <v>4</v>
      </c>
      <c r="BC41" t="s">
        <v>4</v>
      </c>
      <c r="BD41">
        <v>124.38</v>
      </c>
      <c r="BE41" t="s">
        <v>4</v>
      </c>
      <c r="BF41" t="s">
        <v>4</v>
      </c>
      <c r="BG41" t="s">
        <v>4</v>
      </c>
      <c r="BH41">
        <v>26.45</v>
      </c>
      <c r="BI41" t="s">
        <v>4</v>
      </c>
      <c r="BJ41" t="s">
        <v>4</v>
      </c>
      <c r="BK41" t="s">
        <v>4</v>
      </c>
      <c r="BL41" t="s">
        <v>4</v>
      </c>
      <c r="BM41" t="s">
        <v>4</v>
      </c>
      <c r="BN41" s="24">
        <v>1.4</v>
      </c>
      <c r="BO41" t="s">
        <v>4</v>
      </c>
      <c r="BP41" t="s">
        <v>4</v>
      </c>
      <c r="BQ41" t="s">
        <v>4</v>
      </c>
      <c r="BR41" t="s">
        <v>4</v>
      </c>
      <c r="BS41" t="s">
        <v>4</v>
      </c>
      <c r="BT41" t="s">
        <v>4</v>
      </c>
      <c r="BU41" t="s">
        <v>4</v>
      </c>
      <c r="BV41" t="s">
        <v>4</v>
      </c>
      <c r="BW41" t="s">
        <v>4</v>
      </c>
      <c r="BX41" t="s">
        <v>4</v>
      </c>
      <c r="BY41" t="s">
        <v>4</v>
      </c>
      <c r="BZ41">
        <v>7.68</v>
      </c>
      <c r="CA41" t="s">
        <v>4</v>
      </c>
      <c r="CB41" t="s">
        <v>4</v>
      </c>
      <c r="CC41" t="s">
        <v>4</v>
      </c>
      <c r="CD41" t="s">
        <v>4</v>
      </c>
      <c r="CE41" t="s">
        <v>4</v>
      </c>
      <c r="CF41" t="s">
        <v>4</v>
      </c>
      <c r="CG41" t="s">
        <v>4</v>
      </c>
      <c r="CH41" t="s">
        <v>4</v>
      </c>
      <c r="CI41" t="s">
        <v>4</v>
      </c>
      <c r="CJ41" t="s">
        <v>4</v>
      </c>
      <c r="CK41" t="s">
        <v>4</v>
      </c>
      <c r="CL41" t="s">
        <v>4</v>
      </c>
      <c r="CM41">
        <v>8.7200000000000006</v>
      </c>
      <c r="CN41">
        <v>4.7699999999999996</v>
      </c>
      <c r="CO41" t="s">
        <v>4</v>
      </c>
      <c r="CP41" t="s">
        <v>4</v>
      </c>
      <c r="CQ41" t="s">
        <v>4</v>
      </c>
      <c r="CR41" t="s">
        <v>4</v>
      </c>
      <c r="CS41" t="s">
        <v>4</v>
      </c>
    </row>
    <row r="42" spans="1:97" s="26" customFormat="1" ht="15" thickBot="1" x14ac:dyDescent="0.35">
      <c r="A42" s="26" t="s">
        <v>29</v>
      </c>
      <c r="B42" s="40" t="s">
        <v>200</v>
      </c>
      <c r="C42" s="26" t="s">
        <v>4</v>
      </c>
      <c r="D42" s="26" t="s">
        <v>4</v>
      </c>
      <c r="E42" s="26" t="s">
        <v>4</v>
      </c>
      <c r="F42" s="26" t="s">
        <v>4</v>
      </c>
      <c r="G42" s="26" t="s">
        <v>4</v>
      </c>
      <c r="H42" s="26">
        <v>6.58</v>
      </c>
      <c r="I42" s="26">
        <v>20.68</v>
      </c>
      <c r="J42" s="26">
        <v>23.8</v>
      </c>
      <c r="K42" s="26">
        <v>5.04</v>
      </c>
      <c r="L42" s="26" t="s">
        <v>4</v>
      </c>
      <c r="M42" s="26">
        <v>107.5</v>
      </c>
      <c r="N42" s="26" t="s">
        <v>4</v>
      </c>
      <c r="O42" s="27" t="s">
        <v>4</v>
      </c>
      <c r="P42" s="26">
        <v>328.71</v>
      </c>
      <c r="Q42" s="26">
        <v>73.78</v>
      </c>
      <c r="R42" s="26" t="s">
        <v>4</v>
      </c>
      <c r="S42" s="26" t="s">
        <v>4</v>
      </c>
      <c r="T42" s="26">
        <v>20.149999999999999</v>
      </c>
      <c r="U42" s="26">
        <v>1.26</v>
      </c>
      <c r="V42" s="26" t="s">
        <v>4</v>
      </c>
      <c r="W42" s="26" t="s">
        <v>4</v>
      </c>
      <c r="X42" s="26">
        <v>378.66</v>
      </c>
      <c r="Y42" s="26" t="s">
        <v>4</v>
      </c>
      <c r="Z42" s="26" t="s">
        <v>4</v>
      </c>
      <c r="AA42" s="26" t="s">
        <v>4</v>
      </c>
      <c r="AB42" s="26" t="s">
        <v>4</v>
      </c>
      <c r="AC42" s="26" t="s">
        <v>4</v>
      </c>
      <c r="AD42" s="27">
        <v>7.61</v>
      </c>
      <c r="AE42" s="27">
        <v>907.04</v>
      </c>
      <c r="AF42" s="26" t="s">
        <v>4</v>
      </c>
      <c r="AG42" s="26">
        <v>433.69</v>
      </c>
      <c r="AH42" s="26" t="s">
        <v>4</v>
      </c>
      <c r="AI42" s="26">
        <v>13.44</v>
      </c>
      <c r="AJ42" s="26" t="s">
        <v>4</v>
      </c>
      <c r="AK42" s="26" t="s">
        <v>4</v>
      </c>
      <c r="AL42" s="26">
        <v>6.64</v>
      </c>
      <c r="AM42" s="26" t="s">
        <v>4</v>
      </c>
      <c r="AN42" s="26" t="s">
        <v>4</v>
      </c>
      <c r="AO42" s="26" t="s">
        <v>4</v>
      </c>
      <c r="AP42" s="26">
        <v>3028.99</v>
      </c>
      <c r="AQ42" s="26" t="s">
        <v>4</v>
      </c>
      <c r="AR42" s="26">
        <v>36.11</v>
      </c>
      <c r="AS42" s="26" t="s">
        <v>4</v>
      </c>
      <c r="AT42" s="26" t="s">
        <v>4</v>
      </c>
      <c r="AU42" s="27">
        <v>13.36</v>
      </c>
      <c r="AV42" s="26" t="s">
        <v>4</v>
      </c>
      <c r="AW42" s="26" t="s">
        <v>4</v>
      </c>
      <c r="AX42" s="26">
        <v>546.09</v>
      </c>
      <c r="AY42" s="27">
        <v>33.379999999999995</v>
      </c>
      <c r="AZ42" s="26" t="s">
        <v>4</v>
      </c>
      <c r="BA42" s="26" t="s">
        <v>4</v>
      </c>
      <c r="BB42" s="26" t="s">
        <v>4</v>
      </c>
      <c r="BC42" s="26" t="s">
        <v>4</v>
      </c>
      <c r="BD42" s="26">
        <v>1558.16</v>
      </c>
      <c r="BE42" s="26" t="s">
        <v>4</v>
      </c>
      <c r="BF42" s="26" t="s">
        <v>4</v>
      </c>
      <c r="BG42" s="26">
        <v>4.21</v>
      </c>
      <c r="BH42" s="26">
        <v>509.42</v>
      </c>
      <c r="BI42" s="26" t="s">
        <v>4</v>
      </c>
      <c r="BJ42" s="26" t="s">
        <v>4</v>
      </c>
      <c r="BK42" s="26" t="s">
        <v>4</v>
      </c>
      <c r="BL42" s="26" t="s">
        <v>4</v>
      </c>
      <c r="BM42" s="26" t="s">
        <v>4</v>
      </c>
      <c r="BN42" s="27">
        <v>7.5</v>
      </c>
      <c r="BO42" s="26" t="s">
        <v>4</v>
      </c>
      <c r="BP42" s="26" t="s">
        <v>4</v>
      </c>
      <c r="BQ42" s="26" t="s">
        <v>4</v>
      </c>
      <c r="BR42" s="26" t="s">
        <v>4</v>
      </c>
      <c r="BS42" s="26" t="s">
        <v>4</v>
      </c>
      <c r="BT42" s="26" t="s">
        <v>4</v>
      </c>
      <c r="BU42" s="26">
        <v>139.66</v>
      </c>
      <c r="BV42" s="26" t="s">
        <v>4</v>
      </c>
      <c r="BW42" s="26" t="s">
        <v>4</v>
      </c>
      <c r="BX42" s="26" t="s">
        <v>4</v>
      </c>
      <c r="BY42" s="26" t="s">
        <v>4</v>
      </c>
      <c r="BZ42" s="26">
        <v>34.33</v>
      </c>
      <c r="CA42" s="26" t="s">
        <v>4</v>
      </c>
      <c r="CB42" s="26">
        <v>5.82</v>
      </c>
      <c r="CC42" s="26" t="s">
        <v>4</v>
      </c>
      <c r="CD42" s="26" t="s">
        <v>4</v>
      </c>
      <c r="CE42" s="26" t="s">
        <v>4</v>
      </c>
      <c r="CF42" s="26" t="s">
        <v>4</v>
      </c>
      <c r="CG42" s="26" t="s">
        <v>4</v>
      </c>
      <c r="CH42" s="26" t="s">
        <v>4</v>
      </c>
      <c r="CI42" s="26" t="s">
        <v>4</v>
      </c>
      <c r="CJ42" s="26" t="s">
        <v>4</v>
      </c>
      <c r="CK42" s="26" t="s">
        <v>4</v>
      </c>
      <c r="CL42" s="26" t="s">
        <v>4</v>
      </c>
      <c r="CM42" s="26">
        <v>10.97</v>
      </c>
      <c r="CN42" s="26">
        <v>8.2799999999999994</v>
      </c>
      <c r="CO42" s="26" t="s">
        <v>4</v>
      </c>
      <c r="CP42" s="26" t="s">
        <v>4</v>
      </c>
      <c r="CQ42" s="26" t="s">
        <v>4</v>
      </c>
      <c r="CR42" s="26" t="s">
        <v>4</v>
      </c>
      <c r="CS42" s="26" t="s">
        <v>4</v>
      </c>
    </row>
    <row r="43" spans="1:97" x14ac:dyDescent="0.25">
      <c r="A43" s="1" t="s">
        <v>2</v>
      </c>
      <c r="B43" s="1"/>
      <c r="C43" t="s">
        <v>253</v>
      </c>
      <c r="D43" s="41" t="s">
        <v>254</v>
      </c>
      <c r="E43" t="s">
        <v>255</v>
      </c>
      <c r="F43" t="s">
        <v>158</v>
      </c>
      <c r="G43" t="s">
        <v>256</v>
      </c>
      <c r="H43" t="s">
        <v>257</v>
      </c>
      <c r="I43" s="30" t="s">
        <v>258</v>
      </c>
      <c r="J43" t="s">
        <v>259</v>
      </c>
      <c r="K43" s="32" t="s">
        <v>260</v>
      </c>
      <c r="L43" t="s">
        <v>261</v>
      </c>
      <c r="M43" s="30" t="s">
        <v>262</v>
      </c>
      <c r="N43" t="s">
        <v>266</v>
      </c>
      <c r="O43" t="s">
        <v>263</v>
      </c>
      <c r="P43" t="s">
        <v>264</v>
      </c>
      <c r="Q43" t="s">
        <v>265</v>
      </c>
      <c r="R43" t="s">
        <v>163</v>
      </c>
      <c r="S43" t="s">
        <v>164</v>
      </c>
      <c r="T43" t="s">
        <v>165</v>
      </c>
      <c r="U43" s="29" t="s">
        <v>267</v>
      </c>
      <c r="V43" t="s">
        <v>268</v>
      </c>
      <c r="W43" t="s">
        <v>269</v>
      </c>
      <c r="X43" t="s">
        <v>270</v>
      </c>
      <c r="Y43" s="30" t="s">
        <v>271</v>
      </c>
      <c r="Z43" t="s">
        <v>272</v>
      </c>
      <c r="AA43" t="s">
        <v>273</v>
      </c>
      <c r="AB43" t="s">
        <v>274</v>
      </c>
      <c r="AC43" t="s">
        <v>275</v>
      </c>
      <c r="AD43" s="30" t="s">
        <v>276</v>
      </c>
      <c r="AE43" s="31" t="s">
        <v>277</v>
      </c>
      <c r="AF43" s="30" t="s">
        <v>278</v>
      </c>
      <c r="AG43" s="30" t="s">
        <v>279</v>
      </c>
      <c r="AH43" t="s">
        <v>280</v>
      </c>
      <c r="AI43" t="s">
        <v>281</v>
      </c>
      <c r="AJ43" t="s">
        <v>282</v>
      </c>
      <c r="AK43" t="s">
        <v>283</v>
      </c>
      <c r="AL43" s="29" t="s">
        <v>284</v>
      </c>
      <c r="AM43" t="s">
        <v>285</v>
      </c>
      <c r="AN43" t="s">
        <v>286</v>
      </c>
      <c r="AO43" s="29" t="s">
        <v>287</v>
      </c>
      <c r="AP43" s="32" t="s">
        <v>288</v>
      </c>
      <c r="AQ43" t="s">
        <v>289</v>
      </c>
      <c r="AR43" t="s">
        <v>290</v>
      </c>
      <c r="AS43" t="s">
        <v>291</v>
      </c>
      <c r="AT43" t="s">
        <v>292</v>
      </c>
      <c r="AU43" s="29" t="s">
        <v>293</v>
      </c>
      <c r="AV43" t="s">
        <v>294</v>
      </c>
      <c r="AW43" t="s">
        <v>295</v>
      </c>
      <c r="AX43" s="30" t="s">
        <v>296</v>
      </c>
      <c r="AY43" s="29" t="s">
        <v>297</v>
      </c>
      <c r="AZ43" t="s">
        <v>298</v>
      </c>
      <c r="BA43" t="s">
        <v>299</v>
      </c>
      <c r="BB43" t="s">
        <v>300</v>
      </c>
      <c r="BC43" t="s">
        <v>301</v>
      </c>
      <c r="BD43" s="30" t="s">
        <v>302</v>
      </c>
      <c r="BE43" t="s">
        <v>171</v>
      </c>
      <c r="BF43" t="s">
        <v>303</v>
      </c>
      <c r="BG43" t="s">
        <v>304</v>
      </c>
      <c r="BH43" s="30" t="s">
        <v>305</v>
      </c>
      <c r="BI43" t="s">
        <v>306</v>
      </c>
      <c r="BJ43" t="s">
        <v>307</v>
      </c>
      <c r="BK43" t="s">
        <v>308</v>
      </c>
      <c r="BL43" t="s">
        <v>309</v>
      </c>
      <c r="BM43" t="s">
        <v>310</v>
      </c>
      <c r="BN43" s="29" t="s">
        <v>311</v>
      </c>
      <c r="BO43" t="s">
        <v>312</v>
      </c>
      <c r="BP43" t="s">
        <v>313</v>
      </c>
      <c r="BQ43" t="s">
        <v>314</v>
      </c>
      <c r="BR43" s="32" t="s">
        <v>315</v>
      </c>
      <c r="BS43" t="s">
        <v>316</v>
      </c>
      <c r="BT43" t="s">
        <v>317</v>
      </c>
      <c r="BU43" t="s">
        <v>318</v>
      </c>
      <c r="BV43" t="s">
        <v>319</v>
      </c>
      <c r="BW43" t="s">
        <v>320</v>
      </c>
      <c r="BX43" t="s">
        <v>321</v>
      </c>
      <c r="BY43" t="s">
        <v>322</v>
      </c>
      <c r="BZ43" t="s">
        <v>323</v>
      </c>
      <c r="CA43" t="s">
        <v>324</v>
      </c>
      <c r="CB43" s="32" t="s">
        <v>325</v>
      </c>
      <c r="CC43" t="s">
        <v>326</v>
      </c>
      <c r="CD43" t="s">
        <v>327</v>
      </c>
      <c r="CE43" t="s">
        <v>328</v>
      </c>
      <c r="CF43" t="s">
        <v>389</v>
      </c>
      <c r="CG43" t="s">
        <v>390</v>
      </c>
      <c r="CH43" t="s">
        <v>391</v>
      </c>
      <c r="CI43" t="s">
        <v>392</v>
      </c>
      <c r="CJ43" t="s">
        <v>393</v>
      </c>
      <c r="CK43" t="s">
        <v>394</v>
      </c>
      <c r="CL43" t="s">
        <v>395</v>
      </c>
      <c r="CM43" t="s">
        <v>396</v>
      </c>
      <c r="CN43" t="s">
        <v>397</v>
      </c>
      <c r="CO43" t="s">
        <v>398</v>
      </c>
      <c r="CP43" t="s">
        <v>399</v>
      </c>
      <c r="CQ43" t="s">
        <v>400</v>
      </c>
      <c r="CR43" t="s">
        <v>401</v>
      </c>
      <c r="CS43" t="s">
        <v>402</v>
      </c>
    </row>
    <row r="44" spans="1:97" x14ac:dyDescent="0.25">
      <c r="A44" t="s">
        <v>55</v>
      </c>
      <c r="B44" s="38" t="s">
        <v>333</v>
      </c>
      <c r="C44">
        <v>1211.56</v>
      </c>
      <c r="D44">
        <v>3.69</v>
      </c>
      <c r="E44" t="s">
        <v>4</v>
      </c>
      <c r="F44" t="s">
        <v>4</v>
      </c>
      <c r="G44">
        <v>0.79</v>
      </c>
      <c r="H44">
        <v>3.57</v>
      </c>
      <c r="I44" t="s">
        <v>4</v>
      </c>
      <c r="J44" t="s">
        <v>4</v>
      </c>
      <c r="K44">
        <v>7.68</v>
      </c>
      <c r="L44">
        <v>284.19</v>
      </c>
      <c r="M44">
        <v>44.79</v>
      </c>
      <c r="N44" t="s">
        <v>4</v>
      </c>
      <c r="O44" s="2">
        <v>18979.27</v>
      </c>
      <c r="P44">
        <v>322.55</v>
      </c>
      <c r="Q44">
        <v>31.2</v>
      </c>
      <c r="R44">
        <v>19.86</v>
      </c>
      <c r="S44">
        <v>46.34</v>
      </c>
      <c r="T44">
        <v>991.19</v>
      </c>
      <c r="U44">
        <v>11.12</v>
      </c>
      <c r="V44">
        <v>1.1599999999999999</v>
      </c>
      <c r="W44" t="s">
        <v>4</v>
      </c>
      <c r="X44">
        <v>52.52</v>
      </c>
      <c r="Y44" t="s">
        <v>4</v>
      </c>
      <c r="Z44" t="s">
        <v>4</v>
      </c>
      <c r="AA44" t="s">
        <v>4</v>
      </c>
      <c r="AB44">
        <v>239.97</v>
      </c>
      <c r="AC44" t="s">
        <v>4</v>
      </c>
      <c r="AD44" s="24">
        <v>6.0900000000000007</v>
      </c>
      <c r="AE44" s="24">
        <v>5.71</v>
      </c>
      <c r="AF44">
        <v>7.45</v>
      </c>
      <c r="AG44">
        <v>426.45</v>
      </c>
      <c r="AH44" t="s">
        <v>4</v>
      </c>
      <c r="AI44">
        <v>28.98</v>
      </c>
      <c r="AJ44">
        <v>15.27</v>
      </c>
      <c r="AK44" t="s">
        <v>4</v>
      </c>
      <c r="AL44">
        <v>1.62</v>
      </c>
      <c r="AM44">
        <v>12.09</v>
      </c>
      <c r="AN44">
        <v>0.47</v>
      </c>
      <c r="AO44" t="s">
        <v>4</v>
      </c>
      <c r="AP44">
        <v>180.68</v>
      </c>
      <c r="AQ44">
        <v>1.23</v>
      </c>
      <c r="AR44">
        <v>156.07</v>
      </c>
      <c r="AS44" t="s">
        <v>4</v>
      </c>
      <c r="AT44" t="s">
        <v>4</v>
      </c>
      <c r="AU44" s="24">
        <v>21.32</v>
      </c>
      <c r="AV44" t="s">
        <v>4</v>
      </c>
      <c r="AW44" t="s">
        <v>4</v>
      </c>
      <c r="AX44">
        <v>123.99</v>
      </c>
      <c r="AY44" s="24">
        <v>456.65</v>
      </c>
      <c r="AZ44">
        <v>19.53</v>
      </c>
      <c r="BA44">
        <v>7.21</v>
      </c>
      <c r="BB44" t="s">
        <v>4</v>
      </c>
      <c r="BC44" t="s">
        <v>4</v>
      </c>
      <c r="BD44">
        <v>12.72</v>
      </c>
      <c r="BE44" t="s">
        <v>4</v>
      </c>
      <c r="BF44" t="s">
        <v>4</v>
      </c>
      <c r="BG44">
        <v>66.34</v>
      </c>
      <c r="BH44" t="s">
        <v>4</v>
      </c>
      <c r="BI44" t="s">
        <v>4</v>
      </c>
      <c r="BJ44" t="s">
        <v>4</v>
      </c>
      <c r="BK44" t="s">
        <v>4</v>
      </c>
      <c r="BL44">
        <v>43.91</v>
      </c>
      <c r="BM44" t="s">
        <v>4</v>
      </c>
      <c r="BN44" s="24">
        <v>31.87</v>
      </c>
      <c r="BO44" t="s">
        <v>4</v>
      </c>
      <c r="BP44">
        <v>4.68</v>
      </c>
      <c r="BQ44">
        <v>12.81</v>
      </c>
      <c r="BR44" t="s">
        <v>4</v>
      </c>
      <c r="BS44" t="s">
        <v>4</v>
      </c>
      <c r="BT44" t="s">
        <v>4</v>
      </c>
      <c r="BU44">
        <v>16</v>
      </c>
      <c r="BV44" t="s">
        <v>4</v>
      </c>
      <c r="BW44">
        <v>70.77</v>
      </c>
      <c r="BX44">
        <v>69.06</v>
      </c>
      <c r="BY44" t="s">
        <v>4</v>
      </c>
      <c r="BZ44">
        <v>12.07</v>
      </c>
      <c r="CA44" t="s">
        <v>4</v>
      </c>
      <c r="CB44">
        <v>21.47</v>
      </c>
      <c r="CC44">
        <v>0.84</v>
      </c>
      <c r="CD44" t="s">
        <v>4</v>
      </c>
      <c r="CE44">
        <v>23.21</v>
      </c>
      <c r="CF44" t="s">
        <v>4</v>
      </c>
      <c r="CG44" t="s">
        <v>4</v>
      </c>
      <c r="CH44">
        <v>3.25</v>
      </c>
      <c r="CI44" t="s">
        <v>4</v>
      </c>
      <c r="CJ44">
        <v>10.51</v>
      </c>
      <c r="CK44">
        <v>2419.17</v>
      </c>
      <c r="CL44">
        <v>398.07</v>
      </c>
      <c r="CM44" t="s">
        <v>4</v>
      </c>
      <c r="CN44">
        <v>11.13</v>
      </c>
      <c r="CO44" t="s">
        <v>4</v>
      </c>
      <c r="CP44" t="s">
        <v>4</v>
      </c>
      <c r="CQ44" t="s">
        <v>4</v>
      </c>
      <c r="CR44">
        <v>10.61</v>
      </c>
      <c r="CS44" t="s">
        <v>4</v>
      </c>
    </row>
    <row r="45" spans="1:97" ht="14.4" x14ac:dyDescent="0.3">
      <c r="A45" t="s">
        <v>58</v>
      </c>
      <c r="B45" s="11" t="s">
        <v>233</v>
      </c>
      <c r="C45">
        <v>7.02</v>
      </c>
      <c r="D45" t="s">
        <v>4</v>
      </c>
      <c r="E45" t="s">
        <v>4</v>
      </c>
      <c r="F45" t="s">
        <v>4</v>
      </c>
      <c r="G45" t="s">
        <v>4</v>
      </c>
      <c r="H45">
        <v>30.95</v>
      </c>
      <c r="I45">
        <v>127.1</v>
      </c>
      <c r="J45">
        <v>86.47</v>
      </c>
      <c r="K45">
        <v>0.63</v>
      </c>
      <c r="L45" t="s">
        <v>4</v>
      </c>
      <c r="M45">
        <v>64.05</v>
      </c>
      <c r="N45" t="s">
        <v>4</v>
      </c>
      <c r="O45" s="24">
        <v>39.300000000000004</v>
      </c>
      <c r="P45">
        <v>1278.8900000000001</v>
      </c>
      <c r="Q45">
        <v>305.54000000000002</v>
      </c>
      <c r="R45" t="s">
        <v>4</v>
      </c>
      <c r="S45" t="s">
        <v>4</v>
      </c>
      <c r="T45">
        <v>58.04</v>
      </c>
      <c r="U45" t="s">
        <v>4</v>
      </c>
      <c r="V45" t="s">
        <v>4</v>
      </c>
      <c r="W45" t="s">
        <v>4</v>
      </c>
      <c r="X45">
        <v>468.36</v>
      </c>
      <c r="Y45" t="s">
        <v>4</v>
      </c>
      <c r="Z45" t="s">
        <v>4</v>
      </c>
      <c r="AA45" t="s">
        <v>4</v>
      </c>
      <c r="AB45" t="s">
        <v>4</v>
      </c>
      <c r="AC45" t="s">
        <v>4</v>
      </c>
      <c r="AD45" s="24">
        <v>5.9300000000000006</v>
      </c>
      <c r="AE45" s="24">
        <v>2.71</v>
      </c>
      <c r="AF45" t="s">
        <v>4</v>
      </c>
      <c r="AG45">
        <v>30.72</v>
      </c>
      <c r="AH45" t="s">
        <v>4</v>
      </c>
      <c r="AI45" t="s">
        <v>4</v>
      </c>
      <c r="AJ45" t="s">
        <v>4</v>
      </c>
      <c r="AK45">
        <v>19.79</v>
      </c>
      <c r="AL45" t="s">
        <v>4</v>
      </c>
      <c r="AM45" t="s">
        <v>4</v>
      </c>
      <c r="AN45">
        <v>1.2</v>
      </c>
      <c r="AO45" t="s">
        <v>4</v>
      </c>
      <c r="AP45">
        <v>1016.73</v>
      </c>
      <c r="AQ45" t="s">
        <v>4</v>
      </c>
      <c r="AR45">
        <v>130.97</v>
      </c>
      <c r="AS45" t="s">
        <v>4</v>
      </c>
      <c r="AT45" t="s">
        <v>4</v>
      </c>
      <c r="AU45" s="24">
        <v>7.82</v>
      </c>
      <c r="AV45" t="s">
        <v>4</v>
      </c>
      <c r="AW45" t="s">
        <v>4</v>
      </c>
      <c r="AX45">
        <v>747.32</v>
      </c>
      <c r="AY45" s="24">
        <v>15.9</v>
      </c>
      <c r="AZ45" t="s">
        <v>4</v>
      </c>
      <c r="BA45" t="s">
        <v>4</v>
      </c>
      <c r="BB45" t="s">
        <v>4</v>
      </c>
      <c r="BC45" t="s">
        <v>4</v>
      </c>
      <c r="BD45">
        <v>13.8</v>
      </c>
      <c r="BE45" t="s">
        <v>4</v>
      </c>
      <c r="BF45" t="s">
        <v>4</v>
      </c>
      <c r="BG45" t="s">
        <v>4</v>
      </c>
      <c r="BH45">
        <v>0.94</v>
      </c>
      <c r="BI45" t="s">
        <v>4</v>
      </c>
      <c r="BJ45" t="s">
        <v>4</v>
      </c>
      <c r="BK45">
        <v>0.4</v>
      </c>
      <c r="BL45" t="s">
        <v>4</v>
      </c>
      <c r="BM45" t="s">
        <v>4</v>
      </c>
      <c r="BN45" s="24">
        <v>2.65</v>
      </c>
      <c r="BO45" t="s">
        <v>4</v>
      </c>
      <c r="BP45" t="s">
        <v>4</v>
      </c>
      <c r="BQ45">
        <v>33.24</v>
      </c>
      <c r="BR45" t="s">
        <v>4</v>
      </c>
      <c r="BS45" t="s">
        <v>4</v>
      </c>
      <c r="BT45" t="s">
        <v>4</v>
      </c>
      <c r="BU45" t="s">
        <v>4</v>
      </c>
      <c r="BV45" t="s">
        <v>4</v>
      </c>
      <c r="BW45">
        <v>1.85</v>
      </c>
      <c r="BX45" t="s">
        <v>4</v>
      </c>
      <c r="BY45" t="s">
        <v>4</v>
      </c>
      <c r="BZ45">
        <v>4.5</v>
      </c>
      <c r="CA45">
        <v>1.1299999999999999</v>
      </c>
      <c r="CB45">
        <v>1.81</v>
      </c>
      <c r="CC45" t="s">
        <v>4</v>
      </c>
      <c r="CD45" t="s">
        <v>4</v>
      </c>
      <c r="CE45" t="s">
        <v>4</v>
      </c>
      <c r="CF45" t="s">
        <v>4</v>
      </c>
      <c r="CG45" t="s">
        <v>4</v>
      </c>
      <c r="CH45" t="s">
        <v>4</v>
      </c>
      <c r="CI45" t="s">
        <v>4</v>
      </c>
      <c r="CJ45" t="s">
        <v>4</v>
      </c>
      <c r="CK45" t="s">
        <v>4</v>
      </c>
      <c r="CL45" t="s">
        <v>4</v>
      </c>
      <c r="CM45" t="s">
        <v>4</v>
      </c>
      <c r="CN45">
        <v>4.59</v>
      </c>
      <c r="CO45" t="s">
        <v>4</v>
      </c>
      <c r="CP45" t="s">
        <v>4</v>
      </c>
      <c r="CQ45" t="s">
        <v>4</v>
      </c>
      <c r="CR45" t="s">
        <v>4</v>
      </c>
      <c r="CS45" t="s">
        <v>4</v>
      </c>
    </row>
    <row r="46" spans="1:97" ht="14.4" x14ac:dyDescent="0.3">
      <c r="A46" t="s">
        <v>80</v>
      </c>
      <c r="B46" s="25" t="s">
        <v>204</v>
      </c>
      <c r="C46" t="s">
        <v>4</v>
      </c>
      <c r="D46" t="s">
        <v>4</v>
      </c>
      <c r="E46" t="s">
        <v>4</v>
      </c>
      <c r="F46" t="s">
        <v>4</v>
      </c>
      <c r="G46" t="s">
        <v>4</v>
      </c>
      <c r="H46" t="s">
        <v>4</v>
      </c>
      <c r="I46" t="s">
        <v>4</v>
      </c>
      <c r="J46" t="s">
        <v>4</v>
      </c>
      <c r="K46">
        <v>1.04</v>
      </c>
      <c r="L46" t="s">
        <v>4</v>
      </c>
      <c r="M46" t="s">
        <v>4</v>
      </c>
      <c r="N46" t="s">
        <v>4</v>
      </c>
      <c r="O46" s="24">
        <v>121.67000000000002</v>
      </c>
      <c r="P46">
        <v>5.91</v>
      </c>
      <c r="Q46">
        <v>0.51</v>
      </c>
      <c r="R46" t="s">
        <v>4</v>
      </c>
      <c r="S46" t="s">
        <v>4</v>
      </c>
      <c r="T46" t="s">
        <v>4</v>
      </c>
      <c r="U46">
        <v>0.69</v>
      </c>
      <c r="V46" t="s">
        <v>4</v>
      </c>
      <c r="W46" t="s">
        <v>4</v>
      </c>
      <c r="X46" t="s">
        <v>4</v>
      </c>
      <c r="Y46" t="s">
        <v>4</v>
      </c>
      <c r="Z46" t="s">
        <v>4</v>
      </c>
      <c r="AA46">
        <v>0.37</v>
      </c>
      <c r="AB46" t="s">
        <v>4</v>
      </c>
      <c r="AC46" t="s">
        <v>4</v>
      </c>
      <c r="AD46" s="24">
        <v>1.6900000000000004</v>
      </c>
      <c r="AE46" s="24">
        <v>0.17000000000000004</v>
      </c>
      <c r="AF46" t="s">
        <v>4</v>
      </c>
      <c r="AG46">
        <v>17.87</v>
      </c>
      <c r="AH46" t="s">
        <v>4</v>
      </c>
      <c r="AI46" t="s">
        <v>4</v>
      </c>
      <c r="AJ46" t="s">
        <v>4</v>
      </c>
      <c r="AK46" t="s">
        <v>4</v>
      </c>
      <c r="AL46">
        <v>1.76</v>
      </c>
      <c r="AM46" t="s">
        <v>4</v>
      </c>
      <c r="AN46" t="s">
        <v>4</v>
      </c>
      <c r="AO46" t="s">
        <v>4</v>
      </c>
      <c r="AP46">
        <v>4.78</v>
      </c>
      <c r="AQ46" t="s">
        <v>4</v>
      </c>
      <c r="AR46" t="s">
        <v>4</v>
      </c>
      <c r="AS46" t="s">
        <v>4</v>
      </c>
      <c r="AT46" t="s">
        <v>4</v>
      </c>
      <c r="AU46" s="24">
        <v>1.44</v>
      </c>
      <c r="AV46" t="s">
        <v>4</v>
      </c>
      <c r="AW46" t="s">
        <v>4</v>
      </c>
      <c r="AX46">
        <v>2.12</v>
      </c>
      <c r="AY46" s="24">
        <v>6.66</v>
      </c>
      <c r="AZ46" t="s">
        <v>4</v>
      </c>
      <c r="BA46" t="s">
        <v>4</v>
      </c>
      <c r="BB46" t="s">
        <v>4</v>
      </c>
      <c r="BC46" t="s">
        <v>4</v>
      </c>
      <c r="BD46" t="s">
        <v>4</v>
      </c>
      <c r="BE46" t="s">
        <v>4</v>
      </c>
      <c r="BF46" t="s">
        <v>4</v>
      </c>
      <c r="BG46" t="s">
        <v>4</v>
      </c>
      <c r="BH46">
        <v>0.98</v>
      </c>
      <c r="BI46" t="s">
        <v>4</v>
      </c>
      <c r="BJ46" t="s">
        <v>4</v>
      </c>
      <c r="BK46" t="s">
        <v>4</v>
      </c>
      <c r="BL46" t="s">
        <v>4</v>
      </c>
      <c r="BM46" t="s">
        <v>4</v>
      </c>
      <c r="BN46" s="24">
        <v>12.77</v>
      </c>
      <c r="BO46" t="s">
        <v>4</v>
      </c>
      <c r="BP46" t="s">
        <v>4</v>
      </c>
      <c r="BQ46">
        <v>8.18</v>
      </c>
      <c r="BR46">
        <v>4.03</v>
      </c>
      <c r="BS46" t="s">
        <v>4</v>
      </c>
      <c r="BT46" t="s">
        <v>4</v>
      </c>
      <c r="BU46" t="s">
        <v>4</v>
      </c>
      <c r="BV46">
        <v>2.16</v>
      </c>
      <c r="BW46" t="s">
        <v>4</v>
      </c>
      <c r="BX46" t="s">
        <v>4</v>
      </c>
      <c r="BY46" t="s">
        <v>4</v>
      </c>
      <c r="BZ46">
        <v>4.67</v>
      </c>
      <c r="CA46" t="s">
        <v>4</v>
      </c>
      <c r="CB46">
        <v>4.1500000000000004</v>
      </c>
      <c r="CC46" t="s">
        <v>4</v>
      </c>
      <c r="CD46" t="s">
        <v>4</v>
      </c>
      <c r="CE46" t="s">
        <v>4</v>
      </c>
      <c r="CF46" t="s">
        <v>4</v>
      </c>
      <c r="CG46" t="s">
        <v>4</v>
      </c>
      <c r="CH46" t="s">
        <v>4</v>
      </c>
      <c r="CI46" t="s">
        <v>4</v>
      </c>
      <c r="CJ46" t="s">
        <v>4</v>
      </c>
      <c r="CK46" t="s">
        <v>4</v>
      </c>
      <c r="CL46" t="s">
        <v>4</v>
      </c>
      <c r="CM46">
        <v>2.0099999999999998</v>
      </c>
      <c r="CN46">
        <v>1.4500000000000002</v>
      </c>
      <c r="CO46" t="s">
        <v>4</v>
      </c>
      <c r="CP46" t="s">
        <v>4</v>
      </c>
      <c r="CQ46" t="s">
        <v>4</v>
      </c>
      <c r="CR46" t="s">
        <v>4</v>
      </c>
      <c r="CS46" t="s">
        <v>4</v>
      </c>
    </row>
    <row r="47" spans="1:97" ht="14.4" x14ac:dyDescent="0.3">
      <c r="A47" t="s">
        <v>81</v>
      </c>
      <c r="B47" s="11" t="s">
        <v>205</v>
      </c>
      <c r="C47" t="s">
        <v>4</v>
      </c>
      <c r="D47" t="s">
        <v>4</v>
      </c>
      <c r="E47" t="s">
        <v>4</v>
      </c>
      <c r="F47" t="s">
        <v>4</v>
      </c>
      <c r="G47">
        <v>0.61</v>
      </c>
      <c r="H47">
        <v>1.88</v>
      </c>
      <c r="I47" t="s">
        <v>4</v>
      </c>
      <c r="J47" t="s">
        <v>4</v>
      </c>
      <c r="K47">
        <v>1.32</v>
      </c>
      <c r="L47" t="s">
        <v>4</v>
      </c>
      <c r="M47">
        <v>15.41</v>
      </c>
      <c r="N47" t="s">
        <v>4</v>
      </c>
      <c r="O47" s="24">
        <v>89.09</v>
      </c>
      <c r="P47">
        <v>52.24</v>
      </c>
      <c r="Q47" t="s">
        <v>4</v>
      </c>
      <c r="R47" t="s">
        <v>4</v>
      </c>
      <c r="S47" t="s">
        <v>4</v>
      </c>
      <c r="T47" t="s">
        <v>4</v>
      </c>
      <c r="U47">
        <v>0.28000000000000003</v>
      </c>
      <c r="V47" t="s">
        <v>4</v>
      </c>
      <c r="W47" t="s">
        <v>4</v>
      </c>
      <c r="X47" t="s">
        <v>4</v>
      </c>
      <c r="Y47" t="s">
        <v>4</v>
      </c>
      <c r="Z47" t="s">
        <v>4</v>
      </c>
      <c r="AA47">
        <v>0.26</v>
      </c>
      <c r="AB47" t="s">
        <v>4</v>
      </c>
      <c r="AC47" t="s">
        <v>4</v>
      </c>
      <c r="AD47" s="24">
        <v>2.4799999999999995</v>
      </c>
      <c r="AE47" s="24" t="s">
        <v>4</v>
      </c>
      <c r="AF47" t="s">
        <v>4</v>
      </c>
      <c r="AG47">
        <v>26.54</v>
      </c>
      <c r="AH47" t="s">
        <v>4</v>
      </c>
      <c r="AI47" t="s">
        <v>4</v>
      </c>
      <c r="AJ47" t="s">
        <v>4</v>
      </c>
      <c r="AK47" t="s">
        <v>4</v>
      </c>
      <c r="AL47" t="s">
        <v>4</v>
      </c>
      <c r="AM47">
        <v>0.45</v>
      </c>
      <c r="AN47" t="s">
        <v>4</v>
      </c>
      <c r="AO47" t="s">
        <v>4</v>
      </c>
      <c r="AP47">
        <v>6.19</v>
      </c>
      <c r="AQ47" t="s">
        <v>4</v>
      </c>
      <c r="AR47">
        <v>5.48</v>
      </c>
      <c r="AS47" t="s">
        <v>4</v>
      </c>
      <c r="AT47" t="s">
        <v>4</v>
      </c>
      <c r="AU47" s="24">
        <v>1.4</v>
      </c>
      <c r="AV47" t="s">
        <v>4</v>
      </c>
      <c r="AW47" t="s">
        <v>4</v>
      </c>
      <c r="AX47">
        <v>2.38</v>
      </c>
      <c r="AY47" s="24">
        <v>92.72</v>
      </c>
      <c r="AZ47" t="s">
        <v>4</v>
      </c>
      <c r="BA47" t="s">
        <v>4</v>
      </c>
      <c r="BB47" t="s">
        <v>4</v>
      </c>
      <c r="BC47" t="s">
        <v>4</v>
      </c>
      <c r="BD47" t="s">
        <v>4</v>
      </c>
      <c r="BE47" t="s">
        <v>4</v>
      </c>
      <c r="BF47" t="s">
        <v>4</v>
      </c>
      <c r="BG47" t="s">
        <v>4</v>
      </c>
      <c r="BH47">
        <v>0.35</v>
      </c>
      <c r="BI47" t="s">
        <v>4</v>
      </c>
      <c r="BJ47" t="s">
        <v>4</v>
      </c>
      <c r="BK47" t="s">
        <v>4</v>
      </c>
      <c r="BL47" t="s">
        <v>4</v>
      </c>
      <c r="BM47" t="s">
        <v>4</v>
      </c>
      <c r="BN47" s="24">
        <v>4.8100000000000005</v>
      </c>
      <c r="BO47" t="s">
        <v>4</v>
      </c>
      <c r="BP47">
        <v>1.85</v>
      </c>
      <c r="BQ47">
        <v>4</v>
      </c>
      <c r="BR47">
        <v>15.24</v>
      </c>
      <c r="BS47" t="s">
        <v>4</v>
      </c>
      <c r="BT47" t="s">
        <v>4</v>
      </c>
      <c r="BU47" t="s">
        <v>4</v>
      </c>
      <c r="BV47" t="s">
        <v>4</v>
      </c>
      <c r="BW47" t="s">
        <v>4</v>
      </c>
      <c r="BX47" t="s">
        <v>4</v>
      </c>
      <c r="BY47" t="s">
        <v>4</v>
      </c>
      <c r="BZ47">
        <v>9.2799999999999994</v>
      </c>
      <c r="CA47" t="s">
        <v>4</v>
      </c>
      <c r="CB47">
        <v>79.150000000000006</v>
      </c>
      <c r="CC47" t="s">
        <v>4</v>
      </c>
      <c r="CD47" t="s">
        <v>4</v>
      </c>
      <c r="CE47" t="s">
        <v>4</v>
      </c>
      <c r="CF47" t="s">
        <v>4</v>
      </c>
      <c r="CG47" t="s">
        <v>4</v>
      </c>
      <c r="CH47" t="s">
        <v>4</v>
      </c>
      <c r="CI47" t="s">
        <v>4</v>
      </c>
      <c r="CJ47" t="s">
        <v>4</v>
      </c>
      <c r="CK47" t="s">
        <v>4</v>
      </c>
      <c r="CL47" t="s">
        <v>4</v>
      </c>
      <c r="CM47">
        <v>1.8399999999999999</v>
      </c>
      <c r="CN47">
        <v>0.89000000000000057</v>
      </c>
      <c r="CO47" t="s">
        <v>4</v>
      </c>
      <c r="CP47" t="s">
        <v>4</v>
      </c>
      <c r="CQ47" t="s">
        <v>4</v>
      </c>
      <c r="CR47" t="s">
        <v>4</v>
      </c>
      <c r="CS47" t="s">
        <v>4</v>
      </c>
    </row>
    <row r="48" spans="1:97" ht="14.4" x14ac:dyDescent="0.3">
      <c r="A48" t="s">
        <v>79</v>
      </c>
      <c r="B48" s="11" t="s">
        <v>206</v>
      </c>
      <c r="C48" t="s">
        <v>4</v>
      </c>
      <c r="D48" t="s">
        <v>4</v>
      </c>
      <c r="E48" t="s">
        <v>4</v>
      </c>
      <c r="F48" t="s">
        <v>4</v>
      </c>
      <c r="G48" t="s">
        <v>4</v>
      </c>
      <c r="H48" t="s">
        <v>4</v>
      </c>
      <c r="I48" t="s">
        <v>4</v>
      </c>
      <c r="J48" t="s">
        <v>4</v>
      </c>
      <c r="K48" t="s">
        <v>4</v>
      </c>
      <c r="L48" t="s">
        <v>4</v>
      </c>
      <c r="M48" t="s">
        <v>4</v>
      </c>
      <c r="N48" t="s">
        <v>4</v>
      </c>
      <c r="O48" s="24">
        <v>70.990000000000009</v>
      </c>
      <c r="P48">
        <v>3.31</v>
      </c>
      <c r="Q48" t="s">
        <v>4</v>
      </c>
      <c r="R48" t="s">
        <v>4</v>
      </c>
      <c r="S48" t="s">
        <v>4</v>
      </c>
      <c r="T48" t="s">
        <v>4</v>
      </c>
      <c r="U48">
        <v>0.34</v>
      </c>
      <c r="V48" t="s">
        <v>4</v>
      </c>
      <c r="W48" t="s">
        <v>4</v>
      </c>
      <c r="X48" t="s">
        <v>4</v>
      </c>
      <c r="Y48" t="s">
        <v>4</v>
      </c>
      <c r="Z48" t="s">
        <v>4</v>
      </c>
      <c r="AA48" t="s">
        <v>4</v>
      </c>
      <c r="AB48" t="s">
        <v>4</v>
      </c>
      <c r="AC48" t="s">
        <v>4</v>
      </c>
      <c r="AD48" s="24" t="s">
        <v>4</v>
      </c>
      <c r="AE48" s="24" t="s">
        <v>4</v>
      </c>
      <c r="AF48" t="s">
        <v>4</v>
      </c>
      <c r="AG48">
        <v>123.87</v>
      </c>
      <c r="AH48" t="s">
        <v>4</v>
      </c>
      <c r="AI48" t="s">
        <v>4</v>
      </c>
      <c r="AJ48" t="s">
        <v>4</v>
      </c>
      <c r="AK48" t="s">
        <v>4</v>
      </c>
      <c r="AL48" t="s">
        <v>4</v>
      </c>
      <c r="AM48" t="s">
        <v>4</v>
      </c>
      <c r="AN48" t="s">
        <v>4</v>
      </c>
      <c r="AO48" t="s">
        <v>4</v>
      </c>
      <c r="AP48">
        <v>4.41</v>
      </c>
      <c r="AQ48" t="s">
        <v>4</v>
      </c>
      <c r="AR48" t="s">
        <v>4</v>
      </c>
      <c r="AS48" t="s">
        <v>4</v>
      </c>
      <c r="AT48" t="s">
        <v>4</v>
      </c>
      <c r="AU48" s="24">
        <v>0.17000000000000004</v>
      </c>
      <c r="AV48" t="s">
        <v>4</v>
      </c>
      <c r="AW48" t="s">
        <v>4</v>
      </c>
      <c r="AX48">
        <v>1.93</v>
      </c>
      <c r="AY48" s="24">
        <v>0.58000000000000007</v>
      </c>
      <c r="AZ48" t="s">
        <v>4</v>
      </c>
      <c r="BA48" t="s">
        <v>4</v>
      </c>
      <c r="BB48" t="s">
        <v>4</v>
      </c>
      <c r="BC48" t="s">
        <v>4</v>
      </c>
      <c r="BD48" t="s">
        <v>4</v>
      </c>
      <c r="BE48" t="s">
        <v>4</v>
      </c>
      <c r="BF48" t="s">
        <v>4</v>
      </c>
      <c r="BG48" t="s">
        <v>4</v>
      </c>
      <c r="BH48">
        <v>0.25</v>
      </c>
      <c r="BI48" t="s">
        <v>4</v>
      </c>
      <c r="BJ48" t="s">
        <v>4</v>
      </c>
      <c r="BK48" t="s">
        <v>4</v>
      </c>
      <c r="BL48" t="s">
        <v>4</v>
      </c>
      <c r="BM48" t="s">
        <v>4</v>
      </c>
      <c r="BN48" s="24">
        <v>2.34</v>
      </c>
      <c r="BO48" t="s">
        <v>4</v>
      </c>
      <c r="BP48" t="s">
        <v>4</v>
      </c>
      <c r="BQ48">
        <v>5.49</v>
      </c>
      <c r="BR48" t="s">
        <v>4</v>
      </c>
      <c r="BS48" t="s">
        <v>4</v>
      </c>
      <c r="BT48" t="s">
        <v>4</v>
      </c>
      <c r="BU48" t="s">
        <v>4</v>
      </c>
      <c r="BV48">
        <v>2.34</v>
      </c>
      <c r="BW48" t="s">
        <v>4</v>
      </c>
      <c r="BX48" t="s">
        <v>4</v>
      </c>
      <c r="BY48" t="s">
        <v>4</v>
      </c>
      <c r="BZ48" t="s">
        <v>4</v>
      </c>
      <c r="CA48" t="s">
        <v>4</v>
      </c>
      <c r="CB48" t="s">
        <v>4</v>
      </c>
      <c r="CC48" t="s">
        <v>4</v>
      </c>
      <c r="CD48" t="s">
        <v>4</v>
      </c>
      <c r="CE48" t="s">
        <v>4</v>
      </c>
      <c r="CF48" t="s">
        <v>4</v>
      </c>
      <c r="CG48" t="s">
        <v>4</v>
      </c>
      <c r="CH48" t="s">
        <v>4</v>
      </c>
      <c r="CI48" t="s">
        <v>4</v>
      </c>
      <c r="CJ48" t="s">
        <v>4</v>
      </c>
      <c r="CK48" t="s">
        <v>4</v>
      </c>
      <c r="CL48">
        <v>4.97</v>
      </c>
      <c r="CM48">
        <v>2.09</v>
      </c>
      <c r="CN48">
        <v>3.9800000000000004</v>
      </c>
      <c r="CO48" t="s">
        <v>4</v>
      </c>
      <c r="CP48" t="s">
        <v>4</v>
      </c>
      <c r="CQ48" t="s">
        <v>4</v>
      </c>
      <c r="CR48" t="s">
        <v>4</v>
      </c>
      <c r="CS48" t="s">
        <v>4</v>
      </c>
    </row>
    <row r="49" spans="1:97" ht="14.4" x14ac:dyDescent="0.3">
      <c r="A49" t="s">
        <v>78</v>
      </c>
      <c r="B49" s="11" t="s">
        <v>207</v>
      </c>
      <c r="C49" t="s">
        <v>4</v>
      </c>
      <c r="D49" t="s">
        <v>4</v>
      </c>
      <c r="E49" t="s">
        <v>4</v>
      </c>
      <c r="F49" t="s">
        <v>4</v>
      </c>
      <c r="G49">
        <v>0.56999999999999995</v>
      </c>
      <c r="H49" t="s">
        <v>4</v>
      </c>
      <c r="I49" t="s">
        <v>4</v>
      </c>
      <c r="J49" t="s">
        <v>4</v>
      </c>
      <c r="K49" t="s">
        <v>4</v>
      </c>
      <c r="L49" t="s">
        <v>4</v>
      </c>
      <c r="M49" t="s">
        <v>4</v>
      </c>
      <c r="N49" t="s">
        <v>4</v>
      </c>
      <c r="O49" s="24">
        <v>36.449999999999996</v>
      </c>
      <c r="P49">
        <v>119.56</v>
      </c>
      <c r="Q49">
        <v>4.25</v>
      </c>
      <c r="R49" t="s">
        <v>4</v>
      </c>
      <c r="S49" t="s">
        <v>4</v>
      </c>
      <c r="T49">
        <v>7.55</v>
      </c>
      <c r="U49" t="s">
        <v>4</v>
      </c>
      <c r="V49" t="s">
        <v>4</v>
      </c>
      <c r="W49" t="s">
        <v>4</v>
      </c>
      <c r="X49" t="s">
        <v>4</v>
      </c>
      <c r="Y49" t="s">
        <v>4</v>
      </c>
      <c r="Z49" t="s">
        <v>4</v>
      </c>
      <c r="AA49" t="s">
        <v>4</v>
      </c>
      <c r="AB49" t="s">
        <v>4</v>
      </c>
      <c r="AC49" t="s">
        <v>4</v>
      </c>
      <c r="AD49" s="24" t="s">
        <v>4</v>
      </c>
      <c r="AE49" s="24" t="s">
        <v>4</v>
      </c>
      <c r="AF49" t="s">
        <v>4</v>
      </c>
      <c r="AG49">
        <v>31.49</v>
      </c>
      <c r="AH49" t="s">
        <v>4</v>
      </c>
      <c r="AI49" t="s">
        <v>4</v>
      </c>
      <c r="AJ49" t="s">
        <v>4</v>
      </c>
      <c r="AK49" t="s">
        <v>4</v>
      </c>
      <c r="AL49">
        <v>0.68</v>
      </c>
      <c r="AM49" t="s">
        <v>4</v>
      </c>
      <c r="AN49" t="s">
        <v>4</v>
      </c>
      <c r="AO49" t="s">
        <v>4</v>
      </c>
      <c r="AP49">
        <v>14.81</v>
      </c>
      <c r="AQ49" t="s">
        <v>4</v>
      </c>
      <c r="AR49">
        <v>8.7799999999999994</v>
      </c>
      <c r="AS49" t="s">
        <v>4</v>
      </c>
      <c r="AT49" t="s">
        <v>4</v>
      </c>
      <c r="AU49" s="24">
        <v>1.1000000000000001</v>
      </c>
      <c r="AV49" t="s">
        <v>4</v>
      </c>
      <c r="AW49" t="s">
        <v>4</v>
      </c>
      <c r="AX49">
        <v>3.51</v>
      </c>
      <c r="AY49" s="24">
        <v>0.41</v>
      </c>
      <c r="AZ49" t="s">
        <v>4</v>
      </c>
      <c r="BA49" t="s">
        <v>4</v>
      </c>
      <c r="BB49" t="s">
        <v>4</v>
      </c>
      <c r="BC49" t="s">
        <v>4</v>
      </c>
      <c r="BD49" t="s">
        <v>4</v>
      </c>
      <c r="BE49" t="s">
        <v>4</v>
      </c>
      <c r="BF49" t="s">
        <v>4</v>
      </c>
      <c r="BG49" t="s">
        <v>4</v>
      </c>
      <c r="BH49">
        <v>0.41</v>
      </c>
      <c r="BI49" t="s">
        <v>4</v>
      </c>
      <c r="BJ49" t="s">
        <v>4</v>
      </c>
      <c r="BK49" t="s">
        <v>4</v>
      </c>
      <c r="BL49" t="s">
        <v>4</v>
      </c>
      <c r="BM49" t="s">
        <v>4</v>
      </c>
      <c r="BN49" s="24">
        <v>0.74</v>
      </c>
      <c r="BO49" t="s">
        <v>4</v>
      </c>
      <c r="BP49" t="s">
        <v>4</v>
      </c>
      <c r="BQ49">
        <v>3.69</v>
      </c>
      <c r="BR49" t="s">
        <v>4</v>
      </c>
      <c r="BS49" t="s">
        <v>4</v>
      </c>
      <c r="BT49" t="s">
        <v>4</v>
      </c>
      <c r="BU49" t="s">
        <v>4</v>
      </c>
      <c r="BV49" t="s">
        <v>4</v>
      </c>
      <c r="BW49" t="s">
        <v>4</v>
      </c>
      <c r="BX49" t="s">
        <v>4</v>
      </c>
      <c r="BY49" t="s">
        <v>4</v>
      </c>
      <c r="BZ49">
        <v>8.27</v>
      </c>
      <c r="CA49" t="s">
        <v>4</v>
      </c>
      <c r="CB49" t="s">
        <v>4</v>
      </c>
      <c r="CC49" t="s">
        <v>4</v>
      </c>
      <c r="CD49" t="s">
        <v>4</v>
      </c>
      <c r="CE49" t="s">
        <v>4</v>
      </c>
      <c r="CF49" t="s">
        <v>4</v>
      </c>
      <c r="CG49" t="s">
        <v>4</v>
      </c>
      <c r="CH49" t="s">
        <v>4</v>
      </c>
      <c r="CI49" t="s">
        <v>4</v>
      </c>
      <c r="CJ49" t="s">
        <v>4</v>
      </c>
      <c r="CK49" t="s">
        <v>4</v>
      </c>
      <c r="CL49" t="s">
        <v>4</v>
      </c>
      <c r="CM49" t="s">
        <v>4</v>
      </c>
      <c r="CN49" t="s">
        <v>4</v>
      </c>
      <c r="CO49" t="s">
        <v>4</v>
      </c>
      <c r="CP49" t="s">
        <v>4</v>
      </c>
      <c r="CQ49" t="s">
        <v>4</v>
      </c>
      <c r="CR49" t="s">
        <v>4</v>
      </c>
      <c r="CS49" t="s">
        <v>4</v>
      </c>
    </row>
    <row r="50" spans="1:97" ht="14.4" x14ac:dyDescent="0.3">
      <c r="A50" t="s">
        <v>33</v>
      </c>
      <c r="B50" s="11" t="s">
        <v>208</v>
      </c>
      <c r="C50">
        <v>7.56</v>
      </c>
      <c r="D50">
        <v>0.39</v>
      </c>
      <c r="E50" t="s">
        <v>4</v>
      </c>
      <c r="F50" t="s">
        <v>4</v>
      </c>
      <c r="G50" t="s">
        <v>4</v>
      </c>
      <c r="H50" t="s">
        <v>4</v>
      </c>
      <c r="I50" t="s">
        <v>4</v>
      </c>
      <c r="J50" t="s">
        <v>4</v>
      </c>
      <c r="K50">
        <v>1.52</v>
      </c>
      <c r="L50" t="s">
        <v>4</v>
      </c>
      <c r="M50">
        <v>7.79</v>
      </c>
      <c r="N50" t="s">
        <v>4</v>
      </c>
      <c r="O50" s="24">
        <v>499.09000000000003</v>
      </c>
      <c r="P50">
        <v>5.37</v>
      </c>
      <c r="Q50">
        <v>0.52</v>
      </c>
      <c r="R50" t="s">
        <v>4</v>
      </c>
      <c r="S50" t="s">
        <v>4</v>
      </c>
      <c r="T50" t="s">
        <v>4</v>
      </c>
      <c r="U50">
        <v>13.95</v>
      </c>
      <c r="V50">
        <v>0.51</v>
      </c>
      <c r="W50" t="s">
        <v>4</v>
      </c>
      <c r="X50">
        <v>8.94</v>
      </c>
      <c r="Y50" t="s">
        <v>4</v>
      </c>
      <c r="Z50" t="s">
        <v>4</v>
      </c>
      <c r="AA50">
        <v>0.35</v>
      </c>
      <c r="AB50" t="s">
        <v>4</v>
      </c>
      <c r="AC50" t="s">
        <v>4</v>
      </c>
      <c r="AD50" s="24">
        <v>3.5999999999999996</v>
      </c>
      <c r="AE50" s="24" t="s">
        <v>4</v>
      </c>
      <c r="AF50">
        <v>6.17</v>
      </c>
      <c r="AG50">
        <v>18.79</v>
      </c>
      <c r="AH50" t="s">
        <v>4</v>
      </c>
      <c r="AI50" t="s">
        <v>4</v>
      </c>
      <c r="AJ50" t="s">
        <v>4</v>
      </c>
      <c r="AK50" t="s">
        <v>4</v>
      </c>
      <c r="AL50">
        <v>2.63</v>
      </c>
      <c r="AM50" t="s">
        <v>4</v>
      </c>
      <c r="AN50" t="s">
        <v>4</v>
      </c>
      <c r="AO50" t="s">
        <v>4</v>
      </c>
      <c r="AP50">
        <v>15.28</v>
      </c>
      <c r="AQ50" t="s">
        <v>4</v>
      </c>
      <c r="AR50" t="s">
        <v>4</v>
      </c>
      <c r="AS50" t="s">
        <v>4</v>
      </c>
      <c r="AT50" t="s">
        <v>4</v>
      </c>
      <c r="AU50" s="24">
        <v>1.01</v>
      </c>
      <c r="AV50" t="s">
        <v>4</v>
      </c>
      <c r="AW50" t="s">
        <v>4</v>
      </c>
      <c r="AX50">
        <v>4.32</v>
      </c>
      <c r="AY50" s="24">
        <v>16.799999999999997</v>
      </c>
      <c r="AZ50" t="s">
        <v>4</v>
      </c>
      <c r="BA50">
        <v>2.48</v>
      </c>
      <c r="BB50" t="s">
        <v>4</v>
      </c>
      <c r="BC50" t="s">
        <v>4</v>
      </c>
      <c r="BD50" t="s">
        <v>4</v>
      </c>
      <c r="BE50" t="s">
        <v>4</v>
      </c>
      <c r="BF50" t="s">
        <v>4</v>
      </c>
      <c r="BG50">
        <v>2.92</v>
      </c>
      <c r="BH50">
        <v>1.1000000000000001</v>
      </c>
      <c r="BI50" t="s">
        <v>4</v>
      </c>
      <c r="BJ50" t="s">
        <v>4</v>
      </c>
      <c r="BK50" t="s">
        <v>4</v>
      </c>
      <c r="BL50" t="s">
        <v>4</v>
      </c>
      <c r="BM50" t="s">
        <v>4</v>
      </c>
      <c r="BN50" s="24">
        <v>51.959999999999994</v>
      </c>
      <c r="BO50" t="s">
        <v>4</v>
      </c>
      <c r="BP50" t="s">
        <v>4</v>
      </c>
      <c r="BQ50">
        <v>10.050000000000001</v>
      </c>
      <c r="BR50" t="s">
        <v>4</v>
      </c>
      <c r="BS50" t="s">
        <v>4</v>
      </c>
      <c r="BT50" t="s">
        <v>4</v>
      </c>
      <c r="BU50" t="s">
        <v>4</v>
      </c>
      <c r="BV50">
        <v>7.38</v>
      </c>
      <c r="BW50" t="s">
        <v>4</v>
      </c>
      <c r="BX50" t="s">
        <v>4</v>
      </c>
      <c r="BY50" t="s">
        <v>4</v>
      </c>
      <c r="BZ50">
        <v>14.6</v>
      </c>
      <c r="CA50" t="s">
        <v>4</v>
      </c>
      <c r="CB50">
        <v>3.79</v>
      </c>
      <c r="CC50" t="s">
        <v>4</v>
      </c>
      <c r="CD50" t="s">
        <v>4</v>
      </c>
      <c r="CE50" t="s">
        <v>4</v>
      </c>
      <c r="CF50" t="s">
        <v>4</v>
      </c>
      <c r="CG50" t="s">
        <v>4</v>
      </c>
      <c r="CH50" t="s">
        <v>4</v>
      </c>
      <c r="CI50" t="s">
        <v>4</v>
      </c>
      <c r="CJ50" t="s">
        <v>4</v>
      </c>
      <c r="CK50" t="s">
        <v>4</v>
      </c>
      <c r="CL50" t="s">
        <v>4</v>
      </c>
      <c r="CM50" t="s">
        <v>4</v>
      </c>
      <c r="CN50">
        <v>4.1099999999999994</v>
      </c>
      <c r="CO50" t="s">
        <v>4</v>
      </c>
      <c r="CP50" t="s">
        <v>4</v>
      </c>
      <c r="CQ50" t="s">
        <v>4</v>
      </c>
      <c r="CR50" t="s">
        <v>4</v>
      </c>
      <c r="CS50" t="s">
        <v>4</v>
      </c>
    </row>
    <row r="51" spans="1:97" ht="14.4" x14ac:dyDescent="0.3">
      <c r="A51" t="s">
        <v>34</v>
      </c>
      <c r="B51" s="11" t="s">
        <v>209</v>
      </c>
      <c r="C51">
        <v>17.34</v>
      </c>
      <c r="D51" t="s">
        <v>4</v>
      </c>
      <c r="E51" t="s">
        <v>4</v>
      </c>
      <c r="F51" t="s">
        <v>4</v>
      </c>
      <c r="G51">
        <v>1.25</v>
      </c>
      <c r="H51">
        <v>3.79</v>
      </c>
      <c r="I51" t="s">
        <v>4</v>
      </c>
      <c r="J51" t="s">
        <v>4</v>
      </c>
      <c r="K51">
        <v>1.1299999999999999</v>
      </c>
      <c r="L51" t="s">
        <v>4</v>
      </c>
      <c r="M51">
        <v>13.45</v>
      </c>
      <c r="N51" t="s">
        <v>4</v>
      </c>
      <c r="O51" s="24">
        <v>117.36000000000001</v>
      </c>
      <c r="P51">
        <v>77.55</v>
      </c>
      <c r="Q51" t="s">
        <v>4</v>
      </c>
      <c r="R51" t="s">
        <v>4</v>
      </c>
      <c r="S51" t="s">
        <v>4</v>
      </c>
      <c r="T51" t="s">
        <v>4</v>
      </c>
      <c r="U51">
        <v>0.73</v>
      </c>
      <c r="V51" t="s">
        <v>4</v>
      </c>
      <c r="W51" t="s">
        <v>4</v>
      </c>
      <c r="X51" t="s">
        <v>4</v>
      </c>
      <c r="Y51" t="s">
        <v>4</v>
      </c>
      <c r="Z51" t="s">
        <v>4</v>
      </c>
      <c r="AA51" t="s">
        <v>4</v>
      </c>
      <c r="AB51">
        <v>3.58</v>
      </c>
      <c r="AC51" t="s">
        <v>4</v>
      </c>
      <c r="AD51" s="24">
        <v>4.1800000000000006</v>
      </c>
      <c r="AE51" s="24" t="s">
        <v>4</v>
      </c>
      <c r="AF51" t="s">
        <v>4</v>
      </c>
      <c r="AG51">
        <v>12.64</v>
      </c>
      <c r="AH51" t="s">
        <v>4</v>
      </c>
      <c r="AI51" t="s">
        <v>4</v>
      </c>
      <c r="AJ51" t="s">
        <v>4</v>
      </c>
      <c r="AK51" t="s">
        <v>4</v>
      </c>
      <c r="AL51" t="s">
        <v>4</v>
      </c>
      <c r="AM51" t="s">
        <v>4</v>
      </c>
      <c r="AN51" t="s">
        <v>4</v>
      </c>
      <c r="AO51" t="s">
        <v>4</v>
      </c>
      <c r="AP51">
        <v>3.15</v>
      </c>
      <c r="AQ51" t="s">
        <v>4</v>
      </c>
      <c r="AR51">
        <v>6.92</v>
      </c>
      <c r="AS51" t="s">
        <v>4</v>
      </c>
      <c r="AT51" t="s">
        <v>4</v>
      </c>
      <c r="AU51" s="24">
        <v>0.64999999999999991</v>
      </c>
      <c r="AV51" t="s">
        <v>4</v>
      </c>
      <c r="AW51" t="s">
        <v>4</v>
      </c>
      <c r="AX51">
        <v>1.17</v>
      </c>
      <c r="AY51" s="24">
        <v>12.61</v>
      </c>
      <c r="AZ51" t="s">
        <v>4</v>
      </c>
      <c r="BA51" t="s">
        <v>4</v>
      </c>
      <c r="BB51" t="s">
        <v>4</v>
      </c>
      <c r="BC51" t="s">
        <v>4</v>
      </c>
      <c r="BD51" t="s">
        <v>4</v>
      </c>
      <c r="BE51" t="s">
        <v>4</v>
      </c>
      <c r="BF51" t="s">
        <v>4</v>
      </c>
      <c r="BG51" t="s">
        <v>4</v>
      </c>
      <c r="BH51">
        <v>1.1499999999999999</v>
      </c>
      <c r="BI51" t="s">
        <v>4</v>
      </c>
      <c r="BJ51" t="s">
        <v>4</v>
      </c>
      <c r="BK51" t="s">
        <v>4</v>
      </c>
      <c r="BL51">
        <v>0.73</v>
      </c>
      <c r="BM51" t="s">
        <v>4</v>
      </c>
      <c r="BN51" s="24">
        <v>8.870000000000001</v>
      </c>
      <c r="BO51" t="s">
        <v>4</v>
      </c>
      <c r="BP51" t="s">
        <v>4</v>
      </c>
      <c r="BQ51">
        <v>2.15</v>
      </c>
      <c r="BR51" t="s">
        <v>4</v>
      </c>
      <c r="BS51" t="s">
        <v>4</v>
      </c>
      <c r="BT51" t="s">
        <v>4</v>
      </c>
      <c r="BU51" t="s">
        <v>4</v>
      </c>
      <c r="BV51" t="s">
        <v>4</v>
      </c>
      <c r="BW51" t="s">
        <v>4</v>
      </c>
      <c r="BX51" t="s">
        <v>4</v>
      </c>
      <c r="BY51" t="s">
        <v>4</v>
      </c>
      <c r="BZ51">
        <v>13.8</v>
      </c>
      <c r="CA51" t="s">
        <v>4</v>
      </c>
      <c r="CB51">
        <v>8.59</v>
      </c>
      <c r="CC51" t="s">
        <v>4</v>
      </c>
      <c r="CD51" t="s">
        <v>4</v>
      </c>
      <c r="CE51" t="s">
        <v>4</v>
      </c>
      <c r="CF51" t="s">
        <v>4</v>
      </c>
      <c r="CG51" t="s">
        <v>4</v>
      </c>
      <c r="CH51" t="s">
        <v>4</v>
      </c>
      <c r="CI51" t="s">
        <v>4</v>
      </c>
      <c r="CJ51" t="s">
        <v>4</v>
      </c>
      <c r="CK51" t="s">
        <v>4</v>
      </c>
      <c r="CL51" t="s">
        <v>4</v>
      </c>
      <c r="CM51">
        <v>4.5199999999999996</v>
      </c>
      <c r="CN51">
        <v>3.620000000000001</v>
      </c>
      <c r="CO51" t="s">
        <v>4</v>
      </c>
      <c r="CP51" t="s">
        <v>4</v>
      </c>
      <c r="CQ51" t="s">
        <v>4</v>
      </c>
      <c r="CR51" t="s">
        <v>4</v>
      </c>
      <c r="CS51" t="s">
        <v>4</v>
      </c>
    </row>
    <row r="52" spans="1:97" ht="14.4" x14ac:dyDescent="0.3">
      <c r="A52" t="s">
        <v>35</v>
      </c>
      <c r="B52" s="11" t="s">
        <v>210</v>
      </c>
      <c r="C52" t="s">
        <v>4</v>
      </c>
      <c r="D52" t="s">
        <v>4</v>
      </c>
      <c r="E52" t="s">
        <v>4</v>
      </c>
      <c r="F52" t="s">
        <v>4</v>
      </c>
      <c r="G52" t="s">
        <v>4</v>
      </c>
      <c r="H52" t="s">
        <v>4</v>
      </c>
      <c r="I52" t="s">
        <v>4</v>
      </c>
      <c r="J52" t="s">
        <v>4</v>
      </c>
      <c r="K52" t="s">
        <v>4</v>
      </c>
      <c r="L52" t="s">
        <v>4</v>
      </c>
      <c r="M52">
        <v>6.73</v>
      </c>
      <c r="N52" t="s">
        <v>4</v>
      </c>
      <c r="O52" s="24">
        <v>202.35000000000002</v>
      </c>
      <c r="P52">
        <v>10.85</v>
      </c>
      <c r="Q52" t="s">
        <v>4</v>
      </c>
      <c r="R52" t="s">
        <v>4</v>
      </c>
      <c r="S52" t="s">
        <v>4</v>
      </c>
      <c r="T52" t="s">
        <v>4</v>
      </c>
      <c r="U52">
        <v>3.7</v>
      </c>
      <c r="V52" t="s">
        <v>4</v>
      </c>
      <c r="W52" t="s">
        <v>4</v>
      </c>
      <c r="X52" t="s">
        <v>4</v>
      </c>
      <c r="Y52" t="s">
        <v>4</v>
      </c>
      <c r="Z52" t="s">
        <v>4</v>
      </c>
      <c r="AA52">
        <v>0.51</v>
      </c>
      <c r="AB52" t="s">
        <v>4</v>
      </c>
      <c r="AC52" t="s">
        <v>4</v>
      </c>
      <c r="AD52" s="24">
        <v>0.91999999999999993</v>
      </c>
      <c r="AE52" s="24" t="s">
        <v>4</v>
      </c>
      <c r="AF52" t="s">
        <v>4</v>
      </c>
      <c r="AG52">
        <v>27.55</v>
      </c>
      <c r="AH52" t="s">
        <v>4</v>
      </c>
      <c r="AI52" t="s">
        <v>4</v>
      </c>
      <c r="AJ52" t="s">
        <v>4</v>
      </c>
      <c r="AK52" t="s">
        <v>4</v>
      </c>
      <c r="AL52" t="s">
        <v>4</v>
      </c>
      <c r="AM52" t="s">
        <v>4</v>
      </c>
      <c r="AN52" t="s">
        <v>4</v>
      </c>
      <c r="AO52" t="s">
        <v>4</v>
      </c>
      <c r="AP52">
        <v>8.89</v>
      </c>
      <c r="AQ52" t="s">
        <v>4</v>
      </c>
      <c r="AR52" t="s">
        <v>4</v>
      </c>
      <c r="AS52" t="s">
        <v>4</v>
      </c>
      <c r="AT52" t="s">
        <v>4</v>
      </c>
      <c r="AU52" s="24">
        <v>0.33999999999999997</v>
      </c>
      <c r="AV52" t="s">
        <v>4</v>
      </c>
      <c r="AW52" t="s">
        <v>4</v>
      </c>
      <c r="AX52">
        <v>2.2799999999999998</v>
      </c>
      <c r="AY52" s="24">
        <v>2.44</v>
      </c>
      <c r="AZ52" t="s">
        <v>4</v>
      </c>
      <c r="BA52" t="s">
        <v>4</v>
      </c>
      <c r="BB52" t="s">
        <v>4</v>
      </c>
      <c r="BC52" t="s">
        <v>4</v>
      </c>
      <c r="BD52" t="s">
        <v>4</v>
      </c>
      <c r="BE52" t="s">
        <v>4</v>
      </c>
      <c r="BF52" t="s">
        <v>4</v>
      </c>
      <c r="BG52" t="s">
        <v>4</v>
      </c>
      <c r="BH52">
        <v>0.35</v>
      </c>
      <c r="BI52" t="s">
        <v>4</v>
      </c>
      <c r="BJ52" t="s">
        <v>4</v>
      </c>
      <c r="BK52" t="s">
        <v>4</v>
      </c>
      <c r="BL52" t="s">
        <v>4</v>
      </c>
      <c r="BM52" t="s">
        <v>4</v>
      </c>
      <c r="BN52" s="24">
        <v>12.6</v>
      </c>
      <c r="BO52" t="s">
        <v>4</v>
      </c>
      <c r="BP52" t="s">
        <v>4</v>
      </c>
      <c r="BQ52">
        <v>6.69</v>
      </c>
      <c r="BR52" t="s">
        <v>4</v>
      </c>
      <c r="BS52" t="s">
        <v>4</v>
      </c>
      <c r="BT52" t="s">
        <v>4</v>
      </c>
      <c r="BU52" t="s">
        <v>4</v>
      </c>
      <c r="BV52">
        <v>5.0599999999999996</v>
      </c>
      <c r="BW52" t="s">
        <v>4</v>
      </c>
      <c r="BX52" t="s">
        <v>4</v>
      </c>
      <c r="BY52" t="s">
        <v>4</v>
      </c>
      <c r="BZ52">
        <v>3.51</v>
      </c>
      <c r="CA52" t="s">
        <v>4</v>
      </c>
      <c r="CB52">
        <v>1.29</v>
      </c>
      <c r="CC52" t="s">
        <v>4</v>
      </c>
      <c r="CD52" t="s">
        <v>4</v>
      </c>
      <c r="CE52" t="s">
        <v>4</v>
      </c>
      <c r="CF52" t="s">
        <v>4</v>
      </c>
      <c r="CG52" t="s">
        <v>4</v>
      </c>
      <c r="CH52" t="s">
        <v>4</v>
      </c>
      <c r="CI52" t="s">
        <v>4</v>
      </c>
      <c r="CJ52" t="s">
        <v>4</v>
      </c>
      <c r="CK52" t="s">
        <v>4</v>
      </c>
      <c r="CL52" t="s">
        <v>4</v>
      </c>
      <c r="CM52" t="s">
        <v>4</v>
      </c>
      <c r="CN52">
        <v>5.8100000000000005</v>
      </c>
      <c r="CO52" t="s">
        <v>4</v>
      </c>
      <c r="CP52" t="s">
        <v>4</v>
      </c>
      <c r="CQ52" t="s">
        <v>4</v>
      </c>
      <c r="CR52" t="s">
        <v>4</v>
      </c>
      <c r="CS52" t="s">
        <v>4</v>
      </c>
    </row>
    <row r="53" spans="1:97" ht="14.4" x14ac:dyDescent="0.3">
      <c r="A53" t="s">
        <v>36</v>
      </c>
      <c r="B53" s="11" t="s">
        <v>211</v>
      </c>
      <c r="C53" t="s">
        <v>4</v>
      </c>
      <c r="D53" t="s">
        <v>4</v>
      </c>
      <c r="E53" t="s">
        <v>4</v>
      </c>
      <c r="F53" t="s">
        <v>4</v>
      </c>
      <c r="G53">
        <v>0.47</v>
      </c>
      <c r="H53" t="s">
        <v>4</v>
      </c>
      <c r="I53" t="s">
        <v>4</v>
      </c>
      <c r="J53" t="s">
        <v>4</v>
      </c>
      <c r="K53" t="s">
        <v>4</v>
      </c>
      <c r="L53" t="s">
        <v>4</v>
      </c>
      <c r="M53">
        <v>4.9000000000000004</v>
      </c>
      <c r="N53" t="s">
        <v>4</v>
      </c>
      <c r="O53" s="24">
        <v>34.670000000000009</v>
      </c>
      <c r="P53">
        <v>78.83</v>
      </c>
      <c r="Q53">
        <v>2.33</v>
      </c>
      <c r="R53" t="s">
        <v>4</v>
      </c>
      <c r="S53" t="s">
        <v>4</v>
      </c>
      <c r="T53">
        <v>5.8</v>
      </c>
      <c r="U53">
        <v>0.26</v>
      </c>
      <c r="V53" t="s">
        <v>4</v>
      </c>
      <c r="W53" t="s">
        <v>4</v>
      </c>
      <c r="X53" t="s">
        <v>4</v>
      </c>
      <c r="Y53" t="s">
        <v>4</v>
      </c>
      <c r="Z53" t="s">
        <v>4</v>
      </c>
      <c r="AA53" t="s">
        <v>4</v>
      </c>
      <c r="AB53" t="s">
        <v>4</v>
      </c>
      <c r="AC53" t="s">
        <v>4</v>
      </c>
      <c r="AD53" s="24">
        <v>0.53000000000000025</v>
      </c>
      <c r="AE53" s="24" t="s">
        <v>4</v>
      </c>
      <c r="AF53" t="s">
        <v>4</v>
      </c>
      <c r="AG53">
        <v>18.010000000000002</v>
      </c>
      <c r="AH53" t="s">
        <v>4</v>
      </c>
      <c r="AI53" t="s">
        <v>4</v>
      </c>
      <c r="AJ53" t="s">
        <v>4</v>
      </c>
      <c r="AK53" t="s">
        <v>4</v>
      </c>
      <c r="AL53" t="s">
        <v>4</v>
      </c>
      <c r="AM53" t="s">
        <v>4</v>
      </c>
      <c r="AN53" t="s">
        <v>4</v>
      </c>
      <c r="AO53" t="s">
        <v>4</v>
      </c>
      <c r="AP53">
        <v>10.33</v>
      </c>
      <c r="AQ53" t="s">
        <v>4</v>
      </c>
      <c r="AR53">
        <v>5.34</v>
      </c>
      <c r="AS53" t="s">
        <v>4</v>
      </c>
      <c r="AT53" t="s">
        <v>4</v>
      </c>
      <c r="AU53" s="24">
        <v>0.79</v>
      </c>
      <c r="AV53" t="s">
        <v>4</v>
      </c>
      <c r="AW53" t="s">
        <v>4</v>
      </c>
      <c r="AX53">
        <v>1.97</v>
      </c>
      <c r="AY53" s="24">
        <v>0.58000000000000007</v>
      </c>
      <c r="AZ53" t="s">
        <v>4</v>
      </c>
      <c r="BA53" t="s">
        <v>4</v>
      </c>
      <c r="BB53" t="s">
        <v>4</v>
      </c>
      <c r="BC53" t="s">
        <v>4</v>
      </c>
      <c r="BD53" t="s">
        <v>4</v>
      </c>
      <c r="BE53" t="s">
        <v>4</v>
      </c>
      <c r="BF53" t="s">
        <v>4</v>
      </c>
      <c r="BG53" t="s">
        <v>4</v>
      </c>
      <c r="BH53">
        <v>0.34</v>
      </c>
      <c r="BI53" t="s">
        <v>4</v>
      </c>
      <c r="BJ53" t="s">
        <v>4</v>
      </c>
      <c r="BK53" t="s">
        <v>4</v>
      </c>
      <c r="BL53" t="s">
        <v>4</v>
      </c>
      <c r="BM53" t="s">
        <v>4</v>
      </c>
      <c r="BN53" s="24">
        <v>2.57</v>
      </c>
      <c r="BO53" t="s">
        <v>4</v>
      </c>
      <c r="BP53" t="s">
        <v>4</v>
      </c>
      <c r="BQ53">
        <v>1.84</v>
      </c>
      <c r="BR53" t="s">
        <v>4</v>
      </c>
      <c r="BS53" t="s">
        <v>4</v>
      </c>
      <c r="BT53" t="s">
        <v>4</v>
      </c>
      <c r="BU53" t="s">
        <v>4</v>
      </c>
      <c r="BV53" t="s">
        <v>4</v>
      </c>
      <c r="BW53" t="s">
        <v>4</v>
      </c>
      <c r="BX53" t="s">
        <v>4</v>
      </c>
      <c r="BY53" t="s">
        <v>4</v>
      </c>
      <c r="BZ53">
        <v>6.43</v>
      </c>
      <c r="CA53" t="s">
        <v>4</v>
      </c>
      <c r="CB53" t="s">
        <v>4</v>
      </c>
      <c r="CC53" t="s">
        <v>4</v>
      </c>
      <c r="CD53" t="s">
        <v>4</v>
      </c>
      <c r="CE53" t="s">
        <v>4</v>
      </c>
      <c r="CF53" t="s">
        <v>4</v>
      </c>
      <c r="CG53" t="s">
        <v>4</v>
      </c>
      <c r="CH53" t="s">
        <v>4</v>
      </c>
      <c r="CI53" t="s">
        <v>4</v>
      </c>
      <c r="CJ53" t="s">
        <v>4</v>
      </c>
      <c r="CK53" t="s">
        <v>4</v>
      </c>
      <c r="CL53" t="s">
        <v>4</v>
      </c>
      <c r="CM53" t="s">
        <v>4</v>
      </c>
      <c r="CN53" t="s">
        <v>4</v>
      </c>
      <c r="CO53" t="s">
        <v>4</v>
      </c>
      <c r="CP53" t="s">
        <v>4</v>
      </c>
      <c r="CQ53" t="s">
        <v>4</v>
      </c>
      <c r="CR53" t="s">
        <v>4</v>
      </c>
      <c r="CS53" t="s">
        <v>4</v>
      </c>
    </row>
    <row r="54" spans="1:97" ht="14.4" x14ac:dyDescent="0.3">
      <c r="A54" t="s">
        <v>37</v>
      </c>
      <c r="B54" s="11" t="s">
        <v>212</v>
      </c>
      <c r="C54">
        <v>3.85</v>
      </c>
      <c r="D54" t="s">
        <v>4</v>
      </c>
      <c r="E54" t="s">
        <v>4</v>
      </c>
      <c r="F54" t="s">
        <v>4</v>
      </c>
      <c r="G54" t="s">
        <v>4</v>
      </c>
      <c r="H54">
        <v>1.26</v>
      </c>
      <c r="I54" t="s">
        <v>4</v>
      </c>
      <c r="J54" t="s">
        <v>4</v>
      </c>
      <c r="K54">
        <v>1.85</v>
      </c>
      <c r="L54" t="s">
        <v>4</v>
      </c>
      <c r="M54" t="s">
        <v>4</v>
      </c>
      <c r="N54" t="s">
        <v>4</v>
      </c>
      <c r="O54" s="24">
        <v>428.56</v>
      </c>
      <c r="P54">
        <v>6.44</v>
      </c>
      <c r="Q54" t="s">
        <v>4</v>
      </c>
      <c r="R54" t="s">
        <v>4</v>
      </c>
      <c r="S54" t="s">
        <v>4</v>
      </c>
      <c r="T54" t="s">
        <v>4</v>
      </c>
      <c r="U54">
        <v>8.93</v>
      </c>
      <c r="V54" t="s">
        <v>4</v>
      </c>
      <c r="W54" t="s">
        <v>4</v>
      </c>
      <c r="X54" t="s">
        <v>4</v>
      </c>
      <c r="Y54" t="s">
        <v>4</v>
      </c>
      <c r="Z54" t="s">
        <v>4</v>
      </c>
      <c r="AA54">
        <v>0.42</v>
      </c>
      <c r="AB54" t="s">
        <v>4</v>
      </c>
      <c r="AC54" t="s">
        <v>4</v>
      </c>
      <c r="AD54" s="24">
        <v>4.2299999999999995</v>
      </c>
      <c r="AE54" s="24">
        <v>0.63000000000000012</v>
      </c>
      <c r="AF54" t="s">
        <v>4</v>
      </c>
      <c r="AG54">
        <v>50.04</v>
      </c>
      <c r="AH54" t="s">
        <v>4</v>
      </c>
      <c r="AI54" t="s">
        <v>4</v>
      </c>
      <c r="AJ54" t="s">
        <v>4</v>
      </c>
      <c r="AK54" t="s">
        <v>4</v>
      </c>
      <c r="AL54">
        <v>3.16</v>
      </c>
      <c r="AM54" t="s">
        <v>4</v>
      </c>
      <c r="AN54" t="s">
        <v>4</v>
      </c>
      <c r="AO54" t="s">
        <v>4</v>
      </c>
      <c r="AP54">
        <v>14.59</v>
      </c>
      <c r="AQ54" t="s">
        <v>4</v>
      </c>
      <c r="AR54" t="s">
        <v>4</v>
      </c>
      <c r="AS54" t="s">
        <v>4</v>
      </c>
      <c r="AT54" t="s">
        <v>4</v>
      </c>
      <c r="AU54" s="24">
        <v>0.97</v>
      </c>
      <c r="AV54" t="s">
        <v>4</v>
      </c>
      <c r="AW54" t="s">
        <v>4</v>
      </c>
      <c r="AX54">
        <v>3.72</v>
      </c>
      <c r="AY54" s="24">
        <v>6.14</v>
      </c>
      <c r="AZ54" t="s">
        <v>4</v>
      </c>
      <c r="BA54" t="s">
        <v>4</v>
      </c>
      <c r="BB54" t="s">
        <v>4</v>
      </c>
      <c r="BC54" t="s">
        <v>4</v>
      </c>
      <c r="BD54" t="s">
        <v>4</v>
      </c>
      <c r="BE54" t="s">
        <v>4</v>
      </c>
      <c r="BF54" t="s">
        <v>4</v>
      </c>
      <c r="BG54">
        <v>2.0699999999999998</v>
      </c>
      <c r="BH54">
        <v>0.96</v>
      </c>
      <c r="BI54" t="s">
        <v>4</v>
      </c>
      <c r="BJ54" t="s">
        <v>4</v>
      </c>
      <c r="BK54" t="s">
        <v>4</v>
      </c>
      <c r="BL54" t="s">
        <v>4</v>
      </c>
      <c r="BM54" t="s">
        <v>4</v>
      </c>
      <c r="BN54" s="24">
        <v>57.91</v>
      </c>
      <c r="BO54" t="s">
        <v>4</v>
      </c>
      <c r="BP54" t="s">
        <v>4</v>
      </c>
      <c r="BQ54">
        <v>14.94</v>
      </c>
      <c r="BR54" t="s">
        <v>4</v>
      </c>
      <c r="BS54" t="s">
        <v>4</v>
      </c>
      <c r="BT54" t="s">
        <v>4</v>
      </c>
      <c r="BU54" t="s">
        <v>4</v>
      </c>
      <c r="BV54">
        <v>5.36</v>
      </c>
      <c r="BW54" t="s">
        <v>4</v>
      </c>
      <c r="BX54" t="s">
        <v>4</v>
      </c>
      <c r="BY54" t="s">
        <v>4</v>
      </c>
      <c r="BZ54">
        <v>18.54</v>
      </c>
      <c r="CA54" t="s">
        <v>4</v>
      </c>
      <c r="CB54">
        <v>2.96</v>
      </c>
      <c r="CC54" t="s">
        <v>4</v>
      </c>
      <c r="CD54" t="s">
        <v>4</v>
      </c>
      <c r="CE54" t="s">
        <v>4</v>
      </c>
      <c r="CF54" t="s">
        <v>4</v>
      </c>
      <c r="CG54" t="s">
        <v>4</v>
      </c>
      <c r="CH54" t="s">
        <v>4</v>
      </c>
      <c r="CI54" t="s">
        <v>4</v>
      </c>
      <c r="CJ54" t="s">
        <v>4</v>
      </c>
      <c r="CK54" t="s">
        <v>4</v>
      </c>
      <c r="CL54" t="s">
        <v>4</v>
      </c>
      <c r="CM54" t="s">
        <v>4</v>
      </c>
      <c r="CN54">
        <v>5.68</v>
      </c>
      <c r="CO54" t="s">
        <v>4</v>
      </c>
      <c r="CP54" t="s">
        <v>4</v>
      </c>
      <c r="CQ54" t="s">
        <v>4</v>
      </c>
      <c r="CR54" t="s">
        <v>4</v>
      </c>
      <c r="CS54" t="s">
        <v>4</v>
      </c>
    </row>
    <row r="55" spans="1:97" ht="14.4" x14ac:dyDescent="0.3">
      <c r="A55" t="s">
        <v>38</v>
      </c>
      <c r="B55" s="11" t="s">
        <v>213</v>
      </c>
      <c r="C55" t="s">
        <v>4</v>
      </c>
      <c r="D55" t="s">
        <v>4</v>
      </c>
      <c r="E55" t="s">
        <v>4</v>
      </c>
      <c r="F55" t="s">
        <v>4</v>
      </c>
      <c r="G55">
        <v>0.75</v>
      </c>
      <c r="H55">
        <v>2.44</v>
      </c>
      <c r="I55" t="s">
        <v>4</v>
      </c>
      <c r="J55" t="s">
        <v>4</v>
      </c>
      <c r="K55">
        <v>0.76</v>
      </c>
      <c r="L55" t="s">
        <v>4</v>
      </c>
      <c r="M55">
        <v>9.76</v>
      </c>
      <c r="N55" t="s">
        <v>4</v>
      </c>
      <c r="O55" s="24">
        <v>26.580000000000005</v>
      </c>
      <c r="P55">
        <v>58.31</v>
      </c>
      <c r="Q55" t="s">
        <v>4</v>
      </c>
      <c r="R55" t="s">
        <v>4</v>
      </c>
      <c r="S55" t="s">
        <v>4</v>
      </c>
      <c r="T55" t="s">
        <v>4</v>
      </c>
      <c r="U55" t="s">
        <v>4</v>
      </c>
      <c r="V55" t="s">
        <v>4</v>
      </c>
      <c r="W55" t="s">
        <v>4</v>
      </c>
      <c r="X55" t="s">
        <v>4</v>
      </c>
      <c r="Y55" t="s">
        <v>4</v>
      </c>
      <c r="Z55" t="s">
        <v>4</v>
      </c>
      <c r="AA55" t="s">
        <v>4</v>
      </c>
      <c r="AB55" t="s">
        <v>4</v>
      </c>
      <c r="AC55" t="s">
        <v>4</v>
      </c>
      <c r="AD55" s="24">
        <v>2.59</v>
      </c>
      <c r="AE55" s="24">
        <v>0.65000000000000013</v>
      </c>
      <c r="AF55" t="s">
        <v>4</v>
      </c>
      <c r="AG55">
        <v>12.93</v>
      </c>
      <c r="AH55" t="s">
        <v>4</v>
      </c>
      <c r="AI55" t="s">
        <v>4</v>
      </c>
      <c r="AJ55" t="s">
        <v>4</v>
      </c>
      <c r="AK55" t="s">
        <v>4</v>
      </c>
      <c r="AL55" t="s">
        <v>4</v>
      </c>
      <c r="AM55" t="s">
        <v>4</v>
      </c>
      <c r="AN55" t="s">
        <v>4</v>
      </c>
      <c r="AO55" t="s">
        <v>4</v>
      </c>
      <c r="AP55">
        <v>3.83</v>
      </c>
      <c r="AQ55" t="s">
        <v>4</v>
      </c>
      <c r="AR55">
        <v>6.42</v>
      </c>
      <c r="AS55" t="s">
        <v>4</v>
      </c>
      <c r="AT55" t="s">
        <v>4</v>
      </c>
      <c r="AU55" s="24">
        <v>0.15000000000000002</v>
      </c>
      <c r="AV55" t="s">
        <v>4</v>
      </c>
      <c r="AW55" t="s">
        <v>4</v>
      </c>
      <c r="AX55">
        <v>0.67</v>
      </c>
      <c r="AY55" s="24">
        <v>12.5</v>
      </c>
      <c r="AZ55" t="s">
        <v>4</v>
      </c>
      <c r="BA55" t="s">
        <v>4</v>
      </c>
      <c r="BB55" t="s">
        <v>4</v>
      </c>
      <c r="BC55" t="s">
        <v>4</v>
      </c>
      <c r="BD55" t="s">
        <v>4</v>
      </c>
      <c r="BE55" t="s">
        <v>4</v>
      </c>
      <c r="BF55" t="s">
        <v>4</v>
      </c>
      <c r="BG55" t="s">
        <v>4</v>
      </c>
      <c r="BH55">
        <v>0.54</v>
      </c>
      <c r="BI55" t="s">
        <v>4</v>
      </c>
      <c r="BJ55" t="s">
        <v>4</v>
      </c>
      <c r="BK55" t="s">
        <v>4</v>
      </c>
      <c r="BL55">
        <v>0.42</v>
      </c>
      <c r="BM55" t="s">
        <v>4</v>
      </c>
      <c r="BN55" s="24">
        <v>5.18</v>
      </c>
      <c r="BO55" t="s">
        <v>4</v>
      </c>
      <c r="BP55" t="s">
        <v>4</v>
      </c>
      <c r="BQ55">
        <v>1.78</v>
      </c>
      <c r="BR55" t="s">
        <v>4</v>
      </c>
      <c r="BS55" t="s">
        <v>4</v>
      </c>
      <c r="BT55" t="s">
        <v>4</v>
      </c>
      <c r="BU55" t="s">
        <v>4</v>
      </c>
      <c r="BV55" t="s">
        <v>4</v>
      </c>
      <c r="BW55" t="s">
        <v>4</v>
      </c>
      <c r="BX55" t="s">
        <v>4</v>
      </c>
      <c r="BY55" t="s">
        <v>4</v>
      </c>
      <c r="BZ55">
        <v>6.04</v>
      </c>
      <c r="CA55" t="s">
        <v>4</v>
      </c>
      <c r="CB55">
        <v>8.4499999999999993</v>
      </c>
      <c r="CC55" t="s">
        <v>4</v>
      </c>
      <c r="CD55" t="s">
        <v>4</v>
      </c>
      <c r="CE55" t="s">
        <v>4</v>
      </c>
      <c r="CF55" t="s">
        <v>4</v>
      </c>
      <c r="CG55" t="s">
        <v>4</v>
      </c>
      <c r="CH55" t="s">
        <v>4</v>
      </c>
      <c r="CI55" t="s">
        <v>4</v>
      </c>
      <c r="CJ55" t="s">
        <v>4</v>
      </c>
      <c r="CK55" t="s">
        <v>4</v>
      </c>
      <c r="CL55" t="s">
        <v>4</v>
      </c>
      <c r="CM55" t="s">
        <v>4</v>
      </c>
      <c r="CN55">
        <v>2.9600000000000009</v>
      </c>
      <c r="CO55" t="s">
        <v>4</v>
      </c>
      <c r="CP55" t="s">
        <v>4</v>
      </c>
      <c r="CQ55" t="s">
        <v>4</v>
      </c>
      <c r="CR55" t="s">
        <v>4</v>
      </c>
      <c r="CS55" t="s">
        <v>4</v>
      </c>
    </row>
    <row r="56" spans="1:97" ht="14.4" x14ac:dyDescent="0.3">
      <c r="A56" t="s">
        <v>39</v>
      </c>
      <c r="B56" s="11" t="s">
        <v>214</v>
      </c>
      <c r="C56" t="s">
        <v>4</v>
      </c>
      <c r="D56" t="s">
        <v>4</v>
      </c>
      <c r="E56" t="s">
        <v>4</v>
      </c>
      <c r="F56" t="s">
        <v>4</v>
      </c>
      <c r="G56">
        <v>0.3</v>
      </c>
      <c r="H56">
        <v>7.25</v>
      </c>
      <c r="I56" t="s">
        <v>4</v>
      </c>
      <c r="J56" t="s">
        <v>4</v>
      </c>
      <c r="K56" t="s">
        <v>4</v>
      </c>
      <c r="L56" t="s">
        <v>4</v>
      </c>
      <c r="M56">
        <v>5.97</v>
      </c>
      <c r="N56" t="s">
        <v>4</v>
      </c>
      <c r="O56" s="24">
        <v>620.94000000000005</v>
      </c>
      <c r="P56">
        <v>12.12</v>
      </c>
      <c r="Q56" t="s">
        <v>4</v>
      </c>
      <c r="R56" t="s">
        <v>4</v>
      </c>
      <c r="S56" t="s">
        <v>4</v>
      </c>
      <c r="T56" t="s">
        <v>4</v>
      </c>
      <c r="U56">
        <v>3.3</v>
      </c>
      <c r="V56" t="s">
        <v>4</v>
      </c>
      <c r="W56" t="s">
        <v>4</v>
      </c>
      <c r="X56" t="s">
        <v>4</v>
      </c>
      <c r="Y56" t="s">
        <v>4</v>
      </c>
      <c r="Z56" t="s">
        <v>4</v>
      </c>
      <c r="AA56">
        <v>0.55000000000000004</v>
      </c>
      <c r="AB56" t="s">
        <v>4</v>
      </c>
      <c r="AC56" t="s">
        <v>4</v>
      </c>
      <c r="AD56" s="24">
        <v>0.61000000000000032</v>
      </c>
      <c r="AE56" s="24">
        <v>0.24</v>
      </c>
      <c r="AF56" t="s">
        <v>4</v>
      </c>
      <c r="AG56">
        <v>108.67</v>
      </c>
      <c r="AH56" t="s">
        <v>4</v>
      </c>
      <c r="AI56" t="s">
        <v>4</v>
      </c>
      <c r="AJ56" t="s">
        <v>4</v>
      </c>
      <c r="AK56" t="s">
        <v>4</v>
      </c>
      <c r="AL56" t="s">
        <v>4</v>
      </c>
      <c r="AM56" t="s">
        <v>4</v>
      </c>
      <c r="AN56" t="s">
        <v>4</v>
      </c>
      <c r="AO56" t="s">
        <v>4</v>
      </c>
      <c r="AP56">
        <v>15.22</v>
      </c>
      <c r="AQ56" t="s">
        <v>4</v>
      </c>
      <c r="AR56" t="s">
        <v>4</v>
      </c>
      <c r="AS56" t="s">
        <v>4</v>
      </c>
      <c r="AT56" t="s">
        <v>4</v>
      </c>
      <c r="AU56" s="24">
        <v>0.55000000000000004</v>
      </c>
      <c r="AV56" t="s">
        <v>4</v>
      </c>
      <c r="AW56" t="s">
        <v>4</v>
      </c>
      <c r="AX56">
        <v>2.58</v>
      </c>
      <c r="AY56" s="24">
        <v>2.6</v>
      </c>
      <c r="AZ56" t="s">
        <v>4</v>
      </c>
      <c r="BA56" t="s">
        <v>4</v>
      </c>
      <c r="BB56" t="s">
        <v>4</v>
      </c>
      <c r="BC56" t="s">
        <v>4</v>
      </c>
      <c r="BD56" t="s">
        <v>4</v>
      </c>
      <c r="BE56" t="s">
        <v>4</v>
      </c>
      <c r="BF56" t="s">
        <v>4</v>
      </c>
      <c r="BG56" t="s">
        <v>4</v>
      </c>
      <c r="BH56" t="s">
        <v>4</v>
      </c>
      <c r="BI56" t="s">
        <v>4</v>
      </c>
      <c r="BJ56" t="s">
        <v>4</v>
      </c>
      <c r="BK56" t="s">
        <v>4</v>
      </c>
      <c r="BL56" t="s">
        <v>4</v>
      </c>
      <c r="BM56" t="s">
        <v>4</v>
      </c>
      <c r="BN56" s="24">
        <v>5.18</v>
      </c>
      <c r="BO56" t="s">
        <v>4</v>
      </c>
      <c r="BP56" t="s">
        <v>4</v>
      </c>
      <c r="BQ56">
        <v>22.59</v>
      </c>
      <c r="BR56" t="s">
        <v>4</v>
      </c>
      <c r="BS56" t="s">
        <v>4</v>
      </c>
      <c r="BT56" t="s">
        <v>4</v>
      </c>
      <c r="BU56" t="s">
        <v>4</v>
      </c>
      <c r="BV56">
        <v>7.21</v>
      </c>
      <c r="BW56" t="s">
        <v>4</v>
      </c>
      <c r="BX56" t="s">
        <v>4</v>
      </c>
      <c r="BY56" t="s">
        <v>4</v>
      </c>
      <c r="BZ56">
        <v>3.83</v>
      </c>
      <c r="CA56" t="s">
        <v>4</v>
      </c>
      <c r="CB56">
        <v>1.0900000000000001</v>
      </c>
      <c r="CC56" t="s">
        <v>4</v>
      </c>
      <c r="CD56" t="s">
        <v>4</v>
      </c>
      <c r="CE56" t="s">
        <v>4</v>
      </c>
      <c r="CF56" t="s">
        <v>4</v>
      </c>
      <c r="CG56" t="s">
        <v>4</v>
      </c>
      <c r="CH56" t="s">
        <v>4</v>
      </c>
      <c r="CI56" t="s">
        <v>4</v>
      </c>
      <c r="CJ56" t="s">
        <v>4</v>
      </c>
      <c r="CK56" t="s">
        <v>4</v>
      </c>
      <c r="CL56" t="s">
        <v>4</v>
      </c>
      <c r="CM56" t="s">
        <v>4</v>
      </c>
      <c r="CN56">
        <v>11.389999999999999</v>
      </c>
      <c r="CO56" t="s">
        <v>4</v>
      </c>
      <c r="CP56" t="s">
        <v>4</v>
      </c>
      <c r="CQ56" t="s">
        <v>4</v>
      </c>
      <c r="CR56" t="s">
        <v>4</v>
      </c>
      <c r="CS56" t="s">
        <v>4</v>
      </c>
    </row>
    <row r="57" spans="1:97" ht="14.4" x14ac:dyDescent="0.3">
      <c r="A57" t="s">
        <v>40</v>
      </c>
      <c r="B57" s="11" t="s">
        <v>215</v>
      </c>
      <c r="C57" t="s">
        <v>4</v>
      </c>
      <c r="D57" t="s">
        <v>4</v>
      </c>
      <c r="E57" t="s">
        <v>4</v>
      </c>
      <c r="F57" t="s">
        <v>4</v>
      </c>
      <c r="G57">
        <v>0.55000000000000004</v>
      </c>
      <c r="H57">
        <v>1.18</v>
      </c>
      <c r="I57" t="s">
        <v>4</v>
      </c>
      <c r="J57" t="s">
        <v>4</v>
      </c>
      <c r="K57" t="s">
        <v>4</v>
      </c>
      <c r="L57" t="s">
        <v>4</v>
      </c>
      <c r="M57" t="s">
        <v>4</v>
      </c>
      <c r="N57" t="s">
        <v>4</v>
      </c>
      <c r="O57" s="24">
        <v>53.98</v>
      </c>
      <c r="P57">
        <v>89.06</v>
      </c>
      <c r="Q57">
        <v>2.75</v>
      </c>
      <c r="R57" t="s">
        <v>4</v>
      </c>
      <c r="S57" t="s">
        <v>4</v>
      </c>
      <c r="T57">
        <v>7.92</v>
      </c>
      <c r="U57">
        <v>0.48</v>
      </c>
      <c r="V57" t="s">
        <v>4</v>
      </c>
      <c r="W57" t="s">
        <v>4</v>
      </c>
      <c r="X57" t="s">
        <v>4</v>
      </c>
      <c r="Y57" t="s">
        <v>4</v>
      </c>
      <c r="Z57" t="s">
        <v>4</v>
      </c>
      <c r="AA57" t="s">
        <v>4</v>
      </c>
      <c r="AB57">
        <v>3.25</v>
      </c>
      <c r="AC57" t="s">
        <v>4</v>
      </c>
      <c r="AD57" s="24" t="s">
        <v>4</v>
      </c>
      <c r="AE57" s="24">
        <v>0.65000000000000013</v>
      </c>
      <c r="AF57" t="s">
        <v>4</v>
      </c>
      <c r="AG57">
        <v>37.42</v>
      </c>
      <c r="AH57" t="s">
        <v>4</v>
      </c>
      <c r="AI57" t="s">
        <v>4</v>
      </c>
      <c r="AJ57" t="s">
        <v>4</v>
      </c>
      <c r="AK57" t="s">
        <v>4</v>
      </c>
      <c r="AL57" t="s">
        <v>4</v>
      </c>
      <c r="AM57" t="s">
        <v>4</v>
      </c>
      <c r="AN57" t="s">
        <v>4</v>
      </c>
      <c r="AO57" t="s">
        <v>4</v>
      </c>
      <c r="AP57">
        <v>13.31</v>
      </c>
      <c r="AQ57" t="s">
        <v>4</v>
      </c>
      <c r="AR57" t="s">
        <v>4</v>
      </c>
      <c r="AS57" t="s">
        <v>4</v>
      </c>
      <c r="AT57" t="s">
        <v>4</v>
      </c>
      <c r="AU57" s="24">
        <v>0.82000000000000006</v>
      </c>
      <c r="AV57" t="s">
        <v>4</v>
      </c>
      <c r="AW57" t="s">
        <v>4</v>
      </c>
      <c r="AX57">
        <v>2.77</v>
      </c>
      <c r="AY57" s="24">
        <v>1.02</v>
      </c>
      <c r="AZ57" t="s">
        <v>4</v>
      </c>
      <c r="BA57" t="s">
        <v>4</v>
      </c>
      <c r="BB57" t="s">
        <v>4</v>
      </c>
      <c r="BC57" t="s">
        <v>4</v>
      </c>
      <c r="BD57" t="s">
        <v>4</v>
      </c>
      <c r="BE57" t="s">
        <v>4</v>
      </c>
      <c r="BF57" t="s">
        <v>4</v>
      </c>
      <c r="BG57">
        <v>1.54</v>
      </c>
      <c r="BH57" t="s">
        <v>4</v>
      </c>
      <c r="BI57" t="s">
        <v>4</v>
      </c>
      <c r="BJ57" t="s">
        <v>4</v>
      </c>
      <c r="BK57" t="s">
        <v>4</v>
      </c>
      <c r="BL57" t="s">
        <v>4</v>
      </c>
      <c r="BM57" t="s">
        <v>4</v>
      </c>
      <c r="BN57" s="24">
        <v>1.71</v>
      </c>
      <c r="BO57" t="s">
        <v>4</v>
      </c>
      <c r="BP57" t="s">
        <v>4</v>
      </c>
      <c r="BQ57">
        <v>3.18</v>
      </c>
      <c r="BR57" t="s">
        <v>4</v>
      </c>
      <c r="BS57" t="s">
        <v>4</v>
      </c>
      <c r="BT57" t="s">
        <v>4</v>
      </c>
      <c r="BU57" t="s">
        <v>4</v>
      </c>
      <c r="BV57" t="s">
        <v>4</v>
      </c>
      <c r="BW57" t="s">
        <v>4</v>
      </c>
      <c r="BX57" t="s">
        <v>4</v>
      </c>
      <c r="BY57" t="s">
        <v>4</v>
      </c>
      <c r="BZ57">
        <v>6.18</v>
      </c>
      <c r="CA57" t="s">
        <v>4</v>
      </c>
      <c r="CB57" t="s">
        <v>4</v>
      </c>
      <c r="CC57" t="s">
        <v>4</v>
      </c>
      <c r="CD57" t="s">
        <v>4</v>
      </c>
      <c r="CE57" t="s">
        <v>4</v>
      </c>
      <c r="CF57" t="s">
        <v>4</v>
      </c>
      <c r="CG57" t="s">
        <v>4</v>
      </c>
      <c r="CH57" t="s">
        <v>4</v>
      </c>
      <c r="CI57" t="s">
        <v>4</v>
      </c>
      <c r="CJ57" t="s">
        <v>4</v>
      </c>
      <c r="CK57" t="s">
        <v>4</v>
      </c>
      <c r="CL57" t="s">
        <v>4</v>
      </c>
      <c r="CM57" t="s">
        <v>4</v>
      </c>
      <c r="CN57" t="s">
        <v>4</v>
      </c>
      <c r="CO57" t="s">
        <v>4</v>
      </c>
      <c r="CP57" t="s">
        <v>4</v>
      </c>
      <c r="CQ57" t="s">
        <v>4</v>
      </c>
      <c r="CR57" t="s">
        <v>4</v>
      </c>
      <c r="CS57" t="s">
        <v>4</v>
      </c>
    </row>
    <row r="58" spans="1:97" ht="14.4" x14ac:dyDescent="0.3">
      <c r="A58" t="s">
        <v>41</v>
      </c>
      <c r="B58" s="11" t="s">
        <v>216</v>
      </c>
      <c r="C58" t="s">
        <v>4</v>
      </c>
      <c r="D58" t="s">
        <v>4</v>
      </c>
      <c r="E58" t="s">
        <v>4</v>
      </c>
      <c r="F58" t="s">
        <v>4</v>
      </c>
      <c r="G58" t="s">
        <v>4</v>
      </c>
      <c r="H58" t="s">
        <v>4</v>
      </c>
      <c r="I58" t="s">
        <v>4</v>
      </c>
      <c r="J58" t="s">
        <v>4</v>
      </c>
      <c r="K58">
        <v>1.33</v>
      </c>
      <c r="L58" t="s">
        <v>4</v>
      </c>
      <c r="M58" t="s">
        <v>4</v>
      </c>
      <c r="N58" t="s">
        <v>4</v>
      </c>
      <c r="O58" s="24">
        <v>48.01</v>
      </c>
      <c r="P58">
        <v>3.37</v>
      </c>
      <c r="Q58" t="s">
        <v>4</v>
      </c>
      <c r="R58" t="s">
        <v>4</v>
      </c>
      <c r="S58" t="s">
        <v>4</v>
      </c>
      <c r="T58" t="s">
        <v>4</v>
      </c>
      <c r="U58">
        <v>1.3</v>
      </c>
      <c r="V58" t="s">
        <v>4</v>
      </c>
      <c r="W58" t="s">
        <v>4</v>
      </c>
      <c r="X58" t="s">
        <v>4</v>
      </c>
      <c r="Y58" t="s">
        <v>4</v>
      </c>
      <c r="Z58" t="s">
        <v>4</v>
      </c>
      <c r="AA58" t="s">
        <v>4</v>
      </c>
      <c r="AB58" t="s">
        <v>4</v>
      </c>
      <c r="AC58" t="s">
        <v>4</v>
      </c>
      <c r="AD58" s="24">
        <v>3.62</v>
      </c>
      <c r="AE58" s="24">
        <v>0.62000000000000011</v>
      </c>
      <c r="AF58" t="s">
        <v>4</v>
      </c>
      <c r="AG58">
        <v>31.99</v>
      </c>
      <c r="AH58" t="s">
        <v>4</v>
      </c>
      <c r="AI58" t="s">
        <v>4</v>
      </c>
      <c r="AJ58" t="s">
        <v>4</v>
      </c>
      <c r="AK58" t="s">
        <v>4</v>
      </c>
      <c r="AL58" t="s">
        <v>4</v>
      </c>
      <c r="AM58" t="s">
        <v>4</v>
      </c>
      <c r="AN58" t="s">
        <v>4</v>
      </c>
      <c r="AO58" t="s">
        <v>4</v>
      </c>
      <c r="AP58">
        <v>3.04</v>
      </c>
      <c r="AQ58" t="s">
        <v>4</v>
      </c>
      <c r="AR58" t="s">
        <v>4</v>
      </c>
      <c r="AS58" t="s">
        <v>4</v>
      </c>
      <c r="AT58" t="s">
        <v>4</v>
      </c>
      <c r="AU58" s="24">
        <v>0.44000000000000006</v>
      </c>
      <c r="AV58" t="s">
        <v>4</v>
      </c>
      <c r="AW58" t="s">
        <v>4</v>
      </c>
      <c r="AX58">
        <v>1.22</v>
      </c>
      <c r="AY58" s="24">
        <v>2.34</v>
      </c>
      <c r="AZ58" t="s">
        <v>4</v>
      </c>
      <c r="BA58" t="s">
        <v>4</v>
      </c>
      <c r="BB58" t="s">
        <v>4</v>
      </c>
      <c r="BC58" t="s">
        <v>4</v>
      </c>
      <c r="BD58" t="s">
        <v>4</v>
      </c>
      <c r="BE58" t="s">
        <v>4</v>
      </c>
      <c r="BF58" t="s">
        <v>4</v>
      </c>
      <c r="BG58" t="s">
        <v>4</v>
      </c>
      <c r="BH58">
        <v>0.68</v>
      </c>
      <c r="BI58" t="s">
        <v>4</v>
      </c>
      <c r="BJ58" t="s">
        <v>4</v>
      </c>
      <c r="BK58" t="s">
        <v>4</v>
      </c>
      <c r="BL58" t="s">
        <v>4</v>
      </c>
      <c r="BM58" t="s">
        <v>4</v>
      </c>
      <c r="BN58" s="24">
        <v>27.19</v>
      </c>
      <c r="BO58" t="s">
        <v>4</v>
      </c>
      <c r="BP58" t="s">
        <v>4</v>
      </c>
      <c r="BQ58">
        <v>5.52</v>
      </c>
      <c r="BR58" t="s">
        <v>4</v>
      </c>
      <c r="BS58" t="s">
        <v>4</v>
      </c>
      <c r="BT58" t="s">
        <v>4</v>
      </c>
      <c r="BU58" t="s">
        <v>4</v>
      </c>
      <c r="BV58">
        <v>1.59</v>
      </c>
      <c r="BW58" t="s">
        <v>4</v>
      </c>
      <c r="BX58" t="s">
        <v>4</v>
      </c>
      <c r="BY58" t="s">
        <v>4</v>
      </c>
      <c r="BZ58">
        <v>17.64</v>
      </c>
      <c r="CA58" t="s">
        <v>4</v>
      </c>
      <c r="CB58">
        <v>1.96</v>
      </c>
      <c r="CC58" t="s">
        <v>4</v>
      </c>
      <c r="CD58" t="s">
        <v>4</v>
      </c>
      <c r="CE58" t="s">
        <v>4</v>
      </c>
      <c r="CF58" t="s">
        <v>4</v>
      </c>
      <c r="CG58" t="s">
        <v>4</v>
      </c>
      <c r="CH58" t="s">
        <v>4</v>
      </c>
      <c r="CI58" t="s">
        <v>4</v>
      </c>
      <c r="CJ58" t="s">
        <v>4</v>
      </c>
      <c r="CK58" t="s">
        <v>4</v>
      </c>
      <c r="CL58" t="s">
        <v>4</v>
      </c>
      <c r="CM58" t="s">
        <v>4</v>
      </c>
      <c r="CN58">
        <v>4.4700000000000006</v>
      </c>
      <c r="CO58" t="s">
        <v>4</v>
      </c>
      <c r="CP58" t="s">
        <v>4</v>
      </c>
      <c r="CQ58" t="s">
        <v>4</v>
      </c>
      <c r="CR58" t="s">
        <v>4</v>
      </c>
      <c r="CS58" t="s">
        <v>4</v>
      </c>
    </row>
    <row r="59" spans="1:97" ht="14.4" x14ac:dyDescent="0.3">
      <c r="A59" t="s">
        <v>42</v>
      </c>
      <c r="B59" s="11" t="s">
        <v>217</v>
      </c>
      <c r="C59" t="s">
        <v>4</v>
      </c>
      <c r="D59" t="s">
        <v>4</v>
      </c>
      <c r="E59" t="s">
        <v>4</v>
      </c>
      <c r="F59" t="s">
        <v>4</v>
      </c>
      <c r="G59">
        <v>1.27</v>
      </c>
      <c r="H59">
        <v>3.63</v>
      </c>
      <c r="I59" t="s">
        <v>4</v>
      </c>
      <c r="J59" t="s">
        <v>4</v>
      </c>
      <c r="K59">
        <v>1.26</v>
      </c>
      <c r="L59" t="s">
        <v>4</v>
      </c>
      <c r="M59">
        <v>13.85</v>
      </c>
      <c r="N59" t="s">
        <v>4</v>
      </c>
      <c r="O59" s="24" t="s">
        <v>4</v>
      </c>
      <c r="P59">
        <v>103.84</v>
      </c>
      <c r="Q59" t="s">
        <v>4</v>
      </c>
      <c r="R59" t="s">
        <v>4</v>
      </c>
      <c r="S59" t="s">
        <v>4</v>
      </c>
      <c r="T59" t="s">
        <v>4</v>
      </c>
      <c r="U59">
        <v>0.39</v>
      </c>
      <c r="V59" t="s">
        <v>4</v>
      </c>
      <c r="W59" t="s">
        <v>4</v>
      </c>
      <c r="X59" t="s">
        <v>4</v>
      </c>
      <c r="Y59" t="s">
        <v>4</v>
      </c>
      <c r="Z59" t="s">
        <v>4</v>
      </c>
      <c r="AA59" t="s">
        <v>4</v>
      </c>
      <c r="AB59" t="s">
        <v>4</v>
      </c>
      <c r="AC59" t="s">
        <v>4</v>
      </c>
      <c r="AD59" s="24">
        <v>6.0799999999999992</v>
      </c>
      <c r="AE59" s="24">
        <v>0.56000000000000005</v>
      </c>
      <c r="AF59" t="s">
        <v>4</v>
      </c>
      <c r="AG59">
        <v>12.23</v>
      </c>
      <c r="AH59" t="s">
        <v>4</v>
      </c>
      <c r="AI59" t="s">
        <v>4</v>
      </c>
      <c r="AJ59" t="s">
        <v>4</v>
      </c>
      <c r="AK59" t="s">
        <v>4</v>
      </c>
      <c r="AL59" t="s">
        <v>4</v>
      </c>
      <c r="AM59" t="s">
        <v>4</v>
      </c>
      <c r="AN59" t="s">
        <v>4</v>
      </c>
      <c r="AO59" t="s">
        <v>4</v>
      </c>
      <c r="AP59">
        <v>2.79</v>
      </c>
      <c r="AQ59" t="s">
        <v>4</v>
      </c>
      <c r="AR59">
        <v>11.11</v>
      </c>
      <c r="AS59" t="s">
        <v>4</v>
      </c>
      <c r="AT59" t="s">
        <v>4</v>
      </c>
      <c r="AU59" s="24">
        <v>0.21999999999999997</v>
      </c>
      <c r="AV59" t="s">
        <v>4</v>
      </c>
      <c r="AW59" t="s">
        <v>4</v>
      </c>
      <c r="AX59">
        <v>1.27</v>
      </c>
      <c r="AY59" s="24">
        <v>13.12</v>
      </c>
      <c r="AZ59" t="s">
        <v>4</v>
      </c>
      <c r="BA59" t="s">
        <v>4</v>
      </c>
      <c r="BB59" t="s">
        <v>4</v>
      </c>
      <c r="BC59" t="s">
        <v>4</v>
      </c>
      <c r="BD59" t="s">
        <v>4</v>
      </c>
      <c r="BE59" t="s">
        <v>4</v>
      </c>
      <c r="BF59" t="s">
        <v>4</v>
      </c>
      <c r="BG59" t="s">
        <v>4</v>
      </c>
      <c r="BH59">
        <v>1.04</v>
      </c>
      <c r="BI59" t="s">
        <v>4</v>
      </c>
      <c r="BJ59" t="s">
        <v>4</v>
      </c>
      <c r="BK59" t="s">
        <v>4</v>
      </c>
      <c r="BL59">
        <v>0.82</v>
      </c>
      <c r="BM59" t="s">
        <v>4</v>
      </c>
      <c r="BN59" s="24">
        <v>15.280000000000001</v>
      </c>
      <c r="BO59" t="s">
        <v>4</v>
      </c>
      <c r="BP59" t="s">
        <v>4</v>
      </c>
      <c r="BQ59">
        <v>2.21</v>
      </c>
      <c r="BR59" t="s">
        <v>4</v>
      </c>
      <c r="BS59" t="s">
        <v>4</v>
      </c>
      <c r="BT59" t="s">
        <v>4</v>
      </c>
      <c r="BU59" t="s">
        <v>4</v>
      </c>
      <c r="BV59" t="s">
        <v>4</v>
      </c>
      <c r="BW59" t="s">
        <v>4</v>
      </c>
      <c r="BX59" t="s">
        <v>4</v>
      </c>
      <c r="BY59" t="s">
        <v>4</v>
      </c>
      <c r="BZ59">
        <v>18.8</v>
      </c>
      <c r="CA59" t="s">
        <v>4</v>
      </c>
      <c r="CB59">
        <v>9.27</v>
      </c>
      <c r="CC59" t="s">
        <v>4</v>
      </c>
      <c r="CD59" t="s">
        <v>4</v>
      </c>
      <c r="CE59" t="s">
        <v>4</v>
      </c>
      <c r="CF59" t="s">
        <v>4</v>
      </c>
      <c r="CG59" t="s">
        <v>4</v>
      </c>
      <c r="CH59" t="s">
        <v>4</v>
      </c>
      <c r="CI59" t="s">
        <v>4</v>
      </c>
      <c r="CJ59" t="s">
        <v>4</v>
      </c>
      <c r="CK59" t="s">
        <v>4</v>
      </c>
      <c r="CL59" t="s">
        <v>4</v>
      </c>
      <c r="CM59" t="s">
        <v>4</v>
      </c>
      <c r="CN59">
        <v>2.0199999999999996</v>
      </c>
      <c r="CO59" t="s">
        <v>4</v>
      </c>
      <c r="CP59" t="s">
        <v>4</v>
      </c>
      <c r="CQ59" t="s">
        <v>4</v>
      </c>
      <c r="CR59" t="s">
        <v>4</v>
      </c>
      <c r="CS59" t="s">
        <v>4</v>
      </c>
    </row>
    <row r="60" spans="1:97" ht="14.4" x14ac:dyDescent="0.3">
      <c r="A60" t="s">
        <v>43</v>
      </c>
      <c r="B60" s="11" t="s">
        <v>218</v>
      </c>
      <c r="C60" t="s">
        <v>4</v>
      </c>
      <c r="D60" t="s">
        <v>4</v>
      </c>
      <c r="E60" t="s">
        <v>4</v>
      </c>
      <c r="F60" t="s">
        <v>4</v>
      </c>
      <c r="G60" t="s">
        <v>4</v>
      </c>
      <c r="H60">
        <v>3.78</v>
      </c>
      <c r="I60" t="s">
        <v>4</v>
      </c>
      <c r="J60" t="s">
        <v>4</v>
      </c>
      <c r="K60">
        <v>0.74</v>
      </c>
      <c r="L60" t="s">
        <v>4</v>
      </c>
      <c r="M60" t="s">
        <v>4</v>
      </c>
      <c r="N60" t="s">
        <v>4</v>
      </c>
      <c r="O60" s="24">
        <v>143.77000000000001</v>
      </c>
      <c r="P60">
        <v>8.27</v>
      </c>
      <c r="Q60" t="s">
        <v>4</v>
      </c>
      <c r="R60" t="s">
        <v>4</v>
      </c>
      <c r="S60" t="s">
        <v>4</v>
      </c>
      <c r="T60" t="s">
        <v>4</v>
      </c>
      <c r="U60">
        <v>1.92</v>
      </c>
      <c r="V60" t="s">
        <v>4</v>
      </c>
      <c r="W60" t="s">
        <v>4</v>
      </c>
      <c r="X60" t="s">
        <v>4</v>
      </c>
      <c r="Y60" t="s">
        <v>4</v>
      </c>
      <c r="Z60" t="s">
        <v>4</v>
      </c>
      <c r="AA60">
        <v>0.64</v>
      </c>
      <c r="AB60" t="s">
        <v>4</v>
      </c>
      <c r="AC60" t="s">
        <v>4</v>
      </c>
      <c r="AD60" s="24">
        <v>1.0700000000000003</v>
      </c>
      <c r="AE60" s="24">
        <v>0.13</v>
      </c>
      <c r="AF60" t="s">
        <v>4</v>
      </c>
      <c r="AG60">
        <v>114.85</v>
      </c>
      <c r="AH60" t="s">
        <v>4</v>
      </c>
      <c r="AI60" t="s">
        <v>4</v>
      </c>
      <c r="AJ60" t="s">
        <v>4</v>
      </c>
      <c r="AK60" t="s">
        <v>4</v>
      </c>
      <c r="AL60" t="s">
        <v>4</v>
      </c>
      <c r="AM60" t="s">
        <v>4</v>
      </c>
      <c r="AN60" t="s">
        <v>4</v>
      </c>
      <c r="AO60" t="s">
        <v>4</v>
      </c>
      <c r="AP60">
        <v>8.91</v>
      </c>
      <c r="AQ60" t="s">
        <v>4</v>
      </c>
      <c r="AR60" t="s">
        <v>4</v>
      </c>
      <c r="AS60" t="s">
        <v>4</v>
      </c>
      <c r="AT60" t="s">
        <v>4</v>
      </c>
      <c r="AU60" s="24">
        <v>0.26</v>
      </c>
      <c r="AV60" t="s">
        <v>4</v>
      </c>
      <c r="AW60" t="s">
        <v>4</v>
      </c>
      <c r="AX60">
        <v>2.68</v>
      </c>
      <c r="AY60" s="24">
        <v>2.04</v>
      </c>
      <c r="AZ60" t="s">
        <v>4</v>
      </c>
      <c r="BA60" t="s">
        <v>4</v>
      </c>
      <c r="BB60" t="s">
        <v>4</v>
      </c>
      <c r="BC60" t="s">
        <v>4</v>
      </c>
      <c r="BD60" t="s">
        <v>4</v>
      </c>
      <c r="BE60" t="s">
        <v>4</v>
      </c>
      <c r="BF60" t="s">
        <v>4</v>
      </c>
      <c r="BG60" t="s">
        <v>4</v>
      </c>
      <c r="BH60">
        <v>0.31</v>
      </c>
      <c r="BI60" t="s">
        <v>4</v>
      </c>
      <c r="BJ60" t="s">
        <v>4</v>
      </c>
      <c r="BK60" t="s">
        <v>4</v>
      </c>
      <c r="BL60" t="s">
        <v>4</v>
      </c>
      <c r="BM60" t="s">
        <v>4</v>
      </c>
      <c r="BN60" s="24">
        <v>21.54</v>
      </c>
      <c r="BO60" t="s">
        <v>4</v>
      </c>
      <c r="BP60" t="s">
        <v>4</v>
      </c>
      <c r="BQ60">
        <v>10.27</v>
      </c>
      <c r="BR60" t="s">
        <v>4</v>
      </c>
      <c r="BS60" t="s">
        <v>4</v>
      </c>
      <c r="BT60" t="s">
        <v>4</v>
      </c>
      <c r="BU60" t="s">
        <v>4</v>
      </c>
      <c r="BV60">
        <v>4.67</v>
      </c>
      <c r="BW60" t="s">
        <v>4</v>
      </c>
      <c r="BX60" t="s">
        <v>4</v>
      </c>
      <c r="BY60" t="s">
        <v>4</v>
      </c>
      <c r="BZ60">
        <v>10.8</v>
      </c>
      <c r="CA60" t="s">
        <v>4</v>
      </c>
      <c r="CB60">
        <v>1.5</v>
      </c>
      <c r="CC60" t="s">
        <v>4</v>
      </c>
      <c r="CD60" t="s">
        <v>4</v>
      </c>
      <c r="CE60" t="s">
        <v>4</v>
      </c>
      <c r="CF60" t="s">
        <v>4</v>
      </c>
      <c r="CG60" t="s">
        <v>4</v>
      </c>
      <c r="CH60" t="s">
        <v>4</v>
      </c>
      <c r="CI60" t="s">
        <v>4</v>
      </c>
      <c r="CJ60" t="s">
        <v>4</v>
      </c>
      <c r="CK60" t="s">
        <v>4</v>
      </c>
      <c r="CL60" t="s">
        <v>4</v>
      </c>
      <c r="CM60" t="s">
        <v>4</v>
      </c>
      <c r="CN60">
        <v>5.4600000000000009</v>
      </c>
      <c r="CO60" t="s">
        <v>4</v>
      </c>
      <c r="CP60" t="s">
        <v>4</v>
      </c>
      <c r="CQ60" t="s">
        <v>4</v>
      </c>
      <c r="CR60" t="s">
        <v>4</v>
      </c>
      <c r="CS60" t="s">
        <v>4</v>
      </c>
    </row>
    <row r="61" spans="1:97" ht="14.4" x14ac:dyDescent="0.3">
      <c r="A61" t="s">
        <v>44</v>
      </c>
      <c r="B61" s="11" t="s">
        <v>219</v>
      </c>
      <c r="C61" t="s">
        <v>4</v>
      </c>
      <c r="D61" t="s">
        <v>4</v>
      </c>
      <c r="E61" t="s">
        <v>4</v>
      </c>
      <c r="F61" t="s">
        <v>4</v>
      </c>
      <c r="G61">
        <v>0.61</v>
      </c>
      <c r="H61">
        <v>0.9</v>
      </c>
      <c r="I61" t="s">
        <v>4</v>
      </c>
      <c r="J61" t="s">
        <v>4</v>
      </c>
      <c r="K61" t="s">
        <v>4</v>
      </c>
      <c r="L61" t="s">
        <v>4</v>
      </c>
      <c r="M61">
        <v>6.65</v>
      </c>
      <c r="N61" t="s">
        <v>4</v>
      </c>
      <c r="O61" s="24" t="s">
        <v>4</v>
      </c>
      <c r="P61">
        <v>114.8</v>
      </c>
      <c r="Q61">
        <v>4.03</v>
      </c>
      <c r="R61" t="s">
        <v>4</v>
      </c>
      <c r="S61" t="s">
        <v>4</v>
      </c>
      <c r="T61">
        <v>7.8</v>
      </c>
      <c r="U61" t="s">
        <v>4</v>
      </c>
      <c r="V61" t="s">
        <v>4</v>
      </c>
      <c r="W61" t="s">
        <v>4</v>
      </c>
      <c r="X61" t="s">
        <v>4</v>
      </c>
      <c r="Y61" t="s">
        <v>4</v>
      </c>
      <c r="Z61" t="s">
        <v>4</v>
      </c>
      <c r="AA61" t="s">
        <v>4</v>
      </c>
      <c r="AB61" t="s">
        <v>4</v>
      </c>
      <c r="AC61" t="s">
        <v>4</v>
      </c>
      <c r="AD61" s="24">
        <v>1.7800000000000002</v>
      </c>
      <c r="AE61" s="24" t="s">
        <v>4</v>
      </c>
      <c r="AF61" t="s">
        <v>4</v>
      </c>
      <c r="AG61">
        <v>27.07</v>
      </c>
      <c r="AH61" t="s">
        <v>4</v>
      </c>
      <c r="AI61" t="s">
        <v>4</v>
      </c>
      <c r="AJ61" t="s">
        <v>4</v>
      </c>
      <c r="AK61" t="s">
        <v>4</v>
      </c>
      <c r="AL61" t="s">
        <v>4</v>
      </c>
      <c r="AM61" t="s">
        <v>4</v>
      </c>
      <c r="AN61" t="s">
        <v>4</v>
      </c>
      <c r="AO61" t="s">
        <v>4</v>
      </c>
      <c r="AP61">
        <v>12.21</v>
      </c>
      <c r="AQ61" t="s">
        <v>4</v>
      </c>
      <c r="AR61">
        <v>6.53</v>
      </c>
      <c r="AS61" t="s">
        <v>4</v>
      </c>
      <c r="AT61" t="s">
        <v>4</v>
      </c>
      <c r="AU61" s="24">
        <v>0.74</v>
      </c>
      <c r="AV61" t="s">
        <v>4</v>
      </c>
      <c r="AW61" t="s">
        <v>4</v>
      </c>
      <c r="AX61">
        <v>2.95</v>
      </c>
      <c r="AY61" s="24">
        <v>1.26</v>
      </c>
      <c r="AZ61" t="s">
        <v>4</v>
      </c>
      <c r="BA61" t="s">
        <v>4</v>
      </c>
      <c r="BB61" t="s">
        <v>4</v>
      </c>
      <c r="BC61" t="s">
        <v>4</v>
      </c>
      <c r="BD61" t="s">
        <v>4</v>
      </c>
      <c r="BE61" t="s">
        <v>4</v>
      </c>
      <c r="BF61" t="s">
        <v>4</v>
      </c>
      <c r="BG61">
        <v>2.6</v>
      </c>
      <c r="BH61">
        <v>0.43</v>
      </c>
      <c r="BI61" t="s">
        <v>4</v>
      </c>
      <c r="BJ61" t="s">
        <v>4</v>
      </c>
      <c r="BK61" t="s">
        <v>4</v>
      </c>
      <c r="BL61" t="s">
        <v>4</v>
      </c>
      <c r="BM61">
        <v>0.06</v>
      </c>
      <c r="BN61" s="24">
        <v>6.6099999999999994</v>
      </c>
      <c r="BO61" t="s">
        <v>4</v>
      </c>
      <c r="BP61" t="s">
        <v>4</v>
      </c>
      <c r="BQ61" t="s">
        <v>4</v>
      </c>
      <c r="BR61" t="s">
        <v>4</v>
      </c>
      <c r="BS61" t="s">
        <v>4</v>
      </c>
      <c r="BT61" t="s">
        <v>4</v>
      </c>
      <c r="BU61" t="s">
        <v>4</v>
      </c>
      <c r="BV61" t="s">
        <v>4</v>
      </c>
      <c r="BW61" t="s">
        <v>4</v>
      </c>
      <c r="BX61" t="s">
        <v>4</v>
      </c>
      <c r="BY61" t="s">
        <v>4</v>
      </c>
      <c r="BZ61">
        <v>14.86</v>
      </c>
      <c r="CA61" t="s">
        <v>4</v>
      </c>
      <c r="CB61" t="s">
        <v>4</v>
      </c>
      <c r="CC61" t="s">
        <v>4</v>
      </c>
      <c r="CD61" t="s">
        <v>4</v>
      </c>
      <c r="CE61" t="s">
        <v>4</v>
      </c>
      <c r="CF61" t="s">
        <v>4</v>
      </c>
      <c r="CG61" t="s">
        <v>4</v>
      </c>
      <c r="CH61" t="s">
        <v>4</v>
      </c>
      <c r="CI61" t="s">
        <v>4</v>
      </c>
      <c r="CJ61" t="s">
        <v>4</v>
      </c>
      <c r="CK61" t="s">
        <v>4</v>
      </c>
      <c r="CL61" t="s">
        <v>4</v>
      </c>
      <c r="CM61" t="s">
        <v>4</v>
      </c>
      <c r="CN61">
        <v>2.1300000000000008</v>
      </c>
      <c r="CO61" t="s">
        <v>4</v>
      </c>
      <c r="CP61" t="s">
        <v>4</v>
      </c>
      <c r="CQ61" t="s">
        <v>4</v>
      </c>
      <c r="CR61" t="s">
        <v>4</v>
      </c>
      <c r="CS61" t="s">
        <v>4</v>
      </c>
    </row>
    <row r="62" spans="1:97" ht="14.4" x14ac:dyDescent="0.3">
      <c r="A62" t="s">
        <v>45</v>
      </c>
      <c r="B62" s="11" t="s">
        <v>220</v>
      </c>
      <c r="C62" t="s">
        <v>4</v>
      </c>
      <c r="D62" t="s">
        <v>4</v>
      </c>
      <c r="E62" t="s">
        <v>4</v>
      </c>
      <c r="F62" t="s">
        <v>4</v>
      </c>
      <c r="G62" t="s">
        <v>4</v>
      </c>
      <c r="H62">
        <v>0.86</v>
      </c>
      <c r="I62" t="s">
        <v>4</v>
      </c>
      <c r="J62" t="s">
        <v>4</v>
      </c>
      <c r="K62">
        <v>1.46</v>
      </c>
      <c r="L62" t="s">
        <v>4</v>
      </c>
      <c r="M62" t="s">
        <v>4</v>
      </c>
      <c r="N62" t="s">
        <v>4</v>
      </c>
      <c r="O62" s="24">
        <v>80.27000000000001</v>
      </c>
      <c r="P62">
        <v>4.3</v>
      </c>
      <c r="Q62" t="s">
        <v>4</v>
      </c>
      <c r="R62" t="s">
        <v>4</v>
      </c>
      <c r="S62" t="s">
        <v>4</v>
      </c>
      <c r="T62" t="s">
        <v>4</v>
      </c>
      <c r="U62">
        <v>1.26</v>
      </c>
      <c r="V62" t="s">
        <v>4</v>
      </c>
      <c r="W62" t="s">
        <v>4</v>
      </c>
      <c r="X62" t="s">
        <v>4</v>
      </c>
      <c r="Y62" t="s">
        <v>4</v>
      </c>
      <c r="Z62" t="s">
        <v>4</v>
      </c>
      <c r="AA62" t="s">
        <v>4</v>
      </c>
      <c r="AB62" t="s">
        <v>4</v>
      </c>
      <c r="AC62" t="s">
        <v>4</v>
      </c>
      <c r="AD62" s="24">
        <v>2.0599999999999996</v>
      </c>
      <c r="AE62" s="24">
        <v>0.64000000000000012</v>
      </c>
      <c r="AF62" t="s">
        <v>4</v>
      </c>
      <c r="AG62">
        <v>34.74</v>
      </c>
      <c r="AH62" t="s">
        <v>4</v>
      </c>
      <c r="AI62" t="s">
        <v>4</v>
      </c>
      <c r="AJ62" t="s">
        <v>4</v>
      </c>
      <c r="AK62" t="s">
        <v>4</v>
      </c>
      <c r="AL62" t="s">
        <v>4</v>
      </c>
      <c r="AM62" t="s">
        <v>4</v>
      </c>
      <c r="AN62" t="s">
        <v>4</v>
      </c>
      <c r="AO62" t="s">
        <v>4</v>
      </c>
      <c r="AP62">
        <v>3.65</v>
      </c>
      <c r="AQ62" t="s">
        <v>4</v>
      </c>
      <c r="AR62" t="s">
        <v>4</v>
      </c>
      <c r="AS62" t="s">
        <v>4</v>
      </c>
      <c r="AT62" t="s">
        <v>4</v>
      </c>
      <c r="AU62" s="24">
        <v>0.44999999999999996</v>
      </c>
      <c r="AV62" t="s">
        <v>4</v>
      </c>
      <c r="AW62" t="s">
        <v>4</v>
      </c>
      <c r="AX62">
        <v>1.7</v>
      </c>
      <c r="AY62" s="24">
        <v>3.09</v>
      </c>
      <c r="AZ62" t="s">
        <v>4</v>
      </c>
      <c r="BA62" t="s">
        <v>4</v>
      </c>
      <c r="BB62" t="s">
        <v>4</v>
      </c>
      <c r="BC62" t="s">
        <v>4</v>
      </c>
      <c r="BD62" t="s">
        <v>4</v>
      </c>
      <c r="BE62" t="s">
        <v>4</v>
      </c>
      <c r="BF62" t="s">
        <v>4</v>
      </c>
      <c r="BG62" t="s">
        <v>4</v>
      </c>
      <c r="BH62">
        <v>0.28999999999999998</v>
      </c>
      <c r="BI62" t="s">
        <v>4</v>
      </c>
      <c r="BJ62" t="s">
        <v>4</v>
      </c>
      <c r="BK62" t="s">
        <v>4</v>
      </c>
      <c r="BL62" t="s">
        <v>4</v>
      </c>
      <c r="BM62" t="s">
        <v>4</v>
      </c>
      <c r="BN62" s="24">
        <v>17.87</v>
      </c>
      <c r="BO62" t="s">
        <v>4</v>
      </c>
      <c r="BP62" t="s">
        <v>4</v>
      </c>
      <c r="BQ62">
        <v>5.44</v>
      </c>
      <c r="BR62" t="s">
        <v>4</v>
      </c>
      <c r="BS62" t="s">
        <v>4</v>
      </c>
      <c r="BT62" t="s">
        <v>4</v>
      </c>
      <c r="BU62" t="s">
        <v>4</v>
      </c>
      <c r="BV62">
        <v>2.95</v>
      </c>
      <c r="BW62" t="s">
        <v>4</v>
      </c>
      <c r="BX62" t="s">
        <v>4</v>
      </c>
      <c r="BY62" t="s">
        <v>4</v>
      </c>
      <c r="BZ62">
        <v>9.07</v>
      </c>
      <c r="CA62" t="s">
        <v>4</v>
      </c>
      <c r="CB62">
        <v>1.61</v>
      </c>
      <c r="CC62" t="s">
        <v>4</v>
      </c>
      <c r="CD62" t="s">
        <v>4</v>
      </c>
      <c r="CE62" t="s">
        <v>4</v>
      </c>
      <c r="CF62" t="s">
        <v>4</v>
      </c>
      <c r="CG62" t="s">
        <v>4</v>
      </c>
      <c r="CH62" t="s">
        <v>4</v>
      </c>
      <c r="CI62" t="s">
        <v>4</v>
      </c>
      <c r="CJ62" t="s">
        <v>4</v>
      </c>
      <c r="CK62" t="s">
        <v>4</v>
      </c>
      <c r="CL62" t="s">
        <v>4</v>
      </c>
      <c r="CM62">
        <v>0.41999999999999993</v>
      </c>
      <c r="CN62">
        <v>5.2799999999999994</v>
      </c>
      <c r="CO62" t="s">
        <v>4</v>
      </c>
      <c r="CP62" t="s">
        <v>4</v>
      </c>
      <c r="CQ62" t="s">
        <v>4</v>
      </c>
      <c r="CR62" t="s">
        <v>4</v>
      </c>
      <c r="CS62" t="s">
        <v>4</v>
      </c>
    </row>
    <row r="63" spans="1:97" ht="14.4" x14ac:dyDescent="0.3">
      <c r="A63" t="s">
        <v>46</v>
      </c>
      <c r="B63" s="11" t="s">
        <v>221</v>
      </c>
      <c r="C63" t="s">
        <v>4</v>
      </c>
      <c r="D63" t="s">
        <v>4</v>
      </c>
      <c r="E63" t="s">
        <v>4</v>
      </c>
      <c r="F63" t="s">
        <v>4</v>
      </c>
      <c r="G63">
        <v>1.37</v>
      </c>
      <c r="H63">
        <v>3.85</v>
      </c>
      <c r="I63" t="s">
        <v>4</v>
      </c>
      <c r="J63" t="s">
        <v>4</v>
      </c>
      <c r="K63">
        <v>1.46</v>
      </c>
      <c r="L63" t="s">
        <v>4</v>
      </c>
      <c r="M63">
        <v>17.309999999999999</v>
      </c>
      <c r="N63" t="s">
        <v>4</v>
      </c>
      <c r="O63" s="24">
        <v>84.110000000000014</v>
      </c>
      <c r="P63">
        <v>119.67</v>
      </c>
      <c r="Q63" t="s">
        <v>4</v>
      </c>
      <c r="R63" t="s">
        <v>4</v>
      </c>
      <c r="S63" t="s">
        <v>4</v>
      </c>
      <c r="T63" t="s">
        <v>4</v>
      </c>
      <c r="U63">
        <v>0.47</v>
      </c>
      <c r="V63" t="s">
        <v>4</v>
      </c>
      <c r="W63" t="s">
        <v>4</v>
      </c>
      <c r="X63" t="s">
        <v>4</v>
      </c>
      <c r="Y63" t="s">
        <v>4</v>
      </c>
      <c r="Z63" t="s">
        <v>4</v>
      </c>
      <c r="AA63" t="s">
        <v>4</v>
      </c>
      <c r="AB63" t="s">
        <v>4</v>
      </c>
      <c r="AC63" t="s">
        <v>4</v>
      </c>
      <c r="AD63" s="24">
        <v>5.71</v>
      </c>
      <c r="AE63" s="24" t="s">
        <v>4</v>
      </c>
      <c r="AF63" t="s">
        <v>4</v>
      </c>
      <c r="AG63">
        <v>13.46</v>
      </c>
      <c r="AH63" t="s">
        <v>4</v>
      </c>
      <c r="AI63" t="s">
        <v>4</v>
      </c>
      <c r="AJ63" t="s">
        <v>4</v>
      </c>
      <c r="AK63" t="s">
        <v>4</v>
      </c>
      <c r="AL63" t="s">
        <v>4</v>
      </c>
      <c r="AM63" t="s">
        <v>4</v>
      </c>
      <c r="AN63" t="s">
        <v>4</v>
      </c>
      <c r="AO63" t="s">
        <v>4</v>
      </c>
      <c r="AP63">
        <v>5.57</v>
      </c>
      <c r="AQ63" t="s">
        <v>4</v>
      </c>
      <c r="AR63">
        <v>10.82</v>
      </c>
      <c r="AS63" t="s">
        <v>4</v>
      </c>
      <c r="AT63" t="s">
        <v>4</v>
      </c>
      <c r="AU63" s="24">
        <v>0.32000000000000006</v>
      </c>
      <c r="AV63" t="s">
        <v>4</v>
      </c>
      <c r="AW63" t="s">
        <v>4</v>
      </c>
      <c r="AX63">
        <v>2.62</v>
      </c>
      <c r="AY63" s="24">
        <v>12.58</v>
      </c>
      <c r="AZ63" t="s">
        <v>4</v>
      </c>
      <c r="BA63" t="s">
        <v>4</v>
      </c>
      <c r="BB63" t="s">
        <v>4</v>
      </c>
      <c r="BC63" t="s">
        <v>4</v>
      </c>
      <c r="BD63" t="s">
        <v>4</v>
      </c>
      <c r="BE63" t="s">
        <v>4</v>
      </c>
      <c r="BF63" t="s">
        <v>4</v>
      </c>
      <c r="BG63" t="s">
        <v>4</v>
      </c>
      <c r="BH63">
        <v>0.44</v>
      </c>
      <c r="BI63" t="s">
        <v>4</v>
      </c>
      <c r="BJ63" t="s">
        <v>4</v>
      </c>
      <c r="BK63" t="s">
        <v>4</v>
      </c>
      <c r="BL63">
        <v>0.92</v>
      </c>
      <c r="BM63" t="s">
        <v>4</v>
      </c>
      <c r="BN63" s="24">
        <v>9.26</v>
      </c>
      <c r="BO63" t="s">
        <v>4</v>
      </c>
      <c r="BP63" t="s">
        <v>4</v>
      </c>
      <c r="BQ63">
        <v>5.39</v>
      </c>
      <c r="BR63" t="s">
        <v>4</v>
      </c>
      <c r="BS63" t="s">
        <v>4</v>
      </c>
      <c r="BT63" t="s">
        <v>4</v>
      </c>
      <c r="BU63" t="s">
        <v>4</v>
      </c>
      <c r="BV63" t="s">
        <v>4</v>
      </c>
      <c r="BW63" t="s">
        <v>4</v>
      </c>
      <c r="BX63" t="s">
        <v>4</v>
      </c>
      <c r="BY63" t="s">
        <v>4</v>
      </c>
      <c r="BZ63">
        <v>12.52</v>
      </c>
      <c r="CA63" t="s">
        <v>4</v>
      </c>
      <c r="CB63">
        <v>7.78</v>
      </c>
      <c r="CC63" t="s">
        <v>4</v>
      </c>
      <c r="CD63" t="s">
        <v>4</v>
      </c>
      <c r="CE63" t="s">
        <v>4</v>
      </c>
      <c r="CF63" t="s">
        <v>4</v>
      </c>
      <c r="CG63" t="s">
        <v>4</v>
      </c>
      <c r="CH63" t="s">
        <v>4</v>
      </c>
      <c r="CI63" t="s">
        <v>4</v>
      </c>
      <c r="CJ63" t="s">
        <v>4</v>
      </c>
      <c r="CK63" t="s">
        <v>4</v>
      </c>
      <c r="CL63" t="s">
        <v>4</v>
      </c>
      <c r="CM63">
        <v>0.88999999999999968</v>
      </c>
      <c r="CN63">
        <v>4.75</v>
      </c>
      <c r="CO63" t="s">
        <v>4</v>
      </c>
      <c r="CP63" t="s">
        <v>4</v>
      </c>
      <c r="CQ63" t="s">
        <v>4</v>
      </c>
      <c r="CR63" t="s">
        <v>4</v>
      </c>
      <c r="CS63" t="s">
        <v>4</v>
      </c>
    </row>
    <row r="64" spans="1:97" ht="14.4" x14ac:dyDescent="0.3">
      <c r="A64" t="s">
        <v>47</v>
      </c>
      <c r="B64" s="11" t="s">
        <v>222</v>
      </c>
      <c r="C64" t="s">
        <v>4</v>
      </c>
      <c r="D64" t="s">
        <v>4</v>
      </c>
      <c r="E64" t="s">
        <v>4</v>
      </c>
      <c r="F64" t="s">
        <v>4</v>
      </c>
      <c r="G64" t="s">
        <v>4</v>
      </c>
      <c r="H64">
        <v>1.51</v>
      </c>
      <c r="I64" t="s">
        <v>4</v>
      </c>
      <c r="J64" t="s">
        <v>4</v>
      </c>
      <c r="K64">
        <v>1.56</v>
      </c>
      <c r="L64" t="s">
        <v>4</v>
      </c>
      <c r="M64" t="s">
        <v>4</v>
      </c>
      <c r="N64" t="s">
        <v>4</v>
      </c>
      <c r="O64" s="24">
        <v>204.65000000000003</v>
      </c>
      <c r="P64">
        <v>5.28</v>
      </c>
      <c r="Q64" t="s">
        <v>4</v>
      </c>
      <c r="R64" t="s">
        <v>4</v>
      </c>
      <c r="S64" t="s">
        <v>4</v>
      </c>
      <c r="T64" t="s">
        <v>4</v>
      </c>
      <c r="U64">
        <v>1.41</v>
      </c>
      <c r="V64" t="s">
        <v>4</v>
      </c>
      <c r="W64" t="s">
        <v>4</v>
      </c>
      <c r="X64" t="s">
        <v>4</v>
      </c>
      <c r="Y64" t="s">
        <v>4</v>
      </c>
      <c r="Z64" t="s">
        <v>4</v>
      </c>
      <c r="AA64">
        <v>0.46</v>
      </c>
      <c r="AB64" t="s">
        <v>4</v>
      </c>
      <c r="AC64" t="s">
        <v>4</v>
      </c>
      <c r="AD64" s="24">
        <v>2.3499999999999996</v>
      </c>
      <c r="AE64" s="24" t="s">
        <v>4</v>
      </c>
      <c r="AF64" t="s">
        <v>4</v>
      </c>
      <c r="AG64">
        <v>115.53</v>
      </c>
      <c r="AH64" t="s">
        <v>4</v>
      </c>
      <c r="AI64" t="s">
        <v>4</v>
      </c>
      <c r="AJ64" t="s">
        <v>4</v>
      </c>
      <c r="AK64" t="s">
        <v>4</v>
      </c>
      <c r="AL64" t="s">
        <v>4</v>
      </c>
      <c r="AM64" t="s">
        <v>4</v>
      </c>
      <c r="AN64" t="s">
        <v>4</v>
      </c>
      <c r="AO64" t="s">
        <v>4</v>
      </c>
      <c r="AP64">
        <v>11.92</v>
      </c>
      <c r="AQ64" t="s">
        <v>4</v>
      </c>
      <c r="AR64" t="s">
        <v>4</v>
      </c>
      <c r="AS64" t="s">
        <v>4</v>
      </c>
      <c r="AT64" t="s">
        <v>4</v>
      </c>
      <c r="AU64" s="24">
        <v>0.26</v>
      </c>
      <c r="AV64" t="s">
        <v>4</v>
      </c>
      <c r="AW64" t="s">
        <v>4</v>
      </c>
      <c r="AX64">
        <v>2.96</v>
      </c>
      <c r="AY64" s="24">
        <v>2.54</v>
      </c>
      <c r="AZ64" t="s">
        <v>4</v>
      </c>
      <c r="BA64" t="s">
        <v>4</v>
      </c>
      <c r="BB64" t="s">
        <v>4</v>
      </c>
      <c r="BC64" t="s">
        <v>4</v>
      </c>
      <c r="BD64" t="s">
        <v>4</v>
      </c>
      <c r="BE64" t="s">
        <v>4</v>
      </c>
      <c r="BF64" t="s">
        <v>4</v>
      </c>
      <c r="BG64" t="s">
        <v>4</v>
      </c>
      <c r="BH64">
        <v>0.23</v>
      </c>
      <c r="BI64" t="s">
        <v>4</v>
      </c>
      <c r="BJ64" t="s">
        <v>4</v>
      </c>
      <c r="BK64" t="s">
        <v>4</v>
      </c>
      <c r="BL64" t="s">
        <v>4</v>
      </c>
      <c r="BM64" t="s">
        <v>4</v>
      </c>
      <c r="BN64" s="24">
        <v>25.51</v>
      </c>
      <c r="BO64" t="s">
        <v>4</v>
      </c>
      <c r="BP64" t="s">
        <v>4</v>
      </c>
      <c r="BQ64">
        <v>16.95</v>
      </c>
      <c r="BR64" t="s">
        <v>4</v>
      </c>
      <c r="BS64" t="s">
        <v>4</v>
      </c>
      <c r="BT64" t="s">
        <v>4</v>
      </c>
      <c r="BU64">
        <v>21.16</v>
      </c>
      <c r="BV64">
        <v>5.01</v>
      </c>
      <c r="BW64" t="s">
        <v>4</v>
      </c>
      <c r="BX64" t="s">
        <v>4</v>
      </c>
      <c r="BY64" t="s">
        <v>4</v>
      </c>
      <c r="BZ64">
        <v>12.64</v>
      </c>
      <c r="CA64" t="s">
        <v>4</v>
      </c>
      <c r="CB64">
        <v>1.86</v>
      </c>
      <c r="CC64" t="s">
        <v>4</v>
      </c>
      <c r="CD64" t="s">
        <v>4</v>
      </c>
      <c r="CE64" t="s">
        <v>4</v>
      </c>
      <c r="CF64" t="s">
        <v>4</v>
      </c>
      <c r="CG64" t="s">
        <v>4</v>
      </c>
      <c r="CH64" t="s">
        <v>4</v>
      </c>
      <c r="CI64" t="s">
        <v>4</v>
      </c>
      <c r="CJ64" t="s">
        <v>4</v>
      </c>
      <c r="CK64" t="s">
        <v>4</v>
      </c>
      <c r="CL64" t="s">
        <v>4</v>
      </c>
      <c r="CM64" t="s">
        <v>4</v>
      </c>
      <c r="CN64">
        <v>3.51</v>
      </c>
      <c r="CO64" t="s">
        <v>4</v>
      </c>
      <c r="CP64" t="s">
        <v>4</v>
      </c>
      <c r="CQ64" t="s">
        <v>4</v>
      </c>
      <c r="CR64" t="s">
        <v>4</v>
      </c>
      <c r="CS64" t="s">
        <v>4</v>
      </c>
    </row>
    <row r="65" spans="1:97" ht="14.4" x14ac:dyDescent="0.3">
      <c r="A65" t="s">
        <v>48</v>
      </c>
      <c r="B65" s="11" t="s">
        <v>223</v>
      </c>
      <c r="C65" t="s">
        <v>4</v>
      </c>
      <c r="D65" t="s">
        <v>4</v>
      </c>
      <c r="E65" t="s">
        <v>4</v>
      </c>
      <c r="F65" t="s">
        <v>4</v>
      </c>
      <c r="G65">
        <v>0.54</v>
      </c>
      <c r="H65" t="s">
        <v>4</v>
      </c>
      <c r="I65" t="s">
        <v>4</v>
      </c>
      <c r="J65" t="s">
        <v>4</v>
      </c>
      <c r="K65" t="s">
        <v>4</v>
      </c>
      <c r="L65" t="s">
        <v>4</v>
      </c>
      <c r="M65" t="s">
        <v>4</v>
      </c>
      <c r="N65" t="s">
        <v>4</v>
      </c>
      <c r="O65" s="24">
        <v>34.07</v>
      </c>
      <c r="P65">
        <v>117.05</v>
      </c>
      <c r="Q65">
        <v>8.8699999999999992</v>
      </c>
      <c r="R65" t="s">
        <v>4</v>
      </c>
      <c r="S65" t="s">
        <v>4</v>
      </c>
      <c r="T65">
        <v>12.34</v>
      </c>
      <c r="U65">
        <v>0.33</v>
      </c>
      <c r="V65" t="s">
        <v>4</v>
      </c>
      <c r="W65" t="s">
        <v>4</v>
      </c>
      <c r="X65" t="s">
        <v>4</v>
      </c>
      <c r="Y65" t="s">
        <v>4</v>
      </c>
      <c r="Z65" t="s">
        <v>4</v>
      </c>
      <c r="AA65" t="s">
        <v>4</v>
      </c>
      <c r="AB65" t="s">
        <v>4</v>
      </c>
      <c r="AC65" t="s">
        <v>4</v>
      </c>
      <c r="AD65" s="24">
        <v>2.0199999999999996</v>
      </c>
      <c r="AE65" s="24" t="s">
        <v>4</v>
      </c>
      <c r="AF65" t="s">
        <v>4</v>
      </c>
      <c r="AG65">
        <v>42.84</v>
      </c>
      <c r="AH65" t="s">
        <v>4</v>
      </c>
      <c r="AI65" t="s">
        <v>4</v>
      </c>
      <c r="AJ65" t="s">
        <v>4</v>
      </c>
      <c r="AK65" t="s">
        <v>4</v>
      </c>
      <c r="AL65" t="s">
        <v>4</v>
      </c>
      <c r="AM65" t="s">
        <v>4</v>
      </c>
      <c r="AN65" t="s">
        <v>4</v>
      </c>
      <c r="AO65" t="s">
        <v>4</v>
      </c>
      <c r="AP65">
        <v>12.23</v>
      </c>
      <c r="AQ65" t="s">
        <v>4</v>
      </c>
      <c r="AR65">
        <v>9.58</v>
      </c>
      <c r="AS65" t="s">
        <v>4</v>
      </c>
      <c r="AT65" t="s">
        <v>4</v>
      </c>
      <c r="AU65" s="24">
        <v>1.01</v>
      </c>
      <c r="AV65" t="s">
        <v>4</v>
      </c>
      <c r="AW65" t="s">
        <v>4</v>
      </c>
      <c r="AX65">
        <v>5.64</v>
      </c>
      <c r="AY65" s="24">
        <v>1.37</v>
      </c>
      <c r="AZ65" t="s">
        <v>4</v>
      </c>
      <c r="BA65" t="s">
        <v>4</v>
      </c>
      <c r="BB65" t="s">
        <v>4</v>
      </c>
      <c r="BC65" t="s">
        <v>4</v>
      </c>
      <c r="BD65" t="s">
        <v>4</v>
      </c>
      <c r="BE65" t="s">
        <v>4</v>
      </c>
      <c r="BF65" t="s">
        <v>4</v>
      </c>
      <c r="BG65" t="s">
        <v>4</v>
      </c>
      <c r="BH65">
        <v>0.3</v>
      </c>
      <c r="BI65" t="s">
        <v>4</v>
      </c>
      <c r="BJ65" t="s">
        <v>4</v>
      </c>
      <c r="BK65" t="s">
        <v>4</v>
      </c>
      <c r="BL65" t="s">
        <v>4</v>
      </c>
      <c r="BM65" t="s">
        <v>4</v>
      </c>
      <c r="BN65" s="24">
        <v>5.7200000000000006</v>
      </c>
      <c r="BO65" t="s">
        <v>4</v>
      </c>
      <c r="BP65" t="s">
        <v>4</v>
      </c>
      <c r="BQ65">
        <v>4.37</v>
      </c>
      <c r="BR65" t="s">
        <v>4</v>
      </c>
      <c r="BS65" t="s">
        <v>4</v>
      </c>
      <c r="BT65" t="s">
        <v>4</v>
      </c>
      <c r="BU65" t="s">
        <v>4</v>
      </c>
      <c r="BV65" t="s">
        <v>4</v>
      </c>
      <c r="BW65" t="s">
        <v>4</v>
      </c>
      <c r="BX65" t="s">
        <v>4</v>
      </c>
      <c r="BY65" t="s">
        <v>4</v>
      </c>
      <c r="BZ65">
        <v>10.99</v>
      </c>
      <c r="CA65" t="s">
        <v>4</v>
      </c>
      <c r="CB65">
        <v>0.67</v>
      </c>
      <c r="CC65" t="s">
        <v>4</v>
      </c>
      <c r="CD65" t="s">
        <v>4</v>
      </c>
      <c r="CE65" t="s">
        <v>4</v>
      </c>
      <c r="CF65" t="s">
        <v>4</v>
      </c>
      <c r="CG65" t="s">
        <v>4</v>
      </c>
      <c r="CH65" t="s">
        <v>4</v>
      </c>
      <c r="CI65" t="s">
        <v>4</v>
      </c>
      <c r="CJ65" t="s">
        <v>4</v>
      </c>
      <c r="CK65" t="s">
        <v>4</v>
      </c>
      <c r="CL65" t="s">
        <v>4</v>
      </c>
      <c r="CM65" t="s">
        <v>4</v>
      </c>
      <c r="CN65">
        <v>8.67</v>
      </c>
      <c r="CO65" t="s">
        <v>4</v>
      </c>
      <c r="CP65" t="s">
        <v>4</v>
      </c>
      <c r="CQ65" t="s">
        <v>4</v>
      </c>
      <c r="CR65" t="s">
        <v>4</v>
      </c>
      <c r="CS65" t="s">
        <v>4</v>
      </c>
    </row>
    <row r="66" spans="1:97" ht="14.4" x14ac:dyDescent="0.3">
      <c r="A66" t="s">
        <v>49</v>
      </c>
      <c r="B66" s="11" t="s">
        <v>224</v>
      </c>
      <c r="C66">
        <v>9.99</v>
      </c>
      <c r="D66" t="s">
        <v>4</v>
      </c>
      <c r="E66" t="s">
        <v>4</v>
      </c>
      <c r="F66" t="s">
        <v>4</v>
      </c>
      <c r="G66" t="s">
        <v>4</v>
      </c>
      <c r="H66">
        <v>0.62</v>
      </c>
      <c r="I66" t="s">
        <v>4</v>
      </c>
      <c r="J66" t="s">
        <v>4</v>
      </c>
      <c r="K66">
        <v>1.42</v>
      </c>
      <c r="L66" t="s">
        <v>4</v>
      </c>
      <c r="M66" t="s">
        <v>4</v>
      </c>
      <c r="N66" t="s">
        <v>4</v>
      </c>
      <c r="O66" s="24">
        <v>157.92000000000002</v>
      </c>
      <c r="P66">
        <v>5.46</v>
      </c>
      <c r="Q66" t="s">
        <v>4</v>
      </c>
      <c r="R66" t="s">
        <v>4</v>
      </c>
      <c r="S66" t="s">
        <v>4</v>
      </c>
      <c r="T66" t="s">
        <v>4</v>
      </c>
      <c r="U66">
        <v>1.42</v>
      </c>
      <c r="V66" t="s">
        <v>4</v>
      </c>
      <c r="W66" t="s">
        <v>4</v>
      </c>
      <c r="X66" t="s">
        <v>4</v>
      </c>
      <c r="Y66" t="s">
        <v>4</v>
      </c>
      <c r="Z66" t="s">
        <v>4</v>
      </c>
      <c r="AA66" t="s">
        <v>4</v>
      </c>
      <c r="AB66" t="s">
        <v>4</v>
      </c>
      <c r="AC66" t="s">
        <v>4</v>
      </c>
      <c r="AD66" s="24">
        <v>2.4000000000000004</v>
      </c>
      <c r="AE66" s="24">
        <v>0.40000000000000013</v>
      </c>
      <c r="AF66" t="s">
        <v>4</v>
      </c>
      <c r="AG66">
        <v>52.19</v>
      </c>
      <c r="AH66" t="s">
        <v>4</v>
      </c>
      <c r="AI66" t="s">
        <v>4</v>
      </c>
      <c r="AJ66" t="s">
        <v>4</v>
      </c>
      <c r="AK66" t="s">
        <v>4</v>
      </c>
      <c r="AL66" t="s">
        <v>4</v>
      </c>
      <c r="AM66" t="s">
        <v>4</v>
      </c>
      <c r="AN66" t="s">
        <v>4</v>
      </c>
      <c r="AO66" t="s">
        <v>4</v>
      </c>
      <c r="AP66">
        <v>4.7300000000000004</v>
      </c>
      <c r="AQ66" t="s">
        <v>4</v>
      </c>
      <c r="AR66" t="s">
        <v>4</v>
      </c>
      <c r="AS66" t="s">
        <v>4</v>
      </c>
      <c r="AT66" t="s">
        <v>4</v>
      </c>
      <c r="AU66" s="24">
        <v>0.63000000000000012</v>
      </c>
      <c r="AV66" t="s">
        <v>4</v>
      </c>
      <c r="AW66" t="s">
        <v>4</v>
      </c>
      <c r="AX66">
        <v>2.19</v>
      </c>
      <c r="AY66" s="24">
        <v>3.2600000000000002</v>
      </c>
      <c r="AZ66" t="s">
        <v>4</v>
      </c>
      <c r="BA66" t="s">
        <v>4</v>
      </c>
      <c r="BB66" t="s">
        <v>4</v>
      </c>
      <c r="BC66" t="s">
        <v>4</v>
      </c>
      <c r="BD66" t="s">
        <v>4</v>
      </c>
      <c r="BE66" t="s">
        <v>4</v>
      </c>
      <c r="BF66" t="s">
        <v>4</v>
      </c>
      <c r="BG66" t="s">
        <v>4</v>
      </c>
      <c r="BH66">
        <v>0.61</v>
      </c>
      <c r="BI66" t="s">
        <v>4</v>
      </c>
      <c r="BJ66" t="s">
        <v>4</v>
      </c>
      <c r="BK66" t="s">
        <v>4</v>
      </c>
      <c r="BL66" t="s">
        <v>4</v>
      </c>
      <c r="BM66" t="s">
        <v>4</v>
      </c>
      <c r="BN66" s="24">
        <v>13.49</v>
      </c>
      <c r="BO66" t="s">
        <v>4</v>
      </c>
      <c r="BP66" t="s">
        <v>4</v>
      </c>
      <c r="BQ66">
        <v>8.5299999999999994</v>
      </c>
      <c r="BR66" t="s">
        <v>4</v>
      </c>
      <c r="BS66" t="s">
        <v>4</v>
      </c>
      <c r="BT66" t="s">
        <v>4</v>
      </c>
      <c r="BU66" t="s">
        <v>4</v>
      </c>
      <c r="BV66">
        <v>4.88</v>
      </c>
      <c r="BW66" t="s">
        <v>4</v>
      </c>
      <c r="BX66" t="s">
        <v>4</v>
      </c>
      <c r="BY66" t="s">
        <v>4</v>
      </c>
      <c r="BZ66">
        <v>8.65</v>
      </c>
      <c r="CA66" t="s">
        <v>4</v>
      </c>
      <c r="CB66">
        <v>1.81</v>
      </c>
      <c r="CC66" t="s">
        <v>4</v>
      </c>
      <c r="CD66" t="s">
        <v>4</v>
      </c>
      <c r="CE66" t="s">
        <v>4</v>
      </c>
      <c r="CF66" t="s">
        <v>4</v>
      </c>
      <c r="CG66" t="s">
        <v>4</v>
      </c>
      <c r="CH66" t="s">
        <v>4</v>
      </c>
      <c r="CI66" t="s">
        <v>4</v>
      </c>
      <c r="CJ66" t="s">
        <v>4</v>
      </c>
      <c r="CK66" t="s">
        <v>4</v>
      </c>
      <c r="CL66" t="s">
        <v>4</v>
      </c>
      <c r="CM66">
        <v>11.49</v>
      </c>
      <c r="CN66">
        <v>22.630000000000003</v>
      </c>
      <c r="CO66" t="s">
        <v>4</v>
      </c>
      <c r="CP66" t="s">
        <v>4</v>
      </c>
      <c r="CQ66" t="s">
        <v>4</v>
      </c>
      <c r="CR66" t="s">
        <v>4</v>
      </c>
      <c r="CS66" t="s">
        <v>4</v>
      </c>
    </row>
    <row r="67" spans="1:97" ht="14.4" x14ac:dyDescent="0.3">
      <c r="A67" t="s">
        <v>50</v>
      </c>
      <c r="B67" s="11" t="s">
        <v>225</v>
      </c>
      <c r="C67" t="s">
        <v>4</v>
      </c>
      <c r="D67" t="s">
        <v>4</v>
      </c>
      <c r="E67" t="s">
        <v>4</v>
      </c>
      <c r="F67" t="s">
        <v>4</v>
      </c>
      <c r="G67">
        <v>1.29</v>
      </c>
      <c r="H67">
        <v>3.87</v>
      </c>
      <c r="I67" t="s">
        <v>4</v>
      </c>
      <c r="J67" t="s">
        <v>4</v>
      </c>
      <c r="K67">
        <v>1.19</v>
      </c>
      <c r="L67" t="s">
        <v>4</v>
      </c>
      <c r="M67">
        <v>14.21</v>
      </c>
      <c r="N67" t="s">
        <v>4</v>
      </c>
      <c r="O67" s="24">
        <v>186.28</v>
      </c>
      <c r="P67">
        <v>93.02</v>
      </c>
      <c r="Q67" t="s">
        <v>4</v>
      </c>
      <c r="R67" t="s">
        <v>4</v>
      </c>
      <c r="S67" t="s">
        <v>4</v>
      </c>
      <c r="T67" t="s">
        <v>4</v>
      </c>
      <c r="U67">
        <v>0.22</v>
      </c>
      <c r="V67" t="s">
        <v>4</v>
      </c>
      <c r="W67" t="s">
        <v>4</v>
      </c>
      <c r="X67" t="s">
        <v>4</v>
      </c>
      <c r="Y67" t="s">
        <v>4</v>
      </c>
      <c r="Z67" t="s">
        <v>4</v>
      </c>
      <c r="AA67" t="s">
        <v>4</v>
      </c>
      <c r="AB67" t="s">
        <v>4</v>
      </c>
      <c r="AC67" t="s">
        <v>4</v>
      </c>
      <c r="AD67" s="24">
        <v>3.7</v>
      </c>
      <c r="AE67" s="24" t="s">
        <v>4</v>
      </c>
      <c r="AF67" t="s">
        <v>4</v>
      </c>
      <c r="AG67">
        <v>9.3800000000000008</v>
      </c>
      <c r="AH67" t="s">
        <v>4</v>
      </c>
      <c r="AI67" t="s">
        <v>4</v>
      </c>
      <c r="AJ67" t="s">
        <v>4</v>
      </c>
      <c r="AK67" t="s">
        <v>4</v>
      </c>
      <c r="AL67" t="s">
        <v>4</v>
      </c>
      <c r="AM67" t="s">
        <v>4</v>
      </c>
      <c r="AN67" t="s">
        <v>4</v>
      </c>
      <c r="AO67" t="s">
        <v>4</v>
      </c>
      <c r="AP67">
        <v>5.26</v>
      </c>
      <c r="AQ67" t="s">
        <v>4</v>
      </c>
      <c r="AR67">
        <v>9.1999999999999993</v>
      </c>
      <c r="AS67" t="s">
        <v>4</v>
      </c>
      <c r="AT67" t="s">
        <v>4</v>
      </c>
      <c r="AU67" s="24" t="s">
        <v>4</v>
      </c>
      <c r="AV67" t="s">
        <v>4</v>
      </c>
      <c r="AW67" t="s">
        <v>4</v>
      </c>
      <c r="AX67">
        <v>1.07</v>
      </c>
      <c r="AY67" s="24">
        <v>11.02</v>
      </c>
      <c r="AZ67" t="s">
        <v>4</v>
      </c>
      <c r="BA67" t="s">
        <v>4</v>
      </c>
      <c r="BB67" t="s">
        <v>4</v>
      </c>
      <c r="BC67" t="s">
        <v>4</v>
      </c>
      <c r="BD67" t="s">
        <v>4</v>
      </c>
      <c r="BE67" t="s">
        <v>4</v>
      </c>
      <c r="BF67" t="s">
        <v>4</v>
      </c>
      <c r="BG67">
        <v>1.39</v>
      </c>
      <c r="BH67">
        <v>0.25</v>
      </c>
      <c r="BI67" t="s">
        <v>4</v>
      </c>
      <c r="BJ67" t="s">
        <v>4</v>
      </c>
      <c r="BK67" t="s">
        <v>4</v>
      </c>
      <c r="BL67" t="s">
        <v>4</v>
      </c>
      <c r="BM67" t="s">
        <v>4</v>
      </c>
      <c r="BN67" s="24">
        <v>6.74</v>
      </c>
      <c r="BO67" t="s">
        <v>4</v>
      </c>
      <c r="BP67" t="s">
        <v>4</v>
      </c>
      <c r="BQ67" t="s">
        <v>4</v>
      </c>
      <c r="BR67" t="s">
        <v>4</v>
      </c>
      <c r="BS67" t="s">
        <v>4</v>
      </c>
      <c r="BT67" t="s">
        <v>4</v>
      </c>
      <c r="BU67" t="s">
        <v>4</v>
      </c>
      <c r="BV67" t="s">
        <v>4</v>
      </c>
      <c r="BW67" t="s">
        <v>4</v>
      </c>
      <c r="BX67" t="s">
        <v>4</v>
      </c>
      <c r="BY67" t="s">
        <v>4</v>
      </c>
      <c r="BZ67">
        <v>10.86</v>
      </c>
      <c r="CA67" t="s">
        <v>4</v>
      </c>
      <c r="CB67">
        <v>6.56</v>
      </c>
      <c r="CC67" t="s">
        <v>4</v>
      </c>
      <c r="CD67" t="s">
        <v>4</v>
      </c>
      <c r="CE67" t="s">
        <v>4</v>
      </c>
      <c r="CF67" t="s">
        <v>4</v>
      </c>
      <c r="CG67" t="s">
        <v>4</v>
      </c>
      <c r="CH67" t="s">
        <v>4</v>
      </c>
      <c r="CI67" t="s">
        <v>4</v>
      </c>
      <c r="CJ67" t="s">
        <v>4</v>
      </c>
      <c r="CK67" t="s">
        <v>4</v>
      </c>
      <c r="CL67" t="s">
        <v>4</v>
      </c>
      <c r="CM67" t="s">
        <v>4</v>
      </c>
      <c r="CN67">
        <v>6.6899999999999995</v>
      </c>
      <c r="CO67" t="s">
        <v>4</v>
      </c>
      <c r="CP67" t="s">
        <v>4</v>
      </c>
      <c r="CQ67" t="s">
        <v>4</v>
      </c>
      <c r="CR67" t="s">
        <v>4</v>
      </c>
      <c r="CS67" t="s">
        <v>4</v>
      </c>
    </row>
    <row r="68" spans="1:97" ht="14.4" x14ac:dyDescent="0.3">
      <c r="A68" t="s">
        <v>51</v>
      </c>
      <c r="B68" s="11" t="s">
        <v>226</v>
      </c>
      <c r="C68" t="s">
        <v>4</v>
      </c>
      <c r="D68" t="s">
        <v>4</v>
      </c>
      <c r="E68" t="s">
        <v>4</v>
      </c>
      <c r="F68" t="s">
        <v>4</v>
      </c>
      <c r="G68" t="s">
        <v>4</v>
      </c>
      <c r="H68" t="s">
        <v>4</v>
      </c>
      <c r="I68" t="s">
        <v>4</v>
      </c>
      <c r="J68" t="s">
        <v>4</v>
      </c>
      <c r="K68">
        <v>0.56000000000000005</v>
      </c>
      <c r="L68" t="s">
        <v>4</v>
      </c>
      <c r="M68" t="s">
        <v>4</v>
      </c>
      <c r="N68" t="s">
        <v>4</v>
      </c>
      <c r="O68" s="24">
        <v>57.530000000000008</v>
      </c>
      <c r="P68">
        <v>2.4500000000000002</v>
      </c>
      <c r="Q68" t="s">
        <v>4</v>
      </c>
      <c r="R68" t="s">
        <v>4</v>
      </c>
      <c r="S68" t="s">
        <v>4</v>
      </c>
      <c r="T68" t="s">
        <v>4</v>
      </c>
      <c r="U68">
        <v>0.41</v>
      </c>
      <c r="V68" t="s">
        <v>4</v>
      </c>
      <c r="W68" t="s">
        <v>4</v>
      </c>
      <c r="X68" t="s">
        <v>4</v>
      </c>
      <c r="Y68" t="s">
        <v>4</v>
      </c>
      <c r="Z68" t="s">
        <v>4</v>
      </c>
      <c r="AA68" t="s">
        <v>4</v>
      </c>
      <c r="AB68" t="s">
        <v>4</v>
      </c>
      <c r="AC68" t="s">
        <v>4</v>
      </c>
      <c r="AD68" s="24">
        <v>1.2800000000000002</v>
      </c>
      <c r="AE68" s="24">
        <v>0.27</v>
      </c>
      <c r="AF68" t="s">
        <v>4</v>
      </c>
      <c r="AG68">
        <v>50.24</v>
      </c>
      <c r="AH68" t="s">
        <v>4</v>
      </c>
      <c r="AI68" t="s">
        <v>4</v>
      </c>
      <c r="AJ68" t="s">
        <v>4</v>
      </c>
      <c r="AK68" t="s">
        <v>4</v>
      </c>
      <c r="AL68" t="s">
        <v>4</v>
      </c>
      <c r="AM68" t="s">
        <v>4</v>
      </c>
      <c r="AN68" t="s">
        <v>4</v>
      </c>
      <c r="AO68" t="s">
        <v>4</v>
      </c>
      <c r="AP68">
        <v>5.31</v>
      </c>
      <c r="AQ68" t="s">
        <v>4</v>
      </c>
      <c r="AR68" t="s">
        <v>4</v>
      </c>
      <c r="AS68" t="s">
        <v>4</v>
      </c>
      <c r="AT68" t="s">
        <v>4</v>
      </c>
      <c r="AU68" s="24">
        <v>9.9999999999999978E-2</v>
      </c>
      <c r="AV68" t="s">
        <v>4</v>
      </c>
      <c r="AW68" t="s">
        <v>4</v>
      </c>
      <c r="AX68">
        <v>0.99</v>
      </c>
      <c r="AY68" s="24">
        <v>1.32</v>
      </c>
      <c r="AZ68" t="s">
        <v>4</v>
      </c>
      <c r="BA68" t="s">
        <v>4</v>
      </c>
      <c r="BB68" t="s">
        <v>4</v>
      </c>
      <c r="BC68" t="s">
        <v>4</v>
      </c>
      <c r="BD68" t="s">
        <v>4</v>
      </c>
      <c r="BE68" t="s">
        <v>4</v>
      </c>
      <c r="BF68" t="s">
        <v>4</v>
      </c>
      <c r="BG68" t="s">
        <v>4</v>
      </c>
      <c r="BH68">
        <v>0.9</v>
      </c>
      <c r="BI68" t="s">
        <v>4</v>
      </c>
      <c r="BJ68" t="s">
        <v>4</v>
      </c>
      <c r="BK68" t="s">
        <v>4</v>
      </c>
      <c r="BL68" t="s">
        <v>4</v>
      </c>
      <c r="BM68" t="s">
        <v>4</v>
      </c>
      <c r="BN68" s="24">
        <v>8.9700000000000006</v>
      </c>
      <c r="BO68" t="s">
        <v>4</v>
      </c>
      <c r="BP68" t="s">
        <v>4</v>
      </c>
      <c r="BQ68">
        <v>5.44</v>
      </c>
      <c r="BR68" t="s">
        <v>4</v>
      </c>
      <c r="BS68" t="s">
        <v>4</v>
      </c>
      <c r="BT68" t="s">
        <v>4</v>
      </c>
      <c r="BU68" t="s">
        <v>4</v>
      </c>
      <c r="BV68" t="s">
        <v>4</v>
      </c>
      <c r="BW68" t="s">
        <v>4</v>
      </c>
      <c r="BX68" t="s">
        <v>4</v>
      </c>
      <c r="BY68" t="s">
        <v>4</v>
      </c>
      <c r="BZ68">
        <v>4.4800000000000004</v>
      </c>
      <c r="CA68" t="s">
        <v>4</v>
      </c>
      <c r="CB68">
        <v>0.68</v>
      </c>
      <c r="CC68" t="s">
        <v>4</v>
      </c>
      <c r="CD68" t="s">
        <v>4</v>
      </c>
      <c r="CE68" t="s">
        <v>4</v>
      </c>
      <c r="CF68" t="s">
        <v>4</v>
      </c>
      <c r="CG68" t="s">
        <v>4</v>
      </c>
      <c r="CH68" t="s">
        <v>4</v>
      </c>
      <c r="CI68" t="s">
        <v>4</v>
      </c>
      <c r="CJ68" t="s">
        <v>4</v>
      </c>
      <c r="CK68" t="s">
        <v>4</v>
      </c>
      <c r="CL68" t="s">
        <v>4</v>
      </c>
      <c r="CM68" t="s">
        <v>4</v>
      </c>
      <c r="CN68">
        <v>3.5299999999999994</v>
      </c>
      <c r="CO68" t="s">
        <v>4</v>
      </c>
      <c r="CP68" t="s">
        <v>4</v>
      </c>
      <c r="CQ68" t="s">
        <v>4</v>
      </c>
      <c r="CR68" t="s">
        <v>4</v>
      </c>
      <c r="CS68" t="s">
        <v>4</v>
      </c>
    </row>
    <row r="69" spans="1:97" s="26" customFormat="1" ht="15" thickBot="1" x14ac:dyDescent="0.35">
      <c r="A69" s="26" t="s">
        <v>52</v>
      </c>
      <c r="B69" s="40" t="s">
        <v>227</v>
      </c>
      <c r="C69" s="26" t="s">
        <v>4</v>
      </c>
      <c r="D69" s="26" t="s">
        <v>4</v>
      </c>
      <c r="E69" s="26" t="s">
        <v>4</v>
      </c>
      <c r="F69" s="26" t="s">
        <v>4</v>
      </c>
      <c r="G69" s="26">
        <v>0.4</v>
      </c>
      <c r="H69" s="26">
        <v>1.04</v>
      </c>
      <c r="I69" s="26" t="s">
        <v>4</v>
      </c>
      <c r="J69" s="26" t="s">
        <v>4</v>
      </c>
      <c r="K69" s="26" t="s">
        <v>4</v>
      </c>
      <c r="L69" s="26" t="s">
        <v>4</v>
      </c>
      <c r="M69" s="26" t="s">
        <v>4</v>
      </c>
      <c r="N69" s="26" t="s">
        <v>4</v>
      </c>
      <c r="O69" s="27">
        <v>64.34</v>
      </c>
      <c r="P69" s="26">
        <v>95.18</v>
      </c>
      <c r="Q69" s="26">
        <v>5.22</v>
      </c>
      <c r="R69" s="26" t="s">
        <v>4</v>
      </c>
      <c r="S69" s="26" t="s">
        <v>4</v>
      </c>
      <c r="T69" s="26">
        <v>8.57</v>
      </c>
      <c r="U69" s="26">
        <v>0.25</v>
      </c>
      <c r="V69" s="26" t="s">
        <v>4</v>
      </c>
      <c r="W69" s="26" t="s">
        <v>4</v>
      </c>
      <c r="X69" s="26" t="s">
        <v>4</v>
      </c>
      <c r="Y69" s="26" t="s">
        <v>4</v>
      </c>
      <c r="Z69" s="26" t="s">
        <v>4</v>
      </c>
      <c r="AA69" s="26" t="s">
        <v>4</v>
      </c>
      <c r="AB69" s="26" t="s">
        <v>4</v>
      </c>
      <c r="AC69" s="26" t="s">
        <v>4</v>
      </c>
      <c r="AD69" s="27">
        <v>0.87999999999999989</v>
      </c>
      <c r="AE69" s="27" t="s">
        <v>4</v>
      </c>
      <c r="AF69" s="26" t="s">
        <v>4</v>
      </c>
      <c r="AG69" s="26">
        <v>22.58</v>
      </c>
      <c r="AH69" s="26" t="s">
        <v>4</v>
      </c>
      <c r="AI69" s="26" t="s">
        <v>4</v>
      </c>
      <c r="AJ69" s="26" t="s">
        <v>4</v>
      </c>
      <c r="AK69" s="26" t="s">
        <v>4</v>
      </c>
      <c r="AL69" s="26" t="s">
        <v>4</v>
      </c>
      <c r="AM69" s="26" t="s">
        <v>4</v>
      </c>
      <c r="AN69" s="26" t="s">
        <v>4</v>
      </c>
      <c r="AO69" s="26" t="s">
        <v>4</v>
      </c>
      <c r="AP69" s="26">
        <v>11.45</v>
      </c>
      <c r="AQ69" s="26" t="s">
        <v>4</v>
      </c>
      <c r="AR69" s="26">
        <v>8.7200000000000006</v>
      </c>
      <c r="AS69" s="26" t="s">
        <v>4</v>
      </c>
      <c r="AT69" s="26" t="s">
        <v>4</v>
      </c>
      <c r="AU69" s="27">
        <v>0.62000000000000011</v>
      </c>
      <c r="AV69" s="26" t="s">
        <v>4</v>
      </c>
      <c r="AW69" s="26" t="s">
        <v>4</v>
      </c>
      <c r="AX69" s="26">
        <v>3.64</v>
      </c>
      <c r="AY69" s="27">
        <v>1.1200000000000001</v>
      </c>
      <c r="AZ69" s="26" t="s">
        <v>4</v>
      </c>
      <c r="BA69" s="26" t="s">
        <v>4</v>
      </c>
      <c r="BB69" s="26" t="s">
        <v>4</v>
      </c>
      <c r="BC69" s="26" t="s">
        <v>4</v>
      </c>
      <c r="BD69" s="26" t="s">
        <v>4</v>
      </c>
      <c r="BE69" s="26" t="s">
        <v>4</v>
      </c>
      <c r="BF69" s="26" t="s">
        <v>4</v>
      </c>
      <c r="BG69" s="26">
        <v>1.95</v>
      </c>
      <c r="BH69" s="26">
        <v>0.19</v>
      </c>
      <c r="BI69" s="26" t="s">
        <v>4</v>
      </c>
      <c r="BJ69" s="26" t="s">
        <v>4</v>
      </c>
      <c r="BK69" s="26" t="s">
        <v>4</v>
      </c>
      <c r="BL69" s="26" t="s">
        <v>4</v>
      </c>
      <c r="BM69" s="26" t="s">
        <v>4</v>
      </c>
      <c r="BN69" s="27">
        <v>2.04</v>
      </c>
      <c r="BO69" s="26" t="s">
        <v>4</v>
      </c>
      <c r="BP69" s="26" t="s">
        <v>4</v>
      </c>
      <c r="BQ69" s="26" t="s">
        <v>4</v>
      </c>
      <c r="BR69" s="26" t="s">
        <v>4</v>
      </c>
      <c r="BS69" s="26" t="s">
        <v>4</v>
      </c>
      <c r="BT69" s="26" t="s">
        <v>4</v>
      </c>
      <c r="BU69" s="26" t="s">
        <v>4</v>
      </c>
      <c r="BV69" s="26" t="s">
        <v>4</v>
      </c>
      <c r="BW69" s="26" t="s">
        <v>4</v>
      </c>
      <c r="BX69" s="26" t="s">
        <v>4</v>
      </c>
      <c r="BY69" s="26" t="s">
        <v>4</v>
      </c>
      <c r="BZ69" s="26">
        <v>7.74</v>
      </c>
      <c r="CA69" s="26" t="s">
        <v>4</v>
      </c>
      <c r="CB69" s="26" t="s">
        <v>4</v>
      </c>
      <c r="CC69" s="26" t="s">
        <v>4</v>
      </c>
      <c r="CD69" s="26" t="s">
        <v>4</v>
      </c>
      <c r="CE69" s="26" t="s">
        <v>4</v>
      </c>
      <c r="CF69" s="26" t="s">
        <v>4</v>
      </c>
      <c r="CG69" s="26" t="s">
        <v>4</v>
      </c>
      <c r="CH69" s="26" t="s">
        <v>4</v>
      </c>
      <c r="CI69" s="26" t="s">
        <v>4</v>
      </c>
      <c r="CJ69" s="26" t="s">
        <v>4</v>
      </c>
      <c r="CK69" s="26" t="s">
        <v>4</v>
      </c>
      <c r="CL69" s="26" t="s">
        <v>4</v>
      </c>
      <c r="CM69" s="26" t="s">
        <v>4</v>
      </c>
      <c r="CN69" s="26">
        <v>4.66</v>
      </c>
      <c r="CO69" s="26" t="s">
        <v>4</v>
      </c>
      <c r="CP69" s="26" t="s">
        <v>4</v>
      </c>
      <c r="CQ69" s="26" t="s">
        <v>4</v>
      </c>
      <c r="CR69" s="26" t="s">
        <v>4</v>
      </c>
      <c r="CS69" s="26" t="s">
        <v>4</v>
      </c>
    </row>
    <row r="70" spans="1:97" x14ac:dyDescent="0.25">
      <c r="A70" s="1" t="s">
        <v>2</v>
      </c>
      <c r="B70" s="1"/>
      <c r="C70" t="s">
        <v>253</v>
      </c>
      <c r="D70" s="41" t="s">
        <v>254</v>
      </c>
      <c r="E70" t="s">
        <v>255</v>
      </c>
      <c r="F70" t="s">
        <v>158</v>
      </c>
      <c r="G70" t="s">
        <v>256</v>
      </c>
      <c r="H70" t="s">
        <v>257</v>
      </c>
      <c r="I70" s="30" t="s">
        <v>258</v>
      </c>
      <c r="J70" t="s">
        <v>259</v>
      </c>
      <c r="K70" s="32" t="s">
        <v>260</v>
      </c>
      <c r="L70" t="s">
        <v>261</v>
      </c>
      <c r="M70" s="30" t="s">
        <v>262</v>
      </c>
      <c r="N70" t="s">
        <v>266</v>
      </c>
      <c r="O70" t="s">
        <v>263</v>
      </c>
      <c r="P70" t="s">
        <v>264</v>
      </c>
      <c r="Q70" t="s">
        <v>265</v>
      </c>
      <c r="R70" t="s">
        <v>163</v>
      </c>
      <c r="S70" t="s">
        <v>164</v>
      </c>
      <c r="T70" t="s">
        <v>165</v>
      </c>
      <c r="U70" s="29" t="s">
        <v>267</v>
      </c>
      <c r="V70" t="s">
        <v>268</v>
      </c>
      <c r="W70" t="s">
        <v>269</v>
      </c>
      <c r="X70" t="s">
        <v>270</v>
      </c>
      <c r="Y70" s="30" t="s">
        <v>271</v>
      </c>
      <c r="Z70" t="s">
        <v>272</v>
      </c>
      <c r="AA70" t="s">
        <v>273</v>
      </c>
      <c r="AB70" t="s">
        <v>274</v>
      </c>
      <c r="AC70" t="s">
        <v>275</v>
      </c>
      <c r="AD70" s="30" t="s">
        <v>276</v>
      </c>
      <c r="AE70" s="31" t="s">
        <v>277</v>
      </c>
      <c r="AF70" s="30" t="s">
        <v>278</v>
      </c>
      <c r="AG70" s="30" t="s">
        <v>279</v>
      </c>
      <c r="AH70" t="s">
        <v>280</v>
      </c>
      <c r="AI70" t="s">
        <v>281</v>
      </c>
      <c r="AJ70" t="s">
        <v>282</v>
      </c>
      <c r="AK70" t="s">
        <v>283</v>
      </c>
      <c r="AL70" s="29" t="s">
        <v>284</v>
      </c>
      <c r="AM70" t="s">
        <v>285</v>
      </c>
      <c r="AN70" t="s">
        <v>286</v>
      </c>
      <c r="AO70" s="29" t="s">
        <v>287</v>
      </c>
      <c r="AP70" s="32" t="s">
        <v>288</v>
      </c>
      <c r="AQ70" t="s">
        <v>289</v>
      </c>
      <c r="AR70" t="s">
        <v>290</v>
      </c>
      <c r="AS70" t="s">
        <v>291</v>
      </c>
      <c r="AT70" t="s">
        <v>292</v>
      </c>
      <c r="AU70" s="29" t="s">
        <v>293</v>
      </c>
      <c r="AV70" t="s">
        <v>294</v>
      </c>
      <c r="AW70" t="s">
        <v>295</v>
      </c>
      <c r="AX70" s="30" t="s">
        <v>296</v>
      </c>
      <c r="AY70" s="29" t="s">
        <v>297</v>
      </c>
      <c r="AZ70" t="s">
        <v>298</v>
      </c>
      <c r="BA70" t="s">
        <v>299</v>
      </c>
      <c r="BB70" t="s">
        <v>300</v>
      </c>
      <c r="BC70" t="s">
        <v>301</v>
      </c>
      <c r="BD70" s="30" t="s">
        <v>302</v>
      </c>
      <c r="BE70" t="s">
        <v>171</v>
      </c>
      <c r="BF70" t="s">
        <v>303</v>
      </c>
      <c r="BG70" t="s">
        <v>304</v>
      </c>
      <c r="BH70" s="30" t="s">
        <v>305</v>
      </c>
      <c r="BI70" t="s">
        <v>306</v>
      </c>
      <c r="BJ70" t="s">
        <v>307</v>
      </c>
      <c r="BK70" t="s">
        <v>308</v>
      </c>
      <c r="BL70" t="s">
        <v>309</v>
      </c>
      <c r="BM70" t="s">
        <v>310</v>
      </c>
      <c r="BN70" s="29" t="s">
        <v>311</v>
      </c>
      <c r="BO70" t="s">
        <v>312</v>
      </c>
      <c r="BP70" t="s">
        <v>313</v>
      </c>
      <c r="BQ70" t="s">
        <v>314</v>
      </c>
      <c r="BR70" s="32" t="s">
        <v>315</v>
      </c>
      <c r="BS70" t="s">
        <v>316</v>
      </c>
      <c r="BT70" t="s">
        <v>317</v>
      </c>
      <c r="BU70" t="s">
        <v>318</v>
      </c>
      <c r="BV70" t="s">
        <v>319</v>
      </c>
      <c r="BW70" t="s">
        <v>320</v>
      </c>
      <c r="BX70" t="s">
        <v>321</v>
      </c>
      <c r="BY70" t="s">
        <v>322</v>
      </c>
      <c r="BZ70" t="s">
        <v>323</v>
      </c>
      <c r="CA70" t="s">
        <v>324</v>
      </c>
      <c r="CB70" s="32" t="s">
        <v>325</v>
      </c>
      <c r="CC70" t="s">
        <v>326</v>
      </c>
      <c r="CD70" t="s">
        <v>327</v>
      </c>
      <c r="CE70" t="s">
        <v>328</v>
      </c>
      <c r="CF70" t="s">
        <v>389</v>
      </c>
      <c r="CG70" t="s">
        <v>390</v>
      </c>
      <c r="CH70" t="s">
        <v>391</v>
      </c>
      <c r="CI70" t="s">
        <v>392</v>
      </c>
      <c r="CJ70" t="s">
        <v>393</v>
      </c>
      <c r="CK70" t="s">
        <v>394</v>
      </c>
      <c r="CL70" t="s">
        <v>395</v>
      </c>
      <c r="CM70" t="s">
        <v>396</v>
      </c>
      <c r="CN70" t="s">
        <v>397</v>
      </c>
      <c r="CO70" t="s">
        <v>398</v>
      </c>
      <c r="CP70" t="s">
        <v>399</v>
      </c>
      <c r="CQ70" t="s">
        <v>400</v>
      </c>
      <c r="CR70" t="s">
        <v>401</v>
      </c>
      <c r="CS70" t="s">
        <v>402</v>
      </c>
    </row>
    <row r="71" spans="1:97" ht="14.4" x14ac:dyDescent="0.3">
      <c r="A71" t="s">
        <v>59</v>
      </c>
      <c r="B71" s="39" t="s">
        <v>234</v>
      </c>
      <c r="C71" t="s">
        <v>4</v>
      </c>
      <c r="D71">
        <v>3.37</v>
      </c>
      <c r="E71" t="s">
        <v>4</v>
      </c>
      <c r="F71" t="s">
        <v>4</v>
      </c>
      <c r="G71">
        <v>1.32</v>
      </c>
      <c r="H71">
        <v>2.82</v>
      </c>
      <c r="I71" t="s">
        <v>4</v>
      </c>
      <c r="J71" t="s">
        <v>4</v>
      </c>
      <c r="K71">
        <v>4.01</v>
      </c>
      <c r="L71">
        <v>199.59</v>
      </c>
      <c r="M71">
        <v>10.81</v>
      </c>
      <c r="N71" t="s">
        <v>4</v>
      </c>
      <c r="O71" s="24">
        <v>490.51</v>
      </c>
      <c r="P71">
        <v>292.24</v>
      </c>
      <c r="Q71">
        <v>21.36</v>
      </c>
      <c r="R71">
        <v>13.73</v>
      </c>
      <c r="S71">
        <v>27.54</v>
      </c>
      <c r="T71">
        <v>751.02</v>
      </c>
      <c r="U71">
        <v>11.95</v>
      </c>
      <c r="V71">
        <v>0.61</v>
      </c>
      <c r="W71" t="s">
        <v>4</v>
      </c>
      <c r="X71">
        <v>10.61</v>
      </c>
      <c r="Y71" t="s">
        <v>4</v>
      </c>
      <c r="Z71" t="s">
        <v>4</v>
      </c>
      <c r="AA71">
        <v>0.37</v>
      </c>
      <c r="AB71">
        <v>133.43</v>
      </c>
      <c r="AC71" t="s">
        <v>4</v>
      </c>
      <c r="AD71" s="24">
        <v>1.5499999999999998</v>
      </c>
      <c r="AE71" s="24">
        <v>215.85</v>
      </c>
      <c r="AF71">
        <v>1.93</v>
      </c>
      <c r="AG71">
        <v>417.16</v>
      </c>
      <c r="AH71" t="s">
        <v>4</v>
      </c>
      <c r="AI71">
        <v>7.86</v>
      </c>
      <c r="AJ71">
        <v>4.04</v>
      </c>
      <c r="AK71" t="s">
        <v>4</v>
      </c>
      <c r="AL71">
        <v>2.44</v>
      </c>
      <c r="AM71">
        <v>4.3499999999999996</v>
      </c>
      <c r="AN71">
        <v>0.87</v>
      </c>
      <c r="AO71" t="s">
        <v>4</v>
      </c>
      <c r="AP71">
        <v>125.66</v>
      </c>
      <c r="AQ71" t="s">
        <v>4</v>
      </c>
      <c r="AR71">
        <v>239.31</v>
      </c>
      <c r="AS71" t="s">
        <v>4</v>
      </c>
      <c r="AT71" t="s">
        <v>4</v>
      </c>
      <c r="AU71" s="24">
        <v>5.47</v>
      </c>
      <c r="AV71" t="s">
        <v>4</v>
      </c>
      <c r="AW71" t="s">
        <v>4</v>
      </c>
      <c r="AX71">
        <v>9.2899999999999991</v>
      </c>
      <c r="AY71" s="24">
        <v>6.6</v>
      </c>
      <c r="AZ71">
        <v>25.86</v>
      </c>
      <c r="BA71" t="s">
        <v>4</v>
      </c>
      <c r="BB71" t="s">
        <v>4</v>
      </c>
      <c r="BC71" t="s">
        <v>4</v>
      </c>
      <c r="BD71">
        <v>55.38</v>
      </c>
      <c r="BE71" t="s">
        <v>4</v>
      </c>
      <c r="BF71" t="s">
        <v>4</v>
      </c>
      <c r="BG71">
        <v>1.57</v>
      </c>
      <c r="BH71" t="s">
        <v>4</v>
      </c>
      <c r="BI71" t="s">
        <v>4</v>
      </c>
      <c r="BJ71" t="s">
        <v>4</v>
      </c>
      <c r="BK71">
        <v>0.17</v>
      </c>
      <c r="BL71">
        <v>9.91</v>
      </c>
      <c r="BM71" t="s">
        <v>4</v>
      </c>
      <c r="BN71" s="24">
        <v>4.25</v>
      </c>
      <c r="BO71" t="s">
        <v>4</v>
      </c>
      <c r="BP71">
        <v>7.84</v>
      </c>
      <c r="BQ71">
        <v>9.85</v>
      </c>
      <c r="BR71">
        <v>26.4</v>
      </c>
      <c r="BS71" t="s">
        <v>4</v>
      </c>
      <c r="BT71" t="s">
        <v>4</v>
      </c>
      <c r="BU71" t="s">
        <v>4</v>
      </c>
      <c r="BV71">
        <v>6.01</v>
      </c>
      <c r="BW71">
        <v>32.909999999999997</v>
      </c>
      <c r="BX71">
        <v>23.12</v>
      </c>
      <c r="BY71" t="s">
        <v>4</v>
      </c>
      <c r="BZ71">
        <v>11.05</v>
      </c>
      <c r="CA71" t="s">
        <v>4</v>
      </c>
      <c r="CB71">
        <v>11.85</v>
      </c>
      <c r="CC71">
        <v>1.0900000000000001</v>
      </c>
      <c r="CD71" t="s">
        <v>4</v>
      </c>
      <c r="CE71" t="s">
        <v>4</v>
      </c>
      <c r="CF71" t="s">
        <v>4</v>
      </c>
      <c r="CG71">
        <v>5.0199999999999996</v>
      </c>
      <c r="CH71">
        <v>5.55</v>
      </c>
      <c r="CI71" t="s">
        <v>4</v>
      </c>
      <c r="CJ71">
        <v>3.78</v>
      </c>
      <c r="CK71">
        <v>109.98</v>
      </c>
      <c r="CL71">
        <v>80.98</v>
      </c>
      <c r="CM71" t="s">
        <v>4</v>
      </c>
      <c r="CN71">
        <v>5.8000000000000007</v>
      </c>
      <c r="CO71" t="s">
        <v>4</v>
      </c>
      <c r="CP71" t="s">
        <v>4</v>
      </c>
      <c r="CQ71" t="s">
        <v>4</v>
      </c>
      <c r="CR71">
        <v>0.59</v>
      </c>
      <c r="CS71" t="s">
        <v>4</v>
      </c>
    </row>
    <row r="72" spans="1:97" ht="14.4" x14ac:dyDescent="0.3">
      <c r="A72" t="s">
        <v>60</v>
      </c>
      <c r="B72" s="16" t="s">
        <v>235</v>
      </c>
      <c r="C72">
        <v>4.24</v>
      </c>
      <c r="D72">
        <v>3.18</v>
      </c>
      <c r="E72" t="s">
        <v>4</v>
      </c>
      <c r="F72" t="s">
        <v>4</v>
      </c>
      <c r="G72">
        <v>0.55000000000000004</v>
      </c>
      <c r="H72">
        <v>2.57</v>
      </c>
      <c r="I72" t="s">
        <v>4</v>
      </c>
      <c r="J72">
        <v>21.51</v>
      </c>
      <c r="K72">
        <v>19.78</v>
      </c>
      <c r="L72">
        <v>94.39</v>
      </c>
      <c r="M72">
        <v>17.809999999999999</v>
      </c>
      <c r="N72" t="s">
        <v>4</v>
      </c>
      <c r="O72" s="24">
        <v>111.96000000000001</v>
      </c>
      <c r="P72">
        <v>143.99</v>
      </c>
      <c r="Q72">
        <v>10.74</v>
      </c>
      <c r="R72">
        <v>6.12</v>
      </c>
      <c r="S72">
        <v>11.44</v>
      </c>
      <c r="T72">
        <v>351.79</v>
      </c>
      <c r="U72">
        <v>6.01</v>
      </c>
      <c r="V72" t="s">
        <v>4</v>
      </c>
      <c r="W72" t="s">
        <v>4</v>
      </c>
      <c r="X72">
        <v>40.53</v>
      </c>
      <c r="Y72" t="s">
        <v>4</v>
      </c>
      <c r="Z72" t="s">
        <v>4</v>
      </c>
      <c r="AA72">
        <v>0.26</v>
      </c>
      <c r="AB72">
        <v>63.52</v>
      </c>
      <c r="AC72" t="s">
        <v>4</v>
      </c>
      <c r="AD72" s="24">
        <v>3.8999999999999995</v>
      </c>
      <c r="AE72" s="24">
        <v>39.19</v>
      </c>
      <c r="AF72">
        <v>1.95</v>
      </c>
      <c r="AG72">
        <v>602.17999999999995</v>
      </c>
      <c r="AH72" t="s">
        <v>4</v>
      </c>
      <c r="AI72">
        <v>7.05</v>
      </c>
      <c r="AJ72">
        <v>1.4</v>
      </c>
      <c r="AK72" t="s">
        <v>4</v>
      </c>
      <c r="AL72">
        <v>34.85</v>
      </c>
      <c r="AM72">
        <v>2.54</v>
      </c>
      <c r="AN72" t="s">
        <v>4</v>
      </c>
      <c r="AO72" t="s">
        <v>4</v>
      </c>
      <c r="AP72">
        <v>102.89</v>
      </c>
      <c r="AQ72">
        <v>3.55</v>
      </c>
      <c r="AR72">
        <v>101.28</v>
      </c>
      <c r="AS72" t="s">
        <v>4</v>
      </c>
      <c r="AT72" t="s">
        <v>4</v>
      </c>
      <c r="AU72" s="24">
        <v>3.88</v>
      </c>
      <c r="AV72" t="s">
        <v>4</v>
      </c>
      <c r="AW72">
        <v>11.61</v>
      </c>
      <c r="AX72">
        <v>72.930000000000007</v>
      </c>
      <c r="AY72" s="24">
        <v>15.94</v>
      </c>
      <c r="AZ72">
        <v>13.2</v>
      </c>
      <c r="BA72" t="s">
        <v>4</v>
      </c>
      <c r="BB72" t="s">
        <v>4</v>
      </c>
      <c r="BC72" t="s">
        <v>4</v>
      </c>
      <c r="BD72">
        <v>18.34</v>
      </c>
      <c r="BE72" t="s">
        <v>4</v>
      </c>
      <c r="BF72" t="s">
        <v>4</v>
      </c>
      <c r="BG72">
        <v>2.64</v>
      </c>
      <c r="BH72">
        <v>0.36</v>
      </c>
      <c r="BI72">
        <v>1.95</v>
      </c>
      <c r="BJ72" t="s">
        <v>4</v>
      </c>
      <c r="BK72" t="s">
        <v>4</v>
      </c>
      <c r="BL72">
        <v>4.25</v>
      </c>
      <c r="BM72" t="s">
        <v>4</v>
      </c>
      <c r="BN72" s="24">
        <v>2.46</v>
      </c>
      <c r="BO72" t="s">
        <v>4</v>
      </c>
      <c r="BP72" t="s">
        <v>4</v>
      </c>
      <c r="BQ72">
        <v>6.75</v>
      </c>
      <c r="BR72">
        <v>11.7</v>
      </c>
      <c r="BS72" t="s">
        <v>4</v>
      </c>
      <c r="BT72" t="s">
        <v>4</v>
      </c>
      <c r="BU72" t="s">
        <v>4</v>
      </c>
      <c r="BV72">
        <v>221.47</v>
      </c>
      <c r="BW72">
        <v>16.329999999999998</v>
      </c>
      <c r="BX72">
        <v>8.7100000000000009</v>
      </c>
      <c r="BY72" t="s">
        <v>4</v>
      </c>
      <c r="BZ72">
        <v>22.54</v>
      </c>
      <c r="CA72" t="s">
        <v>4</v>
      </c>
      <c r="CB72">
        <v>239.08</v>
      </c>
      <c r="CC72">
        <v>1.04</v>
      </c>
      <c r="CD72" t="s">
        <v>4</v>
      </c>
      <c r="CE72">
        <v>18.57</v>
      </c>
      <c r="CF72">
        <v>1.82</v>
      </c>
      <c r="CG72">
        <v>6.37</v>
      </c>
      <c r="CH72">
        <v>6.31</v>
      </c>
      <c r="CI72" t="s">
        <v>4</v>
      </c>
      <c r="CJ72">
        <v>4.8600000000000003</v>
      </c>
      <c r="CK72">
        <v>52.68</v>
      </c>
      <c r="CL72">
        <v>38.869999999999997</v>
      </c>
      <c r="CM72" t="s">
        <v>4</v>
      </c>
      <c r="CN72">
        <v>4.1500000000000004</v>
      </c>
      <c r="CO72" t="s">
        <v>4</v>
      </c>
      <c r="CP72" t="s">
        <v>4</v>
      </c>
      <c r="CQ72" t="s">
        <v>4</v>
      </c>
      <c r="CR72" t="s">
        <v>4</v>
      </c>
      <c r="CS72" t="s">
        <v>4</v>
      </c>
    </row>
    <row r="73" spans="1:97" ht="14.4" x14ac:dyDescent="0.3">
      <c r="A73" t="s">
        <v>61</v>
      </c>
      <c r="B73" s="16" t="s">
        <v>236</v>
      </c>
      <c r="C73">
        <v>7.5</v>
      </c>
      <c r="D73">
        <v>5.03</v>
      </c>
      <c r="E73" t="s">
        <v>4</v>
      </c>
      <c r="F73" t="s">
        <v>4</v>
      </c>
      <c r="G73">
        <v>0.6</v>
      </c>
      <c r="H73">
        <v>3.26</v>
      </c>
      <c r="I73" t="s">
        <v>4</v>
      </c>
      <c r="J73" t="s">
        <v>4</v>
      </c>
      <c r="K73">
        <v>95.71</v>
      </c>
      <c r="L73">
        <v>69.83</v>
      </c>
      <c r="M73">
        <v>31.39</v>
      </c>
      <c r="N73" t="s">
        <v>4</v>
      </c>
      <c r="O73" s="24">
        <v>120.66</v>
      </c>
      <c r="P73">
        <v>140.59</v>
      </c>
      <c r="Q73">
        <v>10.199999999999999</v>
      </c>
      <c r="R73">
        <v>4.92</v>
      </c>
      <c r="S73">
        <v>10.17</v>
      </c>
      <c r="T73">
        <v>284.69</v>
      </c>
      <c r="U73">
        <v>4.91</v>
      </c>
      <c r="V73" t="s">
        <v>4</v>
      </c>
      <c r="W73" t="s">
        <v>4</v>
      </c>
      <c r="X73">
        <v>50.88</v>
      </c>
      <c r="Y73" t="s">
        <v>4</v>
      </c>
      <c r="Z73" t="s">
        <v>4</v>
      </c>
      <c r="AA73">
        <v>0.21</v>
      </c>
      <c r="AB73">
        <v>55.33</v>
      </c>
      <c r="AC73" t="s">
        <v>4</v>
      </c>
      <c r="AD73" s="24">
        <v>4.96</v>
      </c>
      <c r="AE73" s="24">
        <v>41.13</v>
      </c>
      <c r="AF73">
        <v>2.14</v>
      </c>
      <c r="AG73">
        <v>725.6</v>
      </c>
      <c r="AH73" t="s">
        <v>4</v>
      </c>
      <c r="AI73">
        <v>5.42</v>
      </c>
      <c r="AJ73">
        <v>1.1000000000000001</v>
      </c>
      <c r="AK73" t="s">
        <v>4</v>
      </c>
      <c r="AL73">
        <v>62.1</v>
      </c>
      <c r="AM73">
        <v>2.65</v>
      </c>
      <c r="AN73" t="s">
        <v>4</v>
      </c>
      <c r="AO73" t="s">
        <v>4</v>
      </c>
      <c r="AP73">
        <v>164.94</v>
      </c>
      <c r="AQ73">
        <v>5.21</v>
      </c>
      <c r="AR73">
        <v>90.43</v>
      </c>
      <c r="AS73" t="s">
        <v>4</v>
      </c>
      <c r="AT73" t="s">
        <v>4</v>
      </c>
      <c r="AU73" s="24">
        <v>5.26</v>
      </c>
      <c r="AV73" t="s">
        <v>4</v>
      </c>
      <c r="AW73">
        <v>47.88</v>
      </c>
      <c r="AX73">
        <v>141.44</v>
      </c>
      <c r="AY73" s="24">
        <v>95.97</v>
      </c>
      <c r="AZ73">
        <v>9.15</v>
      </c>
      <c r="BA73" t="s">
        <v>4</v>
      </c>
      <c r="BB73" t="s">
        <v>4</v>
      </c>
      <c r="BC73" t="s">
        <v>4</v>
      </c>
      <c r="BD73">
        <v>16.3</v>
      </c>
      <c r="BE73" t="s">
        <v>4</v>
      </c>
      <c r="BF73" t="s">
        <v>4</v>
      </c>
      <c r="BG73">
        <v>14.1</v>
      </c>
      <c r="BH73">
        <v>1.46</v>
      </c>
      <c r="BI73">
        <v>2.2799999999999998</v>
      </c>
      <c r="BJ73" t="s">
        <v>4</v>
      </c>
      <c r="BK73">
        <v>0.17</v>
      </c>
      <c r="BL73">
        <v>14.15</v>
      </c>
      <c r="BM73" t="s">
        <v>4</v>
      </c>
      <c r="BN73" s="24">
        <v>3.27</v>
      </c>
      <c r="BO73" t="s">
        <v>4</v>
      </c>
      <c r="BP73">
        <v>2.77</v>
      </c>
      <c r="BQ73">
        <v>5.92</v>
      </c>
      <c r="BR73">
        <v>10.78</v>
      </c>
      <c r="BS73" t="s">
        <v>4</v>
      </c>
      <c r="BT73" t="s">
        <v>4</v>
      </c>
      <c r="BU73" t="s">
        <v>4</v>
      </c>
      <c r="BV73">
        <v>75.900000000000006</v>
      </c>
      <c r="BW73">
        <v>12.27</v>
      </c>
      <c r="BX73">
        <v>7.53</v>
      </c>
      <c r="BY73" t="s">
        <v>4</v>
      </c>
      <c r="BZ73">
        <v>41.12</v>
      </c>
      <c r="CA73" t="s">
        <v>4</v>
      </c>
      <c r="CB73">
        <v>476.45</v>
      </c>
      <c r="CC73">
        <v>3.93</v>
      </c>
      <c r="CD73" t="s">
        <v>4</v>
      </c>
      <c r="CE73">
        <v>13.85</v>
      </c>
      <c r="CF73">
        <v>0.86</v>
      </c>
      <c r="CG73">
        <v>3.42</v>
      </c>
      <c r="CH73">
        <v>12.22</v>
      </c>
      <c r="CI73" t="s">
        <v>4</v>
      </c>
      <c r="CJ73">
        <v>5.65</v>
      </c>
      <c r="CK73">
        <v>36.020000000000003</v>
      </c>
      <c r="CL73">
        <v>23.34</v>
      </c>
      <c r="CM73" t="s">
        <v>4</v>
      </c>
      <c r="CN73">
        <v>3.4800000000000004</v>
      </c>
      <c r="CO73" t="s">
        <v>4</v>
      </c>
      <c r="CP73" t="s">
        <v>4</v>
      </c>
      <c r="CQ73" t="s">
        <v>4</v>
      </c>
      <c r="CR73" t="s">
        <v>4</v>
      </c>
      <c r="CS73" t="s">
        <v>4</v>
      </c>
    </row>
    <row r="74" spans="1:97" ht="14.4" x14ac:dyDescent="0.3">
      <c r="A74" t="s">
        <v>62</v>
      </c>
      <c r="B74" s="16" t="s">
        <v>237</v>
      </c>
      <c r="C74">
        <v>7.58</v>
      </c>
      <c r="D74">
        <v>4.46</v>
      </c>
      <c r="E74" t="s">
        <v>4</v>
      </c>
      <c r="F74" t="s">
        <v>4</v>
      </c>
      <c r="G74">
        <v>0.47</v>
      </c>
      <c r="H74">
        <v>3.02</v>
      </c>
      <c r="I74" t="s">
        <v>4</v>
      </c>
      <c r="J74" t="s">
        <v>4</v>
      </c>
      <c r="K74">
        <v>45.06</v>
      </c>
      <c r="L74">
        <v>55</v>
      </c>
      <c r="M74">
        <v>34.78</v>
      </c>
      <c r="N74" t="s">
        <v>4</v>
      </c>
      <c r="O74" s="24">
        <v>179.81</v>
      </c>
      <c r="P74">
        <v>111.94</v>
      </c>
      <c r="Q74">
        <v>9.06</v>
      </c>
      <c r="R74">
        <v>3.9</v>
      </c>
      <c r="S74">
        <v>7.14</v>
      </c>
      <c r="T74">
        <v>219.81</v>
      </c>
      <c r="U74">
        <v>4.1399999999999997</v>
      </c>
      <c r="V74" t="s">
        <v>4</v>
      </c>
      <c r="W74" t="s">
        <v>4</v>
      </c>
      <c r="X74">
        <v>68.849999999999994</v>
      </c>
      <c r="Y74" t="s">
        <v>4</v>
      </c>
      <c r="Z74" t="s">
        <v>4</v>
      </c>
      <c r="AA74" t="s">
        <v>4</v>
      </c>
      <c r="AB74">
        <v>33.93</v>
      </c>
      <c r="AC74" t="s">
        <v>4</v>
      </c>
      <c r="AD74" s="24">
        <v>3.8</v>
      </c>
      <c r="AE74" s="24">
        <v>51.61</v>
      </c>
      <c r="AF74">
        <v>3.73</v>
      </c>
      <c r="AG74">
        <v>883.65</v>
      </c>
      <c r="AH74" t="s">
        <v>4</v>
      </c>
      <c r="AI74">
        <v>5.05</v>
      </c>
      <c r="AJ74">
        <v>0.95</v>
      </c>
      <c r="AK74" t="s">
        <v>4</v>
      </c>
      <c r="AL74">
        <v>37.04</v>
      </c>
      <c r="AM74" t="s">
        <v>4</v>
      </c>
      <c r="AN74" t="s">
        <v>4</v>
      </c>
      <c r="AO74" t="s">
        <v>4</v>
      </c>
      <c r="AP74">
        <v>313.38</v>
      </c>
      <c r="AQ74">
        <v>8.0299999999999994</v>
      </c>
      <c r="AR74">
        <v>68.7</v>
      </c>
      <c r="AS74" t="s">
        <v>4</v>
      </c>
      <c r="AT74" t="s">
        <v>4</v>
      </c>
      <c r="AU74" s="24">
        <v>6.51</v>
      </c>
      <c r="AV74" t="s">
        <v>4</v>
      </c>
      <c r="AW74">
        <v>100.02</v>
      </c>
      <c r="AX74">
        <v>209.14</v>
      </c>
      <c r="AY74" s="24">
        <v>75.42</v>
      </c>
      <c r="AZ74">
        <v>8.1300000000000008</v>
      </c>
      <c r="BA74" t="s">
        <v>4</v>
      </c>
      <c r="BB74" t="s">
        <v>4</v>
      </c>
      <c r="BC74" t="s">
        <v>4</v>
      </c>
      <c r="BD74">
        <v>39.31</v>
      </c>
      <c r="BE74" t="s">
        <v>4</v>
      </c>
      <c r="BF74" t="s">
        <v>4</v>
      </c>
      <c r="BG74">
        <v>8.43</v>
      </c>
      <c r="BH74">
        <v>2.4</v>
      </c>
      <c r="BI74">
        <v>2.99</v>
      </c>
      <c r="BJ74" t="s">
        <v>4</v>
      </c>
      <c r="BK74">
        <v>0.2</v>
      </c>
      <c r="BL74">
        <v>7.09</v>
      </c>
      <c r="BM74" t="s">
        <v>4</v>
      </c>
      <c r="BN74" s="24">
        <v>3.8699999999999997</v>
      </c>
      <c r="BO74" t="s">
        <v>4</v>
      </c>
      <c r="BP74" t="s">
        <v>4</v>
      </c>
      <c r="BQ74">
        <v>4.41</v>
      </c>
      <c r="BR74">
        <v>8.6300000000000008</v>
      </c>
      <c r="BS74" t="s">
        <v>4</v>
      </c>
      <c r="BT74" t="s">
        <v>4</v>
      </c>
      <c r="BU74" t="s">
        <v>4</v>
      </c>
      <c r="BV74">
        <v>54.66</v>
      </c>
      <c r="BW74">
        <v>9.32</v>
      </c>
      <c r="BX74">
        <v>5.45</v>
      </c>
      <c r="BY74" t="s">
        <v>4</v>
      </c>
      <c r="BZ74">
        <v>67.569999999999993</v>
      </c>
      <c r="CA74" t="s">
        <v>4</v>
      </c>
      <c r="CB74">
        <v>388.28</v>
      </c>
      <c r="CC74">
        <v>4</v>
      </c>
      <c r="CD74" t="s">
        <v>4</v>
      </c>
      <c r="CE74">
        <v>18.579999999999998</v>
      </c>
      <c r="CF74">
        <v>1.02</v>
      </c>
      <c r="CG74">
        <v>3.55</v>
      </c>
      <c r="CH74">
        <v>17.86</v>
      </c>
      <c r="CI74" t="s">
        <v>4</v>
      </c>
      <c r="CJ74">
        <v>4.29</v>
      </c>
      <c r="CK74">
        <v>33.54</v>
      </c>
      <c r="CL74">
        <v>22.98</v>
      </c>
      <c r="CM74" t="s">
        <v>4</v>
      </c>
      <c r="CN74">
        <v>3.7300000000000004</v>
      </c>
      <c r="CO74" t="s">
        <v>4</v>
      </c>
      <c r="CP74" t="s">
        <v>4</v>
      </c>
      <c r="CQ74" t="s">
        <v>4</v>
      </c>
      <c r="CR74" t="s">
        <v>4</v>
      </c>
      <c r="CS74" t="s">
        <v>4</v>
      </c>
    </row>
    <row r="75" spans="1:97" ht="14.4" x14ac:dyDescent="0.3">
      <c r="A75" t="s">
        <v>63</v>
      </c>
      <c r="B75" s="16" t="s">
        <v>238</v>
      </c>
      <c r="C75">
        <v>11.36</v>
      </c>
      <c r="D75">
        <v>4.74</v>
      </c>
      <c r="E75" t="s">
        <v>4</v>
      </c>
      <c r="F75" t="s">
        <v>4</v>
      </c>
      <c r="G75">
        <v>0.63</v>
      </c>
      <c r="H75">
        <v>5.15</v>
      </c>
      <c r="I75" t="s">
        <v>4</v>
      </c>
      <c r="J75" t="s">
        <v>4</v>
      </c>
      <c r="K75">
        <v>30.28</v>
      </c>
      <c r="L75">
        <v>57.48</v>
      </c>
      <c r="M75">
        <v>61.4</v>
      </c>
      <c r="N75" t="s">
        <v>4</v>
      </c>
      <c r="O75" s="24">
        <v>201.3</v>
      </c>
      <c r="P75">
        <v>107.34</v>
      </c>
      <c r="Q75">
        <v>9.7799999999999994</v>
      </c>
      <c r="R75">
        <v>3.49</v>
      </c>
      <c r="S75">
        <v>7.42</v>
      </c>
      <c r="T75">
        <v>201.66</v>
      </c>
      <c r="U75">
        <v>5.5</v>
      </c>
      <c r="V75" t="s">
        <v>4</v>
      </c>
      <c r="W75" t="s">
        <v>4</v>
      </c>
      <c r="X75">
        <v>82.86</v>
      </c>
      <c r="Y75" t="s">
        <v>4</v>
      </c>
      <c r="Z75" t="s">
        <v>4</v>
      </c>
      <c r="AA75">
        <v>0.41</v>
      </c>
      <c r="AB75">
        <v>31.9</v>
      </c>
      <c r="AC75" t="s">
        <v>4</v>
      </c>
      <c r="AD75" s="24">
        <v>6.86</v>
      </c>
      <c r="AE75" s="24">
        <v>52.19</v>
      </c>
      <c r="AF75">
        <v>4.29</v>
      </c>
      <c r="AG75">
        <v>858.61</v>
      </c>
      <c r="AH75" t="s">
        <v>4</v>
      </c>
      <c r="AI75" s="2">
        <v>10118.700000000001</v>
      </c>
      <c r="AJ75">
        <v>5324.98</v>
      </c>
      <c r="AK75" t="s">
        <v>4</v>
      </c>
      <c r="AL75">
        <v>49.33</v>
      </c>
      <c r="AM75" t="s">
        <v>4</v>
      </c>
      <c r="AN75" t="s">
        <v>4</v>
      </c>
      <c r="AO75" t="s">
        <v>4</v>
      </c>
      <c r="AP75">
        <v>569.91999999999996</v>
      </c>
      <c r="AQ75">
        <v>6.16</v>
      </c>
      <c r="AR75">
        <v>72.819999999999993</v>
      </c>
      <c r="AS75" t="s">
        <v>4</v>
      </c>
      <c r="AT75" t="s">
        <v>4</v>
      </c>
      <c r="AU75" s="24">
        <v>10.15</v>
      </c>
      <c r="AV75" t="s">
        <v>4</v>
      </c>
      <c r="AW75">
        <v>169.75</v>
      </c>
      <c r="AX75">
        <v>383.39</v>
      </c>
      <c r="AY75" s="24">
        <v>98.289999999999992</v>
      </c>
      <c r="AZ75">
        <v>7.92</v>
      </c>
      <c r="BA75">
        <v>11.03</v>
      </c>
      <c r="BB75" t="s">
        <v>4</v>
      </c>
      <c r="BC75" t="s">
        <v>4</v>
      </c>
      <c r="BD75">
        <v>89.86</v>
      </c>
      <c r="BE75" t="s">
        <v>4</v>
      </c>
      <c r="BF75" t="s">
        <v>4</v>
      </c>
      <c r="BG75" t="s">
        <v>4</v>
      </c>
      <c r="BH75">
        <v>5.89</v>
      </c>
      <c r="BI75">
        <v>6.08</v>
      </c>
      <c r="BJ75" t="s">
        <v>4</v>
      </c>
      <c r="BK75" t="s">
        <v>4</v>
      </c>
      <c r="BL75">
        <v>8.43</v>
      </c>
      <c r="BM75" t="s">
        <v>4</v>
      </c>
      <c r="BN75" s="24">
        <v>5.5500000000000007</v>
      </c>
      <c r="BO75" t="s">
        <v>4</v>
      </c>
      <c r="BP75" t="s">
        <v>4</v>
      </c>
      <c r="BQ75">
        <v>6.38</v>
      </c>
      <c r="BR75">
        <v>8.19</v>
      </c>
      <c r="BS75" t="s">
        <v>4</v>
      </c>
      <c r="BT75" t="s">
        <v>4</v>
      </c>
      <c r="BU75" t="s">
        <v>4</v>
      </c>
      <c r="BV75">
        <v>45.25</v>
      </c>
      <c r="BW75">
        <v>8.82</v>
      </c>
      <c r="BX75">
        <v>5.16</v>
      </c>
      <c r="BY75" t="s">
        <v>4</v>
      </c>
      <c r="BZ75">
        <v>83.7</v>
      </c>
      <c r="CA75" t="s">
        <v>4</v>
      </c>
      <c r="CB75">
        <v>567.70000000000005</v>
      </c>
      <c r="CC75">
        <v>3.73</v>
      </c>
      <c r="CD75" t="s">
        <v>4</v>
      </c>
      <c r="CE75">
        <v>23.08</v>
      </c>
      <c r="CF75">
        <v>0.5</v>
      </c>
      <c r="CG75">
        <v>1.66</v>
      </c>
      <c r="CH75">
        <v>17.059999999999999</v>
      </c>
      <c r="CI75" t="s">
        <v>4</v>
      </c>
      <c r="CJ75">
        <v>2.2200000000000002</v>
      </c>
      <c r="CK75">
        <v>29.1</v>
      </c>
      <c r="CL75">
        <v>24.28</v>
      </c>
      <c r="CM75">
        <v>0.42999999999999972</v>
      </c>
      <c r="CN75">
        <v>4.34</v>
      </c>
      <c r="CO75" t="s">
        <v>4</v>
      </c>
      <c r="CP75" t="s">
        <v>4</v>
      </c>
      <c r="CQ75" t="s">
        <v>4</v>
      </c>
      <c r="CR75" t="s">
        <v>4</v>
      </c>
      <c r="CS75" t="s">
        <v>4</v>
      </c>
    </row>
    <row r="76" spans="1:97" s="26" customFormat="1" ht="15" thickBot="1" x14ac:dyDescent="0.35">
      <c r="A76" s="26" t="s">
        <v>64</v>
      </c>
      <c r="B76" s="35" t="s">
        <v>239</v>
      </c>
      <c r="C76" s="26">
        <v>13.7</v>
      </c>
      <c r="D76" s="26">
        <v>6.82</v>
      </c>
      <c r="E76" s="26" t="s">
        <v>4</v>
      </c>
      <c r="F76" s="26" t="s">
        <v>4</v>
      </c>
      <c r="G76" s="26">
        <v>0.56999999999999995</v>
      </c>
      <c r="H76" s="26">
        <v>10.46</v>
      </c>
      <c r="I76" s="26" t="s">
        <v>4</v>
      </c>
      <c r="J76" s="26" t="s">
        <v>4</v>
      </c>
      <c r="K76" s="26">
        <v>23.05</v>
      </c>
      <c r="L76" s="26">
        <v>89.41</v>
      </c>
      <c r="M76" s="26">
        <v>70.17</v>
      </c>
      <c r="N76" s="26" t="s">
        <v>4</v>
      </c>
      <c r="O76" s="27">
        <v>157.59</v>
      </c>
      <c r="P76" s="26">
        <v>146.51</v>
      </c>
      <c r="Q76" s="26">
        <v>12.84</v>
      </c>
      <c r="R76" s="26">
        <v>5.75</v>
      </c>
      <c r="S76" s="26">
        <v>10.050000000000001</v>
      </c>
      <c r="T76" s="26">
        <v>301.51</v>
      </c>
      <c r="U76" s="26">
        <v>7.61</v>
      </c>
      <c r="V76" s="26" t="s">
        <v>4</v>
      </c>
      <c r="W76" s="26" t="s">
        <v>4</v>
      </c>
      <c r="X76" s="26">
        <v>102.89</v>
      </c>
      <c r="Y76" s="26" t="s">
        <v>4</v>
      </c>
      <c r="Z76" s="26" t="s">
        <v>4</v>
      </c>
      <c r="AA76" s="26">
        <v>0.46</v>
      </c>
      <c r="AB76" s="26">
        <v>45.72</v>
      </c>
      <c r="AC76" s="26" t="s">
        <v>4</v>
      </c>
      <c r="AD76" s="27">
        <v>7.4200000000000008</v>
      </c>
      <c r="AE76" s="27">
        <v>35.450000000000003</v>
      </c>
      <c r="AF76" s="26">
        <v>5.56</v>
      </c>
      <c r="AG76" s="26">
        <v>879.87</v>
      </c>
      <c r="AH76" s="26" t="s">
        <v>4</v>
      </c>
      <c r="AI76" s="28">
        <v>15154.5</v>
      </c>
      <c r="AJ76" s="26" t="s">
        <v>4</v>
      </c>
      <c r="AK76" s="26" t="s">
        <v>4</v>
      </c>
      <c r="AL76" s="26">
        <v>34.42</v>
      </c>
      <c r="AM76" s="26">
        <v>2.8</v>
      </c>
      <c r="AN76" s="26" t="s">
        <v>4</v>
      </c>
      <c r="AO76" s="26" t="s">
        <v>4</v>
      </c>
      <c r="AP76" s="26">
        <v>458.76</v>
      </c>
      <c r="AQ76" s="26">
        <v>4.28</v>
      </c>
      <c r="AR76" s="26">
        <v>106.97</v>
      </c>
      <c r="AS76" s="26" t="s">
        <v>4</v>
      </c>
      <c r="AT76" s="26" t="s">
        <v>4</v>
      </c>
      <c r="AU76" s="27">
        <v>21.62</v>
      </c>
      <c r="AV76" s="26" t="s">
        <v>4</v>
      </c>
      <c r="AW76" s="26">
        <v>155.28</v>
      </c>
      <c r="AX76" s="26">
        <v>358.67</v>
      </c>
      <c r="AY76" s="27">
        <v>118.14999999999999</v>
      </c>
      <c r="AZ76" s="26">
        <v>12.07</v>
      </c>
      <c r="BA76" s="26">
        <v>9.1</v>
      </c>
      <c r="BB76" s="26" t="s">
        <v>4</v>
      </c>
      <c r="BC76" s="26" t="s">
        <v>4</v>
      </c>
      <c r="BD76" s="26">
        <v>68.17</v>
      </c>
      <c r="BE76" s="26" t="s">
        <v>4</v>
      </c>
      <c r="BF76" s="26" t="s">
        <v>4</v>
      </c>
      <c r="BG76" s="26" t="s">
        <v>4</v>
      </c>
      <c r="BH76" s="26">
        <v>10.17</v>
      </c>
      <c r="BI76" s="26">
        <v>5.15</v>
      </c>
      <c r="BJ76" s="26" t="s">
        <v>4</v>
      </c>
      <c r="BK76" s="26" t="s">
        <v>4</v>
      </c>
      <c r="BL76" s="26">
        <v>9.17</v>
      </c>
      <c r="BM76" s="26">
        <v>0.24</v>
      </c>
      <c r="BN76" s="27">
        <v>8.56</v>
      </c>
      <c r="BO76" s="26" t="s">
        <v>4</v>
      </c>
      <c r="BP76" s="26">
        <v>2.74</v>
      </c>
      <c r="BQ76" s="26">
        <v>7.28</v>
      </c>
      <c r="BR76" s="26">
        <v>22.35</v>
      </c>
      <c r="BS76" s="26" t="s">
        <v>4</v>
      </c>
      <c r="BT76" s="26" t="s">
        <v>4</v>
      </c>
      <c r="BU76" s="26" t="s">
        <v>4</v>
      </c>
      <c r="BV76" s="26">
        <v>33.85</v>
      </c>
      <c r="BW76" s="26">
        <v>12.28</v>
      </c>
      <c r="BX76" s="26">
        <v>7.14</v>
      </c>
      <c r="BY76" s="26" t="s">
        <v>4</v>
      </c>
      <c r="BZ76" s="26">
        <v>127.81</v>
      </c>
      <c r="CA76" s="26" t="s">
        <v>4</v>
      </c>
      <c r="CB76" s="26">
        <v>465.93</v>
      </c>
      <c r="CC76" s="26">
        <v>8.15</v>
      </c>
      <c r="CD76" s="26" t="s">
        <v>4</v>
      </c>
      <c r="CE76" s="26">
        <v>25.14</v>
      </c>
      <c r="CF76" s="26" t="s">
        <v>4</v>
      </c>
      <c r="CG76" s="26">
        <v>1.19</v>
      </c>
      <c r="CH76" s="26">
        <v>14.81</v>
      </c>
      <c r="CI76" s="26" t="s">
        <v>4</v>
      </c>
      <c r="CJ76" s="26">
        <v>1.36</v>
      </c>
      <c r="CK76" s="26">
        <v>44.58</v>
      </c>
      <c r="CL76" s="26">
        <v>34.03</v>
      </c>
      <c r="CM76" s="26" t="s">
        <v>4</v>
      </c>
      <c r="CN76" s="26">
        <v>2.2100000000000009</v>
      </c>
      <c r="CO76" s="26" t="s">
        <v>4</v>
      </c>
      <c r="CP76" s="26" t="s">
        <v>4</v>
      </c>
      <c r="CQ76" s="26" t="s">
        <v>4</v>
      </c>
      <c r="CR76" s="26">
        <v>2.0299999999999998</v>
      </c>
      <c r="CS76" s="26" t="s">
        <v>4</v>
      </c>
    </row>
    <row r="77" spans="1:97" x14ac:dyDescent="0.25">
      <c r="A77" t="s">
        <v>70</v>
      </c>
      <c r="B77" s="34" t="s">
        <v>245</v>
      </c>
      <c r="C77">
        <v>49.34</v>
      </c>
      <c r="D77">
        <v>1.49</v>
      </c>
      <c r="E77" t="s">
        <v>4</v>
      </c>
      <c r="F77" t="s">
        <v>4</v>
      </c>
      <c r="G77">
        <v>43.56</v>
      </c>
      <c r="H77">
        <v>134.63</v>
      </c>
      <c r="I77">
        <v>21.28</v>
      </c>
      <c r="J77">
        <v>10.42</v>
      </c>
      <c r="K77">
        <v>20.079999999999998</v>
      </c>
      <c r="L77">
        <v>101.81</v>
      </c>
      <c r="M77">
        <v>134.38</v>
      </c>
      <c r="N77" t="s">
        <v>4</v>
      </c>
      <c r="O77" s="24">
        <v>911.27</v>
      </c>
      <c r="P77">
        <v>111.4</v>
      </c>
      <c r="Q77">
        <v>10.61</v>
      </c>
      <c r="R77">
        <v>3.27</v>
      </c>
      <c r="S77">
        <v>6.09</v>
      </c>
      <c r="T77">
        <v>183.02</v>
      </c>
      <c r="U77">
        <v>10.39</v>
      </c>
      <c r="V77" t="s">
        <v>4</v>
      </c>
      <c r="W77" t="s">
        <v>4</v>
      </c>
      <c r="X77">
        <v>116.81</v>
      </c>
      <c r="Y77" t="s">
        <v>4</v>
      </c>
      <c r="Z77" t="s">
        <v>4</v>
      </c>
      <c r="AA77" t="s">
        <v>4</v>
      </c>
      <c r="AB77">
        <v>44.78</v>
      </c>
      <c r="AC77" t="s">
        <v>4</v>
      </c>
      <c r="AD77" s="24">
        <v>4.5599999999999996</v>
      </c>
      <c r="AE77" s="24">
        <v>12.04</v>
      </c>
      <c r="AF77">
        <v>4.54</v>
      </c>
      <c r="AG77" s="2">
        <v>7114.22</v>
      </c>
      <c r="AH77" t="s">
        <v>4</v>
      </c>
      <c r="AI77">
        <v>125.21</v>
      </c>
      <c r="AJ77">
        <v>20.2</v>
      </c>
      <c r="AK77" t="s">
        <v>4</v>
      </c>
      <c r="AL77">
        <v>41.81</v>
      </c>
      <c r="AM77">
        <v>12.35</v>
      </c>
      <c r="AN77" t="s">
        <v>4</v>
      </c>
      <c r="AO77" t="s">
        <v>4</v>
      </c>
      <c r="AP77">
        <v>175.99</v>
      </c>
      <c r="AQ77">
        <v>1.21</v>
      </c>
      <c r="AR77">
        <v>73.67</v>
      </c>
      <c r="AS77" t="s">
        <v>4</v>
      </c>
      <c r="AT77" t="s">
        <v>4</v>
      </c>
      <c r="AU77" s="24">
        <v>15.43</v>
      </c>
      <c r="AV77" t="s">
        <v>4</v>
      </c>
      <c r="AW77" t="s">
        <v>4</v>
      </c>
      <c r="AX77">
        <v>310.18</v>
      </c>
      <c r="AY77" s="24">
        <v>28.689999999999998</v>
      </c>
      <c r="AZ77">
        <v>12.6</v>
      </c>
      <c r="BA77">
        <v>5.01</v>
      </c>
      <c r="BB77" t="s">
        <v>4</v>
      </c>
      <c r="BC77" t="s">
        <v>4</v>
      </c>
      <c r="BD77">
        <v>34.03</v>
      </c>
      <c r="BE77" t="s">
        <v>4</v>
      </c>
      <c r="BF77" t="s">
        <v>4</v>
      </c>
      <c r="BG77" t="s">
        <v>4</v>
      </c>
      <c r="BH77">
        <v>2.97</v>
      </c>
      <c r="BI77">
        <v>3.48</v>
      </c>
      <c r="BJ77" t="s">
        <v>4</v>
      </c>
      <c r="BK77" t="s">
        <v>4</v>
      </c>
      <c r="BL77">
        <v>4.9400000000000004</v>
      </c>
      <c r="BM77" t="s">
        <v>4</v>
      </c>
      <c r="BN77" s="24">
        <v>8.42</v>
      </c>
      <c r="BO77" t="s">
        <v>4</v>
      </c>
      <c r="BP77" t="s">
        <v>4</v>
      </c>
      <c r="BQ77">
        <v>6.6</v>
      </c>
      <c r="BR77">
        <v>139.79</v>
      </c>
      <c r="BS77">
        <v>6.65</v>
      </c>
      <c r="BT77" t="s">
        <v>4</v>
      </c>
      <c r="BU77" t="s">
        <v>4</v>
      </c>
      <c r="BV77">
        <v>6.56</v>
      </c>
      <c r="BW77">
        <v>11.28</v>
      </c>
      <c r="BX77">
        <v>6.49</v>
      </c>
      <c r="BY77" t="s">
        <v>4</v>
      </c>
      <c r="BZ77">
        <v>24.41</v>
      </c>
      <c r="CA77" t="s">
        <v>4</v>
      </c>
      <c r="CB77">
        <v>25.41</v>
      </c>
      <c r="CC77">
        <v>1.06</v>
      </c>
      <c r="CD77" t="s">
        <v>4</v>
      </c>
      <c r="CE77">
        <v>15.32</v>
      </c>
      <c r="CF77">
        <v>0.37</v>
      </c>
      <c r="CG77">
        <v>2.0499999999999998</v>
      </c>
      <c r="CH77">
        <v>2.64</v>
      </c>
      <c r="CI77" t="s">
        <v>4</v>
      </c>
      <c r="CJ77">
        <v>1.78</v>
      </c>
      <c r="CK77">
        <v>67.67</v>
      </c>
      <c r="CL77">
        <v>53.21</v>
      </c>
      <c r="CM77">
        <v>2.37</v>
      </c>
      <c r="CN77">
        <v>3.58</v>
      </c>
      <c r="CO77" t="s">
        <v>4</v>
      </c>
      <c r="CP77" t="s">
        <v>4</v>
      </c>
      <c r="CQ77" t="s">
        <v>4</v>
      </c>
      <c r="CR77">
        <v>1.39</v>
      </c>
      <c r="CS77" t="s">
        <v>4</v>
      </c>
    </row>
    <row r="78" spans="1:97" x14ac:dyDescent="0.25">
      <c r="A78" t="s">
        <v>71</v>
      </c>
      <c r="B78" s="19" t="s">
        <v>246</v>
      </c>
      <c r="C78">
        <v>12.2</v>
      </c>
      <c r="D78">
        <v>2.77</v>
      </c>
      <c r="E78" t="s">
        <v>4</v>
      </c>
      <c r="F78" t="s">
        <v>4</v>
      </c>
      <c r="G78">
        <v>103.95</v>
      </c>
      <c r="H78">
        <v>17.29</v>
      </c>
      <c r="I78" t="s">
        <v>4</v>
      </c>
      <c r="J78" t="s">
        <v>4</v>
      </c>
      <c r="K78">
        <v>17.8</v>
      </c>
      <c r="L78">
        <v>190.01</v>
      </c>
      <c r="M78">
        <v>46.09</v>
      </c>
      <c r="N78" t="s">
        <v>4</v>
      </c>
      <c r="O78" s="24">
        <v>229.21000000000004</v>
      </c>
      <c r="P78">
        <v>321.04000000000002</v>
      </c>
      <c r="Q78">
        <v>20.2</v>
      </c>
      <c r="R78">
        <v>11.04</v>
      </c>
      <c r="S78">
        <v>21.08</v>
      </c>
      <c r="T78">
        <v>498.97</v>
      </c>
      <c r="U78">
        <v>25.74</v>
      </c>
      <c r="V78">
        <v>0.69</v>
      </c>
      <c r="W78" t="s">
        <v>4</v>
      </c>
      <c r="X78">
        <v>38.4</v>
      </c>
      <c r="Y78" t="s">
        <v>4</v>
      </c>
      <c r="Z78" t="s">
        <v>4</v>
      </c>
      <c r="AA78" t="s">
        <v>4</v>
      </c>
      <c r="AB78">
        <v>132.63999999999999</v>
      </c>
      <c r="AC78" t="s">
        <v>4</v>
      </c>
      <c r="AD78" s="24">
        <v>4.1599999999999993</v>
      </c>
      <c r="AE78" s="24">
        <v>45.09</v>
      </c>
      <c r="AF78">
        <v>9.6300000000000008</v>
      </c>
      <c r="AG78">
        <v>1486.28</v>
      </c>
      <c r="AH78" t="s">
        <v>4</v>
      </c>
      <c r="AI78">
        <v>111.72</v>
      </c>
      <c r="AJ78">
        <v>42.78</v>
      </c>
      <c r="AK78" t="s">
        <v>4</v>
      </c>
      <c r="AL78">
        <v>15.45</v>
      </c>
      <c r="AM78">
        <v>13.25</v>
      </c>
      <c r="AN78">
        <v>0.49</v>
      </c>
      <c r="AO78" t="s">
        <v>4</v>
      </c>
      <c r="AP78">
        <v>199.58</v>
      </c>
      <c r="AQ78">
        <v>1.2</v>
      </c>
      <c r="AR78">
        <v>212.91</v>
      </c>
      <c r="AS78" t="s">
        <v>4</v>
      </c>
      <c r="AT78" t="s">
        <v>4</v>
      </c>
      <c r="AU78" s="24">
        <v>60.589999999999996</v>
      </c>
      <c r="AV78" t="s">
        <v>4</v>
      </c>
      <c r="AW78">
        <v>4.1500000000000004</v>
      </c>
      <c r="AX78">
        <v>101.05</v>
      </c>
      <c r="AY78" s="24">
        <v>34.369999999999997</v>
      </c>
      <c r="AZ78">
        <v>36.61</v>
      </c>
      <c r="BA78">
        <v>8.24</v>
      </c>
      <c r="BB78" t="s">
        <v>4</v>
      </c>
      <c r="BC78" t="s">
        <v>4</v>
      </c>
      <c r="BD78">
        <v>48.15</v>
      </c>
      <c r="BE78" t="s">
        <v>4</v>
      </c>
      <c r="BF78" t="s">
        <v>4</v>
      </c>
      <c r="BG78">
        <v>6.01</v>
      </c>
      <c r="BH78">
        <v>3.1</v>
      </c>
      <c r="BI78">
        <v>6.69</v>
      </c>
      <c r="BJ78" t="s">
        <v>4</v>
      </c>
      <c r="BK78" t="s">
        <v>4</v>
      </c>
      <c r="BL78">
        <v>32.69</v>
      </c>
      <c r="BM78" t="s">
        <v>4</v>
      </c>
      <c r="BN78" s="24">
        <v>29.330000000000002</v>
      </c>
      <c r="BO78" t="s">
        <v>4</v>
      </c>
      <c r="BP78">
        <v>4.7300000000000004</v>
      </c>
      <c r="BQ78">
        <v>17.52</v>
      </c>
      <c r="BR78">
        <v>17.940000000000001</v>
      </c>
      <c r="BS78" t="s">
        <v>4</v>
      </c>
      <c r="BT78" t="s">
        <v>4</v>
      </c>
      <c r="BU78">
        <v>16.38</v>
      </c>
      <c r="BV78">
        <v>4</v>
      </c>
      <c r="BW78">
        <v>35.729999999999997</v>
      </c>
      <c r="BX78">
        <v>20.65</v>
      </c>
      <c r="BY78" t="s">
        <v>4</v>
      </c>
      <c r="BZ78">
        <v>22.69</v>
      </c>
      <c r="CA78" t="s">
        <v>4</v>
      </c>
      <c r="CB78">
        <v>30.04</v>
      </c>
      <c r="CC78" t="s">
        <v>4</v>
      </c>
      <c r="CD78" t="s">
        <v>4</v>
      </c>
      <c r="CE78">
        <v>25.54</v>
      </c>
      <c r="CF78" t="s">
        <v>4</v>
      </c>
      <c r="CG78">
        <v>2.2999999999999998</v>
      </c>
      <c r="CH78">
        <v>4.59</v>
      </c>
      <c r="CI78" t="s">
        <v>4</v>
      </c>
      <c r="CJ78">
        <v>1.53</v>
      </c>
      <c r="CK78">
        <v>134.03</v>
      </c>
      <c r="CL78">
        <v>153.44999999999999</v>
      </c>
      <c r="CM78">
        <v>0.96</v>
      </c>
      <c r="CN78">
        <v>54.75</v>
      </c>
      <c r="CO78" t="s">
        <v>4</v>
      </c>
      <c r="CP78" t="s">
        <v>4</v>
      </c>
      <c r="CQ78" t="s">
        <v>4</v>
      </c>
      <c r="CR78">
        <v>4.9800000000000004</v>
      </c>
      <c r="CS78" t="s">
        <v>4</v>
      </c>
    </row>
    <row r="79" spans="1:97" x14ac:dyDescent="0.25">
      <c r="A79" t="s">
        <v>72</v>
      </c>
      <c r="B79" s="19" t="s">
        <v>247</v>
      </c>
      <c r="C79">
        <v>14.43</v>
      </c>
      <c r="D79">
        <v>2.37</v>
      </c>
      <c r="E79" t="s">
        <v>4</v>
      </c>
      <c r="F79" t="s">
        <v>4</v>
      </c>
      <c r="G79">
        <v>86.35</v>
      </c>
      <c r="H79">
        <v>51.24</v>
      </c>
      <c r="I79">
        <v>10.9</v>
      </c>
      <c r="J79" t="s">
        <v>4</v>
      </c>
      <c r="K79">
        <v>12.54</v>
      </c>
      <c r="L79">
        <v>125.79</v>
      </c>
      <c r="M79">
        <v>27.7</v>
      </c>
      <c r="N79" t="s">
        <v>4</v>
      </c>
      <c r="O79" s="24">
        <v>662.44</v>
      </c>
      <c r="P79">
        <v>225.53</v>
      </c>
      <c r="Q79">
        <v>13.52</v>
      </c>
      <c r="R79">
        <v>8.43</v>
      </c>
      <c r="S79">
        <v>16.510000000000002</v>
      </c>
      <c r="T79">
        <v>376.73</v>
      </c>
      <c r="U79">
        <v>22.71</v>
      </c>
      <c r="V79" t="s">
        <v>4</v>
      </c>
      <c r="W79" t="s">
        <v>4</v>
      </c>
      <c r="X79">
        <v>41.07</v>
      </c>
      <c r="Y79" t="s">
        <v>4</v>
      </c>
      <c r="Z79" t="s">
        <v>4</v>
      </c>
      <c r="AA79">
        <v>0.32</v>
      </c>
      <c r="AB79">
        <v>101.2</v>
      </c>
      <c r="AC79" t="s">
        <v>4</v>
      </c>
      <c r="AD79" s="24">
        <v>4.2299999999999995</v>
      </c>
      <c r="AE79" s="24">
        <v>27.080000000000002</v>
      </c>
      <c r="AF79">
        <v>7.78</v>
      </c>
      <c r="AG79">
        <v>2814.17</v>
      </c>
      <c r="AH79" t="s">
        <v>4</v>
      </c>
      <c r="AI79">
        <v>88</v>
      </c>
      <c r="AJ79">
        <v>32.840000000000003</v>
      </c>
      <c r="AK79" t="s">
        <v>4</v>
      </c>
      <c r="AL79">
        <v>18.850000000000001</v>
      </c>
      <c r="AM79">
        <v>9.4600000000000009</v>
      </c>
      <c r="AN79">
        <v>0.43</v>
      </c>
      <c r="AO79" t="s">
        <v>4</v>
      </c>
      <c r="AP79">
        <v>159.66999999999999</v>
      </c>
      <c r="AQ79">
        <v>0.78</v>
      </c>
      <c r="AR79">
        <v>167.66</v>
      </c>
      <c r="AS79" t="s">
        <v>4</v>
      </c>
      <c r="AT79" t="s">
        <v>4</v>
      </c>
      <c r="AU79" s="24">
        <v>34.82</v>
      </c>
      <c r="AV79" t="s">
        <v>4</v>
      </c>
      <c r="AW79">
        <v>2.64</v>
      </c>
      <c r="AX79">
        <v>105.1</v>
      </c>
      <c r="AY79" s="24">
        <v>22.4</v>
      </c>
      <c r="AZ79">
        <v>29.27</v>
      </c>
      <c r="BA79">
        <v>4.88</v>
      </c>
      <c r="BB79" t="s">
        <v>4</v>
      </c>
      <c r="BC79" t="s">
        <v>4</v>
      </c>
      <c r="BD79">
        <v>46.9</v>
      </c>
      <c r="BE79">
        <v>6.38</v>
      </c>
      <c r="BF79" t="s">
        <v>4</v>
      </c>
      <c r="BG79">
        <v>5.9</v>
      </c>
      <c r="BH79">
        <v>2.0699999999999998</v>
      </c>
      <c r="BI79">
        <v>5.68</v>
      </c>
      <c r="BJ79" t="s">
        <v>4</v>
      </c>
      <c r="BK79" t="s">
        <v>4</v>
      </c>
      <c r="BL79">
        <v>17.87</v>
      </c>
      <c r="BM79" t="s">
        <v>4</v>
      </c>
      <c r="BN79" s="24">
        <v>23.26</v>
      </c>
      <c r="BO79" t="s">
        <v>4</v>
      </c>
      <c r="BP79" t="s">
        <v>4</v>
      </c>
      <c r="BQ79">
        <v>11.3</v>
      </c>
      <c r="BR79">
        <v>11.21</v>
      </c>
      <c r="BS79" t="s">
        <v>4</v>
      </c>
      <c r="BT79" t="s">
        <v>4</v>
      </c>
      <c r="BU79">
        <v>10.91</v>
      </c>
      <c r="BV79">
        <v>2.74</v>
      </c>
      <c r="BW79">
        <v>23.97</v>
      </c>
      <c r="BX79">
        <v>12.27</v>
      </c>
      <c r="BY79" t="s">
        <v>4</v>
      </c>
      <c r="BZ79">
        <v>14.21</v>
      </c>
      <c r="CA79" t="s">
        <v>4</v>
      </c>
      <c r="CB79">
        <v>21.29</v>
      </c>
      <c r="CC79">
        <v>1.01</v>
      </c>
      <c r="CD79" t="s">
        <v>4</v>
      </c>
      <c r="CE79">
        <v>18.260000000000002</v>
      </c>
      <c r="CF79" t="s">
        <v>4</v>
      </c>
      <c r="CG79">
        <v>2.19</v>
      </c>
      <c r="CH79">
        <v>3.66</v>
      </c>
      <c r="CI79" t="s">
        <v>4</v>
      </c>
      <c r="CJ79">
        <v>8.08</v>
      </c>
      <c r="CK79">
        <v>62.12</v>
      </c>
      <c r="CL79">
        <v>84.51</v>
      </c>
      <c r="CM79">
        <v>2.7</v>
      </c>
      <c r="CN79">
        <v>77.819999999999993</v>
      </c>
      <c r="CO79" t="s">
        <v>4</v>
      </c>
      <c r="CP79" t="s">
        <v>4</v>
      </c>
      <c r="CQ79" t="s">
        <v>4</v>
      </c>
      <c r="CR79">
        <v>3.13</v>
      </c>
      <c r="CS79" t="s">
        <v>4</v>
      </c>
    </row>
    <row r="80" spans="1:97" x14ac:dyDescent="0.25">
      <c r="A80" t="s">
        <v>74</v>
      </c>
      <c r="B80" s="20" t="s">
        <v>249</v>
      </c>
      <c r="C80">
        <v>14.07</v>
      </c>
      <c r="D80">
        <v>2.75</v>
      </c>
      <c r="E80" t="s">
        <v>4</v>
      </c>
      <c r="F80" t="s">
        <v>4</v>
      </c>
      <c r="G80">
        <v>102.37</v>
      </c>
      <c r="H80">
        <v>15.55</v>
      </c>
      <c r="I80" t="s">
        <v>4</v>
      </c>
      <c r="J80" t="s">
        <v>4</v>
      </c>
      <c r="K80">
        <v>16.5</v>
      </c>
      <c r="L80">
        <v>168.56</v>
      </c>
      <c r="M80">
        <v>34.979999999999997</v>
      </c>
      <c r="N80" t="s">
        <v>4</v>
      </c>
      <c r="O80" s="24">
        <v>144.69</v>
      </c>
      <c r="P80">
        <v>289.45</v>
      </c>
      <c r="Q80">
        <v>18.28</v>
      </c>
      <c r="R80">
        <v>9.92</v>
      </c>
      <c r="S80">
        <v>20.88</v>
      </c>
      <c r="T80">
        <v>459.08</v>
      </c>
      <c r="U80">
        <v>27.28</v>
      </c>
      <c r="V80" t="s">
        <v>4</v>
      </c>
      <c r="W80" t="s">
        <v>4</v>
      </c>
      <c r="X80">
        <v>40.119999999999997</v>
      </c>
      <c r="Y80" t="s">
        <v>4</v>
      </c>
      <c r="Z80" t="s">
        <v>4</v>
      </c>
      <c r="AA80">
        <v>0.39</v>
      </c>
      <c r="AB80">
        <v>128.44</v>
      </c>
      <c r="AC80" t="s">
        <v>4</v>
      </c>
      <c r="AD80" s="24">
        <v>3.96</v>
      </c>
      <c r="AE80" s="24">
        <v>89.37</v>
      </c>
      <c r="AF80">
        <v>8.9700000000000006</v>
      </c>
      <c r="AG80">
        <v>1505.19</v>
      </c>
      <c r="AH80" t="s">
        <v>4</v>
      </c>
      <c r="AI80">
        <v>100.66</v>
      </c>
      <c r="AJ80">
        <v>28.6</v>
      </c>
      <c r="AK80" t="s">
        <v>4</v>
      </c>
      <c r="AL80">
        <v>13.53</v>
      </c>
      <c r="AM80">
        <v>13.01</v>
      </c>
      <c r="AN80">
        <v>0.56000000000000005</v>
      </c>
      <c r="AO80" t="s">
        <v>4</v>
      </c>
      <c r="AP80">
        <v>188.81</v>
      </c>
      <c r="AQ80">
        <v>1.07</v>
      </c>
      <c r="AR80">
        <v>205</v>
      </c>
      <c r="AS80" t="s">
        <v>4</v>
      </c>
      <c r="AT80" t="s">
        <v>4</v>
      </c>
      <c r="AU80" s="24">
        <v>53.8</v>
      </c>
      <c r="AV80" t="s">
        <v>4</v>
      </c>
      <c r="AW80">
        <v>4.79</v>
      </c>
      <c r="AX80">
        <v>93.48</v>
      </c>
      <c r="AY80" s="24">
        <v>30.779999999999998</v>
      </c>
      <c r="AZ80">
        <v>32.67</v>
      </c>
      <c r="BA80">
        <v>8.23</v>
      </c>
      <c r="BB80" t="s">
        <v>4</v>
      </c>
      <c r="BC80" t="s">
        <v>4</v>
      </c>
      <c r="BD80">
        <v>75.66</v>
      </c>
      <c r="BE80">
        <v>4.76</v>
      </c>
      <c r="BF80" t="s">
        <v>4</v>
      </c>
      <c r="BG80">
        <v>6.64</v>
      </c>
      <c r="BH80">
        <v>2.27</v>
      </c>
      <c r="BI80">
        <v>5.6</v>
      </c>
      <c r="BJ80" t="s">
        <v>4</v>
      </c>
      <c r="BK80" t="s">
        <v>4</v>
      </c>
      <c r="BL80">
        <v>27.89</v>
      </c>
      <c r="BM80" t="s">
        <v>4</v>
      </c>
      <c r="BN80" s="24">
        <v>28.12</v>
      </c>
      <c r="BO80" t="s">
        <v>4</v>
      </c>
      <c r="BP80">
        <v>4.1500000000000004</v>
      </c>
      <c r="BQ80">
        <v>12.35</v>
      </c>
      <c r="BR80">
        <v>16.54</v>
      </c>
      <c r="BS80" t="s">
        <v>4</v>
      </c>
      <c r="BT80" t="s">
        <v>4</v>
      </c>
      <c r="BU80">
        <v>9.82</v>
      </c>
      <c r="BV80">
        <v>2.4700000000000002</v>
      </c>
      <c r="BW80">
        <v>32.42</v>
      </c>
      <c r="BX80">
        <v>17.920000000000002</v>
      </c>
      <c r="BY80" t="s">
        <v>4</v>
      </c>
      <c r="BZ80">
        <v>18.45</v>
      </c>
      <c r="CA80" t="s">
        <v>4</v>
      </c>
      <c r="CB80">
        <v>26.84</v>
      </c>
      <c r="CC80" t="s">
        <v>4</v>
      </c>
      <c r="CD80" t="s">
        <v>4</v>
      </c>
      <c r="CE80">
        <v>20.78</v>
      </c>
      <c r="CF80" t="s">
        <v>4</v>
      </c>
      <c r="CG80">
        <v>2.96</v>
      </c>
      <c r="CH80">
        <v>3.7</v>
      </c>
      <c r="CI80" t="s">
        <v>4</v>
      </c>
      <c r="CJ80">
        <v>2.99</v>
      </c>
      <c r="CK80">
        <v>98.93</v>
      </c>
      <c r="CL80">
        <v>145.08000000000001</v>
      </c>
      <c r="CM80">
        <v>4.5500000000000007</v>
      </c>
      <c r="CN80">
        <v>274.84000000000003</v>
      </c>
      <c r="CO80" t="s">
        <v>4</v>
      </c>
      <c r="CP80" t="s">
        <v>4</v>
      </c>
      <c r="CQ80" t="s">
        <v>4</v>
      </c>
      <c r="CR80">
        <v>4.66</v>
      </c>
      <c r="CS80" t="s">
        <v>4</v>
      </c>
    </row>
    <row r="81" spans="1:97" x14ac:dyDescent="0.25">
      <c r="A81" t="s">
        <v>75</v>
      </c>
      <c r="B81" s="20" t="s">
        <v>250</v>
      </c>
      <c r="C81">
        <v>18.87</v>
      </c>
      <c r="D81">
        <v>2.58</v>
      </c>
      <c r="E81" t="s">
        <v>4</v>
      </c>
      <c r="F81" t="s">
        <v>4</v>
      </c>
      <c r="G81">
        <v>53.33</v>
      </c>
      <c r="H81">
        <v>151.62</v>
      </c>
      <c r="I81">
        <v>22.46</v>
      </c>
      <c r="J81" t="s">
        <v>4</v>
      </c>
      <c r="K81">
        <v>31.11</v>
      </c>
      <c r="L81">
        <v>97.85</v>
      </c>
      <c r="M81">
        <v>111.34</v>
      </c>
      <c r="N81" t="s">
        <v>4</v>
      </c>
      <c r="O81" s="24">
        <v>663.95</v>
      </c>
      <c r="P81">
        <v>114.96</v>
      </c>
      <c r="Q81">
        <v>11.13</v>
      </c>
      <c r="R81">
        <v>3.9</v>
      </c>
      <c r="S81">
        <v>7.46</v>
      </c>
      <c r="T81">
        <v>192.4</v>
      </c>
      <c r="U81">
        <v>13.15</v>
      </c>
      <c r="V81" t="s">
        <v>4</v>
      </c>
      <c r="W81" t="s">
        <v>4</v>
      </c>
      <c r="X81">
        <v>172.86</v>
      </c>
      <c r="Y81" t="s">
        <v>4</v>
      </c>
      <c r="Z81" t="s">
        <v>4</v>
      </c>
      <c r="AA81" t="s">
        <v>4</v>
      </c>
      <c r="AB81">
        <v>48.38</v>
      </c>
      <c r="AC81" t="s">
        <v>4</v>
      </c>
      <c r="AD81" s="24">
        <v>5.8</v>
      </c>
      <c r="AE81" s="24">
        <v>11.92</v>
      </c>
      <c r="AF81">
        <v>5.0199999999999996</v>
      </c>
      <c r="AG81">
        <v>7246.9</v>
      </c>
      <c r="AH81" t="s">
        <v>4</v>
      </c>
      <c r="AI81">
        <v>134.21</v>
      </c>
      <c r="AJ81">
        <v>19.600000000000001</v>
      </c>
      <c r="AK81" t="s">
        <v>4</v>
      </c>
      <c r="AL81">
        <v>61.78</v>
      </c>
      <c r="AM81">
        <v>17.47</v>
      </c>
      <c r="AN81">
        <v>0.3</v>
      </c>
      <c r="AO81" t="s">
        <v>4</v>
      </c>
      <c r="AP81">
        <v>187.34</v>
      </c>
      <c r="AQ81">
        <v>1.67</v>
      </c>
      <c r="AR81">
        <v>82.01</v>
      </c>
      <c r="AS81" t="s">
        <v>4</v>
      </c>
      <c r="AT81" t="s">
        <v>4</v>
      </c>
      <c r="AU81" s="24">
        <v>22.16</v>
      </c>
      <c r="AV81" t="s">
        <v>4</v>
      </c>
      <c r="AW81">
        <v>4.32</v>
      </c>
      <c r="AX81">
        <v>389.96</v>
      </c>
      <c r="AY81" s="24">
        <v>48.25</v>
      </c>
      <c r="AZ81">
        <v>15.29</v>
      </c>
      <c r="BA81">
        <v>6.71</v>
      </c>
      <c r="BB81" t="s">
        <v>4</v>
      </c>
      <c r="BC81" t="s">
        <v>4</v>
      </c>
      <c r="BD81">
        <v>104.59</v>
      </c>
      <c r="BE81">
        <v>6.49</v>
      </c>
      <c r="BF81" t="s">
        <v>4</v>
      </c>
      <c r="BG81" t="s">
        <v>4</v>
      </c>
      <c r="BH81">
        <v>1.98</v>
      </c>
      <c r="BI81">
        <v>3.57</v>
      </c>
      <c r="BJ81" t="s">
        <v>4</v>
      </c>
      <c r="BK81" t="s">
        <v>4</v>
      </c>
      <c r="BL81">
        <v>4.84</v>
      </c>
      <c r="BM81" t="s">
        <v>4</v>
      </c>
      <c r="BN81" s="24">
        <v>8.26</v>
      </c>
      <c r="BO81">
        <v>1.1000000000000001</v>
      </c>
      <c r="BP81" t="s">
        <v>4</v>
      </c>
      <c r="BQ81">
        <v>10.07</v>
      </c>
      <c r="BR81">
        <v>322.19</v>
      </c>
      <c r="BS81">
        <v>6.6</v>
      </c>
      <c r="BT81" t="s">
        <v>4</v>
      </c>
      <c r="BU81">
        <v>7.71</v>
      </c>
      <c r="BV81">
        <v>4.78</v>
      </c>
      <c r="BW81">
        <v>11.7</v>
      </c>
      <c r="BX81">
        <v>6.44</v>
      </c>
      <c r="BY81" t="s">
        <v>4</v>
      </c>
      <c r="BZ81">
        <v>40</v>
      </c>
      <c r="CA81" t="s">
        <v>4</v>
      </c>
      <c r="CB81">
        <v>42.19</v>
      </c>
      <c r="CC81" t="s">
        <v>4</v>
      </c>
      <c r="CD81" t="s">
        <v>4</v>
      </c>
      <c r="CE81">
        <v>18.61</v>
      </c>
      <c r="CF81" t="s">
        <v>4</v>
      </c>
      <c r="CG81">
        <v>2.4700000000000002</v>
      </c>
      <c r="CH81">
        <v>5.94</v>
      </c>
      <c r="CI81" t="s">
        <v>4</v>
      </c>
      <c r="CJ81">
        <v>1.37</v>
      </c>
      <c r="CK81">
        <v>50.47</v>
      </c>
      <c r="CL81">
        <v>51.34</v>
      </c>
      <c r="CM81">
        <v>2.16</v>
      </c>
      <c r="CN81">
        <v>37.450000000000003</v>
      </c>
      <c r="CO81" t="s">
        <v>4</v>
      </c>
      <c r="CP81" t="s">
        <v>4</v>
      </c>
      <c r="CQ81" t="s">
        <v>4</v>
      </c>
      <c r="CR81">
        <v>1.38</v>
      </c>
      <c r="CS81" t="s">
        <v>4</v>
      </c>
    </row>
    <row r="82" spans="1:97" x14ac:dyDescent="0.25">
      <c r="A82" t="s">
        <v>76</v>
      </c>
      <c r="B82" s="20" t="s">
        <v>251</v>
      </c>
      <c r="C82">
        <v>14.52</v>
      </c>
      <c r="D82">
        <v>2.82</v>
      </c>
      <c r="E82" t="s">
        <v>4</v>
      </c>
      <c r="F82" t="s">
        <v>4</v>
      </c>
      <c r="G82">
        <v>72.599999999999994</v>
      </c>
      <c r="H82">
        <v>52.88</v>
      </c>
      <c r="I82" t="s">
        <v>4</v>
      </c>
      <c r="J82" t="s">
        <v>4</v>
      </c>
      <c r="K82">
        <v>12.85</v>
      </c>
      <c r="L82">
        <v>151.19</v>
      </c>
      <c r="M82">
        <v>36.619999999999997</v>
      </c>
      <c r="N82" t="s">
        <v>4</v>
      </c>
      <c r="O82" s="24">
        <v>1201.83</v>
      </c>
      <c r="P82">
        <v>185.47</v>
      </c>
      <c r="Q82">
        <v>12.2</v>
      </c>
      <c r="R82">
        <v>6.98</v>
      </c>
      <c r="S82">
        <v>13.04</v>
      </c>
      <c r="T82">
        <v>325.38</v>
      </c>
      <c r="U82">
        <v>18.22</v>
      </c>
      <c r="V82">
        <v>0.86</v>
      </c>
      <c r="W82" t="s">
        <v>4</v>
      </c>
      <c r="X82">
        <v>52.09</v>
      </c>
      <c r="Y82" t="s">
        <v>4</v>
      </c>
      <c r="Z82" t="s">
        <v>4</v>
      </c>
      <c r="AA82">
        <v>0.45</v>
      </c>
      <c r="AB82">
        <v>80.64</v>
      </c>
      <c r="AC82" t="s">
        <v>4</v>
      </c>
      <c r="AD82" s="24">
        <v>7.39</v>
      </c>
      <c r="AE82" s="24">
        <v>15.4</v>
      </c>
      <c r="AF82">
        <v>6.42</v>
      </c>
      <c r="AG82">
        <v>5715</v>
      </c>
      <c r="AH82" t="s">
        <v>4</v>
      </c>
      <c r="AI82">
        <v>64.33</v>
      </c>
      <c r="AJ82">
        <v>38.15</v>
      </c>
      <c r="AK82" t="s">
        <v>4</v>
      </c>
      <c r="AL82">
        <v>24.92</v>
      </c>
      <c r="AM82">
        <v>7.62</v>
      </c>
      <c r="AN82" t="s">
        <v>4</v>
      </c>
      <c r="AO82" t="s">
        <v>4</v>
      </c>
      <c r="AP82">
        <v>217.82</v>
      </c>
      <c r="AQ82">
        <v>0.72</v>
      </c>
      <c r="AR82">
        <v>139.18</v>
      </c>
      <c r="AS82" t="s">
        <v>4</v>
      </c>
      <c r="AT82" t="s">
        <v>4</v>
      </c>
      <c r="AU82" s="24">
        <v>27.400000000000002</v>
      </c>
      <c r="AV82" t="s">
        <v>4</v>
      </c>
      <c r="AW82" t="s">
        <v>4</v>
      </c>
      <c r="AX82">
        <v>162.97</v>
      </c>
      <c r="AY82" s="24">
        <v>24.68</v>
      </c>
      <c r="AZ82">
        <v>27.64</v>
      </c>
      <c r="BA82">
        <v>6.82</v>
      </c>
      <c r="BB82" t="s">
        <v>4</v>
      </c>
      <c r="BC82" t="s">
        <v>4</v>
      </c>
      <c r="BD82">
        <v>27.99</v>
      </c>
      <c r="BE82">
        <v>8.8800000000000008</v>
      </c>
      <c r="BF82" t="s">
        <v>4</v>
      </c>
      <c r="BG82">
        <v>5.46</v>
      </c>
      <c r="BH82">
        <v>0.98</v>
      </c>
      <c r="BI82">
        <v>4.66</v>
      </c>
      <c r="BJ82" t="s">
        <v>4</v>
      </c>
      <c r="BK82" t="s">
        <v>4</v>
      </c>
      <c r="BL82">
        <v>11.79</v>
      </c>
      <c r="BM82" t="s">
        <v>4</v>
      </c>
      <c r="BN82" s="24">
        <v>19.91</v>
      </c>
      <c r="BO82" t="s">
        <v>4</v>
      </c>
      <c r="BP82">
        <v>3.36</v>
      </c>
      <c r="BQ82">
        <v>11.56</v>
      </c>
      <c r="BR82">
        <v>21.2</v>
      </c>
      <c r="BS82" t="s">
        <v>4</v>
      </c>
      <c r="BT82" t="s">
        <v>4</v>
      </c>
      <c r="BU82">
        <v>9.09</v>
      </c>
      <c r="BV82">
        <v>2.17</v>
      </c>
      <c r="BW82">
        <v>22.13</v>
      </c>
      <c r="BX82">
        <v>10.42</v>
      </c>
      <c r="BY82" t="s">
        <v>4</v>
      </c>
      <c r="BZ82">
        <v>15.78</v>
      </c>
      <c r="CA82" t="s">
        <v>4</v>
      </c>
      <c r="CB82">
        <v>17.41</v>
      </c>
      <c r="CC82">
        <v>1.47</v>
      </c>
      <c r="CD82" t="s">
        <v>4</v>
      </c>
      <c r="CE82">
        <v>14.02</v>
      </c>
      <c r="CF82" t="s">
        <v>4</v>
      </c>
      <c r="CG82" t="s">
        <v>4</v>
      </c>
      <c r="CH82">
        <v>3.09</v>
      </c>
      <c r="CI82" t="s">
        <v>4</v>
      </c>
      <c r="CJ82">
        <v>4.84</v>
      </c>
      <c r="CK82">
        <v>108.91</v>
      </c>
      <c r="CL82">
        <v>84.31</v>
      </c>
      <c r="CM82">
        <v>13.81</v>
      </c>
      <c r="CN82" t="s">
        <v>4</v>
      </c>
      <c r="CO82" t="s">
        <v>4</v>
      </c>
      <c r="CP82" t="s">
        <v>4</v>
      </c>
      <c r="CQ82" t="s">
        <v>4</v>
      </c>
      <c r="CR82">
        <v>2.4700000000000002</v>
      </c>
      <c r="CS82" t="s">
        <v>4</v>
      </c>
    </row>
    <row r="83" spans="1:97" s="26" customFormat="1" ht="14.4" thickBot="1" x14ac:dyDescent="0.3">
      <c r="A83" s="26" t="s">
        <v>77</v>
      </c>
      <c r="B83" s="23" t="s">
        <v>252</v>
      </c>
      <c r="C83" s="26">
        <v>28.67</v>
      </c>
      <c r="D83" s="26">
        <v>2.3199999999999998</v>
      </c>
      <c r="E83" s="26" t="s">
        <v>4</v>
      </c>
      <c r="F83" s="26" t="s">
        <v>4</v>
      </c>
      <c r="G83" s="26">
        <v>62.4</v>
      </c>
      <c r="H83" s="26">
        <v>58.19</v>
      </c>
      <c r="I83" s="26" t="s">
        <v>4</v>
      </c>
      <c r="J83" s="26" t="s">
        <v>4</v>
      </c>
      <c r="K83" s="26">
        <v>17.11</v>
      </c>
      <c r="L83" s="26">
        <v>114.39</v>
      </c>
      <c r="M83" s="26">
        <v>51.47</v>
      </c>
      <c r="N83" s="26" t="s">
        <v>4</v>
      </c>
      <c r="O83" s="27">
        <v>814.06000000000006</v>
      </c>
      <c r="P83" s="26">
        <v>137.97999999999999</v>
      </c>
      <c r="Q83" s="26">
        <v>11.02</v>
      </c>
      <c r="R83" s="26">
        <v>5.22</v>
      </c>
      <c r="S83" s="26">
        <v>9.81</v>
      </c>
      <c r="T83" s="26">
        <v>265.97000000000003</v>
      </c>
      <c r="U83" s="26">
        <v>17.309999999999999</v>
      </c>
      <c r="V83" s="26" t="s">
        <v>4</v>
      </c>
      <c r="W83" s="26" t="s">
        <v>4</v>
      </c>
      <c r="X83" s="26">
        <v>90.89</v>
      </c>
      <c r="Y83" s="26" t="s">
        <v>4</v>
      </c>
      <c r="Z83" s="26" t="s">
        <v>4</v>
      </c>
      <c r="AA83" s="26">
        <v>0.3</v>
      </c>
      <c r="AB83" s="26">
        <v>66.459999999999994</v>
      </c>
      <c r="AC83" s="26" t="s">
        <v>4</v>
      </c>
      <c r="AD83" s="27">
        <v>4.2499999999999991</v>
      </c>
      <c r="AE83" s="27">
        <v>21.02</v>
      </c>
      <c r="AF83" s="26">
        <v>7.46</v>
      </c>
      <c r="AG83" s="28">
        <v>6317.47</v>
      </c>
      <c r="AH83" s="26" t="s">
        <v>4</v>
      </c>
      <c r="AI83" s="26">
        <v>94.48</v>
      </c>
      <c r="AJ83" s="26">
        <v>25.88</v>
      </c>
      <c r="AK83" s="26" t="s">
        <v>4</v>
      </c>
      <c r="AL83" s="26">
        <v>42.97</v>
      </c>
      <c r="AM83" s="26">
        <v>11.03</v>
      </c>
      <c r="AN83" s="26" t="s">
        <v>4</v>
      </c>
      <c r="AO83" s="26" t="s">
        <v>4</v>
      </c>
      <c r="AP83" s="26">
        <v>170.57</v>
      </c>
      <c r="AQ83" s="26">
        <v>0.9</v>
      </c>
      <c r="AR83" s="26">
        <v>98.98</v>
      </c>
      <c r="AS83" s="26" t="s">
        <v>4</v>
      </c>
      <c r="AT83" s="26" t="s">
        <v>4</v>
      </c>
      <c r="AU83" s="27">
        <v>18.810000000000002</v>
      </c>
      <c r="AV83" s="26" t="s">
        <v>4</v>
      </c>
      <c r="AW83" s="26">
        <v>1.97</v>
      </c>
      <c r="AX83" s="26">
        <v>283.29000000000002</v>
      </c>
      <c r="AY83" s="27">
        <v>23.619999999999997</v>
      </c>
      <c r="AZ83" s="26">
        <v>18.309999999999999</v>
      </c>
      <c r="BA83" s="26">
        <v>5.18</v>
      </c>
      <c r="BB83" s="26" t="s">
        <v>4</v>
      </c>
      <c r="BC83" s="26" t="s">
        <v>4</v>
      </c>
      <c r="BD83" s="26">
        <v>50.68</v>
      </c>
      <c r="BE83" s="26">
        <v>7.76</v>
      </c>
      <c r="BF83" s="26" t="s">
        <v>4</v>
      </c>
      <c r="BG83" s="26">
        <v>5.03</v>
      </c>
      <c r="BH83" s="26">
        <v>0.93</v>
      </c>
      <c r="BI83" s="26">
        <v>3.78</v>
      </c>
      <c r="BJ83" s="26" t="s">
        <v>4</v>
      </c>
      <c r="BK83" s="26" t="s">
        <v>4</v>
      </c>
      <c r="BL83" s="26">
        <v>6.77</v>
      </c>
      <c r="BM83" s="26" t="s">
        <v>4</v>
      </c>
      <c r="BN83" s="27">
        <v>12.07</v>
      </c>
      <c r="BO83" s="26" t="s">
        <v>4</v>
      </c>
      <c r="BP83" s="26">
        <v>4.67</v>
      </c>
      <c r="BQ83" s="26">
        <v>8.14</v>
      </c>
      <c r="BR83" s="26">
        <v>70.19</v>
      </c>
      <c r="BS83" s="26" t="s">
        <v>4</v>
      </c>
      <c r="BT83" s="26" t="s">
        <v>4</v>
      </c>
      <c r="BU83" s="26" t="s">
        <v>4</v>
      </c>
      <c r="BV83" s="26">
        <v>2.98</v>
      </c>
      <c r="BW83" s="26">
        <v>15.12</v>
      </c>
      <c r="BX83" s="26">
        <v>8.07</v>
      </c>
      <c r="BY83" s="26" t="s">
        <v>4</v>
      </c>
      <c r="BZ83" s="26">
        <v>16.420000000000002</v>
      </c>
      <c r="CA83" s="26" t="s">
        <v>4</v>
      </c>
      <c r="CB83" s="26">
        <v>20.59</v>
      </c>
      <c r="CC83" s="26">
        <v>1.1100000000000001</v>
      </c>
      <c r="CD83" s="26" t="s">
        <v>4</v>
      </c>
      <c r="CE83" s="26">
        <v>12.92</v>
      </c>
      <c r="CF83" s="26">
        <v>0.28999999999999998</v>
      </c>
      <c r="CG83" s="26">
        <v>1.79</v>
      </c>
      <c r="CH83" s="26">
        <v>2.2799999999999998</v>
      </c>
      <c r="CI83" s="26" t="s">
        <v>4</v>
      </c>
      <c r="CJ83" s="26">
        <v>3.26</v>
      </c>
      <c r="CK83" s="26">
        <v>79.88</v>
      </c>
      <c r="CL83" s="26">
        <v>57.75</v>
      </c>
      <c r="CM83" s="26">
        <v>3.4000000000000004</v>
      </c>
      <c r="CN83" s="26">
        <v>69.899999999999991</v>
      </c>
      <c r="CO83" s="26" t="s">
        <v>4</v>
      </c>
      <c r="CP83" s="26" t="s">
        <v>4</v>
      </c>
      <c r="CQ83" s="26" t="s">
        <v>4</v>
      </c>
      <c r="CR83" s="26">
        <v>1.66</v>
      </c>
      <c r="CS83" s="26" t="s">
        <v>4</v>
      </c>
    </row>
    <row r="84" spans="1:97" x14ac:dyDescent="0.25">
      <c r="A84" s="1" t="s">
        <v>2</v>
      </c>
      <c r="B84" s="1"/>
      <c r="C84" t="s">
        <v>253</v>
      </c>
      <c r="D84" s="41" t="s">
        <v>254</v>
      </c>
      <c r="E84" t="s">
        <v>255</v>
      </c>
      <c r="F84" t="s">
        <v>158</v>
      </c>
      <c r="G84" t="s">
        <v>256</v>
      </c>
      <c r="H84" t="s">
        <v>257</v>
      </c>
      <c r="I84" s="30" t="s">
        <v>258</v>
      </c>
      <c r="J84" t="s">
        <v>259</v>
      </c>
      <c r="K84" s="32" t="s">
        <v>260</v>
      </c>
      <c r="L84" t="s">
        <v>261</v>
      </c>
      <c r="M84" s="30" t="s">
        <v>262</v>
      </c>
      <c r="N84" t="s">
        <v>266</v>
      </c>
      <c r="O84" t="s">
        <v>263</v>
      </c>
      <c r="P84" t="s">
        <v>264</v>
      </c>
      <c r="Q84" t="s">
        <v>265</v>
      </c>
      <c r="R84" t="s">
        <v>163</v>
      </c>
      <c r="S84" t="s">
        <v>164</v>
      </c>
      <c r="T84" t="s">
        <v>165</v>
      </c>
      <c r="U84" s="29" t="s">
        <v>267</v>
      </c>
      <c r="V84" t="s">
        <v>268</v>
      </c>
      <c r="W84" t="s">
        <v>269</v>
      </c>
      <c r="X84" t="s">
        <v>270</v>
      </c>
      <c r="Y84" s="30" t="s">
        <v>271</v>
      </c>
      <c r="Z84" t="s">
        <v>272</v>
      </c>
      <c r="AA84" t="s">
        <v>273</v>
      </c>
      <c r="AB84" t="s">
        <v>274</v>
      </c>
      <c r="AC84" t="s">
        <v>275</v>
      </c>
      <c r="AD84" s="30" t="s">
        <v>276</v>
      </c>
      <c r="AE84" s="31" t="s">
        <v>277</v>
      </c>
      <c r="AF84" s="30" t="s">
        <v>278</v>
      </c>
      <c r="AG84" s="30" t="s">
        <v>279</v>
      </c>
      <c r="AH84" t="s">
        <v>280</v>
      </c>
      <c r="AI84" t="s">
        <v>281</v>
      </c>
      <c r="AJ84" t="s">
        <v>282</v>
      </c>
      <c r="AK84" t="s">
        <v>283</v>
      </c>
      <c r="AL84" s="29" t="s">
        <v>284</v>
      </c>
      <c r="AM84" t="s">
        <v>285</v>
      </c>
      <c r="AN84" t="s">
        <v>286</v>
      </c>
      <c r="AO84" s="29" t="s">
        <v>287</v>
      </c>
      <c r="AP84" s="32" t="s">
        <v>288</v>
      </c>
      <c r="AQ84" t="s">
        <v>289</v>
      </c>
      <c r="AR84" t="s">
        <v>290</v>
      </c>
      <c r="AS84" t="s">
        <v>291</v>
      </c>
      <c r="AT84" t="s">
        <v>292</v>
      </c>
      <c r="AU84" s="29" t="s">
        <v>293</v>
      </c>
      <c r="AV84" t="s">
        <v>294</v>
      </c>
      <c r="AW84" t="s">
        <v>295</v>
      </c>
      <c r="AX84" s="30" t="s">
        <v>296</v>
      </c>
      <c r="AY84" s="29" t="s">
        <v>297</v>
      </c>
      <c r="AZ84" t="s">
        <v>298</v>
      </c>
      <c r="BA84" t="s">
        <v>299</v>
      </c>
      <c r="BB84" t="s">
        <v>300</v>
      </c>
      <c r="BC84" t="s">
        <v>301</v>
      </c>
      <c r="BD84" s="30" t="s">
        <v>302</v>
      </c>
      <c r="BE84" t="s">
        <v>171</v>
      </c>
      <c r="BF84" t="s">
        <v>303</v>
      </c>
      <c r="BG84" t="s">
        <v>304</v>
      </c>
      <c r="BH84" s="30" t="s">
        <v>305</v>
      </c>
      <c r="BI84" t="s">
        <v>306</v>
      </c>
      <c r="BJ84" t="s">
        <v>307</v>
      </c>
      <c r="BK84" t="s">
        <v>308</v>
      </c>
      <c r="BL84" t="s">
        <v>309</v>
      </c>
      <c r="BM84" t="s">
        <v>310</v>
      </c>
      <c r="BN84" s="29" t="s">
        <v>311</v>
      </c>
      <c r="BO84" t="s">
        <v>312</v>
      </c>
      <c r="BP84" t="s">
        <v>313</v>
      </c>
      <c r="BQ84" t="s">
        <v>314</v>
      </c>
      <c r="BR84" s="32" t="s">
        <v>315</v>
      </c>
      <c r="BS84" t="s">
        <v>316</v>
      </c>
      <c r="BT84" t="s">
        <v>317</v>
      </c>
      <c r="BU84" t="s">
        <v>318</v>
      </c>
      <c r="BV84" t="s">
        <v>319</v>
      </c>
      <c r="BW84" t="s">
        <v>320</v>
      </c>
      <c r="BX84" t="s">
        <v>321</v>
      </c>
      <c r="BY84" t="s">
        <v>322</v>
      </c>
      <c r="BZ84" t="s">
        <v>323</v>
      </c>
      <c r="CA84" t="s">
        <v>324</v>
      </c>
      <c r="CB84" s="32" t="s">
        <v>325</v>
      </c>
      <c r="CC84" t="s">
        <v>326</v>
      </c>
      <c r="CD84" t="s">
        <v>327</v>
      </c>
      <c r="CE84" t="s">
        <v>328</v>
      </c>
      <c r="CF84" t="s">
        <v>389</v>
      </c>
      <c r="CG84" t="s">
        <v>390</v>
      </c>
      <c r="CH84" t="s">
        <v>391</v>
      </c>
      <c r="CI84" t="s">
        <v>392</v>
      </c>
      <c r="CJ84" t="s">
        <v>393</v>
      </c>
      <c r="CK84" t="s">
        <v>394</v>
      </c>
      <c r="CL84" t="s">
        <v>395</v>
      </c>
      <c r="CM84" t="s">
        <v>396</v>
      </c>
      <c r="CN84" t="s">
        <v>397</v>
      </c>
      <c r="CO84" t="s">
        <v>398</v>
      </c>
      <c r="CP84" t="s">
        <v>399</v>
      </c>
      <c r="CQ84" t="s">
        <v>400</v>
      </c>
      <c r="CR84" t="s">
        <v>401</v>
      </c>
      <c r="CS84" t="s">
        <v>402</v>
      </c>
    </row>
    <row r="85" spans="1:97" x14ac:dyDescent="0.25">
      <c r="A85" s="45" t="s">
        <v>336</v>
      </c>
      <c r="B85" s="45"/>
      <c r="C85" t="s">
        <v>4</v>
      </c>
      <c r="D85" t="s">
        <v>4</v>
      </c>
      <c r="E85" t="s">
        <v>4</v>
      </c>
      <c r="F85" t="s">
        <v>4</v>
      </c>
      <c r="G85">
        <v>0.41</v>
      </c>
      <c r="H85">
        <v>12.96</v>
      </c>
      <c r="I85">
        <v>38.07</v>
      </c>
      <c r="J85">
        <v>38.25</v>
      </c>
      <c r="K85">
        <v>0.77</v>
      </c>
      <c r="L85" t="s">
        <v>4</v>
      </c>
      <c r="M85">
        <v>39.06</v>
      </c>
      <c r="N85" t="s">
        <v>4</v>
      </c>
      <c r="O85">
        <v>723.32</v>
      </c>
      <c r="P85">
        <v>627.04</v>
      </c>
      <c r="Q85">
        <v>82.7</v>
      </c>
      <c r="R85" t="s">
        <v>4</v>
      </c>
      <c r="S85" t="s">
        <v>4</v>
      </c>
      <c r="T85">
        <v>27.68</v>
      </c>
      <c r="U85" t="s">
        <v>4</v>
      </c>
      <c r="V85" t="s">
        <v>4</v>
      </c>
      <c r="W85" t="s">
        <v>4</v>
      </c>
      <c r="X85">
        <v>241.76</v>
      </c>
      <c r="Y85" t="s">
        <v>348</v>
      </c>
      <c r="Z85" t="s">
        <v>4</v>
      </c>
      <c r="AA85" t="s">
        <v>4</v>
      </c>
      <c r="AB85" t="s">
        <v>4</v>
      </c>
      <c r="AC85" t="s">
        <v>4</v>
      </c>
      <c r="AD85" t="s">
        <v>4</v>
      </c>
      <c r="AE85">
        <v>5.1099999999999994</v>
      </c>
      <c r="AF85" t="s">
        <v>4</v>
      </c>
      <c r="AG85">
        <v>0.43999999999999995</v>
      </c>
      <c r="AH85" t="s">
        <v>4</v>
      </c>
      <c r="AI85" t="s">
        <v>4</v>
      </c>
      <c r="AJ85" t="s">
        <v>4</v>
      </c>
      <c r="AK85" t="s">
        <v>4</v>
      </c>
      <c r="AL85">
        <v>6.5</v>
      </c>
      <c r="AM85" t="s">
        <v>4</v>
      </c>
      <c r="AN85" t="s">
        <v>4</v>
      </c>
      <c r="AO85" t="s">
        <v>4</v>
      </c>
      <c r="AP85">
        <v>101.16</v>
      </c>
      <c r="AQ85" t="s">
        <v>4</v>
      </c>
      <c r="AR85">
        <v>57.21</v>
      </c>
      <c r="AS85" t="s">
        <v>4</v>
      </c>
      <c r="AT85" t="s">
        <v>4</v>
      </c>
      <c r="AU85">
        <v>4.54</v>
      </c>
      <c r="AV85" t="s">
        <v>4</v>
      </c>
      <c r="AW85" t="s">
        <v>4</v>
      </c>
      <c r="AX85">
        <v>595.05999999999995</v>
      </c>
      <c r="AY85">
        <v>3.43</v>
      </c>
      <c r="AZ85" t="s">
        <v>4</v>
      </c>
      <c r="BA85" t="s">
        <v>4</v>
      </c>
      <c r="BB85" t="s">
        <v>4</v>
      </c>
      <c r="BC85" t="s">
        <v>4</v>
      </c>
      <c r="BD85">
        <v>36.43</v>
      </c>
      <c r="BE85" t="s">
        <v>4</v>
      </c>
      <c r="BF85" t="s">
        <v>4</v>
      </c>
      <c r="BG85" t="s">
        <v>4</v>
      </c>
      <c r="BH85">
        <v>6.6</v>
      </c>
      <c r="BI85" t="s">
        <v>4</v>
      </c>
      <c r="BJ85" t="s">
        <v>4</v>
      </c>
      <c r="BK85" t="s">
        <v>4</v>
      </c>
      <c r="BL85" t="s">
        <v>4</v>
      </c>
      <c r="BM85" t="s">
        <v>4</v>
      </c>
      <c r="BN85">
        <v>1.35</v>
      </c>
      <c r="BO85" t="s">
        <v>4</v>
      </c>
      <c r="BP85" t="s">
        <v>4</v>
      </c>
      <c r="BQ85">
        <v>88.05</v>
      </c>
      <c r="BR85" t="s">
        <v>4</v>
      </c>
      <c r="BS85" t="s">
        <v>4</v>
      </c>
      <c r="BT85" t="s">
        <v>4</v>
      </c>
      <c r="BU85" t="s">
        <v>4</v>
      </c>
      <c r="BV85" t="s">
        <v>4</v>
      </c>
      <c r="BW85" t="s">
        <v>4</v>
      </c>
      <c r="BX85" t="s">
        <v>4</v>
      </c>
      <c r="BY85" t="s">
        <v>4</v>
      </c>
      <c r="BZ85" t="s">
        <v>4</v>
      </c>
      <c r="CA85">
        <v>0.76</v>
      </c>
      <c r="CB85">
        <v>1.1299999999999999</v>
      </c>
      <c r="CC85" t="s">
        <v>4</v>
      </c>
      <c r="CD85" t="s">
        <v>4</v>
      </c>
      <c r="CE85" t="s">
        <v>4</v>
      </c>
      <c r="CF85" t="s">
        <v>4</v>
      </c>
      <c r="CG85" t="s">
        <v>4</v>
      </c>
      <c r="CH85">
        <v>44.87</v>
      </c>
      <c r="CI85" t="s">
        <v>4</v>
      </c>
      <c r="CJ85" t="s">
        <v>4</v>
      </c>
      <c r="CK85">
        <v>431.03</v>
      </c>
      <c r="CL85" t="s">
        <v>4</v>
      </c>
      <c r="CM85">
        <v>21.39</v>
      </c>
      <c r="CN85">
        <v>132.93</v>
      </c>
      <c r="CO85">
        <v>0.94</v>
      </c>
      <c r="CP85">
        <v>16.37</v>
      </c>
      <c r="CQ85" t="s">
        <v>4</v>
      </c>
      <c r="CR85" t="s">
        <v>4</v>
      </c>
      <c r="CS85" t="s">
        <v>4</v>
      </c>
    </row>
    <row r="86" spans="1:97" x14ac:dyDescent="0.25">
      <c r="A86" s="45" t="s">
        <v>337</v>
      </c>
      <c r="B86" s="45"/>
      <c r="C86" t="s">
        <v>4</v>
      </c>
      <c r="D86" t="s">
        <v>4</v>
      </c>
      <c r="E86" t="s">
        <v>4</v>
      </c>
      <c r="F86" t="s">
        <v>4</v>
      </c>
      <c r="G86" t="s">
        <v>4</v>
      </c>
      <c r="H86">
        <v>12.61</v>
      </c>
      <c r="I86">
        <v>37.619999999999997</v>
      </c>
      <c r="J86">
        <v>46.48</v>
      </c>
      <c r="K86">
        <v>0.65</v>
      </c>
      <c r="L86" t="s">
        <v>4</v>
      </c>
      <c r="M86">
        <v>36.549999999999997</v>
      </c>
      <c r="N86" t="s">
        <v>4</v>
      </c>
      <c r="O86">
        <v>376.86</v>
      </c>
      <c r="P86">
        <v>612</v>
      </c>
      <c r="Q86">
        <v>92.56</v>
      </c>
      <c r="R86" t="s">
        <v>4</v>
      </c>
      <c r="S86" t="s">
        <v>4</v>
      </c>
      <c r="T86">
        <v>28.82</v>
      </c>
      <c r="U86" t="s">
        <v>4</v>
      </c>
      <c r="V86" t="s">
        <v>4</v>
      </c>
      <c r="W86" t="s">
        <v>4</v>
      </c>
      <c r="X86">
        <v>262.31</v>
      </c>
      <c r="Y86" t="s">
        <v>348</v>
      </c>
      <c r="Z86" t="s">
        <v>4</v>
      </c>
      <c r="AA86" t="s">
        <v>4</v>
      </c>
      <c r="AB86" t="s">
        <v>4</v>
      </c>
      <c r="AC86" t="s">
        <v>4</v>
      </c>
      <c r="AD86" t="s">
        <v>4</v>
      </c>
      <c r="AE86">
        <v>7.64</v>
      </c>
      <c r="AF86" t="s">
        <v>4</v>
      </c>
      <c r="AG86">
        <v>1.5100000000000002</v>
      </c>
      <c r="AH86" t="s">
        <v>4</v>
      </c>
      <c r="AI86" t="s">
        <v>4</v>
      </c>
      <c r="AJ86" t="s">
        <v>4</v>
      </c>
      <c r="AK86" t="s">
        <v>4</v>
      </c>
      <c r="AL86">
        <v>7.03</v>
      </c>
      <c r="AM86" t="s">
        <v>4</v>
      </c>
      <c r="AN86" t="s">
        <v>4</v>
      </c>
      <c r="AO86" t="s">
        <v>4</v>
      </c>
      <c r="AP86">
        <v>100.69</v>
      </c>
      <c r="AQ86" t="s">
        <v>4</v>
      </c>
      <c r="AR86">
        <v>55.56</v>
      </c>
      <c r="AS86" t="s">
        <v>4</v>
      </c>
      <c r="AT86" t="s">
        <v>4</v>
      </c>
      <c r="AU86">
        <v>4.6499999999999995</v>
      </c>
      <c r="AV86" t="s">
        <v>4</v>
      </c>
      <c r="AW86" t="s">
        <v>4</v>
      </c>
      <c r="AX86">
        <v>561.17999999999995</v>
      </c>
      <c r="AY86">
        <v>2.64</v>
      </c>
      <c r="AZ86" t="s">
        <v>4</v>
      </c>
      <c r="BA86" t="s">
        <v>4</v>
      </c>
      <c r="BB86" t="s">
        <v>4</v>
      </c>
      <c r="BC86" t="s">
        <v>4</v>
      </c>
      <c r="BD86">
        <v>52.54</v>
      </c>
      <c r="BE86" t="s">
        <v>4</v>
      </c>
      <c r="BF86" t="s">
        <v>4</v>
      </c>
      <c r="BG86" t="s">
        <v>4</v>
      </c>
      <c r="BH86">
        <v>9.6</v>
      </c>
      <c r="BI86" t="s">
        <v>4</v>
      </c>
      <c r="BJ86">
        <v>0.5</v>
      </c>
      <c r="BK86" t="s">
        <v>4</v>
      </c>
      <c r="BL86" t="s">
        <v>4</v>
      </c>
      <c r="BM86" t="s">
        <v>4</v>
      </c>
      <c r="BN86">
        <v>1.0900000000000001</v>
      </c>
      <c r="BO86" t="s">
        <v>4</v>
      </c>
      <c r="BP86" t="s">
        <v>4</v>
      </c>
      <c r="BQ86">
        <v>56.02</v>
      </c>
      <c r="BR86" t="s">
        <v>4</v>
      </c>
      <c r="BS86" t="s">
        <v>4</v>
      </c>
      <c r="BT86" t="s">
        <v>4</v>
      </c>
      <c r="BU86" t="s">
        <v>4</v>
      </c>
      <c r="BV86" t="s">
        <v>4</v>
      </c>
      <c r="BW86" t="s">
        <v>4</v>
      </c>
      <c r="BX86" t="s">
        <v>4</v>
      </c>
      <c r="BY86" t="s">
        <v>4</v>
      </c>
      <c r="BZ86" t="s">
        <v>4</v>
      </c>
      <c r="CA86">
        <v>0.63</v>
      </c>
      <c r="CB86">
        <v>1.27</v>
      </c>
      <c r="CC86" t="s">
        <v>4</v>
      </c>
      <c r="CD86" t="s">
        <v>4</v>
      </c>
      <c r="CE86" t="s">
        <v>4</v>
      </c>
      <c r="CF86" t="s">
        <v>4</v>
      </c>
      <c r="CG86" t="s">
        <v>4</v>
      </c>
      <c r="CH86">
        <v>43.62</v>
      </c>
      <c r="CI86" t="s">
        <v>4</v>
      </c>
      <c r="CJ86" t="s">
        <v>4</v>
      </c>
      <c r="CK86">
        <v>459.05</v>
      </c>
      <c r="CL86" t="s">
        <v>4</v>
      </c>
      <c r="CM86">
        <v>20.6</v>
      </c>
      <c r="CN86">
        <v>95.820000000000007</v>
      </c>
      <c r="CO86">
        <v>0.78</v>
      </c>
      <c r="CP86">
        <v>14.98</v>
      </c>
      <c r="CQ86" t="s">
        <v>4</v>
      </c>
      <c r="CR86" t="s">
        <v>4</v>
      </c>
      <c r="CS86" t="s">
        <v>4</v>
      </c>
    </row>
    <row r="87" spans="1:97" x14ac:dyDescent="0.25">
      <c r="A87" s="45" t="s">
        <v>338</v>
      </c>
      <c r="B87" s="45"/>
      <c r="C87" t="s">
        <v>4</v>
      </c>
      <c r="D87" t="s">
        <v>4</v>
      </c>
      <c r="E87" t="s">
        <v>4</v>
      </c>
      <c r="F87" t="s">
        <v>4</v>
      </c>
      <c r="G87">
        <v>0.27</v>
      </c>
      <c r="H87">
        <v>11.78</v>
      </c>
      <c r="I87">
        <v>29.72</v>
      </c>
      <c r="J87">
        <v>36.67</v>
      </c>
      <c r="K87">
        <v>0.56999999999999995</v>
      </c>
      <c r="L87" t="s">
        <v>4</v>
      </c>
      <c r="M87">
        <v>38.409999999999997</v>
      </c>
      <c r="N87" t="s">
        <v>4</v>
      </c>
      <c r="O87">
        <v>179.75</v>
      </c>
      <c r="P87">
        <v>556.65</v>
      </c>
      <c r="Q87">
        <v>75.900000000000006</v>
      </c>
      <c r="R87" t="s">
        <v>4</v>
      </c>
      <c r="S87" t="s">
        <v>4</v>
      </c>
      <c r="T87">
        <v>28.38</v>
      </c>
      <c r="U87" t="s">
        <v>4</v>
      </c>
      <c r="V87" t="s">
        <v>4</v>
      </c>
      <c r="W87" t="s">
        <v>4</v>
      </c>
      <c r="X87">
        <v>256.35000000000002</v>
      </c>
      <c r="Y87" t="s">
        <v>348</v>
      </c>
      <c r="Z87" t="s">
        <v>4</v>
      </c>
      <c r="AA87" t="s">
        <v>4</v>
      </c>
      <c r="AB87" t="s">
        <v>4</v>
      </c>
      <c r="AC87" t="s">
        <v>4</v>
      </c>
      <c r="AD87" t="s">
        <v>4</v>
      </c>
      <c r="AE87">
        <v>6.56</v>
      </c>
      <c r="AF87" t="s">
        <v>4</v>
      </c>
      <c r="AG87">
        <v>0.49000000000000021</v>
      </c>
      <c r="AH87" t="s">
        <v>4</v>
      </c>
      <c r="AI87" t="s">
        <v>4</v>
      </c>
      <c r="AJ87" t="s">
        <v>4</v>
      </c>
      <c r="AK87" t="s">
        <v>4</v>
      </c>
      <c r="AL87">
        <v>6.28</v>
      </c>
      <c r="AM87" t="s">
        <v>4</v>
      </c>
      <c r="AN87" t="s">
        <v>4</v>
      </c>
      <c r="AO87" t="s">
        <v>4</v>
      </c>
      <c r="AP87">
        <v>97.27</v>
      </c>
      <c r="AQ87" t="s">
        <v>4</v>
      </c>
      <c r="AR87">
        <v>48.81</v>
      </c>
      <c r="AS87" t="s">
        <v>4</v>
      </c>
      <c r="AT87" t="s">
        <v>4</v>
      </c>
      <c r="AU87">
        <v>4.33</v>
      </c>
      <c r="AV87" t="s">
        <v>4</v>
      </c>
      <c r="AW87" t="s">
        <v>4</v>
      </c>
      <c r="AX87">
        <v>536.73</v>
      </c>
      <c r="AY87">
        <v>2.5099999999999998</v>
      </c>
      <c r="AZ87" t="s">
        <v>4</v>
      </c>
      <c r="BA87" t="s">
        <v>4</v>
      </c>
      <c r="BB87" t="s">
        <v>4</v>
      </c>
      <c r="BC87" t="s">
        <v>4</v>
      </c>
      <c r="BD87">
        <v>38.08</v>
      </c>
      <c r="BE87" t="s">
        <v>4</v>
      </c>
      <c r="BF87" t="s">
        <v>4</v>
      </c>
      <c r="BG87" t="s">
        <v>4</v>
      </c>
      <c r="BH87">
        <v>7.13</v>
      </c>
      <c r="BI87" t="s">
        <v>4</v>
      </c>
      <c r="BJ87" t="s">
        <v>4</v>
      </c>
      <c r="BK87" t="s">
        <v>4</v>
      </c>
      <c r="BL87" t="s">
        <v>4</v>
      </c>
      <c r="BM87" t="s">
        <v>4</v>
      </c>
      <c r="BN87">
        <v>1.17</v>
      </c>
      <c r="BO87" t="s">
        <v>4</v>
      </c>
      <c r="BP87" t="s">
        <v>4</v>
      </c>
      <c r="BQ87">
        <v>43.91</v>
      </c>
      <c r="BR87" t="s">
        <v>4</v>
      </c>
      <c r="BS87" t="s">
        <v>4</v>
      </c>
      <c r="BT87" t="s">
        <v>4</v>
      </c>
      <c r="BU87" t="s">
        <v>4</v>
      </c>
      <c r="BV87" t="s">
        <v>4</v>
      </c>
      <c r="BW87" t="s">
        <v>4</v>
      </c>
      <c r="BX87" t="s">
        <v>4</v>
      </c>
      <c r="BY87" t="s">
        <v>4</v>
      </c>
      <c r="BZ87" t="s">
        <v>4</v>
      </c>
      <c r="CA87">
        <v>0.76</v>
      </c>
      <c r="CB87">
        <v>1.23</v>
      </c>
      <c r="CC87" t="s">
        <v>4</v>
      </c>
      <c r="CD87" t="s">
        <v>4</v>
      </c>
      <c r="CE87" t="s">
        <v>4</v>
      </c>
      <c r="CF87" t="s">
        <v>4</v>
      </c>
      <c r="CG87" t="s">
        <v>4</v>
      </c>
      <c r="CH87">
        <v>44.67</v>
      </c>
      <c r="CI87" t="s">
        <v>4</v>
      </c>
      <c r="CJ87" t="s">
        <v>4</v>
      </c>
      <c r="CK87">
        <v>15.55</v>
      </c>
      <c r="CL87" t="s">
        <v>4</v>
      </c>
      <c r="CM87">
        <v>33.979999999999997</v>
      </c>
      <c r="CN87">
        <v>189.14000000000001</v>
      </c>
      <c r="CO87">
        <v>2.44</v>
      </c>
      <c r="CP87">
        <v>29.98</v>
      </c>
      <c r="CQ87" t="s">
        <v>4</v>
      </c>
      <c r="CR87" t="s">
        <v>4</v>
      </c>
      <c r="CS87" t="s">
        <v>4</v>
      </c>
    </row>
    <row r="88" spans="1:97" x14ac:dyDescent="0.25">
      <c r="A88" s="45" t="s">
        <v>339</v>
      </c>
      <c r="B88" s="45"/>
      <c r="C88" t="s">
        <v>4</v>
      </c>
      <c r="D88" t="s">
        <v>4</v>
      </c>
      <c r="E88" t="s">
        <v>4</v>
      </c>
      <c r="F88" t="s">
        <v>4</v>
      </c>
      <c r="G88">
        <v>0.28000000000000003</v>
      </c>
      <c r="H88">
        <v>11.39</v>
      </c>
      <c r="I88">
        <v>32.39</v>
      </c>
      <c r="J88">
        <v>39.770000000000003</v>
      </c>
      <c r="K88">
        <v>0.59</v>
      </c>
      <c r="L88" t="s">
        <v>4</v>
      </c>
      <c r="M88">
        <v>38.24</v>
      </c>
      <c r="N88" t="s">
        <v>4</v>
      </c>
      <c r="O88">
        <v>160.16000000000003</v>
      </c>
      <c r="P88">
        <v>560.32000000000005</v>
      </c>
      <c r="Q88">
        <v>72.61</v>
      </c>
      <c r="R88" t="s">
        <v>4</v>
      </c>
      <c r="S88" t="s">
        <v>4</v>
      </c>
      <c r="T88">
        <v>26.52</v>
      </c>
      <c r="U88" t="s">
        <v>4</v>
      </c>
      <c r="V88" t="s">
        <v>4</v>
      </c>
      <c r="W88" t="s">
        <v>4</v>
      </c>
      <c r="X88">
        <v>218.43</v>
      </c>
      <c r="Y88" t="s">
        <v>348</v>
      </c>
      <c r="Z88" t="s">
        <v>4</v>
      </c>
      <c r="AA88" t="s">
        <v>4</v>
      </c>
      <c r="AB88" t="s">
        <v>4</v>
      </c>
      <c r="AC88" t="s">
        <v>4</v>
      </c>
      <c r="AD88" t="s">
        <v>4</v>
      </c>
      <c r="AE88">
        <v>6.75</v>
      </c>
      <c r="AF88" t="s">
        <v>4</v>
      </c>
      <c r="AG88">
        <v>0.60000000000000009</v>
      </c>
      <c r="AH88" t="s">
        <v>4</v>
      </c>
      <c r="AI88" t="s">
        <v>4</v>
      </c>
      <c r="AJ88" t="s">
        <v>4</v>
      </c>
      <c r="AK88" t="s">
        <v>4</v>
      </c>
      <c r="AL88">
        <v>6.21</v>
      </c>
      <c r="AM88" t="s">
        <v>4</v>
      </c>
      <c r="AN88" t="s">
        <v>4</v>
      </c>
      <c r="AO88" t="s">
        <v>4</v>
      </c>
      <c r="AP88">
        <v>95.01</v>
      </c>
      <c r="AQ88" t="s">
        <v>4</v>
      </c>
      <c r="AR88">
        <v>49.35</v>
      </c>
      <c r="AS88" t="s">
        <v>4</v>
      </c>
      <c r="AT88" t="s">
        <v>4</v>
      </c>
      <c r="AU88">
        <v>3.87</v>
      </c>
      <c r="AV88" t="s">
        <v>4</v>
      </c>
      <c r="AW88" t="s">
        <v>4</v>
      </c>
      <c r="AX88">
        <v>528.78</v>
      </c>
      <c r="AY88">
        <v>2.34</v>
      </c>
      <c r="AZ88" t="s">
        <v>4</v>
      </c>
      <c r="BA88" t="s">
        <v>4</v>
      </c>
      <c r="BB88" t="s">
        <v>4</v>
      </c>
      <c r="BC88" t="s">
        <v>4</v>
      </c>
      <c r="BD88">
        <v>38.67</v>
      </c>
      <c r="BE88" t="s">
        <v>4</v>
      </c>
      <c r="BF88" t="s">
        <v>4</v>
      </c>
      <c r="BG88" t="s">
        <v>4</v>
      </c>
      <c r="BH88">
        <v>8.2200000000000006</v>
      </c>
      <c r="BI88" t="s">
        <v>4</v>
      </c>
      <c r="BJ88" t="s">
        <v>4</v>
      </c>
      <c r="BK88" t="s">
        <v>4</v>
      </c>
      <c r="BL88" t="s">
        <v>4</v>
      </c>
      <c r="BM88" t="s">
        <v>4</v>
      </c>
      <c r="BN88">
        <v>1.1599999999999999</v>
      </c>
      <c r="BO88" t="s">
        <v>4</v>
      </c>
      <c r="BP88" t="s">
        <v>4</v>
      </c>
      <c r="BQ88">
        <v>79</v>
      </c>
      <c r="BR88" t="s">
        <v>4</v>
      </c>
      <c r="BS88" t="s">
        <v>4</v>
      </c>
      <c r="BT88" t="s">
        <v>4</v>
      </c>
      <c r="BU88" t="s">
        <v>4</v>
      </c>
      <c r="BV88" t="s">
        <v>4</v>
      </c>
      <c r="BW88" t="s">
        <v>4</v>
      </c>
      <c r="BX88" t="s">
        <v>4</v>
      </c>
      <c r="BY88" t="s">
        <v>4</v>
      </c>
      <c r="BZ88" t="s">
        <v>4</v>
      </c>
      <c r="CA88">
        <v>0.65</v>
      </c>
      <c r="CB88">
        <v>1.24</v>
      </c>
      <c r="CC88" t="s">
        <v>4</v>
      </c>
      <c r="CD88" t="s">
        <v>4</v>
      </c>
      <c r="CE88" t="s">
        <v>4</v>
      </c>
      <c r="CF88" t="s">
        <v>4</v>
      </c>
      <c r="CG88" t="s">
        <v>4</v>
      </c>
      <c r="CH88">
        <v>46.53</v>
      </c>
      <c r="CI88" t="s">
        <v>4</v>
      </c>
      <c r="CJ88" t="s">
        <v>4</v>
      </c>
      <c r="CK88">
        <v>496.3</v>
      </c>
      <c r="CL88" t="s">
        <v>4</v>
      </c>
      <c r="CM88">
        <v>30.18</v>
      </c>
      <c r="CN88">
        <v>122.89000000000001</v>
      </c>
      <c r="CO88">
        <v>1.0899999999999999</v>
      </c>
      <c r="CP88">
        <v>23.860000000000003</v>
      </c>
      <c r="CQ88" t="s">
        <v>4</v>
      </c>
      <c r="CR88" t="s">
        <v>4</v>
      </c>
      <c r="CS88" t="s">
        <v>4</v>
      </c>
    </row>
    <row r="89" spans="1:97" x14ac:dyDescent="0.25">
      <c r="A89" s="45" t="s">
        <v>340</v>
      </c>
      <c r="B89" s="45"/>
      <c r="C89" t="s">
        <v>4</v>
      </c>
      <c r="D89" t="s">
        <v>4</v>
      </c>
      <c r="E89" t="s">
        <v>4</v>
      </c>
      <c r="F89" t="s">
        <v>4</v>
      </c>
      <c r="G89" t="s">
        <v>4</v>
      </c>
      <c r="H89">
        <v>11.29</v>
      </c>
      <c r="I89">
        <v>33.76</v>
      </c>
      <c r="J89">
        <v>39.44</v>
      </c>
      <c r="K89">
        <v>0.59</v>
      </c>
      <c r="L89" t="s">
        <v>4</v>
      </c>
      <c r="M89">
        <v>32.74</v>
      </c>
      <c r="N89" t="s">
        <v>4</v>
      </c>
      <c r="O89">
        <v>207.5</v>
      </c>
      <c r="P89">
        <v>546.11</v>
      </c>
      <c r="Q89">
        <v>81.42</v>
      </c>
      <c r="R89" t="s">
        <v>4</v>
      </c>
      <c r="S89" t="s">
        <v>4</v>
      </c>
      <c r="T89">
        <v>27.9</v>
      </c>
      <c r="U89" t="s">
        <v>4</v>
      </c>
      <c r="V89" t="s">
        <v>4</v>
      </c>
      <c r="W89" t="s">
        <v>4</v>
      </c>
      <c r="X89">
        <v>225.46</v>
      </c>
      <c r="Y89" t="s">
        <v>348</v>
      </c>
      <c r="Z89" t="s">
        <v>4</v>
      </c>
      <c r="AA89" t="s">
        <v>4</v>
      </c>
      <c r="AB89" t="s">
        <v>4</v>
      </c>
      <c r="AC89" t="s">
        <v>4</v>
      </c>
      <c r="AD89" t="s">
        <v>4</v>
      </c>
      <c r="AE89">
        <v>6.39</v>
      </c>
      <c r="AF89" t="s">
        <v>4</v>
      </c>
      <c r="AG89" t="s">
        <v>4</v>
      </c>
      <c r="AH89" t="s">
        <v>4</v>
      </c>
      <c r="AI89" t="s">
        <v>4</v>
      </c>
      <c r="AJ89" t="s">
        <v>4</v>
      </c>
      <c r="AK89" t="s">
        <v>4</v>
      </c>
      <c r="AL89">
        <v>6.44</v>
      </c>
      <c r="AM89" t="s">
        <v>4</v>
      </c>
      <c r="AN89" t="s">
        <v>4</v>
      </c>
      <c r="AO89" t="s">
        <v>4</v>
      </c>
      <c r="AP89">
        <v>98.25</v>
      </c>
      <c r="AQ89" t="s">
        <v>4</v>
      </c>
      <c r="AR89">
        <v>46.26</v>
      </c>
      <c r="AS89" t="s">
        <v>4</v>
      </c>
      <c r="AT89" t="s">
        <v>4</v>
      </c>
      <c r="AU89">
        <v>3.95</v>
      </c>
      <c r="AV89" t="s">
        <v>4</v>
      </c>
      <c r="AW89" t="s">
        <v>4</v>
      </c>
      <c r="AX89">
        <v>511.2</v>
      </c>
      <c r="AY89">
        <v>2.9899999999999998</v>
      </c>
      <c r="AZ89" t="s">
        <v>4</v>
      </c>
      <c r="BA89" t="s">
        <v>4</v>
      </c>
      <c r="BB89" t="s">
        <v>4</v>
      </c>
      <c r="BC89" t="s">
        <v>4</v>
      </c>
      <c r="BD89">
        <v>37.57</v>
      </c>
      <c r="BE89" t="s">
        <v>4</v>
      </c>
      <c r="BF89" t="s">
        <v>4</v>
      </c>
      <c r="BG89" t="s">
        <v>4</v>
      </c>
      <c r="BH89">
        <v>7.96</v>
      </c>
      <c r="BI89" t="s">
        <v>4</v>
      </c>
      <c r="BJ89" t="s">
        <v>4</v>
      </c>
      <c r="BK89" t="s">
        <v>4</v>
      </c>
      <c r="BL89" t="s">
        <v>4</v>
      </c>
      <c r="BM89" t="s">
        <v>4</v>
      </c>
      <c r="BN89">
        <v>1.24</v>
      </c>
      <c r="BO89" t="s">
        <v>4</v>
      </c>
      <c r="BP89" t="s">
        <v>4</v>
      </c>
      <c r="BQ89">
        <v>48.62</v>
      </c>
      <c r="BR89" t="s">
        <v>4</v>
      </c>
      <c r="BS89" t="s">
        <v>4</v>
      </c>
      <c r="BT89" t="s">
        <v>4</v>
      </c>
      <c r="BU89" t="s">
        <v>4</v>
      </c>
      <c r="BV89" t="s">
        <v>4</v>
      </c>
      <c r="BW89" t="s">
        <v>4</v>
      </c>
      <c r="BX89" t="s">
        <v>4</v>
      </c>
      <c r="BY89" t="s">
        <v>4</v>
      </c>
      <c r="BZ89" t="s">
        <v>4</v>
      </c>
      <c r="CA89">
        <v>0.56000000000000005</v>
      </c>
      <c r="CB89">
        <v>1.08</v>
      </c>
      <c r="CC89" t="s">
        <v>4</v>
      </c>
      <c r="CD89" t="s">
        <v>4</v>
      </c>
      <c r="CE89" t="s">
        <v>4</v>
      </c>
      <c r="CF89" t="s">
        <v>4</v>
      </c>
      <c r="CG89" t="s">
        <v>4</v>
      </c>
      <c r="CH89">
        <v>44.02</v>
      </c>
      <c r="CI89" t="s">
        <v>4</v>
      </c>
      <c r="CJ89" t="s">
        <v>4</v>
      </c>
      <c r="CK89">
        <v>571.69000000000005</v>
      </c>
      <c r="CL89" t="s">
        <v>4</v>
      </c>
      <c r="CM89">
        <v>36.67</v>
      </c>
      <c r="CN89">
        <v>125.24000000000001</v>
      </c>
      <c r="CO89">
        <v>0.97</v>
      </c>
      <c r="CP89">
        <v>22.750000000000004</v>
      </c>
      <c r="CQ89" t="s">
        <v>4</v>
      </c>
      <c r="CR89" t="s">
        <v>4</v>
      </c>
      <c r="CS89" t="s">
        <v>4</v>
      </c>
    </row>
    <row r="90" spans="1:97" x14ac:dyDescent="0.25">
      <c r="A90" s="45" t="s">
        <v>341</v>
      </c>
      <c r="B90" s="45"/>
      <c r="C90" t="s">
        <v>4</v>
      </c>
      <c r="D90" t="s">
        <v>4</v>
      </c>
      <c r="E90" t="s">
        <v>4</v>
      </c>
      <c r="F90" t="s">
        <v>4</v>
      </c>
      <c r="G90" t="s">
        <v>4</v>
      </c>
      <c r="H90">
        <v>17.170000000000002</v>
      </c>
      <c r="I90">
        <v>54.9</v>
      </c>
      <c r="J90">
        <v>65.56</v>
      </c>
      <c r="K90">
        <v>0.71</v>
      </c>
      <c r="L90" t="s">
        <v>4</v>
      </c>
      <c r="M90">
        <v>56.77</v>
      </c>
      <c r="N90" t="s">
        <v>4</v>
      </c>
      <c r="O90">
        <v>244.39</v>
      </c>
      <c r="P90">
        <v>904.5</v>
      </c>
      <c r="Q90">
        <v>133.46</v>
      </c>
      <c r="R90" t="s">
        <v>4</v>
      </c>
      <c r="S90" t="s">
        <v>4</v>
      </c>
      <c r="T90">
        <v>43.15</v>
      </c>
      <c r="U90" t="s">
        <v>4</v>
      </c>
      <c r="V90" t="s">
        <v>4</v>
      </c>
      <c r="W90" t="s">
        <v>4</v>
      </c>
      <c r="X90">
        <v>383.01</v>
      </c>
      <c r="Y90" t="s">
        <v>348</v>
      </c>
      <c r="Z90" t="s">
        <v>4</v>
      </c>
      <c r="AA90" t="s">
        <v>4</v>
      </c>
      <c r="AB90" t="s">
        <v>4</v>
      </c>
      <c r="AC90" t="s">
        <v>4</v>
      </c>
      <c r="AD90" t="s">
        <v>4</v>
      </c>
      <c r="AE90">
        <v>4.43</v>
      </c>
      <c r="AF90" t="s">
        <v>4</v>
      </c>
      <c r="AG90" t="s">
        <v>4</v>
      </c>
      <c r="AH90" t="s">
        <v>4</v>
      </c>
      <c r="AI90" t="s">
        <v>4</v>
      </c>
      <c r="AJ90" t="s">
        <v>4</v>
      </c>
      <c r="AK90" t="s">
        <v>4</v>
      </c>
      <c r="AL90">
        <v>4.45</v>
      </c>
      <c r="AM90" t="s">
        <v>4</v>
      </c>
      <c r="AN90" t="s">
        <v>4</v>
      </c>
      <c r="AO90" t="s">
        <v>4</v>
      </c>
      <c r="AP90">
        <v>108.24</v>
      </c>
      <c r="AQ90" t="s">
        <v>4</v>
      </c>
      <c r="AR90">
        <v>79.64</v>
      </c>
      <c r="AS90" t="s">
        <v>4</v>
      </c>
      <c r="AT90" t="s">
        <v>4</v>
      </c>
      <c r="AU90">
        <v>6.05</v>
      </c>
      <c r="AV90" t="s">
        <v>4</v>
      </c>
      <c r="AW90" t="s">
        <v>4</v>
      </c>
      <c r="AX90">
        <v>808.66</v>
      </c>
      <c r="AY90">
        <v>3.61</v>
      </c>
      <c r="AZ90" t="s">
        <v>4</v>
      </c>
      <c r="BA90" t="s">
        <v>4</v>
      </c>
      <c r="BB90" t="s">
        <v>4</v>
      </c>
      <c r="BC90" t="s">
        <v>4</v>
      </c>
      <c r="BD90">
        <v>29.14</v>
      </c>
      <c r="BE90" t="s">
        <v>4</v>
      </c>
      <c r="BF90" t="s">
        <v>4</v>
      </c>
      <c r="BG90" t="s">
        <v>4</v>
      </c>
      <c r="BH90">
        <v>6.33</v>
      </c>
      <c r="BI90" t="s">
        <v>4</v>
      </c>
      <c r="BJ90" t="s">
        <v>4</v>
      </c>
      <c r="BK90" t="s">
        <v>4</v>
      </c>
      <c r="BL90" t="s">
        <v>4</v>
      </c>
      <c r="BM90" t="s">
        <v>4</v>
      </c>
      <c r="BN90">
        <v>1.29</v>
      </c>
      <c r="BO90" t="s">
        <v>4</v>
      </c>
      <c r="BP90" t="s">
        <v>4</v>
      </c>
      <c r="BQ90">
        <v>60.98</v>
      </c>
      <c r="BR90" t="s">
        <v>4</v>
      </c>
      <c r="BS90" t="s">
        <v>4</v>
      </c>
      <c r="BT90" t="s">
        <v>4</v>
      </c>
      <c r="BU90" t="s">
        <v>4</v>
      </c>
      <c r="BV90" t="s">
        <v>4</v>
      </c>
      <c r="BW90" t="s">
        <v>4</v>
      </c>
      <c r="BX90" t="s">
        <v>4</v>
      </c>
      <c r="BY90" t="s">
        <v>4</v>
      </c>
      <c r="BZ90" t="s">
        <v>4</v>
      </c>
      <c r="CA90">
        <v>1.26</v>
      </c>
      <c r="CB90">
        <v>1.1599999999999999</v>
      </c>
      <c r="CC90" t="s">
        <v>4</v>
      </c>
      <c r="CD90" t="s">
        <v>4</v>
      </c>
      <c r="CE90" t="s">
        <v>4</v>
      </c>
      <c r="CF90" t="s">
        <v>4</v>
      </c>
      <c r="CG90" t="s">
        <v>4</v>
      </c>
      <c r="CH90">
        <v>37.89</v>
      </c>
      <c r="CI90" t="s">
        <v>4</v>
      </c>
      <c r="CJ90" t="s">
        <v>4</v>
      </c>
      <c r="CK90">
        <v>9.93</v>
      </c>
      <c r="CL90" t="s">
        <v>4</v>
      </c>
      <c r="CM90">
        <v>21.7</v>
      </c>
      <c r="CN90">
        <v>189.97</v>
      </c>
      <c r="CO90">
        <v>1.19</v>
      </c>
      <c r="CP90">
        <v>24.430000000000003</v>
      </c>
      <c r="CQ90" t="s">
        <v>4</v>
      </c>
      <c r="CR90" t="s">
        <v>4</v>
      </c>
      <c r="CS90" t="s">
        <v>4</v>
      </c>
    </row>
    <row r="91" spans="1:97" x14ac:dyDescent="0.25">
      <c r="A91" s="45" t="s">
        <v>342</v>
      </c>
      <c r="B91" s="45"/>
      <c r="C91" t="s">
        <v>4</v>
      </c>
      <c r="D91">
        <v>2.97</v>
      </c>
      <c r="E91" t="s">
        <v>4</v>
      </c>
      <c r="F91" t="s">
        <v>4</v>
      </c>
      <c r="G91">
        <v>5.86</v>
      </c>
      <c r="H91">
        <v>23.62</v>
      </c>
      <c r="I91" t="s">
        <v>4</v>
      </c>
      <c r="J91" t="s">
        <v>4</v>
      </c>
      <c r="K91">
        <v>22.78</v>
      </c>
      <c r="L91">
        <v>321.27999999999997</v>
      </c>
      <c r="M91">
        <v>63.02</v>
      </c>
      <c r="N91" t="s">
        <v>4</v>
      </c>
      <c r="O91">
        <v>1017.09</v>
      </c>
      <c r="P91">
        <v>390.25</v>
      </c>
      <c r="Q91">
        <v>17.690000000000001</v>
      </c>
      <c r="R91">
        <v>12.33</v>
      </c>
      <c r="S91">
        <v>18.22</v>
      </c>
      <c r="T91">
        <v>832.23</v>
      </c>
      <c r="U91">
        <v>26.08</v>
      </c>
      <c r="V91" t="s">
        <v>4</v>
      </c>
      <c r="W91" t="s">
        <v>4</v>
      </c>
      <c r="X91">
        <v>37.369999999999997</v>
      </c>
      <c r="Y91" t="s">
        <v>348</v>
      </c>
      <c r="Z91" t="s">
        <v>4</v>
      </c>
      <c r="AA91">
        <v>0.48</v>
      </c>
      <c r="AB91">
        <v>111.85</v>
      </c>
      <c r="AC91" t="s">
        <v>4</v>
      </c>
      <c r="AD91" t="s">
        <v>4</v>
      </c>
      <c r="AE91">
        <v>4.46</v>
      </c>
      <c r="AF91">
        <v>8.94</v>
      </c>
      <c r="AG91">
        <v>1439.7</v>
      </c>
      <c r="AH91" t="s">
        <v>4</v>
      </c>
      <c r="AI91">
        <v>180.29</v>
      </c>
      <c r="AJ91">
        <v>45.33</v>
      </c>
      <c r="AK91" t="s">
        <v>4</v>
      </c>
      <c r="AL91">
        <v>26.65</v>
      </c>
      <c r="AM91">
        <v>13.98</v>
      </c>
      <c r="AN91" t="s">
        <v>4</v>
      </c>
      <c r="AO91" t="s">
        <v>4</v>
      </c>
      <c r="AP91">
        <v>139.51</v>
      </c>
      <c r="AQ91">
        <v>4.24</v>
      </c>
      <c r="AR91">
        <v>298.47000000000003</v>
      </c>
      <c r="AS91" t="s">
        <v>4</v>
      </c>
      <c r="AT91" t="s">
        <v>4</v>
      </c>
      <c r="AU91">
        <v>147.13</v>
      </c>
      <c r="AV91" t="s">
        <v>4</v>
      </c>
      <c r="AW91" t="s">
        <v>4</v>
      </c>
      <c r="AX91">
        <v>98.11</v>
      </c>
      <c r="AY91">
        <v>51.129999999999995</v>
      </c>
      <c r="AZ91">
        <v>41.73</v>
      </c>
      <c r="BA91" t="s">
        <v>4</v>
      </c>
      <c r="BB91" t="s">
        <v>4</v>
      </c>
      <c r="BC91" t="s">
        <v>4</v>
      </c>
      <c r="BD91">
        <v>29.43</v>
      </c>
      <c r="BE91" t="s">
        <v>4</v>
      </c>
      <c r="BF91" t="s">
        <v>4</v>
      </c>
      <c r="BG91">
        <v>9.52</v>
      </c>
      <c r="BH91" t="s">
        <v>4</v>
      </c>
      <c r="BI91">
        <v>2.34</v>
      </c>
      <c r="BJ91" t="s">
        <v>4</v>
      </c>
      <c r="BK91" t="s">
        <v>4</v>
      </c>
      <c r="BL91">
        <v>11.49</v>
      </c>
      <c r="BM91" t="s">
        <v>4</v>
      </c>
      <c r="BN91">
        <v>16.670000000000002</v>
      </c>
      <c r="BO91" t="s">
        <v>4</v>
      </c>
      <c r="BP91" t="s">
        <v>4</v>
      </c>
      <c r="BQ91">
        <v>64.95</v>
      </c>
      <c r="BR91">
        <v>20.05</v>
      </c>
      <c r="BS91" t="s">
        <v>4</v>
      </c>
      <c r="BT91" t="s">
        <v>4</v>
      </c>
      <c r="BU91" t="s">
        <v>4</v>
      </c>
      <c r="BV91">
        <v>3.27</v>
      </c>
      <c r="BW91">
        <v>34.869999999999997</v>
      </c>
      <c r="BX91">
        <v>18.670000000000002</v>
      </c>
      <c r="BY91" t="s">
        <v>4</v>
      </c>
      <c r="BZ91">
        <v>28.91</v>
      </c>
      <c r="CA91" t="s">
        <v>4</v>
      </c>
      <c r="CB91">
        <v>30.37</v>
      </c>
      <c r="CC91">
        <v>1.38</v>
      </c>
      <c r="CD91" t="s">
        <v>4</v>
      </c>
      <c r="CE91">
        <v>18.579999999999998</v>
      </c>
    </row>
    <row r="92" spans="1:97" x14ac:dyDescent="0.25">
      <c r="A92" s="45" t="s">
        <v>343</v>
      </c>
      <c r="B92" s="45"/>
      <c r="C92" t="s">
        <v>4</v>
      </c>
      <c r="D92">
        <v>2.72</v>
      </c>
      <c r="E92" t="s">
        <v>4</v>
      </c>
      <c r="F92" t="s">
        <v>4</v>
      </c>
      <c r="G92">
        <v>5.52</v>
      </c>
      <c r="H92">
        <v>24.02</v>
      </c>
      <c r="I92" t="s">
        <v>4</v>
      </c>
      <c r="J92" t="s">
        <v>4</v>
      </c>
      <c r="K92">
        <v>30.02</v>
      </c>
      <c r="L92">
        <v>327.27</v>
      </c>
      <c r="M92">
        <v>54.26</v>
      </c>
      <c r="N92" t="s">
        <v>4</v>
      </c>
      <c r="O92">
        <v>965.61</v>
      </c>
      <c r="P92">
        <v>393.52</v>
      </c>
      <c r="Q92">
        <v>22.59</v>
      </c>
      <c r="R92">
        <v>11.66</v>
      </c>
      <c r="S92">
        <v>21.14</v>
      </c>
      <c r="T92">
        <v>886.63</v>
      </c>
      <c r="U92">
        <v>26.67</v>
      </c>
      <c r="V92" t="s">
        <v>4</v>
      </c>
      <c r="W92" t="s">
        <v>4</v>
      </c>
      <c r="X92">
        <v>39.32</v>
      </c>
      <c r="Y92" t="s">
        <v>348</v>
      </c>
      <c r="Z92" t="s">
        <v>4</v>
      </c>
      <c r="AA92" t="s">
        <v>4</v>
      </c>
      <c r="AB92">
        <v>104.81</v>
      </c>
      <c r="AC92" t="s">
        <v>4</v>
      </c>
      <c r="AD92" t="s">
        <v>4</v>
      </c>
      <c r="AE92">
        <v>7.5200000000000005</v>
      </c>
      <c r="AF92">
        <v>9.3800000000000008</v>
      </c>
      <c r="AG92">
        <v>1443.27</v>
      </c>
      <c r="AH92" t="s">
        <v>4</v>
      </c>
      <c r="AI92">
        <v>91.4</v>
      </c>
      <c r="AJ92">
        <v>20.25</v>
      </c>
      <c r="AK92" t="s">
        <v>4</v>
      </c>
      <c r="AL92">
        <v>40.44</v>
      </c>
      <c r="AM92">
        <v>14.56</v>
      </c>
      <c r="AN92" t="s">
        <v>4</v>
      </c>
      <c r="AO92" t="s">
        <v>4</v>
      </c>
      <c r="AP92">
        <v>147.13999999999999</v>
      </c>
      <c r="AQ92">
        <v>4.9800000000000004</v>
      </c>
      <c r="AR92">
        <v>313.98</v>
      </c>
      <c r="AS92" t="s">
        <v>4</v>
      </c>
      <c r="AT92" t="s">
        <v>4</v>
      </c>
      <c r="AU92">
        <v>132.66</v>
      </c>
      <c r="AV92" t="s">
        <v>4</v>
      </c>
      <c r="AW92" t="s">
        <v>4</v>
      </c>
      <c r="AX92">
        <v>105.52</v>
      </c>
      <c r="AY92">
        <v>46.75</v>
      </c>
      <c r="AZ92">
        <v>43.74</v>
      </c>
      <c r="BA92" t="s">
        <v>4</v>
      </c>
      <c r="BB92" t="s">
        <v>4</v>
      </c>
      <c r="BC92" t="s">
        <v>4</v>
      </c>
      <c r="BD92">
        <v>43.55</v>
      </c>
      <c r="BE92" t="s">
        <v>4</v>
      </c>
      <c r="BF92" t="s">
        <v>4</v>
      </c>
      <c r="BG92">
        <v>9.26</v>
      </c>
      <c r="BH92" t="s">
        <v>4</v>
      </c>
      <c r="BI92">
        <v>2.21</v>
      </c>
      <c r="BJ92" t="s">
        <v>4</v>
      </c>
      <c r="BK92" t="s">
        <v>4</v>
      </c>
      <c r="BL92">
        <v>11.77</v>
      </c>
      <c r="BM92" t="s">
        <v>4</v>
      </c>
      <c r="BN92">
        <v>13.74</v>
      </c>
      <c r="BO92" t="s">
        <v>4</v>
      </c>
      <c r="BP92" t="s">
        <v>4</v>
      </c>
      <c r="BQ92">
        <v>2285.46</v>
      </c>
      <c r="BR92">
        <v>23.64</v>
      </c>
      <c r="BS92" t="s">
        <v>4</v>
      </c>
      <c r="BT92" t="s">
        <v>4</v>
      </c>
      <c r="BU92" t="s">
        <v>4</v>
      </c>
      <c r="BV92">
        <v>3.45</v>
      </c>
      <c r="BW92">
        <v>46.72</v>
      </c>
      <c r="BX92">
        <v>22.09</v>
      </c>
      <c r="BY92" t="s">
        <v>4</v>
      </c>
      <c r="BZ92">
        <v>30.5</v>
      </c>
      <c r="CA92" t="s">
        <v>4</v>
      </c>
      <c r="CB92">
        <v>31.46</v>
      </c>
      <c r="CC92">
        <v>1.25</v>
      </c>
      <c r="CD92" t="s">
        <v>4</v>
      </c>
      <c r="CE92">
        <v>15.99</v>
      </c>
    </row>
    <row r="93" spans="1:97" x14ac:dyDescent="0.25">
      <c r="A93" s="45" t="s">
        <v>344</v>
      </c>
      <c r="B93" s="45"/>
      <c r="C93" t="s">
        <v>4</v>
      </c>
      <c r="D93">
        <v>3.23</v>
      </c>
      <c r="E93" t="s">
        <v>4</v>
      </c>
      <c r="F93" t="s">
        <v>4</v>
      </c>
      <c r="G93">
        <v>6.02</v>
      </c>
      <c r="H93">
        <v>28.13</v>
      </c>
      <c r="I93" t="s">
        <v>4</v>
      </c>
      <c r="J93" t="s">
        <v>4</v>
      </c>
      <c r="K93">
        <v>31.76</v>
      </c>
      <c r="L93">
        <v>274.32</v>
      </c>
      <c r="M93">
        <v>67.39</v>
      </c>
      <c r="N93" t="s">
        <v>4</v>
      </c>
      <c r="O93">
        <v>883.74</v>
      </c>
      <c r="P93">
        <v>429.81</v>
      </c>
      <c r="Q93">
        <v>19.86</v>
      </c>
      <c r="R93">
        <v>10.49</v>
      </c>
      <c r="S93">
        <v>17.5</v>
      </c>
      <c r="T93">
        <v>859.75</v>
      </c>
      <c r="U93">
        <v>22.36</v>
      </c>
      <c r="V93" t="s">
        <v>4</v>
      </c>
      <c r="W93" t="s">
        <v>4</v>
      </c>
      <c r="X93">
        <v>47.36</v>
      </c>
      <c r="Y93" t="s">
        <v>348</v>
      </c>
      <c r="Z93" t="s">
        <v>4</v>
      </c>
      <c r="AA93" t="s">
        <v>4</v>
      </c>
      <c r="AB93">
        <v>121.56</v>
      </c>
      <c r="AC93" t="s">
        <v>4</v>
      </c>
      <c r="AD93" t="s">
        <v>4</v>
      </c>
      <c r="AE93">
        <v>8.16</v>
      </c>
      <c r="AF93">
        <v>11.93</v>
      </c>
      <c r="AG93">
        <v>1631.29</v>
      </c>
      <c r="AH93" t="s">
        <v>4</v>
      </c>
      <c r="AI93">
        <v>116.78</v>
      </c>
      <c r="AJ93">
        <v>19.170000000000002</v>
      </c>
      <c r="AK93" t="s">
        <v>4</v>
      </c>
      <c r="AL93">
        <v>685.11</v>
      </c>
      <c r="AM93">
        <v>13.69</v>
      </c>
      <c r="AN93" t="s">
        <v>4</v>
      </c>
      <c r="AO93" t="s">
        <v>4</v>
      </c>
      <c r="AP93">
        <v>178.28</v>
      </c>
      <c r="AQ93">
        <v>5.26</v>
      </c>
      <c r="AR93">
        <v>311.89999999999998</v>
      </c>
      <c r="AS93" t="s">
        <v>4</v>
      </c>
      <c r="AT93" t="s">
        <v>4</v>
      </c>
      <c r="AU93">
        <v>177.79</v>
      </c>
      <c r="AV93" t="s">
        <v>4</v>
      </c>
      <c r="AW93" t="s">
        <v>4</v>
      </c>
      <c r="AX93">
        <v>119.93</v>
      </c>
      <c r="AY93">
        <v>59.43</v>
      </c>
      <c r="AZ93">
        <v>37.700000000000003</v>
      </c>
      <c r="BA93" t="s">
        <v>4</v>
      </c>
      <c r="BB93" t="s">
        <v>4</v>
      </c>
      <c r="BC93" t="s">
        <v>4</v>
      </c>
      <c r="BD93">
        <v>40.590000000000003</v>
      </c>
      <c r="BE93" t="s">
        <v>4</v>
      </c>
      <c r="BF93" t="s">
        <v>4</v>
      </c>
      <c r="BG93">
        <v>9.64</v>
      </c>
      <c r="BH93">
        <v>2.5299999999999998</v>
      </c>
      <c r="BI93">
        <v>2.92</v>
      </c>
      <c r="BJ93" t="s">
        <v>4</v>
      </c>
      <c r="BK93" t="s">
        <v>4</v>
      </c>
      <c r="BL93">
        <v>12.55</v>
      </c>
      <c r="BM93" t="s">
        <v>4</v>
      </c>
      <c r="BN93">
        <v>14.74</v>
      </c>
      <c r="BO93" t="s">
        <v>4</v>
      </c>
      <c r="BP93" t="s">
        <v>4</v>
      </c>
      <c r="BQ93">
        <v>74.36</v>
      </c>
      <c r="BR93">
        <v>23.95</v>
      </c>
      <c r="BS93" t="s">
        <v>4</v>
      </c>
      <c r="BT93" t="s">
        <v>4</v>
      </c>
      <c r="BU93" t="s">
        <v>4</v>
      </c>
      <c r="BV93" t="s">
        <v>4</v>
      </c>
      <c r="BW93">
        <v>43.91</v>
      </c>
      <c r="BX93">
        <v>18.79</v>
      </c>
      <c r="BY93" t="s">
        <v>4</v>
      </c>
      <c r="BZ93">
        <v>33.869999999999997</v>
      </c>
      <c r="CA93" t="s">
        <v>4</v>
      </c>
      <c r="CB93">
        <v>30.61</v>
      </c>
      <c r="CC93">
        <v>1.4</v>
      </c>
      <c r="CD93" t="s">
        <v>4</v>
      </c>
      <c r="CE93">
        <v>13.69</v>
      </c>
    </row>
    <row r="94" spans="1:97" x14ac:dyDescent="0.25">
      <c r="A94" s="45" t="s">
        <v>345</v>
      </c>
      <c r="B94" s="45"/>
      <c r="C94" t="s">
        <v>4</v>
      </c>
      <c r="D94">
        <v>3.08</v>
      </c>
      <c r="E94" t="s">
        <v>4</v>
      </c>
      <c r="F94" t="s">
        <v>4</v>
      </c>
      <c r="G94">
        <v>3.79</v>
      </c>
      <c r="H94">
        <v>27.14</v>
      </c>
      <c r="I94" t="s">
        <v>4</v>
      </c>
      <c r="J94" t="s">
        <v>4</v>
      </c>
      <c r="K94">
        <v>32.81</v>
      </c>
      <c r="L94">
        <v>220.38</v>
      </c>
      <c r="M94">
        <v>73.290000000000006</v>
      </c>
      <c r="N94" t="s">
        <v>4</v>
      </c>
      <c r="O94">
        <v>836.99</v>
      </c>
      <c r="P94">
        <v>405.29</v>
      </c>
      <c r="Q94">
        <v>17.14</v>
      </c>
      <c r="R94">
        <v>10.039999999999999</v>
      </c>
      <c r="S94">
        <v>13.45</v>
      </c>
      <c r="T94">
        <v>742</v>
      </c>
      <c r="U94">
        <v>18.690000000000001</v>
      </c>
      <c r="V94" t="s">
        <v>4</v>
      </c>
      <c r="W94" t="s">
        <v>4</v>
      </c>
      <c r="X94">
        <v>52.42</v>
      </c>
      <c r="Y94" t="s">
        <v>348</v>
      </c>
      <c r="Z94" t="s">
        <v>4</v>
      </c>
      <c r="AA94" t="s">
        <v>4</v>
      </c>
      <c r="AB94">
        <v>86.99</v>
      </c>
      <c r="AC94" t="s">
        <v>4</v>
      </c>
      <c r="AD94" t="s">
        <v>4</v>
      </c>
      <c r="AE94">
        <v>6.4399999999999995</v>
      </c>
      <c r="AF94">
        <v>9.6199999999999992</v>
      </c>
      <c r="AG94">
        <v>1522.87</v>
      </c>
      <c r="AH94" t="s">
        <v>4</v>
      </c>
      <c r="AI94">
        <v>141.1</v>
      </c>
      <c r="AJ94">
        <v>17.77</v>
      </c>
      <c r="AK94" t="s">
        <v>4</v>
      </c>
      <c r="AL94" s="2">
        <v>13829.77</v>
      </c>
      <c r="AM94">
        <v>15.42</v>
      </c>
      <c r="AN94" t="s">
        <v>4</v>
      </c>
      <c r="AO94" t="s">
        <v>4</v>
      </c>
      <c r="AP94">
        <v>157.18</v>
      </c>
      <c r="AQ94">
        <v>5.19</v>
      </c>
      <c r="AR94">
        <v>268.26</v>
      </c>
      <c r="AS94" t="s">
        <v>4</v>
      </c>
      <c r="AT94" t="s">
        <v>4</v>
      </c>
      <c r="AU94">
        <v>169.13</v>
      </c>
      <c r="AV94" t="s">
        <v>4</v>
      </c>
      <c r="AW94" t="s">
        <v>4</v>
      </c>
      <c r="AX94">
        <v>127.03</v>
      </c>
      <c r="AY94">
        <v>63.11</v>
      </c>
      <c r="AZ94">
        <v>27.91</v>
      </c>
      <c r="BA94" t="s">
        <v>4</v>
      </c>
      <c r="BB94" t="s">
        <v>4</v>
      </c>
      <c r="BC94" t="s">
        <v>4</v>
      </c>
      <c r="BD94">
        <v>46.02</v>
      </c>
      <c r="BE94" t="s">
        <v>4</v>
      </c>
      <c r="BF94" t="s">
        <v>4</v>
      </c>
      <c r="BG94">
        <v>10.119999999999999</v>
      </c>
      <c r="BH94">
        <v>2.2400000000000002</v>
      </c>
      <c r="BI94">
        <v>2.87</v>
      </c>
      <c r="BJ94" t="s">
        <v>4</v>
      </c>
      <c r="BK94" t="s">
        <v>4</v>
      </c>
      <c r="BL94">
        <v>12.73</v>
      </c>
      <c r="BM94" t="s">
        <v>4</v>
      </c>
      <c r="BN94">
        <v>13.28</v>
      </c>
      <c r="BO94" t="s">
        <v>4</v>
      </c>
      <c r="BP94" t="s">
        <v>4</v>
      </c>
      <c r="BQ94">
        <v>62.67</v>
      </c>
      <c r="BR94">
        <v>26.74</v>
      </c>
      <c r="BS94">
        <v>0.88</v>
      </c>
      <c r="BT94" t="s">
        <v>4</v>
      </c>
      <c r="BU94" t="s">
        <v>4</v>
      </c>
      <c r="BV94">
        <v>2.39</v>
      </c>
      <c r="BW94">
        <v>36.96</v>
      </c>
      <c r="BX94">
        <v>13.11</v>
      </c>
      <c r="BY94" t="s">
        <v>4</v>
      </c>
      <c r="BZ94">
        <v>32.67</v>
      </c>
      <c r="CA94" t="s">
        <v>4</v>
      </c>
      <c r="CB94">
        <v>29.56</v>
      </c>
      <c r="CC94">
        <v>1.49</v>
      </c>
      <c r="CD94" t="s">
        <v>4</v>
      </c>
      <c r="CE94">
        <v>21.65</v>
      </c>
    </row>
    <row r="95" spans="1:97" x14ac:dyDescent="0.25">
      <c r="A95" s="45" t="s">
        <v>346</v>
      </c>
      <c r="B95" s="45"/>
      <c r="C95" t="s">
        <v>4</v>
      </c>
      <c r="D95">
        <v>2.4500000000000002</v>
      </c>
      <c r="E95" t="s">
        <v>4</v>
      </c>
      <c r="F95" t="s">
        <v>4</v>
      </c>
      <c r="G95">
        <v>3.74</v>
      </c>
      <c r="H95">
        <v>21.21</v>
      </c>
      <c r="I95" t="s">
        <v>4</v>
      </c>
      <c r="J95" t="s">
        <v>4</v>
      </c>
      <c r="K95">
        <v>24.23</v>
      </c>
      <c r="L95">
        <v>243.86</v>
      </c>
      <c r="M95">
        <v>57.59</v>
      </c>
      <c r="N95" t="s">
        <v>4</v>
      </c>
      <c r="O95">
        <v>1088.3799999999999</v>
      </c>
      <c r="P95">
        <v>479.37</v>
      </c>
      <c r="Q95">
        <v>19.829999999999998</v>
      </c>
      <c r="R95">
        <v>11.26</v>
      </c>
      <c r="S95">
        <v>16.12</v>
      </c>
      <c r="T95">
        <v>809.06</v>
      </c>
      <c r="U95">
        <v>19.32</v>
      </c>
      <c r="V95" t="s">
        <v>4</v>
      </c>
      <c r="W95" t="s">
        <v>4</v>
      </c>
      <c r="X95">
        <v>37.94</v>
      </c>
      <c r="Y95" t="s">
        <v>348</v>
      </c>
      <c r="Z95" t="s">
        <v>4</v>
      </c>
      <c r="AA95" t="s">
        <v>4</v>
      </c>
      <c r="AB95">
        <v>88.57</v>
      </c>
      <c r="AC95" t="s">
        <v>4</v>
      </c>
      <c r="AD95" t="s">
        <v>4</v>
      </c>
      <c r="AE95">
        <v>9.42</v>
      </c>
      <c r="AF95">
        <v>8.14</v>
      </c>
      <c r="AG95">
        <v>1128.1299999999999</v>
      </c>
      <c r="AH95" t="s">
        <v>4</v>
      </c>
      <c r="AI95">
        <v>89.99</v>
      </c>
      <c r="AJ95">
        <v>17.690000000000001</v>
      </c>
      <c r="AK95" t="s">
        <v>4</v>
      </c>
      <c r="AL95">
        <v>925.24</v>
      </c>
      <c r="AM95">
        <v>10.44</v>
      </c>
      <c r="AN95" t="s">
        <v>4</v>
      </c>
      <c r="AO95" t="s">
        <v>4</v>
      </c>
      <c r="AP95">
        <v>140.38</v>
      </c>
      <c r="AQ95">
        <v>4.2300000000000004</v>
      </c>
      <c r="AR95">
        <v>268.49</v>
      </c>
      <c r="AS95" t="s">
        <v>4</v>
      </c>
      <c r="AT95" t="s">
        <v>4</v>
      </c>
      <c r="AU95">
        <v>106.5</v>
      </c>
      <c r="AV95" t="s">
        <v>4</v>
      </c>
      <c r="AW95" t="s">
        <v>4</v>
      </c>
      <c r="AX95">
        <v>104.52</v>
      </c>
      <c r="AY95">
        <v>46.29</v>
      </c>
      <c r="AZ95">
        <v>38.369999999999997</v>
      </c>
      <c r="BA95" t="s">
        <v>4</v>
      </c>
      <c r="BB95" t="s">
        <v>4</v>
      </c>
      <c r="BC95" t="s">
        <v>4</v>
      </c>
      <c r="BD95">
        <v>37.44</v>
      </c>
      <c r="BE95">
        <v>5.38</v>
      </c>
      <c r="BF95" t="s">
        <v>4</v>
      </c>
      <c r="BG95">
        <v>10.23</v>
      </c>
      <c r="BH95">
        <v>3.91</v>
      </c>
      <c r="BI95">
        <v>1.84</v>
      </c>
      <c r="BJ95" t="s">
        <v>4</v>
      </c>
      <c r="BK95" t="s">
        <v>4</v>
      </c>
      <c r="BL95">
        <v>9.51</v>
      </c>
      <c r="BM95" t="s">
        <v>4</v>
      </c>
      <c r="BN95">
        <v>14.92</v>
      </c>
      <c r="BO95" t="s">
        <v>4</v>
      </c>
      <c r="BP95" t="s">
        <v>4</v>
      </c>
      <c r="BQ95">
        <v>90.97</v>
      </c>
      <c r="BR95">
        <v>16.690000000000001</v>
      </c>
      <c r="BS95">
        <v>1.5</v>
      </c>
      <c r="BT95" t="s">
        <v>4</v>
      </c>
      <c r="BU95" t="s">
        <v>4</v>
      </c>
      <c r="BV95">
        <v>3.74</v>
      </c>
      <c r="BW95">
        <v>37.869999999999997</v>
      </c>
      <c r="BX95">
        <v>16.57</v>
      </c>
      <c r="BY95" t="s">
        <v>4</v>
      </c>
      <c r="BZ95">
        <v>31.48</v>
      </c>
      <c r="CA95" t="s">
        <v>4</v>
      </c>
      <c r="CB95">
        <v>24.98</v>
      </c>
      <c r="CC95">
        <v>1</v>
      </c>
      <c r="CD95" t="s">
        <v>4</v>
      </c>
      <c r="CE95" t="s">
        <v>4</v>
      </c>
    </row>
    <row r="96" spans="1:97" s="26" customFormat="1" ht="14.4" thickBot="1" x14ac:dyDescent="0.3">
      <c r="A96" s="46" t="s">
        <v>347</v>
      </c>
      <c r="B96" s="46"/>
      <c r="C96" s="26" t="s">
        <v>4</v>
      </c>
      <c r="D96" s="26">
        <v>2.38</v>
      </c>
      <c r="E96" s="26" t="s">
        <v>4</v>
      </c>
      <c r="F96" s="26" t="s">
        <v>4</v>
      </c>
      <c r="G96" s="26">
        <v>4.01</v>
      </c>
      <c r="H96" s="26">
        <v>18.46</v>
      </c>
      <c r="I96" s="26" t="s">
        <v>4</v>
      </c>
      <c r="J96" s="26" t="s">
        <v>4</v>
      </c>
      <c r="K96" s="26">
        <v>19.78</v>
      </c>
      <c r="L96" s="26">
        <v>256.55</v>
      </c>
      <c r="M96" s="26">
        <v>57.96</v>
      </c>
      <c r="N96" s="26" t="s">
        <v>4</v>
      </c>
      <c r="O96" s="26">
        <v>1069.6499999999999</v>
      </c>
      <c r="P96" s="26">
        <v>481.95</v>
      </c>
      <c r="Q96" s="26">
        <v>16.29</v>
      </c>
      <c r="R96" s="26">
        <v>10.09</v>
      </c>
      <c r="S96" s="26">
        <v>21.2</v>
      </c>
      <c r="T96" s="26">
        <v>852.82</v>
      </c>
      <c r="U96" s="26">
        <v>19.579999999999998</v>
      </c>
      <c r="V96" s="26" t="s">
        <v>4</v>
      </c>
      <c r="W96" s="26" t="s">
        <v>4</v>
      </c>
      <c r="X96" s="26">
        <v>31.33</v>
      </c>
      <c r="Y96" s="26" t="s">
        <v>348</v>
      </c>
      <c r="Z96" s="26" t="s">
        <v>4</v>
      </c>
      <c r="AA96" s="26" t="s">
        <v>4</v>
      </c>
      <c r="AB96" s="26">
        <v>87.81</v>
      </c>
      <c r="AC96" s="26" t="s">
        <v>4</v>
      </c>
      <c r="AD96" s="26" t="s">
        <v>4</v>
      </c>
      <c r="AE96" s="26">
        <v>7.1599999999999993</v>
      </c>
      <c r="AF96" s="26">
        <v>6.3</v>
      </c>
      <c r="AG96" s="26">
        <v>916.45999999999992</v>
      </c>
      <c r="AH96" s="26" t="s">
        <v>4</v>
      </c>
      <c r="AI96" s="26">
        <v>70.67</v>
      </c>
      <c r="AJ96" s="26">
        <v>17.38</v>
      </c>
      <c r="AK96" s="26" t="s">
        <v>4</v>
      </c>
      <c r="AL96" s="26">
        <v>776.08</v>
      </c>
      <c r="AM96" s="26">
        <v>10.48</v>
      </c>
      <c r="AN96" s="26" t="s">
        <v>4</v>
      </c>
      <c r="AO96" s="26" t="s">
        <v>4</v>
      </c>
      <c r="AP96" s="26">
        <v>121.81</v>
      </c>
      <c r="AQ96" s="26">
        <v>3.18</v>
      </c>
      <c r="AR96" s="26">
        <v>321.76</v>
      </c>
      <c r="AS96" s="26" t="s">
        <v>4</v>
      </c>
      <c r="AT96" s="26" t="s">
        <v>4</v>
      </c>
      <c r="AU96" s="26">
        <v>75.75</v>
      </c>
      <c r="AV96" s="26" t="s">
        <v>4</v>
      </c>
      <c r="AW96" s="26" t="s">
        <v>4</v>
      </c>
      <c r="AX96" s="26">
        <v>78.47</v>
      </c>
      <c r="AY96">
        <v>33.53</v>
      </c>
      <c r="AZ96" s="26">
        <v>41.46</v>
      </c>
      <c r="BA96" s="26" t="s">
        <v>4</v>
      </c>
      <c r="BB96" s="26" t="s">
        <v>4</v>
      </c>
      <c r="BC96" s="26" t="s">
        <v>4</v>
      </c>
      <c r="BD96" s="26">
        <v>42.6</v>
      </c>
      <c r="BE96" s="26">
        <v>1.47</v>
      </c>
      <c r="BF96" s="26" t="s">
        <v>4</v>
      </c>
      <c r="BG96" s="26">
        <v>6.55</v>
      </c>
      <c r="BH96" s="26">
        <v>1.44</v>
      </c>
      <c r="BI96" s="26">
        <v>1.46</v>
      </c>
      <c r="BJ96" s="26" t="s">
        <v>4</v>
      </c>
      <c r="BK96" s="26" t="s">
        <v>4</v>
      </c>
      <c r="BL96" s="26">
        <v>10.28</v>
      </c>
      <c r="BM96" s="26" t="s">
        <v>4</v>
      </c>
      <c r="BN96" s="26">
        <v>15.99</v>
      </c>
      <c r="BO96" s="26" t="s">
        <v>4</v>
      </c>
      <c r="BP96" s="26" t="s">
        <v>4</v>
      </c>
      <c r="BQ96" s="26">
        <v>73.36</v>
      </c>
      <c r="BR96" s="26">
        <v>20.27</v>
      </c>
      <c r="BS96" s="26">
        <v>1.37</v>
      </c>
      <c r="BT96" s="26" t="s">
        <v>4</v>
      </c>
      <c r="BU96" s="26" t="s">
        <v>4</v>
      </c>
      <c r="BV96" s="26" t="s">
        <v>4</v>
      </c>
      <c r="BW96" s="26">
        <v>36.94</v>
      </c>
      <c r="BX96" s="26">
        <v>21.3</v>
      </c>
      <c r="BY96" s="26" t="s">
        <v>4</v>
      </c>
      <c r="BZ96" s="26">
        <v>24.04</v>
      </c>
      <c r="CA96" s="26" t="s">
        <v>4</v>
      </c>
      <c r="CB96" s="26">
        <v>25.19</v>
      </c>
      <c r="CC96" s="26">
        <v>1.1299999999999999</v>
      </c>
      <c r="CD96" s="26" t="s">
        <v>4</v>
      </c>
      <c r="CE96" s="26">
        <v>13.38</v>
      </c>
    </row>
    <row r="97" spans="1:83" x14ac:dyDescent="0.25">
      <c r="A97" s="1" t="s">
        <v>2</v>
      </c>
      <c r="B97" s="1"/>
      <c r="C97" t="s">
        <v>253</v>
      </c>
      <c r="D97" s="41" t="s">
        <v>254</v>
      </c>
      <c r="E97" t="s">
        <v>255</v>
      </c>
      <c r="F97" t="s">
        <v>158</v>
      </c>
      <c r="G97" t="s">
        <v>256</v>
      </c>
      <c r="H97" t="s">
        <v>257</v>
      </c>
      <c r="I97" s="30" t="s">
        <v>258</v>
      </c>
      <c r="J97" t="s">
        <v>259</v>
      </c>
      <c r="K97" s="32" t="s">
        <v>260</v>
      </c>
      <c r="L97" t="s">
        <v>261</v>
      </c>
      <c r="M97" s="30" t="s">
        <v>262</v>
      </c>
      <c r="N97" t="s">
        <v>266</v>
      </c>
      <c r="O97" t="s">
        <v>263</v>
      </c>
      <c r="P97" t="s">
        <v>264</v>
      </c>
      <c r="Q97" t="s">
        <v>265</v>
      </c>
      <c r="R97" t="s">
        <v>163</v>
      </c>
      <c r="S97" t="s">
        <v>164</v>
      </c>
      <c r="T97" t="s">
        <v>165</v>
      </c>
      <c r="U97" s="29" t="s">
        <v>267</v>
      </c>
      <c r="V97" t="s">
        <v>268</v>
      </c>
      <c r="W97" t="s">
        <v>269</v>
      </c>
      <c r="X97" t="s">
        <v>270</v>
      </c>
      <c r="Y97" s="30" t="s">
        <v>271</v>
      </c>
      <c r="Z97" t="s">
        <v>272</v>
      </c>
      <c r="AA97" t="s">
        <v>273</v>
      </c>
      <c r="AB97" t="s">
        <v>274</v>
      </c>
      <c r="AC97" t="s">
        <v>275</v>
      </c>
      <c r="AD97" s="30" t="s">
        <v>276</v>
      </c>
      <c r="AE97" s="31" t="s">
        <v>277</v>
      </c>
      <c r="AF97" s="30" t="s">
        <v>278</v>
      </c>
      <c r="AG97" s="30" t="s">
        <v>279</v>
      </c>
      <c r="AH97" t="s">
        <v>280</v>
      </c>
      <c r="AI97" t="s">
        <v>281</v>
      </c>
      <c r="AJ97" t="s">
        <v>282</v>
      </c>
      <c r="AK97" t="s">
        <v>283</v>
      </c>
      <c r="AL97" s="29" t="s">
        <v>284</v>
      </c>
      <c r="AM97" t="s">
        <v>285</v>
      </c>
      <c r="AN97" t="s">
        <v>286</v>
      </c>
      <c r="AO97" s="29" t="s">
        <v>287</v>
      </c>
      <c r="AP97" s="32" t="s">
        <v>288</v>
      </c>
      <c r="AQ97" t="s">
        <v>289</v>
      </c>
      <c r="AR97" t="s">
        <v>290</v>
      </c>
      <c r="AS97" t="s">
        <v>291</v>
      </c>
      <c r="AT97" t="s">
        <v>292</v>
      </c>
      <c r="AU97" s="29" t="s">
        <v>293</v>
      </c>
      <c r="AV97" t="s">
        <v>294</v>
      </c>
      <c r="AW97" t="s">
        <v>295</v>
      </c>
      <c r="AX97" s="30" t="s">
        <v>296</v>
      </c>
      <c r="AY97" s="29" t="s">
        <v>297</v>
      </c>
      <c r="AZ97" t="s">
        <v>298</v>
      </c>
      <c r="BA97" t="s">
        <v>299</v>
      </c>
      <c r="BB97" t="s">
        <v>300</v>
      </c>
      <c r="BC97" t="s">
        <v>301</v>
      </c>
      <c r="BD97" s="30" t="s">
        <v>302</v>
      </c>
      <c r="BE97" t="s">
        <v>171</v>
      </c>
      <c r="BF97" t="s">
        <v>303</v>
      </c>
      <c r="BG97" t="s">
        <v>304</v>
      </c>
      <c r="BH97" s="30" t="s">
        <v>305</v>
      </c>
      <c r="BI97" t="s">
        <v>306</v>
      </c>
      <c r="BJ97" t="s">
        <v>307</v>
      </c>
      <c r="BK97" t="s">
        <v>308</v>
      </c>
      <c r="BL97" t="s">
        <v>309</v>
      </c>
      <c r="BM97" t="s">
        <v>310</v>
      </c>
      <c r="BN97" s="29" t="s">
        <v>311</v>
      </c>
      <c r="BO97" t="s">
        <v>312</v>
      </c>
      <c r="BP97" t="s">
        <v>313</v>
      </c>
      <c r="BQ97" t="s">
        <v>314</v>
      </c>
      <c r="BR97" s="32" t="s">
        <v>315</v>
      </c>
      <c r="BS97" t="s">
        <v>316</v>
      </c>
      <c r="BT97" t="s">
        <v>317</v>
      </c>
      <c r="BU97" t="s">
        <v>318</v>
      </c>
      <c r="BV97" t="s">
        <v>319</v>
      </c>
      <c r="BW97" t="s">
        <v>320</v>
      </c>
      <c r="BX97" t="s">
        <v>321</v>
      </c>
      <c r="BY97" t="s">
        <v>322</v>
      </c>
      <c r="BZ97" t="s">
        <v>323</v>
      </c>
      <c r="CA97" t="s">
        <v>324</v>
      </c>
      <c r="CB97" s="32" t="s">
        <v>325</v>
      </c>
      <c r="CC97" t="s">
        <v>326</v>
      </c>
      <c r="CD97" t="s">
        <v>327</v>
      </c>
      <c r="CE97" t="s">
        <v>328</v>
      </c>
    </row>
    <row r="98" spans="1:83" x14ac:dyDescent="0.25">
      <c r="A98" s="47" t="s">
        <v>349</v>
      </c>
      <c r="B98" s="48" t="s">
        <v>350</v>
      </c>
      <c r="C98" t="s">
        <v>348</v>
      </c>
      <c r="D98">
        <v>1.0999999999999999E-2</v>
      </c>
      <c r="E98" t="s">
        <v>348</v>
      </c>
      <c r="F98" t="s">
        <v>348</v>
      </c>
      <c r="G98" t="s">
        <v>348</v>
      </c>
      <c r="H98" s="49">
        <v>2.4E-2</v>
      </c>
      <c r="I98" t="s">
        <v>4</v>
      </c>
      <c r="J98" t="s">
        <v>4</v>
      </c>
      <c r="K98" t="s">
        <v>348</v>
      </c>
      <c r="L98" t="s">
        <v>348</v>
      </c>
      <c r="M98" s="49">
        <v>10.228999999999999</v>
      </c>
      <c r="N98" t="s">
        <v>348</v>
      </c>
      <c r="O98" t="s">
        <v>348</v>
      </c>
      <c r="P98" s="49">
        <v>3.9969999999999999</v>
      </c>
      <c r="Q98" s="49">
        <v>0.26900000000000002</v>
      </c>
      <c r="R98" t="s">
        <v>348</v>
      </c>
      <c r="S98" t="s">
        <v>348</v>
      </c>
      <c r="T98" t="s">
        <v>348</v>
      </c>
      <c r="U98" t="s">
        <v>348</v>
      </c>
      <c r="V98" t="s">
        <v>348</v>
      </c>
      <c r="W98" t="s">
        <v>348</v>
      </c>
      <c r="X98" t="s">
        <v>348</v>
      </c>
      <c r="Y98" t="s">
        <v>348</v>
      </c>
      <c r="Z98" t="s">
        <v>348</v>
      </c>
      <c r="AA98" t="s">
        <v>348</v>
      </c>
      <c r="AB98" t="s">
        <v>348</v>
      </c>
      <c r="AC98" t="s">
        <v>348</v>
      </c>
      <c r="AD98" t="s">
        <v>348</v>
      </c>
      <c r="AE98">
        <v>3.6999999999999998E-2</v>
      </c>
      <c r="AF98" s="49">
        <v>1.7999999999999999E-2</v>
      </c>
      <c r="AG98">
        <v>0.5</v>
      </c>
      <c r="AH98" t="s">
        <v>4</v>
      </c>
      <c r="AI98" t="s">
        <v>4</v>
      </c>
      <c r="AJ98" t="s">
        <v>4</v>
      </c>
      <c r="AK98" t="s">
        <v>4</v>
      </c>
      <c r="AL98" t="s">
        <v>4</v>
      </c>
      <c r="AM98" t="s">
        <v>4</v>
      </c>
      <c r="AN98" t="s">
        <v>4</v>
      </c>
      <c r="AO98" t="s">
        <v>4</v>
      </c>
      <c r="AP98" s="49">
        <v>0.69599999999999995</v>
      </c>
      <c r="AQ98" t="s">
        <v>348</v>
      </c>
      <c r="AR98" s="49">
        <v>0.83099999999999996</v>
      </c>
      <c r="AS98" t="s">
        <v>348</v>
      </c>
      <c r="AT98" t="s">
        <v>348</v>
      </c>
      <c r="AU98" t="s">
        <v>348</v>
      </c>
      <c r="AV98" t="s">
        <v>348</v>
      </c>
      <c r="AW98" t="s">
        <v>348</v>
      </c>
      <c r="AX98" s="49">
        <v>9.6000000000000002E-2</v>
      </c>
      <c r="AY98">
        <v>0.122</v>
      </c>
      <c r="AZ98" t="s">
        <v>348</v>
      </c>
      <c r="BA98" t="s">
        <v>348</v>
      </c>
      <c r="BB98" t="s">
        <v>348</v>
      </c>
      <c r="BC98" t="s">
        <v>348</v>
      </c>
      <c r="BD98" t="s">
        <v>348</v>
      </c>
      <c r="BE98" t="s">
        <v>348</v>
      </c>
      <c r="BF98" t="s">
        <v>348</v>
      </c>
      <c r="BG98" t="s">
        <v>348</v>
      </c>
      <c r="BH98" s="49">
        <v>0.23299999999999998</v>
      </c>
      <c r="BI98" t="s">
        <v>348</v>
      </c>
      <c r="BJ98" t="s">
        <v>348</v>
      </c>
      <c r="BK98" t="s">
        <v>348</v>
      </c>
      <c r="BL98" t="s">
        <v>348</v>
      </c>
      <c r="BM98" t="s">
        <v>348</v>
      </c>
      <c r="BN98" t="s">
        <v>348</v>
      </c>
      <c r="BO98" t="s">
        <v>348</v>
      </c>
      <c r="BP98" t="s">
        <v>348</v>
      </c>
      <c r="BQ98" t="s">
        <v>348</v>
      </c>
      <c r="BR98" t="s">
        <v>348</v>
      </c>
      <c r="BS98" t="s">
        <v>348</v>
      </c>
      <c r="BT98" t="s">
        <v>348</v>
      </c>
      <c r="BU98" t="s">
        <v>348</v>
      </c>
      <c r="BV98" t="s">
        <v>348</v>
      </c>
      <c r="BW98" t="s">
        <v>348</v>
      </c>
      <c r="BX98" t="s">
        <v>348</v>
      </c>
      <c r="BY98" t="s">
        <v>348</v>
      </c>
      <c r="BZ98" s="49">
        <v>0.54800000000000004</v>
      </c>
      <c r="CB98" s="49">
        <v>3.9E-2</v>
      </c>
      <c r="CC98" t="s">
        <v>4</v>
      </c>
      <c r="CD98" t="s">
        <v>348</v>
      </c>
      <c r="CE98" t="s">
        <v>348</v>
      </c>
    </row>
    <row r="99" spans="1:83" x14ac:dyDescent="0.25">
      <c r="A99" s="47" t="s">
        <v>351</v>
      </c>
      <c r="B99" s="48" t="s">
        <v>352</v>
      </c>
      <c r="C99" t="s">
        <v>348</v>
      </c>
      <c r="D99">
        <v>0.01</v>
      </c>
      <c r="E99" t="s">
        <v>348</v>
      </c>
      <c r="F99" t="s">
        <v>348</v>
      </c>
      <c r="G99" t="s">
        <v>348</v>
      </c>
      <c r="H99" s="49">
        <v>0.02</v>
      </c>
      <c r="I99" t="s">
        <v>4</v>
      </c>
      <c r="J99" t="s">
        <v>4</v>
      </c>
      <c r="K99" t="s">
        <v>348</v>
      </c>
      <c r="L99" t="s">
        <v>348</v>
      </c>
      <c r="M99" s="49">
        <v>9.7129999999999992</v>
      </c>
      <c r="N99" t="s">
        <v>348</v>
      </c>
      <c r="O99" t="s">
        <v>348</v>
      </c>
      <c r="P99" s="49">
        <v>6.1580000000000004</v>
      </c>
      <c r="Q99" s="49">
        <v>0.60399999999999998</v>
      </c>
      <c r="R99" t="s">
        <v>348</v>
      </c>
      <c r="S99" t="s">
        <v>348</v>
      </c>
      <c r="T99" t="s">
        <v>348</v>
      </c>
      <c r="U99" t="s">
        <v>348</v>
      </c>
      <c r="V99" t="s">
        <v>348</v>
      </c>
      <c r="W99" t="s">
        <v>348</v>
      </c>
      <c r="X99" t="s">
        <v>348</v>
      </c>
      <c r="Y99" t="s">
        <v>348</v>
      </c>
      <c r="Z99" t="s">
        <v>348</v>
      </c>
      <c r="AA99" t="s">
        <v>348</v>
      </c>
      <c r="AB99" t="s">
        <v>348</v>
      </c>
      <c r="AC99" t="s">
        <v>348</v>
      </c>
      <c r="AD99" t="s">
        <v>348</v>
      </c>
      <c r="AE99">
        <v>3.9E-2</v>
      </c>
      <c r="AF99" s="49">
        <v>2.3E-2</v>
      </c>
      <c r="AG99">
        <v>0.56200000000000006</v>
      </c>
      <c r="AH99" t="s">
        <v>4</v>
      </c>
      <c r="AI99" t="s">
        <v>4</v>
      </c>
      <c r="AJ99" t="s">
        <v>4</v>
      </c>
      <c r="AK99" t="s">
        <v>4</v>
      </c>
      <c r="AL99" t="s">
        <v>4</v>
      </c>
      <c r="AM99" t="s">
        <v>4</v>
      </c>
      <c r="AN99" t="s">
        <v>4</v>
      </c>
      <c r="AO99" t="s">
        <v>4</v>
      </c>
      <c r="AP99" s="49">
        <v>0.81299999999999994</v>
      </c>
      <c r="AQ99" t="s">
        <v>348</v>
      </c>
      <c r="AR99" s="49">
        <v>1.038</v>
      </c>
      <c r="AS99" t="s">
        <v>348</v>
      </c>
      <c r="AT99" t="s">
        <v>348</v>
      </c>
      <c r="AU99" t="s">
        <v>348</v>
      </c>
      <c r="AV99" t="s">
        <v>348</v>
      </c>
      <c r="AW99" t="s">
        <v>348</v>
      </c>
      <c r="AX99" s="49">
        <v>0.129</v>
      </c>
      <c r="AY99">
        <v>0.14099999999999999</v>
      </c>
      <c r="AZ99" t="s">
        <v>348</v>
      </c>
      <c r="BA99" t="s">
        <v>348</v>
      </c>
      <c r="BB99" t="s">
        <v>348</v>
      </c>
      <c r="BC99" t="s">
        <v>348</v>
      </c>
      <c r="BD99" t="s">
        <v>348</v>
      </c>
      <c r="BE99" t="s">
        <v>348</v>
      </c>
      <c r="BF99" t="s">
        <v>348</v>
      </c>
      <c r="BG99" t="s">
        <v>348</v>
      </c>
      <c r="BH99" s="49">
        <v>0.313</v>
      </c>
      <c r="BI99" t="s">
        <v>348</v>
      </c>
      <c r="BJ99" t="s">
        <v>348</v>
      </c>
      <c r="BK99" t="s">
        <v>348</v>
      </c>
      <c r="BL99" t="s">
        <v>348</v>
      </c>
      <c r="BM99" t="s">
        <v>348</v>
      </c>
      <c r="BN99" t="s">
        <v>348</v>
      </c>
      <c r="BO99" t="s">
        <v>348</v>
      </c>
      <c r="BP99" t="s">
        <v>348</v>
      </c>
      <c r="BQ99" t="s">
        <v>348</v>
      </c>
      <c r="BR99" t="s">
        <v>348</v>
      </c>
      <c r="BS99" t="s">
        <v>348</v>
      </c>
      <c r="BT99" t="s">
        <v>348</v>
      </c>
      <c r="BU99" t="s">
        <v>348</v>
      </c>
      <c r="BV99" t="s">
        <v>348</v>
      </c>
      <c r="BW99" t="s">
        <v>348</v>
      </c>
      <c r="BX99" t="s">
        <v>348</v>
      </c>
      <c r="BY99" t="s">
        <v>348</v>
      </c>
      <c r="BZ99" s="49">
        <v>0.72699999999999998</v>
      </c>
      <c r="CB99" s="49">
        <v>4.8000000000000001E-2</v>
      </c>
      <c r="CC99" t="s">
        <v>4</v>
      </c>
      <c r="CD99" t="s">
        <v>348</v>
      </c>
      <c r="CE99" t="s">
        <v>348</v>
      </c>
    </row>
    <row r="100" spans="1:83" x14ac:dyDescent="0.25">
      <c r="A100" s="47" t="s">
        <v>353</v>
      </c>
      <c r="B100" s="48" t="s">
        <v>354</v>
      </c>
      <c r="C100" t="s">
        <v>348</v>
      </c>
      <c r="D100">
        <v>1.4999999999999999E-2</v>
      </c>
      <c r="E100" t="s">
        <v>348</v>
      </c>
      <c r="F100" t="s">
        <v>348</v>
      </c>
      <c r="G100" t="s">
        <v>348</v>
      </c>
      <c r="H100" s="49">
        <v>2.8000000000000001E-2</v>
      </c>
      <c r="I100" t="s">
        <v>4</v>
      </c>
      <c r="J100" t="s">
        <v>4</v>
      </c>
      <c r="K100" t="s">
        <v>348</v>
      </c>
      <c r="L100" t="s">
        <v>348</v>
      </c>
      <c r="M100" s="49">
        <v>3.1989999999999998</v>
      </c>
      <c r="N100" t="s">
        <v>348</v>
      </c>
      <c r="O100" t="s">
        <v>348</v>
      </c>
      <c r="P100" s="49">
        <v>4.2789999999999999</v>
      </c>
      <c r="Q100" s="49">
        <v>0.36399999999999999</v>
      </c>
      <c r="R100" t="s">
        <v>348</v>
      </c>
      <c r="S100" t="s">
        <v>348</v>
      </c>
      <c r="T100" t="s">
        <v>348</v>
      </c>
      <c r="U100" t="s">
        <v>348</v>
      </c>
      <c r="V100" t="s">
        <v>348</v>
      </c>
      <c r="W100" t="s">
        <v>348</v>
      </c>
      <c r="X100" t="s">
        <v>348</v>
      </c>
      <c r="Y100" t="s">
        <v>348</v>
      </c>
      <c r="Z100" t="s">
        <v>348</v>
      </c>
      <c r="AA100" t="s">
        <v>348</v>
      </c>
      <c r="AB100" t="s">
        <v>348</v>
      </c>
      <c r="AC100" t="s">
        <v>348</v>
      </c>
      <c r="AD100" t="s">
        <v>348</v>
      </c>
      <c r="AE100">
        <v>4.3000000000000003E-2</v>
      </c>
      <c r="AF100" s="49" t="s">
        <v>4</v>
      </c>
      <c r="AG100">
        <v>0.27400000000000002</v>
      </c>
      <c r="AH100" t="s">
        <v>4</v>
      </c>
      <c r="AI100" t="s">
        <v>4</v>
      </c>
      <c r="AJ100" t="s">
        <v>4</v>
      </c>
      <c r="AK100" t="s">
        <v>4</v>
      </c>
      <c r="AL100" t="s">
        <v>4</v>
      </c>
      <c r="AM100" t="s">
        <v>4</v>
      </c>
      <c r="AN100" t="s">
        <v>4</v>
      </c>
      <c r="AO100" t="s">
        <v>4</v>
      </c>
      <c r="AP100" s="49">
        <v>2.68</v>
      </c>
      <c r="AQ100" t="s">
        <v>348</v>
      </c>
      <c r="AR100" s="49">
        <v>0.88300000000000001</v>
      </c>
      <c r="AS100" t="s">
        <v>348</v>
      </c>
      <c r="AT100" t="s">
        <v>348</v>
      </c>
      <c r="AU100" t="s">
        <v>348</v>
      </c>
      <c r="AV100" t="s">
        <v>348</v>
      </c>
      <c r="AW100" t="s">
        <v>348</v>
      </c>
      <c r="AX100" s="49">
        <v>0.13700000000000001</v>
      </c>
      <c r="AY100">
        <v>9.8000000000000004E-2</v>
      </c>
      <c r="AZ100" t="s">
        <v>348</v>
      </c>
      <c r="BA100" t="s">
        <v>348</v>
      </c>
      <c r="BB100" t="s">
        <v>348</v>
      </c>
      <c r="BC100" t="s">
        <v>348</v>
      </c>
      <c r="BD100" t="s">
        <v>348</v>
      </c>
      <c r="BE100" t="s">
        <v>348</v>
      </c>
      <c r="BF100" t="s">
        <v>348</v>
      </c>
      <c r="BG100" t="s">
        <v>348</v>
      </c>
      <c r="BH100" s="49" t="s">
        <v>4</v>
      </c>
      <c r="BI100" t="s">
        <v>348</v>
      </c>
      <c r="BJ100" t="s">
        <v>348</v>
      </c>
      <c r="BK100" t="s">
        <v>348</v>
      </c>
      <c r="BL100" t="s">
        <v>348</v>
      </c>
      <c r="BM100" t="s">
        <v>348</v>
      </c>
      <c r="BN100" t="s">
        <v>348</v>
      </c>
      <c r="BO100" t="s">
        <v>348</v>
      </c>
      <c r="BP100" t="s">
        <v>348</v>
      </c>
      <c r="BQ100" t="s">
        <v>348</v>
      </c>
      <c r="BR100" t="s">
        <v>348</v>
      </c>
      <c r="BS100" t="s">
        <v>348</v>
      </c>
      <c r="BT100" t="s">
        <v>348</v>
      </c>
      <c r="BU100" t="s">
        <v>348</v>
      </c>
      <c r="BV100" t="s">
        <v>348</v>
      </c>
      <c r="BW100" t="s">
        <v>348</v>
      </c>
      <c r="BX100" t="s">
        <v>348</v>
      </c>
      <c r="BY100" t="s">
        <v>348</v>
      </c>
      <c r="BZ100" s="49">
        <v>0.36799999999999999</v>
      </c>
      <c r="CB100" s="49">
        <v>6.9000000000000006E-2</v>
      </c>
      <c r="CC100" t="s">
        <v>4</v>
      </c>
      <c r="CD100" t="s">
        <v>348</v>
      </c>
      <c r="CE100" t="s">
        <v>348</v>
      </c>
    </row>
    <row r="101" spans="1:83" x14ac:dyDescent="0.25">
      <c r="A101" s="47" t="s">
        <v>355</v>
      </c>
      <c r="B101" s="48" t="s">
        <v>356</v>
      </c>
      <c r="C101" t="s">
        <v>348</v>
      </c>
      <c r="D101">
        <v>7.0000000000000001E-3</v>
      </c>
      <c r="E101" t="s">
        <v>348</v>
      </c>
      <c r="F101" t="s">
        <v>348</v>
      </c>
      <c r="G101" t="s">
        <v>348</v>
      </c>
      <c r="H101" s="49">
        <v>1.7000000000000001E-2</v>
      </c>
      <c r="I101" t="s">
        <v>4</v>
      </c>
      <c r="J101" t="s">
        <v>4</v>
      </c>
      <c r="K101" t="s">
        <v>348</v>
      </c>
      <c r="L101" t="s">
        <v>348</v>
      </c>
      <c r="M101" s="49">
        <v>3.2269999999999999</v>
      </c>
      <c r="N101" t="s">
        <v>348</v>
      </c>
      <c r="O101" t="s">
        <v>348</v>
      </c>
      <c r="P101" s="49">
        <v>4.508</v>
      </c>
      <c r="Q101" s="49">
        <v>0.45899999999999996</v>
      </c>
      <c r="R101" t="s">
        <v>348</v>
      </c>
      <c r="S101" t="s">
        <v>348</v>
      </c>
      <c r="T101" t="s">
        <v>348</v>
      </c>
      <c r="U101" t="s">
        <v>348</v>
      </c>
      <c r="V101" t="s">
        <v>348</v>
      </c>
      <c r="W101" t="s">
        <v>348</v>
      </c>
      <c r="X101" t="s">
        <v>348</v>
      </c>
      <c r="Y101" t="s">
        <v>348</v>
      </c>
      <c r="Z101" t="s">
        <v>348</v>
      </c>
      <c r="AA101" t="s">
        <v>348</v>
      </c>
      <c r="AB101" t="s">
        <v>348</v>
      </c>
      <c r="AC101" t="s">
        <v>348</v>
      </c>
      <c r="AD101" t="s">
        <v>348</v>
      </c>
      <c r="AE101">
        <v>4.2000000000000003E-2</v>
      </c>
      <c r="AF101" s="49" t="s">
        <v>4</v>
      </c>
      <c r="AG101">
        <v>0.28000000000000003</v>
      </c>
      <c r="AH101" t="s">
        <v>4</v>
      </c>
      <c r="AI101" t="s">
        <v>4</v>
      </c>
      <c r="AJ101" t="s">
        <v>4</v>
      </c>
      <c r="AK101" t="s">
        <v>4</v>
      </c>
      <c r="AL101" t="s">
        <v>4</v>
      </c>
      <c r="AM101" t="s">
        <v>4</v>
      </c>
      <c r="AN101" t="s">
        <v>4</v>
      </c>
      <c r="AO101" t="s">
        <v>4</v>
      </c>
      <c r="AP101" s="49">
        <v>3.1179999999999999</v>
      </c>
      <c r="AQ101" t="s">
        <v>348</v>
      </c>
      <c r="AR101" s="49">
        <v>0.76700000000000002</v>
      </c>
      <c r="AS101" t="s">
        <v>348</v>
      </c>
      <c r="AT101" t="s">
        <v>348</v>
      </c>
      <c r="AU101" t="s">
        <v>348</v>
      </c>
      <c r="AV101" t="s">
        <v>348</v>
      </c>
      <c r="AW101" t="s">
        <v>348</v>
      </c>
      <c r="AX101" s="49">
        <v>0.152</v>
      </c>
      <c r="AY101">
        <v>0.12</v>
      </c>
      <c r="AZ101" t="s">
        <v>348</v>
      </c>
      <c r="BA101" t="s">
        <v>348</v>
      </c>
      <c r="BB101" t="s">
        <v>348</v>
      </c>
      <c r="BC101" t="s">
        <v>348</v>
      </c>
      <c r="BD101" t="s">
        <v>348</v>
      </c>
      <c r="BE101" t="s">
        <v>348</v>
      </c>
      <c r="BF101" t="s">
        <v>348</v>
      </c>
      <c r="BG101" t="s">
        <v>348</v>
      </c>
      <c r="BH101" s="49" t="s">
        <v>4</v>
      </c>
      <c r="BI101" t="s">
        <v>348</v>
      </c>
      <c r="BJ101" t="s">
        <v>348</v>
      </c>
      <c r="BK101" t="s">
        <v>348</v>
      </c>
      <c r="BL101" t="s">
        <v>348</v>
      </c>
      <c r="BM101" t="s">
        <v>348</v>
      </c>
      <c r="BN101" t="s">
        <v>348</v>
      </c>
      <c r="BO101" t="s">
        <v>348</v>
      </c>
      <c r="BP101" t="s">
        <v>348</v>
      </c>
      <c r="BQ101" t="s">
        <v>348</v>
      </c>
      <c r="BR101" t="s">
        <v>348</v>
      </c>
      <c r="BS101" t="s">
        <v>348</v>
      </c>
      <c r="BT101" t="s">
        <v>348</v>
      </c>
      <c r="BU101" t="s">
        <v>348</v>
      </c>
      <c r="BV101" t="s">
        <v>348</v>
      </c>
      <c r="BW101" t="s">
        <v>348</v>
      </c>
      <c r="BX101" t="s">
        <v>348</v>
      </c>
      <c r="BY101" t="s">
        <v>348</v>
      </c>
      <c r="BZ101" s="49">
        <v>0.46200000000000002</v>
      </c>
      <c r="CB101" s="49">
        <v>6.7000000000000004E-2</v>
      </c>
      <c r="CC101" t="s">
        <v>4</v>
      </c>
      <c r="CD101" t="s">
        <v>348</v>
      </c>
      <c r="CE101" t="s">
        <v>348</v>
      </c>
    </row>
    <row r="102" spans="1:83" x14ac:dyDescent="0.25">
      <c r="A102" s="47" t="s">
        <v>357</v>
      </c>
      <c r="B102" s="48" t="s">
        <v>358</v>
      </c>
      <c r="C102" t="s">
        <v>348</v>
      </c>
      <c r="D102">
        <v>6.0000000000000001E-3</v>
      </c>
      <c r="E102" t="s">
        <v>348</v>
      </c>
      <c r="F102" t="s">
        <v>348</v>
      </c>
      <c r="G102" t="s">
        <v>348</v>
      </c>
      <c r="H102" s="49">
        <v>0.52100000000000002</v>
      </c>
      <c r="I102" s="49">
        <v>0.55100000000000005</v>
      </c>
      <c r="J102" s="49">
        <v>0.90500000000000003</v>
      </c>
      <c r="K102" t="s">
        <v>348</v>
      </c>
      <c r="L102" t="s">
        <v>348</v>
      </c>
      <c r="M102" s="49">
        <v>0.80100000000000005</v>
      </c>
      <c r="N102" t="s">
        <v>348</v>
      </c>
      <c r="O102" t="s">
        <v>348</v>
      </c>
      <c r="P102" s="49">
        <v>2.823</v>
      </c>
      <c r="Q102" s="49">
        <v>0.248</v>
      </c>
      <c r="R102" t="s">
        <v>348</v>
      </c>
      <c r="S102" t="s">
        <v>348</v>
      </c>
      <c r="T102" t="s">
        <v>348</v>
      </c>
      <c r="U102" t="s">
        <v>348</v>
      </c>
      <c r="V102" t="s">
        <v>348</v>
      </c>
      <c r="W102" t="s">
        <v>348</v>
      </c>
      <c r="X102" t="s">
        <v>348</v>
      </c>
      <c r="Y102" t="s">
        <v>348</v>
      </c>
      <c r="Z102" t="s">
        <v>348</v>
      </c>
      <c r="AA102" t="s">
        <v>348</v>
      </c>
      <c r="AB102" t="s">
        <v>348</v>
      </c>
      <c r="AC102" t="s">
        <v>348</v>
      </c>
      <c r="AD102" t="s">
        <v>348</v>
      </c>
      <c r="AE102">
        <v>2.4E-2</v>
      </c>
      <c r="AF102" s="49" t="s">
        <v>4</v>
      </c>
      <c r="AG102">
        <v>7.8999999999999987E-2</v>
      </c>
      <c r="AH102" t="s">
        <v>4</v>
      </c>
      <c r="AI102" t="s">
        <v>4</v>
      </c>
      <c r="AJ102" t="s">
        <v>4</v>
      </c>
      <c r="AK102" t="s">
        <v>4</v>
      </c>
      <c r="AL102" t="s">
        <v>4</v>
      </c>
      <c r="AM102" t="s">
        <v>4</v>
      </c>
      <c r="AN102" t="s">
        <v>4</v>
      </c>
      <c r="AO102" t="s">
        <v>4</v>
      </c>
      <c r="AP102" s="49">
        <v>11.602</v>
      </c>
      <c r="AQ102" t="s">
        <v>348</v>
      </c>
      <c r="AR102" s="49">
        <v>0.93</v>
      </c>
      <c r="AS102" t="s">
        <v>348</v>
      </c>
      <c r="AT102" t="s">
        <v>348</v>
      </c>
      <c r="AU102" t="s">
        <v>348</v>
      </c>
      <c r="AV102" t="s">
        <v>348</v>
      </c>
      <c r="AW102" t="s">
        <v>348</v>
      </c>
      <c r="AX102" s="49">
        <v>0.115</v>
      </c>
      <c r="AY102">
        <v>0.17499999999999999</v>
      </c>
      <c r="AZ102" t="s">
        <v>348</v>
      </c>
      <c r="BA102" t="s">
        <v>348</v>
      </c>
      <c r="BB102" t="s">
        <v>348</v>
      </c>
      <c r="BC102" t="s">
        <v>348</v>
      </c>
      <c r="BD102" t="s">
        <v>348</v>
      </c>
      <c r="BE102" t="s">
        <v>348</v>
      </c>
      <c r="BF102" t="s">
        <v>348</v>
      </c>
      <c r="BG102" t="s">
        <v>348</v>
      </c>
      <c r="BH102" s="49" t="s">
        <v>4</v>
      </c>
      <c r="BI102" t="s">
        <v>348</v>
      </c>
      <c r="BJ102" t="s">
        <v>348</v>
      </c>
      <c r="BK102" t="s">
        <v>348</v>
      </c>
      <c r="BL102" t="s">
        <v>348</v>
      </c>
      <c r="BM102" t="s">
        <v>348</v>
      </c>
      <c r="BN102" t="s">
        <v>348</v>
      </c>
      <c r="BO102" t="s">
        <v>348</v>
      </c>
      <c r="BP102" t="s">
        <v>348</v>
      </c>
      <c r="BQ102" t="s">
        <v>348</v>
      </c>
      <c r="BR102" t="s">
        <v>348</v>
      </c>
      <c r="BS102" t="s">
        <v>348</v>
      </c>
      <c r="BT102" t="s">
        <v>348</v>
      </c>
      <c r="BU102" t="s">
        <v>348</v>
      </c>
      <c r="BV102" t="s">
        <v>348</v>
      </c>
      <c r="BW102" t="s">
        <v>348</v>
      </c>
      <c r="BX102" t="s">
        <v>348</v>
      </c>
      <c r="BY102" t="s">
        <v>348</v>
      </c>
      <c r="BZ102" s="49">
        <v>0.42399999999999999</v>
      </c>
      <c r="CB102" s="49">
        <v>0.106</v>
      </c>
      <c r="CC102" t="s">
        <v>4</v>
      </c>
      <c r="CD102" t="s">
        <v>348</v>
      </c>
      <c r="CE102" t="s">
        <v>348</v>
      </c>
    </row>
    <row r="103" spans="1:83" x14ac:dyDescent="0.25">
      <c r="A103" s="47" t="s">
        <v>359</v>
      </c>
      <c r="B103" s="48" t="s">
        <v>360</v>
      </c>
      <c r="C103" t="s">
        <v>348</v>
      </c>
      <c r="D103">
        <v>1.9E-2</v>
      </c>
      <c r="E103" t="s">
        <v>348</v>
      </c>
      <c r="F103" t="s">
        <v>348</v>
      </c>
      <c r="G103" t="s">
        <v>348</v>
      </c>
      <c r="H103" s="49">
        <v>0.42799999999999999</v>
      </c>
      <c r="I103" s="49">
        <v>0.70899999999999996</v>
      </c>
      <c r="J103" s="49">
        <v>1.0780000000000001</v>
      </c>
      <c r="K103" t="s">
        <v>348</v>
      </c>
      <c r="L103" t="s">
        <v>348</v>
      </c>
      <c r="M103" s="49">
        <v>0.80400000000000005</v>
      </c>
      <c r="N103" t="s">
        <v>348</v>
      </c>
      <c r="O103" t="s">
        <v>348</v>
      </c>
      <c r="P103" s="49">
        <v>3.23</v>
      </c>
      <c r="Q103" s="49">
        <v>0.441</v>
      </c>
      <c r="R103" t="s">
        <v>348</v>
      </c>
      <c r="S103" t="s">
        <v>348</v>
      </c>
      <c r="T103" t="s">
        <v>348</v>
      </c>
      <c r="U103" t="s">
        <v>348</v>
      </c>
      <c r="V103" t="s">
        <v>348</v>
      </c>
      <c r="W103" t="s">
        <v>348</v>
      </c>
      <c r="X103" t="s">
        <v>348</v>
      </c>
      <c r="Y103" t="s">
        <v>348</v>
      </c>
      <c r="Z103" t="s">
        <v>348</v>
      </c>
      <c r="AA103" t="s">
        <v>348</v>
      </c>
      <c r="AB103" t="s">
        <v>348</v>
      </c>
      <c r="AC103" t="s">
        <v>348</v>
      </c>
      <c r="AD103" t="s">
        <v>348</v>
      </c>
      <c r="AE103">
        <v>3.4000000000000002E-2</v>
      </c>
      <c r="AF103" s="49" t="s">
        <v>4</v>
      </c>
      <c r="AG103">
        <v>7.0000000000000007E-2</v>
      </c>
      <c r="AH103" t="s">
        <v>4</v>
      </c>
      <c r="AI103" t="s">
        <v>4</v>
      </c>
      <c r="AJ103" t="s">
        <v>4</v>
      </c>
      <c r="AK103" t="s">
        <v>4</v>
      </c>
      <c r="AL103" t="s">
        <v>4</v>
      </c>
      <c r="AM103" t="s">
        <v>4</v>
      </c>
      <c r="AN103" t="s">
        <v>4</v>
      </c>
      <c r="AO103" t="s">
        <v>4</v>
      </c>
      <c r="AP103" s="49">
        <v>9.3949999999999996</v>
      </c>
      <c r="AQ103" t="s">
        <v>348</v>
      </c>
      <c r="AR103" s="49">
        <v>0.4</v>
      </c>
      <c r="AS103" t="s">
        <v>348</v>
      </c>
      <c r="AT103" t="s">
        <v>348</v>
      </c>
      <c r="AU103" t="s">
        <v>348</v>
      </c>
      <c r="AV103" t="s">
        <v>348</v>
      </c>
      <c r="AW103" t="s">
        <v>348</v>
      </c>
      <c r="AX103" s="49">
        <v>0.108</v>
      </c>
      <c r="AY103">
        <v>0.11499999999999999</v>
      </c>
      <c r="AZ103" t="s">
        <v>348</v>
      </c>
      <c r="BA103" t="s">
        <v>348</v>
      </c>
      <c r="BB103" t="s">
        <v>348</v>
      </c>
      <c r="BC103" t="s">
        <v>348</v>
      </c>
      <c r="BD103" t="s">
        <v>348</v>
      </c>
      <c r="BE103" t="s">
        <v>348</v>
      </c>
      <c r="BF103" t="s">
        <v>348</v>
      </c>
      <c r="BG103" t="s">
        <v>348</v>
      </c>
      <c r="BH103" s="49" t="s">
        <v>4</v>
      </c>
      <c r="BI103" t="s">
        <v>348</v>
      </c>
      <c r="BJ103" t="s">
        <v>348</v>
      </c>
      <c r="BK103" t="s">
        <v>348</v>
      </c>
      <c r="BL103" t="s">
        <v>348</v>
      </c>
      <c r="BM103" t="s">
        <v>348</v>
      </c>
      <c r="BN103" t="s">
        <v>348</v>
      </c>
      <c r="BO103" t="s">
        <v>348</v>
      </c>
      <c r="BP103" t="s">
        <v>348</v>
      </c>
      <c r="BQ103" t="s">
        <v>348</v>
      </c>
      <c r="BR103" t="s">
        <v>348</v>
      </c>
      <c r="BS103" t="s">
        <v>348</v>
      </c>
      <c r="BT103" t="s">
        <v>348</v>
      </c>
      <c r="BU103" t="s">
        <v>348</v>
      </c>
      <c r="BV103" t="s">
        <v>348</v>
      </c>
      <c r="BW103" t="s">
        <v>348</v>
      </c>
      <c r="BX103" t="s">
        <v>348</v>
      </c>
      <c r="BY103" t="s">
        <v>348</v>
      </c>
      <c r="BZ103" s="49">
        <v>0.38900000000000001</v>
      </c>
      <c r="CB103" s="49">
        <v>0.124</v>
      </c>
      <c r="CC103" t="s">
        <v>4</v>
      </c>
      <c r="CD103" t="s">
        <v>348</v>
      </c>
      <c r="CE103" t="s">
        <v>348</v>
      </c>
    </row>
    <row r="104" spans="1:83" x14ac:dyDescent="0.25">
      <c r="A104" s="47" t="s">
        <v>361</v>
      </c>
      <c r="B104" s="48" t="s">
        <v>362</v>
      </c>
      <c r="C104" t="s">
        <v>348</v>
      </c>
      <c r="D104">
        <v>4.0000000000000001E-3</v>
      </c>
      <c r="E104" t="s">
        <v>348</v>
      </c>
      <c r="F104" t="s">
        <v>348</v>
      </c>
      <c r="G104" t="s">
        <v>348</v>
      </c>
      <c r="H104" s="49">
        <v>0.14499999999999999</v>
      </c>
      <c r="I104" s="49" t="s">
        <v>4</v>
      </c>
      <c r="J104" s="49" t="s">
        <v>4</v>
      </c>
      <c r="K104" t="s">
        <v>348</v>
      </c>
      <c r="L104" t="s">
        <v>348</v>
      </c>
      <c r="M104" s="49">
        <v>5.9169999999999998</v>
      </c>
      <c r="N104" t="s">
        <v>348</v>
      </c>
      <c r="O104" t="s">
        <v>348</v>
      </c>
      <c r="P104" s="49">
        <v>1.2430000000000001</v>
      </c>
      <c r="Q104" s="49">
        <v>0.04</v>
      </c>
      <c r="R104" t="s">
        <v>348</v>
      </c>
      <c r="S104" t="s">
        <v>348</v>
      </c>
      <c r="T104" t="s">
        <v>348</v>
      </c>
      <c r="U104" t="s">
        <v>348</v>
      </c>
      <c r="V104" t="s">
        <v>348</v>
      </c>
      <c r="W104" t="s">
        <v>348</v>
      </c>
      <c r="X104" t="s">
        <v>348</v>
      </c>
      <c r="Y104" t="s">
        <v>348</v>
      </c>
      <c r="Z104" t="s">
        <v>348</v>
      </c>
      <c r="AA104" t="s">
        <v>348</v>
      </c>
      <c r="AB104" t="s">
        <v>348</v>
      </c>
      <c r="AC104" t="s">
        <v>348</v>
      </c>
      <c r="AD104" t="s">
        <v>348</v>
      </c>
      <c r="AE104">
        <v>0.50800000000000001</v>
      </c>
      <c r="AF104" s="49">
        <v>7.0000000000000001E-3</v>
      </c>
      <c r="AG104">
        <v>1.1400000000000001</v>
      </c>
      <c r="AH104" t="s">
        <v>4</v>
      </c>
      <c r="AI104" t="s">
        <v>4</v>
      </c>
      <c r="AJ104" t="s">
        <v>4</v>
      </c>
      <c r="AK104" t="s">
        <v>4</v>
      </c>
      <c r="AL104" t="s">
        <v>4</v>
      </c>
      <c r="AM104" t="s">
        <v>4</v>
      </c>
      <c r="AN104" t="s">
        <v>4</v>
      </c>
      <c r="AO104" t="s">
        <v>4</v>
      </c>
      <c r="AP104" s="49">
        <v>2.1680000000000001</v>
      </c>
      <c r="AQ104" t="s">
        <v>348</v>
      </c>
      <c r="AR104" s="49">
        <v>0.44500000000000001</v>
      </c>
      <c r="AS104" t="s">
        <v>348</v>
      </c>
      <c r="AT104" t="s">
        <v>348</v>
      </c>
      <c r="AU104" t="s">
        <v>348</v>
      </c>
      <c r="AV104" t="s">
        <v>348</v>
      </c>
      <c r="AW104" t="s">
        <v>348</v>
      </c>
      <c r="AX104" s="49">
        <v>0.65400000000000003</v>
      </c>
      <c r="AY104">
        <v>0.28299999999999997</v>
      </c>
      <c r="AZ104" t="s">
        <v>348</v>
      </c>
      <c r="BA104" t="s">
        <v>348</v>
      </c>
      <c r="BB104" t="s">
        <v>348</v>
      </c>
      <c r="BC104" t="s">
        <v>348</v>
      </c>
      <c r="BD104" t="s">
        <v>348</v>
      </c>
      <c r="BE104" t="s">
        <v>348</v>
      </c>
      <c r="BF104" t="s">
        <v>348</v>
      </c>
      <c r="BG104" t="s">
        <v>348</v>
      </c>
      <c r="BH104" s="49">
        <v>1.911</v>
      </c>
      <c r="BI104" t="s">
        <v>348</v>
      </c>
      <c r="BJ104" t="s">
        <v>348</v>
      </c>
      <c r="BK104" t="s">
        <v>348</v>
      </c>
      <c r="BL104" t="s">
        <v>348</v>
      </c>
      <c r="BM104" t="s">
        <v>348</v>
      </c>
      <c r="BN104" t="s">
        <v>348</v>
      </c>
      <c r="BO104" t="s">
        <v>348</v>
      </c>
      <c r="BP104" t="s">
        <v>348</v>
      </c>
      <c r="BQ104" t="s">
        <v>348</v>
      </c>
      <c r="BR104" t="s">
        <v>348</v>
      </c>
      <c r="BS104" t="s">
        <v>348</v>
      </c>
      <c r="BT104" t="s">
        <v>348</v>
      </c>
      <c r="BU104" t="s">
        <v>348</v>
      </c>
      <c r="BV104" t="s">
        <v>348</v>
      </c>
      <c r="BW104" t="s">
        <v>348</v>
      </c>
      <c r="BX104" t="s">
        <v>348</v>
      </c>
      <c r="BY104" t="s">
        <v>348</v>
      </c>
      <c r="BZ104" s="49">
        <v>0.67500000000000004</v>
      </c>
      <c r="CB104" s="49">
        <v>0.32100000000000001</v>
      </c>
      <c r="CC104" t="s">
        <v>4</v>
      </c>
      <c r="CD104" t="s">
        <v>348</v>
      </c>
      <c r="CE104" t="s">
        <v>348</v>
      </c>
    </row>
    <row r="105" spans="1:83" x14ac:dyDescent="0.25">
      <c r="A105" s="47" t="s">
        <v>363</v>
      </c>
      <c r="B105" s="48" t="s">
        <v>364</v>
      </c>
      <c r="C105" t="s">
        <v>348</v>
      </c>
      <c r="D105">
        <v>2E-3</v>
      </c>
      <c r="E105" t="s">
        <v>348</v>
      </c>
      <c r="F105" t="s">
        <v>348</v>
      </c>
      <c r="G105" t="s">
        <v>348</v>
      </c>
      <c r="H105" s="49">
        <v>0.27500000000000002</v>
      </c>
      <c r="I105" s="49">
        <v>0.18</v>
      </c>
      <c r="J105" s="49">
        <v>0.47099999999999997</v>
      </c>
      <c r="K105" t="s">
        <v>348</v>
      </c>
      <c r="L105" t="s">
        <v>348</v>
      </c>
      <c r="M105" s="49">
        <v>7.6980000000000004</v>
      </c>
      <c r="N105" t="s">
        <v>348</v>
      </c>
      <c r="O105" t="s">
        <v>348</v>
      </c>
      <c r="P105" s="49">
        <v>4.157</v>
      </c>
      <c r="Q105" s="49">
        <v>0.15</v>
      </c>
      <c r="R105" t="s">
        <v>348</v>
      </c>
      <c r="S105" t="s">
        <v>348</v>
      </c>
      <c r="T105" t="s">
        <v>348</v>
      </c>
      <c r="U105" t="s">
        <v>348</v>
      </c>
      <c r="V105" t="s">
        <v>348</v>
      </c>
      <c r="W105" t="s">
        <v>348</v>
      </c>
      <c r="X105" t="s">
        <v>348</v>
      </c>
      <c r="Y105" t="s">
        <v>348</v>
      </c>
      <c r="Z105" t="s">
        <v>348</v>
      </c>
      <c r="AA105" t="s">
        <v>348</v>
      </c>
      <c r="AB105" t="s">
        <v>348</v>
      </c>
      <c r="AC105" t="s">
        <v>348</v>
      </c>
      <c r="AD105" t="s">
        <v>348</v>
      </c>
      <c r="AE105">
        <v>0.33799999999999997</v>
      </c>
      <c r="AF105" s="49" t="s">
        <v>4</v>
      </c>
      <c r="AG105">
        <v>9.0999999999999998E-2</v>
      </c>
      <c r="AH105" t="s">
        <v>4</v>
      </c>
      <c r="AI105" t="s">
        <v>4</v>
      </c>
      <c r="AJ105" t="s">
        <v>4</v>
      </c>
      <c r="AK105" t="s">
        <v>4</v>
      </c>
      <c r="AL105" t="s">
        <v>4</v>
      </c>
      <c r="AM105" t="s">
        <v>4</v>
      </c>
      <c r="AN105" t="s">
        <v>4</v>
      </c>
      <c r="AO105" t="s">
        <v>4</v>
      </c>
      <c r="AP105" s="49">
        <v>7.1849999999999996</v>
      </c>
      <c r="AQ105" t="s">
        <v>348</v>
      </c>
      <c r="AR105" s="49">
        <v>0.83499999999999996</v>
      </c>
      <c r="AS105" t="s">
        <v>348</v>
      </c>
      <c r="AT105" t="s">
        <v>348</v>
      </c>
      <c r="AU105" t="s">
        <v>348</v>
      </c>
      <c r="AV105" t="s">
        <v>348</v>
      </c>
      <c r="AW105" t="s">
        <v>348</v>
      </c>
      <c r="AX105" s="49">
        <v>3.1619999999999999</v>
      </c>
      <c r="AY105">
        <v>0.22399999999999998</v>
      </c>
      <c r="AZ105" t="s">
        <v>348</v>
      </c>
      <c r="BA105" t="s">
        <v>348</v>
      </c>
      <c r="BB105" t="s">
        <v>348</v>
      </c>
      <c r="BC105" t="s">
        <v>348</v>
      </c>
      <c r="BD105" t="s">
        <v>348</v>
      </c>
      <c r="BE105" t="s">
        <v>348</v>
      </c>
      <c r="BF105" t="s">
        <v>348</v>
      </c>
      <c r="BG105" t="s">
        <v>348</v>
      </c>
      <c r="BH105" s="49">
        <v>1.784</v>
      </c>
      <c r="BI105" t="s">
        <v>348</v>
      </c>
      <c r="BJ105" t="s">
        <v>348</v>
      </c>
      <c r="BK105" t="s">
        <v>348</v>
      </c>
      <c r="BL105" t="s">
        <v>348</v>
      </c>
      <c r="BM105" t="s">
        <v>348</v>
      </c>
      <c r="BN105" t="s">
        <v>348</v>
      </c>
      <c r="BO105" t="s">
        <v>348</v>
      </c>
      <c r="BP105" t="s">
        <v>348</v>
      </c>
      <c r="BQ105" t="s">
        <v>348</v>
      </c>
      <c r="BR105" t="s">
        <v>348</v>
      </c>
      <c r="BS105" t="s">
        <v>348</v>
      </c>
      <c r="BT105" t="s">
        <v>348</v>
      </c>
      <c r="BU105" t="s">
        <v>348</v>
      </c>
      <c r="BV105" t="s">
        <v>348</v>
      </c>
      <c r="BW105" t="s">
        <v>348</v>
      </c>
      <c r="BX105" t="s">
        <v>348</v>
      </c>
      <c r="BY105" t="s">
        <v>348</v>
      </c>
      <c r="BZ105" s="49">
        <v>0.41</v>
      </c>
      <c r="CB105" s="49">
        <v>0.26700000000000002</v>
      </c>
      <c r="CC105" t="s">
        <v>4</v>
      </c>
      <c r="CD105" t="s">
        <v>348</v>
      </c>
      <c r="CE105" t="s">
        <v>348</v>
      </c>
    </row>
    <row r="106" spans="1:83" x14ac:dyDescent="0.25">
      <c r="A106" s="47" t="s">
        <v>365</v>
      </c>
      <c r="B106" s="48" t="s">
        <v>366</v>
      </c>
      <c r="C106" t="s">
        <v>348</v>
      </c>
      <c r="D106">
        <v>0.01</v>
      </c>
      <c r="E106" t="s">
        <v>348</v>
      </c>
      <c r="F106" t="s">
        <v>348</v>
      </c>
      <c r="G106" t="s">
        <v>348</v>
      </c>
      <c r="H106" s="49">
        <v>8.2000000000000003E-2</v>
      </c>
      <c r="I106" s="49" t="s">
        <v>4</v>
      </c>
      <c r="J106" s="49" t="s">
        <v>4</v>
      </c>
      <c r="K106" t="s">
        <v>348</v>
      </c>
      <c r="L106" t="s">
        <v>348</v>
      </c>
      <c r="M106" s="49">
        <v>6.7809999999999997</v>
      </c>
      <c r="N106" t="s">
        <v>348</v>
      </c>
      <c r="O106" t="s">
        <v>348</v>
      </c>
      <c r="P106" s="49">
        <v>2.3420000000000001</v>
      </c>
      <c r="Q106" s="49">
        <v>3.6999999999999998E-2</v>
      </c>
      <c r="R106" t="s">
        <v>348</v>
      </c>
      <c r="S106" t="s">
        <v>348</v>
      </c>
      <c r="T106" t="s">
        <v>348</v>
      </c>
      <c r="U106" t="s">
        <v>348</v>
      </c>
      <c r="V106" t="s">
        <v>348</v>
      </c>
      <c r="W106" t="s">
        <v>348</v>
      </c>
      <c r="X106" t="s">
        <v>348</v>
      </c>
      <c r="Y106" t="s">
        <v>348</v>
      </c>
      <c r="Z106" t="s">
        <v>348</v>
      </c>
      <c r="AA106" t="s">
        <v>348</v>
      </c>
      <c r="AB106" t="s">
        <v>348</v>
      </c>
      <c r="AC106" t="s">
        <v>348</v>
      </c>
      <c r="AD106" t="s">
        <v>348</v>
      </c>
      <c r="AE106">
        <v>115.59099999999999</v>
      </c>
      <c r="AF106" s="49" t="s">
        <v>4</v>
      </c>
      <c r="AG106">
        <v>1.262</v>
      </c>
      <c r="AH106" t="s">
        <v>4</v>
      </c>
      <c r="AI106" t="s">
        <v>4</v>
      </c>
      <c r="AJ106" t="s">
        <v>4</v>
      </c>
      <c r="AK106" t="s">
        <v>4</v>
      </c>
      <c r="AL106" t="s">
        <v>4</v>
      </c>
      <c r="AM106" t="s">
        <v>4</v>
      </c>
      <c r="AN106" t="s">
        <v>4</v>
      </c>
      <c r="AO106" t="s">
        <v>4</v>
      </c>
      <c r="AP106" s="49">
        <v>72.05</v>
      </c>
      <c r="AQ106" t="s">
        <v>348</v>
      </c>
      <c r="AR106" s="49">
        <v>0.73899999999999999</v>
      </c>
      <c r="AS106" t="s">
        <v>348</v>
      </c>
      <c r="AT106" t="s">
        <v>348</v>
      </c>
      <c r="AU106" t="s">
        <v>348</v>
      </c>
      <c r="AV106" t="s">
        <v>348</v>
      </c>
      <c r="AW106" t="s">
        <v>348</v>
      </c>
      <c r="AX106" s="49">
        <v>0.312</v>
      </c>
      <c r="AY106">
        <v>0.32500000000000001</v>
      </c>
      <c r="AZ106" t="s">
        <v>348</v>
      </c>
      <c r="BA106" t="s">
        <v>348</v>
      </c>
      <c r="BB106" t="s">
        <v>348</v>
      </c>
      <c r="BC106" t="s">
        <v>348</v>
      </c>
      <c r="BD106" t="s">
        <v>348</v>
      </c>
      <c r="BE106" t="s">
        <v>348</v>
      </c>
      <c r="BF106" t="s">
        <v>348</v>
      </c>
      <c r="BG106" t="s">
        <v>348</v>
      </c>
      <c r="BH106" s="49">
        <v>1006.5260000000001</v>
      </c>
      <c r="BI106" t="s">
        <v>348</v>
      </c>
      <c r="BJ106" t="s">
        <v>348</v>
      </c>
      <c r="BK106" t="s">
        <v>348</v>
      </c>
      <c r="BL106" t="s">
        <v>348</v>
      </c>
      <c r="BM106" t="s">
        <v>348</v>
      </c>
      <c r="BN106" t="s">
        <v>348</v>
      </c>
      <c r="BO106" t="s">
        <v>348</v>
      </c>
      <c r="BP106" t="s">
        <v>348</v>
      </c>
      <c r="BQ106" t="s">
        <v>348</v>
      </c>
      <c r="BR106" t="s">
        <v>348</v>
      </c>
      <c r="BS106" t="s">
        <v>348</v>
      </c>
      <c r="BT106" t="s">
        <v>348</v>
      </c>
      <c r="BU106" t="s">
        <v>348</v>
      </c>
      <c r="BV106" t="s">
        <v>348</v>
      </c>
      <c r="BW106" t="s">
        <v>348</v>
      </c>
      <c r="BX106" t="s">
        <v>348</v>
      </c>
      <c r="BY106" t="s">
        <v>348</v>
      </c>
      <c r="BZ106" s="49">
        <v>0.64700000000000002</v>
      </c>
      <c r="CB106" s="49">
        <v>0.25</v>
      </c>
      <c r="CC106" t="s">
        <v>4</v>
      </c>
      <c r="CD106" t="s">
        <v>348</v>
      </c>
      <c r="CE106" t="s">
        <v>348</v>
      </c>
    </row>
    <row r="107" spans="1:83" x14ac:dyDescent="0.25">
      <c r="A107" s="47" t="s">
        <v>367</v>
      </c>
      <c r="B107" s="48" t="s">
        <v>368</v>
      </c>
      <c r="C107" t="s">
        <v>348</v>
      </c>
      <c r="D107">
        <v>2E-3</v>
      </c>
      <c r="E107" t="s">
        <v>348</v>
      </c>
      <c r="F107" t="s">
        <v>348</v>
      </c>
      <c r="G107" t="s">
        <v>348</v>
      </c>
      <c r="H107" s="49">
        <v>0.13100000000000001</v>
      </c>
      <c r="I107" s="49" t="s">
        <v>4</v>
      </c>
      <c r="J107" s="49" t="s">
        <v>4</v>
      </c>
      <c r="K107" t="s">
        <v>348</v>
      </c>
      <c r="L107" t="s">
        <v>348</v>
      </c>
      <c r="M107" s="49">
        <v>7.6619999999999999</v>
      </c>
      <c r="N107" t="s">
        <v>348</v>
      </c>
      <c r="O107" t="s">
        <v>348</v>
      </c>
      <c r="P107" s="49">
        <v>4.0919999999999996</v>
      </c>
      <c r="Q107" s="49">
        <v>8.6000000000000007E-2</v>
      </c>
      <c r="R107" t="s">
        <v>348</v>
      </c>
      <c r="S107" t="s">
        <v>348</v>
      </c>
      <c r="T107" t="s">
        <v>348</v>
      </c>
      <c r="U107" t="s">
        <v>348</v>
      </c>
      <c r="V107" t="s">
        <v>348</v>
      </c>
      <c r="W107" t="s">
        <v>348</v>
      </c>
      <c r="X107" t="s">
        <v>348</v>
      </c>
      <c r="Y107" t="s">
        <v>348</v>
      </c>
      <c r="Z107" t="s">
        <v>348</v>
      </c>
      <c r="AA107" t="s">
        <v>348</v>
      </c>
      <c r="AB107" t="s">
        <v>348</v>
      </c>
      <c r="AC107" t="s">
        <v>348</v>
      </c>
      <c r="AD107" t="s">
        <v>348</v>
      </c>
      <c r="AE107">
        <v>5.4670000000000005</v>
      </c>
      <c r="AF107" s="49" t="s">
        <v>4</v>
      </c>
      <c r="AG107">
        <v>2.7999999999999997E-2</v>
      </c>
      <c r="AH107" t="s">
        <v>4</v>
      </c>
      <c r="AI107" t="s">
        <v>4</v>
      </c>
      <c r="AJ107" t="s">
        <v>4</v>
      </c>
      <c r="AK107" t="s">
        <v>4</v>
      </c>
      <c r="AL107" t="s">
        <v>4</v>
      </c>
      <c r="AM107" t="s">
        <v>4</v>
      </c>
      <c r="AN107" t="s">
        <v>4</v>
      </c>
      <c r="AO107" t="s">
        <v>4</v>
      </c>
      <c r="AP107" s="49">
        <v>21.550999999999998</v>
      </c>
      <c r="AQ107" t="s">
        <v>348</v>
      </c>
      <c r="AR107" s="49">
        <v>1.056</v>
      </c>
      <c r="AS107" t="s">
        <v>348</v>
      </c>
      <c r="AT107" t="s">
        <v>348</v>
      </c>
      <c r="AU107" t="s">
        <v>348</v>
      </c>
      <c r="AV107" t="s">
        <v>348</v>
      </c>
      <c r="AW107" t="s">
        <v>348</v>
      </c>
      <c r="AX107" s="49">
        <v>0.39</v>
      </c>
      <c r="AY107">
        <v>0.28699999999999998</v>
      </c>
      <c r="AZ107" t="s">
        <v>348</v>
      </c>
      <c r="BA107" t="s">
        <v>348</v>
      </c>
      <c r="BB107" t="s">
        <v>348</v>
      </c>
      <c r="BC107" t="s">
        <v>348</v>
      </c>
      <c r="BD107" t="s">
        <v>348</v>
      </c>
      <c r="BE107" t="s">
        <v>348</v>
      </c>
      <c r="BF107" t="s">
        <v>348</v>
      </c>
      <c r="BG107" t="s">
        <v>348</v>
      </c>
      <c r="BH107" s="49">
        <v>30.273999999999997</v>
      </c>
      <c r="BI107" t="s">
        <v>348</v>
      </c>
      <c r="BJ107" t="s">
        <v>348</v>
      </c>
      <c r="BK107" t="s">
        <v>348</v>
      </c>
      <c r="BL107" t="s">
        <v>348</v>
      </c>
      <c r="BM107" t="s">
        <v>348</v>
      </c>
      <c r="BN107" t="s">
        <v>348</v>
      </c>
      <c r="BO107" t="s">
        <v>348</v>
      </c>
      <c r="BP107" t="s">
        <v>348</v>
      </c>
      <c r="BQ107" t="s">
        <v>348</v>
      </c>
      <c r="BR107" t="s">
        <v>348</v>
      </c>
      <c r="BS107" t="s">
        <v>348</v>
      </c>
      <c r="BT107" t="s">
        <v>348</v>
      </c>
      <c r="BU107" t="s">
        <v>348</v>
      </c>
      <c r="BV107" t="s">
        <v>348</v>
      </c>
      <c r="BW107" t="s">
        <v>348</v>
      </c>
      <c r="BX107" t="s">
        <v>348</v>
      </c>
      <c r="BY107" t="s">
        <v>348</v>
      </c>
      <c r="BZ107" s="49">
        <v>0.44600000000000001</v>
      </c>
      <c r="CB107" s="49">
        <v>0.13300000000000001</v>
      </c>
      <c r="CC107" t="s">
        <v>4</v>
      </c>
      <c r="CD107" t="s">
        <v>348</v>
      </c>
      <c r="CE107" t="s">
        <v>348</v>
      </c>
    </row>
    <row r="108" spans="1:83" x14ac:dyDescent="0.25">
      <c r="A108" s="47" t="s">
        <v>369</v>
      </c>
      <c r="B108" s="48" t="s">
        <v>370</v>
      </c>
      <c r="C108" t="s">
        <v>348</v>
      </c>
      <c r="D108">
        <v>8.9999999999999993E-3</v>
      </c>
      <c r="E108" t="s">
        <v>348</v>
      </c>
      <c r="F108" t="s">
        <v>348</v>
      </c>
      <c r="G108" t="s">
        <v>348</v>
      </c>
      <c r="H108" s="49" t="s">
        <v>4</v>
      </c>
      <c r="I108" s="49" t="s">
        <v>4</v>
      </c>
      <c r="J108" s="49" t="s">
        <v>4</v>
      </c>
      <c r="K108" t="s">
        <v>348</v>
      </c>
      <c r="L108" t="s">
        <v>348</v>
      </c>
      <c r="M108" s="49">
        <v>5.4669999999999996</v>
      </c>
      <c r="N108" t="s">
        <v>348</v>
      </c>
      <c r="O108" t="s">
        <v>348</v>
      </c>
      <c r="P108" s="49">
        <v>2.3359999999999999</v>
      </c>
      <c r="Q108" s="49">
        <v>0.13899999999999998</v>
      </c>
      <c r="R108" t="s">
        <v>348</v>
      </c>
      <c r="S108" t="s">
        <v>348</v>
      </c>
      <c r="T108" t="s">
        <v>348</v>
      </c>
      <c r="U108" t="s">
        <v>348</v>
      </c>
      <c r="V108" t="s">
        <v>348</v>
      </c>
      <c r="W108" t="s">
        <v>348</v>
      </c>
      <c r="X108" t="s">
        <v>348</v>
      </c>
      <c r="Y108" t="s">
        <v>348</v>
      </c>
      <c r="Z108" t="s">
        <v>348</v>
      </c>
      <c r="AA108" t="s">
        <v>348</v>
      </c>
      <c r="AB108" t="s">
        <v>348</v>
      </c>
      <c r="AC108" t="s">
        <v>348</v>
      </c>
      <c r="AD108" t="s">
        <v>348</v>
      </c>
      <c r="AE108">
        <v>2.7000000000000003E-2</v>
      </c>
      <c r="AF108" s="49">
        <v>2.5000000000000001E-2</v>
      </c>
      <c r="AG108">
        <v>0.18599999999999997</v>
      </c>
      <c r="AH108" t="s">
        <v>4</v>
      </c>
      <c r="AI108" t="s">
        <v>4</v>
      </c>
      <c r="AJ108" t="s">
        <v>4</v>
      </c>
      <c r="AK108" t="s">
        <v>4</v>
      </c>
      <c r="AL108" t="s">
        <v>4</v>
      </c>
      <c r="AM108" t="s">
        <v>4</v>
      </c>
      <c r="AN108" t="s">
        <v>4</v>
      </c>
      <c r="AO108" t="s">
        <v>4</v>
      </c>
      <c r="AP108" s="49">
        <v>0.222</v>
      </c>
      <c r="AQ108" t="s">
        <v>348</v>
      </c>
      <c r="AR108" s="49">
        <v>0.44700000000000001</v>
      </c>
      <c r="AS108" t="s">
        <v>348</v>
      </c>
      <c r="AT108" t="s">
        <v>348</v>
      </c>
      <c r="AU108" t="s">
        <v>348</v>
      </c>
      <c r="AV108" t="s">
        <v>348</v>
      </c>
      <c r="AW108" t="s">
        <v>348</v>
      </c>
      <c r="AX108" s="49">
        <v>8.2000000000000003E-2</v>
      </c>
      <c r="AY108">
        <v>9.8000000000000004E-2</v>
      </c>
      <c r="AZ108" t="s">
        <v>348</v>
      </c>
      <c r="BA108" t="s">
        <v>348</v>
      </c>
      <c r="BB108" t="s">
        <v>348</v>
      </c>
      <c r="BC108" t="s">
        <v>348</v>
      </c>
      <c r="BD108" t="s">
        <v>348</v>
      </c>
      <c r="BE108" t="s">
        <v>348</v>
      </c>
      <c r="BF108" t="s">
        <v>348</v>
      </c>
      <c r="BG108" t="s">
        <v>348</v>
      </c>
      <c r="BH108" s="49">
        <v>0.23599999999999999</v>
      </c>
      <c r="BI108" t="s">
        <v>348</v>
      </c>
      <c r="BJ108" t="s">
        <v>348</v>
      </c>
      <c r="BK108" t="s">
        <v>348</v>
      </c>
      <c r="BL108" t="s">
        <v>348</v>
      </c>
      <c r="BM108" t="s">
        <v>348</v>
      </c>
      <c r="BN108" t="s">
        <v>348</v>
      </c>
      <c r="BO108" t="s">
        <v>348</v>
      </c>
      <c r="BP108" t="s">
        <v>348</v>
      </c>
      <c r="BQ108" t="s">
        <v>348</v>
      </c>
      <c r="BR108" t="s">
        <v>348</v>
      </c>
      <c r="BS108" t="s">
        <v>348</v>
      </c>
      <c r="BT108" t="s">
        <v>348</v>
      </c>
      <c r="BU108" t="s">
        <v>348</v>
      </c>
      <c r="BV108" t="s">
        <v>348</v>
      </c>
      <c r="BW108" t="s">
        <v>348</v>
      </c>
      <c r="BX108" t="s">
        <v>348</v>
      </c>
      <c r="BY108" t="s">
        <v>348</v>
      </c>
      <c r="BZ108" s="49">
        <v>0.39300000000000002</v>
      </c>
      <c r="CB108" s="49">
        <v>1.7000000000000001E-2</v>
      </c>
      <c r="CC108" t="s">
        <v>4</v>
      </c>
      <c r="CD108" t="s">
        <v>348</v>
      </c>
      <c r="CE108" t="s">
        <v>348</v>
      </c>
    </row>
    <row r="109" spans="1:83" x14ac:dyDescent="0.25">
      <c r="A109" s="47" t="s">
        <v>371</v>
      </c>
      <c r="B109" s="48" t="s">
        <v>372</v>
      </c>
      <c r="C109" t="s">
        <v>348</v>
      </c>
      <c r="D109">
        <v>8.9999999999999993E-3</v>
      </c>
      <c r="E109" t="s">
        <v>348</v>
      </c>
      <c r="F109" t="s">
        <v>348</v>
      </c>
      <c r="G109" t="s">
        <v>348</v>
      </c>
      <c r="H109" s="49" t="s">
        <v>4</v>
      </c>
      <c r="I109" s="49" t="s">
        <v>4</v>
      </c>
      <c r="J109" s="49" t="s">
        <v>4</v>
      </c>
      <c r="K109" t="s">
        <v>348</v>
      </c>
      <c r="L109" t="s">
        <v>348</v>
      </c>
      <c r="M109" s="49">
        <v>5.0259999999999998</v>
      </c>
      <c r="N109" t="s">
        <v>348</v>
      </c>
      <c r="O109" t="s">
        <v>348</v>
      </c>
      <c r="P109" s="49">
        <v>3.879</v>
      </c>
      <c r="Q109" s="49">
        <v>0.27699999999999997</v>
      </c>
      <c r="R109" t="s">
        <v>348</v>
      </c>
      <c r="S109" t="s">
        <v>348</v>
      </c>
      <c r="T109" t="s">
        <v>348</v>
      </c>
      <c r="U109" t="s">
        <v>348</v>
      </c>
      <c r="V109" t="s">
        <v>348</v>
      </c>
      <c r="W109" t="s">
        <v>348</v>
      </c>
      <c r="X109" t="s">
        <v>348</v>
      </c>
      <c r="Y109" t="s">
        <v>348</v>
      </c>
      <c r="Z109" t="s">
        <v>348</v>
      </c>
      <c r="AA109" t="s">
        <v>348</v>
      </c>
      <c r="AB109" t="s">
        <v>348</v>
      </c>
      <c r="AC109" t="s">
        <v>348</v>
      </c>
      <c r="AD109" t="s">
        <v>348</v>
      </c>
      <c r="AE109">
        <v>1.0999999999999999E-2</v>
      </c>
      <c r="AF109" s="49">
        <v>2.4E-2</v>
      </c>
      <c r="AG109">
        <v>0.20599999999999999</v>
      </c>
      <c r="AH109" t="s">
        <v>4</v>
      </c>
      <c r="AI109" t="s">
        <v>4</v>
      </c>
      <c r="AJ109" t="s">
        <v>4</v>
      </c>
      <c r="AK109" t="s">
        <v>4</v>
      </c>
      <c r="AL109" t="s">
        <v>4</v>
      </c>
      <c r="AM109" t="s">
        <v>4</v>
      </c>
      <c r="AN109" t="s">
        <v>4</v>
      </c>
      <c r="AO109" t="s">
        <v>4</v>
      </c>
      <c r="AP109" s="49">
        <v>0.26100000000000001</v>
      </c>
      <c r="AQ109" t="s">
        <v>348</v>
      </c>
      <c r="AR109" s="49">
        <v>0.86899999999999999</v>
      </c>
      <c r="AS109" t="s">
        <v>348</v>
      </c>
      <c r="AT109" t="s">
        <v>348</v>
      </c>
      <c r="AU109" t="s">
        <v>348</v>
      </c>
      <c r="AV109" t="s">
        <v>348</v>
      </c>
      <c r="AW109" t="s">
        <v>348</v>
      </c>
      <c r="AX109" s="49">
        <v>6.3E-2</v>
      </c>
      <c r="AY109">
        <v>8.8999999999999996E-2</v>
      </c>
      <c r="AZ109" t="s">
        <v>348</v>
      </c>
      <c r="BA109" t="s">
        <v>348</v>
      </c>
      <c r="BB109" t="s">
        <v>348</v>
      </c>
      <c r="BC109" t="s">
        <v>348</v>
      </c>
      <c r="BD109" t="s">
        <v>348</v>
      </c>
      <c r="BE109" t="s">
        <v>348</v>
      </c>
      <c r="BF109" t="s">
        <v>348</v>
      </c>
      <c r="BG109" t="s">
        <v>348</v>
      </c>
      <c r="BH109" s="49">
        <v>0.192</v>
      </c>
      <c r="BI109" t="s">
        <v>348</v>
      </c>
      <c r="BJ109" t="s">
        <v>348</v>
      </c>
      <c r="BK109" t="s">
        <v>348</v>
      </c>
      <c r="BL109" t="s">
        <v>348</v>
      </c>
      <c r="BM109" t="s">
        <v>348</v>
      </c>
      <c r="BN109" t="s">
        <v>348</v>
      </c>
      <c r="BO109" t="s">
        <v>348</v>
      </c>
      <c r="BP109" t="s">
        <v>348</v>
      </c>
      <c r="BQ109" t="s">
        <v>348</v>
      </c>
      <c r="BR109" t="s">
        <v>348</v>
      </c>
      <c r="BS109" t="s">
        <v>348</v>
      </c>
      <c r="BT109" t="s">
        <v>348</v>
      </c>
      <c r="BU109" t="s">
        <v>348</v>
      </c>
      <c r="BV109" t="s">
        <v>348</v>
      </c>
      <c r="BW109" t="s">
        <v>348</v>
      </c>
      <c r="BX109" t="s">
        <v>348</v>
      </c>
      <c r="BY109" t="s">
        <v>348</v>
      </c>
      <c r="BZ109" s="49">
        <v>0.39500000000000002</v>
      </c>
      <c r="CB109" s="49">
        <v>2.3E-2</v>
      </c>
      <c r="CC109" t="s">
        <v>4</v>
      </c>
      <c r="CD109" t="s">
        <v>348</v>
      </c>
      <c r="CE109" t="s">
        <v>348</v>
      </c>
    </row>
    <row r="110" spans="1:83" x14ac:dyDescent="0.25">
      <c r="A110" s="47" t="s">
        <v>373</v>
      </c>
      <c r="B110" s="48" t="s">
        <v>374</v>
      </c>
      <c r="C110" t="s">
        <v>348</v>
      </c>
      <c r="D110">
        <v>0.01</v>
      </c>
      <c r="E110" t="s">
        <v>348</v>
      </c>
      <c r="F110" t="s">
        <v>348</v>
      </c>
      <c r="G110" t="s">
        <v>348</v>
      </c>
      <c r="H110" s="49" t="s">
        <v>4</v>
      </c>
      <c r="I110" s="49" t="s">
        <v>4</v>
      </c>
      <c r="J110" s="49" t="s">
        <v>4</v>
      </c>
      <c r="K110" t="s">
        <v>348</v>
      </c>
      <c r="L110" t="s">
        <v>348</v>
      </c>
      <c r="M110" s="49">
        <v>1.68</v>
      </c>
      <c r="N110" t="s">
        <v>348</v>
      </c>
      <c r="O110" t="s">
        <v>348</v>
      </c>
      <c r="P110" s="49">
        <v>2.0630000000000002</v>
      </c>
      <c r="Q110" s="49">
        <v>0.11900000000000001</v>
      </c>
      <c r="R110" t="s">
        <v>348</v>
      </c>
      <c r="S110" t="s">
        <v>348</v>
      </c>
      <c r="T110" t="s">
        <v>348</v>
      </c>
      <c r="U110" t="s">
        <v>348</v>
      </c>
      <c r="V110" t="s">
        <v>348</v>
      </c>
      <c r="W110" t="s">
        <v>348</v>
      </c>
      <c r="X110" t="s">
        <v>348</v>
      </c>
      <c r="Y110" t="s">
        <v>348</v>
      </c>
      <c r="Z110" t="s">
        <v>348</v>
      </c>
      <c r="AA110" t="s">
        <v>348</v>
      </c>
      <c r="AB110" t="s">
        <v>348</v>
      </c>
      <c r="AC110" t="s">
        <v>348</v>
      </c>
      <c r="AD110" t="s">
        <v>348</v>
      </c>
      <c r="AE110">
        <v>3.6999999999999998E-2</v>
      </c>
      <c r="AF110" t="s">
        <v>4</v>
      </c>
      <c r="AG110">
        <v>0.25700000000000001</v>
      </c>
      <c r="AH110" t="s">
        <v>4</v>
      </c>
      <c r="AI110" t="s">
        <v>4</v>
      </c>
      <c r="AJ110" t="s">
        <v>4</v>
      </c>
      <c r="AK110" t="s">
        <v>4</v>
      </c>
      <c r="AL110" t="s">
        <v>4</v>
      </c>
      <c r="AM110" t="s">
        <v>4</v>
      </c>
      <c r="AN110" t="s">
        <v>4</v>
      </c>
      <c r="AO110" t="s">
        <v>4</v>
      </c>
      <c r="AP110" s="49">
        <v>1.4159999999999999</v>
      </c>
      <c r="AQ110" t="s">
        <v>348</v>
      </c>
      <c r="AR110" s="49">
        <v>0.59899999999999998</v>
      </c>
      <c r="AS110" t="s">
        <v>348</v>
      </c>
      <c r="AT110" t="s">
        <v>348</v>
      </c>
      <c r="AU110" t="s">
        <v>348</v>
      </c>
      <c r="AV110" t="s">
        <v>348</v>
      </c>
      <c r="AW110" t="s">
        <v>348</v>
      </c>
      <c r="AX110" s="49">
        <v>9.1999999999999998E-2</v>
      </c>
      <c r="AY110">
        <v>6.6000000000000003E-2</v>
      </c>
      <c r="AZ110" t="s">
        <v>348</v>
      </c>
      <c r="BA110" t="s">
        <v>348</v>
      </c>
      <c r="BB110" t="s">
        <v>348</v>
      </c>
      <c r="BC110" t="s">
        <v>348</v>
      </c>
      <c r="BD110" t="s">
        <v>348</v>
      </c>
      <c r="BE110" t="s">
        <v>348</v>
      </c>
      <c r="BF110" t="s">
        <v>348</v>
      </c>
      <c r="BG110" t="s">
        <v>348</v>
      </c>
      <c r="BH110" s="49" t="s">
        <v>4</v>
      </c>
      <c r="BI110" t="s">
        <v>348</v>
      </c>
      <c r="BJ110" t="s">
        <v>348</v>
      </c>
      <c r="BK110" t="s">
        <v>348</v>
      </c>
      <c r="BL110" t="s">
        <v>348</v>
      </c>
      <c r="BM110" t="s">
        <v>348</v>
      </c>
      <c r="BN110" t="s">
        <v>348</v>
      </c>
      <c r="BO110" t="s">
        <v>348</v>
      </c>
      <c r="BP110" t="s">
        <v>348</v>
      </c>
      <c r="BQ110" t="s">
        <v>348</v>
      </c>
      <c r="BR110" t="s">
        <v>348</v>
      </c>
      <c r="BS110" t="s">
        <v>348</v>
      </c>
      <c r="BT110" t="s">
        <v>348</v>
      </c>
      <c r="BU110" t="s">
        <v>348</v>
      </c>
      <c r="BV110" t="s">
        <v>348</v>
      </c>
      <c r="BW110" t="s">
        <v>348</v>
      </c>
      <c r="BX110" t="s">
        <v>348</v>
      </c>
      <c r="BY110" t="s">
        <v>348</v>
      </c>
      <c r="BZ110" s="49">
        <v>0.22700000000000001</v>
      </c>
      <c r="CB110" s="49">
        <v>3.3000000000000002E-2</v>
      </c>
      <c r="CC110" t="s">
        <v>4</v>
      </c>
      <c r="CD110" t="s">
        <v>348</v>
      </c>
      <c r="CE110" t="s">
        <v>348</v>
      </c>
    </row>
    <row r="111" spans="1:83" x14ac:dyDescent="0.25">
      <c r="A111" s="47" t="s">
        <v>375</v>
      </c>
      <c r="B111" s="48" t="s">
        <v>376</v>
      </c>
      <c r="C111" t="s">
        <v>348</v>
      </c>
      <c r="D111">
        <v>5.0000000000000001E-3</v>
      </c>
      <c r="E111" t="s">
        <v>348</v>
      </c>
      <c r="F111" t="s">
        <v>348</v>
      </c>
      <c r="G111" t="s">
        <v>348</v>
      </c>
      <c r="H111" s="49">
        <v>2.1999999999999999E-2</v>
      </c>
      <c r="I111" s="49" t="s">
        <v>4</v>
      </c>
      <c r="J111" s="49" t="s">
        <v>4</v>
      </c>
      <c r="K111" t="s">
        <v>348</v>
      </c>
      <c r="L111" t="s">
        <v>348</v>
      </c>
      <c r="M111" s="49">
        <v>1.8360000000000001</v>
      </c>
      <c r="N111" t="s">
        <v>348</v>
      </c>
      <c r="O111" t="s">
        <v>348</v>
      </c>
      <c r="P111" s="49">
        <v>4.7190000000000003</v>
      </c>
      <c r="Q111" s="49">
        <v>0.39400000000000002</v>
      </c>
      <c r="R111" t="s">
        <v>348</v>
      </c>
      <c r="S111" t="s">
        <v>348</v>
      </c>
      <c r="T111" t="s">
        <v>348</v>
      </c>
      <c r="U111" t="s">
        <v>348</v>
      </c>
      <c r="V111" t="s">
        <v>348</v>
      </c>
      <c r="W111" t="s">
        <v>348</v>
      </c>
      <c r="X111" t="s">
        <v>348</v>
      </c>
      <c r="Y111" t="s">
        <v>348</v>
      </c>
      <c r="Z111" t="s">
        <v>348</v>
      </c>
      <c r="AA111" t="s">
        <v>348</v>
      </c>
      <c r="AB111" t="s">
        <v>348</v>
      </c>
      <c r="AC111" t="s">
        <v>348</v>
      </c>
      <c r="AD111" t="s">
        <v>348</v>
      </c>
      <c r="AE111">
        <v>2.7000000000000003E-2</v>
      </c>
      <c r="AF111" t="s">
        <v>4</v>
      </c>
      <c r="AG111">
        <v>0.35799999999999998</v>
      </c>
      <c r="AH111" t="s">
        <v>4</v>
      </c>
      <c r="AI111" t="s">
        <v>4</v>
      </c>
      <c r="AJ111" t="s">
        <v>4</v>
      </c>
      <c r="AK111" t="s">
        <v>4</v>
      </c>
      <c r="AL111" t="s">
        <v>4</v>
      </c>
      <c r="AM111" t="s">
        <v>4</v>
      </c>
      <c r="AN111" t="s">
        <v>4</v>
      </c>
      <c r="AO111" t="s">
        <v>4</v>
      </c>
      <c r="AP111" s="49">
        <v>1.681</v>
      </c>
      <c r="AQ111" t="s">
        <v>348</v>
      </c>
      <c r="AR111" s="49">
        <v>0.97599999999999998</v>
      </c>
      <c r="AS111" t="s">
        <v>348</v>
      </c>
      <c r="AT111" t="s">
        <v>348</v>
      </c>
      <c r="AU111" t="s">
        <v>348</v>
      </c>
      <c r="AV111" t="s">
        <v>348</v>
      </c>
      <c r="AW111" t="s">
        <v>348</v>
      </c>
      <c r="AX111" s="49">
        <v>0.16900000000000001</v>
      </c>
      <c r="AY111">
        <v>0.26400000000000001</v>
      </c>
      <c r="AZ111" t="s">
        <v>348</v>
      </c>
      <c r="BA111" t="s">
        <v>348</v>
      </c>
      <c r="BB111" t="s">
        <v>348</v>
      </c>
      <c r="BC111" t="s">
        <v>348</v>
      </c>
      <c r="BD111" t="s">
        <v>348</v>
      </c>
      <c r="BE111" t="s">
        <v>348</v>
      </c>
      <c r="BF111" t="s">
        <v>348</v>
      </c>
      <c r="BG111" t="s">
        <v>348</v>
      </c>
      <c r="BH111" s="49" t="s">
        <v>4</v>
      </c>
      <c r="BI111" t="s">
        <v>348</v>
      </c>
      <c r="BJ111" t="s">
        <v>348</v>
      </c>
      <c r="BK111" t="s">
        <v>348</v>
      </c>
      <c r="BL111" t="s">
        <v>348</v>
      </c>
      <c r="BM111" t="s">
        <v>348</v>
      </c>
      <c r="BN111" t="s">
        <v>348</v>
      </c>
      <c r="BO111" t="s">
        <v>348</v>
      </c>
      <c r="BP111" t="s">
        <v>348</v>
      </c>
      <c r="BQ111" t="s">
        <v>348</v>
      </c>
      <c r="BR111" t="s">
        <v>348</v>
      </c>
      <c r="BS111" t="s">
        <v>348</v>
      </c>
      <c r="BT111" t="s">
        <v>348</v>
      </c>
      <c r="BU111" t="s">
        <v>348</v>
      </c>
      <c r="BV111" t="s">
        <v>348</v>
      </c>
      <c r="BW111" t="s">
        <v>348</v>
      </c>
      <c r="BX111" t="s">
        <v>348</v>
      </c>
      <c r="BY111" t="s">
        <v>348</v>
      </c>
      <c r="BZ111" s="49">
        <v>0.28100000000000003</v>
      </c>
      <c r="CB111" s="49">
        <v>4.7E-2</v>
      </c>
      <c r="CC111" t="s">
        <v>4</v>
      </c>
      <c r="CD111" t="s">
        <v>348</v>
      </c>
      <c r="CE111" t="s">
        <v>348</v>
      </c>
    </row>
    <row r="112" spans="1:83" x14ac:dyDescent="0.25">
      <c r="A112" s="47" t="s">
        <v>377</v>
      </c>
      <c r="B112" s="48" t="s">
        <v>378</v>
      </c>
      <c r="C112" t="s">
        <v>348</v>
      </c>
      <c r="D112">
        <v>4.0000000000000001E-3</v>
      </c>
      <c r="E112" t="s">
        <v>348</v>
      </c>
      <c r="F112" t="s">
        <v>348</v>
      </c>
      <c r="G112" t="s">
        <v>348</v>
      </c>
      <c r="H112" s="49">
        <v>0.33300000000000002</v>
      </c>
      <c r="I112" s="49">
        <v>0.17899999999999999</v>
      </c>
      <c r="J112" s="49">
        <v>0.309</v>
      </c>
      <c r="K112" t="s">
        <v>348</v>
      </c>
      <c r="L112" t="s">
        <v>348</v>
      </c>
      <c r="M112" s="49">
        <v>19.681999999999999</v>
      </c>
      <c r="N112" t="s">
        <v>348</v>
      </c>
      <c r="O112" t="s">
        <v>348</v>
      </c>
      <c r="P112" s="49">
        <v>2.8860000000000001</v>
      </c>
      <c r="Q112" s="49">
        <v>0.154</v>
      </c>
      <c r="R112" t="s">
        <v>348</v>
      </c>
      <c r="S112" t="s">
        <v>348</v>
      </c>
      <c r="T112" t="s">
        <v>348</v>
      </c>
      <c r="U112" t="s">
        <v>348</v>
      </c>
      <c r="V112" t="s">
        <v>348</v>
      </c>
      <c r="W112" t="s">
        <v>348</v>
      </c>
      <c r="X112" t="s">
        <v>348</v>
      </c>
      <c r="Y112" t="s">
        <v>348</v>
      </c>
      <c r="Z112" t="s">
        <v>348</v>
      </c>
      <c r="AA112" t="s">
        <v>348</v>
      </c>
      <c r="AB112" t="s">
        <v>348</v>
      </c>
      <c r="AC112" t="s">
        <v>348</v>
      </c>
      <c r="AD112" t="s">
        <v>348</v>
      </c>
      <c r="AE112">
        <v>7.9999999999999988E-2</v>
      </c>
      <c r="AF112" t="s">
        <v>4</v>
      </c>
      <c r="AG112">
        <v>0.14099999999999999</v>
      </c>
      <c r="AH112" t="s">
        <v>4</v>
      </c>
      <c r="AI112" t="s">
        <v>4</v>
      </c>
      <c r="AJ112" t="s">
        <v>4</v>
      </c>
      <c r="AK112" t="s">
        <v>4</v>
      </c>
      <c r="AL112" t="s">
        <v>4</v>
      </c>
      <c r="AM112" t="s">
        <v>4</v>
      </c>
      <c r="AN112" t="s">
        <v>4</v>
      </c>
      <c r="AO112" t="s">
        <v>4</v>
      </c>
      <c r="AP112" s="49">
        <v>9.8420000000000005</v>
      </c>
      <c r="AQ112" t="s">
        <v>348</v>
      </c>
      <c r="AR112" s="49">
        <v>0.68899999999999995</v>
      </c>
      <c r="AS112" t="s">
        <v>348</v>
      </c>
      <c r="AT112" t="s">
        <v>348</v>
      </c>
      <c r="AU112" t="s">
        <v>348</v>
      </c>
      <c r="AV112" t="s">
        <v>348</v>
      </c>
      <c r="AW112" t="s">
        <v>348</v>
      </c>
      <c r="AX112" s="49">
        <v>0.34799999999999998</v>
      </c>
      <c r="AY112">
        <v>0.16800000000000001</v>
      </c>
      <c r="AZ112" t="s">
        <v>348</v>
      </c>
      <c r="BA112" t="s">
        <v>348</v>
      </c>
      <c r="BB112" t="s">
        <v>348</v>
      </c>
      <c r="BC112" t="s">
        <v>348</v>
      </c>
      <c r="BD112" t="s">
        <v>348</v>
      </c>
      <c r="BE112" t="s">
        <v>348</v>
      </c>
      <c r="BF112" t="s">
        <v>348</v>
      </c>
      <c r="BG112" t="s">
        <v>348</v>
      </c>
      <c r="BH112" s="49">
        <v>0.25900000000000001</v>
      </c>
      <c r="BI112" t="s">
        <v>348</v>
      </c>
      <c r="BJ112" t="s">
        <v>348</v>
      </c>
      <c r="BK112" t="s">
        <v>348</v>
      </c>
      <c r="BL112" t="s">
        <v>348</v>
      </c>
      <c r="BM112" t="s">
        <v>348</v>
      </c>
      <c r="BN112" t="s">
        <v>348</v>
      </c>
      <c r="BO112" t="s">
        <v>348</v>
      </c>
      <c r="BP112" t="s">
        <v>348</v>
      </c>
      <c r="BQ112" t="s">
        <v>348</v>
      </c>
      <c r="BR112" t="s">
        <v>348</v>
      </c>
      <c r="BS112" t="s">
        <v>348</v>
      </c>
      <c r="BT112" t="s">
        <v>348</v>
      </c>
      <c r="BU112" t="s">
        <v>348</v>
      </c>
      <c r="BV112" t="s">
        <v>348</v>
      </c>
      <c r="BW112" t="s">
        <v>348</v>
      </c>
      <c r="BX112" t="s">
        <v>348</v>
      </c>
      <c r="BY112" t="s">
        <v>348</v>
      </c>
      <c r="BZ112" s="49">
        <v>0.17199999999999999</v>
      </c>
      <c r="CB112" s="49">
        <v>0.108</v>
      </c>
      <c r="CC112" t="s">
        <v>4</v>
      </c>
      <c r="CD112" t="s">
        <v>348</v>
      </c>
      <c r="CE112" t="s">
        <v>348</v>
      </c>
    </row>
    <row r="113" spans="1:91" x14ac:dyDescent="0.25">
      <c r="A113" s="47" t="s">
        <v>379</v>
      </c>
      <c r="B113" s="48" t="s">
        <v>380</v>
      </c>
      <c r="C113" t="s">
        <v>348</v>
      </c>
      <c r="D113">
        <v>3.0000000000000001E-3</v>
      </c>
      <c r="E113" t="s">
        <v>348</v>
      </c>
      <c r="F113" t="s">
        <v>348</v>
      </c>
      <c r="G113" t="s">
        <v>348</v>
      </c>
      <c r="H113" s="49">
        <v>0.56200000000000006</v>
      </c>
      <c r="I113" s="49">
        <v>0.58899999999999997</v>
      </c>
      <c r="J113" s="49">
        <v>0.66100000000000003</v>
      </c>
      <c r="K113" t="s">
        <v>348</v>
      </c>
      <c r="L113" t="s">
        <v>348</v>
      </c>
      <c r="M113" s="49">
        <v>22.25</v>
      </c>
      <c r="N113" t="s">
        <v>348</v>
      </c>
      <c r="O113" t="s">
        <v>348</v>
      </c>
      <c r="P113" s="49">
        <v>7.3540000000000001</v>
      </c>
      <c r="Q113" s="49">
        <v>0.438</v>
      </c>
      <c r="R113" t="s">
        <v>348</v>
      </c>
      <c r="S113" t="s">
        <v>348</v>
      </c>
      <c r="T113" t="s">
        <v>348</v>
      </c>
      <c r="U113" t="s">
        <v>348</v>
      </c>
      <c r="V113" t="s">
        <v>348</v>
      </c>
      <c r="W113" t="s">
        <v>348</v>
      </c>
      <c r="X113" t="s">
        <v>348</v>
      </c>
      <c r="Y113" t="s">
        <v>348</v>
      </c>
      <c r="Z113" t="s">
        <v>348</v>
      </c>
      <c r="AA113" t="s">
        <v>348</v>
      </c>
      <c r="AB113" t="s">
        <v>348</v>
      </c>
      <c r="AC113" t="s">
        <v>348</v>
      </c>
      <c r="AD113" t="s">
        <v>348</v>
      </c>
      <c r="AE113">
        <v>7.3999999999999996E-2</v>
      </c>
      <c r="AF113" t="s">
        <v>4</v>
      </c>
      <c r="AG113">
        <v>8.5999999999999993E-2</v>
      </c>
      <c r="AH113" t="s">
        <v>4</v>
      </c>
      <c r="AI113" t="s">
        <v>4</v>
      </c>
      <c r="AJ113" t="s">
        <v>4</v>
      </c>
      <c r="AK113" t="s">
        <v>4</v>
      </c>
      <c r="AL113" t="s">
        <v>4</v>
      </c>
      <c r="AM113" t="s">
        <v>4</v>
      </c>
      <c r="AN113" t="s">
        <v>4</v>
      </c>
      <c r="AO113" t="s">
        <v>4</v>
      </c>
      <c r="AP113" s="49">
        <v>54.238999999999997</v>
      </c>
      <c r="AQ113" t="s">
        <v>348</v>
      </c>
      <c r="AR113" s="49">
        <v>1.68</v>
      </c>
      <c r="AS113" t="s">
        <v>348</v>
      </c>
      <c r="AT113" t="s">
        <v>348</v>
      </c>
      <c r="AU113" t="s">
        <v>348</v>
      </c>
      <c r="AV113" t="s">
        <v>348</v>
      </c>
      <c r="AW113" t="s">
        <v>348</v>
      </c>
      <c r="AX113" s="49">
        <v>0.441</v>
      </c>
      <c r="AY113">
        <v>0.17599999999999999</v>
      </c>
      <c r="AZ113" t="s">
        <v>348</v>
      </c>
      <c r="BA113" t="s">
        <v>348</v>
      </c>
      <c r="BB113" t="s">
        <v>348</v>
      </c>
      <c r="BC113" t="s">
        <v>348</v>
      </c>
      <c r="BD113" t="s">
        <v>348</v>
      </c>
      <c r="BE113" t="s">
        <v>348</v>
      </c>
      <c r="BF113" t="s">
        <v>348</v>
      </c>
      <c r="BG113" t="s">
        <v>348</v>
      </c>
      <c r="BH113" s="49">
        <v>0.254</v>
      </c>
      <c r="BI113" t="s">
        <v>348</v>
      </c>
      <c r="BJ113" t="s">
        <v>348</v>
      </c>
      <c r="BK113" t="s">
        <v>348</v>
      </c>
      <c r="BL113" t="s">
        <v>348</v>
      </c>
      <c r="BM113" t="s">
        <v>348</v>
      </c>
      <c r="BN113" t="s">
        <v>348</v>
      </c>
      <c r="BO113" t="s">
        <v>348</v>
      </c>
      <c r="BP113" t="s">
        <v>348</v>
      </c>
      <c r="BQ113" t="s">
        <v>348</v>
      </c>
      <c r="BR113" t="s">
        <v>348</v>
      </c>
      <c r="BS113" t="s">
        <v>348</v>
      </c>
      <c r="BT113" t="s">
        <v>348</v>
      </c>
      <c r="BU113" t="s">
        <v>348</v>
      </c>
      <c r="BV113" t="s">
        <v>348</v>
      </c>
      <c r="BW113" t="s">
        <v>348</v>
      </c>
      <c r="BX113" t="s">
        <v>348</v>
      </c>
      <c r="BY113" t="s">
        <v>348</v>
      </c>
      <c r="BZ113" s="49">
        <v>0.32300000000000001</v>
      </c>
      <c r="CB113" s="49">
        <v>0.11899999999999999</v>
      </c>
      <c r="CC113" t="s">
        <v>4</v>
      </c>
      <c r="CD113" t="s">
        <v>348</v>
      </c>
      <c r="CE113" t="s">
        <v>348</v>
      </c>
      <c r="CM113">
        <f>91+70+65+70</f>
        <v>296</v>
      </c>
    </row>
    <row r="114" spans="1:91" x14ac:dyDescent="0.25">
      <c r="A114" s="47" t="s">
        <v>381</v>
      </c>
      <c r="B114" s="48" t="s">
        <v>382</v>
      </c>
      <c r="C114" t="s">
        <v>348</v>
      </c>
      <c r="D114">
        <v>3.0000000000000001E-3</v>
      </c>
      <c r="E114" t="s">
        <v>348</v>
      </c>
      <c r="F114" t="s">
        <v>348</v>
      </c>
      <c r="G114" t="s">
        <v>348</v>
      </c>
      <c r="H114" s="49">
        <v>0.158</v>
      </c>
      <c r="I114" s="49" t="s">
        <v>4</v>
      </c>
      <c r="J114" s="49" t="s">
        <v>4</v>
      </c>
      <c r="K114" t="s">
        <v>348</v>
      </c>
      <c r="L114" t="s">
        <v>348</v>
      </c>
      <c r="M114" s="49">
        <v>2.5329999999999999</v>
      </c>
      <c r="N114" t="s">
        <v>348</v>
      </c>
      <c r="O114" t="s">
        <v>348</v>
      </c>
      <c r="P114" s="49">
        <v>2.7730000000000001</v>
      </c>
      <c r="Q114" s="49">
        <v>7.400000000000001E-2</v>
      </c>
      <c r="R114" t="s">
        <v>348</v>
      </c>
      <c r="S114" t="s">
        <v>348</v>
      </c>
      <c r="T114" t="s">
        <v>348</v>
      </c>
      <c r="U114" t="s">
        <v>348</v>
      </c>
      <c r="V114" t="s">
        <v>348</v>
      </c>
      <c r="W114" t="s">
        <v>348</v>
      </c>
      <c r="X114" t="s">
        <v>348</v>
      </c>
      <c r="Y114" t="s">
        <v>348</v>
      </c>
      <c r="Z114" t="s">
        <v>348</v>
      </c>
      <c r="AA114" t="s">
        <v>348</v>
      </c>
      <c r="AB114" t="s">
        <v>348</v>
      </c>
      <c r="AC114" t="s">
        <v>348</v>
      </c>
      <c r="AD114" t="s">
        <v>348</v>
      </c>
      <c r="AE114">
        <v>0.36199999999999999</v>
      </c>
      <c r="AF114" t="s">
        <v>4</v>
      </c>
      <c r="AG114">
        <v>0.26700000000000002</v>
      </c>
      <c r="AH114" t="s">
        <v>4</v>
      </c>
      <c r="AI114" t="s">
        <v>4</v>
      </c>
      <c r="AJ114" t="s">
        <v>4</v>
      </c>
      <c r="AK114" t="s">
        <v>4</v>
      </c>
      <c r="AL114" t="s">
        <v>4</v>
      </c>
      <c r="AM114" t="s">
        <v>4</v>
      </c>
      <c r="AN114" t="s">
        <v>4</v>
      </c>
      <c r="AO114" t="s">
        <v>4</v>
      </c>
      <c r="AP114" s="49">
        <v>2.7879999999999998</v>
      </c>
      <c r="AQ114" t="s">
        <v>348</v>
      </c>
      <c r="AR114" s="49">
        <v>0.78700000000000003</v>
      </c>
      <c r="AS114" t="s">
        <v>348</v>
      </c>
      <c r="AT114" t="s">
        <v>348</v>
      </c>
      <c r="AU114" t="s">
        <v>348</v>
      </c>
      <c r="AV114" t="s">
        <v>348</v>
      </c>
      <c r="AW114" t="s">
        <v>348</v>
      </c>
      <c r="AX114" s="49">
        <v>3.4079999999999999</v>
      </c>
      <c r="AY114">
        <v>1.109</v>
      </c>
      <c r="AZ114" t="s">
        <v>348</v>
      </c>
      <c r="BA114" t="s">
        <v>348</v>
      </c>
      <c r="BB114" t="s">
        <v>348</v>
      </c>
      <c r="BC114" t="s">
        <v>348</v>
      </c>
      <c r="BD114" t="s">
        <v>348</v>
      </c>
      <c r="BE114" t="s">
        <v>348</v>
      </c>
      <c r="BF114" t="s">
        <v>348</v>
      </c>
      <c r="BG114" t="s">
        <v>348</v>
      </c>
      <c r="BH114" s="49">
        <v>2.681</v>
      </c>
      <c r="BI114" t="s">
        <v>348</v>
      </c>
      <c r="BJ114" t="s">
        <v>348</v>
      </c>
      <c r="BK114" t="s">
        <v>348</v>
      </c>
      <c r="BL114" t="s">
        <v>348</v>
      </c>
      <c r="BM114" t="s">
        <v>348</v>
      </c>
      <c r="BN114" t="s">
        <v>348</v>
      </c>
      <c r="BO114" t="s">
        <v>348</v>
      </c>
      <c r="BP114" t="s">
        <v>348</v>
      </c>
      <c r="BQ114" t="s">
        <v>348</v>
      </c>
      <c r="BR114" t="s">
        <v>348</v>
      </c>
      <c r="BS114" t="s">
        <v>348</v>
      </c>
      <c r="BT114" t="s">
        <v>348</v>
      </c>
      <c r="BU114" t="s">
        <v>348</v>
      </c>
      <c r="BV114" t="s">
        <v>348</v>
      </c>
      <c r="BW114" t="s">
        <v>348</v>
      </c>
      <c r="BX114" t="s">
        <v>348</v>
      </c>
      <c r="BY114" t="s">
        <v>348</v>
      </c>
      <c r="BZ114" s="49">
        <v>0.67</v>
      </c>
      <c r="CB114" s="49">
        <v>0.43</v>
      </c>
      <c r="CC114" t="s">
        <v>4</v>
      </c>
      <c r="CD114" t="s">
        <v>348</v>
      </c>
      <c r="CE114" t="s">
        <v>348</v>
      </c>
      <c r="CM114">
        <f>CM113/4</f>
        <v>74</v>
      </c>
    </row>
    <row r="115" spans="1:91" x14ac:dyDescent="0.25">
      <c r="A115" s="47" t="s">
        <v>383</v>
      </c>
      <c r="B115" s="48" t="s">
        <v>384</v>
      </c>
      <c r="C115" t="s">
        <v>348</v>
      </c>
      <c r="D115">
        <v>2E-3</v>
      </c>
      <c r="E115" t="s">
        <v>348</v>
      </c>
      <c r="F115" t="s">
        <v>348</v>
      </c>
      <c r="G115" t="s">
        <v>348</v>
      </c>
      <c r="H115" s="49">
        <v>0.27800000000000002</v>
      </c>
      <c r="I115" s="49">
        <v>0.40600000000000003</v>
      </c>
      <c r="J115" s="49">
        <v>1.012</v>
      </c>
      <c r="K115" t="s">
        <v>348</v>
      </c>
      <c r="L115" t="s">
        <v>348</v>
      </c>
      <c r="M115" s="49">
        <v>2.9239999999999999</v>
      </c>
      <c r="N115" t="s">
        <v>348</v>
      </c>
      <c r="O115" t="s">
        <v>348</v>
      </c>
      <c r="P115" s="49">
        <v>5.0439999999999996</v>
      </c>
      <c r="Q115" s="49">
        <v>0.17199999999999999</v>
      </c>
      <c r="R115" t="s">
        <v>348</v>
      </c>
      <c r="S115" t="s">
        <v>348</v>
      </c>
      <c r="T115" t="s">
        <v>348</v>
      </c>
      <c r="U115" t="s">
        <v>348</v>
      </c>
      <c r="V115" t="s">
        <v>348</v>
      </c>
      <c r="W115" t="s">
        <v>348</v>
      </c>
      <c r="X115" t="s">
        <v>348</v>
      </c>
      <c r="Y115" t="s">
        <v>348</v>
      </c>
      <c r="Z115" t="s">
        <v>348</v>
      </c>
      <c r="AA115" t="s">
        <v>348</v>
      </c>
      <c r="AB115" t="s">
        <v>348</v>
      </c>
      <c r="AC115" t="s">
        <v>348</v>
      </c>
      <c r="AD115" t="s">
        <v>348</v>
      </c>
      <c r="AE115">
        <v>5.5E-2</v>
      </c>
      <c r="AF115" t="s">
        <v>4</v>
      </c>
      <c r="AG115">
        <v>0.11499999999999999</v>
      </c>
      <c r="AH115" t="s">
        <v>4</v>
      </c>
      <c r="AI115" t="s">
        <v>4</v>
      </c>
      <c r="AJ115" t="s">
        <v>4</v>
      </c>
      <c r="AK115" t="s">
        <v>4</v>
      </c>
      <c r="AL115" t="s">
        <v>4</v>
      </c>
      <c r="AM115" t="s">
        <v>4</v>
      </c>
      <c r="AN115" t="s">
        <v>4</v>
      </c>
      <c r="AO115" t="s">
        <v>4</v>
      </c>
      <c r="AP115" s="49">
        <v>5.2480000000000002</v>
      </c>
      <c r="AQ115" t="s">
        <v>348</v>
      </c>
      <c r="AR115" s="49">
        <v>1.087</v>
      </c>
      <c r="AS115" t="s">
        <v>348</v>
      </c>
      <c r="AT115" t="s">
        <v>348</v>
      </c>
      <c r="AU115" t="s">
        <v>348</v>
      </c>
      <c r="AV115" t="s">
        <v>348</v>
      </c>
      <c r="AW115" t="s">
        <v>348</v>
      </c>
      <c r="AX115" s="49">
        <v>9.5619999999999994</v>
      </c>
      <c r="AY115">
        <v>1.742</v>
      </c>
      <c r="AZ115" t="s">
        <v>348</v>
      </c>
      <c r="BA115" t="s">
        <v>348</v>
      </c>
      <c r="BB115" t="s">
        <v>348</v>
      </c>
      <c r="BC115" t="s">
        <v>348</v>
      </c>
      <c r="BD115" t="s">
        <v>348</v>
      </c>
      <c r="BE115" t="s">
        <v>348</v>
      </c>
      <c r="BF115" t="s">
        <v>348</v>
      </c>
      <c r="BG115" t="s">
        <v>348</v>
      </c>
      <c r="BH115" s="49">
        <v>1.383</v>
      </c>
      <c r="BI115" t="s">
        <v>348</v>
      </c>
      <c r="BJ115" t="s">
        <v>348</v>
      </c>
      <c r="BK115" t="s">
        <v>348</v>
      </c>
      <c r="BL115" t="s">
        <v>348</v>
      </c>
      <c r="BM115" t="s">
        <v>348</v>
      </c>
      <c r="BN115" t="s">
        <v>348</v>
      </c>
      <c r="BO115" t="s">
        <v>348</v>
      </c>
      <c r="BP115" t="s">
        <v>348</v>
      </c>
      <c r="BQ115" t="s">
        <v>348</v>
      </c>
      <c r="BR115" t="s">
        <v>348</v>
      </c>
      <c r="BS115" t="s">
        <v>348</v>
      </c>
      <c r="BT115" t="s">
        <v>348</v>
      </c>
      <c r="BU115" t="s">
        <v>348</v>
      </c>
      <c r="BV115" t="s">
        <v>348</v>
      </c>
      <c r="BW115" t="s">
        <v>348</v>
      </c>
      <c r="BX115" t="s">
        <v>348</v>
      </c>
      <c r="BY115" t="s">
        <v>348</v>
      </c>
      <c r="BZ115" s="49">
        <v>0.57099999999999995</v>
      </c>
      <c r="CB115" s="49">
        <v>0.56799999999999995</v>
      </c>
      <c r="CC115" t="s">
        <v>4</v>
      </c>
      <c r="CD115" t="s">
        <v>348</v>
      </c>
      <c r="CE115" t="s">
        <v>348</v>
      </c>
    </row>
    <row r="116" spans="1:91" x14ac:dyDescent="0.25">
      <c r="A116" s="47" t="s">
        <v>385</v>
      </c>
      <c r="B116" s="48" t="s">
        <v>386</v>
      </c>
      <c r="C116" t="s">
        <v>348</v>
      </c>
      <c r="D116">
        <v>4.0000000000000001E-3</v>
      </c>
      <c r="E116" t="s">
        <v>348</v>
      </c>
      <c r="F116" t="s">
        <v>348</v>
      </c>
      <c r="G116" t="s">
        <v>348</v>
      </c>
      <c r="H116" s="49">
        <v>9.4E-2</v>
      </c>
      <c r="I116" t="s">
        <v>4</v>
      </c>
      <c r="J116" t="s">
        <v>4</v>
      </c>
      <c r="K116" t="s">
        <v>348</v>
      </c>
      <c r="L116" t="s">
        <v>348</v>
      </c>
      <c r="M116" s="49">
        <v>9.359</v>
      </c>
      <c r="N116" t="s">
        <v>348</v>
      </c>
      <c r="O116" t="s">
        <v>348</v>
      </c>
      <c r="P116" s="49">
        <v>2.1779999999999999</v>
      </c>
      <c r="Q116" s="49">
        <v>4.1999999999999996E-2</v>
      </c>
      <c r="R116" t="s">
        <v>348</v>
      </c>
      <c r="S116" t="s">
        <v>348</v>
      </c>
      <c r="T116" t="s">
        <v>348</v>
      </c>
      <c r="U116" t="s">
        <v>348</v>
      </c>
      <c r="V116" t="s">
        <v>348</v>
      </c>
      <c r="W116" t="s">
        <v>348</v>
      </c>
      <c r="X116" t="s">
        <v>348</v>
      </c>
      <c r="Y116" t="s">
        <v>348</v>
      </c>
      <c r="Z116" t="s">
        <v>348</v>
      </c>
      <c r="AA116" t="s">
        <v>348</v>
      </c>
      <c r="AB116" t="s">
        <v>348</v>
      </c>
      <c r="AC116" t="s">
        <v>348</v>
      </c>
      <c r="AD116" t="s">
        <v>348</v>
      </c>
      <c r="AE116">
        <v>68.792000000000002</v>
      </c>
      <c r="AF116" t="s">
        <v>4</v>
      </c>
      <c r="AG116">
        <v>0.377</v>
      </c>
      <c r="AH116" t="s">
        <v>4</v>
      </c>
      <c r="AI116" t="s">
        <v>4</v>
      </c>
      <c r="AJ116" t="s">
        <v>4</v>
      </c>
      <c r="AK116" t="s">
        <v>4</v>
      </c>
      <c r="AL116" t="s">
        <v>4</v>
      </c>
      <c r="AM116" t="s">
        <v>4</v>
      </c>
      <c r="AN116" t="s">
        <v>4</v>
      </c>
      <c r="AO116" t="s">
        <v>4</v>
      </c>
      <c r="AP116" s="49">
        <v>54.744999999999997</v>
      </c>
      <c r="AQ116" t="s">
        <v>348</v>
      </c>
      <c r="AR116" s="49">
        <v>0.81299999999999994</v>
      </c>
      <c r="AS116" t="s">
        <v>348</v>
      </c>
      <c r="AT116" t="s">
        <v>348</v>
      </c>
      <c r="AU116" t="s">
        <v>348</v>
      </c>
      <c r="AV116" t="s">
        <v>348</v>
      </c>
      <c r="AW116" t="s">
        <v>348</v>
      </c>
      <c r="AX116" s="49">
        <v>0.30599999999999999</v>
      </c>
      <c r="AY116">
        <v>0.42</v>
      </c>
      <c r="AZ116" t="s">
        <v>348</v>
      </c>
      <c r="BA116" t="s">
        <v>348</v>
      </c>
      <c r="BB116" t="s">
        <v>348</v>
      </c>
      <c r="BC116" t="s">
        <v>348</v>
      </c>
      <c r="BD116" t="s">
        <v>348</v>
      </c>
      <c r="BE116" t="s">
        <v>348</v>
      </c>
      <c r="BF116" t="s">
        <v>348</v>
      </c>
      <c r="BG116" t="s">
        <v>348</v>
      </c>
      <c r="BH116" s="49">
        <v>305.06299999999999</v>
      </c>
      <c r="BI116" t="s">
        <v>348</v>
      </c>
      <c r="BJ116" t="s">
        <v>348</v>
      </c>
      <c r="BK116" t="s">
        <v>348</v>
      </c>
      <c r="BL116" t="s">
        <v>348</v>
      </c>
      <c r="BM116" t="s">
        <v>348</v>
      </c>
      <c r="BN116" t="s">
        <v>348</v>
      </c>
      <c r="BO116" t="s">
        <v>348</v>
      </c>
      <c r="BP116" t="s">
        <v>348</v>
      </c>
      <c r="BQ116" t="s">
        <v>348</v>
      </c>
      <c r="BR116" t="s">
        <v>348</v>
      </c>
      <c r="BS116" t="s">
        <v>348</v>
      </c>
      <c r="BT116" t="s">
        <v>348</v>
      </c>
      <c r="BU116" t="s">
        <v>348</v>
      </c>
      <c r="BV116" t="s">
        <v>348</v>
      </c>
      <c r="BW116" t="s">
        <v>348</v>
      </c>
      <c r="BX116" t="s">
        <v>348</v>
      </c>
      <c r="BY116" t="s">
        <v>348</v>
      </c>
      <c r="BZ116" s="49">
        <v>1.2909999999999999</v>
      </c>
      <c r="CB116" s="49">
        <v>0.23899999999999999</v>
      </c>
      <c r="CC116" t="s">
        <v>4</v>
      </c>
      <c r="CD116" t="s">
        <v>348</v>
      </c>
      <c r="CE116" t="s">
        <v>348</v>
      </c>
    </row>
    <row r="117" spans="1:91" x14ac:dyDescent="0.25">
      <c r="A117" s="47" t="s">
        <v>387</v>
      </c>
      <c r="B117" s="48" t="s">
        <v>388</v>
      </c>
      <c r="C117" t="s">
        <v>348</v>
      </c>
      <c r="D117">
        <v>4.0000000000000001E-3</v>
      </c>
      <c r="E117" t="s">
        <v>348</v>
      </c>
      <c r="F117" t="s">
        <v>348</v>
      </c>
      <c r="G117" t="s">
        <v>348</v>
      </c>
      <c r="H117" s="49">
        <v>0.12</v>
      </c>
      <c r="I117" t="s">
        <v>4</v>
      </c>
      <c r="J117" t="s">
        <v>4</v>
      </c>
      <c r="K117" t="s">
        <v>348</v>
      </c>
      <c r="L117" t="s">
        <v>348</v>
      </c>
      <c r="M117" s="49">
        <v>7.61</v>
      </c>
      <c r="N117" t="s">
        <v>348</v>
      </c>
      <c r="O117" t="s">
        <v>348</v>
      </c>
      <c r="P117" s="49">
        <v>3.5529999999999999</v>
      </c>
      <c r="Q117" s="49">
        <v>9.7000000000000003E-2</v>
      </c>
      <c r="R117" t="s">
        <v>348</v>
      </c>
      <c r="S117" t="s">
        <v>348</v>
      </c>
      <c r="T117" t="s">
        <v>348</v>
      </c>
      <c r="U117" t="s">
        <v>348</v>
      </c>
      <c r="V117" t="s">
        <v>348</v>
      </c>
      <c r="W117" t="s">
        <v>348</v>
      </c>
      <c r="X117" t="s">
        <v>348</v>
      </c>
      <c r="Y117" t="s">
        <v>348</v>
      </c>
      <c r="Z117" t="s">
        <v>348</v>
      </c>
      <c r="AA117" t="s">
        <v>348</v>
      </c>
      <c r="AB117" t="s">
        <v>348</v>
      </c>
      <c r="AC117" t="s">
        <v>348</v>
      </c>
      <c r="AD117" t="s">
        <v>348</v>
      </c>
      <c r="AE117">
        <v>19.292999999999999</v>
      </c>
      <c r="AF117" t="s">
        <v>4</v>
      </c>
      <c r="AG117">
        <v>0.17400000000000002</v>
      </c>
      <c r="AH117" t="s">
        <v>4</v>
      </c>
      <c r="AI117" t="s">
        <v>4</v>
      </c>
      <c r="AJ117" t="s">
        <v>4</v>
      </c>
      <c r="AK117" t="s">
        <v>4</v>
      </c>
      <c r="AL117" t="s">
        <v>4</v>
      </c>
      <c r="AM117" t="s">
        <v>4</v>
      </c>
      <c r="AN117" t="s">
        <v>4</v>
      </c>
      <c r="AO117" t="s">
        <v>4</v>
      </c>
      <c r="AP117" s="49">
        <v>15.795999999999999</v>
      </c>
      <c r="AQ117" t="s">
        <v>348</v>
      </c>
      <c r="AR117" s="49">
        <v>0.89400000000000002</v>
      </c>
      <c r="AS117" t="s">
        <v>348</v>
      </c>
      <c r="AT117" t="s">
        <v>348</v>
      </c>
      <c r="AU117" t="s">
        <v>348</v>
      </c>
      <c r="AV117" t="s">
        <v>348</v>
      </c>
      <c r="AW117" t="s">
        <v>348</v>
      </c>
      <c r="AX117" s="49">
        <v>0.316</v>
      </c>
      <c r="AY117">
        <v>0.434</v>
      </c>
      <c r="AZ117" t="s">
        <v>348</v>
      </c>
      <c r="BA117" t="s">
        <v>348</v>
      </c>
      <c r="BB117" t="s">
        <v>348</v>
      </c>
      <c r="BC117" t="s">
        <v>348</v>
      </c>
      <c r="BD117" t="s">
        <v>348</v>
      </c>
      <c r="BE117" t="s">
        <v>348</v>
      </c>
      <c r="BF117" t="s">
        <v>348</v>
      </c>
      <c r="BG117" t="s">
        <v>348</v>
      </c>
      <c r="BH117" s="49">
        <v>108.741</v>
      </c>
      <c r="BI117" t="s">
        <v>348</v>
      </c>
      <c r="BJ117" t="s">
        <v>348</v>
      </c>
      <c r="BK117" t="s">
        <v>348</v>
      </c>
      <c r="BL117" t="s">
        <v>348</v>
      </c>
      <c r="BM117" t="s">
        <v>348</v>
      </c>
      <c r="BN117" t="s">
        <v>348</v>
      </c>
      <c r="BO117" t="s">
        <v>348</v>
      </c>
      <c r="BP117" t="s">
        <v>348</v>
      </c>
      <c r="BQ117" t="s">
        <v>348</v>
      </c>
      <c r="BR117" t="s">
        <v>348</v>
      </c>
      <c r="BS117" t="s">
        <v>348</v>
      </c>
      <c r="BT117" t="s">
        <v>348</v>
      </c>
      <c r="BU117" t="s">
        <v>348</v>
      </c>
      <c r="BV117" t="s">
        <v>348</v>
      </c>
      <c r="BW117" t="s">
        <v>348</v>
      </c>
      <c r="BX117" t="s">
        <v>348</v>
      </c>
      <c r="BY117" t="s">
        <v>348</v>
      </c>
      <c r="BZ117" s="49">
        <v>0.42599999999999999</v>
      </c>
      <c r="CB117" s="49">
        <v>0.28999999999999998</v>
      </c>
      <c r="CC117" t="s">
        <v>4</v>
      </c>
      <c r="CD117" t="s">
        <v>348</v>
      </c>
      <c r="CE117" t="s">
        <v>348</v>
      </c>
    </row>
  </sheetData>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6F731-706A-42B4-8989-CFFBF0320002}">
  <dimension ref="A1:Y32"/>
  <sheetViews>
    <sheetView workbookViewId="0">
      <selection activeCell="B19" sqref="B19"/>
    </sheetView>
  </sheetViews>
  <sheetFormatPr defaultRowHeight="13.8" x14ac:dyDescent="0.25"/>
  <sheetData>
    <row r="1" spans="1:25" x14ac:dyDescent="0.25">
      <c r="D1" t="s">
        <v>695</v>
      </c>
      <c r="E1" t="s">
        <v>690</v>
      </c>
      <c r="H1" t="s">
        <v>452</v>
      </c>
      <c r="T1" t="s">
        <v>558</v>
      </c>
    </row>
    <row r="2" spans="1:25" ht="55.2" customHeight="1" x14ac:dyDescent="0.25">
      <c r="A2" s="43" t="s">
        <v>687</v>
      </c>
      <c r="B2" s="43" t="s">
        <v>685</v>
      </c>
      <c r="C2" s="43" t="s">
        <v>684</v>
      </c>
      <c r="D2" s="43" t="s">
        <v>686</v>
      </c>
      <c r="E2" s="43" t="s">
        <v>691</v>
      </c>
      <c r="F2" s="43" t="s">
        <v>683</v>
      </c>
      <c r="G2" s="43" t="s">
        <v>696</v>
      </c>
      <c r="H2" s="32" t="s">
        <v>448</v>
      </c>
      <c r="I2" s="32" t="s">
        <v>449</v>
      </c>
      <c r="J2" s="32" t="s">
        <v>450</v>
      </c>
      <c r="K2" s="32" t="s">
        <v>469</v>
      </c>
      <c r="L2" s="32"/>
      <c r="M2" s="32" t="s">
        <v>470</v>
      </c>
      <c r="N2" s="32" t="s">
        <v>451</v>
      </c>
      <c r="O2" s="32" t="s">
        <v>449</v>
      </c>
      <c r="P2" t="s">
        <v>450</v>
      </c>
      <c r="Q2" t="s">
        <v>469</v>
      </c>
      <c r="R2" t="s">
        <v>470</v>
      </c>
    </row>
    <row r="3" spans="1:25" x14ac:dyDescent="0.25">
      <c r="B3" t="s">
        <v>688</v>
      </c>
      <c r="G3" t="s">
        <v>697</v>
      </c>
      <c r="H3" t="s">
        <v>466</v>
      </c>
      <c r="I3">
        <v>0.89</v>
      </c>
      <c r="J3">
        <v>72</v>
      </c>
      <c r="K3" s="64">
        <v>5.7999999999999996E-3</v>
      </c>
      <c r="L3" t="s">
        <v>471</v>
      </c>
      <c r="M3">
        <v>1500</v>
      </c>
      <c r="N3" t="s">
        <v>472</v>
      </c>
      <c r="T3" t="s">
        <v>552</v>
      </c>
    </row>
    <row r="4" spans="1:25" x14ac:dyDescent="0.25">
      <c r="H4" t="s">
        <v>463</v>
      </c>
      <c r="I4">
        <v>3.18</v>
      </c>
      <c r="J4">
        <v>330</v>
      </c>
      <c r="K4">
        <v>15</v>
      </c>
      <c r="L4" t="s">
        <v>471</v>
      </c>
      <c r="M4">
        <v>1500</v>
      </c>
      <c r="N4" t="s">
        <v>472</v>
      </c>
    </row>
    <row r="5" spans="1:25" x14ac:dyDescent="0.25">
      <c r="A5" t="s">
        <v>688</v>
      </c>
      <c r="B5" t="s">
        <v>688</v>
      </c>
      <c r="D5" t="s">
        <v>694</v>
      </c>
      <c r="E5" t="s">
        <v>689</v>
      </c>
      <c r="F5" t="s">
        <v>507</v>
      </c>
      <c r="G5" t="s">
        <v>698</v>
      </c>
      <c r="H5" t="s">
        <v>453</v>
      </c>
      <c r="I5">
        <v>2.3199999999999998</v>
      </c>
      <c r="J5">
        <f>AVERAGE(73,123)</f>
        <v>98</v>
      </c>
      <c r="K5">
        <v>322</v>
      </c>
      <c r="M5">
        <v>15</v>
      </c>
      <c r="N5" t="s">
        <v>472</v>
      </c>
      <c r="O5" s="44">
        <f>AVERAGE(I3:I6)</f>
        <v>2.1725000000000003</v>
      </c>
      <c r="P5" s="44">
        <f>AVERAGE(J3:J6)</f>
        <v>176.25</v>
      </c>
      <c r="Q5" s="72">
        <f>AVERAGE(K3:K6)</f>
        <v>108.00145000000001</v>
      </c>
      <c r="R5" s="44">
        <f>AVERAGE(M3:M6)</f>
        <v>755.5</v>
      </c>
      <c r="T5" s="44">
        <v>2.1300000000000003</v>
      </c>
      <c r="U5" s="44">
        <v>166.66666666666666</v>
      </c>
      <c r="V5" s="44">
        <v>108.00145000000001</v>
      </c>
      <c r="W5" s="44">
        <v>755.5</v>
      </c>
    </row>
    <row r="6" spans="1:25" x14ac:dyDescent="0.25">
      <c r="A6" t="s">
        <v>688</v>
      </c>
      <c r="B6" t="s">
        <v>689</v>
      </c>
      <c r="D6" t="s">
        <v>688</v>
      </c>
      <c r="E6" t="s">
        <v>689</v>
      </c>
      <c r="F6">
        <v>0.2</v>
      </c>
      <c r="G6" t="s">
        <v>699</v>
      </c>
      <c r="H6" t="s">
        <v>456</v>
      </c>
      <c r="I6">
        <v>2.2999999999999998</v>
      </c>
      <c r="J6">
        <v>205</v>
      </c>
      <c r="K6">
        <v>95</v>
      </c>
      <c r="M6">
        <v>7</v>
      </c>
      <c r="N6" t="s">
        <v>472</v>
      </c>
      <c r="O6">
        <f>_xlfn.STDEV.P(I3:I6)</f>
        <v>0.82126046416468768</v>
      </c>
      <c r="P6">
        <f>_xlfn.STDEV.P(J3:J6)</f>
        <v>101.80465362644283</v>
      </c>
      <c r="Q6">
        <f>_xlfn.STDEV.P(K3:K6)</f>
        <v>128.72135334243305</v>
      </c>
      <c r="R6">
        <f>_xlfn.STDEV.P(M3:M6)</f>
        <v>744.50537271399196</v>
      </c>
      <c r="T6">
        <v>0.94449280921914147</v>
      </c>
      <c r="U6">
        <v>115.9808413297453</v>
      </c>
      <c r="V6">
        <v>128.72135334243305</v>
      </c>
      <c r="W6">
        <v>744.50537271399196</v>
      </c>
    </row>
    <row r="7" spans="1:25" x14ac:dyDescent="0.25">
      <c r="A7" t="s">
        <v>688</v>
      </c>
      <c r="B7" t="s">
        <v>689</v>
      </c>
      <c r="E7" t="s">
        <v>692</v>
      </c>
      <c r="G7" t="s">
        <v>700</v>
      </c>
      <c r="H7" t="s">
        <v>459</v>
      </c>
      <c r="J7">
        <v>1000</v>
      </c>
      <c r="K7">
        <v>2.8</v>
      </c>
      <c r="M7">
        <v>150</v>
      </c>
      <c r="N7" t="s">
        <v>473</v>
      </c>
      <c r="T7" s="44">
        <v>4.28</v>
      </c>
      <c r="U7" s="44">
        <v>1062</v>
      </c>
      <c r="V7" s="44">
        <v>112.26666666666667</v>
      </c>
      <c r="W7" s="44">
        <v>77.266666666666666</v>
      </c>
    </row>
    <row r="8" spans="1:25" x14ac:dyDescent="0.25">
      <c r="A8" t="s">
        <v>688</v>
      </c>
      <c r="B8" t="s">
        <v>689</v>
      </c>
      <c r="D8" t="s">
        <v>688</v>
      </c>
      <c r="E8" t="s">
        <v>689</v>
      </c>
      <c r="F8">
        <v>1</v>
      </c>
      <c r="G8" t="s">
        <v>700</v>
      </c>
      <c r="H8" t="s">
        <v>701</v>
      </c>
      <c r="I8">
        <v>1.26</v>
      </c>
      <c r="J8">
        <v>1100</v>
      </c>
      <c r="K8">
        <v>184</v>
      </c>
      <c r="M8">
        <v>3.8</v>
      </c>
      <c r="N8" t="s">
        <v>473</v>
      </c>
      <c r="P8" t="s">
        <v>676</v>
      </c>
      <c r="T8">
        <v>1.6835700949063002</v>
      </c>
      <c r="U8">
        <v>7936.0589207248213</v>
      </c>
      <c r="V8">
        <v>15750.355226050799</v>
      </c>
      <c r="W8">
        <v>153.25949245773447</v>
      </c>
    </row>
    <row r="9" spans="1:25" x14ac:dyDescent="0.25">
      <c r="E9" t="s">
        <v>689</v>
      </c>
      <c r="F9">
        <v>0.05</v>
      </c>
      <c r="H9" t="s">
        <v>455</v>
      </c>
      <c r="N9" t="s">
        <v>473</v>
      </c>
      <c r="O9" s="44">
        <f>AVERAGE(I7:I10,I20)</f>
        <v>3.77</v>
      </c>
      <c r="P9" s="44">
        <f>AVERAGE(J7:J10,J20)</f>
        <v>7546.5</v>
      </c>
      <c r="Q9" s="44">
        <f>AVERAGE(K7:K10,K20)</f>
        <v>85.075000000000003</v>
      </c>
      <c r="R9" s="44">
        <f>AVERAGE(M7:M10,L20)</f>
        <v>77.266666666666666</v>
      </c>
      <c r="T9" s="44">
        <v>1.8340000000000001</v>
      </c>
      <c r="U9" s="44">
        <v>391.25</v>
      </c>
      <c r="V9" s="44">
        <v>11483.166666666666</v>
      </c>
      <c r="W9" s="44">
        <v>113.11666666666667</v>
      </c>
    </row>
    <row r="10" spans="1:25" x14ac:dyDescent="0.25">
      <c r="A10" t="s">
        <v>688</v>
      </c>
      <c r="B10" t="s">
        <v>688</v>
      </c>
      <c r="D10" t="s">
        <v>689</v>
      </c>
      <c r="E10" t="s">
        <v>692</v>
      </c>
      <c r="G10" t="s">
        <v>702</v>
      </c>
      <c r="H10" t="s">
        <v>476</v>
      </c>
      <c r="I10">
        <v>7.3</v>
      </c>
      <c r="J10">
        <v>1086</v>
      </c>
      <c r="K10">
        <v>150</v>
      </c>
      <c r="M10">
        <f>AVERAGE(60,96)</f>
        <v>78</v>
      </c>
      <c r="N10" t="s">
        <v>473</v>
      </c>
      <c r="O10" s="44">
        <f>AVERAGE(I7:I10)</f>
        <v>4.28</v>
      </c>
      <c r="P10" s="44">
        <f>AVERAGE(J7:J10)</f>
        <v>1062</v>
      </c>
      <c r="Q10" s="44">
        <f>AVERAGE(K7:K10)</f>
        <v>112.26666666666667</v>
      </c>
      <c r="R10" s="44">
        <f>AVERAGE(M7:M10)</f>
        <v>77.266666666666666</v>
      </c>
      <c r="T10">
        <v>0.83060590705791648</v>
      </c>
      <c r="U10">
        <v>9333.4261666143157</v>
      </c>
      <c r="V10">
        <v>17244.984019435291</v>
      </c>
      <c r="W10">
        <v>140.17667919054469</v>
      </c>
    </row>
    <row r="11" spans="1:25" x14ac:dyDescent="0.25">
      <c r="A11" t="s">
        <v>688</v>
      </c>
      <c r="B11" t="s">
        <v>689</v>
      </c>
      <c r="D11" t="s">
        <v>694</v>
      </c>
      <c r="E11" t="s">
        <v>689</v>
      </c>
      <c r="F11" t="s">
        <v>507</v>
      </c>
      <c r="G11" t="s">
        <v>702</v>
      </c>
      <c r="H11" t="s">
        <v>551</v>
      </c>
      <c r="I11">
        <v>1.79</v>
      </c>
      <c r="J11">
        <f>AVERAGE(80,130)</f>
        <v>105</v>
      </c>
      <c r="K11">
        <v>2500</v>
      </c>
      <c r="M11">
        <v>400</v>
      </c>
      <c r="N11" t="s">
        <v>474</v>
      </c>
      <c r="O11">
        <f>_xlfn.STDEV.P(I7:I100)</f>
        <v>1.612234415873943</v>
      </c>
      <c r="P11">
        <f t="shared" ref="P11:Q11" si="0">_xlfn.STDEV.P(J7:J100)</f>
        <v>7608.4158135826201</v>
      </c>
      <c r="Q11">
        <f t="shared" si="0"/>
        <v>15221.628584093782</v>
      </c>
      <c r="R11">
        <f>_xlfn.STDEV.P(M7:M100)</f>
        <v>152.66343027756884</v>
      </c>
    </row>
    <row r="12" spans="1:25" x14ac:dyDescent="0.25">
      <c r="A12" t="s">
        <v>689</v>
      </c>
      <c r="B12" t="s">
        <v>689</v>
      </c>
      <c r="D12" t="s">
        <v>694</v>
      </c>
      <c r="E12" t="s">
        <v>692</v>
      </c>
      <c r="G12" t="s">
        <v>702</v>
      </c>
      <c r="H12" t="s">
        <v>461</v>
      </c>
      <c r="I12">
        <v>1.7</v>
      </c>
      <c r="J12">
        <v>60</v>
      </c>
      <c r="K12">
        <v>10700</v>
      </c>
      <c r="M12">
        <v>7</v>
      </c>
      <c r="N12" t="s">
        <v>474</v>
      </c>
    </row>
    <row r="13" spans="1:25" x14ac:dyDescent="0.25">
      <c r="A13" t="s">
        <v>688</v>
      </c>
      <c r="B13" t="s">
        <v>689</v>
      </c>
      <c r="D13" t="s">
        <v>688</v>
      </c>
      <c r="E13" t="s">
        <v>689</v>
      </c>
      <c r="F13">
        <v>0.2</v>
      </c>
      <c r="G13" t="s">
        <v>703</v>
      </c>
      <c r="H13" t="s">
        <v>454</v>
      </c>
      <c r="I13">
        <v>2.9</v>
      </c>
      <c r="J13">
        <v>900</v>
      </c>
      <c r="K13">
        <v>93</v>
      </c>
      <c r="M13">
        <v>142</v>
      </c>
      <c r="N13" t="s">
        <v>474</v>
      </c>
      <c r="O13" s="44"/>
      <c r="P13" s="44"/>
      <c r="Q13" s="44"/>
      <c r="R13" s="44"/>
    </row>
    <row r="14" spans="1:25" x14ac:dyDescent="0.25">
      <c r="A14" t="s">
        <v>693</v>
      </c>
      <c r="B14" t="s">
        <v>689</v>
      </c>
      <c r="D14" t="s">
        <v>689</v>
      </c>
      <c r="E14" t="s">
        <v>689</v>
      </c>
      <c r="F14">
        <v>1</v>
      </c>
      <c r="G14" t="s">
        <v>704</v>
      </c>
      <c r="H14" t="s">
        <v>460</v>
      </c>
      <c r="I14">
        <v>0.6</v>
      </c>
      <c r="J14" t="s">
        <v>467</v>
      </c>
      <c r="K14">
        <v>55000</v>
      </c>
      <c r="M14">
        <v>7</v>
      </c>
      <c r="N14" t="s">
        <v>474</v>
      </c>
    </row>
    <row r="15" spans="1:25" x14ac:dyDescent="0.25">
      <c r="A15" t="s">
        <v>688</v>
      </c>
      <c r="B15" t="s">
        <v>688</v>
      </c>
      <c r="D15" t="s">
        <v>694</v>
      </c>
      <c r="E15" t="s">
        <v>692</v>
      </c>
      <c r="G15" t="s">
        <v>703</v>
      </c>
      <c r="H15" t="s">
        <v>464</v>
      </c>
      <c r="I15">
        <v>2.1800000000000002</v>
      </c>
      <c r="J15" t="s">
        <v>468</v>
      </c>
      <c r="K15">
        <v>580</v>
      </c>
      <c r="M15">
        <v>2.7</v>
      </c>
      <c r="N15" t="s">
        <v>474</v>
      </c>
    </row>
    <row r="16" spans="1:25" x14ac:dyDescent="0.25">
      <c r="A16" t="s">
        <v>688</v>
      </c>
      <c r="B16" t="s">
        <v>689</v>
      </c>
      <c r="D16" t="s">
        <v>689</v>
      </c>
      <c r="E16" t="s">
        <v>689</v>
      </c>
      <c r="G16" t="s">
        <v>702</v>
      </c>
      <c r="H16" t="s">
        <v>465</v>
      </c>
      <c r="J16">
        <v>500</v>
      </c>
      <c r="K16">
        <v>26</v>
      </c>
      <c r="M16">
        <v>120</v>
      </c>
      <c r="N16" t="s">
        <v>474</v>
      </c>
      <c r="T16" s="115" t="s">
        <v>666</v>
      </c>
      <c r="U16" s="115"/>
      <c r="V16" s="115"/>
      <c r="W16" s="115"/>
      <c r="X16" s="115"/>
      <c r="Y16" s="115"/>
    </row>
    <row r="18" spans="8:18" x14ac:dyDescent="0.25">
      <c r="O18" s="44">
        <f>AVERAGE(I11:I15,I21:I24)</f>
        <v>2.19</v>
      </c>
      <c r="P18" s="44">
        <f t="shared" ref="P18" si="1">AVERAGE(J11:J15,J21:J24)</f>
        <v>308.86399999999998</v>
      </c>
      <c r="Q18" s="44">
        <f>AVERAGE(K11:K15,K21:K24)</f>
        <v>11440.777777777777</v>
      </c>
      <c r="R18" s="44">
        <f>AVERAGE(M11:M15,M21:M24)</f>
        <v>130.41444444444448</v>
      </c>
    </row>
    <row r="19" spans="8:18" x14ac:dyDescent="0.25">
      <c r="O19" s="44">
        <f>AVERAGE(I11:I15)</f>
        <v>1.8340000000000001</v>
      </c>
      <c r="P19" s="44">
        <f>AVERAGE(J11:J16)</f>
        <v>391.25</v>
      </c>
      <c r="Q19" s="44">
        <f>AVERAGE(K11:K16)</f>
        <v>11483.166666666666</v>
      </c>
      <c r="R19" s="44">
        <f>AVERAGE(M11:M16)</f>
        <v>113.11666666666667</v>
      </c>
    </row>
    <row r="20" spans="8:18" x14ac:dyDescent="0.25">
      <c r="H20" t="s">
        <v>475</v>
      </c>
      <c r="I20">
        <v>2.75</v>
      </c>
      <c r="J20">
        <v>27000</v>
      </c>
      <c r="K20">
        <v>3.5</v>
      </c>
      <c r="N20" t="s">
        <v>473</v>
      </c>
      <c r="O20">
        <f>_xlfn.STDEV.P(I11:I174)</f>
        <v>0.79151792567614343</v>
      </c>
      <c r="P20">
        <f t="shared" ref="P20:Q20" si="2">_xlfn.STDEV.P(J11:J174)</f>
        <v>8815.6179286807765</v>
      </c>
      <c r="Q20">
        <f t="shared" si="2"/>
        <v>16540.744731304367</v>
      </c>
      <c r="R20">
        <f>_xlfn.STDEV.P(M11:M16)</f>
        <v>140.17667919054469</v>
      </c>
    </row>
    <row r="21" spans="8:18" x14ac:dyDescent="0.25">
      <c r="H21" t="s">
        <v>462</v>
      </c>
      <c r="K21">
        <v>450</v>
      </c>
      <c r="M21">
        <v>8.6</v>
      </c>
      <c r="N21" t="s">
        <v>474</v>
      </c>
    </row>
    <row r="22" spans="8:18" x14ac:dyDescent="0.25">
      <c r="H22" t="s">
        <v>308</v>
      </c>
      <c r="I22">
        <v>2.99</v>
      </c>
      <c r="J22">
        <v>4.32</v>
      </c>
      <c r="K22" s="67">
        <v>620</v>
      </c>
      <c r="L22" s="67"/>
      <c r="M22">
        <v>500</v>
      </c>
      <c r="N22" t="s">
        <v>474</v>
      </c>
      <c r="O22" t="s">
        <v>667</v>
      </c>
    </row>
    <row r="23" spans="8:18" x14ac:dyDescent="0.25">
      <c r="H23" t="s">
        <v>458</v>
      </c>
      <c r="I23">
        <v>1.85</v>
      </c>
      <c r="J23" s="63" t="s">
        <v>550</v>
      </c>
      <c r="K23">
        <v>33000</v>
      </c>
      <c r="M23">
        <v>105</v>
      </c>
      <c r="N23" t="s">
        <v>474</v>
      </c>
    </row>
    <row r="24" spans="8:18" x14ac:dyDescent="0.25">
      <c r="H24" t="s">
        <v>457</v>
      </c>
      <c r="I24">
        <v>3.51</v>
      </c>
      <c r="J24">
        <v>475</v>
      </c>
      <c r="K24">
        <v>24</v>
      </c>
      <c r="M24">
        <v>1.43</v>
      </c>
      <c r="N24" t="s">
        <v>474</v>
      </c>
      <c r="O24" t="s">
        <v>669</v>
      </c>
      <c r="P24" t="s">
        <v>670</v>
      </c>
      <c r="Q24" t="s">
        <v>483</v>
      </c>
      <c r="R24" t="s">
        <v>542</v>
      </c>
    </row>
    <row r="25" spans="8:18" x14ac:dyDescent="0.25">
      <c r="O25">
        <f>AVERAGE(I3:I16)</f>
        <v>2.4018181818181819</v>
      </c>
      <c r="P25">
        <f t="shared" ref="P25:Q25" si="3">AVERAGE(J3:J16)</f>
        <v>496</v>
      </c>
      <c r="Q25">
        <f t="shared" si="3"/>
        <v>5359.061984615385</v>
      </c>
      <c r="R25">
        <f>AVERAGE(M3:M16)</f>
        <v>302.5</v>
      </c>
    </row>
    <row r="26" spans="8:18" x14ac:dyDescent="0.25">
      <c r="H26" t="s">
        <v>447</v>
      </c>
      <c r="I26">
        <f>AVERAGE(I3:I24)</f>
        <v>2.5013333333333332</v>
      </c>
      <c r="J26">
        <f>AVERAGE(J3:J19,J21:J24)</f>
        <v>456.56307692307689</v>
      </c>
      <c r="K26">
        <f t="shared" ref="K26:M26" si="4">AVERAGE(K3:K24)</f>
        <v>5764.7392111111112</v>
      </c>
      <c r="L26" t="e">
        <f t="shared" si="4"/>
        <v>#DIV/0!</v>
      </c>
      <c r="M26">
        <f t="shared" si="4"/>
        <v>267.50176470588241</v>
      </c>
      <c r="O26">
        <f>_xlfn.STDEV.P(I3:I16)</f>
        <v>1.7219165758580974</v>
      </c>
      <c r="P26">
        <f t="shared" ref="P26:Q26" si="5">_xlfn.STDEV.P(J3:J16)</f>
        <v>418.17330030850735</v>
      </c>
      <c r="Q26">
        <f t="shared" si="5"/>
        <v>14604.796191203466</v>
      </c>
      <c r="R26">
        <f>_xlfn.STDEV.P(M3:M16)</f>
        <v>521.38576298759244</v>
      </c>
    </row>
    <row r="29" spans="8:18" x14ac:dyDescent="0.25">
      <c r="O29" t="s">
        <v>668</v>
      </c>
    </row>
    <row r="31" spans="8:18" x14ac:dyDescent="0.25">
      <c r="O31">
        <v>2.5937254901960789</v>
      </c>
      <c r="P31">
        <v>1971.4076923076921</v>
      </c>
      <c r="Q31">
        <v>19225.034661111113</v>
      </c>
      <c r="R31">
        <v>1177.7964583333332</v>
      </c>
    </row>
    <row r="32" spans="8:18" x14ac:dyDescent="0.25">
      <c r="O32">
        <v>1.2055020283394973</v>
      </c>
      <c r="P32">
        <v>4549.0721676173516</v>
      </c>
      <c r="Q32">
        <v>121302.46569314413</v>
      </c>
      <c r="R32">
        <v>6545.8089602181999</v>
      </c>
    </row>
  </sheetData>
  <sortState xmlns:xlrd2="http://schemas.microsoft.com/office/spreadsheetml/2017/richdata2" ref="H3:N21">
    <sortCondition ref="N1:N21"/>
  </sortState>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CCD1E-9970-4E71-9423-BC0DC3B5EF8B}">
  <dimension ref="A1:CY125"/>
  <sheetViews>
    <sheetView topLeftCell="A31" workbookViewId="0">
      <selection activeCell="AZ34" sqref="AZ34"/>
    </sheetView>
  </sheetViews>
  <sheetFormatPr defaultRowHeight="13.8" x14ac:dyDescent="0.25"/>
  <cols>
    <col min="2" max="2" width="3" customWidth="1"/>
    <col min="3" max="3" width="3.09765625" customWidth="1"/>
    <col min="4" max="4" width="3.296875" customWidth="1"/>
    <col min="5" max="5" width="2.69921875" customWidth="1"/>
    <col min="6" max="8" width="2.8984375" customWidth="1"/>
    <col min="9" max="9" width="3.3984375" customWidth="1"/>
    <col min="10" max="10" width="2.8984375" customWidth="1"/>
    <col min="11" max="11" width="2.796875" customWidth="1"/>
    <col min="12" max="12" width="3.09765625" customWidth="1"/>
    <col min="13" max="14" width="2.8984375" customWidth="1"/>
    <col min="15" max="15" width="2.69921875" customWidth="1"/>
    <col min="16" max="16" width="3.09765625" customWidth="1"/>
    <col min="17" max="17" width="3.19921875" customWidth="1"/>
    <col min="18" max="18" width="3.5" customWidth="1"/>
    <col min="19" max="19" width="2.3984375" customWidth="1"/>
    <col min="20" max="20" width="2.796875" customWidth="1"/>
    <col min="21" max="21" width="2.3984375" customWidth="1"/>
    <col min="22" max="22" width="3.296875" customWidth="1"/>
    <col min="23" max="23" width="2.796875" customWidth="1"/>
    <col min="24" max="24" width="3.19921875" customWidth="1"/>
    <col min="25" max="25" width="2.5" customWidth="1"/>
    <col min="26" max="26" width="2.3984375" customWidth="1"/>
    <col min="27" max="27" width="2.69921875" customWidth="1"/>
    <col min="28" max="28" width="3.19921875" customWidth="1"/>
    <col min="29" max="29" width="3" customWidth="1"/>
    <col min="30" max="30" width="3.19921875" customWidth="1"/>
    <col min="31" max="31" width="2.69921875" customWidth="1"/>
    <col min="32" max="32" width="3" customWidth="1"/>
    <col min="33" max="33" width="2.69921875" customWidth="1"/>
    <col min="34" max="34" width="3.19921875" customWidth="1"/>
    <col min="35" max="35" width="2.59765625" customWidth="1"/>
    <col min="36" max="36" width="2.69921875" customWidth="1"/>
    <col min="37" max="38" width="2.59765625" customWidth="1"/>
    <col min="39" max="39" width="2.69921875" customWidth="1"/>
    <col min="40" max="40" width="2.796875" customWidth="1"/>
    <col min="41" max="41" width="3" customWidth="1"/>
    <col min="42" max="42" width="2.69921875" customWidth="1"/>
    <col min="43" max="43" width="2.59765625" customWidth="1"/>
    <col min="44" max="44" width="2.8984375" customWidth="1"/>
    <col min="45" max="45" width="2.59765625" customWidth="1"/>
    <col min="46" max="46" width="3" customWidth="1"/>
    <col min="47" max="47" width="2.69921875" customWidth="1"/>
    <col min="48" max="48" width="2.796875" customWidth="1"/>
    <col min="49" max="49" width="2.8984375" customWidth="1"/>
    <col min="50" max="50" width="2.59765625" customWidth="1"/>
    <col min="51" max="51" width="2.8984375" customWidth="1"/>
  </cols>
  <sheetData>
    <row r="1" spans="1:102" x14ac:dyDescent="0.25">
      <c r="A1" s="51"/>
      <c r="B1" s="41" t="s">
        <v>253</v>
      </c>
      <c r="C1" t="s">
        <v>254</v>
      </c>
      <c r="D1" t="s">
        <v>256</v>
      </c>
      <c r="E1" s="30" t="s">
        <v>257</v>
      </c>
      <c r="F1" t="s">
        <v>258</v>
      </c>
      <c r="G1" s="32" t="s">
        <v>259</v>
      </c>
      <c r="H1" t="s">
        <v>260</v>
      </c>
      <c r="I1" s="30" t="s">
        <v>261</v>
      </c>
      <c r="J1" t="s">
        <v>262</v>
      </c>
      <c r="K1" t="s">
        <v>263</v>
      </c>
      <c r="L1" t="s">
        <v>264</v>
      </c>
      <c r="M1" t="s">
        <v>265</v>
      </c>
      <c r="N1" t="s">
        <v>163</v>
      </c>
      <c r="O1" s="30" t="s">
        <v>165</v>
      </c>
      <c r="P1" t="s">
        <v>267</v>
      </c>
      <c r="Q1" s="30" t="s">
        <v>270</v>
      </c>
      <c r="R1" t="s">
        <v>271</v>
      </c>
      <c r="S1" s="30" t="s">
        <v>274</v>
      </c>
      <c r="T1" s="31" t="s">
        <v>276</v>
      </c>
      <c r="U1" s="30" t="s">
        <v>277</v>
      </c>
      <c r="V1" s="30" t="s">
        <v>278</v>
      </c>
      <c r="W1" t="s">
        <v>279</v>
      </c>
      <c r="X1" t="s">
        <v>281</v>
      </c>
      <c r="Y1" t="s">
        <v>282</v>
      </c>
      <c r="Z1" t="s">
        <v>284</v>
      </c>
      <c r="AA1" s="32" t="s">
        <v>286</v>
      </c>
      <c r="AB1" t="s">
        <v>288</v>
      </c>
      <c r="AC1" t="s">
        <v>289</v>
      </c>
      <c r="AD1" t="s">
        <v>290</v>
      </c>
      <c r="AE1" t="s">
        <v>293</v>
      </c>
      <c r="AF1" s="29" t="s">
        <v>295</v>
      </c>
      <c r="AG1" t="s">
        <v>296</v>
      </c>
      <c r="AH1" t="s">
        <v>297</v>
      </c>
      <c r="AI1" t="s">
        <v>299</v>
      </c>
      <c r="AJ1" t="s">
        <v>302</v>
      </c>
      <c r="AK1" t="s">
        <v>304</v>
      </c>
      <c r="AL1" t="s">
        <v>305</v>
      </c>
      <c r="AM1" t="s">
        <v>309</v>
      </c>
      <c r="AN1" s="29" t="s">
        <v>311</v>
      </c>
      <c r="AO1" t="s">
        <v>313</v>
      </c>
      <c r="AP1" s="29" t="s">
        <v>314</v>
      </c>
      <c r="AQ1" t="s">
        <v>315</v>
      </c>
      <c r="AR1" t="s">
        <v>318</v>
      </c>
      <c r="AS1" t="s">
        <v>323</v>
      </c>
      <c r="AT1" t="s">
        <v>325</v>
      </c>
      <c r="AU1" t="s">
        <v>326</v>
      </c>
      <c r="AV1" t="s">
        <v>391</v>
      </c>
      <c r="BA1" t="s">
        <v>708</v>
      </c>
      <c r="BB1" s="51"/>
      <c r="BD1" s="41" t="s">
        <v>253</v>
      </c>
      <c r="BE1" t="s">
        <v>254</v>
      </c>
      <c r="BF1" t="s">
        <v>256</v>
      </c>
      <c r="BG1" s="30" t="s">
        <v>257</v>
      </c>
      <c r="BH1" t="s">
        <v>258</v>
      </c>
      <c r="BI1" s="32" t="s">
        <v>259</v>
      </c>
      <c r="BJ1" t="s">
        <v>260</v>
      </c>
      <c r="BK1" s="30" t="s">
        <v>261</v>
      </c>
      <c r="BL1" t="s">
        <v>262</v>
      </c>
      <c r="BM1" t="s">
        <v>263</v>
      </c>
      <c r="BN1" t="s">
        <v>264</v>
      </c>
      <c r="BO1" t="s">
        <v>265</v>
      </c>
      <c r="BP1" t="s">
        <v>163</v>
      </c>
      <c r="BQ1" s="30" t="s">
        <v>165</v>
      </c>
      <c r="BR1" t="s">
        <v>267</v>
      </c>
      <c r="BS1" s="30" t="s">
        <v>270</v>
      </c>
      <c r="BT1" t="s">
        <v>271</v>
      </c>
      <c r="BU1" s="30" t="s">
        <v>274</v>
      </c>
      <c r="BV1" s="31" t="s">
        <v>276</v>
      </c>
      <c r="BW1" s="30" t="s">
        <v>277</v>
      </c>
      <c r="BX1" s="30" t="s">
        <v>278</v>
      </c>
      <c r="BY1" t="s">
        <v>279</v>
      </c>
      <c r="BZ1" t="s">
        <v>281</v>
      </c>
      <c r="CA1" t="s">
        <v>282</v>
      </c>
      <c r="CB1" t="s">
        <v>284</v>
      </c>
      <c r="CC1" s="32" t="s">
        <v>286</v>
      </c>
      <c r="CD1" t="s">
        <v>288</v>
      </c>
      <c r="CE1" t="s">
        <v>289</v>
      </c>
      <c r="CF1" t="s">
        <v>290</v>
      </c>
      <c r="CG1" t="s">
        <v>293</v>
      </c>
      <c r="CH1" s="29" t="s">
        <v>295</v>
      </c>
      <c r="CI1" t="s">
        <v>296</v>
      </c>
      <c r="CJ1" t="s">
        <v>297</v>
      </c>
      <c r="CK1" t="s">
        <v>299</v>
      </c>
      <c r="CL1" t="s">
        <v>302</v>
      </c>
      <c r="CM1" t="s">
        <v>304</v>
      </c>
      <c r="CN1" t="s">
        <v>305</v>
      </c>
      <c r="CO1" t="s">
        <v>309</v>
      </c>
      <c r="CP1" s="29" t="s">
        <v>311</v>
      </c>
      <c r="CQ1" t="s">
        <v>313</v>
      </c>
      <c r="CR1" s="29" t="s">
        <v>314</v>
      </c>
      <c r="CS1" t="s">
        <v>315</v>
      </c>
      <c r="CT1" t="s">
        <v>318</v>
      </c>
      <c r="CU1" t="s">
        <v>323</v>
      </c>
      <c r="CV1" t="s">
        <v>325</v>
      </c>
      <c r="CW1" t="s">
        <v>326</v>
      </c>
      <c r="CX1" t="s">
        <v>391</v>
      </c>
    </row>
    <row r="2" spans="1:102" x14ac:dyDescent="0.25">
      <c r="A2" s="51" t="s">
        <v>181</v>
      </c>
      <c r="B2" t="s">
        <v>4</v>
      </c>
      <c r="C2" t="s">
        <v>4</v>
      </c>
      <c r="D2" t="s">
        <v>4</v>
      </c>
      <c r="E2">
        <v>0.84</v>
      </c>
      <c r="F2" t="s">
        <v>4</v>
      </c>
      <c r="G2" t="s">
        <v>4</v>
      </c>
      <c r="H2">
        <v>1.19</v>
      </c>
      <c r="I2" t="s">
        <v>4</v>
      </c>
      <c r="J2">
        <v>130.22999999999999</v>
      </c>
      <c r="K2" t="s">
        <v>4</v>
      </c>
      <c r="L2">
        <v>231.37</v>
      </c>
      <c r="M2">
        <v>50.77</v>
      </c>
      <c r="N2" t="s">
        <v>4</v>
      </c>
      <c r="O2">
        <v>3.93</v>
      </c>
      <c r="P2">
        <v>1.57</v>
      </c>
      <c r="Q2">
        <v>7.64</v>
      </c>
      <c r="R2" t="s">
        <v>4</v>
      </c>
      <c r="S2" t="s">
        <v>4</v>
      </c>
      <c r="T2">
        <v>1</v>
      </c>
      <c r="U2">
        <v>0.92999999999999994</v>
      </c>
      <c r="V2" t="s">
        <v>4</v>
      </c>
      <c r="W2">
        <v>98996.18</v>
      </c>
      <c r="X2">
        <v>15.76</v>
      </c>
      <c r="Y2" t="s">
        <v>4</v>
      </c>
      <c r="Z2">
        <v>3.98</v>
      </c>
      <c r="AA2" t="s">
        <v>4</v>
      </c>
      <c r="AB2">
        <v>93.31</v>
      </c>
      <c r="AC2" t="s">
        <v>4</v>
      </c>
      <c r="AD2">
        <v>29.05</v>
      </c>
      <c r="AE2">
        <v>26.060000000000002</v>
      </c>
      <c r="AF2" t="s">
        <v>4</v>
      </c>
      <c r="AG2">
        <v>5.39</v>
      </c>
      <c r="AH2">
        <v>4.09</v>
      </c>
      <c r="AI2" t="s">
        <v>4</v>
      </c>
      <c r="AJ2">
        <v>3.59</v>
      </c>
      <c r="AK2" t="s">
        <v>4</v>
      </c>
      <c r="AL2">
        <v>1.99</v>
      </c>
      <c r="AM2" t="s">
        <v>4</v>
      </c>
      <c r="AN2">
        <v>1.73</v>
      </c>
      <c r="AO2" t="s">
        <v>4</v>
      </c>
      <c r="AP2">
        <v>2.48</v>
      </c>
      <c r="AQ2">
        <v>91.53</v>
      </c>
      <c r="AR2" t="s">
        <v>4</v>
      </c>
      <c r="AS2">
        <v>7.27</v>
      </c>
      <c r="AT2">
        <v>9.15</v>
      </c>
      <c r="AU2" t="s">
        <v>4</v>
      </c>
      <c r="AV2" t="s">
        <v>4</v>
      </c>
      <c r="BB2" s="51" t="s">
        <v>181</v>
      </c>
      <c r="BC2">
        <v>44577</v>
      </c>
      <c r="BD2" t="s">
        <v>4</v>
      </c>
      <c r="BE2" t="s">
        <v>4</v>
      </c>
      <c r="BF2" t="s">
        <v>4</v>
      </c>
      <c r="BG2">
        <v>0.84</v>
      </c>
      <c r="BH2" t="s">
        <v>4</v>
      </c>
      <c r="BI2" t="s">
        <v>4</v>
      </c>
      <c r="BJ2">
        <v>1.19</v>
      </c>
      <c r="BK2" t="s">
        <v>4</v>
      </c>
      <c r="BL2">
        <v>130.22999999999999</v>
      </c>
      <c r="BM2" t="s">
        <v>4</v>
      </c>
      <c r="BN2">
        <v>231.37</v>
      </c>
      <c r="BO2">
        <v>50.77</v>
      </c>
      <c r="BP2" t="s">
        <v>4</v>
      </c>
      <c r="BQ2">
        <v>3.93</v>
      </c>
      <c r="BR2">
        <v>1.57</v>
      </c>
      <c r="BS2">
        <v>7.64</v>
      </c>
      <c r="BT2" t="s">
        <v>4</v>
      </c>
      <c r="BU2" t="s">
        <v>4</v>
      </c>
      <c r="BV2">
        <v>1</v>
      </c>
      <c r="BW2">
        <v>0.92999999999999994</v>
      </c>
      <c r="BX2" t="s">
        <v>4</v>
      </c>
      <c r="BY2">
        <v>98996.18</v>
      </c>
      <c r="BZ2">
        <v>15.76</v>
      </c>
      <c r="CA2" t="s">
        <v>4</v>
      </c>
      <c r="CB2">
        <v>3.98</v>
      </c>
      <c r="CC2" t="s">
        <v>4</v>
      </c>
      <c r="CD2">
        <v>93.31</v>
      </c>
      <c r="CE2" t="s">
        <v>4</v>
      </c>
      <c r="CF2">
        <v>29.05</v>
      </c>
      <c r="CG2">
        <v>26.060000000000002</v>
      </c>
      <c r="CH2" t="s">
        <v>4</v>
      </c>
      <c r="CI2">
        <v>5.39</v>
      </c>
      <c r="CJ2">
        <v>4.09</v>
      </c>
      <c r="CK2" t="s">
        <v>4</v>
      </c>
      <c r="CL2">
        <v>3.59</v>
      </c>
      <c r="CM2" t="s">
        <v>4</v>
      </c>
      <c r="CN2">
        <v>1.99</v>
      </c>
      <c r="CO2" t="s">
        <v>4</v>
      </c>
      <c r="CP2">
        <v>1.73</v>
      </c>
      <c r="CQ2" t="s">
        <v>4</v>
      </c>
      <c r="CR2">
        <v>2.48</v>
      </c>
      <c r="CS2">
        <v>91.53</v>
      </c>
      <c r="CT2" t="s">
        <v>4</v>
      </c>
      <c r="CU2">
        <v>7.27</v>
      </c>
      <c r="CV2">
        <v>9.15</v>
      </c>
      <c r="CW2" t="s">
        <v>4</v>
      </c>
      <c r="CX2" t="s">
        <v>4</v>
      </c>
    </row>
    <row r="3" spans="1:102" x14ac:dyDescent="0.25">
      <c r="A3" s="51" t="s">
        <v>182</v>
      </c>
      <c r="B3" t="s">
        <v>4</v>
      </c>
      <c r="C3" t="s">
        <v>4</v>
      </c>
      <c r="D3" t="s">
        <v>4</v>
      </c>
      <c r="E3" t="s">
        <v>4</v>
      </c>
      <c r="F3" t="s">
        <v>4</v>
      </c>
      <c r="G3" t="s">
        <v>4</v>
      </c>
      <c r="H3">
        <v>0.47</v>
      </c>
      <c r="I3" t="s">
        <v>4</v>
      </c>
      <c r="J3">
        <v>51.95</v>
      </c>
      <c r="K3">
        <v>20.729999999999997</v>
      </c>
      <c r="L3">
        <v>39.6</v>
      </c>
      <c r="M3">
        <v>7.29</v>
      </c>
      <c r="N3" t="s">
        <v>4</v>
      </c>
      <c r="O3" t="s">
        <v>4</v>
      </c>
      <c r="P3">
        <v>0.86</v>
      </c>
      <c r="Q3" t="s">
        <v>4</v>
      </c>
      <c r="R3" t="s">
        <v>4</v>
      </c>
      <c r="S3" t="s">
        <v>4</v>
      </c>
      <c r="T3">
        <v>0.47999999999999954</v>
      </c>
      <c r="U3">
        <v>1.86</v>
      </c>
      <c r="V3" t="s">
        <v>4</v>
      </c>
      <c r="W3">
        <v>58690.51</v>
      </c>
      <c r="X3">
        <v>3.22</v>
      </c>
      <c r="Y3" t="s">
        <v>4</v>
      </c>
      <c r="Z3" t="s">
        <v>4</v>
      </c>
      <c r="AA3" t="s">
        <v>4</v>
      </c>
      <c r="AB3">
        <v>14.71</v>
      </c>
      <c r="AC3" t="s">
        <v>4</v>
      </c>
      <c r="AD3">
        <v>6.53</v>
      </c>
      <c r="AE3">
        <v>4.37</v>
      </c>
      <c r="AF3" t="s">
        <v>4</v>
      </c>
      <c r="AG3">
        <v>1.01</v>
      </c>
      <c r="AH3">
        <v>1.33</v>
      </c>
      <c r="AI3" t="s">
        <v>4</v>
      </c>
      <c r="AJ3" t="s">
        <v>4</v>
      </c>
      <c r="AK3" t="s">
        <v>4</v>
      </c>
      <c r="AL3">
        <v>2.29</v>
      </c>
      <c r="AM3" t="s">
        <v>4</v>
      </c>
      <c r="AN3">
        <v>0.86999999999999988</v>
      </c>
      <c r="AO3" t="s">
        <v>4</v>
      </c>
      <c r="AP3">
        <v>1.49</v>
      </c>
      <c r="AQ3">
        <v>30.82</v>
      </c>
      <c r="AR3" t="s">
        <v>4</v>
      </c>
      <c r="AS3">
        <v>2.39</v>
      </c>
      <c r="AT3">
        <v>1.05</v>
      </c>
      <c r="AU3" t="s">
        <v>4</v>
      </c>
      <c r="AV3" t="s">
        <v>4</v>
      </c>
      <c r="BB3" s="51" t="s">
        <v>182</v>
      </c>
      <c r="BC3">
        <v>44577</v>
      </c>
      <c r="BD3" t="s">
        <v>4</v>
      </c>
      <c r="BE3" t="s">
        <v>4</v>
      </c>
      <c r="BF3" t="s">
        <v>4</v>
      </c>
      <c r="BG3" t="s">
        <v>4</v>
      </c>
      <c r="BH3" t="s">
        <v>4</v>
      </c>
      <c r="BI3" t="s">
        <v>4</v>
      </c>
      <c r="BJ3">
        <v>0.47</v>
      </c>
      <c r="BK3" t="s">
        <v>4</v>
      </c>
      <c r="BL3">
        <v>51.95</v>
      </c>
      <c r="BM3">
        <v>20.729999999999997</v>
      </c>
      <c r="BN3">
        <v>39.6</v>
      </c>
      <c r="BO3">
        <v>7.29</v>
      </c>
      <c r="BP3" t="s">
        <v>4</v>
      </c>
      <c r="BQ3" t="s">
        <v>4</v>
      </c>
      <c r="BR3">
        <v>0.86</v>
      </c>
      <c r="BS3" t="s">
        <v>4</v>
      </c>
      <c r="BT3" t="s">
        <v>4</v>
      </c>
      <c r="BU3" t="s">
        <v>4</v>
      </c>
      <c r="BV3">
        <v>0.47999999999999954</v>
      </c>
      <c r="BW3">
        <v>1.86</v>
      </c>
      <c r="BX3" t="s">
        <v>4</v>
      </c>
      <c r="BY3">
        <v>58690.51</v>
      </c>
      <c r="BZ3">
        <v>3.22</v>
      </c>
      <c r="CA3" t="s">
        <v>4</v>
      </c>
      <c r="CB3" t="s">
        <v>4</v>
      </c>
      <c r="CC3" t="s">
        <v>4</v>
      </c>
      <c r="CD3">
        <v>14.71</v>
      </c>
      <c r="CE3" t="s">
        <v>4</v>
      </c>
      <c r="CF3">
        <v>6.53</v>
      </c>
      <c r="CG3">
        <v>4.37</v>
      </c>
      <c r="CH3" t="s">
        <v>4</v>
      </c>
      <c r="CI3">
        <v>1.01</v>
      </c>
      <c r="CJ3">
        <v>1.33</v>
      </c>
      <c r="CK3" t="s">
        <v>4</v>
      </c>
      <c r="CL3" t="s">
        <v>4</v>
      </c>
      <c r="CM3" t="s">
        <v>4</v>
      </c>
      <c r="CN3">
        <v>2.29</v>
      </c>
      <c r="CO3" t="s">
        <v>4</v>
      </c>
      <c r="CP3">
        <v>0.86999999999999988</v>
      </c>
      <c r="CQ3" t="s">
        <v>4</v>
      </c>
      <c r="CR3">
        <v>1.49</v>
      </c>
      <c r="CS3">
        <v>30.82</v>
      </c>
      <c r="CT3" t="s">
        <v>4</v>
      </c>
      <c r="CU3">
        <v>2.39</v>
      </c>
      <c r="CV3">
        <v>1.05</v>
      </c>
      <c r="CW3" t="s">
        <v>4</v>
      </c>
      <c r="CX3" t="s">
        <v>4</v>
      </c>
    </row>
    <row r="4" spans="1:102" x14ac:dyDescent="0.25">
      <c r="A4" s="51" t="s">
        <v>183</v>
      </c>
      <c r="B4" t="s">
        <v>4</v>
      </c>
      <c r="C4" t="s">
        <v>4</v>
      </c>
      <c r="D4" t="s">
        <v>4</v>
      </c>
      <c r="E4" t="s">
        <v>4</v>
      </c>
      <c r="F4" t="s">
        <v>4</v>
      </c>
      <c r="G4" t="s">
        <v>4</v>
      </c>
      <c r="H4">
        <v>0.18</v>
      </c>
      <c r="I4" t="s">
        <v>4</v>
      </c>
      <c r="J4">
        <v>19.43</v>
      </c>
      <c r="K4" t="s">
        <v>4</v>
      </c>
      <c r="L4">
        <v>22.72</v>
      </c>
      <c r="M4">
        <v>4.0999999999999996</v>
      </c>
      <c r="N4" t="s">
        <v>4</v>
      </c>
      <c r="O4" t="s">
        <v>4</v>
      </c>
      <c r="P4">
        <v>0.53</v>
      </c>
      <c r="Q4" t="s">
        <v>4</v>
      </c>
      <c r="R4" t="s">
        <v>4</v>
      </c>
      <c r="S4" t="s">
        <v>4</v>
      </c>
      <c r="T4">
        <v>0.54999999999999982</v>
      </c>
      <c r="U4">
        <v>1.5399999999999998</v>
      </c>
      <c r="V4" t="s">
        <v>4</v>
      </c>
      <c r="W4">
        <v>32026.71</v>
      </c>
      <c r="X4">
        <v>1.5</v>
      </c>
      <c r="Y4" t="s">
        <v>4</v>
      </c>
      <c r="Z4" t="s">
        <v>4</v>
      </c>
      <c r="AA4" t="s">
        <v>4</v>
      </c>
      <c r="AB4">
        <v>17.93</v>
      </c>
      <c r="AC4" t="s">
        <v>4</v>
      </c>
      <c r="AD4">
        <v>5.08</v>
      </c>
      <c r="AE4">
        <v>2.16</v>
      </c>
      <c r="AF4" t="s">
        <v>4</v>
      </c>
      <c r="AG4">
        <v>1.21</v>
      </c>
      <c r="AH4">
        <v>0.92000000000000015</v>
      </c>
      <c r="AI4" t="s">
        <v>4</v>
      </c>
      <c r="AJ4" t="s">
        <v>4</v>
      </c>
      <c r="AK4" t="s">
        <v>4</v>
      </c>
      <c r="AL4">
        <v>4.2300000000000004</v>
      </c>
      <c r="AM4" t="s">
        <v>4</v>
      </c>
      <c r="AN4">
        <v>0.36</v>
      </c>
      <c r="AO4" t="s">
        <v>4</v>
      </c>
      <c r="AP4" t="s">
        <v>4</v>
      </c>
      <c r="AQ4">
        <v>10.62</v>
      </c>
      <c r="AR4" t="s">
        <v>4</v>
      </c>
      <c r="AS4">
        <v>3.38</v>
      </c>
      <c r="AT4" t="s">
        <v>4</v>
      </c>
      <c r="AU4" t="s">
        <v>4</v>
      </c>
      <c r="AV4" t="s">
        <v>4</v>
      </c>
      <c r="BB4" s="51" t="s">
        <v>183</v>
      </c>
      <c r="BC4">
        <v>44577</v>
      </c>
      <c r="BD4" t="s">
        <v>4</v>
      </c>
      <c r="BE4" t="s">
        <v>4</v>
      </c>
      <c r="BF4" t="s">
        <v>4</v>
      </c>
      <c r="BG4" t="s">
        <v>4</v>
      </c>
      <c r="BH4" t="s">
        <v>4</v>
      </c>
      <c r="BI4" t="s">
        <v>4</v>
      </c>
      <c r="BJ4">
        <v>0.18</v>
      </c>
      <c r="BK4" t="s">
        <v>4</v>
      </c>
      <c r="BL4">
        <v>19.43</v>
      </c>
      <c r="BM4" t="s">
        <v>4</v>
      </c>
      <c r="BN4">
        <v>22.72</v>
      </c>
      <c r="BO4">
        <v>4.0999999999999996</v>
      </c>
      <c r="BP4" t="s">
        <v>4</v>
      </c>
      <c r="BQ4" t="s">
        <v>4</v>
      </c>
      <c r="BR4">
        <v>0.53</v>
      </c>
      <c r="BS4" t="s">
        <v>4</v>
      </c>
      <c r="BT4" t="s">
        <v>4</v>
      </c>
      <c r="BU4" t="s">
        <v>4</v>
      </c>
      <c r="BV4">
        <v>0.54999999999999982</v>
      </c>
      <c r="BW4">
        <v>1.5399999999999998</v>
      </c>
      <c r="BX4" t="s">
        <v>4</v>
      </c>
      <c r="BY4">
        <v>32026.71</v>
      </c>
      <c r="BZ4">
        <v>1.5</v>
      </c>
      <c r="CA4" t="s">
        <v>4</v>
      </c>
      <c r="CB4" t="s">
        <v>4</v>
      </c>
      <c r="CC4" t="s">
        <v>4</v>
      </c>
      <c r="CD4">
        <v>17.93</v>
      </c>
      <c r="CE4" t="s">
        <v>4</v>
      </c>
      <c r="CF4">
        <v>5.08</v>
      </c>
      <c r="CG4">
        <v>2.16</v>
      </c>
      <c r="CH4" t="s">
        <v>4</v>
      </c>
      <c r="CI4">
        <v>1.21</v>
      </c>
      <c r="CJ4">
        <v>0.92000000000000015</v>
      </c>
      <c r="CK4" t="s">
        <v>4</v>
      </c>
      <c r="CL4" t="s">
        <v>4</v>
      </c>
      <c r="CM4" t="s">
        <v>4</v>
      </c>
      <c r="CN4">
        <v>4.2300000000000004</v>
      </c>
      <c r="CO4" t="s">
        <v>4</v>
      </c>
      <c r="CP4">
        <v>0.36</v>
      </c>
      <c r="CQ4" t="s">
        <v>4</v>
      </c>
      <c r="CR4" t="s">
        <v>4</v>
      </c>
      <c r="CS4">
        <v>10.62</v>
      </c>
      <c r="CT4" t="s">
        <v>4</v>
      </c>
      <c r="CU4">
        <v>3.38</v>
      </c>
      <c r="CV4" t="s">
        <v>4</v>
      </c>
      <c r="CW4" t="s">
        <v>4</v>
      </c>
      <c r="CX4" t="s">
        <v>4</v>
      </c>
    </row>
    <row r="5" spans="1:102" x14ac:dyDescent="0.25">
      <c r="A5" s="51" t="s">
        <v>184</v>
      </c>
      <c r="B5" t="s">
        <v>4</v>
      </c>
      <c r="C5" t="s">
        <v>4</v>
      </c>
      <c r="D5" t="s">
        <v>4</v>
      </c>
      <c r="E5" t="s">
        <v>4</v>
      </c>
      <c r="F5" t="s">
        <v>4</v>
      </c>
      <c r="G5" t="s">
        <v>4</v>
      </c>
      <c r="H5">
        <v>1.42</v>
      </c>
      <c r="I5" t="s">
        <v>4</v>
      </c>
      <c r="J5">
        <v>98.93</v>
      </c>
      <c r="K5" t="s">
        <v>4</v>
      </c>
      <c r="L5">
        <v>62.74</v>
      </c>
      <c r="M5">
        <v>10.75</v>
      </c>
      <c r="N5" t="s">
        <v>4</v>
      </c>
      <c r="O5">
        <v>3.71</v>
      </c>
      <c r="P5">
        <v>0.95</v>
      </c>
      <c r="Q5">
        <v>6.66</v>
      </c>
      <c r="R5">
        <v>12.48</v>
      </c>
      <c r="S5" t="s">
        <v>4</v>
      </c>
      <c r="T5">
        <v>0.72999999999999954</v>
      </c>
      <c r="U5">
        <v>1.3699999999999999</v>
      </c>
      <c r="V5" t="s">
        <v>4</v>
      </c>
      <c r="W5">
        <v>78676.92</v>
      </c>
      <c r="X5">
        <v>10.76</v>
      </c>
      <c r="Y5" t="s">
        <v>4</v>
      </c>
      <c r="Z5">
        <v>5.13</v>
      </c>
      <c r="AA5" t="s">
        <v>4</v>
      </c>
      <c r="AB5">
        <v>38.18</v>
      </c>
      <c r="AC5" t="s">
        <v>4</v>
      </c>
      <c r="AD5">
        <v>5.27</v>
      </c>
      <c r="AE5">
        <v>22.69</v>
      </c>
      <c r="AF5" t="s">
        <v>4</v>
      </c>
      <c r="AG5">
        <v>9.5299999999999994</v>
      </c>
      <c r="AH5">
        <v>8.06</v>
      </c>
      <c r="AI5" t="s">
        <v>4</v>
      </c>
      <c r="AJ5" t="s">
        <v>4</v>
      </c>
      <c r="AK5">
        <v>2.2999999999999998</v>
      </c>
      <c r="AL5">
        <v>1.28</v>
      </c>
      <c r="AM5" t="s">
        <v>4</v>
      </c>
      <c r="AN5">
        <v>1.1299999999999999</v>
      </c>
      <c r="AO5" t="s">
        <v>4</v>
      </c>
      <c r="AP5" t="s">
        <v>4</v>
      </c>
      <c r="AQ5">
        <v>67.84</v>
      </c>
      <c r="AR5" t="s">
        <v>4</v>
      </c>
      <c r="AS5">
        <v>12.74</v>
      </c>
      <c r="AT5">
        <v>1.8</v>
      </c>
      <c r="AU5" t="s">
        <v>4</v>
      </c>
      <c r="AV5" t="s">
        <v>4</v>
      </c>
      <c r="BB5" s="51" t="s">
        <v>184</v>
      </c>
      <c r="BC5">
        <v>44577</v>
      </c>
      <c r="BD5" t="s">
        <v>4</v>
      </c>
      <c r="BE5" t="s">
        <v>4</v>
      </c>
      <c r="BF5" t="s">
        <v>4</v>
      </c>
      <c r="BG5" t="s">
        <v>4</v>
      </c>
      <c r="BH5" t="s">
        <v>4</v>
      </c>
      <c r="BI5" t="s">
        <v>4</v>
      </c>
      <c r="BJ5">
        <v>1.42</v>
      </c>
      <c r="BK5" t="s">
        <v>4</v>
      </c>
      <c r="BL5">
        <v>98.93</v>
      </c>
      <c r="BM5" t="s">
        <v>4</v>
      </c>
      <c r="BN5">
        <v>62.74</v>
      </c>
      <c r="BO5">
        <v>10.75</v>
      </c>
      <c r="BP5" t="s">
        <v>4</v>
      </c>
      <c r="BQ5">
        <v>3.71</v>
      </c>
      <c r="BR5">
        <v>0.95</v>
      </c>
      <c r="BS5">
        <v>6.66</v>
      </c>
      <c r="BT5">
        <v>12.48</v>
      </c>
      <c r="BU5" t="s">
        <v>4</v>
      </c>
      <c r="BV5">
        <v>0.72999999999999954</v>
      </c>
      <c r="BW5">
        <v>1.3699999999999999</v>
      </c>
      <c r="BX5" t="s">
        <v>4</v>
      </c>
      <c r="BY5">
        <v>78676.92</v>
      </c>
      <c r="BZ5">
        <v>10.76</v>
      </c>
      <c r="CA5" t="s">
        <v>4</v>
      </c>
      <c r="CB5">
        <v>5.13</v>
      </c>
      <c r="CC5" t="s">
        <v>4</v>
      </c>
      <c r="CD5">
        <v>38.18</v>
      </c>
      <c r="CE5" t="s">
        <v>4</v>
      </c>
      <c r="CF5">
        <v>5.27</v>
      </c>
      <c r="CG5">
        <v>22.69</v>
      </c>
      <c r="CH5" t="s">
        <v>4</v>
      </c>
      <c r="CI5">
        <v>9.5299999999999994</v>
      </c>
      <c r="CJ5">
        <v>8.06</v>
      </c>
      <c r="CK5" t="s">
        <v>4</v>
      </c>
      <c r="CL5" t="s">
        <v>4</v>
      </c>
      <c r="CM5">
        <v>2.2999999999999998</v>
      </c>
      <c r="CN5">
        <v>1.28</v>
      </c>
      <c r="CO5" t="s">
        <v>4</v>
      </c>
      <c r="CP5">
        <v>1.1299999999999999</v>
      </c>
      <c r="CQ5" t="s">
        <v>4</v>
      </c>
      <c r="CR5" t="s">
        <v>4</v>
      </c>
      <c r="CS5">
        <v>67.84</v>
      </c>
      <c r="CT5" t="s">
        <v>4</v>
      </c>
      <c r="CU5">
        <v>12.74</v>
      </c>
      <c r="CV5">
        <v>1.8</v>
      </c>
      <c r="CW5" t="s">
        <v>4</v>
      </c>
      <c r="CX5" t="s">
        <v>4</v>
      </c>
    </row>
    <row r="6" spans="1:102" x14ac:dyDescent="0.25">
      <c r="A6" s="51" t="s">
        <v>185</v>
      </c>
      <c r="B6" t="s">
        <v>4</v>
      </c>
      <c r="C6" t="s">
        <v>4</v>
      </c>
      <c r="D6" t="s">
        <v>4</v>
      </c>
      <c r="E6">
        <v>1.69</v>
      </c>
      <c r="F6" t="s">
        <v>4</v>
      </c>
      <c r="G6" t="s">
        <v>4</v>
      </c>
      <c r="H6">
        <v>2.2799999999999998</v>
      </c>
      <c r="I6" t="s">
        <v>4</v>
      </c>
      <c r="J6">
        <v>302.16000000000003</v>
      </c>
      <c r="K6" t="s">
        <v>4</v>
      </c>
      <c r="L6">
        <v>101.55</v>
      </c>
      <c r="M6">
        <v>14.3</v>
      </c>
      <c r="N6" t="s">
        <v>4</v>
      </c>
      <c r="O6">
        <v>4.1900000000000004</v>
      </c>
      <c r="P6">
        <v>1.81</v>
      </c>
      <c r="Q6">
        <v>8.59</v>
      </c>
      <c r="R6">
        <v>31.17</v>
      </c>
      <c r="S6" t="s">
        <v>4</v>
      </c>
      <c r="T6">
        <v>3.05</v>
      </c>
      <c r="U6">
        <v>6.2600000000000007</v>
      </c>
      <c r="V6">
        <v>6.17</v>
      </c>
      <c r="W6">
        <v>75575.850000000006</v>
      </c>
      <c r="X6">
        <v>21.31</v>
      </c>
      <c r="Y6" t="s">
        <v>4</v>
      </c>
      <c r="Z6">
        <v>11.18</v>
      </c>
      <c r="AA6" t="s">
        <v>4</v>
      </c>
      <c r="AB6">
        <v>54.67</v>
      </c>
      <c r="AC6" t="s">
        <v>4</v>
      </c>
      <c r="AD6">
        <v>5.98</v>
      </c>
      <c r="AE6">
        <v>36.979999999999997</v>
      </c>
      <c r="AF6" t="s">
        <v>4</v>
      </c>
      <c r="AG6">
        <v>13.07</v>
      </c>
      <c r="AH6">
        <v>13.99</v>
      </c>
      <c r="AI6" t="s">
        <v>4</v>
      </c>
      <c r="AJ6">
        <v>56.23</v>
      </c>
      <c r="AK6">
        <v>5.81</v>
      </c>
      <c r="AL6">
        <v>2.4</v>
      </c>
      <c r="AM6" t="s">
        <v>4</v>
      </c>
      <c r="AN6">
        <v>1.5</v>
      </c>
      <c r="AO6" t="s">
        <v>4</v>
      </c>
      <c r="AP6" t="s">
        <v>4</v>
      </c>
      <c r="AQ6">
        <v>93.59</v>
      </c>
      <c r="AR6" t="s">
        <v>4</v>
      </c>
      <c r="AS6">
        <v>42.46</v>
      </c>
      <c r="AT6">
        <v>3.25</v>
      </c>
      <c r="AU6" t="s">
        <v>4</v>
      </c>
      <c r="AV6" t="s">
        <v>4</v>
      </c>
      <c r="BB6" s="51" t="s">
        <v>185</v>
      </c>
      <c r="BC6">
        <v>44577</v>
      </c>
      <c r="BD6" t="s">
        <v>4</v>
      </c>
      <c r="BE6" t="s">
        <v>4</v>
      </c>
      <c r="BF6" t="s">
        <v>4</v>
      </c>
      <c r="BG6">
        <v>1.69</v>
      </c>
      <c r="BH6" t="s">
        <v>4</v>
      </c>
      <c r="BI6" t="s">
        <v>4</v>
      </c>
      <c r="BJ6">
        <v>2.2799999999999998</v>
      </c>
      <c r="BK6" t="s">
        <v>4</v>
      </c>
      <c r="BL6">
        <v>302.16000000000003</v>
      </c>
      <c r="BM6" t="s">
        <v>4</v>
      </c>
      <c r="BN6">
        <v>101.55</v>
      </c>
      <c r="BO6">
        <v>14.3</v>
      </c>
      <c r="BP6" t="s">
        <v>4</v>
      </c>
      <c r="BQ6">
        <v>4.1900000000000004</v>
      </c>
      <c r="BR6">
        <v>1.81</v>
      </c>
      <c r="BS6">
        <v>8.59</v>
      </c>
      <c r="BT6">
        <v>31.17</v>
      </c>
      <c r="BU6" t="s">
        <v>4</v>
      </c>
      <c r="BV6">
        <v>3.05</v>
      </c>
      <c r="BW6">
        <v>6.2600000000000007</v>
      </c>
      <c r="BX6">
        <v>6.17</v>
      </c>
      <c r="BY6">
        <v>75575.850000000006</v>
      </c>
      <c r="BZ6">
        <v>21.31</v>
      </c>
      <c r="CA6" t="s">
        <v>4</v>
      </c>
      <c r="CB6">
        <v>11.18</v>
      </c>
      <c r="CC6" t="s">
        <v>4</v>
      </c>
      <c r="CD6">
        <v>54.67</v>
      </c>
      <c r="CE6" t="s">
        <v>4</v>
      </c>
      <c r="CF6">
        <v>5.98</v>
      </c>
      <c r="CG6">
        <v>36.979999999999997</v>
      </c>
      <c r="CH6" t="s">
        <v>4</v>
      </c>
      <c r="CI6">
        <v>13.07</v>
      </c>
      <c r="CJ6">
        <v>13.99</v>
      </c>
      <c r="CK6" t="s">
        <v>4</v>
      </c>
      <c r="CL6">
        <v>56.23</v>
      </c>
      <c r="CM6">
        <v>5.81</v>
      </c>
      <c r="CN6">
        <v>2.4</v>
      </c>
      <c r="CO6" t="s">
        <v>4</v>
      </c>
      <c r="CP6">
        <v>1.5</v>
      </c>
      <c r="CQ6" t="s">
        <v>4</v>
      </c>
      <c r="CR6" t="s">
        <v>4</v>
      </c>
      <c r="CS6">
        <v>93.59</v>
      </c>
      <c r="CT6" t="s">
        <v>4</v>
      </c>
      <c r="CU6">
        <v>42.46</v>
      </c>
      <c r="CV6">
        <v>3.25</v>
      </c>
      <c r="CW6" t="s">
        <v>4</v>
      </c>
      <c r="CX6" t="s">
        <v>4</v>
      </c>
    </row>
    <row r="7" spans="1:102" x14ac:dyDescent="0.25">
      <c r="A7" s="51" t="s">
        <v>186</v>
      </c>
      <c r="B7" t="s">
        <v>4</v>
      </c>
      <c r="C7" t="s">
        <v>4</v>
      </c>
      <c r="D7" t="s">
        <v>4</v>
      </c>
      <c r="E7">
        <v>1.99</v>
      </c>
      <c r="F7" t="s">
        <v>4</v>
      </c>
      <c r="G7" t="s">
        <v>4</v>
      </c>
      <c r="H7">
        <v>4.26</v>
      </c>
      <c r="I7" t="s">
        <v>4</v>
      </c>
      <c r="J7">
        <v>137.02000000000001</v>
      </c>
      <c r="K7" t="s">
        <v>4</v>
      </c>
      <c r="L7">
        <v>101.71</v>
      </c>
      <c r="M7">
        <v>24.59</v>
      </c>
      <c r="N7">
        <v>4.8</v>
      </c>
      <c r="O7">
        <v>4.33</v>
      </c>
      <c r="P7">
        <v>1.1299999999999999</v>
      </c>
      <c r="Q7">
        <v>21.23</v>
      </c>
      <c r="R7">
        <v>12.49</v>
      </c>
      <c r="S7" t="s">
        <v>4</v>
      </c>
      <c r="T7">
        <v>1.9299999999999997</v>
      </c>
      <c r="U7">
        <v>7.09</v>
      </c>
      <c r="V7">
        <v>4.07</v>
      </c>
      <c r="W7">
        <v>45957.55</v>
      </c>
      <c r="X7">
        <v>16.72</v>
      </c>
      <c r="Y7" t="s">
        <v>4</v>
      </c>
      <c r="Z7">
        <v>6.08</v>
      </c>
      <c r="AA7" t="s">
        <v>4</v>
      </c>
      <c r="AB7">
        <v>45.66</v>
      </c>
      <c r="AC7">
        <v>1.21</v>
      </c>
      <c r="AD7">
        <v>6.49</v>
      </c>
      <c r="AE7">
        <v>27.73</v>
      </c>
      <c r="AF7" t="s">
        <v>4</v>
      </c>
      <c r="AG7">
        <v>19.309999999999999</v>
      </c>
      <c r="AH7">
        <v>14.290000000000001</v>
      </c>
      <c r="AI7" t="s">
        <v>4</v>
      </c>
      <c r="AJ7">
        <v>23.34</v>
      </c>
      <c r="AK7">
        <v>4.04</v>
      </c>
      <c r="AL7">
        <v>1.1100000000000001</v>
      </c>
      <c r="AM7" t="s">
        <v>4</v>
      </c>
      <c r="AN7">
        <v>0.82000000000000006</v>
      </c>
      <c r="AO7" t="s">
        <v>4</v>
      </c>
      <c r="AP7">
        <v>7.46</v>
      </c>
      <c r="AQ7">
        <v>36.549999999999997</v>
      </c>
      <c r="AR7" t="s">
        <v>4</v>
      </c>
      <c r="AS7">
        <v>38.26</v>
      </c>
      <c r="AT7">
        <v>1.81</v>
      </c>
      <c r="AU7" t="s">
        <v>4</v>
      </c>
      <c r="AV7" t="s">
        <v>4</v>
      </c>
      <c r="BB7" s="51" t="s">
        <v>186</v>
      </c>
      <c r="BC7">
        <v>44577</v>
      </c>
      <c r="BD7" t="s">
        <v>4</v>
      </c>
      <c r="BE7" t="s">
        <v>4</v>
      </c>
      <c r="BF7" t="s">
        <v>4</v>
      </c>
      <c r="BG7">
        <v>1.99</v>
      </c>
      <c r="BH7" t="s">
        <v>4</v>
      </c>
      <c r="BI7" t="s">
        <v>4</v>
      </c>
      <c r="BJ7">
        <v>4.26</v>
      </c>
      <c r="BK7" t="s">
        <v>4</v>
      </c>
      <c r="BL7">
        <v>137.02000000000001</v>
      </c>
      <c r="BM7" t="s">
        <v>4</v>
      </c>
      <c r="BN7">
        <v>101.71</v>
      </c>
      <c r="BO7">
        <v>24.59</v>
      </c>
      <c r="BP7">
        <v>4.8</v>
      </c>
      <c r="BQ7">
        <v>4.33</v>
      </c>
      <c r="BR7">
        <v>1.1299999999999999</v>
      </c>
      <c r="BS7">
        <v>21.23</v>
      </c>
      <c r="BT7">
        <v>12.49</v>
      </c>
      <c r="BU7" t="s">
        <v>4</v>
      </c>
      <c r="BV7">
        <v>1.9299999999999997</v>
      </c>
      <c r="BW7">
        <v>7.09</v>
      </c>
      <c r="BX7">
        <v>4.07</v>
      </c>
      <c r="BY7">
        <v>45957.55</v>
      </c>
      <c r="BZ7">
        <v>16.72</v>
      </c>
      <c r="CA7" t="s">
        <v>4</v>
      </c>
      <c r="CB7">
        <v>6.08</v>
      </c>
      <c r="CC7" t="s">
        <v>4</v>
      </c>
      <c r="CD7">
        <v>45.66</v>
      </c>
      <c r="CE7">
        <v>1.21</v>
      </c>
      <c r="CF7">
        <v>6.49</v>
      </c>
      <c r="CG7">
        <v>27.73</v>
      </c>
      <c r="CH7" t="s">
        <v>4</v>
      </c>
      <c r="CI7">
        <v>19.309999999999999</v>
      </c>
      <c r="CJ7">
        <v>14.290000000000001</v>
      </c>
      <c r="CK7" t="s">
        <v>4</v>
      </c>
      <c r="CL7">
        <v>23.34</v>
      </c>
      <c r="CM7">
        <v>4.04</v>
      </c>
      <c r="CN7">
        <v>1.1100000000000001</v>
      </c>
      <c r="CO7" t="s">
        <v>4</v>
      </c>
      <c r="CP7">
        <v>0.82000000000000006</v>
      </c>
      <c r="CQ7" t="s">
        <v>4</v>
      </c>
      <c r="CR7">
        <v>7.46</v>
      </c>
      <c r="CS7">
        <v>36.549999999999997</v>
      </c>
      <c r="CT7" t="s">
        <v>4</v>
      </c>
      <c r="CU7">
        <v>38.26</v>
      </c>
      <c r="CV7">
        <v>1.81</v>
      </c>
      <c r="CW7" t="s">
        <v>4</v>
      </c>
      <c r="CX7" t="s">
        <v>4</v>
      </c>
    </row>
    <row r="8" spans="1:102" x14ac:dyDescent="0.25">
      <c r="A8" s="58" t="s">
        <v>187</v>
      </c>
      <c r="B8" t="s">
        <v>4</v>
      </c>
      <c r="C8" t="s">
        <v>4</v>
      </c>
      <c r="D8" t="s">
        <v>4</v>
      </c>
      <c r="E8">
        <v>1.08</v>
      </c>
      <c r="F8" t="s">
        <v>4</v>
      </c>
      <c r="G8" t="s">
        <v>4</v>
      </c>
      <c r="H8">
        <v>2.5099999999999998</v>
      </c>
      <c r="I8" t="s">
        <v>4</v>
      </c>
      <c r="J8">
        <v>120.44</v>
      </c>
      <c r="K8" t="s">
        <v>4</v>
      </c>
      <c r="L8">
        <v>62.84</v>
      </c>
      <c r="M8">
        <v>11.63</v>
      </c>
      <c r="N8" t="s">
        <v>4</v>
      </c>
      <c r="O8" t="s">
        <v>4</v>
      </c>
      <c r="P8">
        <v>1.06</v>
      </c>
      <c r="Q8">
        <v>10.029999999999999</v>
      </c>
      <c r="R8">
        <v>14.45</v>
      </c>
      <c r="S8" t="s">
        <v>4</v>
      </c>
      <c r="T8">
        <v>1</v>
      </c>
      <c r="U8">
        <v>4.0100000000000007</v>
      </c>
      <c r="V8">
        <v>4.29</v>
      </c>
      <c r="W8">
        <v>78710.61</v>
      </c>
      <c r="X8">
        <v>20.03</v>
      </c>
      <c r="Y8" t="s">
        <v>4</v>
      </c>
      <c r="Z8">
        <v>6.35</v>
      </c>
      <c r="AA8" t="s">
        <v>4</v>
      </c>
      <c r="AB8">
        <v>38.299999999999997</v>
      </c>
      <c r="AC8" t="s">
        <v>4</v>
      </c>
      <c r="AD8">
        <v>5.89</v>
      </c>
      <c r="AE8">
        <v>27.270000000000003</v>
      </c>
      <c r="AF8" t="s">
        <v>4</v>
      </c>
      <c r="AG8">
        <v>11.83</v>
      </c>
      <c r="AH8">
        <v>8.06</v>
      </c>
      <c r="AI8" t="s">
        <v>4</v>
      </c>
      <c r="AJ8">
        <v>20.98</v>
      </c>
      <c r="AK8" t="s">
        <v>4</v>
      </c>
      <c r="AL8">
        <v>1.22</v>
      </c>
      <c r="AM8" t="s">
        <v>4</v>
      </c>
      <c r="AN8">
        <v>1.48</v>
      </c>
      <c r="AO8" t="s">
        <v>4</v>
      </c>
      <c r="AP8">
        <v>3.02</v>
      </c>
      <c r="AQ8">
        <v>54.72</v>
      </c>
      <c r="AR8" t="s">
        <v>4</v>
      </c>
      <c r="AS8">
        <v>22.05</v>
      </c>
      <c r="AT8">
        <v>2.5299999999999998</v>
      </c>
      <c r="AU8" t="s">
        <v>4</v>
      </c>
      <c r="AV8" t="s">
        <v>4</v>
      </c>
      <c r="BB8" s="51" t="s">
        <v>187</v>
      </c>
      <c r="BC8">
        <v>44577</v>
      </c>
      <c r="BD8" t="s">
        <v>4</v>
      </c>
      <c r="BE8" t="s">
        <v>4</v>
      </c>
      <c r="BF8" t="s">
        <v>4</v>
      </c>
      <c r="BG8">
        <v>1.08</v>
      </c>
      <c r="BH8" t="s">
        <v>4</v>
      </c>
      <c r="BI8" t="s">
        <v>4</v>
      </c>
      <c r="BJ8">
        <v>2.5099999999999998</v>
      </c>
      <c r="BK8" t="s">
        <v>4</v>
      </c>
      <c r="BL8">
        <v>120.44</v>
      </c>
      <c r="BM8" t="s">
        <v>4</v>
      </c>
      <c r="BN8">
        <v>62.84</v>
      </c>
      <c r="BO8">
        <v>11.63</v>
      </c>
      <c r="BP8" t="s">
        <v>4</v>
      </c>
      <c r="BQ8" t="s">
        <v>4</v>
      </c>
      <c r="BR8">
        <v>1.06</v>
      </c>
      <c r="BS8">
        <v>10.029999999999999</v>
      </c>
      <c r="BT8">
        <v>14.45</v>
      </c>
      <c r="BU8" t="s">
        <v>4</v>
      </c>
      <c r="BV8">
        <v>1</v>
      </c>
      <c r="BW8">
        <v>4.0100000000000007</v>
      </c>
      <c r="BX8">
        <v>4.29</v>
      </c>
      <c r="BY8">
        <v>78710.61</v>
      </c>
      <c r="BZ8">
        <v>20.03</v>
      </c>
      <c r="CA8" t="s">
        <v>4</v>
      </c>
      <c r="CB8">
        <v>6.35</v>
      </c>
      <c r="CC8" t="s">
        <v>4</v>
      </c>
      <c r="CD8">
        <v>38.299999999999997</v>
      </c>
      <c r="CE8" t="s">
        <v>4</v>
      </c>
      <c r="CF8">
        <v>5.89</v>
      </c>
      <c r="CG8">
        <v>27.270000000000003</v>
      </c>
      <c r="CH8" t="s">
        <v>4</v>
      </c>
      <c r="CI8">
        <v>11.83</v>
      </c>
      <c r="CJ8">
        <v>8.06</v>
      </c>
      <c r="CK8" t="s">
        <v>4</v>
      </c>
      <c r="CL8">
        <v>20.98</v>
      </c>
      <c r="CM8" t="s">
        <v>4</v>
      </c>
      <c r="CN8">
        <v>1.22</v>
      </c>
      <c r="CO8" t="s">
        <v>4</v>
      </c>
      <c r="CP8">
        <v>1.48</v>
      </c>
      <c r="CQ8" t="s">
        <v>4</v>
      </c>
      <c r="CR8">
        <v>3.02</v>
      </c>
      <c r="CS8">
        <v>54.72</v>
      </c>
      <c r="CT8" t="s">
        <v>4</v>
      </c>
      <c r="CU8">
        <v>22.05</v>
      </c>
      <c r="CV8">
        <v>2.5299999999999998</v>
      </c>
      <c r="CW8" t="s">
        <v>4</v>
      </c>
      <c r="CX8" t="s">
        <v>4</v>
      </c>
    </row>
    <row r="9" spans="1:102" x14ac:dyDescent="0.25">
      <c r="A9" s="51" t="s">
        <v>191</v>
      </c>
      <c r="B9" t="s">
        <v>4</v>
      </c>
      <c r="C9">
        <v>1.34</v>
      </c>
      <c r="D9" t="s">
        <v>4</v>
      </c>
      <c r="E9" t="s">
        <v>4</v>
      </c>
      <c r="F9" t="s">
        <v>4</v>
      </c>
      <c r="G9" t="s">
        <v>4</v>
      </c>
      <c r="H9">
        <v>1.21</v>
      </c>
      <c r="I9">
        <v>21.61</v>
      </c>
      <c r="J9">
        <v>45.65</v>
      </c>
      <c r="K9" t="s">
        <v>4</v>
      </c>
      <c r="L9">
        <v>21.31</v>
      </c>
      <c r="M9">
        <v>2.57</v>
      </c>
      <c r="N9" t="s">
        <v>4</v>
      </c>
      <c r="O9" t="s">
        <v>4</v>
      </c>
      <c r="P9">
        <v>10.19</v>
      </c>
      <c r="Q9">
        <v>5.24</v>
      </c>
      <c r="R9" t="s">
        <v>4</v>
      </c>
      <c r="S9" t="s">
        <v>4</v>
      </c>
      <c r="T9">
        <v>1.2400000000000002</v>
      </c>
      <c r="U9">
        <v>0.38000000000000012</v>
      </c>
      <c r="V9" t="s">
        <v>4</v>
      </c>
      <c r="W9">
        <v>6908.82</v>
      </c>
      <c r="X9" t="s">
        <v>4</v>
      </c>
      <c r="Y9" t="s">
        <v>4</v>
      </c>
      <c r="Z9" t="s">
        <v>4</v>
      </c>
      <c r="AA9" t="s">
        <v>4</v>
      </c>
      <c r="AB9">
        <v>10.7</v>
      </c>
      <c r="AC9" t="s">
        <v>4</v>
      </c>
      <c r="AD9">
        <v>7.71</v>
      </c>
      <c r="AE9">
        <v>1.1200000000000001</v>
      </c>
      <c r="AF9" t="s">
        <v>4</v>
      </c>
      <c r="AG9">
        <v>1.35</v>
      </c>
      <c r="AH9">
        <v>1.51</v>
      </c>
      <c r="AI9" t="s">
        <v>4</v>
      </c>
      <c r="AJ9" t="s">
        <v>4</v>
      </c>
      <c r="AK9" t="s">
        <v>4</v>
      </c>
      <c r="AL9">
        <v>2.0299999999999998</v>
      </c>
      <c r="AM9" t="s">
        <v>4</v>
      </c>
      <c r="AN9">
        <v>2.77</v>
      </c>
      <c r="AO9">
        <v>7.3</v>
      </c>
      <c r="AP9">
        <v>2.2799999999999998</v>
      </c>
      <c r="AQ9">
        <v>2.5</v>
      </c>
      <c r="AR9" t="s">
        <v>4</v>
      </c>
      <c r="AS9">
        <v>6.34</v>
      </c>
      <c r="AT9" t="s">
        <v>4</v>
      </c>
      <c r="AU9" t="s">
        <v>4</v>
      </c>
      <c r="AV9" t="s">
        <v>4</v>
      </c>
      <c r="BB9" s="51" t="s">
        <v>241</v>
      </c>
      <c r="BC9">
        <v>44577</v>
      </c>
      <c r="BD9" t="s">
        <v>4</v>
      </c>
      <c r="BE9" t="s">
        <v>4</v>
      </c>
      <c r="BF9" t="s">
        <v>4</v>
      </c>
      <c r="BG9">
        <v>1.91</v>
      </c>
      <c r="BH9" t="s">
        <v>4</v>
      </c>
      <c r="BI9" t="s">
        <v>4</v>
      </c>
      <c r="BJ9">
        <v>1.7</v>
      </c>
      <c r="BK9" t="s">
        <v>4</v>
      </c>
      <c r="BL9">
        <v>30.29</v>
      </c>
      <c r="BM9">
        <v>49.410000000000004</v>
      </c>
      <c r="BN9">
        <v>80.16</v>
      </c>
      <c r="BO9">
        <v>8.8699999999999992</v>
      </c>
      <c r="BP9" t="s">
        <v>4</v>
      </c>
      <c r="BQ9" t="s">
        <v>4</v>
      </c>
      <c r="BR9">
        <v>1.08</v>
      </c>
      <c r="BS9" t="s">
        <v>4</v>
      </c>
      <c r="BT9" t="s">
        <v>4</v>
      </c>
      <c r="BU9" t="s">
        <v>4</v>
      </c>
      <c r="BV9">
        <v>4.95</v>
      </c>
      <c r="BW9">
        <v>0.83000000000000007</v>
      </c>
      <c r="BX9" t="s">
        <v>4</v>
      </c>
      <c r="BY9">
        <v>242.88</v>
      </c>
      <c r="BZ9">
        <v>12.31</v>
      </c>
      <c r="CA9">
        <v>5.8</v>
      </c>
      <c r="CB9" t="s">
        <v>4</v>
      </c>
      <c r="CC9" t="s">
        <v>4</v>
      </c>
      <c r="CD9">
        <v>157.19</v>
      </c>
      <c r="CE9" t="s">
        <v>4</v>
      </c>
      <c r="CF9">
        <v>16.559999999999999</v>
      </c>
      <c r="CG9">
        <v>5.59</v>
      </c>
      <c r="CH9" t="s">
        <v>4</v>
      </c>
      <c r="CI9">
        <v>0.61</v>
      </c>
      <c r="CJ9">
        <v>4.63</v>
      </c>
      <c r="CK9" t="s">
        <v>4</v>
      </c>
      <c r="CL9" t="s">
        <v>4</v>
      </c>
      <c r="CM9" t="s">
        <v>4</v>
      </c>
      <c r="CN9">
        <v>4.57</v>
      </c>
      <c r="CO9" t="s">
        <v>4</v>
      </c>
      <c r="CP9">
        <v>1.5099999999999998</v>
      </c>
      <c r="CQ9" t="s">
        <v>4</v>
      </c>
      <c r="CR9">
        <v>33.520000000000003</v>
      </c>
      <c r="CS9" t="s">
        <v>4</v>
      </c>
      <c r="CT9" t="s">
        <v>4</v>
      </c>
      <c r="CU9">
        <v>14.46</v>
      </c>
      <c r="CV9">
        <v>4.07</v>
      </c>
      <c r="CW9" t="s">
        <v>4</v>
      </c>
      <c r="CX9" t="s">
        <v>4</v>
      </c>
    </row>
    <row r="10" spans="1:102" x14ac:dyDescent="0.25">
      <c r="A10" s="51" t="s">
        <v>189</v>
      </c>
      <c r="B10" t="s">
        <v>4</v>
      </c>
      <c r="C10">
        <v>1.1200000000000001</v>
      </c>
      <c r="D10" t="s">
        <v>4</v>
      </c>
      <c r="E10" t="s">
        <v>4</v>
      </c>
      <c r="F10" t="s">
        <v>4</v>
      </c>
      <c r="G10" t="s">
        <v>4</v>
      </c>
      <c r="H10">
        <v>1.73</v>
      </c>
      <c r="I10">
        <v>7.8</v>
      </c>
      <c r="J10">
        <v>72.44</v>
      </c>
      <c r="K10" t="s">
        <v>4</v>
      </c>
      <c r="L10">
        <v>28.73</v>
      </c>
      <c r="M10">
        <v>4.1100000000000003</v>
      </c>
      <c r="N10" t="s">
        <v>4</v>
      </c>
      <c r="O10" t="s">
        <v>4</v>
      </c>
      <c r="P10">
        <v>2.35</v>
      </c>
      <c r="Q10">
        <v>5.95</v>
      </c>
      <c r="R10" t="s">
        <v>4</v>
      </c>
      <c r="S10" t="s">
        <v>4</v>
      </c>
      <c r="T10">
        <v>1.42</v>
      </c>
      <c r="U10">
        <v>2.12</v>
      </c>
      <c r="V10" t="s">
        <v>4</v>
      </c>
      <c r="W10">
        <v>33700.01</v>
      </c>
      <c r="X10" t="s">
        <v>4</v>
      </c>
      <c r="Y10" t="s">
        <v>4</v>
      </c>
      <c r="Z10" t="s">
        <v>4</v>
      </c>
      <c r="AA10" t="s">
        <v>4</v>
      </c>
      <c r="AB10">
        <v>15.55</v>
      </c>
      <c r="AC10" t="s">
        <v>4</v>
      </c>
      <c r="AD10">
        <v>7.13</v>
      </c>
      <c r="AE10">
        <v>1.74</v>
      </c>
      <c r="AF10" t="s">
        <v>4</v>
      </c>
      <c r="AG10" t="s">
        <v>4</v>
      </c>
      <c r="AH10">
        <v>1.1600000000000001</v>
      </c>
      <c r="AI10" t="s">
        <v>4</v>
      </c>
      <c r="AJ10">
        <v>7.11</v>
      </c>
      <c r="AK10" t="s">
        <v>4</v>
      </c>
      <c r="AL10">
        <v>3.14</v>
      </c>
      <c r="AM10" t="s">
        <v>4</v>
      </c>
      <c r="AN10">
        <v>2.29</v>
      </c>
      <c r="AO10" t="s">
        <v>4</v>
      </c>
      <c r="AP10">
        <v>7.07</v>
      </c>
      <c r="AQ10">
        <v>9.9499999999999993</v>
      </c>
      <c r="AR10" t="s">
        <v>4</v>
      </c>
      <c r="AS10">
        <v>7.24</v>
      </c>
      <c r="AT10" t="s">
        <v>4</v>
      </c>
      <c r="AU10">
        <v>0.59</v>
      </c>
      <c r="AV10" t="s">
        <v>4</v>
      </c>
      <c r="BB10" s="51" t="s">
        <v>244</v>
      </c>
      <c r="BC10">
        <v>44577</v>
      </c>
      <c r="BD10" t="s">
        <v>4</v>
      </c>
      <c r="BE10" t="s">
        <v>4</v>
      </c>
      <c r="BF10" t="s">
        <v>4</v>
      </c>
      <c r="BG10" t="s">
        <v>4</v>
      </c>
      <c r="BH10" t="s">
        <v>4</v>
      </c>
      <c r="BI10" t="s">
        <v>4</v>
      </c>
      <c r="BJ10">
        <v>0.66</v>
      </c>
      <c r="BK10" t="s">
        <v>4</v>
      </c>
      <c r="BL10">
        <v>151.62</v>
      </c>
      <c r="BM10" t="s">
        <v>4</v>
      </c>
      <c r="BN10">
        <v>217.58</v>
      </c>
      <c r="BO10">
        <v>48.21</v>
      </c>
      <c r="BP10" t="s">
        <v>4</v>
      </c>
      <c r="BQ10">
        <v>12.75</v>
      </c>
      <c r="BR10">
        <v>0.63</v>
      </c>
      <c r="BS10">
        <v>710.89</v>
      </c>
      <c r="BT10" t="s">
        <v>4</v>
      </c>
      <c r="BU10" t="s">
        <v>4</v>
      </c>
      <c r="BV10">
        <v>11.93</v>
      </c>
      <c r="BW10">
        <v>6585.84</v>
      </c>
      <c r="BX10" t="s">
        <v>4</v>
      </c>
      <c r="BY10">
        <v>109.22</v>
      </c>
      <c r="BZ10">
        <v>9.86</v>
      </c>
      <c r="CA10" t="s">
        <v>4</v>
      </c>
      <c r="CB10" t="s">
        <v>4</v>
      </c>
      <c r="CC10" t="s">
        <v>4</v>
      </c>
      <c r="CD10">
        <v>4918.03</v>
      </c>
      <c r="CE10" t="s">
        <v>4</v>
      </c>
      <c r="CF10">
        <v>23.15</v>
      </c>
      <c r="CG10">
        <v>9.94</v>
      </c>
      <c r="CH10" t="s">
        <v>4</v>
      </c>
      <c r="CI10">
        <v>239.88</v>
      </c>
      <c r="CJ10">
        <v>3.17</v>
      </c>
      <c r="CK10" t="s">
        <v>4</v>
      </c>
      <c r="CL10">
        <v>10808.87</v>
      </c>
      <c r="CM10" t="s">
        <v>4</v>
      </c>
      <c r="CN10">
        <v>11574.01</v>
      </c>
      <c r="CO10" t="s">
        <v>4</v>
      </c>
      <c r="CP10">
        <v>1.23</v>
      </c>
      <c r="CQ10" t="s">
        <v>4</v>
      </c>
      <c r="CR10">
        <v>5.67</v>
      </c>
      <c r="CS10" t="s">
        <v>4</v>
      </c>
      <c r="CT10" t="s">
        <v>4</v>
      </c>
      <c r="CU10">
        <v>12.21</v>
      </c>
      <c r="CV10">
        <v>4.13</v>
      </c>
      <c r="CW10" t="s">
        <v>4</v>
      </c>
      <c r="CX10" t="s">
        <v>4</v>
      </c>
    </row>
    <row r="11" spans="1:102" x14ac:dyDescent="0.25">
      <c r="A11" s="51" t="s">
        <v>190</v>
      </c>
      <c r="B11" t="s">
        <v>4</v>
      </c>
      <c r="C11" t="s">
        <v>4</v>
      </c>
      <c r="D11" t="s">
        <v>4</v>
      </c>
      <c r="E11" t="s">
        <v>4</v>
      </c>
      <c r="F11" t="s">
        <v>4</v>
      </c>
      <c r="G11" t="s">
        <v>4</v>
      </c>
      <c r="H11">
        <v>0.74</v>
      </c>
      <c r="I11" t="s">
        <v>4</v>
      </c>
      <c r="J11">
        <v>27.71</v>
      </c>
      <c r="K11" t="s">
        <v>4</v>
      </c>
      <c r="L11">
        <v>13.54</v>
      </c>
      <c r="M11">
        <v>1.88</v>
      </c>
      <c r="N11" t="s">
        <v>4</v>
      </c>
      <c r="O11" t="s">
        <v>4</v>
      </c>
      <c r="P11">
        <v>0.84</v>
      </c>
      <c r="Q11" t="s">
        <v>4</v>
      </c>
      <c r="R11" t="s">
        <v>4</v>
      </c>
      <c r="S11" t="s">
        <v>4</v>
      </c>
      <c r="T11">
        <v>0.79999999999999982</v>
      </c>
      <c r="U11">
        <v>0.57000000000000006</v>
      </c>
      <c r="V11" t="s">
        <v>4</v>
      </c>
      <c r="W11">
        <v>19313.98</v>
      </c>
      <c r="X11" t="s">
        <v>4</v>
      </c>
      <c r="Y11" t="s">
        <v>4</v>
      </c>
      <c r="Z11" t="s">
        <v>4</v>
      </c>
      <c r="AA11" t="s">
        <v>4</v>
      </c>
      <c r="AB11">
        <v>8.16</v>
      </c>
      <c r="AC11" t="s">
        <v>4</v>
      </c>
      <c r="AD11" t="s">
        <v>4</v>
      </c>
      <c r="AE11">
        <v>1.8499999999999999</v>
      </c>
      <c r="AF11" t="s">
        <v>4</v>
      </c>
      <c r="AG11" t="s">
        <v>4</v>
      </c>
      <c r="AH11">
        <v>1.1300000000000001</v>
      </c>
      <c r="AI11" t="s">
        <v>4</v>
      </c>
      <c r="AJ11" t="s">
        <v>4</v>
      </c>
      <c r="AK11" t="s">
        <v>4</v>
      </c>
      <c r="AL11">
        <v>2.27</v>
      </c>
      <c r="AM11" t="s">
        <v>4</v>
      </c>
      <c r="AN11">
        <v>2.06</v>
      </c>
      <c r="AO11" t="s">
        <v>4</v>
      </c>
      <c r="AP11" t="s">
        <v>4</v>
      </c>
      <c r="AQ11">
        <v>5.65</v>
      </c>
      <c r="AR11" t="s">
        <v>4</v>
      </c>
      <c r="AS11">
        <v>4.66</v>
      </c>
      <c r="AT11" t="s">
        <v>4</v>
      </c>
      <c r="AU11" t="s">
        <v>4</v>
      </c>
      <c r="AV11" t="s">
        <v>4</v>
      </c>
      <c r="BB11" s="51" t="s">
        <v>188</v>
      </c>
      <c r="BC11">
        <v>44577</v>
      </c>
      <c r="BD11" t="s">
        <v>4</v>
      </c>
      <c r="BE11" t="s">
        <v>4</v>
      </c>
      <c r="BF11" t="s">
        <v>4</v>
      </c>
      <c r="BG11">
        <v>11.84</v>
      </c>
      <c r="BH11">
        <v>14.87</v>
      </c>
      <c r="BI11" t="s">
        <v>4</v>
      </c>
      <c r="BJ11">
        <v>3.68</v>
      </c>
      <c r="BK11" t="s">
        <v>4</v>
      </c>
      <c r="BL11">
        <v>302.27999999999997</v>
      </c>
      <c r="BM11" t="s">
        <v>4</v>
      </c>
      <c r="BN11">
        <v>721.16</v>
      </c>
      <c r="BO11">
        <v>145.86000000000001</v>
      </c>
      <c r="BP11" t="s">
        <v>4</v>
      </c>
      <c r="BQ11">
        <v>59.97</v>
      </c>
      <c r="BR11">
        <v>0.57999999999999996</v>
      </c>
      <c r="BS11">
        <v>1475.69</v>
      </c>
      <c r="BT11" t="s">
        <v>4</v>
      </c>
      <c r="BU11" t="s">
        <v>4</v>
      </c>
      <c r="BV11">
        <v>9.1499999999999986</v>
      </c>
      <c r="BW11">
        <v>6032.19</v>
      </c>
      <c r="BX11" t="s">
        <v>4</v>
      </c>
      <c r="BY11">
        <v>28.59</v>
      </c>
      <c r="BZ11">
        <v>7.72</v>
      </c>
      <c r="CA11" t="s">
        <v>4</v>
      </c>
      <c r="CB11">
        <v>0.33</v>
      </c>
      <c r="CC11" t="s">
        <v>4</v>
      </c>
      <c r="CD11">
        <v>10621.34</v>
      </c>
      <c r="CE11" t="s">
        <v>4</v>
      </c>
      <c r="CF11">
        <v>54.87</v>
      </c>
      <c r="CG11">
        <v>21.76</v>
      </c>
      <c r="CH11" t="s">
        <v>4</v>
      </c>
      <c r="CI11">
        <v>116.07</v>
      </c>
      <c r="CJ11">
        <v>16.669999999999998</v>
      </c>
      <c r="CK11">
        <v>5.25</v>
      </c>
      <c r="CL11">
        <v>3992</v>
      </c>
      <c r="CM11" t="s">
        <v>4</v>
      </c>
      <c r="CN11">
        <v>4125.6899999999996</v>
      </c>
      <c r="CO11" t="s">
        <v>4</v>
      </c>
      <c r="CP11">
        <v>0.79</v>
      </c>
      <c r="CQ11" t="s">
        <v>4</v>
      </c>
      <c r="CR11" t="s">
        <v>4</v>
      </c>
      <c r="CS11" t="s">
        <v>4</v>
      </c>
      <c r="CT11" t="s">
        <v>4</v>
      </c>
      <c r="CU11">
        <v>12.8</v>
      </c>
      <c r="CV11">
        <v>4.1100000000000003</v>
      </c>
      <c r="CW11">
        <v>0.82</v>
      </c>
      <c r="CX11" t="s">
        <v>4</v>
      </c>
    </row>
    <row r="12" spans="1:102" x14ac:dyDescent="0.25">
      <c r="A12" s="51" t="s">
        <v>192</v>
      </c>
      <c r="B12">
        <v>4.25</v>
      </c>
      <c r="C12" t="s">
        <v>4</v>
      </c>
      <c r="D12" t="s">
        <v>4</v>
      </c>
      <c r="E12" t="s">
        <v>4</v>
      </c>
      <c r="F12">
        <v>23.88</v>
      </c>
      <c r="G12" t="s">
        <v>4</v>
      </c>
      <c r="H12">
        <v>1.55</v>
      </c>
      <c r="I12" t="s">
        <v>4</v>
      </c>
      <c r="J12">
        <v>54.8</v>
      </c>
      <c r="K12" t="s">
        <v>4</v>
      </c>
      <c r="L12">
        <v>28.48</v>
      </c>
      <c r="M12">
        <v>4.0199999999999996</v>
      </c>
      <c r="N12" t="s">
        <v>4</v>
      </c>
      <c r="O12" t="s">
        <v>4</v>
      </c>
      <c r="P12">
        <v>4.3899999999999997</v>
      </c>
      <c r="Q12" t="s">
        <v>4</v>
      </c>
      <c r="R12" t="s">
        <v>4</v>
      </c>
      <c r="S12" t="s">
        <v>4</v>
      </c>
      <c r="T12">
        <v>2.6500000000000004</v>
      </c>
      <c r="U12">
        <v>0.8600000000000001</v>
      </c>
      <c r="V12" t="s">
        <v>4</v>
      </c>
      <c r="W12">
        <v>38331.160000000003</v>
      </c>
      <c r="X12" t="s">
        <v>4</v>
      </c>
      <c r="Y12" t="s">
        <v>4</v>
      </c>
      <c r="Z12" t="s">
        <v>4</v>
      </c>
      <c r="AA12" t="s">
        <v>4</v>
      </c>
      <c r="AB12">
        <v>16.18</v>
      </c>
      <c r="AC12" t="s">
        <v>4</v>
      </c>
      <c r="AD12" t="s">
        <v>4</v>
      </c>
      <c r="AE12">
        <v>4.34</v>
      </c>
      <c r="AF12" t="s">
        <v>4</v>
      </c>
      <c r="AG12">
        <v>2.5</v>
      </c>
      <c r="AH12">
        <v>1.7200000000000002</v>
      </c>
      <c r="AI12" t="s">
        <v>4</v>
      </c>
      <c r="AJ12">
        <v>13.75</v>
      </c>
      <c r="AK12" t="s">
        <v>4</v>
      </c>
      <c r="AL12">
        <v>2.0499999999999998</v>
      </c>
      <c r="AM12" t="s">
        <v>4</v>
      </c>
      <c r="AN12">
        <v>3.46</v>
      </c>
      <c r="AO12" t="s">
        <v>4</v>
      </c>
      <c r="AP12" t="s">
        <v>4</v>
      </c>
      <c r="AQ12">
        <v>18.309999999999999</v>
      </c>
      <c r="AR12" t="s">
        <v>4</v>
      </c>
      <c r="AS12">
        <v>9.83</v>
      </c>
      <c r="AT12" t="s">
        <v>4</v>
      </c>
      <c r="AU12" t="s">
        <v>4</v>
      </c>
      <c r="AV12">
        <v>2.81</v>
      </c>
      <c r="BB12" s="58" t="s">
        <v>179</v>
      </c>
      <c r="BC12">
        <v>44577</v>
      </c>
      <c r="BD12" t="s">
        <v>4</v>
      </c>
      <c r="BE12" t="s">
        <v>4</v>
      </c>
      <c r="BF12" t="s">
        <v>4</v>
      </c>
      <c r="BG12">
        <v>3.62</v>
      </c>
      <c r="BH12">
        <v>13.65</v>
      </c>
      <c r="BI12">
        <v>19.899999999999999</v>
      </c>
      <c r="BJ12">
        <v>9.5</v>
      </c>
      <c r="BK12" t="s">
        <v>4</v>
      </c>
      <c r="BL12">
        <v>134.44</v>
      </c>
      <c r="BM12">
        <v>2799.52</v>
      </c>
      <c r="BN12">
        <v>303.01</v>
      </c>
      <c r="BO12">
        <v>61.96</v>
      </c>
      <c r="BP12" t="s">
        <v>4</v>
      </c>
      <c r="BQ12">
        <v>16.66</v>
      </c>
      <c r="BR12">
        <v>0.62</v>
      </c>
      <c r="BS12">
        <v>100.02</v>
      </c>
      <c r="BT12" t="s">
        <v>4</v>
      </c>
      <c r="BU12" t="s">
        <v>4</v>
      </c>
      <c r="BV12">
        <v>10.82</v>
      </c>
      <c r="BW12">
        <v>1773.94</v>
      </c>
      <c r="BX12" t="s">
        <v>4</v>
      </c>
      <c r="BY12">
        <v>106.66</v>
      </c>
      <c r="BZ12">
        <v>6.93</v>
      </c>
      <c r="CA12" t="s">
        <v>4</v>
      </c>
      <c r="CB12" t="s">
        <v>4</v>
      </c>
      <c r="CC12" t="s">
        <v>4</v>
      </c>
      <c r="CD12">
        <v>6088.54</v>
      </c>
      <c r="CE12" t="s">
        <v>4</v>
      </c>
      <c r="CF12">
        <v>47.19</v>
      </c>
      <c r="CG12">
        <v>14.879999999999999</v>
      </c>
      <c r="CH12" t="s">
        <v>4</v>
      </c>
      <c r="CI12">
        <v>199.22</v>
      </c>
      <c r="CJ12">
        <v>20.049999999999997</v>
      </c>
      <c r="CK12" t="s">
        <v>4</v>
      </c>
      <c r="CL12">
        <v>3870.35</v>
      </c>
      <c r="CM12" t="s">
        <v>4</v>
      </c>
      <c r="CN12">
        <v>993.72</v>
      </c>
      <c r="CO12" t="s">
        <v>4</v>
      </c>
      <c r="CP12">
        <v>3.19</v>
      </c>
      <c r="CQ12" t="s">
        <v>4</v>
      </c>
      <c r="CR12">
        <v>26.8</v>
      </c>
      <c r="CS12" t="s">
        <v>4</v>
      </c>
      <c r="CT12" t="s">
        <v>4</v>
      </c>
      <c r="CU12">
        <v>41.29</v>
      </c>
      <c r="CV12">
        <v>2.84</v>
      </c>
      <c r="CW12" t="s">
        <v>4</v>
      </c>
      <c r="CX12" t="s">
        <v>4</v>
      </c>
    </row>
    <row r="13" spans="1:102" x14ac:dyDescent="0.25">
      <c r="A13" s="51" t="s">
        <v>193</v>
      </c>
      <c r="B13" t="s">
        <v>4</v>
      </c>
      <c r="C13">
        <v>0.38</v>
      </c>
      <c r="D13" t="s">
        <v>4</v>
      </c>
      <c r="E13" t="s">
        <v>4</v>
      </c>
      <c r="F13" t="s">
        <v>4</v>
      </c>
      <c r="G13" t="s">
        <v>4</v>
      </c>
      <c r="H13">
        <v>1.53</v>
      </c>
      <c r="I13" t="s">
        <v>4</v>
      </c>
      <c r="J13">
        <v>46.64</v>
      </c>
      <c r="K13" t="s">
        <v>4</v>
      </c>
      <c r="L13">
        <v>24.44</v>
      </c>
      <c r="M13">
        <v>3.89</v>
      </c>
      <c r="N13">
        <v>1.23</v>
      </c>
      <c r="O13" t="s">
        <v>4</v>
      </c>
      <c r="P13">
        <v>3.23</v>
      </c>
      <c r="Q13" t="s">
        <v>4</v>
      </c>
      <c r="R13" t="s">
        <v>4</v>
      </c>
      <c r="S13" t="s">
        <v>4</v>
      </c>
      <c r="T13">
        <v>2.1900000000000004</v>
      </c>
      <c r="U13">
        <v>2.2300000000000004</v>
      </c>
      <c r="V13" t="s">
        <v>4</v>
      </c>
      <c r="W13">
        <v>30793.119999999999</v>
      </c>
      <c r="X13">
        <v>2.16</v>
      </c>
      <c r="Y13" t="s">
        <v>4</v>
      </c>
      <c r="Z13" t="s">
        <v>4</v>
      </c>
      <c r="AA13" t="s">
        <v>4</v>
      </c>
      <c r="AB13">
        <v>14.57</v>
      </c>
      <c r="AC13" t="s">
        <v>4</v>
      </c>
      <c r="AD13" t="s">
        <v>4</v>
      </c>
      <c r="AE13">
        <v>3.63</v>
      </c>
      <c r="AF13" t="s">
        <v>4</v>
      </c>
      <c r="AG13">
        <v>2.58</v>
      </c>
      <c r="AH13">
        <v>2.16</v>
      </c>
      <c r="AI13" t="s">
        <v>4</v>
      </c>
      <c r="AJ13">
        <v>13.84</v>
      </c>
      <c r="AK13" t="s">
        <v>4</v>
      </c>
      <c r="AL13">
        <v>3.28</v>
      </c>
      <c r="AM13" t="s">
        <v>4</v>
      </c>
      <c r="AN13">
        <v>3.7100000000000004</v>
      </c>
      <c r="AO13" t="s">
        <v>4</v>
      </c>
      <c r="AP13" t="s">
        <v>4</v>
      </c>
      <c r="AQ13">
        <v>9.94</v>
      </c>
      <c r="AR13" t="s">
        <v>4</v>
      </c>
      <c r="AS13">
        <v>8.06</v>
      </c>
      <c r="AT13">
        <v>0.56000000000000005</v>
      </c>
      <c r="AU13" t="s">
        <v>4</v>
      </c>
      <c r="AV13" t="s">
        <v>4</v>
      </c>
      <c r="BB13" s="51" t="s">
        <v>329</v>
      </c>
      <c r="BC13">
        <v>44577</v>
      </c>
      <c r="BD13" t="s">
        <v>4</v>
      </c>
      <c r="BE13" t="s">
        <v>4</v>
      </c>
      <c r="BF13" t="s">
        <v>4</v>
      </c>
      <c r="BG13">
        <v>4.37</v>
      </c>
      <c r="BH13">
        <v>6.09</v>
      </c>
      <c r="BI13">
        <v>13.59</v>
      </c>
      <c r="BJ13">
        <v>2.79</v>
      </c>
      <c r="BK13" t="s">
        <v>4</v>
      </c>
      <c r="BL13">
        <v>29.23</v>
      </c>
      <c r="BM13" t="s">
        <v>4</v>
      </c>
      <c r="BN13">
        <v>20.45</v>
      </c>
      <c r="BO13">
        <v>3.21</v>
      </c>
      <c r="BP13" t="s">
        <v>4</v>
      </c>
      <c r="BQ13" t="s">
        <v>4</v>
      </c>
      <c r="BR13">
        <v>0.59</v>
      </c>
      <c r="BS13">
        <v>5.73</v>
      </c>
      <c r="BT13" t="s">
        <v>4</v>
      </c>
      <c r="BU13" t="s">
        <v>4</v>
      </c>
      <c r="BV13">
        <v>2.4500000000000002</v>
      </c>
      <c r="BW13">
        <v>5.24</v>
      </c>
      <c r="BX13" t="s">
        <v>4</v>
      </c>
      <c r="BY13">
        <v>203.14</v>
      </c>
      <c r="BZ13">
        <v>3.82</v>
      </c>
      <c r="CA13" t="s">
        <v>4</v>
      </c>
      <c r="CB13" t="s">
        <v>4</v>
      </c>
      <c r="CC13" t="s">
        <v>4</v>
      </c>
      <c r="CD13">
        <v>69.349999999999994</v>
      </c>
      <c r="CE13" t="s">
        <v>4</v>
      </c>
      <c r="CF13" t="s">
        <v>4</v>
      </c>
      <c r="CG13">
        <v>9.2200000000000006</v>
      </c>
      <c r="CH13" t="s">
        <v>4</v>
      </c>
      <c r="CI13">
        <v>6.26</v>
      </c>
      <c r="CJ13">
        <v>5.13</v>
      </c>
      <c r="CK13" t="s">
        <v>4</v>
      </c>
      <c r="CL13" t="s">
        <v>4</v>
      </c>
      <c r="CM13" t="s">
        <v>4</v>
      </c>
      <c r="CN13">
        <v>1.43</v>
      </c>
      <c r="CO13" t="s">
        <v>4</v>
      </c>
      <c r="CP13">
        <v>0.44999999999999996</v>
      </c>
      <c r="CQ13" t="s">
        <v>4</v>
      </c>
      <c r="CR13" t="s">
        <v>4</v>
      </c>
      <c r="CS13">
        <v>4.5</v>
      </c>
      <c r="CT13" t="s">
        <v>4</v>
      </c>
      <c r="CU13">
        <v>5.85</v>
      </c>
      <c r="CV13">
        <v>1.34</v>
      </c>
      <c r="CW13" t="s">
        <v>4</v>
      </c>
      <c r="CX13" t="s">
        <v>4</v>
      </c>
    </row>
    <row r="14" spans="1:102" x14ac:dyDescent="0.25">
      <c r="A14" s="51" t="s">
        <v>194</v>
      </c>
      <c r="B14" t="s">
        <v>4</v>
      </c>
      <c r="C14">
        <v>0.61</v>
      </c>
      <c r="D14" t="s">
        <v>4</v>
      </c>
      <c r="E14" t="s">
        <v>4</v>
      </c>
      <c r="F14" t="s">
        <v>4</v>
      </c>
      <c r="G14" t="s">
        <v>4</v>
      </c>
      <c r="H14">
        <v>1.81</v>
      </c>
      <c r="I14" t="s">
        <v>4</v>
      </c>
      <c r="J14">
        <v>58.1</v>
      </c>
      <c r="K14" t="s">
        <v>4</v>
      </c>
      <c r="L14">
        <v>25.71</v>
      </c>
      <c r="M14">
        <v>4.5199999999999996</v>
      </c>
      <c r="N14" t="s">
        <v>4</v>
      </c>
      <c r="O14" t="s">
        <v>4</v>
      </c>
      <c r="P14">
        <v>1.63</v>
      </c>
      <c r="Q14">
        <v>4.26</v>
      </c>
      <c r="R14" t="s">
        <v>4</v>
      </c>
      <c r="S14" t="s">
        <v>4</v>
      </c>
      <c r="T14">
        <v>1.6799999999999997</v>
      </c>
      <c r="U14">
        <v>1.74</v>
      </c>
      <c r="V14">
        <v>2.48</v>
      </c>
      <c r="W14">
        <v>32982.33</v>
      </c>
      <c r="X14">
        <v>4.3600000000000003</v>
      </c>
      <c r="Y14" t="s">
        <v>4</v>
      </c>
      <c r="Z14">
        <v>0.93</v>
      </c>
      <c r="AA14" t="s">
        <v>4</v>
      </c>
      <c r="AB14">
        <v>16.34</v>
      </c>
      <c r="AC14" t="s">
        <v>4</v>
      </c>
      <c r="AD14">
        <v>4.57</v>
      </c>
      <c r="AE14">
        <v>6.26</v>
      </c>
      <c r="AF14" t="s">
        <v>4</v>
      </c>
      <c r="AG14">
        <v>3.46</v>
      </c>
      <c r="AH14">
        <v>2.71</v>
      </c>
      <c r="AI14" t="s">
        <v>4</v>
      </c>
      <c r="AJ14">
        <v>13.07</v>
      </c>
      <c r="AK14" t="s">
        <v>4</v>
      </c>
      <c r="AL14">
        <v>1.43</v>
      </c>
      <c r="AM14" t="s">
        <v>4</v>
      </c>
      <c r="AN14">
        <v>4.5</v>
      </c>
      <c r="AO14" t="s">
        <v>4</v>
      </c>
      <c r="AP14" t="s">
        <v>4</v>
      </c>
      <c r="AQ14">
        <v>13.8</v>
      </c>
      <c r="AR14" t="s">
        <v>4</v>
      </c>
      <c r="AS14">
        <v>13.3</v>
      </c>
      <c r="AT14">
        <v>4.21</v>
      </c>
      <c r="AU14" t="s">
        <v>4</v>
      </c>
      <c r="AV14" t="s">
        <v>4</v>
      </c>
      <c r="BB14" s="51" t="s">
        <v>191</v>
      </c>
      <c r="BC14">
        <v>44588</v>
      </c>
      <c r="BD14" t="s">
        <v>4</v>
      </c>
      <c r="BE14">
        <v>1.34</v>
      </c>
      <c r="BF14" t="s">
        <v>4</v>
      </c>
      <c r="BG14" t="s">
        <v>4</v>
      </c>
      <c r="BH14" t="s">
        <v>4</v>
      </c>
      <c r="BI14" t="s">
        <v>4</v>
      </c>
      <c r="BJ14">
        <v>1.21</v>
      </c>
      <c r="BK14">
        <v>21.61</v>
      </c>
      <c r="BL14">
        <v>45.65</v>
      </c>
      <c r="BM14" t="s">
        <v>4</v>
      </c>
      <c r="BN14">
        <v>21.31</v>
      </c>
      <c r="BO14">
        <v>2.57</v>
      </c>
      <c r="BP14" t="s">
        <v>4</v>
      </c>
      <c r="BQ14" t="s">
        <v>4</v>
      </c>
      <c r="BR14">
        <v>10.19</v>
      </c>
      <c r="BS14">
        <v>5.24</v>
      </c>
      <c r="BT14" t="s">
        <v>4</v>
      </c>
      <c r="BU14" t="s">
        <v>4</v>
      </c>
      <c r="BV14">
        <v>1.2400000000000002</v>
      </c>
      <c r="BW14">
        <v>0.38000000000000012</v>
      </c>
      <c r="BX14" t="s">
        <v>4</v>
      </c>
      <c r="BY14">
        <v>6908.82</v>
      </c>
      <c r="BZ14" t="s">
        <v>4</v>
      </c>
      <c r="CA14" t="s">
        <v>4</v>
      </c>
      <c r="CB14" t="s">
        <v>4</v>
      </c>
      <c r="CC14" t="s">
        <v>4</v>
      </c>
      <c r="CD14">
        <v>10.7</v>
      </c>
      <c r="CE14" t="s">
        <v>4</v>
      </c>
      <c r="CF14">
        <v>7.71</v>
      </c>
      <c r="CG14">
        <v>1.1200000000000001</v>
      </c>
      <c r="CH14" t="s">
        <v>4</v>
      </c>
      <c r="CI14">
        <v>1.35</v>
      </c>
      <c r="CJ14">
        <v>1.51</v>
      </c>
      <c r="CK14" t="s">
        <v>4</v>
      </c>
      <c r="CL14" t="s">
        <v>4</v>
      </c>
      <c r="CM14" t="s">
        <v>4</v>
      </c>
      <c r="CN14">
        <v>2.0299999999999998</v>
      </c>
      <c r="CO14" t="s">
        <v>4</v>
      </c>
      <c r="CP14">
        <v>2.77</v>
      </c>
      <c r="CQ14">
        <v>7.3</v>
      </c>
      <c r="CR14">
        <v>2.2799999999999998</v>
      </c>
      <c r="CS14">
        <v>2.5</v>
      </c>
      <c r="CT14" t="s">
        <v>4</v>
      </c>
      <c r="CU14">
        <v>6.34</v>
      </c>
      <c r="CV14" t="s">
        <v>4</v>
      </c>
      <c r="CW14" t="s">
        <v>4</v>
      </c>
      <c r="CX14" t="s">
        <v>4</v>
      </c>
    </row>
    <row r="15" spans="1:102" ht="14.4" thickBot="1" x14ac:dyDescent="0.3">
      <c r="A15" s="51" t="s">
        <v>240</v>
      </c>
      <c r="B15" t="s">
        <v>4</v>
      </c>
      <c r="C15">
        <v>0.48</v>
      </c>
      <c r="D15" t="s">
        <v>4</v>
      </c>
      <c r="E15">
        <v>1.04</v>
      </c>
      <c r="F15" t="s">
        <v>4</v>
      </c>
      <c r="G15" t="s">
        <v>4</v>
      </c>
      <c r="H15">
        <v>4.55</v>
      </c>
      <c r="I15" t="s">
        <v>4</v>
      </c>
      <c r="J15">
        <v>100.61</v>
      </c>
      <c r="K15" t="s">
        <v>4</v>
      </c>
      <c r="L15">
        <v>40.69</v>
      </c>
      <c r="M15">
        <v>5.43</v>
      </c>
      <c r="N15" t="s">
        <v>4</v>
      </c>
      <c r="O15" t="s">
        <v>4</v>
      </c>
      <c r="P15">
        <v>5.22</v>
      </c>
      <c r="Q15">
        <v>12.11</v>
      </c>
      <c r="R15" t="s">
        <v>4</v>
      </c>
      <c r="S15" t="s">
        <v>4</v>
      </c>
      <c r="T15">
        <v>3.9899999999999993</v>
      </c>
      <c r="U15">
        <v>5.44</v>
      </c>
      <c r="V15">
        <v>5.37</v>
      </c>
      <c r="W15">
        <v>43988.93</v>
      </c>
      <c r="X15">
        <v>10.25</v>
      </c>
      <c r="Y15">
        <v>28.24</v>
      </c>
      <c r="Z15">
        <v>3.34</v>
      </c>
      <c r="AA15" t="s">
        <v>4</v>
      </c>
      <c r="AB15">
        <v>31.84</v>
      </c>
      <c r="AC15">
        <v>0.9</v>
      </c>
      <c r="AD15">
        <v>6.22</v>
      </c>
      <c r="AE15">
        <v>11.709999999999999</v>
      </c>
      <c r="AF15" t="s">
        <v>4</v>
      </c>
      <c r="AG15">
        <v>9.48</v>
      </c>
      <c r="AH15">
        <v>8.91</v>
      </c>
      <c r="AI15" t="s">
        <v>4</v>
      </c>
      <c r="AJ15">
        <v>20.46</v>
      </c>
      <c r="AK15">
        <v>2.17</v>
      </c>
      <c r="AL15">
        <v>2.8</v>
      </c>
      <c r="AM15">
        <v>0.3</v>
      </c>
      <c r="AN15">
        <v>2.8</v>
      </c>
      <c r="AO15" t="s">
        <v>4</v>
      </c>
      <c r="AP15">
        <v>3.14</v>
      </c>
      <c r="AQ15">
        <v>22.39</v>
      </c>
      <c r="AR15" t="s">
        <v>4</v>
      </c>
      <c r="AS15">
        <v>39.700000000000003</v>
      </c>
      <c r="AT15">
        <v>2.88</v>
      </c>
      <c r="AU15" t="s">
        <v>4</v>
      </c>
      <c r="AV15" t="s">
        <v>4</v>
      </c>
      <c r="BB15" s="53" t="s">
        <v>189</v>
      </c>
      <c r="BC15">
        <v>44588</v>
      </c>
      <c r="BD15" t="s">
        <v>4</v>
      </c>
      <c r="BE15">
        <v>1.1200000000000001</v>
      </c>
      <c r="BF15" t="s">
        <v>4</v>
      </c>
      <c r="BG15" t="s">
        <v>4</v>
      </c>
      <c r="BH15" t="s">
        <v>4</v>
      </c>
      <c r="BI15" t="s">
        <v>4</v>
      </c>
      <c r="BJ15">
        <v>1.73</v>
      </c>
      <c r="BK15">
        <v>7.8</v>
      </c>
      <c r="BL15">
        <v>72.44</v>
      </c>
      <c r="BM15" t="s">
        <v>4</v>
      </c>
      <c r="BN15">
        <v>28.73</v>
      </c>
      <c r="BO15">
        <v>4.1100000000000003</v>
      </c>
      <c r="BP15" t="s">
        <v>4</v>
      </c>
      <c r="BQ15" t="s">
        <v>4</v>
      </c>
      <c r="BR15">
        <v>2.35</v>
      </c>
      <c r="BS15">
        <v>5.95</v>
      </c>
      <c r="BT15" t="s">
        <v>4</v>
      </c>
      <c r="BU15" t="s">
        <v>4</v>
      </c>
      <c r="BV15">
        <v>1.42</v>
      </c>
      <c r="BW15">
        <v>2.12</v>
      </c>
      <c r="BX15" t="s">
        <v>4</v>
      </c>
      <c r="BY15">
        <v>33700.01</v>
      </c>
      <c r="BZ15" t="s">
        <v>4</v>
      </c>
      <c r="CA15" t="s">
        <v>4</v>
      </c>
      <c r="CB15" t="s">
        <v>4</v>
      </c>
      <c r="CC15" t="s">
        <v>4</v>
      </c>
      <c r="CD15">
        <v>15.55</v>
      </c>
      <c r="CE15" t="s">
        <v>4</v>
      </c>
      <c r="CF15">
        <v>7.13</v>
      </c>
      <c r="CG15">
        <v>1.74</v>
      </c>
      <c r="CH15" t="s">
        <v>4</v>
      </c>
      <c r="CI15" t="s">
        <v>4</v>
      </c>
      <c r="CJ15">
        <v>1.1600000000000001</v>
      </c>
      <c r="CK15" t="s">
        <v>4</v>
      </c>
      <c r="CL15">
        <v>7.11</v>
      </c>
      <c r="CM15" t="s">
        <v>4</v>
      </c>
      <c r="CN15">
        <v>3.14</v>
      </c>
      <c r="CO15" t="s">
        <v>4</v>
      </c>
      <c r="CP15">
        <v>2.29</v>
      </c>
      <c r="CQ15" t="s">
        <v>4</v>
      </c>
      <c r="CR15">
        <v>7.07</v>
      </c>
      <c r="CS15">
        <v>9.9499999999999993</v>
      </c>
      <c r="CT15" t="s">
        <v>4</v>
      </c>
      <c r="CU15">
        <v>7.24</v>
      </c>
      <c r="CV15" t="s">
        <v>4</v>
      </c>
      <c r="CW15">
        <v>0.59</v>
      </c>
      <c r="CX15" t="s">
        <v>4</v>
      </c>
    </row>
    <row r="16" spans="1:102" x14ac:dyDescent="0.25">
      <c r="A16" s="51" t="s">
        <v>248</v>
      </c>
      <c r="B16" t="s">
        <v>4</v>
      </c>
      <c r="C16">
        <v>0.78</v>
      </c>
      <c r="D16" t="s">
        <v>4</v>
      </c>
      <c r="E16" t="s">
        <v>4</v>
      </c>
      <c r="F16" t="s">
        <v>4</v>
      </c>
      <c r="G16" t="s">
        <v>4</v>
      </c>
      <c r="H16">
        <v>0.9</v>
      </c>
      <c r="I16">
        <v>3.69</v>
      </c>
      <c r="J16">
        <v>34.24</v>
      </c>
      <c r="K16" t="s">
        <v>4</v>
      </c>
      <c r="L16">
        <v>17.489999999999998</v>
      </c>
      <c r="M16">
        <v>2.44</v>
      </c>
      <c r="N16" t="s">
        <v>4</v>
      </c>
      <c r="O16" t="s">
        <v>4</v>
      </c>
      <c r="P16">
        <v>1.57</v>
      </c>
      <c r="Q16" t="s">
        <v>4</v>
      </c>
      <c r="R16" t="s">
        <v>4</v>
      </c>
      <c r="S16" t="s">
        <v>4</v>
      </c>
      <c r="T16">
        <v>1.6900000000000004</v>
      </c>
      <c r="U16">
        <v>0.62000000000000011</v>
      </c>
      <c r="V16" t="s">
        <v>4</v>
      </c>
      <c r="W16">
        <v>25395.59</v>
      </c>
      <c r="X16">
        <v>2.8</v>
      </c>
      <c r="Y16" t="s">
        <v>4</v>
      </c>
      <c r="Z16" t="s">
        <v>4</v>
      </c>
      <c r="AA16" t="s">
        <v>4</v>
      </c>
      <c r="AB16">
        <v>12.71</v>
      </c>
      <c r="AC16" t="s">
        <v>4</v>
      </c>
      <c r="AD16" t="s">
        <v>4</v>
      </c>
      <c r="AE16">
        <v>3.75</v>
      </c>
      <c r="AF16" t="s">
        <v>4</v>
      </c>
      <c r="AG16">
        <v>2.93</v>
      </c>
      <c r="AH16">
        <v>1.2000000000000002</v>
      </c>
      <c r="AI16" t="s">
        <v>4</v>
      </c>
      <c r="AJ16" t="s">
        <v>4</v>
      </c>
      <c r="AK16" t="s">
        <v>4</v>
      </c>
      <c r="AL16">
        <v>2.12</v>
      </c>
      <c r="AM16" t="s">
        <v>4</v>
      </c>
      <c r="AN16">
        <v>2.37</v>
      </c>
      <c r="AO16" t="s">
        <v>4</v>
      </c>
      <c r="AP16" t="s">
        <v>4</v>
      </c>
      <c r="AQ16">
        <v>6.88</v>
      </c>
      <c r="AR16">
        <v>7.52</v>
      </c>
      <c r="AS16">
        <v>8.92</v>
      </c>
      <c r="AT16">
        <v>1.01</v>
      </c>
      <c r="AU16" t="s">
        <v>4</v>
      </c>
      <c r="AV16" t="s">
        <v>4</v>
      </c>
      <c r="BB16" s="51" t="s">
        <v>190</v>
      </c>
      <c r="BC16">
        <v>44588</v>
      </c>
      <c r="BD16" t="s">
        <v>4</v>
      </c>
      <c r="BE16" t="s">
        <v>4</v>
      </c>
      <c r="BF16" t="s">
        <v>4</v>
      </c>
      <c r="BG16" t="s">
        <v>4</v>
      </c>
      <c r="BH16" t="s">
        <v>4</v>
      </c>
      <c r="BI16" t="s">
        <v>4</v>
      </c>
      <c r="BJ16">
        <v>0.74</v>
      </c>
      <c r="BK16" t="s">
        <v>4</v>
      </c>
      <c r="BL16">
        <v>27.71</v>
      </c>
      <c r="BM16" t="s">
        <v>4</v>
      </c>
      <c r="BN16">
        <v>13.54</v>
      </c>
      <c r="BO16">
        <v>1.88</v>
      </c>
      <c r="BP16" t="s">
        <v>4</v>
      </c>
      <c r="BQ16" t="s">
        <v>4</v>
      </c>
      <c r="BR16">
        <v>0.84</v>
      </c>
      <c r="BS16" t="s">
        <v>4</v>
      </c>
      <c r="BT16" t="s">
        <v>4</v>
      </c>
      <c r="BU16" t="s">
        <v>4</v>
      </c>
      <c r="BV16">
        <v>0.79999999999999982</v>
      </c>
      <c r="BW16">
        <v>0.57000000000000006</v>
      </c>
      <c r="BX16" t="s">
        <v>4</v>
      </c>
      <c r="BY16">
        <v>19313.98</v>
      </c>
      <c r="BZ16" t="s">
        <v>4</v>
      </c>
      <c r="CA16" t="s">
        <v>4</v>
      </c>
      <c r="CB16" t="s">
        <v>4</v>
      </c>
      <c r="CC16" t="s">
        <v>4</v>
      </c>
      <c r="CD16">
        <v>8.16</v>
      </c>
      <c r="CE16" t="s">
        <v>4</v>
      </c>
      <c r="CF16" t="s">
        <v>4</v>
      </c>
      <c r="CG16">
        <v>1.8499999999999999</v>
      </c>
      <c r="CH16" t="s">
        <v>4</v>
      </c>
      <c r="CI16" t="s">
        <v>4</v>
      </c>
      <c r="CJ16">
        <v>1.1300000000000001</v>
      </c>
      <c r="CK16" t="s">
        <v>4</v>
      </c>
      <c r="CL16" t="s">
        <v>4</v>
      </c>
      <c r="CM16" t="s">
        <v>4</v>
      </c>
      <c r="CN16">
        <v>2.27</v>
      </c>
      <c r="CO16" t="s">
        <v>4</v>
      </c>
      <c r="CP16">
        <v>2.06</v>
      </c>
      <c r="CQ16" t="s">
        <v>4</v>
      </c>
      <c r="CR16" t="s">
        <v>4</v>
      </c>
      <c r="CS16">
        <v>5.65</v>
      </c>
      <c r="CT16" t="s">
        <v>4</v>
      </c>
      <c r="CU16">
        <v>4.66</v>
      </c>
      <c r="CV16" t="s">
        <v>4</v>
      </c>
      <c r="CW16" t="s">
        <v>4</v>
      </c>
      <c r="CX16" t="s">
        <v>4</v>
      </c>
    </row>
    <row r="17" spans="1:103" ht="14.4" thickBot="1" x14ac:dyDescent="0.3">
      <c r="A17" s="53" t="s">
        <v>195</v>
      </c>
      <c r="B17" t="s">
        <v>4</v>
      </c>
      <c r="C17">
        <v>0.5</v>
      </c>
      <c r="D17" t="s">
        <v>4</v>
      </c>
      <c r="E17" t="s">
        <v>4</v>
      </c>
      <c r="F17" t="s">
        <v>4</v>
      </c>
      <c r="G17" t="s">
        <v>4</v>
      </c>
      <c r="H17">
        <v>1.26</v>
      </c>
      <c r="I17" t="s">
        <v>4</v>
      </c>
      <c r="J17">
        <v>42.57</v>
      </c>
      <c r="K17" t="s">
        <v>4</v>
      </c>
      <c r="L17">
        <v>14.72</v>
      </c>
      <c r="M17">
        <v>2.4</v>
      </c>
      <c r="N17" t="s">
        <v>4</v>
      </c>
      <c r="O17" t="s">
        <v>4</v>
      </c>
      <c r="P17">
        <v>1.26</v>
      </c>
      <c r="Q17">
        <v>4.84</v>
      </c>
      <c r="R17" t="s">
        <v>4</v>
      </c>
      <c r="S17">
        <v>3.48</v>
      </c>
      <c r="T17">
        <v>1.63</v>
      </c>
      <c r="U17">
        <v>1.99</v>
      </c>
      <c r="V17">
        <v>1.87</v>
      </c>
      <c r="W17">
        <v>19526.45</v>
      </c>
      <c r="X17">
        <v>2.3199999999999998</v>
      </c>
      <c r="Y17" t="s">
        <v>4</v>
      </c>
      <c r="Z17" t="s">
        <v>4</v>
      </c>
      <c r="AA17" t="s">
        <v>4</v>
      </c>
      <c r="AB17">
        <v>11.97</v>
      </c>
      <c r="AC17" t="s">
        <v>4</v>
      </c>
      <c r="AD17" t="s">
        <v>4</v>
      </c>
      <c r="AE17">
        <v>3.9399999999999995</v>
      </c>
      <c r="AF17" t="s">
        <v>4</v>
      </c>
      <c r="AG17">
        <v>3.48</v>
      </c>
      <c r="AH17">
        <v>4.66</v>
      </c>
      <c r="AI17" t="s">
        <v>4</v>
      </c>
      <c r="AJ17">
        <v>13.4</v>
      </c>
      <c r="AK17" t="s">
        <v>4</v>
      </c>
      <c r="AL17">
        <v>1.28</v>
      </c>
      <c r="AM17" t="s">
        <v>4</v>
      </c>
      <c r="AN17">
        <v>2.0099999999999998</v>
      </c>
      <c r="AO17" t="s">
        <v>4</v>
      </c>
      <c r="AP17" t="s">
        <v>4</v>
      </c>
      <c r="AQ17" t="s">
        <v>4</v>
      </c>
      <c r="AR17" t="s">
        <v>4</v>
      </c>
      <c r="AS17">
        <v>17.66</v>
      </c>
      <c r="AT17">
        <v>1.1200000000000001</v>
      </c>
      <c r="AU17" t="s">
        <v>4</v>
      </c>
      <c r="AV17">
        <v>3.76</v>
      </c>
      <c r="BB17" s="51" t="s">
        <v>192</v>
      </c>
      <c r="BC17">
        <v>44588</v>
      </c>
      <c r="BD17">
        <v>4.25</v>
      </c>
      <c r="BE17" t="s">
        <v>4</v>
      </c>
      <c r="BF17" t="s">
        <v>4</v>
      </c>
      <c r="BG17" t="s">
        <v>4</v>
      </c>
      <c r="BH17">
        <v>23.88</v>
      </c>
      <c r="BI17" t="s">
        <v>4</v>
      </c>
      <c r="BJ17">
        <v>1.55</v>
      </c>
      <c r="BK17" t="s">
        <v>4</v>
      </c>
      <c r="BL17">
        <v>54.8</v>
      </c>
      <c r="BM17" t="s">
        <v>4</v>
      </c>
      <c r="BN17">
        <v>28.48</v>
      </c>
      <c r="BO17">
        <v>4.0199999999999996</v>
      </c>
      <c r="BP17" t="s">
        <v>4</v>
      </c>
      <c r="BQ17" t="s">
        <v>4</v>
      </c>
      <c r="BR17">
        <v>4.3899999999999997</v>
      </c>
      <c r="BS17" t="s">
        <v>4</v>
      </c>
      <c r="BT17" t="s">
        <v>4</v>
      </c>
      <c r="BU17" t="s">
        <v>4</v>
      </c>
      <c r="BV17">
        <v>2.6500000000000004</v>
      </c>
      <c r="BW17">
        <v>0.8600000000000001</v>
      </c>
      <c r="BX17" t="s">
        <v>4</v>
      </c>
      <c r="BY17">
        <v>38331.160000000003</v>
      </c>
      <c r="BZ17" t="s">
        <v>4</v>
      </c>
      <c r="CA17" t="s">
        <v>4</v>
      </c>
      <c r="CB17" t="s">
        <v>4</v>
      </c>
      <c r="CC17" t="s">
        <v>4</v>
      </c>
      <c r="CD17">
        <v>16.18</v>
      </c>
      <c r="CE17" t="s">
        <v>4</v>
      </c>
      <c r="CF17" t="s">
        <v>4</v>
      </c>
      <c r="CG17">
        <v>4.34</v>
      </c>
      <c r="CH17" t="s">
        <v>4</v>
      </c>
      <c r="CI17">
        <v>2.5</v>
      </c>
      <c r="CJ17">
        <v>1.7200000000000002</v>
      </c>
      <c r="CK17" t="s">
        <v>4</v>
      </c>
      <c r="CL17">
        <v>13.75</v>
      </c>
      <c r="CM17" t="s">
        <v>4</v>
      </c>
      <c r="CN17">
        <v>2.0499999999999998</v>
      </c>
      <c r="CO17" t="s">
        <v>4</v>
      </c>
      <c r="CP17">
        <v>3.46</v>
      </c>
      <c r="CQ17" t="s">
        <v>4</v>
      </c>
      <c r="CR17" t="s">
        <v>4</v>
      </c>
      <c r="CS17">
        <v>18.309999999999999</v>
      </c>
      <c r="CT17" t="s">
        <v>4</v>
      </c>
      <c r="CU17">
        <v>9.83</v>
      </c>
      <c r="CV17" t="s">
        <v>4</v>
      </c>
      <c r="CW17" t="s">
        <v>4</v>
      </c>
      <c r="CX17">
        <v>2.81</v>
      </c>
    </row>
    <row r="18" spans="1:103" x14ac:dyDescent="0.25">
      <c r="A18" s="51" t="s">
        <v>241</v>
      </c>
      <c r="B18" t="s">
        <v>4</v>
      </c>
      <c r="C18" t="s">
        <v>4</v>
      </c>
      <c r="D18" t="s">
        <v>4</v>
      </c>
      <c r="E18">
        <v>1.91</v>
      </c>
      <c r="F18" t="s">
        <v>4</v>
      </c>
      <c r="G18" t="s">
        <v>4</v>
      </c>
      <c r="H18">
        <v>1.7</v>
      </c>
      <c r="I18" t="s">
        <v>4</v>
      </c>
      <c r="J18">
        <v>30.29</v>
      </c>
      <c r="K18">
        <v>49.410000000000004</v>
      </c>
      <c r="L18">
        <v>80.16</v>
      </c>
      <c r="M18">
        <v>8.8699999999999992</v>
      </c>
      <c r="N18" t="s">
        <v>4</v>
      </c>
      <c r="O18" t="s">
        <v>4</v>
      </c>
      <c r="P18">
        <v>1.08</v>
      </c>
      <c r="Q18" t="s">
        <v>4</v>
      </c>
      <c r="R18" t="s">
        <v>4</v>
      </c>
      <c r="S18" t="s">
        <v>4</v>
      </c>
      <c r="T18">
        <v>4.95</v>
      </c>
      <c r="U18">
        <v>0.83000000000000007</v>
      </c>
      <c r="V18" t="s">
        <v>4</v>
      </c>
      <c r="W18">
        <v>242.88</v>
      </c>
      <c r="X18">
        <v>12.31</v>
      </c>
      <c r="Y18">
        <v>5.8</v>
      </c>
      <c r="Z18" t="s">
        <v>4</v>
      </c>
      <c r="AA18" t="s">
        <v>4</v>
      </c>
      <c r="AB18">
        <v>157.19</v>
      </c>
      <c r="AC18" t="s">
        <v>4</v>
      </c>
      <c r="AD18">
        <v>16.559999999999999</v>
      </c>
      <c r="AE18">
        <v>5.59</v>
      </c>
      <c r="AF18" t="s">
        <v>4</v>
      </c>
      <c r="AG18">
        <v>0.61</v>
      </c>
      <c r="AH18">
        <v>4.63</v>
      </c>
      <c r="AI18" t="s">
        <v>4</v>
      </c>
      <c r="AJ18" t="s">
        <v>4</v>
      </c>
      <c r="AK18" t="s">
        <v>4</v>
      </c>
      <c r="AL18">
        <v>4.57</v>
      </c>
      <c r="AM18" t="s">
        <v>4</v>
      </c>
      <c r="AN18">
        <v>1.5099999999999998</v>
      </c>
      <c r="AO18" t="s">
        <v>4</v>
      </c>
      <c r="AP18">
        <v>33.520000000000003</v>
      </c>
      <c r="AQ18" t="s">
        <v>4</v>
      </c>
      <c r="AR18" t="s">
        <v>4</v>
      </c>
      <c r="AS18">
        <v>14.46</v>
      </c>
      <c r="AT18">
        <v>4.07</v>
      </c>
      <c r="AU18" t="s">
        <v>4</v>
      </c>
      <c r="AV18" t="s">
        <v>4</v>
      </c>
      <c r="BB18" s="51" t="s">
        <v>193</v>
      </c>
      <c r="BC18">
        <v>44588</v>
      </c>
      <c r="BD18" t="s">
        <v>4</v>
      </c>
      <c r="BE18">
        <v>0.38</v>
      </c>
      <c r="BF18" t="s">
        <v>4</v>
      </c>
      <c r="BG18" t="s">
        <v>4</v>
      </c>
      <c r="BH18" t="s">
        <v>4</v>
      </c>
      <c r="BI18" t="s">
        <v>4</v>
      </c>
      <c r="BJ18">
        <v>1.53</v>
      </c>
      <c r="BK18" t="s">
        <v>4</v>
      </c>
      <c r="BL18">
        <v>46.64</v>
      </c>
      <c r="BM18" t="s">
        <v>4</v>
      </c>
      <c r="BN18">
        <v>24.44</v>
      </c>
      <c r="BO18">
        <v>3.89</v>
      </c>
      <c r="BP18">
        <v>1.23</v>
      </c>
      <c r="BQ18" t="s">
        <v>4</v>
      </c>
      <c r="BR18">
        <v>3.23</v>
      </c>
      <c r="BS18" t="s">
        <v>4</v>
      </c>
      <c r="BT18" t="s">
        <v>4</v>
      </c>
      <c r="BU18" t="s">
        <v>4</v>
      </c>
      <c r="BV18">
        <v>2.1900000000000004</v>
      </c>
      <c r="BW18">
        <v>2.2300000000000004</v>
      </c>
      <c r="BX18" t="s">
        <v>4</v>
      </c>
      <c r="BY18">
        <v>30793.119999999999</v>
      </c>
      <c r="BZ18">
        <v>2.16</v>
      </c>
      <c r="CA18" t="s">
        <v>4</v>
      </c>
      <c r="CB18" t="s">
        <v>4</v>
      </c>
      <c r="CC18" t="s">
        <v>4</v>
      </c>
      <c r="CD18">
        <v>14.57</v>
      </c>
      <c r="CE18" t="s">
        <v>4</v>
      </c>
      <c r="CF18" t="s">
        <v>4</v>
      </c>
      <c r="CG18">
        <v>3.63</v>
      </c>
      <c r="CH18" t="s">
        <v>4</v>
      </c>
      <c r="CI18">
        <v>2.58</v>
      </c>
      <c r="CJ18">
        <v>2.16</v>
      </c>
      <c r="CK18" t="s">
        <v>4</v>
      </c>
      <c r="CL18">
        <v>13.84</v>
      </c>
      <c r="CM18" t="s">
        <v>4</v>
      </c>
      <c r="CN18">
        <v>3.28</v>
      </c>
      <c r="CO18" t="s">
        <v>4</v>
      </c>
      <c r="CP18">
        <v>3.7100000000000004</v>
      </c>
      <c r="CQ18" t="s">
        <v>4</v>
      </c>
      <c r="CR18" t="s">
        <v>4</v>
      </c>
      <c r="CS18">
        <v>9.94</v>
      </c>
      <c r="CT18" t="s">
        <v>4</v>
      </c>
      <c r="CU18">
        <v>8.06</v>
      </c>
      <c r="CV18">
        <v>0.56000000000000005</v>
      </c>
      <c r="CW18" t="s">
        <v>4</v>
      </c>
      <c r="CX18" t="s">
        <v>4</v>
      </c>
    </row>
    <row r="19" spans="1:103" x14ac:dyDescent="0.25">
      <c r="A19" s="51" t="s">
        <v>179</v>
      </c>
      <c r="B19" t="s">
        <v>4</v>
      </c>
      <c r="C19" t="s">
        <v>4</v>
      </c>
      <c r="D19" t="s">
        <v>4</v>
      </c>
      <c r="E19">
        <v>3.62</v>
      </c>
      <c r="F19">
        <v>13.65</v>
      </c>
      <c r="G19">
        <v>19.899999999999999</v>
      </c>
      <c r="H19">
        <v>9.5</v>
      </c>
      <c r="I19" t="s">
        <v>4</v>
      </c>
      <c r="J19">
        <v>134.44</v>
      </c>
      <c r="K19">
        <v>2799.52</v>
      </c>
      <c r="L19">
        <v>303.01</v>
      </c>
      <c r="M19">
        <v>61.96</v>
      </c>
      <c r="N19" t="s">
        <v>4</v>
      </c>
      <c r="O19">
        <v>16.66</v>
      </c>
      <c r="P19">
        <v>0.62</v>
      </c>
      <c r="Q19">
        <v>100.02</v>
      </c>
      <c r="R19" t="s">
        <v>4</v>
      </c>
      <c r="S19" t="s">
        <v>4</v>
      </c>
      <c r="T19">
        <v>10.82</v>
      </c>
      <c r="U19">
        <v>1773.94</v>
      </c>
      <c r="V19" t="s">
        <v>4</v>
      </c>
      <c r="W19">
        <v>106.66</v>
      </c>
      <c r="X19">
        <v>6.93</v>
      </c>
      <c r="Y19" t="s">
        <v>4</v>
      </c>
      <c r="Z19" t="s">
        <v>4</v>
      </c>
      <c r="AA19" t="s">
        <v>4</v>
      </c>
      <c r="AB19">
        <v>6088.54</v>
      </c>
      <c r="AC19" t="s">
        <v>4</v>
      </c>
      <c r="AD19">
        <v>47.19</v>
      </c>
      <c r="AE19">
        <v>14.879999999999999</v>
      </c>
      <c r="AF19" t="s">
        <v>4</v>
      </c>
      <c r="AG19">
        <v>199.22</v>
      </c>
      <c r="AH19">
        <v>20.049999999999997</v>
      </c>
      <c r="AI19" t="s">
        <v>4</v>
      </c>
      <c r="AJ19">
        <v>3870.35</v>
      </c>
      <c r="AK19" t="s">
        <v>4</v>
      </c>
      <c r="AL19">
        <v>993.72</v>
      </c>
      <c r="AM19" t="s">
        <v>4</v>
      </c>
      <c r="AN19">
        <v>3.19</v>
      </c>
      <c r="AO19" t="s">
        <v>4</v>
      </c>
      <c r="AP19">
        <v>26.8</v>
      </c>
      <c r="AQ19" t="s">
        <v>4</v>
      </c>
      <c r="AR19" t="s">
        <v>4</v>
      </c>
      <c r="AS19">
        <v>41.29</v>
      </c>
      <c r="AT19">
        <v>2.84</v>
      </c>
      <c r="AU19" t="s">
        <v>4</v>
      </c>
      <c r="AV19" t="s">
        <v>4</v>
      </c>
      <c r="BB19" s="51" t="s">
        <v>194</v>
      </c>
      <c r="BC19">
        <v>44588</v>
      </c>
      <c r="BD19" t="s">
        <v>4</v>
      </c>
      <c r="BE19">
        <v>0.61</v>
      </c>
      <c r="BF19" t="s">
        <v>4</v>
      </c>
      <c r="BG19" t="s">
        <v>4</v>
      </c>
      <c r="BH19" t="s">
        <v>4</v>
      </c>
      <c r="BI19" t="s">
        <v>4</v>
      </c>
      <c r="BJ19">
        <v>1.81</v>
      </c>
      <c r="BK19" t="s">
        <v>4</v>
      </c>
      <c r="BL19">
        <v>58.1</v>
      </c>
      <c r="BM19" t="s">
        <v>4</v>
      </c>
      <c r="BN19">
        <v>25.71</v>
      </c>
      <c r="BO19">
        <v>4.5199999999999996</v>
      </c>
      <c r="BP19" t="s">
        <v>4</v>
      </c>
      <c r="BQ19" t="s">
        <v>4</v>
      </c>
      <c r="BR19">
        <v>1.63</v>
      </c>
      <c r="BS19">
        <v>4.26</v>
      </c>
      <c r="BT19" t="s">
        <v>4</v>
      </c>
      <c r="BU19" t="s">
        <v>4</v>
      </c>
      <c r="BV19">
        <v>1.6799999999999997</v>
      </c>
      <c r="BW19">
        <v>1.74</v>
      </c>
      <c r="BX19">
        <v>2.48</v>
      </c>
      <c r="BY19">
        <v>32982.33</v>
      </c>
      <c r="BZ19">
        <v>4.3600000000000003</v>
      </c>
      <c r="CA19" t="s">
        <v>4</v>
      </c>
      <c r="CB19">
        <v>0.93</v>
      </c>
      <c r="CC19" t="s">
        <v>4</v>
      </c>
      <c r="CD19">
        <v>16.34</v>
      </c>
      <c r="CE19" t="s">
        <v>4</v>
      </c>
      <c r="CF19">
        <v>4.57</v>
      </c>
      <c r="CG19">
        <v>6.26</v>
      </c>
      <c r="CH19" t="s">
        <v>4</v>
      </c>
      <c r="CI19">
        <v>3.46</v>
      </c>
      <c r="CJ19">
        <v>2.71</v>
      </c>
      <c r="CK19" t="s">
        <v>4</v>
      </c>
      <c r="CL19">
        <v>13.07</v>
      </c>
      <c r="CM19" t="s">
        <v>4</v>
      </c>
      <c r="CN19">
        <v>1.43</v>
      </c>
      <c r="CO19" t="s">
        <v>4</v>
      </c>
      <c r="CP19">
        <v>4.5</v>
      </c>
      <c r="CQ19" t="s">
        <v>4</v>
      </c>
      <c r="CR19" t="s">
        <v>4</v>
      </c>
      <c r="CS19">
        <v>13.8</v>
      </c>
      <c r="CT19" t="s">
        <v>4</v>
      </c>
      <c r="CU19">
        <v>13.3</v>
      </c>
      <c r="CV19">
        <v>4.21</v>
      </c>
      <c r="CW19" t="s">
        <v>4</v>
      </c>
      <c r="CX19" t="s">
        <v>4</v>
      </c>
    </row>
    <row r="20" spans="1:103" x14ac:dyDescent="0.25">
      <c r="A20" s="58" t="s">
        <v>329</v>
      </c>
      <c r="B20" t="s">
        <v>4</v>
      </c>
      <c r="C20" t="s">
        <v>4</v>
      </c>
      <c r="D20" t="s">
        <v>4</v>
      </c>
      <c r="E20">
        <v>4.37</v>
      </c>
      <c r="F20">
        <v>6.09</v>
      </c>
      <c r="G20">
        <v>13.59</v>
      </c>
      <c r="H20">
        <v>2.79</v>
      </c>
      <c r="I20" t="s">
        <v>4</v>
      </c>
      <c r="J20">
        <v>29.23</v>
      </c>
      <c r="K20" t="s">
        <v>4</v>
      </c>
      <c r="L20">
        <v>20.45</v>
      </c>
      <c r="M20">
        <v>3.21</v>
      </c>
      <c r="N20" t="s">
        <v>4</v>
      </c>
      <c r="O20" t="s">
        <v>4</v>
      </c>
      <c r="P20">
        <v>0.59</v>
      </c>
      <c r="Q20">
        <v>5.73</v>
      </c>
      <c r="R20" t="s">
        <v>4</v>
      </c>
      <c r="S20" t="s">
        <v>4</v>
      </c>
      <c r="T20">
        <v>2.4500000000000002</v>
      </c>
      <c r="U20">
        <v>5.24</v>
      </c>
      <c r="V20" t="s">
        <v>4</v>
      </c>
      <c r="W20">
        <v>203.14</v>
      </c>
      <c r="X20">
        <v>3.82</v>
      </c>
      <c r="Y20" t="s">
        <v>4</v>
      </c>
      <c r="Z20" t="s">
        <v>4</v>
      </c>
      <c r="AA20" t="s">
        <v>4</v>
      </c>
      <c r="AB20">
        <v>69.349999999999994</v>
      </c>
      <c r="AC20" t="s">
        <v>4</v>
      </c>
      <c r="AD20" t="s">
        <v>4</v>
      </c>
      <c r="AE20">
        <v>9.2200000000000006</v>
      </c>
      <c r="AF20" t="s">
        <v>4</v>
      </c>
      <c r="AG20">
        <v>6.26</v>
      </c>
      <c r="AH20">
        <v>5.13</v>
      </c>
      <c r="AI20" t="s">
        <v>4</v>
      </c>
      <c r="AJ20" t="s">
        <v>4</v>
      </c>
      <c r="AK20" t="s">
        <v>4</v>
      </c>
      <c r="AL20">
        <v>1.43</v>
      </c>
      <c r="AM20" t="s">
        <v>4</v>
      </c>
      <c r="AN20">
        <v>0.44999999999999996</v>
      </c>
      <c r="AO20" t="s">
        <v>4</v>
      </c>
      <c r="AP20" t="s">
        <v>4</v>
      </c>
      <c r="AQ20">
        <v>4.5</v>
      </c>
      <c r="AR20" t="s">
        <v>4</v>
      </c>
      <c r="AS20">
        <v>5.85</v>
      </c>
      <c r="AT20">
        <v>1.34</v>
      </c>
      <c r="AU20" t="s">
        <v>4</v>
      </c>
      <c r="AV20" t="s">
        <v>4</v>
      </c>
      <c r="BB20" s="51" t="s">
        <v>240</v>
      </c>
      <c r="BC20">
        <v>44588.395833333336</v>
      </c>
      <c r="BD20" t="s">
        <v>4</v>
      </c>
      <c r="BE20">
        <v>0.48</v>
      </c>
      <c r="BF20" t="s">
        <v>4</v>
      </c>
      <c r="BG20">
        <v>1.04</v>
      </c>
      <c r="BH20" t="s">
        <v>4</v>
      </c>
      <c r="BI20" t="s">
        <v>4</v>
      </c>
      <c r="BJ20">
        <v>4.55</v>
      </c>
      <c r="BK20" t="s">
        <v>4</v>
      </c>
      <c r="BL20">
        <v>100.61</v>
      </c>
      <c r="BM20" t="s">
        <v>4</v>
      </c>
      <c r="BN20">
        <v>40.69</v>
      </c>
      <c r="BO20">
        <v>5.43</v>
      </c>
      <c r="BP20" t="s">
        <v>4</v>
      </c>
      <c r="BQ20" t="s">
        <v>4</v>
      </c>
      <c r="BR20">
        <v>5.22</v>
      </c>
      <c r="BS20">
        <v>12.11</v>
      </c>
      <c r="BT20" t="s">
        <v>4</v>
      </c>
      <c r="BU20" t="s">
        <v>4</v>
      </c>
      <c r="BV20">
        <v>3.9899999999999993</v>
      </c>
      <c r="BW20">
        <v>5.44</v>
      </c>
      <c r="BX20">
        <v>5.37</v>
      </c>
      <c r="BY20">
        <v>43988.93</v>
      </c>
      <c r="BZ20">
        <v>10.25</v>
      </c>
      <c r="CA20">
        <v>28.24</v>
      </c>
      <c r="CB20">
        <v>3.34</v>
      </c>
      <c r="CC20" t="s">
        <v>4</v>
      </c>
      <c r="CD20">
        <v>31.84</v>
      </c>
      <c r="CE20">
        <v>0.9</v>
      </c>
      <c r="CF20">
        <v>6.22</v>
      </c>
      <c r="CG20">
        <v>11.709999999999999</v>
      </c>
      <c r="CH20" t="s">
        <v>4</v>
      </c>
      <c r="CI20">
        <v>9.48</v>
      </c>
      <c r="CJ20">
        <v>8.91</v>
      </c>
      <c r="CK20" t="s">
        <v>4</v>
      </c>
      <c r="CL20">
        <v>20.46</v>
      </c>
      <c r="CM20">
        <v>2.17</v>
      </c>
      <c r="CN20">
        <v>2.8</v>
      </c>
      <c r="CO20">
        <v>0.3</v>
      </c>
      <c r="CP20">
        <v>2.8</v>
      </c>
      <c r="CQ20" t="s">
        <v>4</v>
      </c>
      <c r="CR20">
        <v>3.14</v>
      </c>
      <c r="CS20">
        <v>22.39</v>
      </c>
      <c r="CT20" t="s">
        <v>4</v>
      </c>
      <c r="CU20">
        <v>39.700000000000003</v>
      </c>
      <c r="CV20">
        <v>2.88</v>
      </c>
      <c r="CW20" t="s">
        <v>4</v>
      </c>
      <c r="CX20" t="s">
        <v>4</v>
      </c>
    </row>
    <row r="21" spans="1:103" x14ac:dyDescent="0.25">
      <c r="A21" s="51" t="s">
        <v>196</v>
      </c>
      <c r="B21" t="s">
        <v>4</v>
      </c>
      <c r="C21" t="s">
        <v>4</v>
      </c>
      <c r="D21" t="s">
        <v>4</v>
      </c>
      <c r="E21">
        <v>14.01</v>
      </c>
      <c r="F21">
        <v>19.52</v>
      </c>
      <c r="G21">
        <v>27.13</v>
      </c>
      <c r="H21">
        <v>1.57</v>
      </c>
      <c r="I21" t="s">
        <v>4</v>
      </c>
      <c r="J21">
        <v>24.95</v>
      </c>
      <c r="K21" t="s">
        <v>4</v>
      </c>
      <c r="L21">
        <v>115.3</v>
      </c>
      <c r="M21">
        <v>14.56</v>
      </c>
      <c r="N21" t="s">
        <v>4</v>
      </c>
      <c r="O21">
        <v>3.28</v>
      </c>
      <c r="P21">
        <v>1.58</v>
      </c>
      <c r="Q21">
        <v>10.35</v>
      </c>
      <c r="R21" t="s">
        <v>4</v>
      </c>
      <c r="S21" t="s">
        <v>4</v>
      </c>
      <c r="T21">
        <v>6.44</v>
      </c>
      <c r="U21">
        <v>0.90999999999999992</v>
      </c>
      <c r="V21" t="s">
        <v>4</v>
      </c>
      <c r="W21">
        <v>2554.81</v>
      </c>
      <c r="X21">
        <v>5.94</v>
      </c>
      <c r="Y21" t="s">
        <v>4</v>
      </c>
      <c r="Z21" t="s">
        <v>4</v>
      </c>
      <c r="AA21" t="s">
        <v>4</v>
      </c>
      <c r="AB21">
        <v>38.549999999999997</v>
      </c>
      <c r="AC21" t="s">
        <v>4</v>
      </c>
      <c r="AD21">
        <v>7.49</v>
      </c>
      <c r="AE21">
        <v>19.580000000000002</v>
      </c>
      <c r="AF21" t="s">
        <v>4</v>
      </c>
      <c r="AG21">
        <v>15.83</v>
      </c>
      <c r="AH21">
        <v>6.5</v>
      </c>
      <c r="AI21" t="s">
        <v>4</v>
      </c>
      <c r="AJ21" t="s">
        <v>4</v>
      </c>
      <c r="AK21" t="s">
        <v>4</v>
      </c>
      <c r="AL21">
        <v>1.1200000000000001</v>
      </c>
      <c r="AM21" t="s">
        <v>4</v>
      </c>
      <c r="AN21">
        <v>0.8</v>
      </c>
      <c r="AO21" t="s">
        <v>4</v>
      </c>
      <c r="AP21">
        <v>8.01</v>
      </c>
      <c r="AQ21">
        <v>4.71</v>
      </c>
      <c r="AR21" t="s">
        <v>4</v>
      </c>
      <c r="AS21">
        <v>8.1999999999999993</v>
      </c>
      <c r="AT21">
        <v>0.89</v>
      </c>
      <c r="AU21" t="s">
        <v>4</v>
      </c>
      <c r="AV21" t="s">
        <v>4</v>
      </c>
      <c r="BB21" s="51" t="s">
        <v>248</v>
      </c>
      <c r="BC21">
        <v>44588.583333333336</v>
      </c>
      <c r="BD21" t="s">
        <v>4</v>
      </c>
      <c r="BE21">
        <v>0.78</v>
      </c>
      <c r="BF21" t="s">
        <v>4</v>
      </c>
      <c r="BG21" t="s">
        <v>4</v>
      </c>
      <c r="BH21" t="s">
        <v>4</v>
      </c>
      <c r="BI21" t="s">
        <v>4</v>
      </c>
      <c r="BJ21">
        <v>0.9</v>
      </c>
      <c r="BK21">
        <v>3.69</v>
      </c>
      <c r="BL21">
        <v>34.24</v>
      </c>
      <c r="BM21" t="s">
        <v>4</v>
      </c>
      <c r="BN21">
        <v>17.489999999999998</v>
      </c>
      <c r="BO21">
        <v>2.44</v>
      </c>
      <c r="BP21" t="s">
        <v>4</v>
      </c>
      <c r="BQ21" t="s">
        <v>4</v>
      </c>
      <c r="BR21">
        <v>1.57</v>
      </c>
      <c r="BS21" t="s">
        <v>4</v>
      </c>
      <c r="BT21" t="s">
        <v>4</v>
      </c>
      <c r="BU21" t="s">
        <v>4</v>
      </c>
      <c r="BV21">
        <v>1.6900000000000004</v>
      </c>
      <c r="BW21">
        <v>0.62000000000000011</v>
      </c>
      <c r="BX21" t="s">
        <v>4</v>
      </c>
      <c r="BY21">
        <v>25395.59</v>
      </c>
      <c r="BZ21">
        <v>2.8</v>
      </c>
      <c r="CA21" t="s">
        <v>4</v>
      </c>
      <c r="CB21" t="s">
        <v>4</v>
      </c>
      <c r="CC21" t="s">
        <v>4</v>
      </c>
      <c r="CD21">
        <v>12.71</v>
      </c>
      <c r="CE21" t="s">
        <v>4</v>
      </c>
      <c r="CF21" t="s">
        <v>4</v>
      </c>
      <c r="CG21">
        <v>3.75</v>
      </c>
      <c r="CH21" t="s">
        <v>4</v>
      </c>
      <c r="CI21">
        <v>2.93</v>
      </c>
      <c r="CJ21">
        <v>1.2000000000000002</v>
      </c>
      <c r="CK21" t="s">
        <v>4</v>
      </c>
      <c r="CL21" t="s">
        <v>4</v>
      </c>
      <c r="CM21" t="s">
        <v>4</v>
      </c>
      <c r="CN21">
        <v>2.12</v>
      </c>
      <c r="CO21" t="s">
        <v>4</v>
      </c>
      <c r="CP21">
        <v>2.37</v>
      </c>
      <c r="CQ21" t="s">
        <v>4</v>
      </c>
      <c r="CR21" t="s">
        <v>4</v>
      </c>
      <c r="CS21">
        <v>6.88</v>
      </c>
      <c r="CT21">
        <v>7.52</v>
      </c>
      <c r="CU21">
        <v>8.92</v>
      </c>
      <c r="CV21">
        <v>1.01</v>
      </c>
      <c r="CW21" t="s">
        <v>4</v>
      </c>
      <c r="CX21" t="s">
        <v>4</v>
      </c>
    </row>
    <row r="22" spans="1:103" x14ac:dyDescent="0.25">
      <c r="A22" s="51" t="s">
        <v>197</v>
      </c>
      <c r="B22" t="s">
        <v>4</v>
      </c>
      <c r="C22">
        <v>0.47</v>
      </c>
      <c r="D22">
        <v>0.51</v>
      </c>
      <c r="E22">
        <v>24.12</v>
      </c>
      <c r="F22">
        <v>36.799999999999997</v>
      </c>
      <c r="G22">
        <v>54.15</v>
      </c>
      <c r="H22">
        <v>2.86</v>
      </c>
      <c r="I22" t="s">
        <v>4</v>
      </c>
      <c r="J22">
        <v>150.19</v>
      </c>
      <c r="K22" t="s">
        <v>4</v>
      </c>
      <c r="L22">
        <v>208.27</v>
      </c>
      <c r="M22">
        <v>32.03</v>
      </c>
      <c r="N22" t="s">
        <v>4</v>
      </c>
      <c r="O22">
        <v>9.9700000000000006</v>
      </c>
      <c r="P22">
        <v>1.48</v>
      </c>
      <c r="Q22">
        <v>30.68</v>
      </c>
      <c r="R22" t="s">
        <v>4</v>
      </c>
      <c r="S22" t="s">
        <v>4</v>
      </c>
      <c r="T22">
        <v>17.12</v>
      </c>
      <c r="U22">
        <v>1.55</v>
      </c>
      <c r="V22" t="s">
        <v>4</v>
      </c>
      <c r="W22">
        <v>194.05</v>
      </c>
      <c r="X22">
        <v>3.61</v>
      </c>
      <c r="Y22" t="s">
        <v>4</v>
      </c>
      <c r="Z22" t="s">
        <v>4</v>
      </c>
      <c r="AA22" t="s">
        <v>4</v>
      </c>
      <c r="AB22">
        <v>84.26</v>
      </c>
      <c r="AC22" t="s">
        <v>4</v>
      </c>
      <c r="AD22">
        <v>17.53</v>
      </c>
      <c r="AE22">
        <v>20.94</v>
      </c>
      <c r="AF22" t="s">
        <v>4</v>
      </c>
      <c r="AG22">
        <v>55.11</v>
      </c>
      <c r="AH22">
        <v>10.02</v>
      </c>
      <c r="AI22" t="s">
        <v>4</v>
      </c>
      <c r="AJ22" t="s">
        <v>4</v>
      </c>
      <c r="AK22" t="s">
        <v>4</v>
      </c>
      <c r="AL22">
        <v>1.1599999999999999</v>
      </c>
      <c r="AM22" t="s">
        <v>4</v>
      </c>
      <c r="AN22">
        <v>1.39</v>
      </c>
      <c r="AO22" t="s">
        <v>4</v>
      </c>
      <c r="AP22">
        <v>10.89</v>
      </c>
      <c r="AQ22" t="s">
        <v>4</v>
      </c>
      <c r="AR22" t="s">
        <v>4</v>
      </c>
      <c r="AS22">
        <v>7.66</v>
      </c>
      <c r="AT22">
        <v>1.1200000000000001</v>
      </c>
      <c r="AU22" t="s">
        <v>4</v>
      </c>
      <c r="AV22" t="s">
        <v>4</v>
      </c>
      <c r="BB22" s="51" t="s">
        <v>195</v>
      </c>
      <c r="BC22">
        <v>44588</v>
      </c>
      <c r="BD22" t="s">
        <v>4</v>
      </c>
      <c r="BE22">
        <v>0.5</v>
      </c>
      <c r="BF22" t="s">
        <v>4</v>
      </c>
      <c r="BG22" t="s">
        <v>4</v>
      </c>
      <c r="BH22" t="s">
        <v>4</v>
      </c>
      <c r="BI22" t="s">
        <v>4</v>
      </c>
      <c r="BJ22">
        <v>1.26</v>
      </c>
      <c r="BK22" t="s">
        <v>4</v>
      </c>
      <c r="BL22">
        <v>42.57</v>
      </c>
      <c r="BM22" t="s">
        <v>4</v>
      </c>
      <c r="BN22">
        <v>14.72</v>
      </c>
      <c r="BO22">
        <v>2.4</v>
      </c>
      <c r="BP22" t="s">
        <v>4</v>
      </c>
      <c r="BQ22" t="s">
        <v>4</v>
      </c>
      <c r="BR22">
        <v>1.26</v>
      </c>
      <c r="BS22">
        <v>4.84</v>
      </c>
      <c r="BT22" t="s">
        <v>4</v>
      </c>
      <c r="BU22">
        <v>3.48</v>
      </c>
      <c r="BV22">
        <v>1.63</v>
      </c>
      <c r="BW22">
        <v>1.99</v>
      </c>
      <c r="BX22">
        <v>1.87</v>
      </c>
      <c r="BY22">
        <v>19526.45</v>
      </c>
      <c r="BZ22">
        <v>2.3199999999999998</v>
      </c>
      <c r="CA22" t="s">
        <v>4</v>
      </c>
      <c r="CB22" t="s">
        <v>4</v>
      </c>
      <c r="CC22" t="s">
        <v>4</v>
      </c>
      <c r="CD22">
        <v>11.97</v>
      </c>
      <c r="CE22" t="s">
        <v>4</v>
      </c>
      <c r="CF22" t="s">
        <v>4</v>
      </c>
      <c r="CG22">
        <v>3.9399999999999995</v>
      </c>
      <c r="CH22" t="s">
        <v>4</v>
      </c>
      <c r="CI22">
        <v>3.48</v>
      </c>
      <c r="CJ22">
        <v>4.66</v>
      </c>
      <c r="CK22" t="s">
        <v>4</v>
      </c>
      <c r="CL22">
        <v>13.4</v>
      </c>
      <c r="CM22" t="s">
        <v>4</v>
      </c>
      <c r="CN22">
        <v>1.28</v>
      </c>
      <c r="CO22" t="s">
        <v>4</v>
      </c>
      <c r="CP22">
        <v>2.0099999999999998</v>
      </c>
      <c r="CQ22" t="s">
        <v>4</v>
      </c>
      <c r="CR22" t="s">
        <v>4</v>
      </c>
      <c r="CS22" t="s">
        <v>4</v>
      </c>
      <c r="CT22" t="s">
        <v>4</v>
      </c>
      <c r="CU22">
        <v>17.66</v>
      </c>
      <c r="CV22">
        <v>1.1200000000000001</v>
      </c>
      <c r="CW22" t="s">
        <v>4</v>
      </c>
      <c r="CX22">
        <v>3.76</v>
      </c>
    </row>
    <row r="23" spans="1:103" x14ac:dyDescent="0.25">
      <c r="A23" s="51" t="s">
        <v>198</v>
      </c>
      <c r="B23" t="s">
        <v>4</v>
      </c>
      <c r="C23" t="s">
        <v>4</v>
      </c>
      <c r="D23" t="s">
        <v>4</v>
      </c>
      <c r="E23">
        <v>2.4500000000000002</v>
      </c>
      <c r="F23">
        <v>5.12</v>
      </c>
      <c r="G23">
        <v>11.33</v>
      </c>
      <c r="H23">
        <v>2.4300000000000002</v>
      </c>
      <c r="I23" t="s">
        <v>4</v>
      </c>
      <c r="J23">
        <v>22.67</v>
      </c>
      <c r="K23" t="s">
        <v>4</v>
      </c>
      <c r="L23">
        <v>14.11</v>
      </c>
      <c r="M23">
        <v>2.0499999999999998</v>
      </c>
      <c r="N23" t="s">
        <v>4</v>
      </c>
      <c r="O23" t="s">
        <v>4</v>
      </c>
      <c r="P23">
        <v>0.83</v>
      </c>
      <c r="Q23">
        <v>5.57</v>
      </c>
      <c r="R23" t="s">
        <v>4</v>
      </c>
      <c r="S23">
        <v>10.32</v>
      </c>
      <c r="T23">
        <v>2.71</v>
      </c>
      <c r="U23">
        <v>1.5000000000000002</v>
      </c>
      <c r="V23" t="s">
        <v>4</v>
      </c>
      <c r="W23">
        <v>156.33000000000001</v>
      </c>
      <c r="X23">
        <v>2.71</v>
      </c>
      <c r="Y23" t="s">
        <v>4</v>
      </c>
      <c r="Z23" t="s">
        <v>4</v>
      </c>
      <c r="AA23" t="s">
        <v>4</v>
      </c>
      <c r="AB23">
        <v>47.96</v>
      </c>
      <c r="AC23" t="s">
        <v>4</v>
      </c>
      <c r="AD23" t="s">
        <v>4</v>
      </c>
      <c r="AE23">
        <v>4.42</v>
      </c>
      <c r="AF23" t="s">
        <v>4</v>
      </c>
      <c r="AG23">
        <v>6.11</v>
      </c>
      <c r="AH23">
        <v>3.43</v>
      </c>
      <c r="AI23" t="s">
        <v>4</v>
      </c>
      <c r="AJ23" t="s">
        <v>4</v>
      </c>
      <c r="AK23" t="s">
        <v>4</v>
      </c>
      <c r="AL23">
        <v>2.04</v>
      </c>
      <c r="AM23" t="s">
        <v>4</v>
      </c>
      <c r="AN23">
        <v>1.52</v>
      </c>
      <c r="AO23" t="s">
        <v>4</v>
      </c>
      <c r="AP23" t="s">
        <v>4</v>
      </c>
      <c r="AQ23" t="s">
        <v>4</v>
      </c>
      <c r="AR23" t="s">
        <v>4</v>
      </c>
      <c r="AS23">
        <v>7.2</v>
      </c>
      <c r="AT23">
        <v>1.1100000000000001</v>
      </c>
      <c r="AU23" t="s">
        <v>4</v>
      </c>
      <c r="AV23" t="s">
        <v>4</v>
      </c>
      <c r="BB23" s="51" t="s">
        <v>196</v>
      </c>
      <c r="BC23">
        <v>44588</v>
      </c>
      <c r="BD23" t="s">
        <v>4</v>
      </c>
      <c r="BE23" t="s">
        <v>4</v>
      </c>
      <c r="BF23" t="s">
        <v>4</v>
      </c>
      <c r="BG23">
        <v>14.01</v>
      </c>
      <c r="BH23">
        <v>19.52</v>
      </c>
      <c r="BI23">
        <v>27.13</v>
      </c>
      <c r="BJ23">
        <v>1.57</v>
      </c>
      <c r="BK23" t="s">
        <v>4</v>
      </c>
      <c r="BL23">
        <v>24.95</v>
      </c>
      <c r="BM23" t="s">
        <v>4</v>
      </c>
      <c r="BN23">
        <v>115.3</v>
      </c>
      <c r="BO23">
        <v>14.56</v>
      </c>
      <c r="BP23" t="s">
        <v>4</v>
      </c>
      <c r="BQ23">
        <v>3.28</v>
      </c>
      <c r="BR23">
        <v>1.58</v>
      </c>
      <c r="BS23">
        <v>10.35</v>
      </c>
      <c r="BT23" t="s">
        <v>4</v>
      </c>
      <c r="BU23" t="s">
        <v>4</v>
      </c>
      <c r="BV23">
        <v>6.44</v>
      </c>
      <c r="BW23">
        <v>0.90999999999999992</v>
      </c>
      <c r="BX23" t="s">
        <v>4</v>
      </c>
      <c r="BY23">
        <v>2554.81</v>
      </c>
      <c r="BZ23">
        <v>5.94</v>
      </c>
      <c r="CA23" t="s">
        <v>4</v>
      </c>
      <c r="CB23" t="s">
        <v>4</v>
      </c>
      <c r="CC23" t="s">
        <v>4</v>
      </c>
      <c r="CD23">
        <v>38.549999999999997</v>
      </c>
      <c r="CE23" t="s">
        <v>4</v>
      </c>
      <c r="CF23">
        <v>7.49</v>
      </c>
      <c r="CG23">
        <v>19.580000000000002</v>
      </c>
      <c r="CH23" t="s">
        <v>4</v>
      </c>
      <c r="CI23">
        <v>15.83</v>
      </c>
      <c r="CJ23">
        <v>6.5</v>
      </c>
      <c r="CK23" t="s">
        <v>4</v>
      </c>
      <c r="CL23" t="s">
        <v>4</v>
      </c>
      <c r="CM23" t="s">
        <v>4</v>
      </c>
      <c r="CN23">
        <v>1.1200000000000001</v>
      </c>
      <c r="CO23" t="s">
        <v>4</v>
      </c>
      <c r="CP23">
        <v>0.8</v>
      </c>
      <c r="CQ23" t="s">
        <v>4</v>
      </c>
      <c r="CR23">
        <v>8.01</v>
      </c>
      <c r="CS23">
        <v>4.71</v>
      </c>
      <c r="CT23" t="s">
        <v>4</v>
      </c>
      <c r="CU23">
        <v>8.1999999999999993</v>
      </c>
      <c r="CV23">
        <v>0.89</v>
      </c>
      <c r="CW23" t="s">
        <v>4</v>
      </c>
      <c r="CX23" t="s">
        <v>4</v>
      </c>
    </row>
    <row r="24" spans="1:103" x14ac:dyDescent="0.25">
      <c r="A24" s="51" t="s">
        <v>199</v>
      </c>
      <c r="B24" t="s">
        <v>4</v>
      </c>
      <c r="C24" t="s">
        <v>4</v>
      </c>
      <c r="D24" t="s">
        <v>4</v>
      </c>
      <c r="E24">
        <v>8.02</v>
      </c>
      <c r="F24">
        <v>7.76</v>
      </c>
      <c r="G24">
        <v>22.53</v>
      </c>
      <c r="H24">
        <v>3.63</v>
      </c>
      <c r="I24" t="s">
        <v>4</v>
      </c>
      <c r="J24">
        <v>30.23</v>
      </c>
      <c r="K24" t="s">
        <v>4</v>
      </c>
      <c r="L24">
        <v>29.01</v>
      </c>
      <c r="M24">
        <v>3.62</v>
      </c>
      <c r="N24" t="s">
        <v>4</v>
      </c>
      <c r="O24" t="s">
        <v>4</v>
      </c>
      <c r="P24">
        <v>0.89</v>
      </c>
      <c r="Q24">
        <v>5.21</v>
      </c>
      <c r="R24" t="s">
        <v>4</v>
      </c>
      <c r="S24">
        <v>2.25</v>
      </c>
      <c r="T24">
        <v>2.16</v>
      </c>
      <c r="U24">
        <v>1.3099999999999998</v>
      </c>
      <c r="V24" t="s">
        <v>4</v>
      </c>
      <c r="W24">
        <v>176.2</v>
      </c>
      <c r="X24">
        <v>636.04999999999995</v>
      </c>
      <c r="Y24">
        <v>1.29</v>
      </c>
      <c r="Z24" t="s">
        <v>4</v>
      </c>
      <c r="AA24" t="s">
        <v>4</v>
      </c>
      <c r="AB24">
        <v>68.62</v>
      </c>
      <c r="AC24" t="s">
        <v>4</v>
      </c>
      <c r="AD24" t="s">
        <v>4</v>
      </c>
      <c r="AE24">
        <v>4.63</v>
      </c>
      <c r="AF24" t="s">
        <v>4</v>
      </c>
      <c r="AG24">
        <v>10.06</v>
      </c>
      <c r="AH24">
        <v>4.2</v>
      </c>
      <c r="AI24" t="s">
        <v>4</v>
      </c>
      <c r="AJ24" t="s">
        <v>4</v>
      </c>
      <c r="AK24">
        <v>0.71</v>
      </c>
      <c r="AL24">
        <v>0.96</v>
      </c>
      <c r="AM24" t="s">
        <v>4</v>
      </c>
      <c r="AN24">
        <v>0.84000000000000008</v>
      </c>
      <c r="AO24" t="s">
        <v>4</v>
      </c>
      <c r="AP24" t="s">
        <v>4</v>
      </c>
      <c r="AQ24" t="s">
        <v>4</v>
      </c>
      <c r="AR24" t="s">
        <v>4</v>
      </c>
      <c r="AS24">
        <v>8.7100000000000009</v>
      </c>
      <c r="AT24">
        <v>1.1100000000000001</v>
      </c>
      <c r="AU24" t="s">
        <v>4</v>
      </c>
      <c r="AV24" t="s">
        <v>4</v>
      </c>
      <c r="BB24" s="58" t="s">
        <v>197</v>
      </c>
      <c r="BC24">
        <v>44588</v>
      </c>
      <c r="BD24" t="s">
        <v>4</v>
      </c>
      <c r="BE24">
        <v>0.47</v>
      </c>
      <c r="BF24">
        <v>0.51</v>
      </c>
      <c r="BG24">
        <v>24.12</v>
      </c>
      <c r="BH24">
        <v>36.799999999999997</v>
      </c>
      <c r="BI24">
        <v>54.15</v>
      </c>
      <c r="BJ24">
        <v>2.86</v>
      </c>
      <c r="BK24" t="s">
        <v>4</v>
      </c>
      <c r="BL24">
        <v>150.19</v>
      </c>
      <c r="BM24" t="s">
        <v>4</v>
      </c>
      <c r="BN24">
        <v>208.27</v>
      </c>
      <c r="BO24">
        <v>32.03</v>
      </c>
      <c r="BP24" t="s">
        <v>4</v>
      </c>
      <c r="BQ24">
        <v>9.9700000000000006</v>
      </c>
      <c r="BR24">
        <v>1.48</v>
      </c>
      <c r="BS24">
        <v>30.68</v>
      </c>
      <c r="BT24" t="s">
        <v>4</v>
      </c>
      <c r="BU24" t="s">
        <v>4</v>
      </c>
      <c r="BV24">
        <v>17.12</v>
      </c>
      <c r="BW24">
        <v>1.55</v>
      </c>
      <c r="BX24" t="s">
        <v>4</v>
      </c>
      <c r="BY24">
        <v>194.05</v>
      </c>
      <c r="BZ24">
        <v>3.61</v>
      </c>
      <c r="CA24" t="s">
        <v>4</v>
      </c>
      <c r="CB24" t="s">
        <v>4</v>
      </c>
      <c r="CC24" t="s">
        <v>4</v>
      </c>
      <c r="CD24">
        <v>84.26</v>
      </c>
      <c r="CE24" t="s">
        <v>4</v>
      </c>
      <c r="CF24">
        <v>17.53</v>
      </c>
      <c r="CG24">
        <v>20.94</v>
      </c>
      <c r="CH24" t="s">
        <v>4</v>
      </c>
      <c r="CI24">
        <v>55.11</v>
      </c>
      <c r="CJ24">
        <v>10.02</v>
      </c>
      <c r="CK24" t="s">
        <v>4</v>
      </c>
      <c r="CL24" t="s">
        <v>4</v>
      </c>
      <c r="CM24" t="s">
        <v>4</v>
      </c>
      <c r="CN24">
        <v>1.1599999999999999</v>
      </c>
      <c r="CO24" t="s">
        <v>4</v>
      </c>
      <c r="CP24">
        <v>1.39</v>
      </c>
      <c r="CQ24" t="s">
        <v>4</v>
      </c>
      <c r="CR24">
        <v>10.89</v>
      </c>
      <c r="CS24" t="s">
        <v>4</v>
      </c>
      <c r="CT24" t="s">
        <v>4</v>
      </c>
      <c r="CU24">
        <v>7.66</v>
      </c>
      <c r="CV24">
        <v>1.1200000000000001</v>
      </c>
      <c r="CW24" t="s">
        <v>4</v>
      </c>
      <c r="CX24" t="s">
        <v>4</v>
      </c>
    </row>
    <row r="25" spans="1:103" x14ac:dyDescent="0.25">
      <c r="A25" s="51" t="s">
        <v>203</v>
      </c>
      <c r="B25" t="s">
        <v>4</v>
      </c>
      <c r="C25" t="s">
        <v>4</v>
      </c>
      <c r="D25" t="s">
        <v>4</v>
      </c>
      <c r="E25" t="s">
        <v>4</v>
      </c>
      <c r="F25" t="s">
        <v>4</v>
      </c>
      <c r="G25" t="s">
        <v>4</v>
      </c>
      <c r="H25">
        <v>0.36</v>
      </c>
      <c r="I25" t="s">
        <v>4</v>
      </c>
      <c r="J25">
        <v>10.89</v>
      </c>
      <c r="K25" t="s">
        <v>4</v>
      </c>
      <c r="L25">
        <v>7.31</v>
      </c>
      <c r="M25">
        <v>0.68</v>
      </c>
      <c r="N25" t="s">
        <v>4</v>
      </c>
      <c r="O25" t="s">
        <v>4</v>
      </c>
      <c r="P25">
        <v>0.89</v>
      </c>
      <c r="Q25" t="s">
        <v>4</v>
      </c>
      <c r="R25" t="s">
        <v>4</v>
      </c>
      <c r="S25" t="s">
        <v>4</v>
      </c>
      <c r="T25">
        <v>5.38</v>
      </c>
      <c r="U25">
        <v>0.66999999999999993</v>
      </c>
      <c r="V25" t="s">
        <v>4</v>
      </c>
      <c r="W25">
        <v>34.5</v>
      </c>
      <c r="X25" t="s">
        <v>4</v>
      </c>
      <c r="Y25" t="s">
        <v>4</v>
      </c>
      <c r="Z25" t="s">
        <v>4</v>
      </c>
      <c r="AA25" t="s">
        <v>4</v>
      </c>
      <c r="AB25">
        <v>19.829999999999998</v>
      </c>
      <c r="AC25" t="s">
        <v>4</v>
      </c>
      <c r="AD25">
        <v>4.3899999999999997</v>
      </c>
      <c r="AE25">
        <v>0.55000000000000004</v>
      </c>
      <c r="AF25" t="s">
        <v>4</v>
      </c>
      <c r="AG25" t="s">
        <v>4</v>
      </c>
      <c r="AH25">
        <v>1.23</v>
      </c>
      <c r="AI25" t="s">
        <v>4</v>
      </c>
      <c r="AJ25" t="s">
        <v>4</v>
      </c>
      <c r="AK25" t="s">
        <v>4</v>
      </c>
      <c r="AL25">
        <v>5.47</v>
      </c>
      <c r="AM25" t="s">
        <v>4</v>
      </c>
      <c r="AN25">
        <v>3.11</v>
      </c>
      <c r="AO25" t="s">
        <v>4</v>
      </c>
      <c r="AP25" t="s">
        <v>4</v>
      </c>
      <c r="AQ25" t="s">
        <v>4</v>
      </c>
      <c r="AR25" t="s">
        <v>4</v>
      </c>
      <c r="AS25">
        <v>3.52</v>
      </c>
      <c r="AT25" t="s">
        <v>4</v>
      </c>
      <c r="AU25" t="s">
        <v>4</v>
      </c>
      <c r="AV25" t="s">
        <v>4</v>
      </c>
      <c r="BB25" s="51" t="s">
        <v>198</v>
      </c>
      <c r="BC25">
        <v>44588</v>
      </c>
      <c r="BD25" t="s">
        <v>4</v>
      </c>
      <c r="BE25" t="s">
        <v>4</v>
      </c>
      <c r="BF25" t="s">
        <v>4</v>
      </c>
      <c r="BG25">
        <v>2.4500000000000002</v>
      </c>
      <c r="BH25">
        <v>5.12</v>
      </c>
      <c r="BI25">
        <v>11.33</v>
      </c>
      <c r="BJ25">
        <v>2.4300000000000002</v>
      </c>
      <c r="BK25" t="s">
        <v>4</v>
      </c>
      <c r="BL25">
        <v>22.67</v>
      </c>
      <c r="BM25" t="s">
        <v>4</v>
      </c>
      <c r="BN25">
        <v>14.11</v>
      </c>
      <c r="BO25">
        <v>2.0499999999999998</v>
      </c>
      <c r="BP25" t="s">
        <v>4</v>
      </c>
      <c r="BQ25" t="s">
        <v>4</v>
      </c>
      <c r="BR25">
        <v>0.83</v>
      </c>
      <c r="BS25">
        <v>5.57</v>
      </c>
      <c r="BT25" t="s">
        <v>4</v>
      </c>
      <c r="BU25">
        <v>10.32</v>
      </c>
      <c r="BV25">
        <v>2.71</v>
      </c>
      <c r="BW25">
        <v>1.5000000000000002</v>
      </c>
      <c r="BX25" t="s">
        <v>4</v>
      </c>
      <c r="BY25">
        <v>156.33000000000001</v>
      </c>
      <c r="BZ25">
        <v>2.71</v>
      </c>
      <c r="CA25" t="s">
        <v>4</v>
      </c>
      <c r="CB25" t="s">
        <v>4</v>
      </c>
      <c r="CC25" t="s">
        <v>4</v>
      </c>
      <c r="CD25">
        <v>47.96</v>
      </c>
      <c r="CE25" t="s">
        <v>4</v>
      </c>
      <c r="CF25" t="s">
        <v>4</v>
      </c>
      <c r="CG25">
        <v>4.42</v>
      </c>
      <c r="CH25" t="s">
        <v>4</v>
      </c>
      <c r="CI25">
        <v>6.11</v>
      </c>
      <c r="CJ25">
        <v>3.43</v>
      </c>
      <c r="CK25" t="s">
        <v>4</v>
      </c>
      <c r="CL25" t="s">
        <v>4</v>
      </c>
      <c r="CM25" t="s">
        <v>4</v>
      </c>
      <c r="CN25">
        <v>2.04</v>
      </c>
      <c r="CO25" t="s">
        <v>4</v>
      </c>
      <c r="CP25">
        <v>1.52</v>
      </c>
      <c r="CQ25" t="s">
        <v>4</v>
      </c>
      <c r="CR25" t="s">
        <v>4</v>
      </c>
      <c r="CS25" t="s">
        <v>4</v>
      </c>
      <c r="CT25" t="s">
        <v>4</v>
      </c>
      <c r="CU25">
        <v>7.2</v>
      </c>
      <c r="CV25">
        <v>1.1100000000000001</v>
      </c>
      <c r="CW25" t="s">
        <v>4</v>
      </c>
      <c r="CX25" t="s">
        <v>4</v>
      </c>
    </row>
    <row r="26" spans="1:103" x14ac:dyDescent="0.25">
      <c r="A26" s="51" t="s">
        <v>202</v>
      </c>
      <c r="B26">
        <v>6.66</v>
      </c>
      <c r="C26">
        <v>1.64</v>
      </c>
      <c r="D26" t="s">
        <v>4</v>
      </c>
      <c r="E26">
        <v>7.8</v>
      </c>
      <c r="F26">
        <v>14.68</v>
      </c>
      <c r="G26">
        <v>18.489999999999998</v>
      </c>
      <c r="H26">
        <v>2.2799999999999998</v>
      </c>
      <c r="I26">
        <v>14.06</v>
      </c>
      <c r="J26">
        <v>99.32</v>
      </c>
      <c r="K26">
        <v>52.949999999999996</v>
      </c>
      <c r="L26">
        <v>490.85</v>
      </c>
      <c r="M26">
        <v>92.02</v>
      </c>
      <c r="N26" t="s">
        <v>4</v>
      </c>
      <c r="O26">
        <v>20.07</v>
      </c>
      <c r="P26">
        <v>1.68</v>
      </c>
      <c r="Q26">
        <v>212.87</v>
      </c>
      <c r="R26" t="s">
        <v>4</v>
      </c>
      <c r="S26" t="s">
        <v>4</v>
      </c>
      <c r="T26">
        <v>9.3000000000000007</v>
      </c>
      <c r="U26">
        <v>138.38</v>
      </c>
      <c r="V26" t="s">
        <v>4</v>
      </c>
      <c r="W26">
        <v>600.87</v>
      </c>
      <c r="X26">
        <v>3.44</v>
      </c>
      <c r="Y26" t="s">
        <v>4</v>
      </c>
      <c r="Z26" t="s">
        <v>4</v>
      </c>
      <c r="AA26">
        <v>0.28999999999999998</v>
      </c>
      <c r="AB26">
        <v>1927.36</v>
      </c>
      <c r="AC26" t="s">
        <v>4</v>
      </c>
      <c r="AD26">
        <v>71.06</v>
      </c>
      <c r="AE26">
        <v>6.83</v>
      </c>
      <c r="AF26" t="s">
        <v>4</v>
      </c>
      <c r="AG26">
        <v>511.53</v>
      </c>
      <c r="AH26">
        <v>7.03</v>
      </c>
      <c r="AI26" t="s">
        <v>4</v>
      </c>
      <c r="AJ26">
        <v>267.87</v>
      </c>
      <c r="AK26">
        <v>0.86</v>
      </c>
      <c r="AL26">
        <v>41.17</v>
      </c>
      <c r="AM26" t="s">
        <v>4</v>
      </c>
      <c r="AN26">
        <v>2.61</v>
      </c>
      <c r="AO26">
        <v>3.53</v>
      </c>
      <c r="AP26" t="s">
        <v>4</v>
      </c>
      <c r="AQ26" t="s">
        <v>4</v>
      </c>
      <c r="AR26" t="s">
        <v>4</v>
      </c>
      <c r="AS26">
        <v>7.32</v>
      </c>
      <c r="AT26">
        <v>0.51</v>
      </c>
      <c r="AU26" t="s">
        <v>4</v>
      </c>
      <c r="AV26">
        <v>1.1499999999999999</v>
      </c>
      <c r="BB26" s="51" t="s">
        <v>199</v>
      </c>
      <c r="BC26">
        <v>44588</v>
      </c>
      <c r="BD26" t="s">
        <v>4</v>
      </c>
      <c r="BE26" t="s">
        <v>4</v>
      </c>
      <c r="BF26" t="s">
        <v>4</v>
      </c>
      <c r="BG26">
        <v>8.02</v>
      </c>
      <c r="BH26">
        <v>7.76</v>
      </c>
      <c r="BI26">
        <v>22.53</v>
      </c>
      <c r="BJ26">
        <v>3.63</v>
      </c>
      <c r="BK26" t="s">
        <v>4</v>
      </c>
      <c r="BL26">
        <v>30.23</v>
      </c>
      <c r="BM26" t="s">
        <v>4</v>
      </c>
      <c r="BN26">
        <v>29.01</v>
      </c>
      <c r="BO26">
        <v>3.62</v>
      </c>
      <c r="BP26" t="s">
        <v>4</v>
      </c>
      <c r="BQ26" t="s">
        <v>4</v>
      </c>
      <c r="BR26">
        <v>0.89</v>
      </c>
      <c r="BS26">
        <v>5.21</v>
      </c>
      <c r="BT26" t="s">
        <v>4</v>
      </c>
      <c r="BU26">
        <v>2.25</v>
      </c>
      <c r="BV26">
        <v>2.16</v>
      </c>
      <c r="BW26">
        <v>1.3099999999999998</v>
      </c>
      <c r="BX26" t="s">
        <v>4</v>
      </c>
      <c r="BY26">
        <v>176.2</v>
      </c>
      <c r="BZ26">
        <v>636.04999999999995</v>
      </c>
      <c r="CA26">
        <v>1.29</v>
      </c>
      <c r="CB26" t="s">
        <v>4</v>
      </c>
      <c r="CC26" t="s">
        <v>4</v>
      </c>
      <c r="CD26">
        <v>68.62</v>
      </c>
      <c r="CE26" t="s">
        <v>4</v>
      </c>
      <c r="CF26" t="s">
        <v>4</v>
      </c>
      <c r="CG26">
        <v>4.63</v>
      </c>
      <c r="CH26" t="s">
        <v>4</v>
      </c>
      <c r="CI26">
        <v>10.06</v>
      </c>
      <c r="CJ26">
        <v>4.2</v>
      </c>
      <c r="CK26" t="s">
        <v>4</v>
      </c>
      <c r="CL26" t="s">
        <v>4</v>
      </c>
      <c r="CM26">
        <v>0.71</v>
      </c>
      <c r="CN26">
        <v>0.96</v>
      </c>
      <c r="CO26" t="s">
        <v>4</v>
      </c>
      <c r="CP26">
        <v>0.84000000000000008</v>
      </c>
      <c r="CQ26" t="s">
        <v>4</v>
      </c>
      <c r="CR26" t="s">
        <v>4</v>
      </c>
      <c r="CS26" t="s">
        <v>4</v>
      </c>
      <c r="CT26" t="s">
        <v>4</v>
      </c>
      <c r="CU26">
        <v>8.7100000000000009</v>
      </c>
      <c r="CV26">
        <v>1.1100000000000001</v>
      </c>
      <c r="CW26" t="s">
        <v>4</v>
      </c>
      <c r="CX26" t="s">
        <v>4</v>
      </c>
    </row>
    <row r="27" spans="1:103" ht="15.6" customHeight="1" x14ac:dyDescent="0.25">
      <c r="A27" s="51" t="s">
        <v>201</v>
      </c>
      <c r="B27" t="s">
        <v>4</v>
      </c>
      <c r="C27" t="s">
        <v>4</v>
      </c>
      <c r="D27" t="s">
        <v>4</v>
      </c>
      <c r="E27">
        <v>6.88</v>
      </c>
      <c r="F27">
        <v>18.579999999999998</v>
      </c>
      <c r="G27">
        <v>30</v>
      </c>
      <c r="H27">
        <v>1.5</v>
      </c>
      <c r="I27" t="s">
        <v>4</v>
      </c>
      <c r="J27">
        <v>111.21</v>
      </c>
      <c r="K27" t="s">
        <v>4</v>
      </c>
      <c r="L27">
        <v>661.81</v>
      </c>
      <c r="M27">
        <v>126.4</v>
      </c>
      <c r="N27" t="s">
        <v>4</v>
      </c>
      <c r="O27">
        <v>29.14</v>
      </c>
      <c r="P27">
        <v>0.85</v>
      </c>
      <c r="Q27">
        <v>290.63</v>
      </c>
      <c r="R27" t="s">
        <v>4</v>
      </c>
      <c r="S27" t="s">
        <v>4</v>
      </c>
      <c r="T27">
        <v>9.0799999999999983</v>
      </c>
      <c r="U27">
        <v>55.050000000000004</v>
      </c>
      <c r="V27" t="s">
        <v>4</v>
      </c>
      <c r="W27">
        <v>258.56</v>
      </c>
      <c r="X27">
        <v>3.59</v>
      </c>
      <c r="Y27" t="s">
        <v>4</v>
      </c>
      <c r="Z27" t="s">
        <v>4</v>
      </c>
      <c r="AA27">
        <v>0.38</v>
      </c>
      <c r="AB27">
        <v>1981.27</v>
      </c>
      <c r="AC27" t="s">
        <v>4</v>
      </c>
      <c r="AD27">
        <v>76.62</v>
      </c>
      <c r="AE27">
        <v>8.9</v>
      </c>
      <c r="AF27" t="s">
        <v>4</v>
      </c>
      <c r="AG27">
        <v>677.86</v>
      </c>
      <c r="AH27">
        <v>7.11</v>
      </c>
      <c r="AI27" t="s">
        <v>4</v>
      </c>
      <c r="AJ27">
        <v>124.38</v>
      </c>
      <c r="AK27" t="s">
        <v>4</v>
      </c>
      <c r="AL27">
        <v>26.45</v>
      </c>
      <c r="AM27" t="s">
        <v>4</v>
      </c>
      <c r="AN27">
        <v>1.4</v>
      </c>
      <c r="AO27" t="s">
        <v>4</v>
      </c>
      <c r="AP27" t="s">
        <v>4</v>
      </c>
      <c r="AQ27" t="s">
        <v>4</v>
      </c>
      <c r="AR27" t="s">
        <v>4</v>
      </c>
      <c r="AS27">
        <v>7.68</v>
      </c>
      <c r="AT27" t="s">
        <v>4</v>
      </c>
      <c r="AU27" t="s">
        <v>4</v>
      </c>
      <c r="AV27" t="s">
        <v>4</v>
      </c>
      <c r="BB27" s="51" t="s">
        <v>331</v>
      </c>
      <c r="BC27">
        <v>44588</v>
      </c>
      <c r="BD27" t="s">
        <v>4</v>
      </c>
      <c r="BE27" t="s">
        <v>4</v>
      </c>
      <c r="BF27" t="s">
        <v>4</v>
      </c>
      <c r="BG27">
        <v>2.95</v>
      </c>
      <c r="BH27" t="s">
        <v>4</v>
      </c>
      <c r="BI27" t="s">
        <v>4</v>
      </c>
      <c r="BJ27">
        <v>7.87</v>
      </c>
      <c r="BK27" t="s">
        <v>4</v>
      </c>
      <c r="BL27">
        <v>184.87</v>
      </c>
      <c r="BM27" t="s">
        <v>4</v>
      </c>
      <c r="BN27">
        <v>342.74</v>
      </c>
      <c r="BO27">
        <v>68.3</v>
      </c>
      <c r="BP27" t="s">
        <v>4</v>
      </c>
      <c r="BQ27">
        <v>20.72</v>
      </c>
      <c r="BR27">
        <v>1.24</v>
      </c>
      <c r="BS27">
        <v>815.72</v>
      </c>
      <c r="BT27" t="s">
        <v>4</v>
      </c>
      <c r="BU27" t="s">
        <v>4</v>
      </c>
      <c r="BV27">
        <v>9.34</v>
      </c>
      <c r="BW27">
        <v>2888.8300000000004</v>
      </c>
      <c r="BX27" t="s">
        <v>4</v>
      </c>
      <c r="BY27">
        <v>76.56</v>
      </c>
      <c r="BZ27">
        <v>10.97</v>
      </c>
      <c r="CA27">
        <v>3.24</v>
      </c>
      <c r="CB27" t="s">
        <v>4</v>
      </c>
      <c r="CC27" t="s">
        <v>4</v>
      </c>
      <c r="CD27">
        <v>9544.66</v>
      </c>
      <c r="CE27" t="s">
        <v>4</v>
      </c>
      <c r="CF27">
        <v>24.46</v>
      </c>
      <c r="CG27">
        <v>13.709999999999999</v>
      </c>
      <c r="CH27">
        <v>3.91</v>
      </c>
      <c r="CI27">
        <v>258.23</v>
      </c>
      <c r="CJ27">
        <v>33.85</v>
      </c>
      <c r="CK27">
        <v>8</v>
      </c>
      <c r="CL27">
        <v>4781.66</v>
      </c>
      <c r="CM27" t="s">
        <v>4</v>
      </c>
      <c r="CN27">
        <v>2062.52</v>
      </c>
      <c r="CO27" t="s">
        <v>4</v>
      </c>
      <c r="CP27">
        <v>2</v>
      </c>
      <c r="CQ27" t="s">
        <v>4</v>
      </c>
      <c r="CR27" t="s">
        <v>4</v>
      </c>
      <c r="CS27" t="s">
        <v>4</v>
      </c>
      <c r="CT27" t="s">
        <v>4</v>
      </c>
      <c r="CU27">
        <v>42.51</v>
      </c>
      <c r="CV27">
        <v>20.68</v>
      </c>
      <c r="CW27" t="s">
        <v>4</v>
      </c>
      <c r="CX27" t="s">
        <v>4</v>
      </c>
    </row>
    <row r="28" spans="1:103" x14ac:dyDescent="0.25">
      <c r="A28" s="51" t="s">
        <v>200</v>
      </c>
      <c r="B28" t="s">
        <v>4</v>
      </c>
      <c r="C28" t="s">
        <v>4</v>
      </c>
      <c r="D28" t="s">
        <v>4</v>
      </c>
      <c r="E28">
        <v>6.58</v>
      </c>
      <c r="F28">
        <v>20.68</v>
      </c>
      <c r="G28">
        <v>23.8</v>
      </c>
      <c r="H28">
        <v>5.04</v>
      </c>
      <c r="I28" t="s">
        <v>4</v>
      </c>
      <c r="J28">
        <v>107.5</v>
      </c>
      <c r="K28" t="s">
        <v>4</v>
      </c>
      <c r="L28">
        <v>328.71</v>
      </c>
      <c r="M28">
        <v>73.78</v>
      </c>
      <c r="N28" t="s">
        <v>4</v>
      </c>
      <c r="O28">
        <v>20.149999999999999</v>
      </c>
      <c r="P28">
        <v>1.26</v>
      </c>
      <c r="Q28">
        <v>378.66</v>
      </c>
      <c r="R28" t="s">
        <v>4</v>
      </c>
      <c r="S28" t="s">
        <v>4</v>
      </c>
      <c r="T28">
        <v>7.61</v>
      </c>
      <c r="U28">
        <v>907.04</v>
      </c>
      <c r="V28" t="s">
        <v>4</v>
      </c>
      <c r="W28">
        <v>433.69</v>
      </c>
      <c r="X28">
        <v>13.44</v>
      </c>
      <c r="Y28" t="s">
        <v>4</v>
      </c>
      <c r="Z28">
        <v>6.64</v>
      </c>
      <c r="AA28" t="s">
        <v>4</v>
      </c>
      <c r="AB28">
        <v>3028.99</v>
      </c>
      <c r="AC28" t="s">
        <v>4</v>
      </c>
      <c r="AD28">
        <v>36.11</v>
      </c>
      <c r="AE28">
        <v>13.36</v>
      </c>
      <c r="AF28" t="s">
        <v>4</v>
      </c>
      <c r="AG28">
        <v>546.09</v>
      </c>
      <c r="AH28">
        <v>33.379999999999995</v>
      </c>
      <c r="AI28" t="s">
        <v>4</v>
      </c>
      <c r="AJ28">
        <v>1558.16</v>
      </c>
      <c r="AK28">
        <v>4.21</v>
      </c>
      <c r="AL28">
        <v>509.42</v>
      </c>
      <c r="AM28" t="s">
        <v>4</v>
      </c>
      <c r="AN28">
        <v>7.5</v>
      </c>
      <c r="AO28" t="s">
        <v>4</v>
      </c>
      <c r="AP28" t="s">
        <v>4</v>
      </c>
      <c r="AQ28" t="s">
        <v>4</v>
      </c>
      <c r="AR28">
        <v>139.66</v>
      </c>
      <c r="AS28">
        <v>34.33</v>
      </c>
      <c r="AT28">
        <v>5.82</v>
      </c>
      <c r="AU28" t="s">
        <v>4</v>
      </c>
      <c r="AV28" t="s">
        <v>4</v>
      </c>
      <c r="BB28" s="51" t="s">
        <v>203</v>
      </c>
      <c r="BC28">
        <v>44588</v>
      </c>
      <c r="BD28" t="s">
        <v>4</v>
      </c>
      <c r="BE28" t="s">
        <v>4</v>
      </c>
      <c r="BF28" t="s">
        <v>4</v>
      </c>
      <c r="BG28" t="s">
        <v>4</v>
      </c>
      <c r="BH28" t="s">
        <v>4</v>
      </c>
      <c r="BI28" t="s">
        <v>4</v>
      </c>
      <c r="BJ28">
        <v>0.36</v>
      </c>
      <c r="BK28" t="s">
        <v>4</v>
      </c>
      <c r="BL28">
        <v>10.89</v>
      </c>
      <c r="BM28" t="s">
        <v>4</v>
      </c>
      <c r="BN28">
        <v>7.31</v>
      </c>
      <c r="BO28">
        <v>0.68</v>
      </c>
      <c r="BP28" t="s">
        <v>4</v>
      </c>
      <c r="BQ28" t="s">
        <v>4</v>
      </c>
      <c r="BR28">
        <v>0.89</v>
      </c>
      <c r="BS28" t="s">
        <v>4</v>
      </c>
      <c r="BT28" t="s">
        <v>4</v>
      </c>
      <c r="BU28" t="s">
        <v>4</v>
      </c>
      <c r="BV28">
        <v>5.38</v>
      </c>
      <c r="BW28">
        <v>0.66999999999999993</v>
      </c>
      <c r="BX28" t="s">
        <v>4</v>
      </c>
      <c r="BY28">
        <v>34.5</v>
      </c>
      <c r="BZ28" t="s">
        <v>4</v>
      </c>
      <c r="CA28" t="s">
        <v>4</v>
      </c>
      <c r="CB28" t="s">
        <v>4</v>
      </c>
      <c r="CC28" t="s">
        <v>4</v>
      </c>
      <c r="CD28">
        <v>19.829999999999998</v>
      </c>
      <c r="CE28" t="s">
        <v>4</v>
      </c>
      <c r="CF28">
        <v>4.3899999999999997</v>
      </c>
      <c r="CG28">
        <v>0.55000000000000004</v>
      </c>
      <c r="CH28" t="s">
        <v>4</v>
      </c>
      <c r="CI28" t="s">
        <v>4</v>
      </c>
      <c r="CJ28">
        <v>1.23</v>
      </c>
      <c r="CK28" t="s">
        <v>4</v>
      </c>
      <c r="CL28" t="s">
        <v>4</v>
      </c>
      <c r="CM28" t="s">
        <v>4</v>
      </c>
      <c r="CN28">
        <v>5.47</v>
      </c>
      <c r="CO28" t="s">
        <v>4</v>
      </c>
      <c r="CP28">
        <v>3.11</v>
      </c>
      <c r="CQ28" t="s">
        <v>4</v>
      </c>
      <c r="CR28" t="s">
        <v>4</v>
      </c>
      <c r="CS28" t="s">
        <v>4</v>
      </c>
      <c r="CT28" t="s">
        <v>4</v>
      </c>
      <c r="CU28">
        <v>3.52</v>
      </c>
      <c r="CV28" t="s">
        <v>4</v>
      </c>
      <c r="CW28" t="s">
        <v>4</v>
      </c>
      <c r="CX28" t="s">
        <v>4</v>
      </c>
    </row>
    <row r="29" spans="1:103" x14ac:dyDescent="0.25">
      <c r="BC29" s="51" t="s">
        <v>202</v>
      </c>
      <c r="BD29">
        <v>44588</v>
      </c>
      <c r="BE29">
        <v>6.66</v>
      </c>
      <c r="BF29">
        <v>1.64</v>
      </c>
      <c r="BG29" t="s">
        <v>4</v>
      </c>
      <c r="BH29">
        <v>7.8</v>
      </c>
      <c r="BI29">
        <v>14.68</v>
      </c>
      <c r="BJ29">
        <v>18.489999999999998</v>
      </c>
      <c r="BK29">
        <v>2.2799999999999998</v>
      </c>
      <c r="BL29">
        <v>14.06</v>
      </c>
      <c r="BM29">
        <v>99.32</v>
      </c>
      <c r="BN29">
        <v>52.949999999999996</v>
      </c>
      <c r="BO29">
        <v>490.85</v>
      </c>
      <c r="BP29">
        <v>92.02</v>
      </c>
      <c r="BQ29" t="s">
        <v>4</v>
      </c>
      <c r="BR29">
        <v>20.07</v>
      </c>
      <c r="BS29">
        <v>1.68</v>
      </c>
      <c r="BT29">
        <v>212.87</v>
      </c>
      <c r="BU29" t="s">
        <v>4</v>
      </c>
      <c r="BV29" t="s">
        <v>4</v>
      </c>
      <c r="BW29">
        <v>9.3000000000000007</v>
      </c>
      <c r="BX29">
        <v>138.38</v>
      </c>
      <c r="BY29" t="s">
        <v>4</v>
      </c>
      <c r="BZ29">
        <v>600.87</v>
      </c>
      <c r="CA29">
        <v>3.44</v>
      </c>
      <c r="CB29" t="s">
        <v>4</v>
      </c>
      <c r="CC29" t="s">
        <v>4</v>
      </c>
      <c r="CD29">
        <v>0.28999999999999998</v>
      </c>
      <c r="CE29">
        <v>1927.36</v>
      </c>
      <c r="CF29" t="s">
        <v>4</v>
      </c>
      <c r="CG29">
        <v>71.06</v>
      </c>
      <c r="CH29">
        <v>6.83</v>
      </c>
      <c r="CI29" t="s">
        <v>4</v>
      </c>
      <c r="CJ29">
        <v>511.53</v>
      </c>
      <c r="CK29">
        <v>7.03</v>
      </c>
      <c r="CL29" t="s">
        <v>4</v>
      </c>
      <c r="CM29">
        <v>267.87</v>
      </c>
      <c r="CN29">
        <v>0.86</v>
      </c>
      <c r="CO29">
        <v>41.17</v>
      </c>
      <c r="CP29" t="s">
        <v>4</v>
      </c>
      <c r="CQ29">
        <v>2.61</v>
      </c>
      <c r="CR29">
        <v>3.53</v>
      </c>
      <c r="CS29" t="s">
        <v>4</v>
      </c>
      <c r="CT29" t="s">
        <v>4</v>
      </c>
      <c r="CU29" t="s">
        <v>4</v>
      </c>
      <c r="CV29">
        <v>7.32</v>
      </c>
      <c r="CW29">
        <v>0.51</v>
      </c>
      <c r="CX29" t="s">
        <v>4</v>
      </c>
      <c r="CY29">
        <v>1.1499999999999999</v>
      </c>
    </row>
    <row r="30" spans="1:103" x14ac:dyDescent="0.25">
      <c r="A30" t="s">
        <v>705</v>
      </c>
      <c r="B30">
        <f>MAX(B2:B8)</f>
        <v>0</v>
      </c>
      <c r="C30">
        <f t="shared" ref="C30:AV30" si="0">MAX(C2:C8)</f>
        <v>0</v>
      </c>
      <c r="D30">
        <f t="shared" si="0"/>
        <v>0</v>
      </c>
      <c r="E30">
        <f t="shared" si="0"/>
        <v>1.99</v>
      </c>
      <c r="F30">
        <f t="shared" si="0"/>
        <v>0</v>
      </c>
      <c r="G30">
        <f t="shared" si="0"/>
        <v>0</v>
      </c>
      <c r="H30">
        <f t="shared" si="0"/>
        <v>4.26</v>
      </c>
      <c r="I30">
        <f t="shared" si="0"/>
        <v>0</v>
      </c>
      <c r="J30">
        <f t="shared" si="0"/>
        <v>302.16000000000003</v>
      </c>
      <c r="K30">
        <f t="shared" si="0"/>
        <v>20.729999999999997</v>
      </c>
      <c r="L30">
        <f t="shared" si="0"/>
        <v>231.37</v>
      </c>
      <c r="M30">
        <f t="shared" si="0"/>
        <v>50.77</v>
      </c>
      <c r="N30">
        <f t="shared" si="0"/>
        <v>4.8</v>
      </c>
      <c r="O30">
        <f t="shared" si="0"/>
        <v>4.33</v>
      </c>
      <c r="P30">
        <f t="shared" si="0"/>
        <v>1.81</v>
      </c>
      <c r="Q30">
        <f t="shared" si="0"/>
        <v>21.23</v>
      </c>
      <c r="R30">
        <f t="shared" si="0"/>
        <v>31.17</v>
      </c>
      <c r="S30">
        <f t="shared" si="0"/>
        <v>0</v>
      </c>
      <c r="T30">
        <f t="shared" si="0"/>
        <v>3.05</v>
      </c>
      <c r="U30">
        <f t="shared" si="0"/>
        <v>7.09</v>
      </c>
      <c r="V30">
        <f t="shared" si="0"/>
        <v>6.17</v>
      </c>
      <c r="W30">
        <f t="shared" si="0"/>
        <v>98996.18</v>
      </c>
      <c r="X30">
        <f t="shared" si="0"/>
        <v>21.31</v>
      </c>
      <c r="Y30">
        <f t="shared" si="0"/>
        <v>0</v>
      </c>
      <c r="Z30">
        <f t="shared" si="0"/>
        <v>11.18</v>
      </c>
      <c r="AA30">
        <f t="shared" si="0"/>
        <v>0</v>
      </c>
      <c r="AB30">
        <f t="shared" si="0"/>
        <v>93.31</v>
      </c>
      <c r="AC30">
        <f t="shared" si="0"/>
        <v>1.21</v>
      </c>
      <c r="AD30">
        <f t="shared" si="0"/>
        <v>29.05</v>
      </c>
      <c r="AE30">
        <f t="shared" si="0"/>
        <v>36.979999999999997</v>
      </c>
      <c r="AF30">
        <f t="shared" si="0"/>
        <v>0</v>
      </c>
      <c r="AG30">
        <f t="shared" si="0"/>
        <v>19.309999999999999</v>
      </c>
      <c r="AH30">
        <f t="shared" si="0"/>
        <v>14.290000000000001</v>
      </c>
      <c r="AI30">
        <f t="shared" si="0"/>
        <v>0</v>
      </c>
      <c r="AJ30">
        <f t="shared" si="0"/>
        <v>56.23</v>
      </c>
      <c r="AK30">
        <f t="shared" si="0"/>
        <v>5.81</v>
      </c>
      <c r="AL30">
        <f t="shared" si="0"/>
        <v>4.2300000000000004</v>
      </c>
      <c r="AM30">
        <f t="shared" si="0"/>
        <v>0</v>
      </c>
      <c r="AN30">
        <f t="shared" si="0"/>
        <v>1.73</v>
      </c>
      <c r="AO30">
        <f t="shared" si="0"/>
        <v>0</v>
      </c>
      <c r="AP30">
        <f t="shared" si="0"/>
        <v>7.46</v>
      </c>
      <c r="AQ30">
        <f t="shared" si="0"/>
        <v>93.59</v>
      </c>
      <c r="AR30">
        <f t="shared" si="0"/>
        <v>0</v>
      </c>
      <c r="AS30">
        <f t="shared" si="0"/>
        <v>42.46</v>
      </c>
      <c r="AT30">
        <f t="shared" si="0"/>
        <v>9.15</v>
      </c>
      <c r="AU30">
        <f t="shared" si="0"/>
        <v>0</v>
      </c>
      <c r="AV30">
        <f t="shared" si="0"/>
        <v>0</v>
      </c>
      <c r="BC30" s="51" t="s">
        <v>201</v>
      </c>
      <c r="BD30">
        <v>44588</v>
      </c>
      <c r="BE30" t="s">
        <v>4</v>
      </c>
      <c r="BF30" t="s">
        <v>4</v>
      </c>
      <c r="BG30" t="s">
        <v>4</v>
      </c>
      <c r="BH30">
        <v>6.88</v>
      </c>
      <c r="BI30">
        <v>18.579999999999998</v>
      </c>
      <c r="BJ30">
        <v>30</v>
      </c>
      <c r="BK30">
        <v>1.5</v>
      </c>
      <c r="BL30" t="s">
        <v>4</v>
      </c>
      <c r="BM30">
        <v>111.21</v>
      </c>
      <c r="BN30" t="s">
        <v>4</v>
      </c>
      <c r="BO30">
        <v>661.81</v>
      </c>
      <c r="BP30">
        <v>126.4</v>
      </c>
      <c r="BQ30" t="s">
        <v>4</v>
      </c>
      <c r="BR30">
        <v>29.14</v>
      </c>
      <c r="BS30">
        <v>0.85</v>
      </c>
      <c r="BT30">
        <v>290.63</v>
      </c>
      <c r="BU30" t="s">
        <v>4</v>
      </c>
      <c r="BV30" t="s">
        <v>4</v>
      </c>
      <c r="BW30">
        <v>9.0799999999999983</v>
      </c>
      <c r="BX30">
        <v>55.050000000000004</v>
      </c>
      <c r="BY30" t="s">
        <v>4</v>
      </c>
      <c r="BZ30">
        <v>258.56</v>
      </c>
      <c r="CA30">
        <v>3.59</v>
      </c>
      <c r="CB30" t="s">
        <v>4</v>
      </c>
      <c r="CC30" t="s">
        <v>4</v>
      </c>
      <c r="CD30">
        <v>0.38</v>
      </c>
      <c r="CE30">
        <v>1981.27</v>
      </c>
      <c r="CF30" t="s">
        <v>4</v>
      </c>
      <c r="CG30">
        <v>76.62</v>
      </c>
      <c r="CH30">
        <v>8.9</v>
      </c>
      <c r="CI30" t="s">
        <v>4</v>
      </c>
      <c r="CJ30">
        <v>677.86</v>
      </c>
      <c r="CK30">
        <v>7.11</v>
      </c>
      <c r="CL30" t="s">
        <v>4</v>
      </c>
      <c r="CM30">
        <v>124.38</v>
      </c>
      <c r="CN30" t="s">
        <v>4</v>
      </c>
      <c r="CO30">
        <v>26.45</v>
      </c>
      <c r="CP30" t="s">
        <v>4</v>
      </c>
      <c r="CQ30">
        <v>1.4</v>
      </c>
      <c r="CR30" t="s">
        <v>4</v>
      </c>
      <c r="CS30" t="s">
        <v>4</v>
      </c>
      <c r="CT30" t="s">
        <v>4</v>
      </c>
      <c r="CU30" t="s">
        <v>4</v>
      </c>
      <c r="CV30">
        <v>7.68</v>
      </c>
      <c r="CW30" t="s">
        <v>4</v>
      </c>
      <c r="CX30" t="s">
        <v>4</v>
      </c>
      <c r="CY30" t="s">
        <v>4</v>
      </c>
    </row>
    <row r="31" spans="1:103" x14ac:dyDescent="0.25">
      <c r="A31" t="s">
        <v>709</v>
      </c>
      <c r="B31">
        <f>MAX(B9:B17)</f>
        <v>4.25</v>
      </c>
      <c r="C31">
        <f t="shared" ref="C31:AV31" si="1">MAX(C9:C17)</f>
        <v>1.34</v>
      </c>
      <c r="D31">
        <f t="shared" si="1"/>
        <v>0</v>
      </c>
      <c r="E31">
        <f t="shared" si="1"/>
        <v>1.04</v>
      </c>
      <c r="F31">
        <f t="shared" si="1"/>
        <v>23.88</v>
      </c>
      <c r="G31">
        <f t="shared" si="1"/>
        <v>0</v>
      </c>
      <c r="H31">
        <f t="shared" si="1"/>
        <v>4.55</v>
      </c>
      <c r="I31">
        <f t="shared" si="1"/>
        <v>21.61</v>
      </c>
      <c r="J31">
        <f t="shared" si="1"/>
        <v>100.61</v>
      </c>
      <c r="K31">
        <f t="shared" si="1"/>
        <v>0</v>
      </c>
      <c r="L31">
        <f t="shared" si="1"/>
        <v>40.69</v>
      </c>
      <c r="M31">
        <f t="shared" si="1"/>
        <v>5.43</v>
      </c>
      <c r="N31">
        <f t="shared" si="1"/>
        <v>1.23</v>
      </c>
      <c r="O31">
        <f t="shared" si="1"/>
        <v>0</v>
      </c>
      <c r="P31">
        <f t="shared" si="1"/>
        <v>10.19</v>
      </c>
      <c r="Q31">
        <f t="shared" si="1"/>
        <v>12.11</v>
      </c>
      <c r="R31">
        <f t="shared" si="1"/>
        <v>0</v>
      </c>
      <c r="S31">
        <f t="shared" si="1"/>
        <v>3.48</v>
      </c>
      <c r="T31">
        <f t="shared" si="1"/>
        <v>3.9899999999999993</v>
      </c>
      <c r="U31">
        <f t="shared" si="1"/>
        <v>5.44</v>
      </c>
      <c r="V31">
        <f t="shared" si="1"/>
        <v>5.37</v>
      </c>
      <c r="W31">
        <f t="shared" si="1"/>
        <v>43988.93</v>
      </c>
      <c r="X31">
        <f t="shared" si="1"/>
        <v>10.25</v>
      </c>
      <c r="Y31">
        <f t="shared" si="1"/>
        <v>28.24</v>
      </c>
      <c r="Z31">
        <f t="shared" si="1"/>
        <v>3.34</v>
      </c>
      <c r="AA31">
        <f t="shared" si="1"/>
        <v>0</v>
      </c>
      <c r="AB31">
        <f t="shared" si="1"/>
        <v>31.84</v>
      </c>
      <c r="AC31">
        <f t="shared" si="1"/>
        <v>0.9</v>
      </c>
      <c r="AD31">
        <f t="shared" si="1"/>
        <v>7.71</v>
      </c>
      <c r="AE31">
        <f t="shared" si="1"/>
        <v>11.709999999999999</v>
      </c>
      <c r="AF31">
        <f t="shared" si="1"/>
        <v>0</v>
      </c>
      <c r="AG31">
        <f t="shared" si="1"/>
        <v>9.48</v>
      </c>
      <c r="AH31">
        <f t="shared" si="1"/>
        <v>8.91</v>
      </c>
      <c r="AI31">
        <f t="shared" si="1"/>
        <v>0</v>
      </c>
      <c r="AJ31">
        <f t="shared" si="1"/>
        <v>20.46</v>
      </c>
      <c r="AK31">
        <f t="shared" si="1"/>
        <v>2.17</v>
      </c>
      <c r="AL31">
        <f t="shared" si="1"/>
        <v>3.28</v>
      </c>
      <c r="AM31">
        <f t="shared" si="1"/>
        <v>0.3</v>
      </c>
      <c r="AN31">
        <f t="shared" si="1"/>
        <v>4.5</v>
      </c>
      <c r="AO31">
        <f t="shared" si="1"/>
        <v>7.3</v>
      </c>
      <c r="AP31">
        <f t="shared" si="1"/>
        <v>7.07</v>
      </c>
      <c r="AQ31">
        <f t="shared" si="1"/>
        <v>22.39</v>
      </c>
      <c r="AR31">
        <f t="shared" si="1"/>
        <v>7.52</v>
      </c>
      <c r="AS31">
        <f t="shared" si="1"/>
        <v>39.700000000000003</v>
      </c>
      <c r="AT31">
        <f t="shared" si="1"/>
        <v>4.21</v>
      </c>
      <c r="AU31">
        <f t="shared" si="1"/>
        <v>0.59</v>
      </c>
      <c r="AV31">
        <f t="shared" si="1"/>
        <v>3.76</v>
      </c>
      <c r="BC31" s="51" t="s">
        <v>200</v>
      </c>
      <c r="BD31">
        <v>44588</v>
      </c>
      <c r="BE31" t="s">
        <v>4</v>
      </c>
      <c r="BF31" t="s">
        <v>4</v>
      </c>
      <c r="BG31" t="s">
        <v>4</v>
      </c>
      <c r="BH31">
        <v>6.58</v>
      </c>
      <c r="BI31">
        <v>20.68</v>
      </c>
      <c r="BJ31">
        <v>23.8</v>
      </c>
      <c r="BK31">
        <v>5.04</v>
      </c>
      <c r="BL31" t="s">
        <v>4</v>
      </c>
      <c r="BM31">
        <v>107.5</v>
      </c>
      <c r="BN31" t="s">
        <v>4</v>
      </c>
      <c r="BO31">
        <v>328.71</v>
      </c>
      <c r="BP31">
        <v>73.78</v>
      </c>
      <c r="BQ31" t="s">
        <v>4</v>
      </c>
      <c r="BR31">
        <v>20.149999999999999</v>
      </c>
      <c r="BS31">
        <v>1.26</v>
      </c>
      <c r="BT31">
        <v>378.66</v>
      </c>
      <c r="BU31" t="s">
        <v>4</v>
      </c>
      <c r="BV31" t="s">
        <v>4</v>
      </c>
      <c r="BW31">
        <v>7.61</v>
      </c>
      <c r="BX31">
        <v>907.04</v>
      </c>
      <c r="BY31" t="s">
        <v>4</v>
      </c>
      <c r="BZ31">
        <v>433.69</v>
      </c>
      <c r="CA31">
        <v>13.44</v>
      </c>
      <c r="CB31" t="s">
        <v>4</v>
      </c>
      <c r="CC31">
        <v>6.64</v>
      </c>
      <c r="CD31" t="s">
        <v>4</v>
      </c>
      <c r="CE31">
        <v>3028.99</v>
      </c>
      <c r="CF31" t="s">
        <v>4</v>
      </c>
      <c r="CG31">
        <v>36.11</v>
      </c>
      <c r="CH31">
        <v>13.36</v>
      </c>
      <c r="CI31" t="s">
        <v>4</v>
      </c>
      <c r="CJ31">
        <v>546.09</v>
      </c>
      <c r="CK31">
        <v>33.379999999999995</v>
      </c>
      <c r="CL31" t="s">
        <v>4</v>
      </c>
      <c r="CM31">
        <v>1558.16</v>
      </c>
      <c r="CN31">
        <v>4.21</v>
      </c>
      <c r="CO31">
        <v>509.42</v>
      </c>
      <c r="CP31" t="s">
        <v>4</v>
      </c>
      <c r="CQ31">
        <v>7.5</v>
      </c>
      <c r="CR31" t="s">
        <v>4</v>
      </c>
      <c r="CS31" t="s">
        <v>4</v>
      </c>
      <c r="CT31" t="s">
        <v>4</v>
      </c>
      <c r="CU31">
        <v>139.66</v>
      </c>
      <c r="CV31">
        <v>34.33</v>
      </c>
      <c r="CW31">
        <v>5.82</v>
      </c>
      <c r="CX31" t="s">
        <v>4</v>
      </c>
      <c r="CY31" t="s">
        <v>4</v>
      </c>
    </row>
    <row r="32" spans="1:103" ht="0.6" customHeight="1" x14ac:dyDescent="0.25">
      <c r="A32" t="s">
        <v>706</v>
      </c>
      <c r="B32">
        <f>MAX(B18:B20)</f>
        <v>0</v>
      </c>
      <c r="C32">
        <f t="shared" ref="C32:AV32" si="2">MAX(C18:C20)</f>
        <v>0</v>
      </c>
      <c r="D32">
        <f t="shared" si="2"/>
        <v>0</v>
      </c>
      <c r="E32">
        <f t="shared" si="2"/>
        <v>4.37</v>
      </c>
      <c r="F32">
        <f t="shared" si="2"/>
        <v>13.65</v>
      </c>
      <c r="G32">
        <f t="shared" si="2"/>
        <v>19.899999999999999</v>
      </c>
      <c r="H32">
        <f t="shared" si="2"/>
        <v>9.5</v>
      </c>
      <c r="I32">
        <f t="shared" si="2"/>
        <v>0</v>
      </c>
      <c r="J32">
        <f t="shared" si="2"/>
        <v>134.44</v>
      </c>
      <c r="K32">
        <f t="shared" si="2"/>
        <v>2799.52</v>
      </c>
      <c r="L32">
        <f t="shared" si="2"/>
        <v>303.01</v>
      </c>
      <c r="M32">
        <f t="shared" si="2"/>
        <v>61.96</v>
      </c>
      <c r="N32">
        <f t="shared" si="2"/>
        <v>0</v>
      </c>
      <c r="O32">
        <f t="shared" si="2"/>
        <v>16.66</v>
      </c>
      <c r="P32">
        <f t="shared" si="2"/>
        <v>1.08</v>
      </c>
      <c r="Q32">
        <f t="shared" si="2"/>
        <v>100.02</v>
      </c>
      <c r="R32">
        <f t="shared" si="2"/>
        <v>0</v>
      </c>
      <c r="S32">
        <f t="shared" si="2"/>
        <v>0</v>
      </c>
      <c r="T32">
        <f t="shared" si="2"/>
        <v>10.82</v>
      </c>
      <c r="U32">
        <f t="shared" si="2"/>
        <v>1773.94</v>
      </c>
      <c r="V32">
        <f t="shared" si="2"/>
        <v>0</v>
      </c>
      <c r="W32">
        <f t="shared" si="2"/>
        <v>242.88</v>
      </c>
      <c r="X32">
        <f t="shared" si="2"/>
        <v>12.31</v>
      </c>
      <c r="Y32">
        <f t="shared" si="2"/>
        <v>5.8</v>
      </c>
      <c r="Z32">
        <f t="shared" si="2"/>
        <v>0</v>
      </c>
      <c r="AA32">
        <f t="shared" si="2"/>
        <v>0</v>
      </c>
      <c r="AB32">
        <f t="shared" si="2"/>
        <v>6088.54</v>
      </c>
      <c r="AC32">
        <f t="shared" si="2"/>
        <v>0</v>
      </c>
      <c r="AD32">
        <f t="shared" si="2"/>
        <v>47.19</v>
      </c>
      <c r="AE32">
        <f t="shared" si="2"/>
        <v>14.879999999999999</v>
      </c>
      <c r="AF32">
        <f t="shared" si="2"/>
        <v>0</v>
      </c>
      <c r="AG32">
        <f t="shared" si="2"/>
        <v>199.22</v>
      </c>
      <c r="AH32">
        <f t="shared" si="2"/>
        <v>20.049999999999997</v>
      </c>
      <c r="AI32">
        <f t="shared" si="2"/>
        <v>0</v>
      </c>
      <c r="AJ32">
        <f t="shared" si="2"/>
        <v>3870.35</v>
      </c>
      <c r="AK32">
        <f t="shared" si="2"/>
        <v>0</v>
      </c>
      <c r="AL32">
        <f t="shared" si="2"/>
        <v>993.72</v>
      </c>
      <c r="AM32">
        <f t="shared" si="2"/>
        <v>0</v>
      </c>
      <c r="AN32">
        <f t="shared" si="2"/>
        <v>3.19</v>
      </c>
      <c r="AO32">
        <f t="shared" si="2"/>
        <v>0</v>
      </c>
      <c r="AP32">
        <f t="shared" si="2"/>
        <v>33.520000000000003</v>
      </c>
      <c r="AQ32">
        <f t="shared" si="2"/>
        <v>4.5</v>
      </c>
      <c r="AR32">
        <f t="shared" si="2"/>
        <v>0</v>
      </c>
      <c r="AS32">
        <f t="shared" si="2"/>
        <v>41.29</v>
      </c>
      <c r="AT32">
        <f t="shared" si="2"/>
        <v>4.07</v>
      </c>
      <c r="AU32">
        <f t="shared" si="2"/>
        <v>0</v>
      </c>
      <c r="AV32">
        <f t="shared" si="2"/>
        <v>0</v>
      </c>
    </row>
    <row r="33" spans="1:83" ht="13.8" customHeight="1" x14ac:dyDescent="0.25">
      <c r="A33" t="s">
        <v>707</v>
      </c>
      <c r="B33">
        <f>MAX(B21:B28)</f>
        <v>6.66</v>
      </c>
      <c r="C33">
        <f t="shared" ref="C33:AV33" si="3">MAX(C21:C28)</f>
        <v>1.64</v>
      </c>
      <c r="D33">
        <f t="shared" si="3"/>
        <v>0.51</v>
      </c>
      <c r="E33">
        <f t="shared" si="3"/>
        <v>24.12</v>
      </c>
      <c r="F33">
        <f t="shared" si="3"/>
        <v>36.799999999999997</v>
      </c>
      <c r="G33">
        <f t="shared" si="3"/>
        <v>54.15</v>
      </c>
      <c r="H33">
        <f t="shared" si="3"/>
        <v>5.04</v>
      </c>
      <c r="I33">
        <f t="shared" si="3"/>
        <v>14.06</v>
      </c>
      <c r="J33">
        <f t="shared" si="3"/>
        <v>150.19</v>
      </c>
      <c r="K33">
        <f t="shared" si="3"/>
        <v>52.949999999999996</v>
      </c>
      <c r="L33">
        <f t="shared" si="3"/>
        <v>661.81</v>
      </c>
      <c r="M33">
        <f t="shared" si="3"/>
        <v>126.4</v>
      </c>
      <c r="N33">
        <f t="shared" si="3"/>
        <v>0</v>
      </c>
      <c r="O33">
        <f t="shared" si="3"/>
        <v>29.14</v>
      </c>
      <c r="P33">
        <f t="shared" si="3"/>
        <v>1.68</v>
      </c>
      <c r="Q33">
        <f t="shared" si="3"/>
        <v>378.66</v>
      </c>
      <c r="R33">
        <f t="shared" si="3"/>
        <v>0</v>
      </c>
      <c r="S33">
        <f t="shared" si="3"/>
        <v>10.32</v>
      </c>
      <c r="T33">
        <f t="shared" si="3"/>
        <v>17.12</v>
      </c>
      <c r="U33">
        <f t="shared" si="3"/>
        <v>907.04</v>
      </c>
      <c r="V33">
        <f t="shared" si="3"/>
        <v>0</v>
      </c>
      <c r="W33">
        <f t="shared" si="3"/>
        <v>2554.81</v>
      </c>
      <c r="X33">
        <f t="shared" si="3"/>
        <v>636.04999999999995</v>
      </c>
      <c r="Y33">
        <f t="shared" si="3"/>
        <v>1.29</v>
      </c>
      <c r="Z33">
        <f t="shared" si="3"/>
        <v>6.64</v>
      </c>
      <c r="AA33">
        <f t="shared" si="3"/>
        <v>0.38</v>
      </c>
      <c r="AB33">
        <f t="shared" si="3"/>
        <v>3028.99</v>
      </c>
      <c r="AC33">
        <f t="shared" si="3"/>
        <v>0</v>
      </c>
      <c r="AD33">
        <f t="shared" si="3"/>
        <v>76.62</v>
      </c>
      <c r="AE33">
        <f t="shared" si="3"/>
        <v>20.94</v>
      </c>
      <c r="AF33">
        <f t="shared" si="3"/>
        <v>0</v>
      </c>
      <c r="AG33">
        <f t="shared" si="3"/>
        <v>677.86</v>
      </c>
      <c r="AH33">
        <f t="shared" si="3"/>
        <v>33.379999999999995</v>
      </c>
      <c r="AI33">
        <f t="shared" si="3"/>
        <v>0</v>
      </c>
      <c r="AJ33">
        <f t="shared" si="3"/>
        <v>1558.16</v>
      </c>
      <c r="AK33">
        <f t="shared" si="3"/>
        <v>4.21</v>
      </c>
      <c r="AL33">
        <f t="shared" si="3"/>
        <v>509.42</v>
      </c>
      <c r="AM33">
        <f t="shared" si="3"/>
        <v>0</v>
      </c>
      <c r="AN33">
        <f t="shared" si="3"/>
        <v>7.5</v>
      </c>
      <c r="AO33">
        <f t="shared" si="3"/>
        <v>3.53</v>
      </c>
      <c r="AP33">
        <f t="shared" si="3"/>
        <v>10.89</v>
      </c>
      <c r="AQ33">
        <f t="shared" si="3"/>
        <v>4.71</v>
      </c>
      <c r="AR33">
        <f t="shared" si="3"/>
        <v>139.66</v>
      </c>
      <c r="AS33">
        <f t="shared" si="3"/>
        <v>34.33</v>
      </c>
      <c r="AT33">
        <f t="shared" si="3"/>
        <v>5.82</v>
      </c>
      <c r="AU33">
        <f t="shared" si="3"/>
        <v>0</v>
      </c>
      <c r="AV33">
        <f t="shared" si="3"/>
        <v>1.1499999999999999</v>
      </c>
    </row>
    <row r="34" spans="1:83" s="175" customFormat="1" ht="140.4" customHeight="1" x14ac:dyDescent="0.25">
      <c r="B34" s="175" t="s">
        <v>253</v>
      </c>
      <c r="C34" s="175" t="s">
        <v>254</v>
      </c>
      <c r="D34" s="175" t="s">
        <v>256</v>
      </c>
      <c r="E34" s="175" t="s">
        <v>257</v>
      </c>
      <c r="F34" s="175" t="s">
        <v>258</v>
      </c>
      <c r="G34" s="175" t="s">
        <v>259</v>
      </c>
      <c r="H34" s="175" t="s">
        <v>260</v>
      </c>
      <c r="I34" s="175" t="s">
        <v>261</v>
      </c>
      <c r="J34" s="175" t="s">
        <v>262</v>
      </c>
      <c r="K34" s="175" t="s">
        <v>263</v>
      </c>
      <c r="L34" s="175" t="s">
        <v>264</v>
      </c>
      <c r="M34" s="175" t="s">
        <v>710</v>
      </c>
      <c r="N34" s="175" t="s">
        <v>711</v>
      </c>
      <c r="O34" s="175" t="s">
        <v>712</v>
      </c>
      <c r="P34" s="175" t="s">
        <v>267</v>
      </c>
      <c r="Q34" s="175" t="s">
        <v>270</v>
      </c>
      <c r="R34" s="175" t="s">
        <v>271</v>
      </c>
      <c r="S34" s="175" t="s">
        <v>274</v>
      </c>
      <c r="T34" s="175" t="s">
        <v>276</v>
      </c>
      <c r="U34" s="175" t="s">
        <v>277</v>
      </c>
      <c r="V34" s="175" t="s">
        <v>278</v>
      </c>
      <c r="W34" s="175" t="s">
        <v>279</v>
      </c>
      <c r="X34" s="175" t="s">
        <v>281</v>
      </c>
      <c r="Y34" s="175" t="s">
        <v>282</v>
      </c>
      <c r="Z34" s="175" t="s">
        <v>284</v>
      </c>
      <c r="AA34" s="175" t="s">
        <v>286</v>
      </c>
      <c r="AB34" s="175" t="s">
        <v>288</v>
      </c>
      <c r="AC34" s="175" t="s">
        <v>289</v>
      </c>
      <c r="AD34" s="175" t="s">
        <v>290</v>
      </c>
      <c r="AE34" s="175" t="s">
        <v>293</v>
      </c>
      <c r="AF34" s="175" t="s">
        <v>295</v>
      </c>
      <c r="AG34" s="175" t="s">
        <v>296</v>
      </c>
      <c r="AH34" s="175" t="s">
        <v>297</v>
      </c>
      <c r="AI34" s="175" t="s">
        <v>299</v>
      </c>
      <c r="AJ34" s="175" t="s">
        <v>302</v>
      </c>
      <c r="AK34" s="175" t="s">
        <v>304</v>
      </c>
      <c r="AL34" s="175" t="s">
        <v>305</v>
      </c>
      <c r="AM34" s="175" t="s">
        <v>309</v>
      </c>
      <c r="AN34" s="175" t="s">
        <v>311</v>
      </c>
      <c r="AO34" s="175" t="s">
        <v>313</v>
      </c>
      <c r="AP34" s="175" t="s">
        <v>314</v>
      </c>
      <c r="AQ34" s="175" t="s">
        <v>315</v>
      </c>
      <c r="AR34" s="175" t="s">
        <v>318</v>
      </c>
      <c r="AS34" s="175" t="s">
        <v>323</v>
      </c>
      <c r="AT34" s="175" t="s">
        <v>325</v>
      </c>
      <c r="AU34" s="175" t="s">
        <v>326</v>
      </c>
      <c r="AV34" s="175" t="s">
        <v>391</v>
      </c>
      <c r="BA34"/>
      <c r="BB34"/>
      <c r="BC34"/>
    </row>
    <row r="35" spans="1:83" x14ac:dyDescent="0.25">
      <c r="A35" t="s">
        <v>181</v>
      </c>
      <c r="B35" s="169">
        <f>IFERROR(B2/B$30,0)</f>
        <v>0</v>
      </c>
      <c r="C35" s="169">
        <f t="shared" ref="C35:AU40" si="4">IFERROR(C2/C$30,0)</f>
        <v>0</v>
      </c>
      <c r="D35" s="169">
        <f t="shared" si="4"/>
        <v>0</v>
      </c>
      <c r="E35" s="169">
        <f>IFERROR(E2/E$30,0)</f>
        <v>0.42211055276381909</v>
      </c>
      <c r="F35" s="169">
        <f t="shared" si="4"/>
        <v>0</v>
      </c>
      <c r="G35" s="169">
        <f t="shared" si="4"/>
        <v>0</v>
      </c>
      <c r="H35" s="169">
        <f t="shared" si="4"/>
        <v>0.27934272300469482</v>
      </c>
      <c r="I35" s="169">
        <f t="shared" si="4"/>
        <v>0</v>
      </c>
      <c r="J35" s="169">
        <f t="shared" si="4"/>
        <v>0.43099682287529778</v>
      </c>
      <c r="K35" s="169">
        <f t="shared" si="4"/>
        <v>0</v>
      </c>
      <c r="L35" s="169">
        <f>IFERROR(L2/L$30,0)</f>
        <v>1</v>
      </c>
      <c r="M35" s="169">
        <f t="shared" si="4"/>
        <v>1</v>
      </c>
      <c r="N35" s="169">
        <f t="shared" si="4"/>
        <v>0</v>
      </c>
      <c r="O35" s="169">
        <f t="shared" si="4"/>
        <v>0.90762124711316394</v>
      </c>
      <c r="P35" s="169">
        <f t="shared" si="4"/>
        <v>0.86740331491712708</v>
      </c>
      <c r="Q35" s="169">
        <f t="shared" si="4"/>
        <v>0.35986811116344791</v>
      </c>
      <c r="R35" s="169">
        <f t="shared" si="4"/>
        <v>0</v>
      </c>
      <c r="S35" s="169">
        <f t="shared" si="4"/>
        <v>0</v>
      </c>
      <c r="T35" s="169">
        <f t="shared" si="4"/>
        <v>0.32786885245901642</v>
      </c>
      <c r="U35" s="169">
        <f t="shared" si="4"/>
        <v>0.1311706629055007</v>
      </c>
      <c r="V35" s="169">
        <f t="shared" si="4"/>
        <v>0</v>
      </c>
      <c r="W35" s="169">
        <f t="shared" si="4"/>
        <v>1</v>
      </c>
      <c r="X35" s="169">
        <f t="shared" si="4"/>
        <v>0.73955889253871421</v>
      </c>
      <c r="Y35" s="169">
        <f t="shared" si="4"/>
        <v>0</v>
      </c>
      <c r="Z35" s="169">
        <f t="shared" si="4"/>
        <v>0.35599284436493739</v>
      </c>
      <c r="AA35" s="169">
        <f>IFERROR(AA2/AA$30,0)</f>
        <v>0</v>
      </c>
      <c r="AB35" s="169">
        <f t="shared" si="4"/>
        <v>1</v>
      </c>
      <c r="AC35" s="169">
        <f t="shared" si="4"/>
        <v>0</v>
      </c>
      <c r="AD35" s="169">
        <f t="shared" si="4"/>
        <v>1</v>
      </c>
      <c r="AE35" s="169">
        <f t="shared" si="4"/>
        <v>0.70470524607896168</v>
      </c>
      <c r="AF35" s="169">
        <f t="shared" si="4"/>
        <v>0</v>
      </c>
      <c r="AG35" s="169">
        <f t="shared" si="4"/>
        <v>0.27912998446400827</v>
      </c>
      <c r="AH35" s="169">
        <f t="shared" si="4"/>
        <v>0.28621413575927218</v>
      </c>
      <c r="AI35" s="169">
        <f t="shared" si="4"/>
        <v>0</v>
      </c>
      <c r="AJ35" s="169">
        <f t="shared" si="4"/>
        <v>6.3844922639160598E-2</v>
      </c>
      <c r="AK35" s="169">
        <f t="shared" si="4"/>
        <v>0</v>
      </c>
      <c r="AL35" s="169">
        <f t="shared" si="4"/>
        <v>0.47044917257683211</v>
      </c>
      <c r="AM35" s="169">
        <f t="shared" si="4"/>
        <v>0</v>
      </c>
      <c r="AN35" s="169">
        <f t="shared" si="4"/>
        <v>1</v>
      </c>
      <c r="AO35" s="169">
        <f t="shared" si="4"/>
        <v>0</v>
      </c>
      <c r="AP35" s="169">
        <f t="shared" si="4"/>
        <v>0.33243967828418231</v>
      </c>
      <c r="AQ35" s="169">
        <f t="shared" si="4"/>
        <v>0.97798910139972217</v>
      </c>
      <c r="AR35" s="169">
        <f t="shared" si="4"/>
        <v>0</v>
      </c>
      <c r="AS35" s="169">
        <f t="shared" si="4"/>
        <v>0.17121997173810644</v>
      </c>
      <c r="AT35" s="169">
        <f t="shared" si="4"/>
        <v>1</v>
      </c>
      <c r="AU35" s="169">
        <f t="shared" si="4"/>
        <v>0</v>
      </c>
      <c r="AV35" s="169">
        <f t="shared" ref="AV35" si="5">IFERROR(AV2/AV$30,0)</f>
        <v>0</v>
      </c>
    </row>
    <row r="36" spans="1:83" x14ac:dyDescent="0.25">
      <c r="A36" t="s">
        <v>182</v>
      </c>
      <c r="B36" s="169">
        <f t="shared" ref="B36:Q40" si="6">IFERROR(B3/B$30,0)</f>
        <v>0</v>
      </c>
      <c r="C36" s="169">
        <f t="shared" si="6"/>
        <v>0</v>
      </c>
      <c r="D36" s="169">
        <f t="shared" si="6"/>
        <v>0</v>
      </c>
      <c r="E36" s="169">
        <f t="shared" si="6"/>
        <v>0</v>
      </c>
      <c r="F36" s="169">
        <f t="shared" si="6"/>
        <v>0</v>
      </c>
      <c r="G36" s="169">
        <f t="shared" si="6"/>
        <v>0</v>
      </c>
      <c r="H36" s="169">
        <f t="shared" si="6"/>
        <v>0.11032863849765258</v>
      </c>
      <c r="I36" s="169">
        <f t="shared" si="6"/>
        <v>0</v>
      </c>
      <c r="J36" s="169">
        <f t="shared" si="6"/>
        <v>0.17192877945459359</v>
      </c>
      <c r="K36" s="169">
        <f t="shared" si="6"/>
        <v>1</v>
      </c>
      <c r="L36" s="169">
        <f t="shared" si="6"/>
        <v>0.17115442797251157</v>
      </c>
      <c r="M36" s="169">
        <f t="shared" si="6"/>
        <v>0.14358873350403781</v>
      </c>
      <c r="N36" s="169">
        <f t="shared" si="6"/>
        <v>0</v>
      </c>
      <c r="O36" s="169">
        <f t="shared" si="6"/>
        <v>0</v>
      </c>
      <c r="P36" s="169">
        <f t="shared" si="6"/>
        <v>0.47513812154696128</v>
      </c>
      <c r="Q36" s="169">
        <f t="shared" si="6"/>
        <v>0</v>
      </c>
      <c r="R36" s="169">
        <f t="shared" si="4"/>
        <v>0</v>
      </c>
      <c r="S36" s="169">
        <f t="shared" si="4"/>
        <v>0</v>
      </c>
      <c r="T36" s="169">
        <f t="shared" si="4"/>
        <v>0.15737704918032772</v>
      </c>
      <c r="U36" s="169">
        <f t="shared" si="4"/>
        <v>0.26234132581100145</v>
      </c>
      <c r="V36" s="169">
        <f t="shared" si="4"/>
        <v>0</v>
      </c>
      <c r="W36" s="169">
        <f t="shared" si="4"/>
        <v>0.59285631021318208</v>
      </c>
      <c r="X36" s="169">
        <f t="shared" si="4"/>
        <v>0.15110276865321448</v>
      </c>
      <c r="Y36" s="169">
        <f t="shared" si="4"/>
        <v>0</v>
      </c>
      <c r="Z36" s="169">
        <f t="shared" si="4"/>
        <v>0</v>
      </c>
      <c r="AA36" s="169">
        <f t="shared" si="4"/>
        <v>0</v>
      </c>
      <c r="AB36" s="169">
        <f t="shared" si="4"/>
        <v>0.15764655449576681</v>
      </c>
      <c r="AC36" s="169">
        <f t="shared" si="4"/>
        <v>0</v>
      </c>
      <c r="AD36" s="169">
        <f t="shared" si="4"/>
        <v>0.22478485370051635</v>
      </c>
      <c r="AE36" s="169">
        <f t="shared" si="4"/>
        <v>0.1181719848566793</v>
      </c>
      <c r="AF36" s="169">
        <f t="shared" si="4"/>
        <v>0</v>
      </c>
      <c r="AG36" s="169">
        <f t="shared" si="4"/>
        <v>5.2304505437597106E-2</v>
      </c>
      <c r="AH36" s="169">
        <f t="shared" si="4"/>
        <v>9.3072078376487052E-2</v>
      </c>
      <c r="AI36" s="169">
        <f t="shared" si="4"/>
        <v>0</v>
      </c>
      <c r="AJ36" s="169">
        <f t="shared" si="4"/>
        <v>0</v>
      </c>
      <c r="AK36" s="169">
        <f t="shared" si="4"/>
        <v>0</v>
      </c>
      <c r="AL36" s="169">
        <f t="shared" si="4"/>
        <v>0.54137115839243499</v>
      </c>
      <c r="AM36" s="169">
        <f t="shared" si="4"/>
        <v>0</v>
      </c>
      <c r="AN36" s="169">
        <f t="shared" si="4"/>
        <v>0.50289017341040454</v>
      </c>
      <c r="AO36" s="169">
        <f t="shared" si="4"/>
        <v>0</v>
      </c>
      <c r="AP36" s="169">
        <f t="shared" si="4"/>
        <v>0.19973190348525469</v>
      </c>
      <c r="AQ36" s="169">
        <f t="shared" si="4"/>
        <v>0.32930868682551556</v>
      </c>
      <c r="AR36" s="169">
        <f t="shared" si="4"/>
        <v>0</v>
      </c>
      <c r="AS36" s="169">
        <f t="shared" si="4"/>
        <v>5.6288271314178052E-2</v>
      </c>
      <c r="AT36" s="169">
        <f t="shared" si="4"/>
        <v>0.11475409836065574</v>
      </c>
      <c r="AU36" s="169">
        <f t="shared" si="4"/>
        <v>0</v>
      </c>
      <c r="AV36" s="169">
        <f t="shared" ref="AV36" si="7">IFERROR(AV3/AV$30,0)</f>
        <v>0</v>
      </c>
    </row>
    <row r="37" spans="1:83" x14ac:dyDescent="0.25">
      <c r="A37" t="s">
        <v>183</v>
      </c>
      <c r="B37" s="169">
        <f t="shared" si="6"/>
        <v>0</v>
      </c>
      <c r="C37" s="169">
        <f t="shared" si="4"/>
        <v>0</v>
      </c>
      <c r="D37" s="169">
        <f t="shared" si="4"/>
        <v>0</v>
      </c>
      <c r="E37" s="169">
        <f t="shared" si="4"/>
        <v>0</v>
      </c>
      <c r="F37" s="169">
        <f t="shared" si="4"/>
        <v>0</v>
      </c>
      <c r="G37" s="169">
        <f t="shared" si="4"/>
        <v>0</v>
      </c>
      <c r="H37" s="169">
        <f t="shared" si="4"/>
        <v>4.2253521126760563E-2</v>
      </c>
      <c r="I37" s="169">
        <f t="shared" si="4"/>
        <v>0</v>
      </c>
      <c r="J37" s="169">
        <f t="shared" si="4"/>
        <v>6.4303680169446639E-2</v>
      </c>
      <c r="K37" s="169">
        <f t="shared" si="4"/>
        <v>0</v>
      </c>
      <c r="L37" s="169">
        <f t="shared" si="4"/>
        <v>9.8197692008471268E-2</v>
      </c>
      <c r="M37" s="169">
        <f t="shared" si="4"/>
        <v>8.0756352176482166E-2</v>
      </c>
      <c r="N37" s="169">
        <f t="shared" si="4"/>
        <v>0</v>
      </c>
      <c r="O37" s="169">
        <f t="shared" si="4"/>
        <v>0</v>
      </c>
      <c r="P37" s="169">
        <f t="shared" si="4"/>
        <v>0.29281767955801108</v>
      </c>
      <c r="Q37" s="169">
        <f t="shared" si="4"/>
        <v>0</v>
      </c>
      <c r="R37" s="169">
        <f t="shared" si="4"/>
        <v>0</v>
      </c>
      <c r="S37" s="169">
        <f t="shared" si="4"/>
        <v>0</v>
      </c>
      <c r="T37" s="169">
        <f t="shared" si="4"/>
        <v>0.18032786885245897</v>
      </c>
      <c r="U37" s="169">
        <f t="shared" si="4"/>
        <v>0.21720733427362479</v>
      </c>
      <c r="V37" s="169">
        <f t="shared" si="4"/>
        <v>0</v>
      </c>
      <c r="W37" s="169">
        <f t="shared" si="4"/>
        <v>0.32351460430089324</v>
      </c>
      <c r="X37" s="169">
        <f t="shared" si="4"/>
        <v>7.0389488503050213E-2</v>
      </c>
      <c r="Y37" s="169">
        <f t="shared" si="4"/>
        <v>0</v>
      </c>
      <c r="Z37" s="169">
        <f t="shared" si="4"/>
        <v>0</v>
      </c>
      <c r="AA37" s="169">
        <f t="shared" si="4"/>
        <v>0</v>
      </c>
      <c r="AB37" s="169">
        <f t="shared" si="4"/>
        <v>0.19215518165255599</v>
      </c>
      <c r="AC37" s="169">
        <f t="shared" si="4"/>
        <v>0</v>
      </c>
      <c r="AD37" s="169">
        <f t="shared" si="4"/>
        <v>0.17487091222030982</v>
      </c>
      <c r="AE37" s="169">
        <f t="shared" si="4"/>
        <v>5.8409951325040572E-2</v>
      </c>
      <c r="AF37" s="169">
        <f t="shared" si="4"/>
        <v>0</v>
      </c>
      <c r="AG37" s="169">
        <f t="shared" si="4"/>
        <v>6.2661833247022264E-2</v>
      </c>
      <c r="AH37" s="169">
        <f t="shared" si="4"/>
        <v>6.4380685794261733E-2</v>
      </c>
      <c r="AI37" s="169">
        <f t="shared" si="4"/>
        <v>0</v>
      </c>
      <c r="AJ37" s="169">
        <f t="shared" si="4"/>
        <v>0</v>
      </c>
      <c r="AK37" s="169">
        <f t="shared" si="4"/>
        <v>0</v>
      </c>
      <c r="AL37" s="169">
        <f t="shared" si="4"/>
        <v>1</v>
      </c>
      <c r="AM37" s="169">
        <f t="shared" si="4"/>
        <v>0</v>
      </c>
      <c r="AN37" s="169">
        <f t="shared" si="4"/>
        <v>0.20809248554913296</v>
      </c>
      <c r="AO37" s="169">
        <f t="shared" si="4"/>
        <v>0</v>
      </c>
      <c r="AP37" s="169">
        <f t="shared" si="4"/>
        <v>0</v>
      </c>
      <c r="AQ37" s="169">
        <f t="shared" si="4"/>
        <v>0.11347366171599528</v>
      </c>
      <c r="AR37" s="169">
        <f t="shared" si="4"/>
        <v>0</v>
      </c>
      <c r="AS37" s="169">
        <f t="shared" si="4"/>
        <v>7.9604333490343848E-2</v>
      </c>
      <c r="AT37" s="169">
        <f t="shared" si="4"/>
        <v>0</v>
      </c>
      <c r="AU37" s="169">
        <f t="shared" si="4"/>
        <v>0</v>
      </c>
      <c r="AV37" s="169">
        <f t="shared" ref="AV37" si="8">IFERROR(AV4/AV$30,0)</f>
        <v>0</v>
      </c>
      <c r="BD37" s="169">
        <f t="shared" ref="BD37:BI37" si="9">IFERROR(BD4/BD$30,0)</f>
        <v>0</v>
      </c>
      <c r="BE37" s="169">
        <f t="shared" si="9"/>
        <v>0</v>
      </c>
      <c r="BF37" s="169">
        <f t="shared" si="9"/>
        <v>0</v>
      </c>
      <c r="BG37" s="169">
        <f t="shared" si="9"/>
        <v>0</v>
      </c>
      <c r="BH37" s="169">
        <f t="shared" si="9"/>
        <v>0</v>
      </c>
      <c r="BI37" s="169">
        <f t="shared" si="9"/>
        <v>0</v>
      </c>
    </row>
    <row r="38" spans="1:83" x14ac:dyDescent="0.25">
      <c r="A38" t="s">
        <v>184</v>
      </c>
      <c r="B38" s="177">
        <f t="shared" si="6"/>
        <v>0</v>
      </c>
      <c r="C38" s="180">
        <f t="shared" si="4"/>
        <v>0</v>
      </c>
      <c r="D38" s="180">
        <f t="shared" si="4"/>
        <v>0</v>
      </c>
      <c r="E38" s="180">
        <f t="shared" si="4"/>
        <v>0</v>
      </c>
      <c r="F38" s="180">
        <f t="shared" si="4"/>
        <v>0</v>
      </c>
      <c r="G38" s="180">
        <f t="shared" si="4"/>
        <v>0</v>
      </c>
      <c r="H38" s="180">
        <f t="shared" si="4"/>
        <v>0.33333333333333331</v>
      </c>
      <c r="I38" s="180">
        <f t="shared" si="4"/>
        <v>0</v>
      </c>
      <c r="J38" s="180">
        <f t="shared" si="4"/>
        <v>0.32740931956579294</v>
      </c>
      <c r="K38" s="180">
        <f t="shared" si="4"/>
        <v>0</v>
      </c>
      <c r="L38" s="180">
        <f t="shared" si="4"/>
        <v>0.27116739421705494</v>
      </c>
      <c r="M38" s="180">
        <f t="shared" si="4"/>
        <v>0.21173921607248375</v>
      </c>
      <c r="N38" s="180">
        <f t="shared" si="4"/>
        <v>0</v>
      </c>
      <c r="O38" s="180">
        <f t="shared" si="4"/>
        <v>0.85681293302540418</v>
      </c>
      <c r="P38" s="180">
        <f t="shared" si="4"/>
        <v>0.52486187845303867</v>
      </c>
      <c r="Q38" s="180">
        <f t="shared" si="4"/>
        <v>0.31370701837023079</v>
      </c>
      <c r="R38" s="180">
        <f t="shared" si="4"/>
        <v>0.40038498556304136</v>
      </c>
      <c r="S38" s="180">
        <f t="shared" si="4"/>
        <v>0</v>
      </c>
      <c r="T38" s="180">
        <f t="shared" si="4"/>
        <v>0.23934426229508182</v>
      </c>
      <c r="U38" s="180">
        <f t="shared" si="4"/>
        <v>0.19322990126939349</v>
      </c>
      <c r="V38" s="180">
        <f t="shared" si="4"/>
        <v>0</v>
      </c>
      <c r="W38" s="180">
        <f t="shared" si="4"/>
        <v>0.79474702963286059</v>
      </c>
      <c r="X38" s="180">
        <f t="shared" si="4"/>
        <v>0.5049272641952135</v>
      </c>
      <c r="Y38" s="180">
        <f t="shared" si="4"/>
        <v>0</v>
      </c>
      <c r="Z38" s="180">
        <f t="shared" si="4"/>
        <v>0.45885509838998212</v>
      </c>
      <c r="AA38" s="180">
        <f t="shared" si="4"/>
        <v>0</v>
      </c>
      <c r="AB38" s="180">
        <f t="shared" si="4"/>
        <v>0.40917372200192903</v>
      </c>
      <c r="AC38" s="180">
        <f t="shared" si="4"/>
        <v>0</v>
      </c>
      <c r="AD38" s="180">
        <f t="shared" si="4"/>
        <v>0.18141135972461273</v>
      </c>
      <c r="AE38" s="180">
        <f t="shared" si="4"/>
        <v>0.61357490535424564</v>
      </c>
      <c r="AF38" s="180">
        <f t="shared" si="4"/>
        <v>0</v>
      </c>
      <c r="AG38" s="180">
        <f t="shared" si="4"/>
        <v>0.49352667011910928</v>
      </c>
      <c r="AH38" s="180">
        <f t="shared" si="4"/>
        <v>0.56403079076277118</v>
      </c>
      <c r="AI38" s="180">
        <f t="shared" si="4"/>
        <v>0</v>
      </c>
      <c r="AJ38" s="180">
        <f t="shared" si="4"/>
        <v>0</v>
      </c>
      <c r="AK38" s="180">
        <f t="shared" si="4"/>
        <v>0.39586919104991392</v>
      </c>
      <c r="AL38" s="180">
        <f t="shared" si="4"/>
        <v>0.30260047281323876</v>
      </c>
      <c r="AM38" s="180">
        <f t="shared" si="4"/>
        <v>0</v>
      </c>
      <c r="AN38" s="180">
        <f t="shared" si="4"/>
        <v>0.65317919075144504</v>
      </c>
      <c r="AO38" s="180">
        <f t="shared" si="4"/>
        <v>0</v>
      </c>
      <c r="AP38" s="180">
        <f t="shared" si="4"/>
        <v>0</v>
      </c>
      <c r="AQ38" s="180">
        <f t="shared" si="4"/>
        <v>0.72486376749652737</v>
      </c>
      <c r="AR38" s="180">
        <f t="shared" si="4"/>
        <v>0</v>
      </c>
      <c r="AS38" s="180">
        <f t="shared" si="4"/>
        <v>0.30004710315591143</v>
      </c>
      <c r="AT38" s="180">
        <f t="shared" si="4"/>
        <v>0.19672131147540983</v>
      </c>
      <c r="AU38" s="180">
        <f t="shared" si="4"/>
        <v>0</v>
      </c>
      <c r="AV38" s="181">
        <f t="shared" ref="AV38" si="10">IFERROR(AV5/AV$30,0)</f>
        <v>0</v>
      </c>
      <c r="BD38" s="169">
        <f t="shared" ref="BD38:BI38" si="11">IFERROR(BD5/BD$30,0)</f>
        <v>0</v>
      </c>
      <c r="BE38" s="169">
        <f t="shared" si="11"/>
        <v>0</v>
      </c>
      <c r="BF38" s="169">
        <f t="shared" si="11"/>
        <v>0</v>
      </c>
      <c r="BG38" s="169">
        <f t="shared" si="11"/>
        <v>0</v>
      </c>
      <c r="BH38" s="169">
        <f t="shared" si="11"/>
        <v>0</v>
      </c>
      <c r="BI38" s="169">
        <f t="shared" si="11"/>
        <v>0</v>
      </c>
    </row>
    <row r="39" spans="1:83" x14ac:dyDescent="0.25">
      <c r="A39" t="s">
        <v>185</v>
      </c>
      <c r="B39" s="178">
        <f t="shared" si="6"/>
        <v>0</v>
      </c>
      <c r="C39" s="169">
        <f t="shared" si="4"/>
        <v>0</v>
      </c>
      <c r="D39" s="169">
        <f t="shared" si="4"/>
        <v>0</v>
      </c>
      <c r="E39" s="169">
        <f t="shared" si="4"/>
        <v>0.84924623115577891</v>
      </c>
      <c r="F39" s="169">
        <f t="shared" si="4"/>
        <v>0</v>
      </c>
      <c r="G39" s="169">
        <f t="shared" si="4"/>
        <v>0</v>
      </c>
      <c r="H39" s="169">
        <f t="shared" si="4"/>
        <v>0.53521126760563376</v>
      </c>
      <c r="I39" s="169">
        <f t="shared" si="4"/>
        <v>0</v>
      </c>
      <c r="J39" s="169">
        <f t="shared" si="4"/>
        <v>1</v>
      </c>
      <c r="K39" s="169">
        <f t="shared" si="4"/>
        <v>0</v>
      </c>
      <c r="L39" s="169">
        <f t="shared" si="4"/>
        <v>0.43890737779314515</v>
      </c>
      <c r="M39" s="169">
        <f t="shared" si="4"/>
        <v>0.28166239905455975</v>
      </c>
      <c r="N39" s="169">
        <f t="shared" si="4"/>
        <v>0</v>
      </c>
      <c r="O39" s="169">
        <f t="shared" si="4"/>
        <v>0.96766743648960751</v>
      </c>
      <c r="P39" s="169">
        <f t="shared" si="4"/>
        <v>1</v>
      </c>
      <c r="Q39" s="169">
        <f t="shared" si="4"/>
        <v>0.40461610927932168</v>
      </c>
      <c r="R39" s="169">
        <f t="shared" si="4"/>
        <v>1</v>
      </c>
      <c r="S39" s="169">
        <f t="shared" si="4"/>
        <v>0</v>
      </c>
      <c r="T39" s="169">
        <f t="shared" si="4"/>
        <v>1</v>
      </c>
      <c r="U39" s="169">
        <f t="shared" si="4"/>
        <v>0.88293370944992955</v>
      </c>
      <c r="V39" s="169">
        <f t="shared" si="4"/>
        <v>1</v>
      </c>
      <c r="W39" s="169">
        <f t="shared" si="4"/>
        <v>0.76342188153118651</v>
      </c>
      <c r="X39" s="169">
        <f t="shared" si="4"/>
        <v>1</v>
      </c>
      <c r="Y39" s="169">
        <f t="shared" si="4"/>
        <v>0</v>
      </c>
      <c r="Z39" s="169">
        <f t="shared" si="4"/>
        <v>1</v>
      </c>
      <c r="AA39" s="169">
        <f t="shared" si="4"/>
        <v>0</v>
      </c>
      <c r="AB39" s="169">
        <f t="shared" si="4"/>
        <v>0.58589647411852963</v>
      </c>
      <c r="AC39" s="169">
        <f t="shared" si="4"/>
        <v>0</v>
      </c>
      <c r="AD39" s="169">
        <f t="shared" si="4"/>
        <v>0.20585197934595525</v>
      </c>
      <c r="AE39" s="169">
        <f t="shared" si="4"/>
        <v>1</v>
      </c>
      <c r="AF39" s="169">
        <f t="shared" si="4"/>
        <v>0</v>
      </c>
      <c r="AG39" s="169">
        <f t="shared" si="4"/>
        <v>0.67685137234593484</v>
      </c>
      <c r="AH39" s="169">
        <f t="shared" si="4"/>
        <v>0.97900629811056683</v>
      </c>
      <c r="AI39" s="169">
        <f t="shared" si="4"/>
        <v>0</v>
      </c>
      <c r="AJ39" s="169">
        <f t="shared" si="4"/>
        <v>1</v>
      </c>
      <c r="AK39" s="169">
        <f t="shared" si="4"/>
        <v>1</v>
      </c>
      <c r="AL39" s="169">
        <f t="shared" si="4"/>
        <v>0.56737588652482263</v>
      </c>
      <c r="AM39" s="169">
        <f t="shared" si="4"/>
        <v>0</v>
      </c>
      <c r="AN39" s="169">
        <f t="shared" si="4"/>
        <v>0.86705202312138729</v>
      </c>
      <c r="AO39" s="169">
        <f t="shared" si="4"/>
        <v>0</v>
      </c>
      <c r="AP39" s="169">
        <f t="shared" si="4"/>
        <v>0</v>
      </c>
      <c r="AQ39" s="169">
        <f t="shared" si="4"/>
        <v>1</v>
      </c>
      <c r="AR39" s="169">
        <f t="shared" si="4"/>
        <v>0</v>
      </c>
      <c r="AS39" s="169">
        <f t="shared" si="4"/>
        <v>1</v>
      </c>
      <c r="AT39" s="169">
        <f t="shared" si="4"/>
        <v>0.3551912568306011</v>
      </c>
      <c r="AU39" s="169">
        <f t="shared" si="4"/>
        <v>0</v>
      </c>
      <c r="AV39" s="182">
        <f t="shared" ref="AV39" si="12">IFERROR(AV6/AV$30,0)</f>
        <v>0</v>
      </c>
      <c r="BD39" s="169">
        <f t="shared" ref="BD39:BI39" si="13">IFERROR(BD6/BD$30,0)</f>
        <v>0</v>
      </c>
      <c r="BE39" s="169">
        <f t="shared" si="13"/>
        <v>0</v>
      </c>
      <c r="BF39" s="169">
        <f t="shared" si="13"/>
        <v>0</v>
      </c>
      <c r="BG39" s="169">
        <f t="shared" si="13"/>
        <v>0</v>
      </c>
      <c r="BH39" s="169">
        <f t="shared" si="13"/>
        <v>0</v>
      </c>
      <c r="BI39" s="169">
        <f t="shared" si="13"/>
        <v>0</v>
      </c>
    </row>
    <row r="40" spans="1:83" x14ac:dyDescent="0.25">
      <c r="A40" t="s">
        <v>186</v>
      </c>
      <c r="B40" s="178">
        <f t="shared" si="6"/>
        <v>0</v>
      </c>
      <c r="C40" s="169">
        <f t="shared" si="4"/>
        <v>0</v>
      </c>
      <c r="D40" s="169">
        <f t="shared" si="4"/>
        <v>0</v>
      </c>
      <c r="E40" s="169">
        <f t="shared" si="4"/>
        <v>1</v>
      </c>
      <c r="F40" s="169">
        <f t="shared" si="4"/>
        <v>0</v>
      </c>
      <c r="G40" s="169">
        <f t="shared" si="4"/>
        <v>0</v>
      </c>
      <c r="H40" s="169">
        <f t="shared" si="4"/>
        <v>1</v>
      </c>
      <c r="I40" s="169">
        <f t="shared" si="4"/>
        <v>0</v>
      </c>
      <c r="J40" s="169">
        <f t="shared" si="4"/>
        <v>0.45346836113317446</v>
      </c>
      <c r="K40" s="169">
        <f t="shared" si="4"/>
        <v>0</v>
      </c>
      <c r="L40" s="169">
        <f t="shared" si="4"/>
        <v>0.43959891083545832</v>
      </c>
      <c r="M40" s="169">
        <f t="shared" si="4"/>
        <v>0.48434114634626746</v>
      </c>
      <c r="N40" s="169">
        <f t="shared" si="4"/>
        <v>1</v>
      </c>
      <c r="O40" s="169">
        <f t="shared" si="4"/>
        <v>1</v>
      </c>
      <c r="P40" s="169">
        <f t="shared" si="4"/>
        <v>0.62430939226519333</v>
      </c>
      <c r="Q40" s="169">
        <f t="shared" si="4"/>
        <v>1</v>
      </c>
      <c r="R40" s="169">
        <f t="shared" si="4"/>
        <v>0.40070580686557589</v>
      </c>
      <c r="S40" s="169">
        <f t="shared" si="4"/>
        <v>0</v>
      </c>
      <c r="T40" s="169">
        <f t="shared" si="4"/>
        <v>0.63278688524590154</v>
      </c>
      <c r="U40" s="169">
        <f t="shared" si="4"/>
        <v>1</v>
      </c>
      <c r="V40" s="169">
        <f t="shared" si="4"/>
        <v>0.65964343598055108</v>
      </c>
      <c r="W40" s="169">
        <f t="shared" si="4"/>
        <v>0.46423558969649137</v>
      </c>
      <c r="X40" s="169">
        <f t="shared" si="4"/>
        <v>0.78460816518066634</v>
      </c>
      <c r="Y40" s="169">
        <f t="shared" si="4"/>
        <v>0</v>
      </c>
      <c r="Z40" s="169">
        <f t="shared" si="4"/>
        <v>0.54382826475849733</v>
      </c>
      <c r="AA40" s="169">
        <f t="shared" si="4"/>
        <v>0</v>
      </c>
      <c r="AB40" s="169">
        <f t="shared" si="4"/>
        <v>0.48933661986925298</v>
      </c>
      <c r="AC40" s="169">
        <f t="shared" si="4"/>
        <v>1</v>
      </c>
      <c r="AD40" s="169">
        <f t="shared" si="4"/>
        <v>0.22340791738382099</v>
      </c>
      <c r="AE40" s="169">
        <f t="shared" si="4"/>
        <v>0.74986479177934029</v>
      </c>
      <c r="AF40" s="169">
        <f t="shared" si="4"/>
        <v>0</v>
      </c>
      <c r="AG40" s="169">
        <f t="shared" si="4"/>
        <v>1</v>
      </c>
      <c r="AH40" s="169">
        <f t="shared" si="4"/>
        <v>1</v>
      </c>
      <c r="AI40" s="169">
        <f t="shared" si="4"/>
        <v>0</v>
      </c>
      <c r="AJ40" s="169">
        <f t="shared" si="4"/>
        <v>0.4150809176596123</v>
      </c>
      <c r="AK40" s="169">
        <f t="shared" si="4"/>
        <v>0.69535283993115327</v>
      </c>
      <c r="AL40" s="169">
        <f t="shared" si="4"/>
        <v>0.26241134751773049</v>
      </c>
      <c r="AM40" s="169">
        <f t="shared" si="4"/>
        <v>0</v>
      </c>
      <c r="AN40" s="169">
        <f t="shared" si="4"/>
        <v>0.47398843930635842</v>
      </c>
      <c r="AO40" s="169">
        <f t="shared" si="4"/>
        <v>0</v>
      </c>
      <c r="AP40" s="169">
        <f t="shared" si="4"/>
        <v>1</v>
      </c>
      <c r="AQ40" s="169">
        <f t="shared" si="4"/>
        <v>0.39053317662143389</v>
      </c>
      <c r="AR40" s="169">
        <f t="shared" si="4"/>
        <v>0</v>
      </c>
      <c r="AS40" s="169">
        <f t="shared" si="4"/>
        <v>0.90108337258596316</v>
      </c>
      <c r="AT40" s="169">
        <f t="shared" si="4"/>
        <v>0.19781420765027322</v>
      </c>
      <c r="AU40" s="169">
        <f t="shared" si="4"/>
        <v>0</v>
      </c>
      <c r="AV40" s="182">
        <f t="shared" ref="AV40" si="14">IFERROR(AV7/AV$30,0)</f>
        <v>0</v>
      </c>
      <c r="BD40" s="169">
        <f t="shared" ref="BD40:BI40" si="15">IFERROR(BD7/BD$30,0)</f>
        <v>0</v>
      </c>
      <c r="BE40" s="169">
        <f t="shared" si="15"/>
        <v>0</v>
      </c>
      <c r="BF40" s="169">
        <f t="shared" si="15"/>
        <v>0</v>
      </c>
      <c r="BG40" s="169">
        <f t="shared" si="15"/>
        <v>0</v>
      </c>
      <c r="BH40" s="169">
        <f t="shared" si="15"/>
        <v>0</v>
      </c>
      <c r="BI40" s="169">
        <f t="shared" si="15"/>
        <v>0</v>
      </c>
    </row>
    <row r="41" spans="1:83" x14ac:dyDescent="0.25">
      <c r="A41" s="61" t="s">
        <v>187</v>
      </c>
      <c r="B41" s="179">
        <f>IFERROR(B8/B$30,0)</f>
        <v>0</v>
      </c>
      <c r="C41" s="183">
        <f t="shared" ref="C41:AU41" si="16">IFERROR(C8/C$30,0)</f>
        <v>0</v>
      </c>
      <c r="D41" s="183">
        <f t="shared" si="16"/>
        <v>0</v>
      </c>
      <c r="E41" s="183">
        <f t="shared" si="16"/>
        <v>0.542713567839196</v>
      </c>
      <c r="F41" s="183">
        <f t="shared" si="16"/>
        <v>0</v>
      </c>
      <c r="G41" s="183">
        <f t="shared" si="16"/>
        <v>0</v>
      </c>
      <c r="H41" s="183">
        <f t="shared" si="16"/>
        <v>0.58920187793427226</v>
      </c>
      <c r="I41" s="183">
        <f t="shared" si="16"/>
        <v>0</v>
      </c>
      <c r="J41" s="183">
        <f t="shared" si="16"/>
        <v>0.39859676992321946</v>
      </c>
      <c r="K41" s="183">
        <f t="shared" si="16"/>
        <v>0</v>
      </c>
      <c r="L41" s="183">
        <f t="shared" si="16"/>
        <v>0.27159960236850067</v>
      </c>
      <c r="M41" s="183">
        <f t="shared" si="16"/>
        <v>0.22907228678353359</v>
      </c>
      <c r="N41" s="183">
        <f t="shared" si="16"/>
        <v>0</v>
      </c>
      <c r="O41" s="183">
        <f t="shared" si="16"/>
        <v>0</v>
      </c>
      <c r="P41" s="183">
        <f t="shared" si="16"/>
        <v>0.58563535911602216</v>
      </c>
      <c r="Q41" s="183">
        <f t="shared" si="16"/>
        <v>0.472444653791804</v>
      </c>
      <c r="R41" s="183">
        <f t="shared" si="16"/>
        <v>0.46358678216233551</v>
      </c>
      <c r="S41" s="183">
        <f t="shared" si="16"/>
        <v>0</v>
      </c>
      <c r="T41" s="183">
        <f t="shared" si="16"/>
        <v>0.32786885245901642</v>
      </c>
      <c r="U41" s="183">
        <f t="shared" si="16"/>
        <v>0.56558533145275047</v>
      </c>
      <c r="V41" s="183">
        <f t="shared" si="16"/>
        <v>0.6952998379254457</v>
      </c>
      <c r="W41" s="183">
        <f t="shared" si="16"/>
        <v>0.79508734579455498</v>
      </c>
      <c r="X41" s="183">
        <f t="shared" si="16"/>
        <v>0.9399343031440639</v>
      </c>
      <c r="Y41" s="183">
        <f t="shared" si="16"/>
        <v>0</v>
      </c>
      <c r="Z41" s="183">
        <f t="shared" si="16"/>
        <v>0.56797853309481217</v>
      </c>
      <c r="AA41" s="183">
        <f t="shared" si="16"/>
        <v>0</v>
      </c>
      <c r="AB41" s="183">
        <f t="shared" si="16"/>
        <v>0.41045975779659194</v>
      </c>
      <c r="AC41" s="183">
        <f t="shared" si="16"/>
        <v>0</v>
      </c>
      <c r="AD41" s="183">
        <f t="shared" si="16"/>
        <v>0.2027538726333907</v>
      </c>
      <c r="AE41" s="183">
        <f t="shared" si="16"/>
        <v>0.73742563547863726</v>
      </c>
      <c r="AF41" s="183">
        <f t="shared" si="16"/>
        <v>0</v>
      </c>
      <c r="AG41" s="183">
        <f t="shared" si="16"/>
        <v>0.61263593992749876</v>
      </c>
      <c r="AH41" s="183">
        <f t="shared" si="16"/>
        <v>0.56403079076277118</v>
      </c>
      <c r="AI41" s="183">
        <f t="shared" si="16"/>
        <v>0</v>
      </c>
      <c r="AJ41" s="183">
        <f t="shared" si="16"/>
        <v>0.37311043926729509</v>
      </c>
      <c r="AK41" s="183">
        <f t="shared" si="16"/>
        <v>0</v>
      </c>
      <c r="AL41" s="183">
        <f t="shared" si="16"/>
        <v>0.28841607565011818</v>
      </c>
      <c r="AM41" s="183">
        <f t="shared" si="16"/>
        <v>0</v>
      </c>
      <c r="AN41" s="183">
        <f t="shared" si="16"/>
        <v>0.8554913294797688</v>
      </c>
      <c r="AO41" s="183">
        <f t="shared" si="16"/>
        <v>0</v>
      </c>
      <c r="AP41" s="183">
        <f t="shared" si="16"/>
        <v>0.40482573726541554</v>
      </c>
      <c r="AQ41" s="183">
        <f t="shared" si="16"/>
        <v>0.58467785019767071</v>
      </c>
      <c r="AR41" s="183">
        <f t="shared" si="16"/>
        <v>0</v>
      </c>
      <c r="AS41" s="183">
        <f t="shared" si="16"/>
        <v>0.51931229392369294</v>
      </c>
      <c r="AT41" s="183">
        <f t="shared" si="16"/>
        <v>0.27650273224043714</v>
      </c>
      <c r="AU41" s="183">
        <f t="shared" si="16"/>
        <v>0</v>
      </c>
      <c r="AV41" s="184">
        <f t="shared" ref="AV41" si="17">IFERROR(AV8/AV$30,0)</f>
        <v>0</v>
      </c>
      <c r="BD41" s="169">
        <f t="shared" ref="BD41:BI41" si="18">IFERROR(BD8/BD$30,0)</f>
        <v>0</v>
      </c>
      <c r="BE41" s="169">
        <f t="shared" si="18"/>
        <v>0</v>
      </c>
      <c r="BF41" s="169">
        <f t="shared" si="18"/>
        <v>0</v>
      </c>
      <c r="BG41" s="169">
        <f t="shared" si="18"/>
        <v>0</v>
      </c>
      <c r="BH41" s="169">
        <f t="shared" si="18"/>
        <v>0</v>
      </c>
      <c r="BI41" s="169">
        <f t="shared" si="18"/>
        <v>0</v>
      </c>
    </row>
    <row r="42" spans="1:83" x14ac:dyDescent="0.25">
      <c r="A42" t="s">
        <v>191</v>
      </c>
      <c r="B42" s="169">
        <f>IFERROR(B9/$B$31,0)</f>
        <v>0</v>
      </c>
      <c r="C42" s="169">
        <f t="shared" ref="C42:AU47" si="19">IFERROR(C9/$B$31,0)</f>
        <v>0.31529411764705884</v>
      </c>
      <c r="D42" s="169">
        <f t="shared" si="19"/>
        <v>0</v>
      </c>
      <c r="E42" s="169">
        <f t="shared" si="19"/>
        <v>0</v>
      </c>
      <c r="F42" s="169">
        <f t="shared" si="19"/>
        <v>0</v>
      </c>
      <c r="G42" s="169">
        <f t="shared" si="19"/>
        <v>0</v>
      </c>
      <c r="H42" s="169">
        <f t="shared" si="19"/>
        <v>0.28470588235294114</v>
      </c>
      <c r="I42" s="169">
        <f t="shared" si="19"/>
        <v>5.0847058823529414</v>
      </c>
      <c r="J42" s="169">
        <f t="shared" si="19"/>
        <v>10.741176470588234</v>
      </c>
      <c r="K42" s="169">
        <f t="shared" si="19"/>
        <v>0</v>
      </c>
      <c r="L42" s="169">
        <f t="shared" si="19"/>
        <v>5.0141176470588231</v>
      </c>
      <c r="M42" s="169">
        <f t="shared" si="19"/>
        <v>0.60470588235294109</v>
      </c>
      <c r="N42" s="169">
        <f t="shared" si="19"/>
        <v>0</v>
      </c>
      <c r="O42" s="169">
        <f t="shared" si="19"/>
        <v>0</v>
      </c>
      <c r="P42" s="169">
        <f t="shared" si="19"/>
        <v>2.3976470588235292</v>
      </c>
      <c r="Q42" s="169">
        <f t="shared" si="19"/>
        <v>1.2329411764705882</v>
      </c>
      <c r="R42" s="169">
        <f t="shared" si="19"/>
        <v>0</v>
      </c>
      <c r="S42" s="169">
        <f t="shared" si="19"/>
        <v>0</v>
      </c>
      <c r="T42" s="169">
        <f t="shared" si="19"/>
        <v>0.29176470588235298</v>
      </c>
      <c r="U42" s="169">
        <f t="shared" si="19"/>
        <v>8.9411764705882385E-2</v>
      </c>
      <c r="V42" s="169">
        <f t="shared" si="19"/>
        <v>0</v>
      </c>
      <c r="W42" s="169">
        <f t="shared" si="19"/>
        <v>1625.6047058823528</v>
      </c>
      <c r="X42" s="169">
        <f t="shared" si="19"/>
        <v>0</v>
      </c>
      <c r="Y42" s="169">
        <f t="shared" si="19"/>
        <v>0</v>
      </c>
      <c r="Z42" s="169">
        <f t="shared" si="19"/>
        <v>0</v>
      </c>
      <c r="AA42" s="169">
        <f t="shared" si="19"/>
        <v>0</v>
      </c>
      <c r="AB42" s="169">
        <f t="shared" si="19"/>
        <v>2.5176470588235293</v>
      </c>
      <c r="AC42" s="169">
        <f t="shared" si="19"/>
        <v>0</v>
      </c>
      <c r="AD42" s="169">
        <f t="shared" si="19"/>
        <v>1.8141176470588236</v>
      </c>
      <c r="AE42" s="169">
        <f t="shared" si="19"/>
        <v>0.2635294117647059</v>
      </c>
      <c r="AF42" s="169">
        <f t="shared" si="19"/>
        <v>0</v>
      </c>
      <c r="AG42" s="169">
        <f t="shared" si="19"/>
        <v>0.31764705882352945</v>
      </c>
      <c r="AH42" s="169">
        <f t="shared" si="19"/>
        <v>0.35529411764705882</v>
      </c>
      <c r="AI42" s="169">
        <f t="shared" si="19"/>
        <v>0</v>
      </c>
      <c r="AJ42" s="169">
        <f t="shared" si="19"/>
        <v>0</v>
      </c>
      <c r="AK42" s="169">
        <f t="shared" si="19"/>
        <v>0</v>
      </c>
      <c r="AL42" s="169">
        <f t="shared" si="19"/>
        <v>0.47764705882352937</v>
      </c>
      <c r="AM42" s="169">
        <f t="shared" si="19"/>
        <v>0</v>
      </c>
      <c r="AN42" s="169">
        <f t="shared" si="19"/>
        <v>0.65176470588235291</v>
      </c>
      <c r="AO42" s="169">
        <f t="shared" si="19"/>
        <v>1.7176470588235293</v>
      </c>
      <c r="AP42" s="169">
        <f t="shared" si="19"/>
        <v>0.53647058823529403</v>
      </c>
      <c r="AQ42" s="169">
        <f t="shared" si="19"/>
        <v>0.58823529411764708</v>
      </c>
      <c r="AR42" s="169">
        <f t="shared" si="19"/>
        <v>0</v>
      </c>
      <c r="AS42" s="169">
        <f t="shared" si="19"/>
        <v>1.4917647058823529</v>
      </c>
      <c r="AT42" s="169">
        <f t="shared" si="19"/>
        <v>0</v>
      </c>
      <c r="AU42" s="169">
        <f t="shared" si="19"/>
        <v>0</v>
      </c>
      <c r="AV42" s="169">
        <f>IFERROR(AV9/$B$31,0)</f>
        <v>0</v>
      </c>
      <c r="BD42" s="169">
        <f t="shared" ref="BD42:BI42" si="20">IFERROR(BD9/BD$30,0)</f>
        <v>0</v>
      </c>
      <c r="BE42" s="169">
        <f t="shared" si="20"/>
        <v>0</v>
      </c>
      <c r="BF42" s="169">
        <f t="shared" si="20"/>
        <v>0</v>
      </c>
      <c r="BG42" s="169">
        <f t="shared" si="20"/>
        <v>0</v>
      </c>
      <c r="BH42" s="169">
        <f t="shared" si="20"/>
        <v>0</v>
      </c>
      <c r="BI42" s="169">
        <f t="shared" si="20"/>
        <v>0</v>
      </c>
    </row>
    <row r="43" spans="1:83" x14ac:dyDescent="0.25">
      <c r="A43" t="s">
        <v>189</v>
      </c>
      <c r="B43" s="169">
        <f t="shared" ref="B43:Q50" si="21">IFERROR(B10/$B$31,0)</f>
        <v>0</v>
      </c>
      <c r="C43" s="169">
        <f t="shared" si="21"/>
        <v>0.2635294117647059</v>
      </c>
      <c r="D43" s="169">
        <f t="shared" si="21"/>
        <v>0</v>
      </c>
      <c r="E43" s="169">
        <f t="shared" si="21"/>
        <v>0</v>
      </c>
      <c r="F43" s="169">
        <f t="shared" si="21"/>
        <v>0</v>
      </c>
      <c r="G43" s="169">
        <f t="shared" si="21"/>
        <v>0</v>
      </c>
      <c r="H43" s="169">
        <f t="shared" si="21"/>
        <v>0.40705882352941175</v>
      </c>
      <c r="I43" s="169">
        <f t="shared" si="21"/>
        <v>1.8352941176470587</v>
      </c>
      <c r="J43" s="169">
        <f t="shared" si="21"/>
        <v>17.04470588235294</v>
      </c>
      <c r="K43" s="169">
        <f t="shared" si="21"/>
        <v>0</v>
      </c>
      <c r="L43" s="169">
        <f t="shared" si="21"/>
        <v>6.76</v>
      </c>
      <c r="M43" s="169">
        <f t="shared" si="21"/>
        <v>0.96705882352941186</v>
      </c>
      <c r="N43" s="169">
        <f t="shared" si="21"/>
        <v>0</v>
      </c>
      <c r="O43" s="169">
        <f t="shared" si="21"/>
        <v>0</v>
      </c>
      <c r="P43" s="169">
        <f t="shared" si="21"/>
        <v>0.55294117647058827</v>
      </c>
      <c r="Q43" s="169">
        <f t="shared" si="21"/>
        <v>1.4000000000000001</v>
      </c>
      <c r="R43" s="169">
        <f t="shared" si="19"/>
        <v>0</v>
      </c>
      <c r="S43" s="169">
        <f t="shared" si="19"/>
        <v>0</v>
      </c>
      <c r="T43" s="169">
        <f t="shared" si="19"/>
        <v>0.33411764705882352</v>
      </c>
      <c r="U43" s="169">
        <f t="shared" si="19"/>
        <v>0.49882352941176472</v>
      </c>
      <c r="V43" s="169">
        <f t="shared" si="19"/>
        <v>0</v>
      </c>
      <c r="W43" s="169">
        <f t="shared" si="19"/>
        <v>7929.4141176470594</v>
      </c>
      <c r="X43" s="169">
        <f t="shared" si="19"/>
        <v>0</v>
      </c>
      <c r="Y43" s="169">
        <f t="shared" si="19"/>
        <v>0</v>
      </c>
      <c r="Z43" s="169">
        <f t="shared" si="19"/>
        <v>0</v>
      </c>
      <c r="AA43" s="169">
        <f t="shared" si="19"/>
        <v>0</v>
      </c>
      <c r="AB43" s="169">
        <f t="shared" si="19"/>
        <v>3.658823529411765</v>
      </c>
      <c r="AC43" s="169">
        <f t="shared" si="19"/>
        <v>0</v>
      </c>
      <c r="AD43" s="169">
        <f t="shared" si="19"/>
        <v>1.6776470588235295</v>
      </c>
      <c r="AE43" s="169">
        <f t="shared" si="19"/>
        <v>0.40941176470588236</v>
      </c>
      <c r="AF43" s="169">
        <f t="shared" si="19"/>
        <v>0</v>
      </c>
      <c r="AG43" s="169">
        <f t="shared" si="19"/>
        <v>0</v>
      </c>
      <c r="AH43" s="169">
        <f t="shared" si="19"/>
        <v>0.27294117647058824</v>
      </c>
      <c r="AI43" s="169">
        <f t="shared" si="19"/>
        <v>0</v>
      </c>
      <c r="AJ43" s="169">
        <f t="shared" si="19"/>
        <v>1.6729411764705884</v>
      </c>
      <c r="AK43" s="169">
        <f t="shared" si="19"/>
        <v>0</v>
      </c>
      <c r="AL43" s="169">
        <f t="shared" si="19"/>
        <v>0.73882352941176477</v>
      </c>
      <c r="AM43" s="169">
        <f t="shared" si="19"/>
        <v>0</v>
      </c>
      <c r="AN43" s="169">
        <f t="shared" si="19"/>
        <v>0.5388235294117647</v>
      </c>
      <c r="AO43" s="169">
        <f t="shared" si="19"/>
        <v>0</v>
      </c>
      <c r="AP43" s="169">
        <f t="shared" si="19"/>
        <v>1.6635294117647059</v>
      </c>
      <c r="AQ43" s="169">
        <f t="shared" si="19"/>
        <v>2.341176470588235</v>
      </c>
      <c r="AR43" s="169">
        <f t="shared" si="19"/>
        <v>0</v>
      </c>
      <c r="AS43" s="169">
        <f t="shared" si="19"/>
        <v>1.703529411764706</v>
      </c>
      <c r="AT43" s="169">
        <f t="shared" si="19"/>
        <v>0</v>
      </c>
      <c r="AU43" s="169">
        <f t="shared" si="19"/>
        <v>0.13882352941176471</v>
      </c>
      <c r="AV43" s="169">
        <f t="shared" ref="AV43" si="22">IFERROR(AV10/$B$31,0)</f>
        <v>0</v>
      </c>
      <c r="BC43">
        <f t="shared" ref="BC43:BI43" si="23">IFERROR(BC10/BC$30,0)</f>
        <v>0</v>
      </c>
      <c r="BD43" s="169">
        <f t="shared" si="23"/>
        <v>0</v>
      </c>
      <c r="BE43" s="169">
        <f t="shared" si="23"/>
        <v>0</v>
      </c>
      <c r="BF43" s="169">
        <f t="shared" si="23"/>
        <v>0</v>
      </c>
      <c r="BG43" s="169">
        <f t="shared" si="23"/>
        <v>0</v>
      </c>
      <c r="BH43" s="169">
        <f t="shared" si="23"/>
        <v>0</v>
      </c>
      <c r="BI43" s="169">
        <f t="shared" si="23"/>
        <v>0</v>
      </c>
    </row>
    <row r="44" spans="1:83" x14ac:dyDescent="0.25">
      <c r="A44" t="s">
        <v>190</v>
      </c>
      <c r="B44" s="169">
        <f t="shared" si="21"/>
        <v>0</v>
      </c>
      <c r="C44" s="169">
        <f t="shared" si="19"/>
        <v>0</v>
      </c>
      <c r="D44" s="169">
        <f t="shared" si="19"/>
        <v>0</v>
      </c>
      <c r="E44" s="169">
        <f t="shared" si="19"/>
        <v>0</v>
      </c>
      <c r="F44" s="169">
        <f t="shared" si="19"/>
        <v>0</v>
      </c>
      <c r="G44" s="169">
        <f t="shared" si="19"/>
        <v>0</v>
      </c>
      <c r="H44" s="169">
        <f t="shared" si="19"/>
        <v>0.17411764705882352</v>
      </c>
      <c r="I44" s="169">
        <f t="shared" si="19"/>
        <v>0</v>
      </c>
      <c r="J44" s="169">
        <f t="shared" si="19"/>
        <v>6.5200000000000005</v>
      </c>
      <c r="K44" s="169">
        <f t="shared" si="19"/>
        <v>0</v>
      </c>
      <c r="L44" s="169">
        <f t="shared" si="19"/>
        <v>3.1858823529411762</v>
      </c>
      <c r="M44" s="169">
        <f t="shared" si="19"/>
        <v>0.44235294117647056</v>
      </c>
      <c r="N44" s="169">
        <f t="shared" si="19"/>
        <v>0</v>
      </c>
      <c r="O44" s="169">
        <f t="shared" si="19"/>
        <v>0</v>
      </c>
      <c r="P44" s="169">
        <f t="shared" si="19"/>
        <v>0.1976470588235294</v>
      </c>
      <c r="Q44" s="169">
        <f t="shared" si="19"/>
        <v>0</v>
      </c>
      <c r="R44" s="169">
        <f t="shared" si="19"/>
        <v>0</v>
      </c>
      <c r="S44" s="169">
        <f t="shared" si="19"/>
        <v>0</v>
      </c>
      <c r="T44" s="169">
        <f t="shared" si="19"/>
        <v>0.18823529411764703</v>
      </c>
      <c r="U44" s="169">
        <f t="shared" si="19"/>
        <v>0.13411764705882354</v>
      </c>
      <c r="V44" s="169">
        <f t="shared" si="19"/>
        <v>0</v>
      </c>
      <c r="W44" s="169">
        <f t="shared" si="19"/>
        <v>4544.4658823529408</v>
      </c>
      <c r="X44" s="169">
        <f t="shared" si="19"/>
        <v>0</v>
      </c>
      <c r="Y44" s="169">
        <f t="shared" si="19"/>
        <v>0</v>
      </c>
      <c r="Z44" s="169">
        <f t="shared" si="19"/>
        <v>0</v>
      </c>
      <c r="AA44" s="169">
        <f t="shared" si="19"/>
        <v>0</v>
      </c>
      <c r="AB44" s="169">
        <f t="shared" si="19"/>
        <v>1.92</v>
      </c>
      <c r="AC44" s="169">
        <f t="shared" si="19"/>
        <v>0</v>
      </c>
      <c r="AD44" s="169">
        <f t="shared" si="19"/>
        <v>0</v>
      </c>
      <c r="AE44" s="169">
        <f t="shared" si="19"/>
        <v>0.43529411764705878</v>
      </c>
      <c r="AF44" s="169">
        <f t="shared" si="19"/>
        <v>0</v>
      </c>
      <c r="AG44" s="169">
        <f t="shared" si="19"/>
        <v>0</v>
      </c>
      <c r="AH44" s="169">
        <f t="shared" si="19"/>
        <v>0.26588235294117651</v>
      </c>
      <c r="AI44" s="169">
        <f t="shared" si="19"/>
        <v>0</v>
      </c>
      <c r="AJ44" s="169">
        <f t="shared" si="19"/>
        <v>0</v>
      </c>
      <c r="AK44" s="169">
        <f t="shared" si="19"/>
        <v>0</v>
      </c>
      <c r="AL44" s="169">
        <f t="shared" si="19"/>
        <v>0.53411764705882359</v>
      </c>
      <c r="AM44" s="169">
        <f t="shared" si="19"/>
        <v>0</v>
      </c>
      <c r="AN44" s="169">
        <f t="shared" si="19"/>
        <v>0.48470588235294121</v>
      </c>
      <c r="AO44" s="169">
        <f t="shared" si="19"/>
        <v>0</v>
      </c>
      <c r="AP44" s="169">
        <f t="shared" si="19"/>
        <v>0</v>
      </c>
      <c r="AQ44" s="169">
        <f t="shared" si="19"/>
        <v>1.3294117647058825</v>
      </c>
      <c r="AR44" s="169">
        <f t="shared" si="19"/>
        <v>0</v>
      </c>
      <c r="AS44" s="169">
        <f t="shared" si="19"/>
        <v>1.0964705882352941</v>
      </c>
      <c r="AT44" s="169">
        <f t="shared" si="19"/>
        <v>0</v>
      </c>
      <c r="AU44" s="169">
        <f t="shared" si="19"/>
        <v>0</v>
      </c>
      <c r="AV44" s="169">
        <f t="shared" ref="AV44" si="24">IFERROR(AV11/$B$31,0)</f>
        <v>0</v>
      </c>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1"/>
      <c r="BZ44" s="61"/>
      <c r="CA44" s="61"/>
      <c r="CB44" s="61"/>
      <c r="CC44" s="61"/>
      <c r="CD44" s="61"/>
      <c r="CE44" s="61"/>
    </row>
    <row r="45" spans="1:83" x14ac:dyDescent="0.25">
      <c r="A45" t="s">
        <v>192</v>
      </c>
      <c r="B45" s="177">
        <f>IFERROR(B12/$B$31,0)</f>
        <v>1</v>
      </c>
      <c r="C45" s="180">
        <f t="shared" si="19"/>
        <v>0</v>
      </c>
      <c r="D45" s="180">
        <f t="shared" si="19"/>
        <v>0</v>
      </c>
      <c r="E45" s="180">
        <f t="shared" si="19"/>
        <v>0</v>
      </c>
      <c r="F45" s="180">
        <f t="shared" si="19"/>
        <v>5.6188235294117641</v>
      </c>
      <c r="G45" s="180">
        <f t="shared" si="19"/>
        <v>0</v>
      </c>
      <c r="H45" s="180">
        <f t="shared" si="19"/>
        <v>0.36470588235294121</v>
      </c>
      <c r="I45" s="180">
        <f t="shared" si="19"/>
        <v>0</v>
      </c>
      <c r="J45" s="180">
        <f t="shared" si="19"/>
        <v>12.894117647058822</v>
      </c>
      <c r="K45" s="180">
        <f t="shared" si="19"/>
        <v>0</v>
      </c>
      <c r="L45" s="180">
        <f t="shared" si="19"/>
        <v>6.7011764705882353</v>
      </c>
      <c r="M45" s="180">
        <f t="shared" si="19"/>
        <v>0.9458823529411764</v>
      </c>
      <c r="N45" s="180">
        <f t="shared" si="19"/>
        <v>0</v>
      </c>
      <c r="O45" s="180">
        <f t="shared" si="19"/>
        <v>0</v>
      </c>
      <c r="P45" s="180">
        <f t="shared" si="19"/>
        <v>1.0329411764705883</v>
      </c>
      <c r="Q45" s="180">
        <f t="shared" si="19"/>
        <v>0</v>
      </c>
      <c r="R45" s="180">
        <f t="shared" si="19"/>
        <v>0</v>
      </c>
      <c r="S45" s="180">
        <f t="shared" si="19"/>
        <v>0</v>
      </c>
      <c r="T45" s="180">
        <f t="shared" si="19"/>
        <v>0.623529411764706</v>
      </c>
      <c r="U45" s="180">
        <f t="shared" si="19"/>
        <v>0.20235294117647062</v>
      </c>
      <c r="V45" s="180">
        <f t="shared" si="19"/>
        <v>0</v>
      </c>
      <c r="W45" s="180">
        <f t="shared" si="19"/>
        <v>9019.0964705882361</v>
      </c>
      <c r="X45" s="180">
        <f t="shared" si="19"/>
        <v>0</v>
      </c>
      <c r="Y45" s="180">
        <f t="shared" si="19"/>
        <v>0</v>
      </c>
      <c r="Z45" s="180">
        <f t="shared" si="19"/>
        <v>0</v>
      </c>
      <c r="AA45" s="180">
        <f t="shared" si="19"/>
        <v>0</v>
      </c>
      <c r="AB45" s="180">
        <f t="shared" si="19"/>
        <v>3.8070588235294118</v>
      </c>
      <c r="AC45" s="180">
        <f t="shared" si="19"/>
        <v>0</v>
      </c>
      <c r="AD45" s="180">
        <f t="shared" si="19"/>
        <v>0</v>
      </c>
      <c r="AE45" s="180">
        <f t="shared" si="19"/>
        <v>1.0211764705882354</v>
      </c>
      <c r="AF45" s="180">
        <f t="shared" si="19"/>
        <v>0</v>
      </c>
      <c r="AG45" s="180">
        <f t="shared" si="19"/>
        <v>0.58823529411764708</v>
      </c>
      <c r="AH45" s="180">
        <f t="shared" si="19"/>
        <v>0.40470588235294125</v>
      </c>
      <c r="AI45" s="180">
        <f t="shared" si="19"/>
        <v>0</v>
      </c>
      <c r="AJ45" s="180">
        <f t="shared" si="19"/>
        <v>3.2352941176470589</v>
      </c>
      <c r="AK45" s="180">
        <f t="shared" si="19"/>
        <v>0</v>
      </c>
      <c r="AL45" s="180">
        <f t="shared" si="19"/>
        <v>0.48235294117647054</v>
      </c>
      <c r="AM45" s="180">
        <f t="shared" si="19"/>
        <v>0</v>
      </c>
      <c r="AN45" s="180">
        <f t="shared" si="19"/>
        <v>0.8141176470588235</v>
      </c>
      <c r="AO45" s="180">
        <f t="shared" si="19"/>
        <v>0</v>
      </c>
      <c r="AP45" s="180">
        <f t="shared" si="19"/>
        <v>0</v>
      </c>
      <c r="AQ45" s="180">
        <f t="shared" si="19"/>
        <v>4.3082352941176465</v>
      </c>
      <c r="AR45" s="180">
        <f t="shared" si="19"/>
        <v>0</v>
      </c>
      <c r="AS45" s="180">
        <f t="shared" si="19"/>
        <v>2.3129411764705883</v>
      </c>
      <c r="AT45" s="180">
        <f t="shared" si="19"/>
        <v>0</v>
      </c>
      <c r="AU45" s="180">
        <f t="shared" si="19"/>
        <v>0</v>
      </c>
      <c r="AV45" s="181">
        <f>IFERROR(AV12/$B$31,0)</f>
        <v>0.66117647058823525</v>
      </c>
    </row>
    <row r="46" spans="1:83" x14ac:dyDescent="0.25">
      <c r="A46" t="s">
        <v>193</v>
      </c>
      <c r="B46" s="178">
        <f t="shared" si="21"/>
        <v>0</v>
      </c>
      <c r="C46" s="169">
        <f t="shared" si="19"/>
        <v>8.9411764705882357E-2</v>
      </c>
      <c r="D46" s="169">
        <f t="shared" si="19"/>
        <v>0</v>
      </c>
      <c r="E46" s="169">
        <f t="shared" si="19"/>
        <v>0</v>
      </c>
      <c r="F46" s="169">
        <f t="shared" si="19"/>
        <v>0</v>
      </c>
      <c r="G46" s="169">
        <f t="shared" si="19"/>
        <v>0</v>
      </c>
      <c r="H46" s="169">
        <f t="shared" si="19"/>
        <v>0.36</v>
      </c>
      <c r="I46" s="169">
        <f t="shared" si="19"/>
        <v>0</v>
      </c>
      <c r="J46" s="169">
        <f t="shared" si="19"/>
        <v>10.974117647058824</v>
      </c>
      <c r="K46" s="169">
        <f t="shared" si="19"/>
        <v>0</v>
      </c>
      <c r="L46" s="169">
        <f t="shared" si="19"/>
        <v>5.750588235294118</v>
      </c>
      <c r="M46" s="169">
        <f t="shared" si="19"/>
        <v>0.91529411764705881</v>
      </c>
      <c r="N46" s="169">
        <f t="shared" si="19"/>
        <v>0.28941176470588237</v>
      </c>
      <c r="O46" s="169">
        <f t="shared" si="19"/>
        <v>0</v>
      </c>
      <c r="P46" s="169">
        <f t="shared" si="19"/>
        <v>0.76</v>
      </c>
      <c r="Q46" s="169">
        <f t="shared" si="19"/>
        <v>0</v>
      </c>
      <c r="R46" s="169">
        <f t="shared" si="19"/>
        <v>0</v>
      </c>
      <c r="S46" s="169">
        <f t="shared" si="19"/>
        <v>0</v>
      </c>
      <c r="T46" s="169">
        <f t="shared" si="19"/>
        <v>0.5152941176470589</v>
      </c>
      <c r="U46" s="169">
        <f t="shared" si="19"/>
        <v>0.52470588235294124</v>
      </c>
      <c r="V46" s="169">
        <f t="shared" si="19"/>
        <v>0</v>
      </c>
      <c r="W46" s="169">
        <f t="shared" si="19"/>
        <v>7245.44</v>
      </c>
      <c r="X46" s="169">
        <f t="shared" si="19"/>
        <v>0.50823529411764712</v>
      </c>
      <c r="Y46" s="169">
        <f t="shared" si="19"/>
        <v>0</v>
      </c>
      <c r="Z46" s="169">
        <f t="shared" si="19"/>
        <v>0</v>
      </c>
      <c r="AA46" s="169">
        <f t="shared" si="19"/>
        <v>0</v>
      </c>
      <c r="AB46" s="169">
        <f t="shared" si="19"/>
        <v>3.428235294117647</v>
      </c>
      <c r="AC46" s="169">
        <f t="shared" si="19"/>
        <v>0</v>
      </c>
      <c r="AD46" s="169">
        <f t="shared" si="19"/>
        <v>0</v>
      </c>
      <c r="AE46" s="169">
        <f t="shared" si="19"/>
        <v>0.85411764705882354</v>
      </c>
      <c r="AF46" s="169">
        <f t="shared" si="19"/>
        <v>0</v>
      </c>
      <c r="AG46" s="169">
        <f t="shared" si="19"/>
        <v>0.60705882352941176</v>
      </c>
      <c r="AH46" s="169">
        <f t="shared" si="19"/>
        <v>0.50823529411764712</v>
      </c>
      <c r="AI46" s="169">
        <f t="shared" si="19"/>
        <v>0</v>
      </c>
      <c r="AJ46" s="169">
        <f t="shared" si="19"/>
        <v>3.256470588235294</v>
      </c>
      <c r="AK46" s="169">
        <f t="shared" si="19"/>
        <v>0</v>
      </c>
      <c r="AL46" s="169">
        <f t="shared" si="19"/>
        <v>0.77176470588235291</v>
      </c>
      <c r="AM46" s="169">
        <f t="shared" si="19"/>
        <v>0</v>
      </c>
      <c r="AN46" s="169">
        <f t="shared" si="19"/>
        <v>0.87294117647058833</v>
      </c>
      <c r="AO46" s="169">
        <f t="shared" si="19"/>
        <v>0</v>
      </c>
      <c r="AP46" s="169">
        <f t="shared" si="19"/>
        <v>0</v>
      </c>
      <c r="AQ46" s="169">
        <f t="shared" si="19"/>
        <v>2.3388235294117647</v>
      </c>
      <c r="AR46" s="169">
        <f t="shared" si="19"/>
        <v>0</v>
      </c>
      <c r="AS46" s="169">
        <f t="shared" si="19"/>
        <v>1.8964705882352941</v>
      </c>
      <c r="AT46" s="169">
        <f t="shared" si="19"/>
        <v>0.13176470588235295</v>
      </c>
      <c r="AU46" s="169">
        <f t="shared" si="19"/>
        <v>0</v>
      </c>
      <c r="AV46" s="182">
        <f t="shared" ref="AV46" si="25">IFERROR(AV13/$B$31,0)</f>
        <v>0</v>
      </c>
    </row>
    <row r="47" spans="1:83" x14ac:dyDescent="0.25">
      <c r="A47" t="s">
        <v>194</v>
      </c>
      <c r="B47" s="178">
        <f t="shared" si="21"/>
        <v>0</v>
      </c>
      <c r="C47" s="169">
        <f t="shared" si="19"/>
        <v>0.14352941176470588</v>
      </c>
      <c r="D47" s="169">
        <f t="shared" si="19"/>
        <v>0</v>
      </c>
      <c r="E47" s="169">
        <f t="shared" si="19"/>
        <v>0</v>
      </c>
      <c r="F47" s="169">
        <f t="shared" si="19"/>
        <v>0</v>
      </c>
      <c r="G47" s="169">
        <f t="shared" si="19"/>
        <v>0</v>
      </c>
      <c r="H47" s="169">
        <f t="shared" si="19"/>
        <v>0.42588235294117649</v>
      </c>
      <c r="I47" s="169">
        <f t="shared" si="19"/>
        <v>0</v>
      </c>
      <c r="J47" s="169">
        <f t="shared" si="19"/>
        <v>13.670588235294119</v>
      </c>
      <c r="K47" s="169">
        <f t="shared" si="19"/>
        <v>0</v>
      </c>
      <c r="L47" s="169">
        <f t="shared" si="19"/>
        <v>6.0494117647058827</v>
      </c>
      <c r="M47" s="169">
        <f t="shared" si="19"/>
        <v>1.0635294117647058</v>
      </c>
      <c r="N47" s="169">
        <f t="shared" si="19"/>
        <v>0</v>
      </c>
      <c r="O47" s="169">
        <f t="shared" si="19"/>
        <v>0</v>
      </c>
      <c r="P47" s="169">
        <f t="shared" si="19"/>
        <v>0.38352941176470584</v>
      </c>
      <c r="Q47" s="169">
        <f t="shared" si="19"/>
        <v>1.0023529411764704</v>
      </c>
      <c r="R47" s="169">
        <f t="shared" si="19"/>
        <v>0</v>
      </c>
      <c r="S47" s="169">
        <f t="shared" si="19"/>
        <v>0</v>
      </c>
      <c r="T47" s="169">
        <f t="shared" si="19"/>
        <v>0.39529411764705874</v>
      </c>
      <c r="U47" s="169">
        <f t="shared" si="19"/>
        <v>0.40941176470588236</v>
      </c>
      <c r="V47" s="169">
        <f t="shared" si="19"/>
        <v>0.58352941176470585</v>
      </c>
      <c r="W47" s="169">
        <f t="shared" si="19"/>
        <v>7760.5482352941181</v>
      </c>
      <c r="X47" s="169">
        <f t="shared" si="19"/>
        <v>1.0258823529411765</v>
      </c>
      <c r="Y47" s="169">
        <f t="shared" si="19"/>
        <v>0</v>
      </c>
      <c r="Z47" s="169">
        <f t="shared" si="19"/>
        <v>0.21882352941176472</v>
      </c>
      <c r="AA47" s="169">
        <f t="shared" si="19"/>
        <v>0</v>
      </c>
      <c r="AB47" s="169">
        <f t="shared" si="19"/>
        <v>3.8447058823529412</v>
      </c>
      <c r="AC47" s="169">
        <f t="shared" si="19"/>
        <v>0</v>
      </c>
      <c r="AD47" s="169">
        <f t="shared" si="19"/>
        <v>1.075294117647059</v>
      </c>
      <c r="AE47" s="169">
        <f t="shared" si="19"/>
        <v>1.4729411764705882</v>
      </c>
      <c r="AF47" s="169">
        <f t="shared" si="19"/>
        <v>0</v>
      </c>
      <c r="AG47" s="169">
        <f t="shared" si="19"/>
        <v>0.8141176470588235</v>
      </c>
      <c r="AH47" s="169">
        <f t="shared" si="19"/>
        <v>0.63764705882352946</v>
      </c>
      <c r="AI47" s="169">
        <f t="shared" si="19"/>
        <v>0</v>
      </c>
      <c r="AJ47" s="169">
        <f t="shared" si="19"/>
        <v>3.0752941176470587</v>
      </c>
      <c r="AK47" s="169">
        <f t="shared" si="19"/>
        <v>0</v>
      </c>
      <c r="AL47" s="169">
        <f t="shared" si="19"/>
        <v>0.33647058823529408</v>
      </c>
      <c r="AM47" s="169">
        <f t="shared" si="19"/>
        <v>0</v>
      </c>
      <c r="AN47" s="169">
        <f t="shared" si="19"/>
        <v>1.0588235294117647</v>
      </c>
      <c r="AO47" s="169">
        <f t="shared" si="19"/>
        <v>0</v>
      </c>
      <c r="AP47" s="169">
        <f t="shared" si="19"/>
        <v>0</v>
      </c>
      <c r="AQ47" s="169">
        <f t="shared" ref="C47:AV50" si="26">IFERROR(AQ14/$B$31,0)</f>
        <v>3.2470588235294118</v>
      </c>
      <c r="AR47" s="169">
        <f t="shared" si="26"/>
        <v>0</v>
      </c>
      <c r="AS47" s="169">
        <f t="shared" si="26"/>
        <v>3.1294117647058823</v>
      </c>
      <c r="AT47" s="169">
        <f t="shared" si="26"/>
        <v>0.99058823529411766</v>
      </c>
      <c r="AU47" s="169">
        <f t="shared" si="26"/>
        <v>0</v>
      </c>
      <c r="AV47" s="182">
        <f t="shared" si="26"/>
        <v>0</v>
      </c>
      <c r="BB47" t="s">
        <v>678</v>
      </c>
    </row>
    <row r="48" spans="1:83" x14ac:dyDescent="0.25">
      <c r="A48" t="s">
        <v>680</v>
      </c>
      <c r="B48" s="178">
        <f t="shared" si="21"/>
        <v>0</v>
      </c>
      <c r="C48" s="169">
        <f t="shared" si="26"/>
        <v>0.11294117647058823</v>
      </c>
      <c r="D48" s="169">
        <f t="shared" si="26"/>
        <v>0</v>
      </c>
      <c r="E48" s="169">
        <f t="shared" si="26"/>
        <v>0.24470588235294119</v>
      </c>
      <c r="F48" s="169">
        <f t="shared" si="26"/>
        <v>0</v>
      </c>
      <c r="G48" s="169">
        <f t="shared" si="26"/>
        <v>0</v>
      </c>
      <c r="H48" s="169">
        <f t="shared" si="26"/>
        <v>1.0705882352941176</v>
      </c>
      <c r="I48" s="169">
        <f t="shared" si="26"/>
        <v>0</v>
      </c>
      <c r="J48" s="169">
        <f t="shared" si="26"/>
        <v>23.672941176470587</v>
      </c>
      <c r="K48" s="169">
        <f t="shared" si="26"/>
        <v>0</v>
      </c>
      <c r="L48" s="169">
        <f t="shared" si="26"/>
        <v>9.5741176470588236</v>
      </c>
      <c r="M48" s="169">
        <f t="shared" si="26"/>
        <v>1.2776470588235294</v>
      </c>
      <c r="N48" s="169">
        <f t="shared" si="26"/>
        <v>0</v>
      </c>
      <c r="O48" s="169">
        <f t="shared" si="26"/>
        <v>0</v>
      </c>
      <c r="P48" s="169">
        <f t="shared" si="26"/>
        <v>1.2282352941176471</v>
      </c>
      <c r="Q48" s="169">
        <f t="shared" si="26"/>
        <v>2.8494117647058821</v>
      </c>
      <c r="R48" s="169">
        <f t="shared" si="26"/>
        <v>0</v>
      </c>
      <c r="S48" s="169">
        <f t="shared" si="26"/>
        <v>0</v>
      </c>
      <c r="T48" s="169">
        <f t="shared" si="26"/>
        <v>0.9388235294117645</v>
      </c>
      <c r="U48" s="169">
        <f t="shared" si="26"/>
        <v>1.28</v>
      </c>
      <c r="V48" s="169">
        <f t="shared" si="26"/>
        <v>1.263529411764706</v>
      </c>
      <c r="W48" s="169">
        <f t="shared" si="26"/>
        <v>10350.336470588236</v>
      </c>
      <c r="X48" s="169">
        <f t="shared" si="26"/>
        <v>2.4117647058823528</v>
      </c>
      <c r="Y48" s="169">
        <f t="shared" si="26"/>
        <v>6.644705882352941</v>
      </c>
      <c r="Z48" s="169">
        <f t="shared" si="26"/>
        <v>0.78588235294117648</v>
      </c>
      <c r="AA48" s="169">
        <f t="shared" si="26"/>
        <v>0</v>
      </c>
      <c r="AB48" s="169">
        <f t="shared" si="26"/>
        <v>7.4917647058823533</v>
      </c>
      <c r="AC48" s="169">
        <f t="shared" si="26"/>
        <v>0.21176470588235294</v>
      </c>
      <c r="AD48" s="169">
        <f t="shared" si="26"/>
        <v>1.4635294117647057</v>
      </c>
      <c r="AE48" s="169">
        <f t="shared" si="26"/>
        <v>2.7552941176470584</v>
      </c>
      <c r="AF48" s="169">
        <f t="shared" si="26"/>
        <v>0</v>
      </c>
      <c r="AG48" s="169">
        <f t="shared" si="26"/>
        <v>2.2305882352941175</v>
      </c>
      <c r="AH48" s="169">
        <f t="shared" si="26"/>
        <v>2.0964705882352943</v>
      </c>
      <c r="AI48" s="169">
        <f t="shared" si="26"/>
        <v>0</v>
      </c>
      <c r="AJ48" s="169">
        <f t="shared" si="26"/>
        <v>4.8141176470588238</v>
      </c>
      <c r="AK48" s="169">
        <f t="shared" si="26"/>
        <v>0.51058823529411768</v>
      </c>
      <c r="AL48" s="169">
        <f t="shared" si="26"/>
        <v>0.6588235294117647</v>
      </c>
      <c r="AM48" s="169">
        <f t="shared" si="26"/>
        <v>7.0588235294117646E-2</v>
      </c>
      <c r="AN48" s="169">
        <f t="shared" si="26"/>
        <v>0.6588235294117647</v>
      </c>
      <c r="AO48" s="169">
        <f t="shared" si="26"/>
        <v>0</v>
      </c>
      <c r="AP48" s="169">
        <f t="shared" si="26"/>
        <v>0.73882352941176477</v>
      </c>
      <c r="AQ48" s="169">
        <f t="shared" si="26"/>
        <v>5.2682352941176473</v>
      </c>
      <c r="AR48" s="169">
        <f t="shared" si="26"/>
        <v>0</v>
      </c>
      <c r="AS48" s="169">
        <f t="shared" si="26"/>
        <v>9.3411764705882359</v>
      </c>
      <c r="AT48" s="169">
        <f t="shared" si="26"/>
        <v>0.67764705882352938</v>
      </c>
      <c r="AU48" s="169">
        <f t="shared" si="26"/>
        <v>0</v>
      </c>
      <c r="AV48" s="182">
        <f t="shared" si="26"/>
        <v>0</v>
      </c>
      <c r="BB48" t="s">
        <v>679</v>
      </c>
    </row>
    <row r="49" spans="1:83" x14ac:dyDescent="0.25">
      <c r="A49" t="s">
        <v>681</v>
      </c>
      <c r="B49" s="178">
        <f t="shared" si="21"/>
        <v>0</v>
      </c>
      <c r="C49" s="169">
        <f t="shared" si="26"/>
        <v>0.18352941176470589</v>
      </c>
      <c r="D49" s="169">
        <f t="shared" si="26"/>
        <v>0</v>
      </c>
      <c r="E49" s="169">
        <f t="shared" si="26"/>
        <v>0</v>
      </c>
      <c r="F49" s="169">
        <f t="shared" si="26"/>
        <v>0</v>
      </c>
      <c r="G49" s="169">
        <f t="shared" si="26"/>
        <v>0</v>
      </c>
      <c r="H49" s="169">
        <f t="shared" si="26"/>
        <v>0.21176470588235294</v>
      </c>
      <c r="I49" s="169">
        <f t="shared" si="26"/>
        <v>0.86823529411764699</v>
      </c>
      <c r="J49" s="169">
        <f t="shared" si="26"/>
        <v>8.0564705882352943</v>
      </c>
      <c r="K49" s="169">
        <f t="shared" si="26"/>
        <v>0</v>
      </c>
      <c r="L49" s="169">
        <f t="shared" si="26"/>
        <v>4.1152941176470588</v>
      </c>
      <c r="M49" s="169">
        <f t="shared" si="26"/>
        <v>0.57411764705882351</v>
      </c>
      <c r="N49" s="169">
        <f t="shared" si="26"/>
        <v>0</v>
      </c>
      <c r="O49" s="169">
        <f t="shared" si="26"/>
        <v>0</v>
      </c>
      <c r="P49" s="169">
        <f t="shared" si="26"/>
        <v>0.36941176470588238</v>
      </c>
      <c r="Q49" s="169">
        <f t="shared" si="26"/>
        <v>0</v>
      </c>
      <c r="R49" s="169">
        <f t="shared" si="26"/>
        <v>0</v>
      </c>
      <c r="S49" s="169">
        <f t="shared" si="26"/>
        <v>0</v>
      </c>
      <c r="T49" s="169">
        <f t="shared" si="26"/>
        <v>0.39764705882352952</v>
      </c>
      <c r="U49" s="169">
        <f t="shared" si="26"/>
        <v>0.14588235294117649</v>
      </c>
      <c r="V49" s="169">
        <f t="shared" si="26"/>
        <v>0</v>
      </c>
      <c r="W49" s="169">
        <f t="shared" si="26"/>
        <v>5975.4329411764702</v>
      </c>
      <c r="X49" s="169">
        <f t="shared" si="26"/>
        <v>0.6588235294117647</v>
      </c>
      <c r="Y49" s="169">
        <f t="shared" si="26"/>
        <v>0</v>
      </c>
      <c r="Z49" s="169">
        <f t="shared" si="26"/>
        <v>0</v>
      </c>
      <c r="AA49" s="169">
        <f t="shared" si="26"/>
        <v>0</v>
      </c>
      <c r="AB49" s="169">
        <f t="shared" si="26"/>
        <v>2.9905882352941178</v>
      </c>
      <c r="AC49" s="169">
        <f t="shared" si="26"/>
        <v>0</v>
      </c>
      <c r="AD49" s="169">
        <f t="shared" si="26"/>
        <v>0</v>
      </c>
      <c r="AE49" s="169">
        <f t="shared" si="26"/>
        <v>0.88235294117647056</v>
      </c>
      <c r="AF49" s="169">
        <f t="shared" si="26"/>
        <v>0</v>
      </c>
      <c r="AG49" s="169">
        <f t="shared" si="26"/>
        <v>0.68941176470588239</v>
      </c>
      <c r="AH49" s="169">
        <f t="shared" si="26"/>
        <v>0.28235294117647064</v>
      </c>
      <c r="AI49" s="169">
        <f t="shared" si="26"/>
        <v>0</v>
      </c>
      <c r="AJ49" s="169">
        <f t="shared" si="26"/>
        <v>0</v>
      </c>
      <c r="AK49" s="169">
        <f t="shared" si="26"/>
        <v>0</v>
      </c>
      <c r="AL49" s="169">
        <f t="shared" si="26"/>
        <v>0.49882352941176472</v>
      </c>
      <c r="AM49" s="169">
        <f t="shared" si="26"/>
        <v>0</v>
      </c>
      <c r="AN49" s="169">
        <f t="shared" si="26"/>
        <v>0.55764705882352938</v>
      </c>
      <c r="AO49" s="169">
        <f t="shared" si="26"/>
        <v>0</v>
      </c>
      <c r="AP49" s="169">
        <f t="shared" si="26"/>
        <v>0</v>
      </c>
      <c r="AQ49" s="169">
        <f t="shared" si="26"/>
        <v>1.6188235294117648</v>
      </c>
      <c r="AR49" s="169">
        <f t="shared" si="26"/>
        <v>1.7694117647058822</v>
      </c>
      <c r="AS49" s="169">
        <f t="shared" si="26"/>
        <v>2.0988235294117645</v>
      </c>
      <c r="AT49" s="169">
        <f t="shared" si="26"/>
        <v>0.23764705882352941</v>
      </c>
      <c r="AU49" s="169">
        <f t="shared" si="26"/>
        <v>0</v>
      </c>
      <c r="AV49" s="182">
        <f>IFERROR(AV16/$B$31,0)</f>
        <v>0</v>
      </c>
    </row>
    <row r="50" spans="1:83" ht="14.4" thickBot="1" x14ac:dyDescent="0.3">
      <c r="A50" s="26" t="s">
        <v>195</v>
      </c>
      <c r="B50" s="178">
        <f t="shared" si="21"/>
        <v>0</v>
      </c>
      <c r="C50" s="169">
        <f t="shared" si="26"/>
        <v>0.11764705882352941</v>
      </c>
      <c r="D50" s="169">
        <f t="shared" si="26"/>
        <v>0</v>
      </c>
      <c r="E50" s="169">
        <f t="shared" si="26"/>
        <v>0</v>
      </c>
      <c r="F50" s="169">
        <f t="shared" si="26"/>
        <v>0</v>
      </c>
      <c r="G50" s="169">
        <f t="shared" si="26"/>
        <v>0</v>
      </c>
      <c r="H50" s="169">
        <f t="shared" si="26"/>
        <v>0.2964705882352941</v>
      </c>
      <c r="I50" s="169">
        <f t="shared" si="26"/>
        <v>0</v>
      </c>
      <c r="J50" s="169">
        <f t="shared" si="26"/>
        <v>10.016470588235293</v>
      </c>
      <c r="K50" s="169">
        <f t="shared" si="26"/>
        <v>0</v>
      </c>
      <c r="L50" s="169">
        <f t="shared" si="26"/>
        <v>3.4635294117647062</v>
      </c>
      <c r="M50" s="169">
        <f t="shared" si="26"/>
        <v>0.56470588235294117</v>
      </c>
      <c r="N50" s="169">
        <f t="shared" si="26"/>
        <v>0</v>
      </c>
      <c r="O50" s="169">
        <f t="shared" si="26"/>
        <v>0</v>
      </c>
      <c r="P50" s="169">
        <f t="shared" si="26"/>
        <v>0.2964705882352941</v>
      </c>
      <c r="Q50" s="169">
        <f t="shared" si="26"/>
        <v>1.1388235294117646</v>
      </c>
      <c r="R50" s="169">
        <f t="shared" si="26"/>
        <v>0</v>
      </c>
      <c r="S50" s="169">
        <f t="shared" si="26"/>
        <v>0.81882352941176473</v>
      </c>
      <c r="T50" s="169">
        <f t="shared" si="26"/>
        <v>0.38352941176470584</v>
      </c>
      <c r="U50" s="169">
        <f t="shared" si="26"/>
        <v>0.46823529411764708</v>
      </c>
      <c r="V50" s="169">
        <f t="shared" si="26"/>
        <v>0.44</v>
      </c>
      <c r="W50" s="169">
        <f t="shared" si="26"/>
        <v>4594.4588235294123</v>
      </c>
      <c r="X50" s="169">
        <f t="shared" si="26"/>
        <v>0.54588235294117649</v>
      </c>
      <c r="Y50" s="169">
        <f t="shared" si="26"/>
        <v>0</v>
      </c>
      <c r="Z50" s="169">
        <f t="shared" si="26"/>
        <v>0</v>
      </c>
      <c r="AA50" s="169">
        <f t="shared" si="26"/>
        <v>0</v>
      </c>
      <c r="AB50" s="169">
        <f t="shared" si="26"/>
        <v>2.8164705882352941</v>
      </c>
      <c r="AC50" s="169">
        <f t="shared" si="26"/>
        <v>0</v>
      </c>
      <c r="AD50" s="169">
        <f t="shared" si="26"/>
        <v>0</v>
      </c>
      <c r="AE50" s="169">
        <f t="shared" si="26"/>
        <v>0.9270588235294116</v>
      </c>
      <c r="AF50" s="169">
        <f t="shared" si="26"/>
        <v>0</v>
      </c>
      <c r="AG50" s="169">
        <f t="shared" si="26"/>
        <v>0.81882352941176473</v>
      </c>
      <c r="AH50" s="169">
        <f t="shared" si="26"/>
        <v>1.0964705882352941</v>
      </c>
      <c r="AI50" s="169">
        <f t="shared" si="26"/>
        <v>0</v>
      </c>
      <c r="AJ50" s="169">
        <f t="shared" si="26"/>
        <v>3.1529411764705881</v>
      </c>
      <c r="AK50" s="169">
        <f t="shared" si="26"/>
        <v>0</v>
      </c>
      <c r="AL50" s="169">
        <f t="shared" si="26"/>
        <v>0.30117647058823532</v>
      </c>
      <c r="AM50" s="169">
        <f t="shared" si="26"/>
        <v>0</v>
      </c>
      <c r="AN50" s="169">
        <f t="shared" si="26"/>
        <v>0.4729411764705882</v>
      </c>
      <c r="AO50" s="169">
        <f t="shared" si="26"/>
        <v>0</v>
      </c>
      <c r="AP50" s="169">
        <f t="shared" si="26"/>
        <v>0</v>
      </c>
      <c r="AQ50" s="169">
        <f t="shared" si="26"/>
        <v>0</v>
      </c>
      <c r="AR50" s="169">
        <f t="shared" si="26"/>
        <v>0</v>
      </c>
      <c r="AS50" s="169">
        <f t="shared" si="26"/>
        <v>4.1552941176470588</v>
      </c>
      <c r="AT50" s="169">
        <f t="shared" si="26"/>
        <v>0.2635294117647059</v>
      </c>
      <c r="AU50" s="169">
        <f t="shared" si="26"/>
        <v>0</v>
      </c>
      <c r="AV50" s="182">
        <f t="shared" si="26"/>
        <v>0.88470588235294112</v>
      </c>
    </row>
    <row r="51" spans="1:83" x14ac:dyDescent="0.25">
      <c r="A51" t="s">
        <v>335</v>
      </c>
      <c r="B51" s="185">
        <f>IFERROR(B18/B$32,0)</f>
        <v>0</v>
      </c>
      <c r="C51" s="186">
        <f t="shared" ref="C51:AV51" si="27">IFERROR(C18/C$32,0)</f>
        <v>0</v>
      </c>
      <c r="D51" s="186">
        <f t="shared" si="27"/>
        <v>0</v>
      </c>
      <c r="E51" s="186">
        <f t="shared" si="27"/>
        <v>0.43707093821510296</v>
      </c>
      <c r="F51" s="186">
        <f t="shared" si="27"/>
        <v>0</v>
      </c>
      <c r="G51" s="186">
        <f t="shared" si="27"/>
        <v>0</v>
      </c>
      <c r="H51" s="186">
        <f t="shared" si="27"/>
        <v>0.17894736842105263</v>
      </c>
      <c r="I51" s="186">
        <f t="shared" si="27"/>
        <v>0</v>
      </c>
      <c r="J51" s="186">
        <f t="shared" si="27"/>
        <v>0.22530496875929781</v>
      </c>
      <c r="K51" s="186">
        <f t="shared" si="27"/>
        <v>1.7649454192147227E-2</v>
      </c>
      <c r="L51" s="186">
        <f t="shared" si="27"/>
        <v>0.26454572456354575</v>
      </c>
      <c r="M51" s="186">
        <f t="shared" si="27"/>
        <v>0.14315687540348609</v>
      </c>
      <c r="N51" s="186">
        <f t="shared" si="27"/>
        <v>0</v>
      </c>
      <c r="O51" s="186">
        <f t="shared" si="27"/>
        <v>0</v>
      </c>
      <c r="P51" s="186">
        <f t="shared" si="27"/>
        <v>1</v>
      </c>
      <c r="Q51" s="186">
        <f t="shared" si="27"/>
        <v>0</v>
      </c>
      <c r="R51" s="186">
        <f t="shared" si="27"/>
        <v>0</v>
      </c>
      <c r="S51" s="186">
        <f t="shared" si="27"/>
        <v>0</v>
      </c>
      <c r="T51" s="186">
        <f t="shared" si="27"/>
        <v>0.45748613678373384</v>
      </c>
      <c r="U51" s="186">
        <f t="shared" si="27"/>
        <v>4.6788504684487642E-4</v>
      </c>
      <c r="V51" s="186">
        <f t="shared" si="27"/>
        <v>0</v>
      </c>
      <c r="W51" s="186">
        <f t="shared" si="27"/>
        <v>1</v>
      </c>
      <c r="X51" s="186">
        <f t="shared" si="27"/>
        <v>1</v>
      </c>
      <c r="Y51" s="186">
        <f t="shared" si="27"/>
        <v>1</v>
      </c>
      <c r="Z51" s="186">
        <f t="shared" si="27"/>
        <v>0</v>
      </c>
      <c r="AA51" s="186">
        <f t="shared" si="27"/>
        <v>0</v>
      </c>
      <c r="AB51" s="186">
        <f t="shared" si="27"/>
        <v>2.5817355228018538E-2</v>
      </c>
      <c r="AC51" s="186">
        <f t="shared" si="27"/>
        <v>0</v>
      </c>
      <c r="AD51" s="186">
        <f t="shared" si="27"/>
        <v>0.35092180546725998</v>
      </c>
      <c r="AE51" s="186">
        <f t="shared" si="27"/>
        <v>0.37567204301075269</v>
      </c>
      <c r="AF51" s="186">
        <f t="shared" si="27"/>
        <v>0</v>
      </c>
      <c r="AG51" s="186">
        <f t="shared" si="27"/>
        <v>3.0619415721313123E-3</v>
      </c>
      <c r="AH51" s="186">
        <f t="shared" si="27"/>
        <v>0.23092269326683296</v>
      </c>
      <c r="AI51" s="186">
        <f t="shared" si="27"/>
        <v>0</v>
      </c>
      <c r="AJ51" s="186">
        <f t="shared" si="27"/>
        <v>0</v>
      </c>
      <c r="AK51" s="186">
        <f t="shared" si="27"/>
        <v>0</v>
      </c>
      <c r="AL51" s="186">
        <f t="shared" si="27"/>
        <v>4.598880972507346E-3</v>
      </c>
      <c r="AM51" s="186">
        <f t="shared" si="27"/>
        <v>0</v>
      </c>
      <c r="AN51" s="186">
        <f t="shared" si="27"/>
        <v>0.47335423197492155</v>
      </c>
      <c r="AO51" s="186">
        <f t="shared" si="27"/>
        <v>0</v>
      </c>
      <c r="AP51" s="186">
        <f t="shared" si="27"/>
        <v>1</v>
      </c>
      <c r="AQ51" s="186">
        <f t="shared" si="27"/>
        <v>0</v>
      </c>
      <c r="AR51" s="186">
        <f t="shared" si="27"/>
        <v>0</v>
      </c>
      <c r="AS51" s="186">
        <f t="shared" si="27"/>
        <v>0.35020586098328899</v>
      </c>
      <c r="AT51" s="186">
        <f t="shared" si="27"/>
        <v>1</v>
      </c>
      <c r="AU51" s="186">
        <f t="shared" si="27"/>
        <v>0</v>
      </c>
      <c r="AV51" s="187">
        <f t="shared" si="27"/>
        <v>0</v>
      </c>
    </row>
    <row r="52" spans="1:83" x14ac:dyDescent="0.25">
      <c r="A52" t="s">
        <v>682</v>
      </c>
      <c r="B52" s="177">
        <f>IFERROR(B19/B$32,0)</f>
        <v>0</v>
      </c>
      <c r="C52" s="180">
        <f t="shared" ref="C52:AV52" si="28">IFERROR(C19/C$32,0)</f>
        <v>0</v>
      </c>
      <c r="D52" s="180">
        <f t="shared" si="28"/>
        <v>0</v>
      </c>
      <c r="E52" s="180">
        <f t="shared" si="28"/>
        <v>0.82837528604118993</v>
      </c>
      <c r="F52" s="180">
        <f t="shared" si="28"/>
        <v>1</v>
      </c>
      <c r="G52" s="180">
        <f t="shared" si="28"/>
        <v>1</v>
      </c>
      <c r="H52" s="180">
        <f t="shared" si="28"/>
        <v>1</v>
      </c>
      <c r="I52" s="180">
        <f t="shared" si="28"/>
        <v>0</v>
      </c>
      <c r="J52" s="180">
        <f t="shared" si="28"/>
        <v>1</v>
      </c>
      <c r="K52" s="180">
        <f t="shared" si="28"/>
        <v>1</v>
      </c>
      <c r="L52" s="180">
        <f t="shared" si="28"/>
        <v>1</v>
      </c>
      <c r="M52" s="180">
        <f t="shared" si="28"/>
        <v>1</v>
      </c>
      <c r="N52" s="180">
        <f t="shared" si="28"/>
        <v>0</v>
      </c>
      <c r="O52" s="180">
        <f t="shared" si="28"/>
        <v>1</v>
      </c>
      <c r="P52" s="180">
        <f t="shared" si="28"/>
        <v>0.57407407407407407</v>
      </c>
      <c r="Q52" s="180">
        <f t="shared" si="28"/>
        <v>1</v>
      </c>
      <c r="R52" s="180">
        <f t="shared" si="28"/>
        <v>0</v>
      </c>
      <c r="S52" s="180">
        <f t="shared" si="28"/>
        <v>0</v>
      </c>
      <c r="T52" s="180">
        <f t="shared" si="28"/>
        <v>1</v>
      </c>
      <c r="U52" s="180">
        <f t="shared" si="28"/>
        <v>1</v>
      </c>
      <c r="V52" s="180">
        <f t="shared" si="28"/>
        <v>0</v>
      </c>
      <c r="W52" s="180">
        <f t="shared" si="28"/>
        <v>0.43914690382081684</v>
      </c>
      <c r="X52" s="180">
        <f t="shared" si="28"/>
        <v>0.56295694557270504</v>
      </c>
      <c r="Y52" s="180">
        <f t="shared" si="28"/>
        <v>0</v>
      </c>
      <c r="Z52" s="180">
        <f t="shared" si="28"/>
        <v>0</v>
      </c>
      <c r="AA52" s="180">
        <f t="shared" si="28"/>
        <v>0</v>
      </c>
      <c r="AB52" s="180">
        <f t="shared" si="28"/>
        <v>1</v>
      </c>
      <c r="AC52" s="180">
        <f t="shared" si="28"/>
        <v>0</v>
      </c>
      <c r="AD52" s="180">
        <f t="shared" si="28"/>
        <v>1</v>
      </c>
      <c r="AE52" s="180">
        <f t="shared" si="28"/>
        <v>1</v>
      </c>
      <c r="AF52" s="180">
        <f t="shared" si="28"/>
        <v>0</v>
      </c>
      <c r="AG52" s="180">
        <f t="shared" si="28"/>
        <v>1</v>
      </c>
      <c r="AH52" s="180">
        <f t="shared" si="28"/>
        <v>1</v>
      </c>
      <c r="AI52" s="180">
        <f t="shared" si="28"/>
        <v>0</v>
      </c>
      <c r="AJ52" s="180">
        <f t="shared" si="28"/>
        <v>1</v>
      </c>
      <c r="AK52" s="180">
        <f t="shared" si="28"/>
        <v>0</v>
      </c>
      <c r="AL52" s="180">
        <f t="shared" si="28"/>
        <v>1</v>
      </c>
      <c r="AM52" s="180">
        <f t="shared" si="28"/>
        <v>0</v>
      </c>
      <c r="AN52" s="180">
        <f t="shared" si="28"/>
        <v>1</v>
      </c>
      <c r="AO52" s="180">
        <f t="shared" si="28"/>
        <v>0</v>
      </c>
      <c r="AP52" s="180">
        <f t="shared" si="28"/>
        <v>0.7995226730310262</v>
      </c>
      <c r="AQ52" s="180">
        <f t="shared" si="28"/>
        <v>0</v>
      </c>
      <c r="AR52" s="180">
        <f t="shared" si="28"/>
        <v>0</v>
      </c>
      <c r="AS52" s="180">
        <f t="shared" si="28"/>
        <v>1</v>
      </c>
      <c r="AT52" s="180">
        <f t="shared" si="28"/>
        <v>0.69778869778869768</v>
      </c>
      <c r="AU52" s="180">
        <f t="shared" si="28"/>
        <v>0</v>
      </c>
      <c r="AV52" s="181">
        <f t="shared" si="28"/>
        <v>0</v>
      </c>
    </row>
    <row r="53" spans="1:83" ht="14.4" thickBot="1" x14ac:dyDescent="0.3">
      <c r="A53" s="61" t="s">
        <v>329</v>
      </c>
      <c r="B53" s="179">
        <f>IFERROR(B20/B$32,0)</f>
        <v>0</v>
      </c>
      <c r="C53" s="183">
        <f t="shared" ref="C53:AV53" si="29">IFERROR(C20/C$32,0)</f>
        <v>0</v>
      </c>
      <c r="D53" s="183">
        <f t="shared" si="29"/>
        <v>0</v>
      </c>
      <c r="E53" s="183">
        <f t="shared" si="29"/>
        <v>1</v>
      </c>
      <c r="F53" s="183">
        <f t="shared" si="29"/>
        <v>0.44615384615384612</v>
      </c>
      <c r="G53" s="183">
        <f t="shared" si="29"/>
        <v>0.68291457286432167</v>
      </c>
      <c r="H53" s="183">
        <f t="shared" si="29"/>
        <v>0.29368421052631577</v>
      </c>
      <c r="I53" s="183">
        <f t="shared" si="29"/>
        <v>0</v>
      </c>
      <c r="J53" s="183">
        <f t="shared" si="29"/>
        <v>0.21742041059208569</v>
      </c>
      <c r="K53" s="183">
        <f t="shared" si="29"/>
        <v>0</v>
      </c>
      <c r="L53" s="183">
        <f t="shared" si="29"/>
        <v>6.7489521797960458E-2</v>
      </c>
      <c r="M53" s="183">
        <f t="shared" si="29"/>
        <v>5.1807617817947064E-2</v>
      </c>
      <c r="N53" s="183">
        <f t="shared" si="29"/>
        <v>0</v>
      </c>
      <c r="O53" s="183">
        <f t="shared" si="29"/>
        <v>0</v>
      </c>
      <c r="P53" s="183">
        <f t="shared" si="29"/>
        <v>0.54629629629629628</v>
      </c>
      <c r="Q53" s="183">
        <f t="shared" si="29"/>
        <v>5.7288542291541698E-2</v>
      </c>
      <c r="R53" s="183">
        <f t="shared" si="29"/>
        <v>0</v>
      </c>
      <c r="S53" s="183">
        <f t="shared" si="29"/>
        <v>0</v>
      </c>
      <c r="T53" s="183">
        <f t="shared" si="29"/>
        <v>0.22643253234750463</v>
      </c>
      <c r="U53" s="183">
        <f t="shared" si="29"/>
        <v>2.9538766812857256E-3</v>
      </c>
      <c r="V53" s="183">
        <f t="shared" si="29"/>
        <v>0</v>
      </c>
      <c r="W53" s="183">
        <f t="shared" si="29"/>
        <v>0.83638010540184449</v>
      </c>
      <c r="X53" s="183">
        <f t="shared" si="29"/>
        <v>0.31031681559707552</v>
      </c>
      <c r="Y53" s="183">
        <f t="shared" si="29"/>
        <v>0</v>
      </c>
      <c r="Z53" s="183">
        <f t="shared" si="29"/>
        <v>0</v>
      </c>
      <c r="AA53" s="183">
        <f t="shared" si="29"/>
        <v>0</v>
      </c>
      <c r="AB53" s="183">
        <f t="shared" si="29"/>
        <v>1.1390251193225304E-2</v>
      </c>
      <c r="AC53" s="183">
        <f t="shared" si="29"/>
        <v>0</v>
      </c>
      <c r="AD53" s="183">
        <f t="shared" si="29"/>
        <v>0</v>
      </c>
      <c r="AE53" s="183">
        <f t="shared" si="29"/>
        <v>0.61962365591397861</v>
      </c>
      <c r="AF53" s="183">
        <f t="shared" si="29"/>
        <v>0</v>
      </c>
      <c r="AG53" s="183">
        <f t="shared" si="29"/>
        <v>3.1422547936954121E-2</v>
      </c>
      <c r="AH53" s="183">
        <f t="shared" si="29"/>
        <v>0.25586034912718209</v>
      </c>
      <c r="AI53" s="183">
        <f t="shared" si="29"/>
        <v>0</v>
      </c>
      <c r="AJ53" s="183">
        <f t="shared" si="29"/>
        <v>0</v>
      </c>
      <c r="AK53" s="183">
        <f t="shared" si="29"/>
        <v>0</v>
      </c>
      <c r="AL53" s="183">
        <f t="shared" si="29"/>
        <v>1.4390371533228674E-3</v>
      </c>
      <c r="AM53" s="183">
        <f t="shared" si="29"/>
        <v>0</v>
      </c>
      <c r="AN53" s="183">
        <f t="shared" si="29"/>
        <v>0.14106583072100312</v>
      </c>
      <c r="AO53" s="183">
        <f t="shared" si="29"/>
        <v>0</v>
      </c>
      <c r="AP53" s="183">
        <f t="shared" si="29"/>
        <v>0</v>
      </c>
      <c r="AQ53" s="183">
        <f t="shared" si="29"/>
        <v>1</v>
      </c>
      <c r="AR53" s="183">
        <f t="shared" si="29"/>
        <v>0</v>
      </c>
      <c r="AS53" s="183">
        <f t="shared" si="29"/>
        <v>0.14168079438120609</v>
      </c>
      <c r="AT53" s="183">
        <f t="shared" si="29"/>
        <v>0.32923832923832924</v>
      </c>
      <c r="AU53" s="183">
        <f t="shared" si="29"/>
        <v>0</v>
      </c>
      <c r="AV53" s="184">
        <f t="shared" si="29"/>
        <v>0</v>
      </c>
      <c r="AW53" s="61"/>
      <c r="AX53" s="26"/>
      <c r="AY53" s="26"/>
      <c r="AZ53" s="26"/>
      <c r="BA53" s="26"/>
      <c r="BB53" s="26"/>
      <c r="BC53" s="26"/>
      <c r="BD53" s="26"/>
      <c r="BE53" s="26"/>
      <c r="BF53" s="26"/>
      <c r="BG53" s="26"/>
      <c r="BH53" s="26"/>
      <c r="BI53" s="26"/>
      <c r="BJ53" s="26"/>
      <c r="BK53" s="26"/>
      <c r="BL53" s="26"/>
      <c r="BM53" s="26"/>
      <c r="BN53" s="26"/>
      <c r="BO53" s="26"/>
      <c r="BP53" s="26"/>
      <c r="BQ53" s="26"/>
      <c r="BR53" s="26"/>
      <c r="BS53" s="26"/>
      <c r="BT53" s="26"/>
      <c r="BU53" s="26"/>
      <c r="BV53" s="26"/>
      <c r="BW53" s="26"/>
      <c r="BX53" s="26"/>
      <c r="BY53" s="26"/>
      <c r="BZ53" s="26"/>
      <c r="CA53" s="26"/>
      <c r="CB53" s="26"/>
      <c r="CC53" s="26"/>
      <c r="CD53" s="26"/>
      <c r="CE53" s="26"/>
    </row>
    <row r="54" spans="1:83" x14ac:dyDescent="0.25">
      <c r="A54" t="s">
        <v>196</v>
      </c>
      <c r="B54" s="169">
        <f>IFERROR(B21/B$33,0)</f>
        <v>0</v>
      </c>
      <c r="C54" s="169">
        <f t="shared" ref="C54:AV55" si="30">IFERROR(C21/C$33,0)</f>
        <v>0</v>
      </c>
      <c r="D54" s="169">
        <f t="shared" si="30"/>
        <v>0</v>
      </c>
      <c r="E54" s="169">
        <f t="shared" si="30"/>
        <v>0.5808457711442786</v>
      </c>
      <c r="F54" s="169">
        <f t="shared" si="30"/>
        <v>0.5304347826086957</v>
      </c>
      <c r="G54" s="169">
        <f t="shared" si="30"/>
        <v>0.50101569713758076</v>
      </c>
      <c r="H54" s="169">
        <f t="shared" si="30"/>
        <v>0.31150793650793651</v>
      </c>
      <c r="I54" s="169">
        <f t="shared" si="30"/>
        <v>0</v>
      </c>
      <c r="J54" s="169">
        <f t="shared" si="30"/>
        <v>0.16612291097942605</v>
      </c>
      <c r="K54" s="169">
        <f t="shared" si="30"/>
        <v>0</v>
      </c>
      <c r="L54" s="169">
        <f t="shared" si="30"/>
        <v>0.1742191867756607</v>
      </c>
      <c r="M54" s="169">
        <f t="shared" si="30"/>
        <v>0.11518987341772152</v>
      </c>
      <c r="N54" s="169">
        <f t="shared" si="30"/>
        <v>0</v>
      </c>
      <c r="O54" s="169">
        <f t="shared" si="30"/>
        <v>0.11256005490734385</v>
      </c>
      <c r="P54" s="169">
        <f t="shared" si="30"/>
        <v>0.94047619047619058</v>
      </c>
      <c r="Q54" s="169">
        <f t="shared" si="30"/>
        <v>2.7333227697670732E-2</v>
      </c>
      <c r="R54" s="169">
        <f t="shared" si="30"/>
        <v>0</v>
      </c>
      <c r="S54" s="169">
        <f t="shared" si="30"/>
        <v>0</v>
      </c>
      <c r="T54" s="169">
        <f t="shared" si="30"/>
        <v>0.37616822429906543</v>
      </c>
      <c r="U54" s="169">
        <f t="shared" si="30"/>
        <v>1.003263362144999E-3</v>
      </c>
      <c r="V54" s="169">
        <f t="shared" si="30"/>
        <v>0</v>
      </c>
      <c r="W54" s="169">
        <f t="shared" si="30"/>
        <v>1</v>
      </c>
      <c r="X54" s="169">
        <f t="shared" si="30"/>
        <v>9.3388884521657112E-3</v>
      </c>
      <c r="Y54" s="169">
        <f t="shared" si="30"/>
        <v>0</v>
      </c>
      <c r="Z54" s="169">
        <f t="shared" si="30"/>
        <v>0</v>
      </c>
      <c r="AA54" s="169">
        <f t="shared" si="30"/>
        <v>0</v>
      </c>
      <c r="AB54" s="169">
        <f t="shared" si="30"/>
        <v>1.2727014615432868E-2</v>
      </c>
      <c r="AC54" s="169">
        <f t="shared" si="30"/>
        <v>0</v>
      </c>
      <c r="AD54" s="169">
        <f t="shared" si="30"/>
        <v>9.7755155311928993E-2</v>
      </c>
      <c r="AE54" s="169">
        <f t="shared" si="30"/>
        <v>0.93505253104106978</v>
      </c>
      <c r="AF54" s="169">
        <f t="shared" si="30"/>
        <v>0</v>
      </c>
      <c r="AG54" s="169">
        <f t="shared" si="30"/>
        <v>2.3352904729590181E-2</v>
      </c>
      <c r="AH54" s="169">
        <f t="shared" si="30"/>
        <v>0.19472738166566808</v>
      </c>
      <c r="AI54" s="169">
        <f t="shared" si="30"/>
        <v>0</v>
      </c>
      <c r="AJ54" s="169">
        <f t="shared" si="30"/>
        <v>0</v>
      </c>
      <c r="AK54" s="169">
        <f t="shared" si="30"/>
        <v>0</v>
      </c>
      <c r="AL54" s="169">
        <f t="shared" si="30"/>
        <v>2.1985787758627461E-3</v>
      </c>
      <c r="AM54" s="169">
        <f t="shared" si="30"/>
        <v>0</v>
      </c>
      <c r="AN54" s="169">
        <f t="shared" si="30"/>
        <v>0.10666666666666667</v>
      </c>
      <c r="AO54" s="169">
        <f t="shared" si="30"/>
        <v>0</v>
      </c>
      <c r="AP54" s="169">
        <f t="shared" si="30"/>
        <v>0.73553719008264462</v>
      </c>
      <c r="AQ54" s="169">
        <f t="shared" si="30"/>
        <v>1</v>
      </c>
      <c r="AR54" s="169">
        <f t="shared" si="30"/>
        <v>0</v>
      </c>
      <c r="AS54" s="169">
        <f t="shared" si="30"/>
        <v>0.23885814156714244</v>
      </c>
      <c r="AT54" s="169">
        <f t="shared" si="30"/>
        <v>0.1529209621993127</v>
      </c>
      <c r="AU54" s="169">
        <f t="shared" si="30"/>
        <v>0</v>
      </c>
      <c r="AV54" s="169">
        <f t="shared" si="30"/>
        <v>0</v>
      </c>
    </row>
    <row r="55" spans="1:83" x14ac:dyDescent="0.25">
      <c r="A55" t="s">
        <v>197</v>
      </c>
      <c r="B55" s="169">
        <f t="shared" ref="B55:Q55" si="31">IFERROR(B22/B$33,0)</f>
        <v>0</v>
      </c>
      <c r="C55" s="169">
        <f t="shared" si="31"/>
        <v>0.28658536585365851</v>
      </c>
      <c r="D55" s="169">
        <f t="shared" si="31"/>
        <v>1</v>
      </c>
      <c r="E55" s="169">
        <f t="shared" si="31"/>
        <v>1</v>
      </c>
      <c r="F55" s="169">
        <f t="shared" si="31"/>
        <v>1</v>
      </c>
      <c r="G55" s="169">
        <f t="shared" si="31"/>
        <v>1</v>
      </c>
      <c r="H55" s="169">
        <f t="shared" si="31"/>
        <v>0.56746031746031744</v>
      </c>
      <c r="I55" s="169">
        <f t="shared" si="31"/>
        <v>0</v>
      </c>
      <c r="J55" s="169">
        <f t="shared" si="31"/>
        <v>1</v>
      </c>
      <c r="K55" s="169">
        <f t="shared" si="31"/>
        <v>0</v>
      </c>
      <c r="L55" s="169">
        <f t="shared" si="31"/>
        <v>0.31469757181064056</v>
      </c>
      <c r="M55" s="169">
        <f t="shared" si="31"/>
        <v>0.25340189873417723</v>
      </c>
      <c r="N55" s="169">
        <f t="shared" si="31"/>
        <v>0</v>
      </c>
      <c r="O55" s="169">
        <f t="shared" si="31"/>
        <v>0.3421413864104324</v>
      </c>
      <c r="P55" s="169">
        <f t="shared" si="31"/>
        <v>0.88095238095238093</v>
      </c>
      <c r="Q55" s="169">
        <f t="shared" si="31"/>
        <v>8.1022553213965023E-2</v>
      </c>
      <c r="R55" s="169">
        <f t="shared" si="30"/>
        <v>0</v>
      </c>
      <c r="S55" s="169">
        <f t="shared" si="30"/>
        <v>0</v>
      </c>
      <c r="T55" s="169">
        <f t="shared" si="30"/>
        <v>1</v>
      </c>
      <c r="U55" s="169">
        <f t="shared" si="30"/>
        <v>1.7088551772799438E-3</v>
      </c>
      <c r="V55" s="169">
        <f t="shared" si="30"/>
        <v>0</v>
      </c>
      <c r="W55" s="169">
        <f t="shared" si="30"/>
        <v>7.5954767673525631E-2</v>
      </c>
      <c r="X55" s="169">
        <f t="shared" si="30"/>
        <v>5.6756544296832009E-3</v>
      </c>
      <c r="Y55" s="169">
        <f t="shared" si="30"/>
        <v>0</v>
      </c>
      <c r="Z55" s="169">
        <f t="shared" si="30"/>
        <v>0</v>
      </c>
      <c r="AA55" s="169">
        <f t="shared" si="30"/>
        <v>0</v>
      </c>
      <c r="AB55" s="169">
        <f t="shared" si="30"/>
        <v>2.7817853475911116E-2</v>
      </c>
      <c r="AC55" s="169">
        <f t="shared" si="30"/>
        <v>0</v>
      </c>
      <c r="AD55" s="169">
        <f t="shared" si="30"/>
        <v>0.22879143826677109</v>
      </c>
      <c r="AE55" s="169">
        <f t="shared" si="30"/>
        <v>1</v>
      </c>
      <c r="AF55" s="169">
        <f t="shared" si="30"/>
        <v>0</v>
      </c>
      <c r="AG55" s="169">
        <f t="shared" si="30"/>
        <v>8.1299973445844276E-2</v>
      </c>
      <c r="AH55" s="169">
        <f t="shared" si="30"/>
        <v>0.30017974835230682</v>
      </c>
      <c r="AI55" s="169">
        <f t="shared" si="30"/>
        <v>0</v>
      </c>
      <c r="AJ55" s="169">
        <f t="shared" si="30"/>
        <v>0</v>
      </c>
      <c r="AK55" s="169">
        <f t="shared" si="30"/>
        <v>0</v>
      </c>
      <c r="AL55" s="169">
        <f t="shared" si="30"/>
        <v>2.2770994464292723E-3</v>
      </c>
      <c r="AM55" s="169">
        <f t="shared" si="30"/>
        <v>0</v>
      </c>
      <c r="AN55" s="169">
        <f t="shared" si="30"/>
        <v>0.18533333333333332</v>
      </c>
      <c r="AO55" s="169">
        <f t="shared" si="30"/>
        <v>0</v>
      </c>
      <c r="AP55" s="169">
        <f t="shared" si="30"/>
        <v>1</v>
      </c>
      <c r="AQ55" s="169">
        <f t="shared" si="30"/>
        <v>0</v>
      </c>
      <c r="AR55" s="169">
        <f t="shared" si="30"/>
        <v>0</v>
      </c>
      <c r="AS55" s="169">
        <f t="shared" si="30"/>
        <v>0.22312845907369649</v>
      </c>
      <c r="AT55" s="169">
        <f t="shared" si="30"/>
        <v>0.19243986254295534</v>
      </c>
      <c r="AU55" s="169">
        <f t="shared" si="30"/>
        <v>0</v>
      </c>
      <c r="AV55" s="169">
        <f t="shared" si="30"/>
        <v>0</v>
      </c>
    </row>
    <row r="56" spans="1:83" x14ac:dyDescent="0.25">
      <c r="A56" t="s">
        <v>203</v>
      </c>
      <c r="B56" s="178">
        <f t="shared" ref="B56:AV56" si="32">IFERROR(B25/B$33,0)</f>
        <v>0</v>
      </c>
      <c r="C56" s="169">
        <f t="shared" si="32"/>
        <v>0</v>
      </c>
      <c r="D56" s="169">
        <f t="shared" si="32"/>
        <v>0</v>
      </c>
      <c r="E56" s="169">
        <f t="shared" si="32"/>
        <v>0</v>
      </c>
      <c r="F56" s="169">
        <f t="shared" si="32"/>
        <v>0</v>
      </c>
      <c r="G56" s="169">
        <f t="shared" si="32"/>
        <v>0</v>
      </c>
      <c r="H56" s="169">
        <f t="shared" si="32"/>
        <v>7.1428571428571425E-2</v>
      </c>
      <c r="I56" s="169">
        <f t="shared" si="32"/>
        <v>0</v>
      </c>
      <c r="J56" s="169">
        <f t="shared" si="32"/>
        <v>7.2508156335308618E-2</v>
      </c>
      <c r="K56" s="169">
        <f t="shared" si="32"/>
        <v>0</v>
      </c>
      <c r="L56" s="169">
        <f t="shared" si="32"/>
        <v>1.1045466221423068E-2</v>
      </c>
      <c r="M56" s="169">
        <f t="shared" si="32"/>
        <v>5.379746835443038E-3</v>
      </c>
      <c r="N56" s="169">
        <f t="shared" si="32"/>
        <v>0</v>
      </c>
      <c r="O56" s="169">
        <f t="shared" si="32"/>
        <v>0</v>
      </c>
      <c r="P56" s="169">
        <f t="shared" si="32"/>
        <v>0.52976190476190477</v>
      </c>
      <c r="Q56" s="169">
        <f t="shared" si="32"/>
        <v>0</v>
      </c>
      <c r="R56" s="169">
        <f t="shared" si="32"/>
        <v>0</v>
      </c>
      <c r="S56" s="169">
        <f t="shared" si="32"/>
        <v>0</v>
      </c>
      <c r="T56" s="169">
        <f t="shared" si="32"/>
        <v>0.31425233644859812</v>
      </c>
      <c r="U56" s="169">
        <f t="shared" si="32"/>
        <v>7.3866643146939495E-4</v>
      </c>
      <c r="V56" s="169">
        <f t="shared" si="32"/>
        <v>0</v>
      </c>
      <c r="W56" s="169">
        <f t="shared" si="32"/>
        <v>1.3503939627604402E-2</v>
      </c>
      <c r="X56" s="169">
        <f t="shared" si="32"/>
        <v>0</v>
      </c>
      <c r="Y56" s="169">
        <f t="shared" si="32"/>
        <v>0</v>
      </c>
      <c r="Z56" s="169">
        <f t="shared" si="32"/>
        <v>0</v>
      </c>
      <c r="AA56" s="169">
        <f t="shared" si="32"/>
        <v>0</v>
      </c>
      <c r="AB56" s="169">
        <f t="shared" si="32"/>
        <v>6.5467367010125484E-3</v>
      </c>
      <c r="AC56" s="169">
        <f t="shared" si="32"/>
        <v>0</v>
      </c>
      <c r="AD56" s="169">
        <f t="shared" si="32"/>
        <v>5.7295745236230738E-2</v>
      </c>
      <c r="AE56" s="169">
        <f t="shared" si="32"/>
        <v>2.626552053486151E-2</v>
      </c>
      <c r="AF56" s="169">
        <f t="shared" si="32"/>
        <v>0</v>
      </c>
      <c r="AG56" s="169">
        <f t="shared" si="32"/>
        <v>0</v>
      </c>
      <c r="AH56" s="169">
        <f t="shared" si="32"/>
        <v>3.6848412222887962E-2</v>
      </c>
      <c r="AI56" s="169">
        <f t="shared" si="32"/>
        <v>0</v>
      </c>
      <c r="AJ56" s="169">
        <f t="shared" si="32"/>
        <v>0</v>
      </c>
      <c r="AK56" s="169">
        <f t="shared" si="32"/>
        <v>0</v>
      </c>
      <c r="AL56" s="169">
        <f t="shared" si="32"/>
        <v>1.0737701699972516E-2</v>
      </c>
      <c r="AM56" s="169">
        <f t="shared" si="32"/>
        <v>0</v>
      </c>
      <c r="AN56" s="169">
        <f t="shared" si="32"/>
        <v>0.41466666666666663</v>
      </c>
      <c r="AO56" s="169">
        <f t="shared" si="32"/>
        <v>0</v>
      </c>
      <c r="AP56" s="169">
        <f t="shared" si="32"/>
        <v>0</v>
      </c>
      <c r="AQ56" s="169">
        <f t="shared" si="32"/>
        <v>0</v>
      </c>
      <c r="AR56" s="169">
        <f t="shared" si="32"/>
        <v>0</v>
      </c>
      <c r="AS56" s="169">
        <f t="shared" si="32"/>
        <v>0.10253422662394408</v>
      </c>
      <c r="AT56" s="169">
        <f t="shared" si="32"/>
        <v>0</v>
      </c>
      <c r="AU56" s="169">
        <f t="shared" si="32"/>
        <v>0</v>
      </c>
      <c r="AV56" s="182">
        <f t="shared" si="32"/>
        <v>0</v>
      </c>
    </row>
    <row r="57" spans="1:83" x14ac:dyDescent="0.25">
      <c r="A57" t="s">
        <v>198</v>
      </c>
      <c r="B57" s="177">
        <f t="shared" ref="B57:AV57" si="33">IFERROR(B23/B$33,0)</f>
        <v>0</v>
      </c>
      <c r="C57" s="180">
        <f t="shared" si="33"/>
        <v>0</v>
      </c>
      <c r="D57" s="180">
        <f t="shared" si="33"/>
        <v>0</v>
      </c>
      <c r="E57" s="180">
        <f t="shared" si="33"/>
        <v>0.101575456053068</v>
      </c>
      <c r="F57" s="180">
        <f t="shared" si="33"/>
        <v>0.1391304347826087</v>
      </c>
      <c r="G57" s="180">
        <f t="shared" si="33"/>
        <v>0.20923361034164359</v>
      </c>
      <c r="H57" s="180">
        <f t="shared" si="33"/>
        <v>0.48214285714285715</v>
      </c>
      <c r="I57" s="180">
        <f t="shared" si="33"/>
        <v>0</v>
      </c>
      <c r="J57" s="180">
        <f t="shared" si="33"/>
        <v>0.15094213995605568</v>
      </c>
      <c r="K57" s="180">
        <f t="shared" si="33"/>
        <v>0</v>
      </c>
      <c r="L57" s="180">
        <f t="shared" si="33"/>
        <v>2.132031852042127E-2</v>
      </c>
      <c r="M57" s="180">
        <f t="shared" si="33"/>
        <v>1.6218354430379743E-2</v>
      </c>
      <c r="N57" s="180">
        <f t="shared" si="33"/>
        <v>0</v>
      </c>
      <c r="O57" s="180">
        <f t="shared" si="33"/>
        <v>0</v>
      </c>
      <c r="P57" s="180">
        <f t="shared" si="33"/>
        <v>0.49404761904761907</v>
      </c>
      <c r="Q57" s="180">
        <f t="shared" si="33"/>
        <v>1.4709766017007341E-2</v>
      </c>
      <c r="R57" s="180">
        <f t="shared" si="33"/>
        <v>0</v>
      </c>
      <c r="S57" s="180">
        <f t="shared" si="33"/>
        <v>1</v>
      </c>
      <c r="T57" s="180">
        <f t="shared" si="33"/>
        <v>0.15829439252336447</v>
      </c>
      <c r="U57" s="180">
        <f t="shared" si="33"/>
        <v>1.6537308167225264E-3</v>
      </c>
      <c r="V57" s="180">
        <f t="shared" si="33"/>
        <v>0</v>
      </c>
      <c r="W57" s="180">
        <f t="shared" si="33"/>
        <v>6.1190460347344822E-2</v>
      </c>
      <c r="X57" s="180">
        <f t="shared" si="33"/>
        <v>4.2606713308702146E-3</v>
      </c>
      <c r="Y57" s="180">
        <f t="shared" si="33"/>
        <v>0</v>
      </c>
      <c r="Z57" s="180">
        <f t="shared" si="33"/>
        <v>0</v>
      </c>
      <c r="AA57" s="180">
        <f t="shared" si="33"/>
        <v>0</v>
      </c>
      <c r="AB57" s="180">
        <f t="shared" si="33"/>
        <v>1.5833660725192229E-2</v>
      </c>
      <c r="AC57" s="180">
        <f t="shared" si="33"/>
        <v>0</v>
      </c>
      <c r="AD57" s="180">
        <f t="shared" si="33"/>
        <v>0</v>
      </c>
      <c r="AE57" s="180">
        <f t="shared" si="33"/>
        <v>0.21107927411652339</v>
      </c>
      <c r="AF57" s="180">
        <f t="shared" si="33"/>
        <v>0</v>
      </c>
      <c r="AG57" s="180">
        <f t="shared" si="33"/>
        <v>9.0136606378898292E-3</v>
      </c>
      <c r="AH57" s="180">
        <f t="shared" si="33"/>
        <v>0.10275614140203716</v>
      </c>
      <c r="AI57" s="180">
        <f t="shared" si="33"/>
        <v>0</v>
      </c>
      <c r="AJ57" s="180">
        <f t="shared" si="33"/>
        <v>0</v>
      </c>
      <c r="AK57" s="180">
        <f t="shared" si="33"/>
        <v>0</v>
      </c>
      <c r="AL57" s="180">
        <f t="shared" si="33"/>
        <v>4.0045541988928584E-3</v>
      </c>
      <c r="AM57" s="180">
        <f t="shared" si="33"/>
        <v>0</v>
      </c>
      <c r="AN57" s="180">
        <f t="shared" si="33"/>
        <v>0.20266666666666666</v>
      </c>
      <c r="AO57" s="180">
        <f t="shared" si="33"/>
        <v>0</v>
      </c>
      <c r="AP57" s="180">
        <f t="shared" si="33"/>
        <v>0</v>
      </c>
      <c r="AQ57" s="180">
        <f t="shared" si="33"/>
        <v>0</v>
      </c>
      <c r="AR57" s="180">
        <f t="shared" si="33"/>
        <v>0</v>
      </c>
      <c r="AS57" s="180">
        <f t="shared" si="33"/>
        <v>0.2097290999126129</v>
      </c>
      <c r="AT57" s="180">
        <f t="shared" si="33"/>
        <v>0.1907216494845361</v>
      </c>
      <c r="AU57" s="180">
        <f t="shared" si="33"/>
        <v>0</v>
      </c>
      <c r="AV57" s="181">
        <f t="shared" si="33"/>
        <v>0</v>
      </c>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row>
    <row r="58" spans="1:83" x14ac:dyDescent="0.25">
      <c r="A58" t="s">
        <v>199</v>
      </c>
      <c r="B58" s="178">
        <f t="shared" ref="B58:AV58" si="34">IFERROR(B24/B$33,0)</f>
        <v>0</v>
      </c>
      <c r="C58" s="169">
        <f t="shared" si="34"/>
        <v>0</v>
      </c>
      <c r="D58" s="169">
        <f t="shared" si="34"/>
        <v>0</v>
      </c>
      <c r="E58" s="169">
        <f t="shared" si="34"/>
        <v>0.33250414593698174</v>
      </c>
      <c r="F58" s="169">
        <f t="shared" si="34"/>
        <v>0.21086956521739131</v>
      </c>
      <c r="G58" s="169">
        <f t="shared" si="34"/>
        <v>0.41606648199445989</v>
      </c>
      <c r="H58" s="169">
        <f t="shared" si="34"/>
        <v>0.72023809523809523</v>
      </c>
      <c r="I58" s="169">
        <f t="shared" si="34"/>
        <v>0</v>
      </c>
      <c r="J58" s="169">
        <f t="shared" si="34"/>
        <v>0.20127838071775753</v>
      </c>
      <c r="K58" s="169">
        <f t="shared" si="34"/>
        <v>0</v>
      </c>
      <c r="L58" s="169">
        <f t="shared" si="34"/>
        <v>4.3834333116755574E-2</v>
      </c>
      <c r="M58" s="169">
        <f t="shared" si="34"/>
        <v>2.8639240506329114E-2</v>
      </c>
      <c r="N58" s="169">
        <f t="shared" si="34"/>
        <v>0</v>
      </c>
      <c r="O58" s="169">
        <f t="shared" si="34"/>
        <v>0</v>
      </c>
      <c r="P58" s="169">
        <f t="shared" si="34"/>
        <v>0.52976190476190477</v>
      </c>
      <c r="Q58" s="169">
        <f t="shared" si="34"/>
        <v>1.3759045053610098E-2</v>
      </c>
      <c r="R58" s="169">
        <f t="shared" si="34"/>
        <v>0</v>
      </c>
      <c r="S58" s="169">
        <f t="shared" si="34"/>
        <v>0.21802325581395349</v>
      </c>
      <c r="T58" s="169">
        <f t="shared" si="34"/>
        <v>0.12616822429906543</v>
      </c>
      <c r="U58" s="169">
        <f t="shared" si="34"/>
        <v>1.4442582466043393E-3</v>
      </c>
      <c r="V58" s="169">
        <f t="shared" si="34"/>
        <v>0</v>
      </c>
      <c r="W58" s="169">
        <f t="shared" si="34"/>
        <v>6.896794673576509E-2</v>
      </c>
      <c r="X58" s="169">
        <f t="shared" si="34"/>
        <v>1</v>
      </c>
      <c r="Y58" s="169">
        <f t="shared" si="34"/>
        <v>1</v>
      </c>
      <c r="Z58" s="169">
        <f t="shared" si="34"/>
        <v>0</v>
      </c>
      <c r="AA58" s="169">
        <f t="shared" si="34"/>
        <v>0</v>
      </c>
      <c r="AB58" s="169">
        <f t="shared" si="34"/>
        <v>2.2654416158521491E-2</v>
      </c>
      <c r="AC58" s="169">
        <f t="shared" si="34"/>
        <v>0</v>
      </c>
      <c r="AD58" s="169">
        <f t="shared" si="34"/>
        <v>0</v>
      </c>
      <c r="AE58" s="169">
        <f t="shared" si="34"/>
        <v>0.22110792741165233</v>
      </c>
      <c r="AF58" s="169">
        <f t="shared" si="34"/>
        <v>0</v>
      </c>
      <c r="AG58" s="169">
        <f t="shared" si="34"/>
        <v>1.4840822588735137E-2</v>
      </c>
      <c r="AH58" s="169">
        <f t="shared" si="34"/>
        <v>0.12582384661473939</v>
      </c>
      <c r="AI58" s="169">
        <f t="shared" si="34"/>
        <v>0</v>
      </c>
      <c r="AJ58" s="169">
        <f t="shared" si="34"/>
        <v>0</v>
      </c>
      <c r="AK58" s="169">
        <f t="shared" si="34"/>
        <v>0.16864608076009502</v>
      </c>
      <c r="AL58" s="169">
        <f t="shared" si="34"/>
        <v>1.8844960935966392E-3</v>
      </c>
      <c r="AM58" s="169">
        <f t="shared" si="34"/>
        <v>0</v>
      </c>
      <c r="AN58" s="169">
        <f t="shared" si="34"/>
        <v>0.11200000000000002</v>
      </c>
      <c r="AO58" s="169">
        <f t="shared" si="34"/>
        <v>0</v>
      </c>
      <c r="AP58" s="169">
        <f t="shared" si="34"/>
        <v>0</v>
      </c>
      <c r="AQ58" s="169">
        <f t="shared" si="34"/>
        <v>0</v>
      </c>
      <c r="AR58" s="169">
        <f t="shared" si="34"/>
        <v>0</v>
      </c>
      <c r="AS58" s="169">
        <f t="shared" si="34"/>
        <v>0.25371395281095255</v>
      </c>
      <c r="AT58" s="169">
        <f t="shared" si="34"/>
        <v>0.1907216494845361</v>
      </c>
      <c r="AU58" s="169">
        <f t="shared" si="34"/>
        <v>0</v>
      </c>
      <c r="AV58" s="182">
        <f t="shared" si="34"/>
        <v>0</v>
      </c>
    </row>
    <row r="59" spans="1:83" x14ac:dyDescent="0.25">
      <c r="A59" t="s">
        <v>202</v>
      </c>
      <c r="B59" s="178">
        <f t="shared" ref="B59:AV59" si="35">IFERROR(B26/B$33,0)</f>
        <v>1</v>
      </c>
      <c r="C59" s="169">
        <f t="shared" si="35"/>
        <v>1</v>
      </c>
      <c r="D59" s="169">
        <f t="shared" si="35"/>
        <v>0</v>
      </c>
      <c r="E59" s="169">
        <f t="shared" si="35"/>
        <v>0.3233830845771144</v>
      </c>
      <c r="F59" s="169">
        <f t="shared" si="35"/>
        <v>0.3989130434782609</v>
      </c>
      <c r="G59" s="169">
        <f t="shared" si="35"/>
        <v>0.34145891043397969</v>
      </c>
      <c r="H59" s="169">
        <f t="shared" si="35"/>
        <v>0.45238095238095233</v>
      </c>
      <c r="I59" s="169">
        <f t="shared" si="35"/>
        <v>1</v>
      </c>
      <c r="J59" s="169">
        <f t="shared" si="35"/>
        <v>0.66129569212331041</v>
      </c>
      <c r="K59" s="169">
        <f t="shared" si="35"/>
        <v>1</v>
      </c>
      <c r="L59" s="169">
        <f t="shared" si="35"/>
        <v>0.7416781251416571</v>
      </c>
      <c r="M59" s="169">
        <f t="shared" si="35"/>
        <v>0.72800632911392393</v>
      </c>
      <c r="N59" s="169">
        <f t="shared" si="35"/>
        <v>0</v>
      </c>
      <c r="O59" s="169">
        <f t="shared" si="35"/>
        <v>0.6887439945092656</v>
      </c>
      <c r="P59" s="169">
        <f t="shared" si="35"/>
        <v>1</v>
      </c>
      <c r="Q59" s="169">
        <f t="shared" si="35"/>
        <v>0.56216658743991965</v>
      </c>
      <c r="R59" s="169">
        <f t="shared" si="35"/>
        <v>0</v>
      </c>
      <c r="S59" s="169">
        <f t="shared" si="35"/>
        <v>0</v>
      </c>
      <c r="T59" s="169">
        <f t="shared" si="35"/>
        <v>0.54322429906542058</v>
      </c>
      <c r="U59" s="169">
        <f t="shared" si="35"/>
        <v>0.15256218027870877</v>
      </c>
      <c r="V59" s="169">
        <f t="shared" si="35"/>
        <v>0</v>
      </c>
      <c r="W59" s="169">
        <f t="shared" si="35"/>
        <v>0.23519165808807702</v>
      </c>
      <c r="X59" s="169">
        <f t="shared" si="35"/>
        <v>5.4083798443518597E-3</v>
      </c>
      <c r="Y59" s="169">
        <f t="shared" si="35"/>
        <v>0</v>
      </c>
      <c r="Z59" s="169">
        <f t="shared" si="35"/>
        <v>0</v>
      </c>
      <c r="AA59" s="169">
        <f t="shared" si="35"/>
        <v>0.76315789473684204</v>
      </c>
      <c r="AB59" s="169">
        <f t="shared" si="35"/>
        <v>0.63630451074450556</v>
      </c>
      <c r="AC59" s="169">
        <f t="shared" si="35"/>
        <v>0</v>
      </c>
      <c r="AD59" s="169">
        <f t="shared" si="35"/>
        <v>0.92743409031584445</v>
      </c>
      <c r="AE59" s="169">
        <f t="shared" si="35"/>
        <v>0.32617000955109837</v>
      </c>
      <c r="AF59" s="169">
        <f t="shared" si="35"/>
        <v>0</v>
      </c>
      <c r="AG59" s="169">
        <f t="shared" si="35"/>
        <v>0.7546248487888354</v>
      </c>
      <c r="AH59" s="169">
        <f t="shared" si="35"/>
        <v>0.21060515278609951</v>
      </c>
      <c r="AI59" s="169">
        <f t="shared" si="35"/>
        <v>0</v>
      </c>
      <c r="AJ59" s="169">
        <f t="shared" si="35"/>
        <v>0.17191430918519279</v>
      </c>
      <c r="AK59" s="169">
        <f t="shared" si="35"/>
        <v>0.20427553444180521</v>
      </c>
      <c r="AL59" s="169">
        <f t="shared" si="35"/>
        <v>8.0817400180597548E-2</v>
      </c>
      <c r="AM59" s="169">
        <f t="shared" si="35"/>
        <v>0</v>
      </c>
      <c r="AN59" s="169">
        <f t="shared" si="35"/>
        <v>0.34799999999999998</v>
      </c>
      <c r="AO59" s="169">
        <f t="shared" si="35"/>
        <v>1</v>
      </c>
      <c r="AP59" s="169">
        <f t="shared" si="35"/>
        <v>0</v>
      </c>
      <c r="AQ59" s="169">
        <f t="shared" si="35"/>
        <v>0</v>
      </c>
      <c r="AR59" s="169">
        <f t="shared" si="35"/>
        <v>0</v>
      </c>
      <c r="AS59" s="169">
        <f t="shared" si="35"/>
        <v>0.21322458491115645</v>
      </c>
      <c r="AT59" s="169">
        <f t="shared" si="35"/>
        <v>8.7628865979381437E-2</v>
      </c>
      <c r="AU59" s="169">
        <f t="shared" si="35"/>
        <v>0</v>
      </c>
      <c r="AV59" s="182">
        <f t="shared" si="35"/>
        <v>1</v>
      </c>
    </row>
    <row r="60" spans="1:83" x14ac:dyDescent="0.25">
      <c r="A60" t="s">
        <v>201</v>
      </c>
      <c r="B60" s="178">
        <f t="shared" ref="B60:AV60" si="36">IFERROR(B27/B$33,0)</f>
        <v>0</v>
      </c>
      <c r="C60" s="169">
        <f t="shared" si="36"/>
        <v>0</v>
      </c>
      <c r="D60" s="169">
        <f t="shared" si="36"/>
        <v>0</v>
      </c>
      <c r="E60" s="169">
        <f t="shared" si="36"/>
        <v>0.28524046434494194</v>
      </c>
      <c r="F60" s="169">
        <f t="shared" si="36"/>
        <v>0.50489130434782603</v>
      </c>
      <c r="G60" s="169">
        <f t="shared" si="36"/>
        <v>0.554016620498615</v>
      </c>
      <c r="H60" s="169">
        <f t="shared" si="36"/>
        <v>0.29761904761904762</v>
      </c>
      <c r="I60" s="169">
        <f t="shared" si="36"/>
        <v>0</v>
      </c>
      <c r="J60" s="169">
        <f t="shared" si="36"/>
        <v>0.74046208136360603</v>
      </c>
      <c r="K60" s="169">
        <f t="shared" si="36"/>
        <v>0</v>
      </c>
      <c r="L60" s="169">
        <f t="shared" si="36"/>
        <v>1</v>
      </c>
      <c r="M60" s="169">
        <f t="shared" si="36"/>
        <v>1</v>
      </c>
      <c r="N60" s="169">
        <f t="shared" si="36"/>
        <v>0</v>
      </c>
      <c r="O60" s="169">
        <f t="shared" si="36"/>
        <v>1</v>
      </c>
      <c r="P60" s="169">
        <f t="shared" si="36"/>
        <v>0.50595238095238093</v>
      </c>
      <c r="Q60" s="169">
        <f t="shared" si="36"/>
        <v>0.76752231553372408</v>
      </c>
      <c r="R60" s="169">
        <f t="shared" si="36"/>
        <v>0</v>
      </c>
      <c r="S60" s="169">
        <f t="shared" si="36"/>
        <v>0</v>
      </c>
      <c r="T60" s="169">
        <f t="shared" si="36"/>
        <v>0.53037383177570085</v>
      </c>
      <c r="U60" s="169">
        <f t="shared" si="36"/>
        <v>6.0691920973716715E-2</v>
      </c>
      <c r="V60" s="169">
        <f t="shared" si="36"/>
        <v>0</v>
      </c>
      <c r="W60" s="169">
        <f t="shared" si="36"/>
        <v>0.1012051776844462</v>
      </c>
      <c r="X60" s="169">
        <f t="shared" si="36"/>
        <v>5.6442103608206904E-3</v>
      </c>
      <c r="Y60" s="169">
        <f t="shared" si="36"/>
        <v>0</v>
      </c>
      <c r="Z60" s="169">
        <f t="shared" si="36"/>
        <v>0</v>
      </c>
      <c r="AA60" s="169">
        <f t="shared" si="36"/>
        <v>1</v>
      </c>
      <c r="AB60" s="169">
        <f t="shared" si="36"/>
        <v>0.65410252262305257</v>
      </c>
      <c r="AC60" s="169">
        <f t="shared" si="36"/>
        <v>0</v>
      </c>
      <c r="AD60" s="169">
        <f t="shared" si="36"/>
        <v>1</v>
      </c>
      <c r="AE60" s="169">
        <f t="shared" si="36"/>
        <v>0.42502387774594075</v>
      </c>
      <c r="AF60" s="169">
        <f t="shared" si="36"/>
        <v>0</v>
      </c>
      <c r="AG60" s="169">
        <f t="shared" si="36"/>
        <v>1</v>
      </c>
      <c r="AH60" s="169">
        <f t="shared" si="36"/>
        <v>0.2130017974835231</v>
      </c>
      <c r="AI60" s="169">
        <f t="shared" si="36"/>
        <v>0</v>
      </c>
      <c r="AJ60" s="169">
        <f t="shared" si="36"/>
        <v>7.982492170252091E-2</v>
      </c>
      <c r="AK60" s="169">
        <f t="shared" si="36"/>
        <v>0</v>
      </c>
      <c r="AL60" s="169">
        <f t="shared" si="36"/>
        <v>5.1921793412115738E-2</v>
      </c>
      <c r="AM60" s="169">
        <f t="shared" si="36"/>
        <v>0</v>
      </c>
      <c r="AN60" s="169">
        <f t="shared" si="36"/>
        <v>0.18666666666666665</v>
      </c>
      <c r="AO60" s="169">
        <f t="shared" si="36"/>
        <v>0</v>
      </c>
      <c r="AP60" s="169">
        <f t="shared" si="36"/>
        <v>0</v>
      </c>
      <c r="AQ60" s="169">
        <f t="shared" si="36"/>
        <v>0</v>
      </c>
      <c r="AR60" s="169">
        <f t="shared" si="36"/>
        <v>0</v>
      </c>
      <c r="AS60" s="169">
        <f t="shared" si="36"/>
        <v>0.22371103990678706</v>
      </c>
      <c r="AT60" s="169">
        <f t="shared" si="36"/>
        <v>0</v>
      </c>
      <c r="AU60" s="169">
        <f t="shared" si="36"/>
        <v>0</v>
      </c>
      <c r="AV60" s="182">
        <f t="shared" si="36"/>
        <v>0</v>
      </c>
    </row>
    <row r="61" spans="1:83" x14ac:dyDescent="0.25">
      <c r="A61" t="s">
        <v>200</v>
      </c>
      <c r="B61" s="179">
        <f t="shared" ref="B61:AV61" si="37">IFERROR(B28/B$33,0)</f>
        <v>0</v>
      </c>
      <c r="C61" s="183">
        <f t="shared" si="37"/>
        <v>0</v>
      </c>
      <c r="D61" s="183">
        <f t="shared" si="37"/>
        <v>0</v>
      </c>
      <c r="E61" s="183">
        <f t="shared" si="37"/>
        <v>0.2728026533996683</v>
      </c>
      <c r="F61" s="183">
        <f t="shared" si="37"/>
        <v>0.56195652173913047</v>
      </c>
      <c r="G61" s="183">
        <f t="shared" si="37"/>
        <v>0.43951985226223456</v>
      </c>
      <c r="H61" s="183">
        <f t="shared" si="37"/>
        <v>1</v>
      </c>
      <c r="I61" s="183">
        <f t="shared" si="37"/>
        <v>0</v>
      </c>
      <c r="J61" s="183">
        <f t="shared" si="37"/>
        <v>0.71576003728610427</v>
      </c>
      <c r="K61" s="183">
        <f t="shared" si="37"/>
        <v>0</v>
      </c>
      <c r="L61" s="183">
        <f t="shared" si="37"/>
        <v>0.49668333811819104</v>
      </c>
      <c r="M61" s="183">
        <f t="shared" si="37"/>
        <v>0.58370253164556962</v>
      </c>
      <c r="N61" s="183">
        <f t="shared" si="37"/>
        <v>0</v>
      </c>
      <c r="O61" s="183">
        <f t="shared" si="37"/>
        <v>0.6914893617021276</v>
      </c>
      <c r="P61" s="183">
        <f t="shared" si="37"/>
        <v>0.75</v>
      </c>
      <c r="Q61" s="183">
        <f t="shared" si="37"/>
        <v>1</v>
      </c>
      <c r="R61" s="183">
        <f t="shared" si="37"/>
        <v>0</v>
      </c>
      <c r="S61" s="183">
        <f t="shared" si="37"/>
        <v>0</v>
      </c>
      <c r="T61" s="183">
        <f t="shared" si="37"/>
        <v>0.4445093457943925</v>
      </c>
      <c r="U61" s="183">
        <f t="shared" si="37"/>
        <v>1</v>
      </c>
      <c r="V61" s="183">
        <f t="shared" si="37"/>
        <v>0</v>
      </c>
      <c r="W61" s="183">
        <f t="shared" si="37"/>
        <v>0.16975430658248558</v>
      </c>
      <c r="X61" s="183">
        <f t="shared" si="37"/>
        <v>2.1130414275607263E-2</v>
      </c>
      <c r="Y61" s="183">
        <f t="shared" si="37"/>
        <v>0</v>
      </c>
      <c r="Z61" s="183">
        <f t="shared" si="37"/>
        <v>1</v>
      </c>
      <c r="AA61" s="183">
        <f t="shared" si="37"/>
        <v>0</v>
      </c>
      <c r="AB61" s="183">
        <f t="shared" si="37"/>
        <v>1</v>
      </c>
      <c r="AC61" s="183">
        <f t="shared" si="37"/>
        <v>0</v>
      </c>
      <c r="AD61" s="183">
        <f t="shared" si="37"/>
        <v>0.47128687026885929</v>
      </c>
      <c r="AE61" s="183">
        <f t="shared" si="37"/>
        <v>0.63801337153772675</v>
      </c>
      <c r="AF61" s="183">
        <f t="shared" si="37"/>
        <v>0</v>
      </c>
      <c r="AG61" s="183">
        <f t="shared" si="37"/>
        <v>0.80560882778154785</v>
      </c>
      <c r="AH61" s="183">
        <f t="shared" si="37"/>
        <v>1</v>
      </c>
      <c r="AI61" s="183">
        <f t="shared" si="37"/>
        <v>0</v>
      </c>
      <c r="AJ61" s="183">
        <f t="shared" si="37"/>
        <v>1</v>
      </c>
      <c r="AK61" s="183">
        <f t="shared" si="37"/>
        <v>1</v>
      </c>
      <c r="AL61" s="183">
        <f t="shared" si="37"/>
        <v>1</v>
      </c>
      <c r="AM61" s="183">
        <f t="shared" si="37"/>
        <v>0</v>
      </c>
      <c r="AN61" s="183">
        <f t="shared" si="37"/>
        <v>1</v>
      </c>
      <c r="AO61" s="183">
        <f t="shared" si="37"/>
        <v>0</v>
      </c>
      <c r="AP61" s="183">
        <f t="shared" si="37"/>
        <v>0</v>
      </c>
      <c r="AQ61" s="183">
        <f t="shared" si="37"/>
        <v>0</v>
      </c>
      <c r="AR61" s="183">
        <f t="shared" si="37"/>
        <v>1</v>
      </c>
      <c r="AS61" s="183">
        <f t="shared" si="37"/>
        <v>1</v>
      </c>
      <c r="AT61" s="183">
        <f t="shared" si="37"/>
        <v>1</v>
      </c>
      <c r="AU61" s="183">
        <f t="shared" si="37"/>
        <v>0</v>
      </c>
      <c r="AV61" s="184">
        <f t="shared" si="37"/>
        <v>0</v>
      </c>
    </row>
    <row r="62" spans="1:83" x14ac:dyDescent="0.25">
      <c r="B62" s="169"/>
    </row>
    <row r="63" spans="1:83" x14ac:dyDescent="0.25">
      <c r="B63" s="169"/>
    </row>
    <row r="64" spans="1:83" x14ac:dyDescent="0.25">
      <c r="A64" s="51"/>
      <c r="B64" s="169" t="s">
        <v>253</v>
      </c>
      <c r="C64" t="s">
        <v>254</v>
      </c>
      <c r="D64" t="s">
        <v>256</v>
      </c>
      <c r="E64" s="30" t="s">
        <v>257</v>
      </c>
      <c r="F64" t="s">
        <v>258</v>
      </c>
      <c r="G64" s="32" t="s">
        <v>259</v>
      </c>
      <c r="H64" t="s">
        <v>260</v>
      </c>
      <c r="I64" s="30" t="s">
        <v>261</v>
      </c>
      <c r="J64" t="s">
        <v>262</v>
      </c>
      <c r="K64" t="s">
        <v>263</v>
      </c>
      <c r="L64" t="s">
        <v>264</v>
      </c>
      <c r="M64" t="s">
        <v>265</v>
      </c>
      <c r="N64" t="s">
        <v>163</v>
      </c>
      <c r="O64" s="30" t="s">
        <v>165</v>
      </c>
      <c r="P64" t="s">
        <v>267</v>
      </c>
      <c r="Q64" t="s">
        <v>268</v>
      </c>
      <c r="R64" s="30" t="s">
        <v>270</v>
      </c>
      <c r="S64" t="s">
        <v>271</v>
      </c>
      <c r="T64" s="30" t="s">
        <v>274</v>
      </c>
      <c r="U64" s="31" t="s">
        <v>276</v>
      </c>
      <c r="V64" s="30" t="s">
        <v>277</v>
      </c>
      <c r="W64" s="30" t="s">
        <v>278</v>
      </c>
      <c r="X64" t="s">
        <v>279</v>
      </c>
      <c r="Y64" t="s">
        <v>281</v>
      </c>
      <c r="Z64" t="s">
        <v>282</v>
      </c>
      <c r="AA64" t="s">
        <v>284</v>
      </c>
      <c r="AB64" s="32" t="s">
        <v>286</v>
      </c>
      <c r="AC64" t="s">
        <v>288</v>
      </c>
      <c r="AD64" t="s">
        <v>289</v>
      </c>
      <c r="AE64" t="s">
        <v>290</v>
      </c>
      <c r="AF64" s="29" t="s">
        <v>291</v>
      </c>
      <c r="AG64" t="s">
        <v>293</v>
      </c>
      <c r="AH64" t="s">
        <v>296</v>
      </c>
      <c r="AI64" t="s">
        <v>297</v>
      </c>
      <c r="AJ64" t="s">
        <v>299</v>
      </c>
      <c r="AK64" t="s">
        <v>302</v>
      </c>
      <c r="AL64" t="s">
        <v>304</v>
      </c>
      <c r="AM64" t="s">
        <v>305</v>
      </c>
      <c r="AN64" t="s">
        <v>309</v>
      </c>
      <c r="AO64" t="s">
        <v>310</v>
      </c>
      <c r="AP64" s="29" t="s">
        <v>311</v>
      </c>
      <c r="AQ64" t="s">
        <v>313</v>
      </c>
      <c r="AR64" s="29" t="s">
        <v>314</v>
      </c>
      <c r="AS64" t="s">
        <v>315</v>
      </c>
      <c r="AT64" t="s">
        <v>318</v>
      </c>
      <c r="AU64" t="s">
        <v>323</v>
      </c>
      <c r="AV64" t="s">
        <v>324</v>
      </c>
      <c r="AW64" t="s">
        <v>325</v>
      </c>
    </row>
    <row r="65" spans="1:51" x14ac:dyDescent="0.25">
      <c r="A65" s="51" t="s">
        <v>181</v>
      </c>
      <c r="B65" s="169">
        <f>IFERROR(#REF!/$B$33,0)</f>
        <v>0</v>
      </c>
      <c r="C65">
        <f>IFERROR(#REF!/$B$33,0)</f>
        <v>0</v>
      </c>
      <c r="D65">
        <f>IFERROR(#REF!/$B$33,0)</f>
        <v>0</v>
      </c>
      <c r="E65">
        <f>IFERROR(#REF!/$B$33,0)</f>
        <v>0</v>
      </c>
      <c r="F65">
        <f>IFERROR(#REF!/$B$33,0)</f>
        <v>0</v>
      </c>
      <c r="G65">
        <f>IFERROR(#REF!/$B$33,0)</f>
        <v>0</v>
      </c>
      <c r="H65">
        <f>IFERROR(#REF!/$B$33,0)</f>
        <v>0</v>
      </c>
      <c r="I65">
        <f>IFERROR(#REF!/$B$33,0)</f>
        <v>0</v>
      </c>
      <c r="J65">
        <f>IFERROR(#REF!/$B$33,0)</f>
        <v>0</v>
      </c>
      <c r="K65">
        <f>IFERROR(#REF!/$B$33,0)</f>
        <v>0</v>
      </c>
      <c r="L65">
        <f>IFERROR(#REF!/$B$33,0)</f>
        <v>0</v>
      </c>
      <c r="M65">
        <f>IFERROR(#REF!/$B$33,0)</f>
        <v>0</v>
      </c>
      <c r="N65">
        <f>IFERROR(#REF!/$B$33,0)</f>
        <v>0</v>
      </c>
      <c r="O65">
        <f>IFERROR(#REF!/$B$33,0)</f>
        <v>0</v>
      </c>
      <c r="P65">
        <f>IFERROR(#REF!/$B$33,0)</f>
        <v>0</v>
      </c>
      <c r="Q65">
        <f>IFERROR(#REF!/$B$33,0)</f>
        <v>0</v>
      </c>
      <c r="R65">
        <f>IFERROR(#REF!/$B$33,0)</f>
        <v>0</v>
      </c>
      <c r="S65">
        <f>IFERROR(#REF!/$B$33,0)</f>
        <v>0</v>
      </c>
      <c r="T65">
        <f>IFERROR(#REF!/$B$33,0)</f>
        <v>0</v>
      </c>
      <c r="U65">
        <f>IFERROR(#REF!/$B$33,0)</f>
        <v>0</v>
      </c>
      <c r="V65">
        <f>IFERROR(#REF!/$B$33,0)</f>
        <v>0</v>
      </c>
      <c r="W65">
        <f>IFERROR(#REF!/$B$33,0)</f>
        <v>0</v>
      </c>
      <c r="X65">
        <f>IFERROR(#REF!/$B$33,0)</f>
        <v>0</v>
      </c>
      <c r="Y65">
        <f>IFERROR(#REF!/$B$33,0)</f>
        <v>0</v>
      </c>
      <c r="Z65">
        <f>IFERROR(#REF!/$B$33,0)</f>
        <v>0</v>
      </c>
      <c r="AA65">
        <f>IFERROR(#REF!/$B$33,0)</f>
        <v>0</v>
      </c>
      <c r="AB65">
        <f>IFERROR(#REF!/$B$33,0)</f>
        <v>0</v>
      </c>
      <c r="AC65">
        <f>IFERROR(#REF!/$B$33,0)</f>
        <v>0</v>
      </c>
      <c r="AD65">
        <f>IFERROR(#REF!/$B$33,0)</f>
        <v>0</v>
      </c>
      <c r="AE65">
        <f>IFERROR(#REF!/$B$33,0)</f>
        <v>0</v>
      </c>
      <c r="AF65">
        <f>IFERROR(#REF!/$B$33,0)</f>
        <v>0</v>
      </c>
      <c r="AG65">
        <f>IFERROR(#REF!/$B$33,0)</f>
        <v>0</v>
      </c>
      <c r="AH65">
        <f>IFERROR(#REF!/$B$33,0)</f>
        <v>0</v>
      </c>
      <c r="AI65">
        <f>IFERROR(#REF!/$B$33,0)</f>
        <v>0</v>
      </c>
      <c r="AJ65">
        <f>IFERROR(#REF!/$B$33,0)</f>
        <v>0</v>
      </c>
      <c r="AK65">
        <f>IFERROR(#REF!/$B$33,0)</f>
        <v>0</v>
      </c>
      <c r="AL65">
        <f>IFERROR(#REF!/$B$33,0)</f>
        <v>0</v>
      </c>
      <c r="AM65">
        <f>IFERROR(#REF!/$B$33,0)</f>
        <v>0</v>
      </c>
      <c r="AN65">
        <f>IFERROR(#REF!/$B$33,0)</f>
        <v>0</v>
      </c>
      <c r="AO65">
        <f>IFERROR(#REF!/$B$33,0)</f>
        <v>0</v>
      </c>
      <c r="AP65">
        <f>IFERROR(#REF!/$B$33,0)</f>
        <v>0</v>
      </c>
      <c r="AQ65">
        <f>IFERROR(#REF!/$B$33,0)</f>
        <v>0</v>
      </c>
      <c r="AR65">
        <f>IFERROR(#REF!/$B$33,0)</f>
        <v>0</v>
      </c>
      <c r="AS65">
        <f>IFERROR(#REF!/$B$33,0)</f>
        <v>0</v>
      </c>
      <c r="AT65">
        <f>IFERROR(#REF!/$B$33,0)</f>
        <v>0</v>
      </c>
      <c r="AU65">
        <f>IFERROR(#REF!/$B$33,0)</f>
        <v>0</v>
      </c>
      <c r="AV65">
        <f>IFERROR(#REF!/$B$33,0)</f>
        <v>0</v>
      </c>
      <c r="AW65">
        <f>IFERROR(#REF!/$B$33,0)</f>
        <v>0</v>
      </c>
    </row>
    <row r="66" spans="1:51" x14ac:dyDescent="0.25">
      <c r="A66" s="51" t="s">
        <v>182</v>
      </c>
      <c r="B66" s="169">
        <f>IFERROR(#REF!/$B$33,0)</f>
        <v>0</v>
      </c>
      <c r="C66">
        <f>IFERROR(#REF!/$B$33,0)</f>
        <v>0</v>
      </c>
      <c r="D66">
        <f>IFERROR(#REF!/$B$33,0)</f>
        <v>0</v>
      </c>
      <c r="E66">
        <f>IFERROR(#REF!/$B$33,0)</f>
        <v>0</v>
      </c>
      <c r="F66">
        <f>IFERROR(#REF!/$B$33,0)</f>
        <v>0</v>
      </c>
      <c r="G66">
        <f>IFERROR(#REF!/$B$33,0)</f>
        <v>0</v>
      </c>
      <c r="H66">
        <f>IFERROR(#REF!/$B$33,0)</f>
        <v>0</v>
      </c>
      <c r="I66">
        <f>IFERROR(#REF!/$B$33,0)</f>
        <v>0</v>
      </c>
      <c r="J66">
        <f>IFERROR(#REF!/$B$33,0)</f>
        <v>0</v>
      </c>
      <c r="K66">
        <f>IFERROR(#REF!/$B$33,0)</f>
        <v>0</v>
      </c>
      <c r="L66">
        <f>IFERROR(#REF!/$B$33,0)</f>
        <v>0</v>
      </c>
      <c r="M66">
        <f>IFERROR(#REF!/$B$33,0)</f>
        <v>0</v>
      </c>
      <c r="N66">
        <f>IFERROR(#REF!/$B$33,0)</f>
        <v>0</v>
      </c>
      <c r="O66">
        <f>IFERROR(#REF!/$B$33,0)</f>
        <v>0</v>
      </c>
      <c r="P66">
        <f>IFERROR(#REF!/$B$33,0)</f>
        <v>0</v>
      </c>
      <c r="Q66">
        <f>IFERROR(#REF!/$B$33,0)</f>
        <v>0</v>
      </c>
      <c r="R66">
        <f>IFERROR(#REF!/$B$33,0)</f>
        <v>0</v>
      </c>
      <c r="S66">
        <f>IFERROR(#REF!/$B$33,0)</f>
        <v>0</v>
      </c>
      <c r="T66">
        <f>IFERROR(#REF!/$B$33,0)</f>
        <v>0</v>
      </c>
      <c r="U66">
        <f>IFERROR(#REF!/$B$33,0)</f>
        <v>0</v>
      </c>
      <c r="V66">
        <f>IFERROR(#REF!/$B$33,0)</f>
        <v>0</v>
      </c>
      <c r="W66">
        <f>IFERROR(#REF!/$B$33,0)</f>
        <v>0</v>
      </c>
      <c r="X66">
        <f>IFERROR(#REF!/$B$33,0)</f>
        <v>0</v>
      </c>
      <c r="Y66">
        <f>IFERROR(#REF!/$B$33,0)</f>
        <v>0</v>
      </c>
      <c r="Z66">
        <f>IFERROR(#REF!/$B$33,0)</f>
        <v>0</v>
      </c>
      <c r="AA66">
        <f>IFERROR(#REF!/$B$33,0)</f>
        <v>0</v>
      </c>
      <c r="AB66">
        <f>IFERROR(#REF!/$B$33,0)</f>
        <v>0</v>
      </c>
      <c r="AC66">
        <f>IFERROR(#REF!/$B$33,0)</f>
        <v>0</v>
      </c>
      <c r="AD66">
        <f>IFERROR(#REF!/$B$33,0)</f>
        <v>0</v>
      </c>
      <c r="AE66">
        <f>IFERROR(#REF!/$B$33,0)</f>
        <v>0</v>
      </c>
      <c r="AF66">
        <f>IFERROR(#REF!/$B$33,0)</f>
        <v>0</v>
      </c>
      <c r="AG66">
        <f>IFERROR(#REF!/$B$33,0)</f>
        <v>0</v>
      </c>
      <c r="AH66">
        <f>IFERROR(#REF!/$B$33,0)</f>
        <v>0</v>
      </c>
      <c r="AI66">
        <f>IFERROR(#REF!/$B$33,0)</f>
        <v>0</v>
      </c>
      <c r="AJ66">
        <f>IFERROR(#REF!/$B$33,0)</f>
        <v>0</v>
      </c>
      <c r="AK66">
        <f>IFERROR(#REF!/$B$33,0)</f>
        <v>0</v>
      </c>
      <c r="AL66">
        <f>IFERROR(#REF!/$B$33,0)</f>
        <v>0</v>
      </c>
      <c r="AM66">
        <f>IFERROR(#REF!/$B$33,0)</f>
        <v>0</v>
      </c>
      <c r="AN66">
        <f>IFERROR(#REF!/$B$33,0)</f>
        <v>0</v>
      </c>
      <c r="AO66">
        <f>IFERROR(#REF!/$B$33,0)</f>
        <v>0</v>
      </c>
      <c r="AP66">
        <f>IFERROR(#REF!/$B$33,0)</f>
        <v>0</v>
      </c>
      <c r="AQ66">
        <f>IFERROR(#REF!/$B$33,0)</f>
        <v>0</v>
      </c>
      <c r="AR66">
        <f>IFERROR(#REF!/$B$33,0)</f>
        <v>0</v>
      </c>
      <c r="AS66">
        <f>IFERROR(#REF!/$B$33,0)</f>
        <v>0</v>
      </c>
      <c r="AT66">
        <f>IFERROR(#REF!/$B$33,0)</f>
        <v>0</v>
      </c>
      <c r="AU66">
        <f>IFERROR(#REF!/$B$33,0)</f>
        <v>0</v>
      </c>
      <c r="AV66">
        <f>IFERROR(#REF!/$B$33,0)</f>
        <v>0</v>
      </c>
      <c r="AW66">
        <f>IFERROR(#REF!/$B$33,0)</f>
        <v>0</v>
      </c>
    </row>
    <row r="67" spans="1:51" x14ac:dyDescent="0.25">
      <c r="A67" s="51" t="s">
        <v>183</v>
      </c>
      <c r="B67" s="183">
        <f>IFERROR(#REF!/$B$33,0)</f>
        <v>0</v>
      </c>
      <c r="C67">
        <f>IFERROR(#REF!/$B$33,0)</f>
        <v>0</v>
      </c>
      <c r="D67">
        <f>IFERROR(#REF!/$B$33,0)</f>
        <v>0</v>
      </c>
      <c r="E67">
        <f>IFERROR(#REF!/$B$33,0)</f>
        <v>0</v>
      </c>
      <c r="F67">
        <f>IFERROR(#REF!/$B$33,0)</f>
        <v>0</v>
      </c>
      <c r="G67">
        <f>IFERROR(#REF!/$B$33,0)</f>
        <v>0</v>
      </c>
      <c r="H67">
        <f>IFERROR(#REF!/$B$33,0)</f>
        <v>0</v>
      </c>
      <c r="I67">
        <f>IFERROR(#REF!/$B$33,0)</f>
        <v>0</v>
      </c>
      <c r="J67">
        <f>IFERROR(#REF!/$B$33,0)</f>
        <v>0</v>
      </c>
      <c r="K67">
        <f>IFERROR(#REF!/$B$33,0)</f>
        <v>0</v>
      </c>
      <c r="L67">
        <f>IFERROR(#REF!/$B$33,0)</f>
        <v>0</v>
      </c>
      <c r="M67">
        <f>IFERROR(#REF!/$B$33,0)</f>
        <v>0</v>
      </c>
      <c r="N67">
        <f>IFERROR(#REF!/$B$33,0)</f>
        <v>0</v>
      </c>
      <c r="O67">
        <f>IFERROR(#REF!/$B$33,0)</f>
        <v>0</v>
      </c>
      <c r="P67">
        <f>IFERROR(#REF!/$B$33,0)</f>
        <v>0</v>
      </c>
      <c r="Q67">
        <f>IFERROR(#REF!/$B$33,0)</f>
        <v>0</v>
      </c>
      <c r="R67">
        <f>IFERROR(#REF!/$B$33,0)</f>
        <v>0</v>
      </c>
      <c r="S67">
        <f>IFERROR(#REF!/$B$33,0)</f>
        <v>0</v>
      </c>
      <c r="T67">
        <f>IFERROR(#REF!/$B$33,0)</f>
        <v>0</v>
      </c>
      <c r="U67">
        <f>IFERROR(#REF!/$B$33,0)</f>
        <v>0</v>
      </c>
      <c r="V67">
        <f>IFERROR(#REF!/$B$33,0)</f>
        <v>0</v>
      </c>
      <c r="W67">
        <f>IFERROR(#REF!/$B$33,0)</f>
        <v>0</v>
      </c>
      <c r="X67">
        <f>IFERROR(#REF!/$B$33,0)</f>
        <v>0</v>
      </c>
      <c r="Y67">
        <f>IFERROR(#REF!/$B$33,0)</f>
        <v>0</v>
      </c>
      <c r="Z67">
        <f>IFERROR(#REF!/$B$33,0)</f>
        <v>0</v>
      </c>
      <c r="AA67">
        <f>IFERROR(#REF!/$B$33,0)</f>
        <v>0</v>
      </c>
      <c r="AB67">
        <f>IFERROR(#REF!/$B$33,0)</f>
        <v>0</v>
      </c>
      <c r="AC67">
        <f>IFERROR(#REF!/$B$33,0)</f>
        <v>0</v>
      </c>
      <c r="AD67">
        <f>IFERROR(#REF!/$B$33,0)</f>
        <v>0</v>
      </c>
      <c r="AE67">
        <f>IFERROR(#REF!/$B$33,0)</f>
        <v>0</v>
      </c>
      <c r="AF67">
        <f>IFERROR(#REF!/$B$33,0)</f>
        <v>0</v>
      </c>
      <c r="AG67">
        <f>IFERROR(#REF!/$B$33,0)</f>
        <v>0</v>
      </c>
      <c r="AH67">
        <f>IFERROR(#REF!/$B$33,0)</f>
        <v>0</v>
      </c>
      <c r="AI67">
        <f>IFERROR(#REF!/$B$33,0)</f>
        <v>0</v>
      </c>
      <c r="AJ67">
        <f>IFERROR(#REF!/$B$33,0)</f>
        <v>0</v>
      </c>
      <c r="AK67">
        <f>IFERROR(#REF!/$B$33,0)</f>
        <v>0</v>
      </c>
      <c r="AL67">
        <f>IFERROR(#REF!/$B$33,0)</f>
        <v>0</v>
      </c>
      <c r="AM67">
        <f>IFERROR(#REF!/$B$33,0)</f>
        <v>0</v>
      </c>
      <c r="AN67">
        <f>IFERROR(#REF!/$B$33,0)</f>
        <v>0</v>
      </c>
      <c r="AO67">
        <f>IFERROR(#REF!/$B$33,0)</f>
        <v>0</v>
      </c>
      <c r="AP67">
        <f>IFERROR(#REF!/$B$33,0)</f>
        <v>0</v>
      </c>
      <c r="AQ67">
        <f>IFERROR(#REF!/$B$33,0)</f>
        <v>0</v>
      </c>
      <c r="AR67">
        <f>IFERROR(#REF!/$B$33,0)</f>
        <v>0</v>
      </c>
      <c r="AS67">
        <f>IFERROR(#REF!/$B$33,0)</f>
        <v>0</v>
      </c>
      <c r="AT67">
        <f>IFERROR(#REF!/$B$33,0)</f>
        <v>0</v>
      </c>
      <c r="AU67">
        <f>IFERROR(#REF!/$B$33,0)</f>
        <v>0</v>
      </c>
      <c r="AV67">
        <f>IFERROR(#REF!/$B$33,0)</f>
        <v>0</v>
      </c>
      <c r="AW67">
        <f>IFERROR(#REF!/$B$33,0)</f>
        <v>0</v>
      </c>
      <c r="AX67" t="s">
        <v>326</v>
      </c>
      <c r="AY67" t="s">
        <v>391</v>
      </c>
    </row>
    <row r="68" spans="1:51" x14ac:dyDescent="0.25">
      <c r="A68" s="51" t="s">
        <v>184</v>
      </c>
      <c r="B68">
        <f t="shared" ref="B68:AW68" si="38">IFERROR(B29/$B$33,0)</f>
        <v>0</v>
      </c>
      <c r="C68">
        <f t="shared" si="38"/>
        <v>0</v>
      </c>
      <c r="D68">
        <f t="shared" si="38"/>
        <v>0</v>
      </c>
      <c r="E68">
        <f t="shared" si="38"/>
        <v>0</v>
      </c>
      <c r="F68">
        <f t="shared" si="38"/>
        <v>0</v>
      </c>
      <c r="G68">
        <f t="shared" si="38"/>
        <v>0</v>
      </c>
      <c r="H68">
        <f t="shared" si="38"/>
        <v>0</v>
      </c>
      <c r="I68">
        <f t="shared" si="38"/>
        <v>0</v>
      </c>
      <c r="J68">
        <f t="shared" si="38"/>
        <v>0</v>
      </c>
      <c r="K68">
        <f t="shared" si="38"/>
        <v>0</v>
      </c>
      <c r="L68">
        <f t="shared" si="38"/>
        <v>0</v>
      </c>
      <c r="M68">
        <f t="shared" si="38"/>
        <v>0</v>
      </c>
      <c r="N68">
        <f t="shared" si="38"/>
        <v>0</v>
      </c>
      <c r="O68">
        <f t="shared" si="38"/>
        <v>0</v>
      </c>
      <c r="P68">
        <f t="shared" si="38"/>
        <v>0</v>
      </c>
      <c r="Q68">
        <f t="shared" si="38"/>
        <v>0</v>
      </c>
      <c r="R68">
        <f t="shared" si="38"/>
        <v>0</v>
      </c>
      <c r="S68">
        <f t="shared" si="38"/>
        <v>0</v>
      </c>
      <c r="T68">
        <f t="shared" si="38"/>
        <v>0</v>
      </c>
      <c r="U68">
        <f t="shared" si="38"/>
        <v>0</v>
      </c>
      <c r="V68">
        <f t="shared" si="38"/>
        <v>0</v>
      </c>
      <c r="W68">
        <f t="shared" si="38"/>
        <v>0</v>
      </c>
      <c r="X68">
        <f t="shared" si="38"/>
        <v>0</v>
      </c>
      <c r="Y68">
        <f t="shared" si="38"/>
        <v>0</v>
      </c>
      <c r="Z68">
        <f t="shared" si="38"/>
        <v>0</v>
      </c>
      <c r="AA68">
        <f t="shared" si="38"/>
        <v>0</v>
      </c>
      <c r="AB68">
        <f t="shared" si="38"/>
        <v>0</v>
      </c>
      <c r="AC68">
        <f t="shared" si="38"/>
        <v>0</v>
      </c>
      <c r="AD68">
        <f t="shared" si="38"/>
        <v>0</v>
      </c>
      <c r="AE68">
        <f t="shared" si="38"/>
        <v>0</v>
      </c>
      <c r="AF68">
        <f t="shared" si="38"/>
        <v>0</v>
      </c>
      <c r="AG68">
        <f t="shared" si="38"/>
        <v>0</v>
      </c>
      <c r="AH68">
        <f t="shared" si="38"/>
        <v>0</v>
      </c>
      <c r="AI68">
        <f t="shared" si="38"/>
        <v>0</v>
      </c>
      <c r="AJ68">
        <f t="shared" si="38"/>
        <v>0</v>
      </c>
      <c r="AK68">
        <f t="shared" si="38"/>
        <v>0</v>
      </c>
      <c r="AL68">
        <f t="shared" si="38"/>
        <v>0</v>
      </c>
      <c r="AM68">
        <f t="shared" si="38"/>
        <v>0</v>
      </c>
      <c r="AN68">
        <f t="shared" si="38"/>
        <v>0</v>
      </c>
      <c r="AO68">
        <f t="shared" si="38"/>
        <v>0</v>
      </c>
      <c r="AP68">
        <f t="shared" si="38"/>
        <v>0</v>
      </c>
      <c r="AQ68">
        <f t="shared" si="38"/>
        <v>0</v>
      </c>
      <c r="AR68">
        <f t="shared" si="38"/>
        <v>0</v>
      </c>
      <c r="AS68">
        <f t="shared" si="38"/>
        <v>0</v>
      </c>
      <c r="AT68">
        <f t="shared" si="38"/>
        <v>0</v>
      </c>
      <c r="AU68">
        <f t="shared" si="38"/>
        <v>0</v>
      </c>
      <c r="AV68">
        <f t="shared" si="38"/>
        <v>0</v>
      </c>
      <c r="AW68">
        <f t="shared" si="38"/>
        <v>0</v>
      </c>
      <c r="AX68">
        <f>IFERROR(#REF!/$B$33,0)</f>
        <v>0</v>
      </c>
      <c r="AY68">
        <f>IFERROR(#REF!/$B$33,0)</f>
        <v>0</v>
      </c>
    </row>
    <row r="69" spans="1:51" x14ac:dyDescent="0.25">
      <c r="A69" s="51" t="s">
        <v>185</v>
      </c>
      <c r="B69">
        <f t="shared" ref="B69:AW69" si="39">IFERROR(B33/$B$33,0)</f>
        <v>1</v>
      </c>
      <c r="C69">
        <f t="shared" si="39"/>
        <v>0.24624624624624622</v>
      </c>
      <c r="D69">
        <f t="shared" si="39"/>
        <v>7.6576576576576572E-2</v>
      </c>
      <c r="E69">
        <f t="shared" si="39"/>
        <v>3.6216216216216215</v>
      </c>
      <c r="F69">
        <f t="shared" si="39"/>
        <v>5.5255255255255253</v>
      </c>
      <c r="G69">
        <f t="shared" si="39"/>
        <v>8.1306306306306304</v>
      </c>
      <c r="H69">
        <f t="shared" si="39"/>
        <v>0.7567567567567568</v>
      </c>
      <c r="I69">
        <f t="shared" si="39"/>
        <v>2.1111111111111112</v>
      </c>
      <c r="J69">
        <f t="shared" si="39"/>
        <v>22.551051051051051</v>
      </c>
      <c r="K69">
        <f t="shared" si="39"/>
        <v>7.9504504504504494</v>
      </c>
      <c r="L69">
        <f t="shared" si="39"/>
        <v>99.37087087087086</v>
      </c>
      <c r="M69">
        <f t="shared" si="39"/>
        <v>18.978978978978979</v>
      </c>
      <c r="N69">
        <f t="shared" si="39"/>
        <v>0</v>
      </c>
      <c r="O69">
        <f t="shared" si="39"/>
        <v>4.3753753753753752</v>
      </c>
      <c r="P69">
        <f t="shared" si="39"/>
        <v>0.25225225225225223</v>
      </c>
      <c r="Q69">
        <f t="shared" si="39"/>
        <v>56.855855855855857</v>
      </c>
      <c r="R69">
        <f t="shared" si="39"/>
        <v>0</v>
      </c>
      <c r="S69">
        <f t="shared" si="39"/>
        <v>1.5495495495495495</v>
      </c>
      <c r="T69">
        <f t="shared" si="39"/>
        <v>2.5705705705705708</v>
      </c>
      <c r="U69">
        <f t="shared" si="39"/>
        <v>136.19219219219218</v>
      </c>
      <c r="V69">
        <f t="shared" si="39"/>
        <v>0</v>
      </c>
      <c r="W69">
        <f t="shared" si="39"/>
        <v>383.60510510510511</v>
      </c>
      <c r="X69">
        <f t="shared" si="39"/>
        <v>95.503003003002988</v>
      </c>
      <c r="Y69">
        <f t="shared" si="39"/>
        <v>0.19369369369369369</v>
      </c>
      <c r="Z69">
        <f t="shared" si="39"/>
        <v>0.99699699699699695</v>
      </c>
      <c r="AA69">
        <f t="shared" si="39"/>
        <v>5.7057057057057055E-2</v>
      </c>
      <c r="AB69">
        <f t="shared" si="39"/>
        <v>454.80330330330327</v>
      </c>
      <c r="AC69">
        <f t="shared" si="39"/>
        <v>0</v>
      </c>
      <c r="AD69">
        <f t="shared" si="39"/>
        <v>11.504504504504505</v>
      </c>
      <c r="AE69">
        <f t="shared" si="39"/>
        <v>3.1441441441441444</v>
      </c>
      <c r="AF69">
        <f t="shared" si="39"/>
        <v>0</v>
      </c>
      <c r="AG69">
        <f t="shared" si="39"/>
        <v>101.78078078078079</v>
      </c>
      <c r="AH69">
        <f t="shared" si="39"/>
        <v>5.0120120120120113</v>
      </c>
      <c r="AI69">
        <f t="shared" si="39"/>
        <v>0</v>
      </c>
      <c r="AJ69">
        <f t="shared" si="39"/>
        <v>233.95795795795797</v>
      </c>
      <c r="AK69">
        <f t="shared" si="39"/>
        <v>0.63213213213213215</v>
      </c>
      <c r="AL69">
        <f t="shared" si="39"/>
        <v>76.489489489489486</v>
      </c>
      <c r="AM69">
        <f t="shared" si="39"/>
        <v>0</v>
      </c>
      <c r="AN69">
        <f t="shared" si="39"/>
        <v>1.1261261261261262</v>
      </c>
      <c r="AO69">
        <f t="shared" si="39"/>
        <v>0.53003003003003002</v>
      </c>
      <c r="AP69">
        <f t="shared" si="39"/>
        <v>1.6351351351351351</v>
      </c>
      <c r="AQ69">
        <f t="shared" si="39"/>
        <v>0.7072072072072072</v>
      </c>
      <c r="AR69">
        <f t="shared" si="39"/>
        <v>20.96996996996997</v>
      </c>
      <c r="AS69">
        <f t="shared" si="39"/>
        <v>5.1546546546546539</v>
      </c>
      <c r="AT69">
        <f t="shared" si="39"/>
        <v>0.87387387387387394</v>
      </c>
      <c r="AU69">
        <f t="shared" si="39"/>
        <v>0</v>
      </c>
      <c r="AV69">
        <f t="shared" si="39"/>
        <v>0.17267267267267267</v>
      </c>
      <c r="AW69">
        <f t="shared" si="39"/>
        <v>0</v>
      </c>
      <c r="AX69">
        <f>IFERROR(#REF!/$B$33,0)</f>
        <v>0</v>
      </c>
      <c r="AY69">
        <f>IFERROR(#REF!/$B$33,0)</f>
        <v>0</v>
      </c>
    </row>
    <row r="70" spans="1:51" x14ac:dyDescent="0.25">
      <c r="A70" s="51" t="s">
        <v>186</v>
      </c>
      <c r="B70">
        <f t="shared" ref="B70:P70" si="40">IFERROR(B34/$B$33,0)</f>
        <v>0</v>
      </c>
      <c r="C70">
        <f t="shared" si="40"/>
        <v>0</v>
      </c>
      <c r="D70">
        <f t="shared" si="40"/>
        <v>0</v>
      </c>
      <c r="E70">
        <f t="shared" si="40"/>
        <v>0</v>
      </c>
      <c r="F70">
        <f t="shared" si="40"/>
        <v>0</v>
      </c>
      <c r="G70">
        <f t="shared" si="40"/>
        <v>0</v>
      </c>
      <c r="H70">
        <f t="shared" si="40"/>
        <v>0</v>
      </c>
      <c r="I70">
        <f t="shared" si="40"/>
        <v>0</v>
      </c>
      <c r="J70">
        <f t="shared" si="40"/>
        <v>0</v>
      </c>
      <c r="K70">
        <f t="shared" si="40"/>
        <v>0</v>
      </c>
      <c r="L70">
        <f t="shared" si="40"/>
        <v>0</v>
      </c>
      <c r="M70">
        <f t="shared" si="40"/>
        <v>0</v>
      </c>
      <c r="N70">
        <f t="shared" si="40"/>
        <v>0</v>
      </c>
      <c r="O70">
        <f t="shared" si="40"/>
        <v>0</v>
      </c>
      <c r="P70">
        <f t="shared" si="40"/>
        <v>0</v>
      </c>
      <c r="Q70">
        <f>IFERROR(#REF!/$B$33,0)</f>
        <v>0</v>
      </c>
      <c r="R70">
        <f t="shared" ref="R70:AA70" si="41">IFERROR(Q34/$B$33,0)</f>
        <v>0</v>
      </c>
      <c r="S70">
        <f t="shared" si="41"/>
        <v>0</v>
      </c>
      <c r="T70">
        <f t="shared" si="41"/>
        <v>0</v>
      </c>
      <c r="U70">
        <f t="shared" si="41"/>
        <v>0</v>
      </c>
      <c r="V70">
        <f t="shared" si="41"/>
        <v>0</v>
      </c>
      <c r="W70">
        <f t="shared" si="41"/>
        <v>0</v>
      </c>
      <c r="X70">
        <f t="shared" si="41"/>
        <v>0</v>
      </c>
      <c r="Y70">
        <f t="shared" si="41"/>
        <v>0</v>
      </c>
      <c r="Z70">
        <f t="shared" si="41"/>
        <v>0</v>
      </c>
      <c r="AA70">
        <f t="shared" si="41"/>
        <v>0</v>
      </c>
      <c r="AB70">
        <f>IFERROR(#REF!/$B$33,0)</f>
        <v>0</v>
      </c>
      <c r="AC70">
        <f t="shared" ref="AC70:AE71" si="42">IFERROR(AA34/$B$33,0)</f>
        <v>0</v>
      </c>
      <c r="AD70">
        <f t="shared" si="42"/>
        <v>0</v>
      </c>
      <c r="AE70">
        <f t="shared" si="42"/>
        <v>0</v>
      </c>
      <c r="AF70">
        <f>IFERROR(#REF!/$B$33,0)</f>
        <v>0</v>
      </c>
      <c r="AG70">
        <f t="shared" ref="AG70:AM71" si="43">IFERROR(AD34/$B$33,0)</f>
        <v>0</v>
      </c>
      <c r="AH70">
        <f t="shared" si="43"/>
        <v>0</v>
      </c>
      <c r="AI70">
        <f t="shared" si="43"/>
        <v>0</v>
      </c>
      <c r="AJ70">
        <f t="shared" si="43"/>
        <v>0</v>
      </c>
      <c r="AK70">
        <f t="shared" si="43"/>
        <v>0</v>
      </c>
      <c r="AL70">
        <f t="shared" si="43"/>
        <v>0</v>
      </c>
      <c r="AM70">
        <f t="shared" si="43"/>
        <v>0</v>
      </c>
      <c r="AN70">
        <f>IFERROR(#REF!/$B$33,0)</f>
        <v>0</v>
      </c>
      <c r="AO70">
        <f t="shared" ref="AO70:AW71" si="44">IFERROR(AK34/$B$33,0)</f>
        <v>0</v>
      </c>
      <c r="AP70">
        <f t="shared" si="44"/>
        <v>0</v>
      </c>
      <c r="AQ70">
        <f t="shared" si="44"/>
        <v>0</v>
      </c>
      <c r="AR70">
        <f t="shared" si="44"/>
        <v>0</v>
      </c>
      <c r="AS70">
        <f t="shared" si="44"/>
        <v>0</v>
      </c>
      <c r="AT70">
        <f t="shared" si="44"/>
        <v>0</v>
      </c>
      <c r="AU70">
        <f t="shared" si="44"/>
        <v>0</v>
      </c>
      <c r="AV70">
        <f t="shared" si="44"/>
        <v>0</v>
      </c>
      <c r="AW70">
        <f t="shared" si="44"/>
        <v>0</v>
      </c>
      <c r="AX70">
        <f>IFERROR(#REF!/$B$33,0)</f>
        <v>0</v>
      </c>
      <c r="AY70">
        <f>IFERROR(#REF!/$B$33,0)</f>
        <v>0</v>
      </c>
    </row>
    <row r="71" spans="1:51" x14ac:dyDescent="0.25">
      <c r="A71" s="58" t="s">
        <v>187</v>
      </c>
      <c r="B71" s="61">
        <f t="shared" ref="B71:P71" si="45">IFERROR(B35/$B$33,0)</f>
        <v>0</v>
      </c>
      <c r="C71" s="61">
        <f t="shared" si="45"/>
        <v>0</v>
      </c>
      <c r="D71" s="61">
        <f t="shared" si="45"/>
        <v>0</v>
      </c>
      <c r="E71" s="61">
        <f t="shared" si="45"/>
        <v>6.3379962877450319E-2</v>
      </c>
      <c r="F71" s="61">
        <f t="shared" si="45"/>
        <v>0</v>
      </c>
      <c r="G71" s="61">
        <f t="shared" si="45"/>
        <v>0</v>
      </c>
      <c r="H71" s="61">
        <f t="shared" si="45"/>
        <v>4.1943351802506731E-2</v>
      </c>
      <c r="I71" s="61">
        <f t="shared" si="45"/>
        <v>0</v>
      </c>
      <c r="J71" s="61">
        <f t="shared" si="45"/>
        <v>6.4714237668963628E-2</v>
      </c>
      <c r="K71" s="61">
        <f t="shared" si="45"/>
        <v>0</v>
      </c>
      <c r="L71" s="61">
        <f t="shared" si="45"/>
        <v>0.15015015015015015</v>
      </c>
      <c r="M71" s="61">
        <f t="shared" si="45"/>
        <v>0.15015015015015015</v>
      </c>
      <c r="N71" s="61">
        <f t="shared" si="45"/>
        <v>0</v>
      </c>
      <c r="O71" s="61">
        <f t="shared" si="45"/>
        <v>0.13627946653350809</v>
      </c>
      <c r="P71" s="61">
        <f t="shared" si="45"/>
        <v>0.13024073797554461</v>
      </c>
      <c r="Q71" s="61">
        <f>IFERROR(#REF!/$B$33,0)</f>
        <v>0</v>
      </c>
      <c r="R71" s="61">
        <f t="shared" ref="R71:AA71" si="46">IFERROR(Q35/$B$33,0)</f>
        <v>5.4034250925442631E-2</v>
      </c>
      <c r="S71" s="61">
        <f t="shared" si="46"/>
        <v>0</v>
      </c>
      <c r="T71" s="61">
        <f t="shared" si="46"/>
        <v>0</v>
      </c>
      <c r="U71" s="61">
        <f t="shared" si="46"/>
        <v>4.9229557426278742E-2</v>
      </c>
      <c r="V71" s="61">
        <f t="shared" si="46"/>
        <v>1.969529473055566E-2</v>
      </c>
      <c r="W71" s="61">
        <f t="shared" si="46"/>
        <v>0</v>
      </c>
      <c r="X71" s="61">
        <f t="shared" si="46"/>
        <v>0.15015015015015015</v>
      </c>
      <c r="Y71" s="61">
        <f t="shared" si="46"/>
        <v>0.1110448787595667</v>
      </c>
      <c r="Z71" s="61">
        <f t="shared" si="46"/>
        <v>0</v>
      </c>
      <c r="AA71" s="61">
        <f t="shared" si="46"/>
        <v>5.345237903377438E-2</v>
      </c>
      <c r="AB71" s="61">
        <f>IFERROR(#REF!/$B$33,0)</f>
        <v>0</v>
      </c>
      <c r="AC71" s="61">
        <f t="shared" si="42"/>
        <v>0</v>
      </c>
      <c r="AD71" s="61">
        <f t="shared" si="42"/>
        <v>0.15015015015015015</v>
      </c>
      <c r="AE71" s="61">
        <f t="shared" si="42"/>
        <v>0</v>
      </c>
      <c r="AF71" s="61">
        <f>IFERROR(#REF!/$B$33,0)</f>
        <v>0</v>
      </c>
      <c r="AG71" s="61">
        <f t="shared" si="43"/>
        <v>0.15015015015015015</v>
      </c>
      <c r="AH71" s="61">
        <f t="shared" si="43"/>
        <v>0.1058115985103546</v>
      </c>
      <c r="AI71" s="61">
        <f t="shared" si="43"/>
        <v>0</v>
      </c>
      <c r="AJ71" s="61">
        <f t="shared" si="43"/>
        <v>4.191140907867992E-2</v>
      </c>
      <c r="AK71" s="61">
        <f t="shared" si="43"/>
        <v>4.2975095459350174E-2</v>
      </c>
      <c r="AL71" s="61">
        <f t="shared" si="43"/>
        <v>0</v>
      </c>
      <c r="AM71" s="61">
        <f t="shared" si="43"/>
        <v>9.5863247205946849E-3</v>
      </c>
      <c r="AN71" s="61">
        <f>IFERROR(#REF!/$B$33,0)</f>
        <v>0</v>
      </c>
      <c r="AO71" s="61">
        <f t="shared" si="44"/>
        <v>0</v>
      </c>
      <c r="AP71" s="61">
        <f t="shared" si="44"/>
        <v>7.0638013900425234E-2</v>
      </c>
      <c r="AQ71" s="61">
        <f t="shared" si="44"/>
        <v>0</v>
      </c>
      <c r="AR71" s="61">
        <f t="shared" si="44"/>
        <v>0.15015015015015015</v>
      </c>
      <c r="AS71" s="61">
        <f t="shared" si="44"/>
        <v>0</v>
      </c>
      <c r="AT71" s="61">
        <f t="shared" si="44"/>
        <v>4.9915867610237585E-2</v>
      </c>
      <c r="AU71" s="61">
        <f t="shared" si="44"/>
        <v>0.14684521042037871</v>
      </c>
      <c r="AV71" s="61">
        <f t="shared" si="44"/>
        <v>0</v>
      </c>
      <c r="AW71" s="61">
        <f t="shared" si="44"/>
        <v>2.5708704465181146E-2</v>
      </c>
      <c r="AX71">
        <f>IFERROR(AX32/$B$33,0)</f>
        <v>0</v>
      </c>
      <c r="AY71">
        <f>IFERROR(AY32/$B$33,0)</f>
        <v>0</v>
      </c>
    </row>
    <row r="72" spans="1:51" x14ac:dyDescent="0.25">
      <c r="A72" s="51" t="s">
        <v>191</v>
      </c>
      <c r="B72">
        <f t="shared" ref="B72:P72" si="47">IFERROR(B44/$B$33,0)</f>
        <v>0</v>
      </c>
      <c r="C72">
        <f t="shared" si="47"/>
        <v>0</v>
      </c>
      <c r="D72">
        <f t="shared" si="47"/>
        <v>0</v>
      </c>
      <c r="E72">
        <f t="shared" si="47"/>
        <v>0</v>
      </c>
      <c r="F72">
        <f t="shared" si="47"/>
        <v>0</v>
      </c>
      <c r="G72">
        <f t="shared" si="47"/>
        <v>0</v>
      </c>
      <c r="H72">
        <f t="shared" si="47"/>
        <v>2.61437908496732E-2</v>
      </c>
      <c r="I72">
        <f t="shared" si="47"/>
        <v>0</v>
      </c>
      <c r="J72">
        <f t="shared" si="47"/>
        <v>0.97897897897897901</v>
      </c>
      <c r="K72">
        <f t="shared" si="47"/>
        <v>0</v>
      </c>
      <c r="L72">
        <f t="shared" si="47"/>
        <v>0.47836071365483124</v>
      </c>
      <c r="M72">
        <f t="shared" si="47"/>
        <v>6.6419360537007588E-2</v>
      </c>
      <c r="N72">
        <f t="shared" si="47"/>
        <v>0</v>
      </c>
      <c r="O72">
        <f t="shared" si="47"/>
        <v>0</v>
      </c>
      <c r="P72">
        <f t="shared" si="47"/>
        <v>2.9676735559088497E-2</v>
      </c>
      <c r="Q72">
        <f>IFERROR(#REF!/$B$33,0)</f>
        <v>0</v>
      </c>
      <c r="R72">
        <f t="shared" ref="R72:AA72" si="48">IFERROR(Q44/$B$33,0)</f>
        <v>0</v>
      </c>
      <c r="S72">
        <f t="shared" si="48"/>
        <v>0</v>
      </c>
      <c r="T72">
        <f t="shared" si="48"/>
        <v>0</v>
      </c>
      <c r="U72">
        <f t="shared" si="48"/>
        <v>2.8263557675322376E-2</v>
      </c>
      <c r="V72">
        <f t="shared" si="48"/>
        <v>2.0137784843667197E-2</v>
      </c>
      <c r="W72">
        <f t="shared" si="48"/>
        <v>0</v>
      </c>
      <c r="X72">
        <f t="shared" si="48"/>
        <v>682.35223458752864</v>
      </c>
      <c r="Y72">
        <f t="shared" si="48"/>
        <v>0</v>
      </c>
      <c r="Z72">
        <f t="shared" si="48"/>
        <v>0</v>
      </c>
      <c r="AA72">
        <f t="shared" si="48"/>
        <v>0</v>
      </c>
      <c r="AB72">
        <f>IFERROR(#REF!/$B$33,0)</f>
        <v>0</v>
      </c>
      <c r="AC72">
        <f t="shared" ref="AC72:AC80" si="49">IFERROR(AA44/$B$33,0)</f>
        <v>0</v>
      </c>
      <c r="AD72">
        <f t="shared" ref="AD72:AD80" si="50">IFERROR(AB44/$B$33,0)</f>
        <v>0.28828828828828829</v>
      </c>
      <c r="AE72">
        <f t="shared" ref="AE72:AE80" si="51">IFERROR(AC44/$B$33,0)</f>
        <v>0</v>
      </c>
      <c r="AF72">
        <f>IFERROR(#REF!/$B$33,0)</f>
        <v>0</v>
      </c>
      <c r="AG72">
        <f t="shared" ref="AG72:AG80" si="52">IFERROR(AD44/$B$33,0)</f>
        <v>0</v>
      </c>
      <c r="AH72">
        <f t="shared" ref="AH72:AH80" si="53">IFERROR(AE44/$B$33,0)</f>
        <v>6.5359477124182996E-2</v>
      </c>
      <c r="AI72">
        <f t="shared" ref="AI72:AI80" si="54">IFERROR(AF44/$B$33,0)</f>
        <v>0</v>
      </c>
      <c r="AJ72">
        <f t="shared" ref="AJ72:AJ80" si="55">IFERROR(AG44/$B$33,0)</f>
        <v>0</v>
      </c>
      <c r="AK72">
        <f t="shared" ref="AK72:AK80" si="56">IFERROR(AH44/$B$33,0)</f>
        <v>3.9922275216392869E-2</v>
      </c>
      <c r="AL72">
        <f t="shared" ref="AL72:AL80" si="57">IFERROR(AI44/$B$33,0)</f>
        <v>0</v>
      </c>
      <c r="AM72">
        <f t="shared" ref="AM72:AM80" si="58">IFERROR(AJ44/$B$33,0)</f>
        <v>0</v>
      </c>
      <c r="AN72">
        <f>IFERROR(#REF!/$B$33,0)</f>
        <v>0</v>
      </c>
      <c r="AO72">
        <f t="shared" ref="AO72:AO80" si="59">IFERROR(AK44/$B$33,0)</f>
        <v>0</v>
      </c>
      <c r="AP72">
        <f t="shared" ref="AP72:AP80" si="60">IFERROR(AL44/$B$33,0)</f>
        <v>8.0197844903727264E-2</v>
      </c>
      <c r="AQ72">
        <f t="shared" ref="AQ72:AQ80" si="61">IFERROR(AM44/$B$33,0)</f>
        <v>0</v>
      </c>
      <c r="AR72">
        <f t="shared" ref="AR72:AR80" si="62">IFERROR(AN44/$B$33,0)</f>
        <v>7.2778661013955137E-2</v>
      </c>
      <c r="AS72">
        <f t="shared" ref="AS72:AS80" si="63">IFERROR(AO44/$B$33,0)</f>
        <v>0</v>
      </c>
      <c r="AT72">
        <f t="shared" ref="AT72:AT80" si="64">IFERROR(AP44/$B$33,0)</f>
        <v>0</v>
      </c>
      <c r="AU72">
        <f t="shared" ref="AU72:AU80" si="65">IFERROR(AQ44/$B$33,0)</f>
        <v>0.19961137608196433</v>
      </c>
      <c r="AV72">
        <f t="shared" ref="AV72:AV80" si="66">IFERROR(AR44/$B$33,0)</f>
        <v>0</v>
      </c>
      <c r="AW72">
        <f t="shared" ref="AW72:AW80" si="67">IFERROR(AS44/$B$33,0)</f>
        <v>0.16463522345875287</v>
      </c>
      <c r="AX72">
        <f>IFERROR(AX36/$B$33,0)</f>
        <v>0</v>
      </c>
      <c r="AY72">
        <f>IFERROR(AY36/$B$33,0)</f>
        <v>0</v>
      </c>
    </row>
    <row r="73" spans="1:51" x14ac:dyDescent="0.25">
      <c r="A73" s="51" t="s">
        <v>189</v>
      </c>
      <c r="B73">
        <f t="shared" ref="B73:P73" si="68">IFERROR(B45/$B$33,0)</f>
        <v>0.15015015015015015</v>
      </c>
      <c r="C73">
        <f t="shared" si="68"/>
        <v>0</v>
      </c>
      <c r="D73">
        <f t="shared" si="68"/>
        <v>0</v>
      </c>
      <c r="E73">
        <f t="shared" si="68"/>
        <v>0</v>
      </c>
      <c r="F73">
        <f t="shared" si="68"/>
        <v>0.84366719660837297</v>
      </c>
      <c r="G73">
        <f t="shared" si="68"/>
        <v>0</v>
      </c>
      <c r="H73">
        <f t="shared" si="68"/>
        <v>5.4760642995937116E-2</v>
      </c>
      <c r="I73">
        <f t="shared" si="68"/>
        <v>0</v>
      </c>
      <c r="J73">
        <f t="shared" si="68"/>
        <v>1.9360537007595828</v>
      </c>
      <c r="K73">
        <f t="shared" si="68"/>
        <v>0</v>
      </c>
      <c r="L73">
        <f t="shared" si="68"/>
        <v>1.0061826532414768</v>
      </c>
      <c r="M73">
        <f t="shared" si="68"/>
        <v>0.14202437731849496</v>
      </c>
      <c r="N73">
        <f t="shared" si="68"/>
        <v>0</v>
      </c>
      <c r="O73">
        <f t="shared" si="68"/>
        <v>0</v>
      </c>
      <c r="P73">
        <f t="shared" si="68"/>
        <v>0.15509627274333157</v>
      </c>
      <c r="Q73">
        <f>IFERROR(#REF!/$B$33,0)</f>
        <v>0</v>
      </c>
      <c r="R73">
        <f t="shared" ref="R73:AA73" si="69">IFERROR(Q45/$B$33,0)</f>
        <v>0</v>
      </c>
      <c r="S73">
        <f t="shared" si="69"/>
        <v>0</v>
      </c>
      <c r="T73">
        <f t="shared" si="69"/>
        <v>0</v>
      </c>
      <c r="U73">
        <f t="shared" si="69"/>
        <v>9.36230347995054E-2</v>
      </c>
      <c r="V73">
        <f t="shared" si="69"/>
        <v>3.0383324500971566E-2</v>
      </c>
      <c r="W73">
        <f t="shared" si="69"/>
        <v>0</v>
      </c>
      <c r="X73">
        <f t="shared" si="69"/>
        <v>1354.2186892775128</v>
      </c>
      <c r="Y73">
        <f t="shared" si="69"/>
        <v>0</v>
      </c>
      <c r="Z73">
        <f t="shared" si="69"/>
        <v>0</v>
      </c>
      <c r="AA73">
        <f t="shared" si="69"/>
        <v>0</v>
      </c>
      <c r="AB73">
        <f>IFERROR(#REF!/$B$33,0)</f>
        <v>0</v>
      </c>
      <c r="AC73">
        <f t="shared" si="49"/>
        <v>0</v>
      </c>
      <c r="AD73">
        <f t="shared" si="50"/>
        <v>0.57163045398339518</v>
      </c>
      <c r="AE73">
        <f t="shared" si="51"/>
        <v>0</v>
      </c>
      <c r="AF73">
        <f>IFERROR(#REF!/$B$33,0)</f>
        <v>0</v>
      </c>
      <c r="AG73">
        <f t="shared" si="52"/>
        <v>0</v>
      </c>
      <c r="AH73">
        <f t="shared" si="53"/>
        <v>0.15332980038862393</v>
      </c>
      <c r="AI73">
        <f t="shared" si="54"/>
        <v>0</v>
      </c>
      <c r="AJ73">
        <f t="shared" si="55"/>
        <v>8.8323617735382443E-2</v>
      </c>
      <c r="AK73">
        <f t="shared" si="56"/>
        <v>6.0766649001943132E-2</v>
      </c>
      <c r="AL73">
        <f t="shared" si="57"/>
        <v>0</v>
      </c>
      <c r="AM73">
        <f t="shared" si="58"/>
        <v>0.48577989754460343</v>
      </c>
      <c r="AN73">
        <f>IFERROR(#REF!/$B$33,0)</f>
        <v>0</v>
      </c>
      <c r="AO73">
        <f t="shared" si="59"/>
        <v>0</v>
      </c>
      <c r="AP73">
        <f t="shared" si="60"/>
        <v>7.2425366543013597E-2</v>
      </c>
      <c r="AQ73">
        <f t="shared" si="61"/>
        <v>0</v>
      </c>
      <c r="AR73">
        <f t="shared" si="62"/>
        <v>0.12223988694576929</v>
      </c>
      <c r="AS73">
        <f t="shared" si="63"/>
        <v>0</v>
      </c>
      <c r="AT73">
        <f t="shared" si="64"/>
        <v>0</v>
      </c>
      <c r="AU73">
        <f t="shared" si="65"/>
        <v>0.64688217629394085</v>
      </c>
      <c r="AV73">
        <f t="shared" si="66"/>
        <v>0</v>
      </c>
      <c r="AW73">
        <f t="shared" si="67"/>
        <v>0.34728846493552373</v>
      </c>
      <c r="AX73">
        <f>IFERROR(AT34/$B$33,0)</f>
        <v>0</v>
      </c>
      <c r="AY73">
        <f>IFERROR(AU34/$B$33,0)</f>
        <v>0</v>
      </c>
    </row>
    <row r="74" spans="1:51" x14ac:dyDescent="0.25">
      <c r="A74" s="51" t="s">
        <v>190</v>
      </c>
      <c r="B74">
        <f t="shared" ref="B74:P74" si="70">IFERROR(B46/$B$33,0)</f>
        <v>0</v>
      </c>
      <c r="C74">
        <f t="shared" si="70"/>
        <v>1.3425189895778131E-2</v>
      </c>
      <c r="D74">
        <f t="shared" si="70"/>
        <v>0</v>
      </c>
      <c r="E74">
        <f t="shared" si="70"/>
        <v>0</v>
      </c>
      <c r="F74">
        <f t="shared" si="70"/>
        <v>0</v>
      </c>
      <c r="G74">
        <f t="shared" si="70"/>
        <v>0</v>
      </c>
      <c r="H74">
        <f t="shared" si="70"/>
        <v>5.405405405405405E-2</v>
      </c>
      <c r="I74">
        <f t="shared" si="70"/>
        <v>0</v>
      </c>
      <c r="J74">
        <f t="shared" si="70"/>
        <v>1.6477654124712948</v>
      </c>
      <c r="K74">
        <f t="shared" si="70"/>
        <v>0</v>
      </c>
      <c r="L74">
        <f t="shared" si="70"/>
        <v>0.86345168698109875</v>
      </c>
      <c r="M74">
        <f t="shared" si="70"/>
        <v>0.13743154919625508</v>
      </c>
      <c r="N74">
        <f t="shared" si="70"/>
        <v>4.3455219925808163E-2</v>
      </c>
      <c r="O74">
        <f t="shared" si="70"/>
        <v>0</v>
      </c>
      <c r="P74">
        <f t="shared" si="70"/>
        <v>0.11411411411411411</v>
      </c>
      <c r="Q74">
        <f>IFERROR(#REF!/$B$33,0)</f>
        <v>0</v>
      </c>
      <c r="R74">
        <f t="shared" ref="R74:AA74" si="71">IFERROR(Q46/$B$33,0)</f>
        <v>0</v>
      </c>
      <c r="S74">
        <f t="shared" si="71"/>
        <v>0</v>
      </c>
      <c r="T74">
        <f t="shared" si="71"/>
        <v>0</v>
      </c>
      <c r="U74">
        <f t="shared" si="71"/>
        <v>7.7371489136195029E-2</v>
      </c>
      <c r="V74">
        <f t="shared" si="71"/>
        <v>7.8784667019961147E-2</v>
      </c>
      <c r="W74">
        <f t="shared" si="71"/>
        <v>0</v>
      </c>
      <c r="X74">
        <f t="shared" si="71"/>
        <v>1087.9039039039037</v>
      </c>
      <c r="Y74">
        <f t="shared" si="71"/>
        <v>7.6311605723370438E-2</v>
      </c>
      <c r="Z74">
        <f t="shared" si="71"/>
        <v>0</v>
      </c>
      <c r="AA74">
        <f t="shared" si="71"/>
        <v>0</v>
      </c>
      <c r="AB74">
        <f>IFERROR(#REF!/$B$33,0)</f>
        <v>0</v>
      </c>
      <c r="AC74">
        <f t="shared" si="49"/>
        <v>0</v>
      </c>
      <c r="AD74">
        <f t="shared" si="50"/>
        <v>0.51475004416180881</v>
      </c>
      <c r="AE74">
        <f t="shared" si="51"/>
        <v>0</v>
      </c>
      <c r="AF74">
        <f>IFERROR(#REF!/$B$33,0)</f>
        <v>0</v>
      </c>
      <c r="AG74">
        <f t="shared" si="52"/>
        <v>0</v>
      </c>
      <c r="AH74">
        <f t="shared" si="53"/>
        <v>0.1282458929517753</v>
      </c>
      <c r="AI74">
        <f t="shared" si="54"/>
        <v>0</v>
      </c>
      <c r="AJ74">
        <f t="shared" si="55"/>
        <v>9.1149973502914677E-2</v>
      </c>
      <c r="AK74">
        <f t="shared" si="56"/>
        <v>7.6311605723370438E-2</v>
      </c>
      <c r="AL74">
        <f t="shared" si="57"/>
        <v>0</v>
      </c>
      <c r="AM74">
        <f t="shared" si="58"/>
        <v>0.48895954778307715</v>
      </c>
      <c r="AN74">
        <f>IFERROR(#REF!/$B$33,0)</f>
        <v>0</v>
      </c>
      <c r="AO74">
        <f t="shared" si="59"/>
        <v>0</v>
      </c>
      <c r="AP74">
        <f t="shared" si="60"/>
        <v>0.11588058646882175</v>
      </c>
      <c r="AQ74">
        <f t="shared" si="61"/>
        <v>0</v>
      </c>
      <c r="AR74">
        <f t="shared" si="62"/>
        <v>0.13107224871930756</v>
      </c>
      <c r="AS74">
        <f t="shared" si="63"/>
        <v>0</v>
      </c>
      <c r="AT74">
        <f t="shared" si="64"/>
        <v>0</v>
      </c>
      <c r="AU74">
        <f t="shared" si="65"/>
        <v>0.35117470411588059</v>
      </c>
      <c r="AV74">
        <f t="shared" si="66"/>
        <v>0</v>
      </c>
      <c r="AW74">
        <f t="shared" si="67"/>
        <v>0.284755343578873</v>
      </c>
      <c r="AX74" s="61">
        <f>IFERROR(AT35/$B$33,0)</f>
        <v>0.15015015015015015</v>
      </c>
      <c r="AY74" s="61">
        <f>IFERROR(AU35/$B$33,0)</f>
        <v>0</v>
      </c>
    </row>
    <row r="75" spans="1:51" x14ac:dyDescent="0.25">
      <c r="A75" s="51" t="s">
        <v>192</v>
      </c>
      <c r="B75">
        <f t="shared" ref="B75:P75" si="72">IFERROR(B47/$B$33,0)</f>
        <v>0</v>
      </c>
      <c r="C75">
        <f t="shared" si="72"/>
        <v>2.1550962727433315E-2</v>
      </c>
      <c r="D75">
        <f t="shared" si="72"/>
        <v>0</v>
      </c>
      <c r="E75">
        <f t="shared" si="72"/>
        <v>0</v>
      </c>
      <c r="F75">
        <f t="shared" si="72"/>
        <v>0</v>
      </c>
      <c r="G75">
        <f t="shared" si="72"/>
        <v>0</v>
      </c>
      <c r="H75">
        <f t="shared" si="72"/>
        <v>6.3946299240416893E-2</v>
      </c>
      <c r="I75">
        <f t="shared" si="72"/>
        <v>0</v>
      </c>
      <c r="J75">
        <f t="shared" si="72"/>
        <v>2.0526408761702881</v>
      </c>
      <c r="K75">
        <f t="shared" si="72"/>
        <v>0</v>
      </c>
      <c r="L75">
        <f t="shared" si="72"/>
        <v>0.90832008479067305</v>
      </c>
      <c r="M75">
        <f t="shared" si="72"/>
        <v>0.15968910086557145</v>
      </c>
      <c r="N75">
        <f t="shared" si="72"/>
        <v>0</v>
      </c>
      <c r="O75">
        <f t="shared" si="72"/>
        <v>0</v>
      </c>
      <c r="P75">
        <f t="shared" si="72"/>
        <v>5.7586998763469344E-2</v>
      </c>
      <c r="Q75">
        <f>IFERROR(#REF!/$B$33,0)</f>
        <v>0</v>
      </c>
      <c r="R75">
        <f t="shared" ref="R75:AA75" si="73">IFERROR(Q47/$B$33,0)</f>
        <v>0.15050344462109166</v>
      </c>
      <c r="S75">
        <f t="shared" si="73"/>
        <v>0</v>
      </c>
      <c r="T75">
        <f t="shared" si="73"/>
        <v>0</v>
      </c>
      <c r="U75">
        <f t="shared" si="73"/>
        <v>5.9353471118176987E-2</v>
      </c>
      <c r="V75">
        <f t="shared" si="73"/>
        <v>6.1473237943826177E-2</v>
      </c>
      <c r="W75">
        <f t="shared" si="73"/>
        <v>8.7617028793499377E-2</v>
      </c>
      <c r="X75">
        <f t="shared" si="73"/>
        <v>1165.2474827768947</v>
      </c>
      <c r="Y75">
        <f t="shared" si="73"/>
        <v>0.15403638933050698</v>
      </c>
      <c r="Z75">
        <f t="shared" si="73"/>
        <v>0</v>
      </c>
      <c r="AA75">
        <f t="shared" si="73"/>
        <v>3.2856385797562268E-2</v>
      </c>
      <c r="AB75">
        <f>IFERROR(#REF!/$B$33,0)</f>
        <v>0</v>
      </c>
      <c r="AC75">
        <f t="shared" si="49"/>
        <v>0</v>
      </c>
      <c r="AD75">
        <f t="shared" si="50"/>
        <v>0.5772831655184596</v>
      </c>
      <c r="AE75">
        <f t="shared" si="51"/>
        <v>0</v>
      </c>
      <c r="AF75">
        <f>IFERROR(#REF!/$B$33,0)</f>
        <v>0</v>
      </c>
      <c r="AG75">
        <f t="shared" si="52"/>
        <v>0.16145557322027912</v>
      </c>
      <c r="AH75">
        <f t="shared" si="53"/>
        <v>0.22116233880939762</v>
      </c>
      <c r="AI75">
        <f t="shared" si="54"/>
        <v>0</v>
      </c>
      <c r="AJ75">
        <f t="shared" si="55"/>
        <v>0.12223988694576929</v>
      </c>
      <c r="AK75">
        <f t="shared" si="56"/>
        <v>9.5742801625154569E-2</v>
      </c>
      <c r="AL75">
        <f t="shared" si="57"/>
        <v>0</v>
      </c>
      <c r="AM75">
        <f t="shared" si="58"/>
        <v>0.4617558735205794</v>
      </c>
      <c r="AN75">
        <f>IFERROR(#REF!/$B$33,0)</f>
        <v>0</v>
      </c>
      <c r="AO75">
        <f t="shared" si="59"/>
        <v>0</v>
      </c>
      <c r="AP75">
        <f t="shared" si="60"/>
        <v>5.052110934463875E-2</v>
      </c>
      <c r="AQ75">
        <f t="shared" si="61"/>
        <v>0</v>
      </c>
      <c r="AR75">
        <f t="shared" si="62"/>
        <v>0.1589825119236884</v>
      </c>
      <c r="AS75">
        <f t="shared" si="63"/>
        <v>0</v>
      </c>
      <c r="AT75">
        <f t="shared" si="64"/>
        <v>0</v>
      </c>
      <c r="AU75">
        <f t="shared" si="65"/>
        <v>0.48754636989931105</v>
      </c>
      <c r="AV75">
        <f t="shared" si="66"/>
        <v>0</v>
      </c>
      <c r="AW75">
        <f t="shared" si="67"/>
        <v>0.46988164635223456</v>
      </c>
      <c r="AX75">
        <f t="shared" ref="AX75:AX83" si="74">IFERROR(AT44/$B$33,0)</f>
        <v>0</v>
      </c>
      <c r="AY75">
        <f t="shared" ref="AY75:AY83" si="75">IFERROR(AU44/$B$33,0)</f>
        <v>0</v>
      </c>
    </row>
    <row r="76" spans="1:51" x14ac:dyDescent="0.25">
      <c r="A76" s="51" t="s">
        <v>193</v>
      </c>
      <c r="B76">
        <f t="shared" ref="B76:P76" si="76">IFERROR(B48/$B$33,0)</f>
        <v>0</v>
      </c>
      <c r="C76">
        <f t="shared" si="76"/>
        <v>1.6958134605193426E-2</v>
      </c>
      <c r="D76">
        <f t="shared" si="76"/>
        <v>0</v>
      </c>
      <c r="E76">
        <f t="shared" si="76"/>
        <v>3.6742624977919094E-2</v>
      </c>
      <c r="F76">
        <f t="shared" si="76"/>
        <v>0</v>
      </c>
      <c r="G76">
        <f t="shared" si="76"/>
        <v>0</v>
      </c>
      <c r="H76">
        <f t="shared" si="76"/>
        <v>0.16074898427839604</v>
      </c>
      <c r="I76">
        <f t="shared" si="76"/>
        <v>0</v>
      </c>
      <c r="J76">
        <f t="shared" si="76"/>
        <v>3.5544956721427305</v>
      </c>
      <c r="K76">
        <f t="shared" si="76"/>
        <v>0</v>
      </c>
      <c r="L76">
        <f t="shared" si="76"/>
        <v>1.4375552022610847</v>
      </c>
      <c r="M76">
        <f t="shared" si="76"/>
        <v>0.19183889772125065</v>
      </c>
      <c r="N76">
        <f t="shared" si="76"/>
        <v>0</v>
      </c>
      <c r="O76">
        <f t="shared" si="76"/>
        <v>0</v>
      </c>
      <c r="P76">
        <f t="shared" si="76"/>
        <v>0.18441971383147854</v>
      </c>
      <c r="Q76">
        <f>IFERROR(#REF!/$B$33,0)</f>
        <v>0</v>
      </c>
      <c r="R76">
        <f t="shared" ref="R76:AA76" si="77">IFERROR(Q48/$B$33,0)</f>
        <v>0.42783960431019252</v>
      </c>
      <c r="S76">
        <f t="shared" si="77"/>
        <v>0</v>
      </c>
      <c r="T76">
        <f t="shared" si="77"/>
        <v>0</v>
      </c>
      <c r="U76">
        <f t="shared" si="77"/>
        <v>0.14096449390567034</v>
      </c>
      <c r="V76">
        <f t="shared" si="77"/>
        <v>0.19219219219219219</v>
      </c>
      <c r="W76">
        <f t="shared" si="77"/>
        <v>0.1897191308956015</v>
      </c>
      <c r="X76">
        <f t="shared" si="77"/>
        <v>1554.1045751633987</v>
      </c>
      <c r="Y76">
        <f t="shared" si="77"/>
        <v>0.36212683271506796</v>
      </c>
      <c r="Z76">
        <f t="shared" si="77"/>
        <v>0.99770358593887998</v>
      </c>
      <c r="AA76">
        <f t="shared" si="77"/>
        <v>0.11800035329447094</v>
      </c>
      <c r="AB76">
        <f>IFERROR(#REF!/$B$33,0)</f>
        <v>0</v>
      </c>
      <c r="AC76">
        <f t="shared" si="49"/>
        <v>0</v>
      </c>
      <c r="AD76">
        <f t="shared" si="50"/>
        <v>1.1248895954778309</v>
      </c>
      <c r="AE76">
        <f t="shared" si="51"/>
        <v>3.1796502384737677E-2</v>
      </c>
      <c r="AF76">
        <f>IFERROR(#REF!/$B$33,0)</f>
        <v>0</v>
      </c>
      <c r="AG76">
        <f t="shared" si="52"/>
        <v>0.21974916092563149</v>
      </c>
      <c r="AH76">
        <f t="shared" si="53"/>
        <v>0.41370782547253127</v>
      </c>
      <c r="AI76">
        <f t="shared" si="54"/>
        <v>0</v>
      </c>
      <c r="AJ76">
        <f t="shared" si="55"/>
        <v>0.3349231584525702</v>
      </c>
      <c r="AK76">
        <f t="shared" si="56"/>
        <v>0.31478537360890302</v>
      </c>
      <c r="AL76">
        <f t="shared" si="57"/>
        <v>0</v>
      </c>
      <c r="AM76">
        <f t="shared" si="58"/>
        <v>0.72284048754636998</v>
      </c>
      <c r="AN76">
        <f>IFERROR(#REF!/$B$33,0)</f>
        <v>0</v>
      </c>
      <c r="AO76">
        <f t="shared" si="59"/>
        <v>7.6664900194311963E-2</v>
      </c>
      <c r="AP76">
        <f t="shared" si="60"/>
        <v>9.892245186362833E-2</v>
      </c>
      <c r="AQ76">
        <f t="shared" si="61"/>
        <v>1.0598834128245893E-2</v>
      </c>
      <c r="AR76">
        <f t="shared" si="62"/>
        <v>9.892245186362833E-2</v>
      </c>
      <c r="AS76">
        <f t="shared" si="63"/>
        <v>0</v>
      </c>
      <c r="AT76">
        <f t="shared" si="64"/>
        <v>0.11093446387564035</v>
      </c>
      <c r="AU76">
        <f t="shared" si="65"/>
        <v>0.79102632043808518</v>
      </c>
      <c r="AV76">
        <f t="shared" si="66"/>
        <v>0</v>
      </c>
      <c r="AW76">
        <f t="shared" si="67"/>
        <v>1.4025790496378732</v>
      </c>
      <c r="AX76">
        <f t="shared" si="74"/>
        <v>0</v>
      </c>
      <c r="AY76">
        <f t="shared" si="75"/>
        <v>0</v>
      </c>
    </row>
    <row r="77" spans="1:51" x14ac:dyDescent="0.25">
      <c r="A77" s="51" t="s">
        <v>194</v>
      </c>
      <c r="B77">
        <f t="shared" ref="B77:P77" si="78">IFERROR(B49/$B$33,0)</f>
        <v>0</v>
      </c>
      <c r="C77">
        <f t="shared" si="78"/>
        <v>2.7556968733439321E-2</v>
      </c>
      <c r="D77">
        <f t="shared" si="78"/>
        <v>0</v>
      </c>
      <c r="E77">
        <f t="shared" si="78"/>
        <v>0</v>
      </c>
      <c r="F77">
        <f t="shared" si="78"/>
        <v>0</v>
      </c>
      <c r="G77">
        <f t="shared" si="78"/>
        <v>0</v>
      </c>
      <c r="H77">
        <f t="shared" si="78"/>
        <v>3.1796502384737677E-2</v>
      </c>
      <c r="I77">
        <f t="shared" si="78"/>
        <v>0.13036565977742448</v>
      </c>
      <c r="J77">
        <f t="shared" si="78"/>
        <v>1.209680268503798</v>
      </c>
      <c r="K77">
        <f t="shared" si="78"/>
        <v>0</v>
      </c>
      <c r="L77">
        <f t="shared" si="78"/>
        <v>0.61791202967673553</v>
      </c>
      <c r="M77">
        <f t="shared" si="78"/>
        <v>8.6203850909733259E-2</v>
      </c>
      <c r="N77">
        <f t="shared" si="78"/>
        <v>0</v>
      </c>
      <c r="O77">
        <f t="shared" si="78"/>
        <v>0</v>
      </c>
      <c r="P77">
        <f t="shared" si="78"/>
        <v>5.5467231937820174E-2</v>
      </c>
      <c r="Q77">
        <f>IFERROR(#REF!/$B$33,0)</f>
        <v>0</v>
      </c>
      <c r="R77">
        <f t="shared" ref="R77:AA77" si="79">IFERROR(Q49/$B$33,0)</f>
        <v>0</v>
      </c>
      <c r="S77">
        <f t="shared" si="79"/>
        <v>0</v>
      </c>
      <c r="T77">
        <f t="shared" si="79"/>
        <v>0</v>
      </c>
      <c r="U77">
        <f t="shared" si="79"/>
        <v>5.9706765589118548E-2</v>
      </c>
      <c r="V77">
        <f t="shared" si="79"/>
        <v>2.1904257198374848E-2</v>
      </c>
      <c r="W77">
        <f t="shared" si="79"/>
        <v>0</v>
      </c>
      <c r="X77">
        <f t="shared" si="79"/>
        <v>897.21215332980034</v>
      </c>
      <c r="Y77">
        <f t="shared" si="79"/>
        <v>9.892245186362833E-2</v>
      </c>
      <c r="Z77">
        <f t="shared" si="79"/>
        <v>0</v>
      </c>
      <c r="AA77">
        <f t="shared" si="79"/>
        <v>0</v>
      </c>
      <c r="AB77">
        <f>IFERROR(#REF!/$B$33,0)</f>
        <v>0</v>
      </c>
      <c r="AC77">
        <f t="shared" si="49"/>
        <v>0</v>
      </c>
      <c r="AD77">
        <f t="shared" si="50"/>
        <v>0.44903727256668435</v>
      </c>
      <c r="AE77">
        <f t="shared" si="51"/>
        <v>0</v>
      </c>
      <c r="AF77">
        <f>IFERROR(#REF!/$B$33,0)</f>
        <v>0</v>
      </c>
      <c r="AG77">
        <f t="shared" si="52"/>
        <v>0</v>
      </c>
      <c r="AH77">
        <f t="shared" si="53"/>
        <v>0.13248542660307366</v>
      </c>
      <c r="AI77">
        <f t="shared" si="54"/>
        <v>0</v>
      </c>
      <c r="AJ77">
        <f t="shared" si="55"/>
        <v>0.10351527998586822</v>
      </c>
      <c r="AK77">
        <f t="shared" si="56"/>
        <v>4.2395336512983578E-2</v>
      </c>
      <c r="AL77">
        <f t="shared" si="57"/>
        <v>0</v>
      </c>
      <c r="AM77">
        <f t="shared" si="58"/>
        <v>0</v>
      </c>
      <c r="AN77">
        <f>IFERROR(#REF!/$B$33,0)</f>
        <v>0</v>
      </c>
      <c r="AO77">
        <f t="shared" si="59"/>
        <v>0</v>
      </c>
      <c r="AP77">
        <f t="shared" si="60"/>
        <v>7.4898427839604306E-2</v>
      </c>
      <c r="AQ77">
        <f t="shared" si="61"/>
        <v>0</v>
      </c>
      <c r="AR77">
        <f t="shared" si="62"/>
        <v>8.3730789613142551E-2</v>
      </c>
      <c r="AS77">
        <f t="shared" si="63"/>
        <v>0</v>
      </c>
      <c r="AT77">
        <f t="shared" si="64"/>
        <v>0</v>
      </c>
      <c r="AU77">
        <f t="shared" si="65"/>
        <v>0.24306659600777247</v>
      </c>
      <c r="AV77">
        <f t="shared" si="66"/>
        <v>0.26567744214803035</v>
      </c>
      <c r="AW77">
        <f t="shared" si="67"/>
        <v>0.31513866807984453</v>
      </c>
      <c r="AX77">
        <f t="shared" si="74"/>
        <v>1.9784490372725668E-2</v>
      </c>
      <c r="AY77">
        <f t="shared" si="75"/>
        <v>0</v>
      </c>
    </row>
    <row r="78" spans="1:51" x14ac:dyDescent="0.25">
      <c r="A78" s="51" t="s">
        <v>240</v>
      </c>
      <c r="B78">
        <f t="shared" ref="B78:P78" si="80">IFERROR(B50/$B$33,0)</f>
        <v>0</v>
      </c>
      <c r="C78">
        <f t="shared" si="80"/>
        <v>1.7664723547076489E-2</v>
      </c>
      <c r="D78">
        <f t="shared" si="80"/>
        <v>0</v>
      </c>
      <c r="E78">
        <f t="shared" si="80"/>
        <v>0</v>
      </c>
      <c r="F78">
        <f t="shared" si="80"/>
        <v>0</v>
      </c>
      <c r="G78">
        <f t="shared" si="80"/>
        <v>0</v>
      </c>
      <c r="H78">
        <f t="shared" si="80"/>
        <v>4.4515103338632747E-2</v>
      </c>
      <c r="I78">
        <f t="shared" si="80"/>
        <v>0</v>
      </c>
      <c r="J78">
        <f t="shared" si="80"/>
        <v>1.5039745627980921</v>
      </c>
      <c r="K78">
        <f t="shared" si="80"/>
        <v>0</v>
      </c>
      <c r="L78">
        <f t="shared" si="80"/>
        <v>0.52004946122593187</v>
      </c>
      <c r="M78">
        <f t="shared" si="80"/>
        <v>8.4790673025967142E-2</v>
      </c>
      <c r="N78">
        <f t="shared" si="80"/>
        <v>0</v>
      </c>
      <c r="O78">
        <f t="shared" si="80"/>
        <v>0</v>
      </c>
      <c r="P78">
        <f t="shared" si="80"/>
        <v>4.4515103338632747E-2</v>
      </c>
      <c r="Q78">
        <f>IFERROR(#REF!/$B$33,0)</f>
        <v>0</v>
      </c>
      <c r="R78">
        <f t="shared" ref="R78:AA78" si="81">IFERROR(Q50/$B$33,0)</f>
        <v>0.17099452393570039</v>
      </c>
      <c r="S78">
        <f t="shared" si="81"/>
        <v>0</v>
      </c>
      <c r="T78">
        <f t="shared" si="81"/>
        <v>0.12294647588765235</v>
      </c>
      <c r="U78">
        <f t="shared" si="81"/>
        <v>5.7586998763469344E-2</v>
      </c>
      <c r="V78">
        <f t="shared" si="81"/>
        <v>7.0305599717364428E-2</v>
      </c>
      <c r="W78">
        <f t="shared" si="81"/>
        <v>6.6066066066066062E-2</v>
      </c>
      <c r="X78">
        <f t="shared" si="81"/>
        <v>689.85868221162343</v>
      </c>
      <c r="Y78">
        <f t="shared" si="81"/>
        <v>8.1964317258434907E-2</v>
      </c>
      <c r="Z78">
        <f t="shared" si="81"/>
        <v>0</v>
      </c>
      <c r="AA78">
        <f t="shared" si="81"/>
        <v>0</v>
      </c>
      <c r="AB78">
        <f>IFERROR(#REF!/$B$33,0)</f>
        <v>0</v>
      </c>
      <c r="AC78">
        <f t="shared" si="49"/>
        <v>0</v>
      </c>
      <c r="AD78">
        <f t="shared" si="50"/>
        <v>0.42289348171701113</v>
      </c>
      <c r="AE78">
        <f t="shared" si="51"/>
        <v>0</v>
      </c>
      <c r="AF78">
        <f>IFERROR(#REF!/$B$33,0)</f>
        <v>0</v>
      </c>
      <c r="AG78">
        <f t="shared" si="52"/>
        <v>0</v>
      </c>
      <c r="AH78">
        <f t="shared" si="53"/>
        <v>0.1391980215509627</v>
      </c>
      <c r="AI78">
        <f t="shared" si="54"/>
        <v>0</v>
      </c>
      <c r="AJ78">
        <f t="shared" si="55"/>
        <v>0.12294647588765235</v>
      </c>
      <c r="AK78">
        <f t="shared" si="56"/>
        <v>0.16463522345875287</v>
      </c>
      <c r="AL78">
        <f t="shared" si="57"/>
        <v>0</v>
      </c>
      <c r="AM78">
        <f t="shared" si="58"/>
        <v>0.47341459106164985</v>
      </c>
      <c r="AN78">
        <f>IFERROR(#REF!/$B$33,0)</f>
        <v>0</v>
      </c>
      <c r="AO78">
        <f t="shared" si="59"/>
        <v>0</v>
      </c>
      <c r="AP78">
        <f t="shared" si="60"/>
        <v>4.5221692280515813E-2</v>
      </c>
      <c r="AQ78">
        <f t="shared" si="61"/>
        <v>0</v>
      </c>
      <c r="AR78">
        <f t="shared" si="62"/>
        <v>7.101218865924748E-2</v>
      </c>
      <c r="AS78">
        <f t="shared" si="63"/>
        <v>0</v>
      </c>
      <c r="AT78">
        <f t="shared" si="64"/>
        <v>0</v>
      </c>
      <c r="AU78">
        <f t="shared" si="65"/>
        <v>0</v>
      </c>
      <c r="AV78">
        <f t="shared" si="66"/>
        <v>0</v>
      </c>
      <c r="AW78">
        <f t="shared" si="67"/>
        <v>0.62391803568274151</v>
      </c>
      <c r="AX78">
        <f t="shared" si="74"/>
        <v>0.14873697226638402</v>
      </c>
      <c r="AY78">
        <f t="shared" si="75"/>
        <v>0</v>
      </c>
    </row>
    <row r="79" spans="1:51" x14ac:dyDescent="0.25">
      <c r="A79" s="51" t="s">
        <v>248</v>
      </c>
      <c r="B79">
        <f t="shared" ref="B79:P79" si="82">IFERROR(B51/$B$33,0)</f>
        <v>0</v>
      </c>
      <c r="C79">
        <f t="shared" si="82"/>
        <v>0</v>
      </c>
      <c r="D79">
        <f t="shared" si="82"/>
        <v>0</v>
      </c>
      <c r="E79">
        <f t="shared" si="82"/>
        <v>6.5626266999264701E-2</v>
      </c>
      <c r="F79">
        <f t="shared" si="82"/>
        <v>0</v>
      </c>
      <c r="G79">
        <f t="shared" si="82"/>
        <v>0</v>
      </c>
      <c r="H79">
        <f t="shared" si="82"/>
        <v>2.6868974237395291E-2</v>
      </c>
      <c r="I79">
        <f t="shared" si="82"/>
        <v>0</v>
      </c>
      <c r="J79">
        <f t="shared" si="82"/>
        <v>3.3829574888783458E-2</v>
      </c>
      <c r="K79">
        <f t="shared" si="82"/>
        <v>2.6500681970191031E-3</v>
      </c>
      <c r="L79">
        <f t="shared" si="82"/>
        <v>3.9721580264796656E-2</v>
      </c>
      <c r="M79">
        <f t="shared" si="82"/>
        <v>2.1495026336859773E-2</v>
      </c>
      <c r="N79">
        <f t="shared" si="82"/>
        <v>0</v>
      </c>
      <c r="O79">
        <f t="shared" si="82"/>
        <v>0</v>
      </c>
      <c r="P79">
        <f t="shared" si="82"/>
        <v>0.15015015015015015</v>
      </c>
      <c r="Q79">
        <f>IFERROR(#REF!/$B$33,0)</f>
        <v>0</v>
      </c>
      <c r="R79">
        <f t="shared" ref="R79:AA79" si="83">IFERROR(Q51/$B$33,0)</f>
        <v>0</v>
      </c>
      <c r="S79">
        <f t="shared" si="83"/>
        <v>0</v>
      </c>
      <c r="T79">
        <f t="shared" si="83"/>
        <v>0</v>
      </c>
      <c r="U79">
        <f t="shared" si="83"/>
        <v>6.8691612129689758E-2</v>
      </c>
      <c r="V79">
        <f t="shared" si="83"/>
        <v>7.025301003676823E-5</v>
      </c>
      <c r="W79">
        <f t="shared" si="83"/>
        <v>0</v>
      </c>
      <c r="X79">
        <f t="shared" si="83"/>
        <v>0.15015015015015015</v>
      </c>
      <c r="Y79">
        <f t="shared" si="83"/>
        <v>0.15015015015015015</v>
      </c>
      <c r="Z79">
        <f t="shared" si="83"/>
        <v>0.15015015015015015</v>
      </c>
      <c r="AA79">
        <f t="shared" si="83"/>
        <v>0</v>
      </c>
      <c r="AB79">
        <f>IFERROR(#REF!/$B$33,0)</f>
        <v>0</v>
      </c>
      <c r="AC79">
        <f t="shared" si="49"/>
        <v>0</v>
      </c>
      <c r="AD79">
        <f t="shared" si="50"/>
        <v>3.8764797639667475E-3</v>
      </c>
      <c r="AE79">
        <f t="shared" si="51"/>
        <v>0</v>
      </c>
      <c r="AF79">
        <f>IFERROR(#REF!/$B$33,0)</f>
        <v>0</v>
      </c>
      <c r="AG79">
        <f t="shared" si="52"/>
        <v>5.2690961781870868E-2</v>
      </c>
      <c r="AH79">
        <f t="shared" si="53"/>
        <v>5.6407213665278177E-2</v>
      </c>
      <c r="AI79">
        <f t="shared" si="54"/>
        <v>0</v>
      </c>
      <c r="AJ79">
        <f t="shared" si="55"/>
        <v>4.5975098680650335E-4</v>
      </c>
      <c r="AK79">
        <f t="shared" si="56"/>
        <v>3.4673077067092037E-2</v>
      </c>
      <c r="AL79">
        <f t="shared" si="57"/>
        <v>0</v>
      </c>
      <c r="AM79">
        <f t="shared" si="58"/>
        <v>0</v>
      </c>
      <c r="AN79">
        <f>IFERROR(#REF!/$B$33,0)</f>
        <v>0</v>
      </c>
      <c r="AO79">
        <f t="shared" si="59"/>
        <v>0</v>
      </c>
      <c r="AP79">
        <f t="shared" si="60"/>
        <v>6.9052266854464656E-4</v>
      </c>
      <c r="AQ79">
        <f t="shared" si="61"/>
        <v>0</v>
      </c>
      <c r="AR79">
        <f t="shared" si="62"/>
        <v>7.1074209005243472E-2</v>
      </c>
      <c r="AS79">
        <f t="shared" si="63"/>
        <v>0</v>
      </c>
      <c r="AT79">
        <f t="shared" si="64"/>
        <v>0.15015015015015015</v>
      </c>
      <c r="AU79">
        <f t="shared" si="65"/>
        <v>0</v>
      </c>
      <c r="AV79">
        <f t="shared" si="66"/>
        <v>0</v>
      </c>
      <c r="AW79">
        <f t="shared" si="67"/>
        <v>5.2583462610103451E-2</v>
      </c>
      <c r="AX79">
        <f t="shared" si="74"/>
        <v>0.10174880763116056</v>
      </c>
      <c r="AY79">
        <f t="shared" si="75"/>
        <v>0</v>
      </c>
    </row>
    <row r="80" spans="1:51" ht="14.4" thickBot="1" x14ac:dyDescent="0.3">
      <c r="A80" s="53" t="s">
        <v>195</v>
      </c>
      <c r="B80" s="26">
        <f t="shared" ref="B80:P80" si="84">IFERROR(B52/$B$33,0)</f>
        <v>0</v>
      </c>
      <c r="C80" s="26">
        <f t="shared" si="84"/>
        <v>0</v>
      </c>
      <c r="D80" s="26">
        <f t="shared" si="84"/>
        <v>0</v>
      </c>
      <c r="E80" s="26">
        <f t="shared" si="84"/>
        <v>0.12438067357975824</v>
      </c>
      <c r="F80" s="26">
        <f t="shared" si="84"/>
        <v>0.15015015015015015</v>
      </c>
      <c r="G80" s="26">
        <f t="shared" si="84"/>
        <v>0.15015015015015015</v>
      </c>
      <c r="H80" s="26">
        <f t="shared" si="84"/>
        <v>0.15015015015015015</v>
      </c>
      <c r="I80" s="26">
        <f t="shared" si="84"/>
        <v>0</v>
      </c>
      <c r="J80" s="26">
        <f t="shared" si="84"/>
        <v>0.15015015015015015</v>
      </c>
      <c r="K80" s="26">
        <f t="shared" si="84"/>
        <v>0.15015015015015015</v>
      </c>
      <c r="L80" s="26">
        <f t="shared" si="84"/>
        <v>0.15015015015015015</v>
      </c>
      <c r="M80" s="26">
        <f t="shared" si="84"/>
        <v>0.15015015015015015</v>
      </c>
      <c r="N80" s="26">
        <f t="shared" si="84"/>
        <v>0</v>
      </c>
      <c r="O80" s="26">
        <f t="shared" si="84"/>
        <v>0.15015015015015015</v>
      </c>
      <c r="P80" s="26">
        <f t="shared" si="84"/>
        <v>8.6197308419530633E-2</v>
      </c>
      <c r="Q80" s="26">
        <f>IFERROR(#REF!/$B$33,0)</f>
        <v>0</v>
      </c>
      <c r="R80" s="26">
        <f t="shared" ref="R80:AA80" si="85">IFERROR(Q52/$B$33,0)</f>
        <v>0.15015015015015015</v>
      </c>
      <c r="S80" s="26">
        <f t="shared" si="85"/>
        <v>0</v>
      </c>
      <c r="T80" s="26">
        <f t="shared" si="85"/>
        <v>0</v>
      </c>
      <c r="U80" s="26">
        <f t="shared" si="85"/>
        <v>0.15015015015015015</v>
      </c>
      <c r="V80" s="26">
        <f t="shared" si="85"/>
        <v>0.15015015015015015</v>
      </c>
      <c r="W80" s="26">
        <f t="shared" si="85"/>
        <v>0</v>
      </c>
      <c r="X80" s="26">
        <f t="shared" si="85"/>
        <v>6.5937973546669193E-2</v>
      </c>
      <c r="Y80" s="26">
        <f t="shared" si="85"/>
        <v>8.4528069905811562E-2</v>
      </c>
      <c r="Z80">
        <f t="shared" si="85"/>
        <v>0</v>
      </c>
      <c r="AA80">
        <f t="shared" si="85"/>
        <v>0</v>
      </c>
      <c r="AB80" s="26">
        <f>IFERROR(#REF!/$B$33,0)</f>
        <v>0</v>
      </c>
      <c r="AC80" s="26">
        <f t="shared" si="49"/>
        <v>0</v>
      </c>
      <c r="AD80" s="26">
        <f t="shared" si="50"/>
        <v>0.15015015015015015</v>
      </c>
      <c r="AE80" s="26">
        <f t="shared" si="51"/>
        <v>0</v>
      </c>
      <c r="AF80" s="26">
        <f>IFERROR(#REF!/$B$33,0)</f>
        <v>0</v>
      </c>
      <c r="AG80" s="26">
        <f t="shared" si="52"/>
        <v>0.15015015015015015</v>
      </c>
      <c r="AH80" s="26">
        <f t="shared" si="53"/>
        <v>0.15015015015015015</v>
      </c>
      <c r="AI80" s="26">
        <f t="shared" si="54"/>
        <v>0</v>
      </c>
      <c r="AJ80" s="26">
        <f t="shared" si="55"/>
        <v>0.15015015015015015</v>
      </c>
      <c r="AK80" s="26">
        <f t="shared" si="56"/>
        <v>0.15015015015015015</v>
      </c>
      <c r="AL80" s="26">
        <f t="shared" si="57"/>
        <v>0</v>
      </c>
      <c r="AM80" s="26">
        <f t="shared" si="58"/>
        <v>0.15015015015015015</v>
      </c>
      <c r="AN80" s="26">
        <f>IFERROR(#REF!/$B$33,0)</f>
        <v>0</v>
      </c>
      <c r="AO80" s="26">
        <f t="shared" si="59"/>
        <v>0</v>
      </c>
      <c r="AP80" s="26">
        <f t="shared" si="60"/>
        <v>0.15015015015015015</v>
      </c>
      <c r="AQ80" s="26">
        <f t="shared" si="61"/>
        <v>0</v>
      </c>
      <c r="AR80" s="26">
        <f t="shared" si="62"/>
        <v>0.15015015015015015</v>
      </c>
      <c r="AS80" s="26">
        <f t="shared" si="63"/>
        <v>0</v>
      </c>
      <c r="AT80" s="26">
        <f t="shared" si="64"/>
        <v>0.12004844940405798</v>
      </c>
      <c r="AU80" s="26">
        <f t="shared" si="65"/>
        <v>0</v>
      </c>
      <c r="AV80" s="26">
        <f t="shared" si="66"/>
        <v>0</v>
      </c>
      <c r="AW80" s="26">
        <f t="shared" si="67"/>
        <v>0.15015015015015015</v>
      </c>
      <c r="AX80">
        <f t="shared" si="74"/>
        <v>3.5682741565094503E-2</v>
      </c>
      <c r="AY80">
        <f t="shared" si="75"/>
        <v>0</v>
      </c>
    </row>
    <row r="81" spans="1:51" x14ac:dyDescent="0.25">
      <c r="A81" s="51" t="s">
        <v>241</v>
      </c>
      <c r="B81">
        <f t="shared" ref="B81:P81" si="86">IFERROR(B36/$B$33,0)</f>
        <v>0</v>
      </c>
      <c r="C81">
        <f t="shared" si="86"/>
        <v>0</v>
      </c>
      <c r="D81">
        <f t="shared" si="86"/>
        <v>0</v>
      </c>
      <c r="E81">
        <f t="shared" si="86"/>
        <v>0</v>
      </c>
      <c r="F81">
        <f t="shared" si="86"/>
        <v>0</v>
      </c>
      <c r="G81">
        <f t="shared" si="86"/>
        <v>0</v>
      </c>
      <c r="H81">
        <f t="shared" si="86"/>
        <v>1.6565861636284169E-2</v>
      </c>
      <c r="I81">
        <f t="shared" si="86"/>
        <v>0</v>
      </c>
      <c r="J81">
        <f t="shared" si="86"/>
        <v>2.5815132050239276E-2</v>
      </c>
      <c r="K81">
        <f t="shared" si="86"/>
        <v>0.15015015015015015</v>
      </c>
      <c r="L81">
        <f t="shared" si="86"/>
        <v>2.5698863058935671E-2</v>
      </c>
      <c r="M81">
        <f t="shared" si="86"/>
        <v>2.1559869895501172E-2</v>
      </c>
      <c r="N81">
        <f t="shared" si="86"/>
        <v>0</v>
      </c>
      <c r="O81">
        <f t="shared" si="86"/>
        <v>0</v>
      </c>
      <c r="P81">
        <f t="shared" si="86"/>
        <v>7.1342060292336529E-2</v>
      </c>
      <c r="Q81">
        <f>IFERROR(#REF!/$B$33,0)</f>
        <v>0</v>
      </c>
      <c r="R81">
        <f t="shared" ref="R81:AA81" si="87">IFERROR(Q36/$B$33,0)</f>
        <v>0</v>
      </c>
      <c r="S81">
        <f t="shared" si="87"/>
        <v>0</v>
      </c>
      <c r="T81">
        <f t="shared" si="87"/>
        <v>0</v>
      </c>
      <c r="U81">
        <f t="shared" si="87"/>
        <v>2.3630187564613769E-2</v>
      </c>
      <c r="V81">
        <f t="shared" si="87"/>
        <v>3.9390589461111326E-2</v>
      </c>
      <c r="W81">
        <f t="shared" si="87"/>
        <v>0</v>
      </c>
      <c r="X81">
        <f t="shared" si="87"/>
        <v>8.9017463995973281E-2</v>
      </c>
      <c r="Y81">
        <f t="shared" si="87"/>
        <v>2.2688103401383556E-2</v>
      </c>
      <c r="Z81">
        <f t="shared" si="87"/>
        <v>0</v>
      </c>
      <c r="AA81">
        <f t="shared" si="87"/>
        <v>0</v>
      </c>
      <c r="AB81">
        <f>IFERROR(#REF!/$B$33,0)</f>
        <v>0</v>
      </c>
      <c r="AC81">
        <f>IFERROR(AA36/$B$33,0)</f>
        <v>0</v>
      </c>
      <c r="AD81">
        <f>IFERROR(AB36/$B$33,0)</f>
        <v>2.3670653828193215E-2</v>
      </c>
      <c r="AE81">
        <f>IFERROR(AC36/$B$33,0)</f>
        <v>0</v>
      </c>
      <c r="AF81">
        <f>IFERROR(#REF!/$B$33,0)</f>
        <v>0</v>
      </c>
      <c r="AG81">
        <f t="shared" ref="AG81:AM81" si="88">IFERROR(AD36/$B$33,0)</f>
        <v>3.3751479534612064E-2</v>
      </c>
      <c r="AH81">
        <f t="shared" si="88"/>
        <v>1.7743541269771668E-2</v>
      </c>
      <c r="AI81">
        <f t="shared" si="88"/>
        <v>0</v>
      </c>
      <c r="AJ81">
        <f t="shared" si="88"/>
        <v>7.8535293449845511E-3</v>
      </c>
      <c r="AK81">
        <f t="shared" si="88"/>
        <v>1.3974786543016074E-2</v>
      </c>
      <c r="AL81">
        <f t="shared" si="88"/>
        <v>0</v>
      </c>
      <c r="AM81">
        <f t="shared" si="88"/>
        <v>0</v>
      </c>
      <c r="AN81">
        <f>IFERROR(#REF!/$B$33,0)</f>
        <v>0</v>
      </c>
      <c r="AO81">
        <f t="shared" ref="AO81:AW81" si="89">IFERROR(AK36/$B$33,0)</f>
        <v>0</v>
      </c>
      <c r="AP81">
        <f t="shared" si="89"/>
        <v>8.1286960719584828E-2</v>
      </c>
      <c r="AQ81">
        <f t="shared" si="89"/>
        <v>0</v>
      </c>
      <c r="AR81">
        <f t="shared" si="89"/>
        <v>7.550903504660729E-2</v>
      </c>
      <c r="AS81">
        <f t="shared" si="89"/>
        <v>0</v>
      </c>
      <c r="AT81">
        <f t="shared" si="89"/>
        <v>2.9989775298086288E-2</v>
      </c>
      <c r="AU81">
        <f t="shared" si="89"/>
        <v>4.9445748772599933E-2</v>
      </c>
      <c r="AV81">
        <f t="shared" si="89"/>
        <v>0</v>
      </c>
      <c r="AW81">
        <f t="shared" si="89"/>
        <v>8.4516923895162233E-3</v>
      </c>
      <c r="AX81">
        <f t="shared" si="74"/>
        <v>3.9568980745451336E-2</v>
      </c>
      <c r="AY81">
        <f t="shared" si="75"/>
        <v>0</v>
      </c>
    </row>
    <row r="82" spans="1:51" x14ac:dyDescent="0.25">
      <c r="A82" s="51" t="s">
        <v>179</v>
      </c>
      <c r="B82">
        <f t="shared" ref="B82:P82" si="90">IFERROR(B39/$B$33,0)</f>
        <v>0</v>
      </c>
      <c r="C82">
        <f t="shared" si="90"/>
        <v>0</v>
      </c>
      <c r="D82">
        <f t="shared" si="90"/>
        <v>0</v>
      </c>
      <c r="E82">
        <f t="shared" si="90"/>
        <v>0.12751444912248933</v>
      </c>
      <c r="F82">
        <f t="shared" si="90"/>
        <v>0</v>
      </c>
      <c r="G82">
        <f t="shared" si="90"/>
        <v>0</v>
      </c>
      <c r="H82">
        <f t="shared" si="90"/>
        <v>8.0362052193038103E-2</v>
      </c>
      <c r="I82">
        <f t="shared" si="90"/>
        <v>0</v>
      </c>
      <c r="J82">
        <f t="shared" si="90"/>
        <v>0.15015015015015015</v>
      </c>
      <c r="K82">
        <f t="shared" si="90"/>
        <v>0</v>
      </c>
      <c r="L82">
        <f t="shared" si="90"/>
        <v>6.5902008677649421E-2</v>
      </c>
      <c r="M82">
        <f t="shared" si="90"/>
        <v>4.2291651509693655E-2</v>
      </c>
      <c r="N82">
        <f t="shared" si="90"/>
        <v>0</v>
      </c>
      <c r="O82">
        <f t="shared" si="90"/>
        <v>0.14529541088432546</v>
      </c>
      <c r="P82">
        <f t="shared" si="90"/>
        <v>0.15015015015015015</v>
      </c>
      <c r="Q82">
        <f>IFERROR(#REF!/$B$33,0)</f>
        <v>0</v>
      </c>
      <c r="R82">
        <f t="shared" ref="R82:AA82" si="91">IFERROR(Q39/$B$33,0)</f>
        <v>6.0753169561459708E-2</v>
      </c>
      <c r="S82">
        <f t="shared" si="91"/>
        <v>0.15015015015015015</v>
      </c>
      <c r="T82">
        <f t="shared" si="91"/>
        <v>0</v>
      </c>
      <c r="U82">
        <f t="shared" si="91"/>
        <v>0.15015015015015015</v>
      </c>
      <c r="V82">
        <f t="shared" si="91"/>
        <v>0.13257262904653597</v>
      </c>
      <c r="W82">
        <f t="shared" si="91"/>
        <v>0.15015015015015015</v>
      </c>
      <c r="X82">
        <f t="shared" si="91"/>
        <v>0.1146279101398178</v>
      </c>
      <c r="Y82">
        <f t="shared" si="91"/>
        <v>0.15015015015015015</v>
      </c>
      <c r="Z82">
        <f t="shared" si="91"/>
        <v>0</v>
      </c>
      <c r="AA82">
        <f t="shared" si="91"/>
        <v>0.15015015015015015</v>
      </c>
      <c r="AB82">
        <f>IFERROR(#REF!/$B$33,0)</f>
        <v>0</v>
      </c>
      <c r="AC82">
        <f t="shared" ref="AC82:AE83" si="92">IFERROR(AA39/$B$33,0)</f>
        <v>0</v>
      </c>
      <c r="AD82">
        <f t="shared" si="92"/>
        <v>8.7972443561340777E-2</v>
      </c>
      <c r="AE82">
        <f t="shared" si="92"/>
        <v>0</v>
      </c>
      <c r="AF82">
        <f>IFERROR(#REF!/$B$33,0)</f>
        <v>0</v>
      </c>
      <c r="AG82">
        <f t="shared" ref="AG82:AM83" si="93">IFERROR(AD39/$B$33,0)</f>
        <v>3.0908705607500787E-2</v>
      </c>
      <c r="AH82">
        <f t="shared" si="93"/>
        <v>0.15015015015015015</v>
      </c>
      <c r="AI82">
        <f t="shared" si="93"/>
        <v>0</v>
      </c>
      <c r="AJ82">
        <f t="shared" si="93"/>
        <v>0.1016293351870773</v>
      </c>
      <c r="AK82">
        <f t="shared" si="93"/>
        <v>0.14699794265924426</v>
      </c>
      <c r="AL82">
        <f t="shared" si="93"/>
        <v>0</v>
      </c>
      <c r="AM82">
        <f t="shared" si="93"/>
        <v>0.15015015015015015</v>
      </c>
      <c r="AN82">
        <f>IFERROR(#REF!/$B$33,0)</f>
        <v>0</v>
      </c>
      <c r="AO82">
        <f t="shared" ref="AO82:AW83" si="94">IFERROR(AK39/$B$33,0)</f>
        <v>0.15015015015015015</v>
      </c>
      <c r="AP82">
        <f t="shared" si="94"/>
        <v>8.5191574553276667E-2</v>
      </c>
      <c r="AQ82">
        <f t="shared" si="94"/>
        <v>0</v>
      </c>
      <c r="AR82">
        <f t="shared" si="94"/>
        <v>0.13018799145966775</v>
      </c>
      <c r="AS82">
        <f t="shared" si="94"/>
        <v>0</v>
      </c>
      <c r="AT82">
        <f t="shared" si="94"/>
        <v>0</v>
      </c>
      <c r="AU82">
        <f t="shared" si="94"/>
        <v>0.15015015015015015</v>
      </c>
      <c r="AV82">
        <f t="shared" si="94"/>
        <v>0</v>
      </c>
      <c r="AW82">
        <f t="shared" si="94"/>
        <v>0.15015015015015015</v>
      </c>
      <c r="AX82">
        <f t="shared" si="74"/>
        <v>0.15015015015015015</v>
      </c>
      <c r="AY82">
        <f t="shared" si="75"/>
        <v>0</v>
      </c>
    </row>
    <row r="83" spans="1:51" ht="14.4" thickBot="1" x14ac:dyDescent="0.3">
      <c r="A83" s="58" t="s">
        <v>329</v>
      </c>
      <c r="B83" s="61">
        <f t="shared" ref="B83:P83" si="95">IFERROR(B40/$B$33,0)</f>
        <v>0</v>
      </c>
      <c r="C83" s="61">
        <f t="shared" si="95"/>
        <v>0</v>
      </c>
      <c r="D83" s="61">
        <f t="shared" si="95"/>
        <v>0</v>
      </c>
      <c r="E83" s="61">
        <f t="shared" si="95"/>
        <v>0.15015015015015015</v>
      </c>
      <c r="F83" s="61">
        <f t="shared" si="95"/>
        <v>0</v>
      </c>
      <c r="G83" s="61">
        <f t="shared" si="95"/>
        <v>0</v>
      </c>
      <c r="H83" s="61">
        <f t="shared" si="95"/>
        <v>0.15015015015015015</v>
      </c>
      <c r="I83" s="61">
        <f t="shared" si="95"/>
        <v>0</v>
      </c>
      <c r="J83" s="61">
        <f t="shared" si="95"/>
        <v>6.8088342512488659E-2</v>
      </c>
      <c r="K83" s="61">
        <f t="shared" si="95"/>
        <v>0</v>
      </c>
      <c r="L83" s="61">
        <f t="shared" si="95"/>
        <v>6.6005842467786527E-2</v>
      </c>
      <c r="M83" s="61">
        <f t="shared" si="95"/>
        <v>7.2723895847787906E-2</v>
      </c>
      <c r="N83" s="61">
        <f t="shared" si="95"/>
        <v>0.15015015015015015</v>
      </c>
      <c r="O83">
        <f t="shared" si="95"/>
        <v>0.15015015015015015</v>
      </c>
      <c r="P83">
        <f t="shared" si="95"/>
        <v>9.3740148988767771E-2</v>
      </c>
      <c r="Q83" s="61">
        <f>IFERROR(#REF!/$B$33,0)</f>
        <v>0</v>
      </c>
      <c r="R83">
        <f t="shared" ref="R83:AA83" si="96">IFERROR(Q40/$B$33,0)</f>
        <v>0.15015015015015015</v>
      </c>
      <c r="S83" s="61">
        <f t="shared" si="96"/>
        <v>6.0166037066903287E-2</v>
      </c>
      <c r="T83" s="61">
        <f t="shared" si="96"/>
        <v>0</v>
      </c>
      <c r="U83" s="61">
        <f t="shared" si="96"/>
        <v>9.5013045832717941E-2</v>
      </c>
      <c r="V83" s="61">
        <f t="shared" si="96"/>
        <v>0.15015015015015015</v>
      </c>
      <c r="W83" s="61">
        <f t="shared" si="96"/>
        <v>9.9045560958040707E-2</v>
      </c>
      <c r="X83" s="61">
        <f t="shared" si="96"/>
        <v>6.9705043497971672E-2</v>
      </c>
      <c r="Y83" s="61">
        <f t="shared" si="96"/>
        <v>0.11780903381091086</v>
      </c>
      <c r="Z83" s="61">
        <f t="shared" si="96"/>
        <v>0</v>
      </c>
      <c r="AA83" s="61">
        <f t="shared" si="96"/>
        <v>8.165589560938398E-2</v>
      </c>
      <c r="AB83" s="61">
        <f>IFERROR(#REF!/$B$33,0)</f>
        <v>0</v>
      </c>
      <c r="AC83" s="61">
        <f t="shared" si="92"/>
        <v>0</v>
      </c>
      <c r="AD83" s="61">
        <f t="shared" si="92"/>
        <v>7.3473966947335281E-2</v>
      </c>
      <c r="AE83" s="61">
        <f t="shared" si="92"/>
        <v>0.15015015015015015</v>
      </c>
      <c r="AF83" s="61">
        <f>IFERROR(#REF!/$B$33,0)</f>
        <v>0</v>
      </c>
      <c r="AG83" s="61">
        <f t="shared" si="93"/>
        <v>3.3544732339913064E-2</v>
      </c>
      <c r="AH83" s="61">
        <f t="shared" si="93"/>
        <v>0.11259231107797903</v>
      </c>
      <c r="AI83" s="61">
        <f t="shared" si="93"/>
        <v>0</v>
      </c>
      <c r="AJ83" s="61">
        <f t="shared" si="93"/>
        <v>0.15015015015015015</v>
      </c>
      <c r="AK83" s="61">
        <f t="shared" si="93"/>
        <v>0.15015015015015015</v>
      </c>
      <c r="AL83" s="61">
        <f t="shared" si="93"/>
        <v>0</v>
      </c>
      <c r="AM83" s="61">
        <f t="shared" si="93"/>
        <v>6.23244621110529E-2</v>
      </c>
      <c r="AN83" s="61">
        <f>IFERROR(#REF!/$B$33,0)</f>
        <v>0</v>
      </c>
      <c r="AO83" s="61">
        <f t="shared" si="94"/>
        <v>0.10440733332299598</v>
      </c>
      <c r="AP83" s="61">
        <f t="shared" si="94"/>
        <v>3.9401103230890459E-2</v>
      </c>
      <c r="AQ83" s="61">
        <f t="shared" si="94"/>
        <v>0</v>
      </c>
      <c r="AR83" s="61">
        <f t="shared" si="94"/>
        <v>7.1169435331285044E-2</v>
      </c>
      <c r="AS83" s="61">
        <f t="shared" si="94"/>
        <v>0</v>
      </c>
      <c r="AT83" s="61">
        <f t="shared" si="94"/>
        <v>0.15015015015015015</v>
      </c>
      <c r="AU83">
        <f t="shared" si="94"/>
        <v>5.8638615108323404E-2</v>
      </c>
      <c r="AV83" s="61">
        <f t="shared" si="94"/>
        <v>0</v>
      </c>
      <c r="AW83" s="61">
        <f t="shared" si="94"/>
        <v>0.13529780369158606</v>
      </c>
      <c r="AX83" s="26">
        <f t="shared" si="74"/>
        <v>0.1047730777460507</v>
      </c>
      <c r="AY83" s="26">
        <f t="shared" si="75"/>
        <v>0</v>
      </c>
    </row>
    <row r="84" spans="1:51" x14ac:dyDescent="0.25">
      <c r="A84" s="51" t="s">
        <v>196</v>
      </c>
      <c r="B84">
        <f t="shared" ref="B84:P84" si="97">IFERROR(B53/$B$33,0)</f>
        <v>0</v>
      </c>
      <c r="C84">
        <f t="shared" si="97"/>
        <v>0</v>
      </c>
      <c r="D84">
        <f t="shared" si="97"/>
        <v>0</v>
      </c>
      <c r="E84">
        <f t="shared" si="97"/>
        <v>0.15015015015015015</v>
      </c>
      <c r="F84">
        <f t="shared" si="97"/>
        <v>6.6990066990066988E-2</v>
      </c>
      <c r="G84">
        <f t="shared" si="97"/>
        <v>0.10253972565530355</v>
      </c>
      <c r="H84">
        <f t="shared" si="97"/>
        <v>4.4096728307254619E-2</v>
      </c>
      <c r="I84">
        <f t="shared" si="97"/>
        <v>0</v>
      </c>
      <c r="J84">
        <f t="shared" si="97"/>
        <v>3.264570729610896E-2</v>
      </c>
      <c r="K84">
        <f t="shared" si="97"/>
        <v>0</v>
      </c>
      <c r="L84">
        <f t="shared" si="97"/>
        <v>1.0133561831525594E-2</v>
      </c>
      <c r="M84">
        <f t="shared" si="97"/>
        <v>7.7789215942863461E-3</v>
      </c>
      <c r="N84">
        <f t="shared" si="97"/>
        <v>0</v>
      </c>
      <c r="O84">
        <f t="shared" si="97"/>
        <v>0</v>
      </c>
      <c r="P84">
        <f t="shared" si="97"/>
        <v>8.2026470915359806E-2</v>
      </c>
      <c r="Q84">
        <f>IFERROR(#REF!/$B$33,0)</f>
        <v>0</v>
      </c>
      <c r="R84">
        <f t="shared" ref="R84:AA84" si="98">IFERROR(Q53/$B$33,0)</f>
        <v>8.601883226958212E-3</v>
      </c>
      <c r="S84">
        <f t="shared" si="98"/>
        <v>0</v>
      </c>
      <c r="T84">
        <f t="shared" si="98"/>
        <v>0</v>
      </c>
      <c r="U84">
        <f t="shared" si="98"/>
        <v>3.3998878730856552E-2</v>
      </c>
      <c r="V84">
        <f t="shared" si="98"/>
        <v>4.435250272200789E-4</v>
      </c>
      <c r="W84">
        <f t="shared" si="98"/>
        <v>0</v>
      </c>
      <c r="X84">
        <f t="shared" si="98"/>
        <v>0.12558259840868535</v>
      </c>
      <c r="Y84">
        <f t="shared" si="98"/>
        <v>4.6594116456017347E-2</v>
      </c>
      <c r="Z84">
        <f t="shared" si="98"/>
        <v>0</v>
      </c>
      <c r="AA84">
        <f t="shared" si="98"/>
        <v>0</v>
      </c>
      <c r="AB84">
        <f>IFERROR(#REF!/$B$33,0)</f>
        <v>0</v>
      </c>
      <c r="AC84">
        <f t="shared" ref="AC84:AE86" si="99">IFERROR(AA53/$B$33,0)</f>
        <v>0</v>
      </c>
      <c r="AD84">
        <f t="shared" si="99"/>
        <v>1.7102479269107064E-3</v>
      </c>
      <c r="AE84">
        <f t="shared" si="99"/>
        <v>0</v>
      </c>
      <c r="AF84">
        <f>IFERROR(#REF!/$B$33,0)</f>
        <v>0</v>
      </c>
      <c r="AG84">
        <f t="shared" ref="AG84:AM86" si="100">IFERROR(AD53/$B$33,0)</f>
        <v>0</v>
      </c>
      <c r="AH84">
        <f t="shared" si="100"/>
        <v>9.3036584972068861E-2</v>
      </c>
      <c r="AI84">
        <f t="shared" si="100"/>
        <v>0</v>
      </c>
      <c r="AJ84">
        <f t="shared" si="100"/>
        <v>4.7181002908339518E-3</v>
      </c>
      <c r="AK84">
        <f t="shared" si="100"/>
        <v>3.8417469838916231E-2</v>
      </c>
      <c r="AL84">
        <f t="shared" si="100"/>
        <v>0</v>
      </c>
      <c r="AM84">
        <f t="shared" si="100"/>
        <v>0</v>
      </c>
      <c r="AN84">
        <f>IFERROR(#REF!/$B$33,0)</f>
        <v>0</v>
      </c>
      <c r="AO84">
        <f t="shared" ref="AO84:AW86" si="101">IFERROR(AK53/$B$33,0)</f>
        <v>0</v>
      </c>
      <c r="AP84">
        <f t="shared" si="101"/>
        <v>2.1607164464307319E-4</v>
      </c>
      <c r="AQ84">
        <f t="shared" si="101"/>
        <v>0</v>
      </c>
      <c r="AR84">
        <f t="shared" si="101"/>
        <v>2.1181055663814282E-2</v>
      </c>
      <c r="AS84">
        <f t="shared" si="101"/>
        <v>0</v>
      </c>
      <c r="AT84">
        <f t="shared" si="101"/>
        <v>0</v>
      </c>
      <c r="AU84">
        <f t="shared" si="101"/>
        <v>0.15015015015015015</v>
      </c>
      <c r="AV84">
        <f t="shared" si="101"/>
        <v>0</v>
      </c>
      <c r="AW84">
        <f t="shared" si="101"/>
        <v>2.1273392549730645E-2</v>
      </c>
      <c r="AX84">
        <f>IFERROR(AT36/$B$33,0)</f>
        <v>1.7230345099197557E-2</v>
      </c>
      <c r="AY84">
        <f>IFERROR(AU36/$B$33,0)</f>
        <v>0</v>
      </c>
    </row>
    <row r="85" spans="1:51" x14ac:dyDescent="0.25">
      <c r="A85" s="51" t="s">
        <v>197</v>
      </c>
      <c r="B85">
        <f t="shared" ref="B85:P85" si="102">IFERROR(B54/$B$33,0)</f>
        <v>0</v>
      </c>
      <c r="C85">
        <f t="shared" si="102"/>
        <v>0</v>
      </c>
      <c r="D85">
        <f t="shared" si="102"/>
        <v>0</v>
      </c>
      <c r="E85">
        <f t="shared" si="102"/>
        <v>8.7214079751393184E-2</v>
      </c>
      <c r="F85">
        <f t="shared" si="102"/>
        <v>7.9644862253557908E-2</v>
      </c>
      <c r="G85">
        <f t="shared" si="102"/>
        <v>7.5227582152789907E-2</v>
      </c>
      <c r="H85">
        <f t="shared" si="102"/>
        <v>4.6772963439630104E-2</v>
      </c>
      <c r="I85">
        <f t="shared" si="102"/>
        <v>0</v>
      </c>
      <c r="J85">
        <f t="shared" si="102"/>
        <v>2.494338002694085E-2</v>
      </c>
      <c r="K85">
        <f t="shared" si="102"/>
        <v>0</v>
      </c>
      <c r="L85">
        <f t="shared" si="102"/>
        <v>2.6159037053402508E-2</v>
      </c>
      <c r="M85">
        <f t="shared" si="102"/>
        <v>1.7295776789447676E-2</v>
      </c>
      <c r="N85">
        <f t="shared" si="102"/>
        <v>0</v>
      </c>
      <c r="O85">
        <f t="shared" si="102"/>
        <v>1.6900909145246824E-2</v>
      </c>
      <c r="P85">
        <f t="shared" si="102"/>
        <v>0.14121264121264124</v>
      </c>
      <c r="Q85">
        <f>IFERROR(#REF!/$B$33,0)</f>
        <v>0</v>
      </c>
      <c r="R85">
        <f t="shared" ref="R85:AA85" si="103">IFERROR(Q54/$B$33,0)</f>
        <v>4.1040882428935036E-3</v>
      </c>
      <c r="S85">
        <f t="shared" si="103"/>
        <v>0</v>
      </c>
      <c r="T85">
        <f t="shared" si="103"/>
        <v>0</v>
      </c>
      <c r="U85">
        <f t="shared" si="103"/>
        <v>5.6481715360220036E-2</v>
      </c>
      <c r="V85">
        <f t="shared" si="103"/>
        <v>1.5064014446621607E-4</v>
      </c>
      <c r="W85">
        <f t="shared" si="103"/>
        <v>0</v>
      </c>
      <c r="X85">
        <f t="shared" si="103"/>
        <v>0.15015015015015015</v>
      </c>
      <c r="Y85">
        <f t="shared" si="103"/>
        <v>1.4022355033281848E-3</v>
      </c>
      <c r="Z85">
        <f t="shared" si="103"/>
        <v>0</v>
      </c>
      <c r="AA85">
        <f t="shared" si="103"/>
        <v>0</v>
      </c>
      <c r="AB85">
        <f>IFERROR(#REF!/$B$33,0)</f>
        <v>0</v>
      </c>
      <c r="AC85">
        <f t="shared" si="99"/>
        <v>0</v>
      </c>
      <c r="AD85">
        <f t="shared" si="99"/>
        <v>1.9109631554704006E-3</v>
      </c>
      <c r="AE85">
        <f t="shared" si="99"/>
        <v>0</v>
      </c>
      <c r="AF85">
        <f>IFERROR(#REF!/$B$33,0)</f>
        <v>0</v>
      </c>
      <c r="AG85">
        <f t="shared" si="100"/>
        <v>1.4677951248037386E-2</v>
      </c>
      <c r="AH85">
        <f t="shared" si="100"/>
        <v>0.14039827793409457</v>
      </c>
      <c r="AI85">
        <f t="shared" si="100"/>
        <v>0</v>
      </c>
      <c r="AJ85">
        <f t="shared" si="100"/>
        <v>3.506442151590117E-3</v>
      </c>
      <c r="AK85">
        <f t="shared" si="100"/>
        <v>2.9238345595445657E-2</v>
      </c>
      <c r="AL85">
        <f t="shared" si="100"/>
        <v>0</v>
      </c>
      <c r="AM85">
        <f t="shared" si="100"/>
        <v>0</v>
      </c>
      <c r="AN85">
        <f>IFERROR(#REF!/$B$33,0)</f>
        <v>0</v>
      </c>
      <c r="AO85">
        <f t="shared" si="101"/>
        <v>0</v>
      </c>
      <c r="AP85">
        <f t="shared" si="101"/>
        <v>3.3011693331272461E-4</v>
      </c>
      <c r="AQ85">
        <f t="shared" si="101"/>
        <v>0</v>
      </c>
      <c r="AR85">
        <f t="shared" si="101"/>
        <v>1.6016016016016016E-2</v>
      </c>
      <c r="AS85">
        <f t="shared" si="101"/>
        <v>0</v>
      </c>
      <c r="AT85">
        <f t="shared" si="101"/>
        <v>0.11044101953192861</v>
      </c>
      <c r="AU85">
        <f t="shared" si="101"/>
        <v>0.15015015015015015</v>
      </c>
      <c r="AV85">
        <f t="shared" si="101"/>
        <v>0</v>
      </c>
      <c r="AW85">
        <f t="shared" si="101"/>
        <v>3.5864585820892254E-2</v>
      </c>
      <c r="AX85">
        <f>IFERROR(AT39/$B$33,0)</f>
        <v>5.3332020545135299E-2</v>
      </c>
      <c r="AY85">
        <f>IFERROR(AU39/$B$33,0)</f>
        <v>0</v>
      </c>
    </row>
    <row r="86" spans="1:51" x14ac:dyDescent="0.25">
      <c r="A86" s="51" t="s">
        <v>198</v>
      </c>
      <c r="B86">
        <f t="shared" ref="B86:P86" si="104">IFERROR(B55/$B$33,0)</f>
        <v>0</v>
      </c>
      <c r="C86">
        <f t="shared" si="104"/>
        <v>4.3030835713762539E-2</v>
      </c>
      <c r="D86">
        <f t="shared" si="104"/>
        <v>0.15015015015015015</v>
      </c>
      <c r="E86">
        <f t="shared" si="104"/>
        <v>0.15015015015015015</v>
      </c>
      <c r="F86">
        <f t="shared" si="104"/>
        <v>0.15015015015015015</v>
      </c>
      <c r="G86">
        <f t="shared" si="104"/>
        <v>0.15015015015015015</v>
      </c>
      <c r="H86">
        <f t="shared" si="104"/>
        <v>8.5204251870918526E-2</v>
      </c>
      <c r="I86">
        <f t="shared" si="104"/>
        <v>0</v>
      </c>
      <c r="J86">
        <f t="shared" si="104"/>
        <v>0.15015015015015015</v>
      </c>
      <c r="K86">
        <f t="shared" si="104"/>
        <v>0</v>
      </c>
      <c r="L86">
        <f t="shared" si="104"/>
        <v>4.7251887659255337E-2</v>
      </c>
      <c r="M86">
        <f t="shared" si="104"/>
        <v>3.8048333143269851E-2</v>
      </c>
      <c r="N86">
        <f t="shared" si="104"/>
        <v>0</v>
      </c>
      <c r="O86">
        <f t="shared" si="104"/>
        <v>5.1372580542106965E-2</v>
      </c>
      <c r="P86">
        <f t="shared" si="104"/>
        <v>0.13227513227513227</v>
      </c>
      <c r="Q86">
        <f>IFERROR(#REF!/$B$33,0)</f>
        <v>0</v>
      </c>
      <c r="R86">
        <f t="shared" ref="R86:AA86" si="105">IFERROR(Q55/$B$33,0)</f>
        <v>1.2165548530625379E-2</v>
      </c>
      <c r="S86">
        <f t="shared" si="105"/>
        <v>0</v>
      </c>
      <c r="T86">
        <f t="shared" si="105"/>
        <v>0</v>
      </c>
      <c r="U86">
        <f t="shared" si="105"/>
        <v>0.15015015015015015</v>
      </c>
      <c r="V86">
        <f t="shared" si="105"/>
        <v>2.56584861453445E-4</v>
      </c>
      <c r="W86">
        <f t="shared" si="105"/>
        <v>0</v>
      </c>
      <c r="X86">
        <f t="shared" si="105"/>
        <v>1.1404619770799644E-2</v>
      </c>
      <c r="Y86">
        <f t="shared" si="105"/>
        <v>8.5220036481729747E-4</v>
      </c>
      <c r="Z86">
        <f t="shared" si="105"/>
        <v>0</v>
      </c>
      <c r="AA86">
        <f t="shared" si="105"/>
        <v>0</v>
      </c>
      <c r="AB86">
        <f>IFERROR(#REF!/$B$33,0)</f>
        <v>0</v>
      </c>
      <c r="AC86">
        <f t="shared" si="99"/>
        <v>0</v>
      </c>
      <c r="AD86">
        <f t="shared" si="99"/>
        <v>4.1768548762629301E-3</v>
      </c>
      <c r="AE86">
        <f t="shared" si="99"/>
        <v>0</v>
      </c>
      <c r="AF86">
        <f>IFERROR(#REF!/$B$33,0)</f>
        <v>0</v>
      </c>
      <c r="AG86">
        <f t="shared" si="100"/>
        <v>3.4353068808824487E-2</v>
      </c>
      <c r="AH86">
        <f t="shared" si="100"/>
        <v>0.15015015015015015</v>
      </c>
      <c r="AI86">
        <f t="shared" si="100"/>
        <v>0</v>
      </c>
      <c r="AJ86">
        <f t="shared" si="100"/>
        <v>1.2207203220096738E-2</v>
      </c>
      <c r="AK86">
        <f t="shared" si="100"/>
        <v>4.5072034287133154E-2</v>
      </c>
      <c r="AL86">
        <f t="shared" si="100"/>
        <v>0</v>
      </c>
      <c r="AM86">
        <f t="shared" si="100"/>
        <v>0</v>
      </c>
      <c r="AN86">
        <f>IFERROR(#REF!/$B$33,0)</f>
        <v>0</v>
      </c>
      <c r="AO86">
        <f t="shared" si="101"/>
        <v>0</v>
      </c>
      <c r="AP86">
        <f t="shared" si="101"/>
        <v>3.41906823788179E-4</v>
      </c>
      <c r="AQ86">
        <f t="shared" si="101"/>
        <v>0</v>
      </c>
      <c r="AR86">
        <f t="shared" si="101"/>
        <v>2.7827827827827827E-2</v>
      </c>
      <c r="AS86">
        <f t="shared" si="101"/>
        <v>0</v>
      </c>
      <c r="AT86">
        <f t="shared" si="101"/>
        <v>0.15015015015015015</v>
      </c>
      <c r="AU86">
        <f t="shared" si="101"/>
        <v>0</v>
      </c>
      <c r="AV86">
        <f t="shared" si="101"/>
        <v>0</v>
      </c>
      <c r="AW86">
        <f t="shared" si="101"/>
        <v>3.350277163268716E-2</v>
      </c>
      <c r="AX86" s="61">
        <f>IFERROR(AT40/$B$33,0)</f>
        <v>2.9701832980521502E-2</v>
      </c>
      <c r="AY86" s="61">
        <f>IFERROR(AU40/$B$33,0)</f>
        <v>0</v>
      </c>
    </row>
    <row r="87" spans="1:51" x14ac:dyDescent="0.25">
      <c r="A87" s="51" t="s">
        <v>199</v>
      </c>
      <c r="B87">
        <f t="shared" ref="B87:P87" si="106">IFERROR(B57/$B$33,0)</f>
        <v>0</v>
      </c>
      <c r="C87">
        <f t="shared" si="106"/>
        <v>0</v>
      </c>
      <c r="D87">
        <f t="shared" si="106"/>
        <v>0</v>
      </c>
      <c r="E87">
        <f t="shared" si="106"/>
        <v>1.5251569977938138E-2</v>
      </c>
      <c r="F87">
        <f t="shared" si="106"/>
        <v>2.0890455673064367E-2</v>
      </c>
      <c r="G87">
        <f t="shared" si="106"/>
        <v>3.1416458009255792E-2</v>
      </c>
      <c r="H87">
        <f t="shared" si="106"/>
        <v>7.2393822393822388E-2</v>
      </c>
      <c r="I87">
        <f t="shared" si="106"/>
        <v>0</v>
      </c>
      <c r="J87">
        <f t="shared" si="106"/>
        <v>2.2663984978386738E-2</v>
      </c>
      <c r="K87">
        <f t="shared" si="106"/>
        <v>0</v>
      </c>
      <c r="L87">
        <f t="shared" si="106"/>
        <v>3.2012490270902807E-3</v>
      </c>
      <c r="M87">
        <f t="shared" si="106"/>
        <v>2.4351883529098715E-3</v>
      </c>
      <c r="N87">
        <f t="shared" si="106"/>
        <v>0</v>
      </c>
      <c r="O87">
        <f t="shared" si="106"/>
        <v>0</v>
      </c>
      <c r="P87">
        <f t="shared" si="106"/>
        <v>7.4181324181324185E-2</v>
      </c>
      <c r="Q87">
        <f>IFERROR(#REF!/$B$33,0)</f>
        <v>0</v>
      </c>
      <c r="R87">
        <f t="shared" ref="R87:AA87" si="107">IFERROR(Q57/$B$33,0)</f>
        <v>2.2086735761272284E-3</v>
      </c>
      <c r="S87">
        <f t="shared" si="107"/>
        <v>0</v>
      </c>
      <c r="T87">
        <f t="shared" si="107"/>
        <v>0.15015015015015015</v>
      </c>
      <c r="U87">
        <f t="shared" si="107"/>
        <v>2.376792680530998E-2</v>
      </c>
      <c r="V87">
        <f t="shared" si="107"/>
        <v>2.4830793043881775E-4</v>
      </c>
      <c r="W87">
        <f t="shared" si="107"/>
        <v>0</v>
      </c>
      <c r="X87">
        <f t="shared" si="107"/>
        <v>9.187756808910633E-3</v>
      </c>
      <c r="Y87">
        <f t="shared" si="107"/>
        <v>6.3974044007060276E-4</v>
      </c>
      <c r="Z87">
        <f t="shared" si="107"/>
        <v>0</v>
      </c>
      <c r="AA87">
        <f t="shared" si="107"/>
        <v>0</v>
      </c>
      <c r="AB87">
        <f>IFERROR(#REF!/$B$33,0)</f>
        <v>0</v>
      </c>
      <c r="AC87">
        <f>IFERROR(AA57/$B$33,0)</f>
        <v>0</v>
      </c>
      <c r="AD87">
        <f>IFERROR(AB57/$B$33,0)</f>
        <v>2.3774265353141482E-3</v>
      </c>
      <c r="AE87">
        <f>IFERROR(AC57/$B$33,0)</f>
        <v>0</v>
      </c>
      <c r="AF87">
        <f>IFERROR(#REF!/$B$33,0)</f>
        <v>0</v>
      </c>
      <c r="AG87">
        <f t="shared" ref="AG87:AM87" si="108">IFERROR(AD57/$B$33,0)</f>
        <v>0</v>
      </c>
      <c r="AH87">
        <f t="shared" si="108"/>
        <v>3.1693584702180685E-2</v>
      </c>
      <c r="AI87">
        <f t="shared" si="108"/>
        <v>0</v>
      </c>
      <c r="AJ87">
        <f t="shared" si="108"/>
        <v>1.3534024981816559E-3</v>
      </c>
      <c r="AK87">
        <f t="shared" si="108"/>
        <v>1.5428850060365941E-2</v>
      </c>
      <c r="AL87">
        <f t="shared" si="108"/>
        <v>0</v>
      </c>
      <c r="AM87">
        <f t="shared" si="108"/>
        <v>0</v>
      </c>
      <c r="AN87">
        <f>IFERROR(#REF!/$B$33,0)</f>
        <v>0</v>
      </c>
      <c r="AO87">
        <f t="shared" ref="AO87:AW87" si="109">IFERROR(AK57/$B$33,0)</f>
        <v>0</v>
      </c>
      <c r="AP87">
        <f t="shared" si="109"/>
        <v>6.0128441424817688E-4</v>
      </c>
      <c r="AQ87">
        <f t="shared" si="109"/>
        <v>0</v>
      </c>
      <c r="AR87">
        <f t="shared" si="109"/>
        <v>3.0430430430430429E-2</v>
      </c>
      <c r="AS87">
        <f t="shared" si="109"/>
        <v>0</v>
      </c>
      <c r="AT87">
        <f t="shared" si="109"/>
        <v>0</v>
      </c>
      <c r="AU87">
        <f t="shared" si="109"/>
        <v>0</v>
      </c>
      <c r="AV87">
        <f t="shared" si="109"/>
        <v>0</v>
      </c>
      <c r="AW87">
        <f t="shared" si="109"/>
        <v>3.1490855842734672E-2</v>
      </c>
      <c r="AX87">
        <f t="shared" ref="AX87:AY89" si="110">IFERROR(AT53/$B$33,0)</f>
        <v>4.9435184570319708E-2</v>
      </c>
      <c r="AY87">
        <f t="shared" si="110"/>
        <v>0</v>
      </c>
    </row>
    <row r="88" spans="1:51" x14ac:dyDescent="0.25">
      <c r="A88" s="51" t="s">
        <v>203</v>
      </c>
      <c r="B88">
        <f t="shared" ref="B88:P88" si="111">IFERROR(B56/$B$33,0)</f>
        <v>0</v>
      </c>
      <c r="C88">
        <f t="shared" si="111"/>
        <v>0</v>
      </c>
      <c r="D88">
        <f t="shared" si="111"/>
        <v>0</v>
      </c>
      <c r="E88">
        <f t="shared" si="111"/>
        <v>0</v>
      </c>
      <c r="F88">
        <f t="shared" si="111"/>
        <v>0</v>
      </c>
      <c r="G88">
        <f t="shared" si="111"/>
        <v>0</v>
      </c>
      <c r="H88">
        <f t="shared" si="111"/>
        <v>1.0725010725010723E-2</v>
      </c>
      <c r="I88">
        <f t="shared" si="111"/>
        <v>0</v>
      </c>
      <c r="J88">
        <f t="shared" si="111"/>
        <v>1.0887110560857149E-2</v>
      </c>
      <c r="K88">
        <f t="shared" si="111"/>
        <v>0</v>
      </c>
      <c r="L88">
        <f t="shared" si="111"/>
        <v>1.6584784116250853E-3</v>
      </c>
      <c r="M88">
        <f t="shared" si="111"/>
        <v>8.0776979511156726E-4</v>
      </c>
      <c r="N88">
        <f t="shared" si="111"/>
        <v>0</v>
      </c>
      <c r="O88">
        <f t="shared" si="111"/>
        <v>0</v>
      </c>
      <c r="P88">
        <f t="shared" si="111"/>
        <v>7.9543829543829547E-2</v>
      </c>
      <c r="Q88">
        <f>IFERROR(#REF!/$B$33,0)</f>
        <v>0</v>
      </c>
      <c r="R88">
        <f t="shared" ref="R88:AA88" si="112">IFERROR(Q56/$B$33,0)</f>
        <v>0</v>
      </c>
      <c r="S88">
        <f t="shared" si="112"/>
        <v>0</v>
      </c>
      <c r="T88">
        <f t="shared" si="112"/>
        <v>0</v>
      </c>
      <c r="U88">
        <f t="shared" si="112"/>
        <v>4.7185035502792509E-2</v>
      </c>
      <c r="V88">
        <f t="shared" si="112"/>
        <v>1.1091087559600524E-4</v>
      </c>
      <c r="W88">
        <f t="shared" si="112"/>
        <v>0</v>
      </c>
      <c r="X88">
        <f t="shared" si="112"/>
        <v>2.0276185627033636E-3</v>
      </c>
      <c r="Y88">
        <f t="shared" si="112"/>
        <v>0</v>
      </c>
      <c r="Z88">
        <f t="shared" si="112"/>
        <v>0</v>
      </c>
      <c r="AA88">
        <f t="shared" si="112"/>
        <v>0</v>
      </c>
      <c r="AB88">
        <f>IFERROR(#REF!/$B$33,0)</f>
        <v>0</v>
      </c>
      <c r="AC88">
        <f>IFERROR(AA56/$B$33,0)</f>
        <v>0</v>
      </c>
      <c r="AD88">
        <f>IFERROR(AB56/$B$33,0)</f>
        <v>9.8299349865053269E-4</v>
      </c>
      <c r="AE88">
        <f>IFERROR(AC56/$B$33,0)</f>
        <v>0</v>
      </c>
      <c r="AF88">
        <f>IFERROR(#REF!/$B$33,0)</f>
        <v>0</v>
      </c>
      <c r="AG88">
        <f t="shared" ref="AG88:AM88" si="113">IFERROR(AD56/$B$33,0)</f>
        <v>8.6029647501847956E-3</v>
      </c>
      <c r="AH88">
        <f t="shared" si="113"/>
        <v>3.9437718520813079E-3</v>
      </c>
      <c r="AI88">
        <f t="shared" si="113"/>
        <v>0</v>
      </c>
      <c r="AJ88">
        <f t="shared" si="113"/>
        <v>0</v>
      </c>
      <c r="AK88">
        <f t="shared" si="113"/>
        <v>5.5327946280612555E-3</v>
      </c>
      <c r="AL88">
        <f t="shared" si="113"/>
        <v>0</v>
      </c>
      <c r="AM88">
        <f t="shared" si="113"/>
        <v>0</v>
      </c>
      <c r="AN88">
        <f>IFERROR(#REF!/$B$33,0)</f>
        <v>0</v>
      </c>
      <c r="AO88">
        <f t="shared" ref="AO88:AW88" si="114">IFERROR(AK56/$B$33,0)</f>
        <v>0</v>
      </c>
      <c r="AP88">
        <f t="shared" si="114"/>
        <v>1.6122675225183959E-3</v>
      </c>
      <c r="AQ88">
        <f t="shared" si="114"/>
        <v>0</v>
      </c>
      <c r="AR88">
        <f t="shared" si="114"/>
        <v>6.2262262262262252E-2</v>
      </c>
      <c r="AS88">
        <f t="shared" si="114"/>
        <v>0</v>
      </c>
      <c r="AT88">
        <f t="shared" si="114"/>
        <v>0</v>
      </c>
      <c r="AU88">
        <f t="shared" si="114"/>
        <v>0</v>
      </c>
      <c r="AV88">
        <f t="shared" si="114"/>
        <v>0</v>
      </c>
      <c r="AW88">
        <f t="shared" si="114"/>
        <v>1.5395529523114727E-2</v>
      </c>
      <c r="AX88">
        <f t="shared" si="110"/>
        <v>2.2961105435332238E-2</v>
      </c>
      <c r="AY88">
        <f t="shared" si="110"/>
        <v>0</v>
      </c>
    </row>
    <row r="89" spans="1:51" x14ac:dyDescent="0.25">
      <c r="A89" s="51" t="s">
        <v>202</v>
      </c>
      <c r="B89">
        <f t="shared" ref="B89:P89" si="115">IFERROR(B59/$B$33,0)</f>
        <v>0.15015015015015015</v>
      </c>
      <c r="C89">
        <f t="shared" si="115"/>
        <v>0.15015015015015015</v>
      </c>
      <c r="D89">
        <f t="shared" si="115"/>
        <v>0</v>
      </c>
      <c r="E89">
        <f t="shared" si="115"/>
        <v>4.855601870527243E-2</v>
      </c>
      <c r="F89">
        <f t="shared" si="115"/>
        <v>5.9896853375114245E-2</v>
      </c>
      <c r="G89">
        <f t="shared" si="115"/>
        <v>5.127010667176872E-2</v>
      </c>
      <c r="H89">
        <f t="shared" si="115"/>
        <v>6.7925067925067917E-2</v>
      </c>
      <c r="I89">
        <f t="shared" si="115"/>
        <v>0.15015015015015015</v>
      </c>
      <c r="J89">
        <f t="shared" si="115"/>
        <v>9.9293647465962517E-2</v>
      </c>
      <c r="K89">
        <f t="shared" si="115"/>
        <v>0.15015015015015015</v>
      </c>
      <c r="L89">
        <f t="shared" si="115"/>
        <v>0.11136308185310166</v>
      </c>
      <c r="M89">
        <f t="shared" si="115"/>
        <v>0.1093102596267153</v>
      </c>
      <c r="N89">
        <f t="shared" si="115"/>
        <v>0</v>
      </c>
      <c r="O89">
        <f t="shared" si="115"/>
        <v>0.10341501419058041</v>
      </c>
      <c r="P89">
        <f t="shared" si="115"/>
        <v>0.15015015015015015</v>
      </c>
      <c r="Q89">
        <f>IFERROR(#REF!/$B$33,0)</f>
        <v>0</v>
      </c>
      <c r="R89">
        <f t="shared" ref="R89:AA89" si="116">IFERROR(Q59/$B$33,0)</f>
        <v>8.4409397513501447E-2</v>
      </c>
      <c r="S89">
        <f t="shared" si="116"/>
        <v>0</v>
      </c>
      <c r="T89">
        <f t="shared" si="116"/>
        <v>0</v>
      </c>
      <c r="U89">
        <f t="shared" si="116"/>
        <v>8.1565210069882974E-2</v>
      </c>
      <c r="V89">
        <f t="shared" si="116"/>
        <v>2.2907234276082399E-2</v>
      </c>
      <c r="W89">
        <f t="shared" si="116"/>
        <v>0</v>
      </c>
      <c r="X89">
        <f t="shared" si="116"/>
        <v>3.5314062775987538E-2</v>
      </c>
      <c r="Y89">
        <f t="shared" si="116"/>
        <v>8.1206904569847745E-4</v>
      </c>
      <c r="Z89">
        <f t="shared" si="116"/>
        <v>0</v>
      </c>
      <c r="AA89">
        <f t="shared" si="116"/>
        <v>0</v>
      </c>
      <c r="AB89">
        <f>IFERROR(#REF!/$B$33,0)</f>
        <v>0</v>
      </c>
      <c r="AC89">
        <f t="shared" ref="AC89:AE91" si="117">IFERROR(AA59/$B$33,0)</f>
        <v>0.11458827248300932</v>
      </c>
      <c r="AD89">
        <f t="shared" si="117"/>
        <v>9.5541217829505337E-2</v>
      </c>
      <c r="AE89">
        <f t="shared" si="117"/>
        <v>0</v>
      </c>
      <c r="AF89">
        <f>IFERROR(#REF!/$B$33,0)</f>
        <v>0</v>
      </c>
      <c r="AG89">
        <f t="shared" ref="AG89:AM91" si="118">IFERROR(AD59/$B$33,0)</f>
        <v>0.13925436791529194</v>
      </c>
      <c r="AH89">
        <f t="shared" si="118"/>
        <v>4.8974475908573331E-2</v>
      </c>
      <c r="AI89">
        <f t="shared" si="118"/>
        <v>0</v>
      </c>
      <c r="AJ89">
        <f t="shared" si="118"/>
        <v>0.11330703435267798</v>
      </c>
      <c r="AK89">
        <f t="shared" si="118"/>
        <v>3.1622395313228156E-2</v>
      </c>
      <c r="AL89">
        <f t="shared" si="118"/>
        <v>0</v>
      </c>
      <c r="AM89">
        <f t="shared" si="118"/>
        <v>2.5812959337116033E-2</v>
      </c>
      <c r="AN89">
        <f>IFERROR(#REF!/$B$33,0)</f>
        <v>0</v>
      </c>
      <c r="AO89">
        <f t="shared" ref="AO89:AW91" si="119">IFERROR(AK59/$B$33,0)</f>
        <v>3.0672002168439221E-2</v>
      </c>
      <c r="AP89">
        <f t="shared" si="119"/>
        <v>1.2134744771861494E-2</v>
      </c>
      <c r="AQ89">
        <f t="shared" si="119"/>
        <v>0</v>
      </c>
      <c r="AR89">
        <f t="shared" si="119"/>
        <v>5.2252252252252246E-2</v>
      </c>
      <c r="AS89">
        <f t="shared" si="119"/>
        <v>0.15015015015015015</v>
      </c>
      <c r="AT89">
        <f t="shared" si="119"/>
        <v>0</v>
      </c>
      <c r="AU89">
        <f t="shared" si="119"/>
        <v>0</v>
      </c>
      <c r="AV89">
        <f t="shared" si="119"/>
        <v>0</v>
      </c>
      <c r="AW89">
        <f t="shared" si="119"/>
        <v>3.2015703440113577E-2</v>
      </c>
      <c r="AX89">
        <f t="shared" si="110"/>
        <v>2.8894874255698998E-2</v>
      </c>
      <c r="AY89">
        <f t="shared" si="110"/>
        <v>0</v>
      </c>
    </row>
    <row r="90" spans="1:51" x14ac:dyDescent="0.25">
      <c r="A90" s="51" t="s">
        <v>201</v>
      </c>
      <c r="B90">
        <f t="shared" ref="B90:P90" si="120">IFERROR(B60/$B$33,0)</f>
        <v>0</v>
      </c>
      <c r="C90">
        <f t="shared" si="120"/>
        <v>0</v>
      </c>
      <c r="D90">
        <f t="shared" si="120"/>
        <v>0</v>
      </c>
      <c r="E90">
        <f t="shared" si="120"/>
        <v>4.282889855029158E-2</v>
      </c>
      <c r="F90">
        <f t="shared" si="120"/>
        <v>7.5809505157331231E-2</v>
      </c>
      <c r="G90">
        <f t="shared" si="120"/>
        <v>8.3185678753545794E-2</v>
      </c>
      <c r="H90">
        <f t="shared" si="120"/>
        <v>4.4687544687544684E-2</v>
      </c>
      <c r="I90">
        <f t="shared" si="120"/>
        <v>0</v>
      </c>
      <c r="J90">
        <f t="shared" si="120"/>
        <v>0.11118049269723813</v>
      </c>
      <c r="K90">
        <f t="shared" si="120"/>
        <v>0</v>
      </c>
      <c r="L90">
        <f t="shared" si="120"/>
        <v>0.15015015015015015</v>
      </c>
      <c r="M90">
        <f t="shared" si="120"/>
        <v>0.15015015015015015</v>
      </c>
      <c r="N90">
        <f t="shared" si="120"/>
        <v>0</v>
      </c>
      <c r="O90">
        <f t="shared" si="120"/>
        <v>0.15015015015015015</v>
      </c>
      <c r="P90">
        <f t="shared" si="120"/>
        <v>7.5968825968825968E-2</v>
      </c>
      <c r="Q90">
        <f>IFERROR(#REF!/$B$33,0)</f>
        <v>0</v>
      </c>
      <c r="R90">
        <f t="shared" ref="R90:AA90" si="121">IFERROR(Q60/$B$33,0)</f>
        <v>0.11524359092097959</v>
      </c>
      <c r="S90">
        <f t="shared" si="121"/>
        <v>0</v>
      </c>
      <c r="T90">
        <f t="shared" si="121"/>
        <v>0</v>
      </c>
      <c r="U90">
        <f t="shared" si="121"/>
        <v>7.9635710476831961E-2</v>
      </c>
      <c r="V90">
        <f t="shared" si="121"/>
        <v>9.1129010471046115E-3</v>
      </c>
      <c r="W90">
        <f t="shared" si="121"/>
        <v>0</v>
      </c>
      <c r="X90">
        <f t="shared" si="121"/>
        <v>1.5195972625292223E-2</v>
      </c>
      <c r="Y90">
        <f t="shared" si="121"/>
        <v>8.474790331562598E-4</v>
      </c>
      <c r="Z90">
        <f t="shared" si="121"/>
        <v>0</v>
      </c>
      <c r="AA90">
        <f t="shared" si="121"/>
        <v>0</v>
      </c>
      <c r="AB90">
        <f>IFERROR(#REF!/$B$33,0)</f>
        <v>0</v>
      </c>
      <c r="AC90">
        <f t="shared" si="117"/>
        <v>0.15015015015015015</v>
      </c>
      <c r="AD90">
        <f t="shared" si="117"/>
        <v>9.8213591985443327E-2</v>
      </c>
      <c r="AE90">
        <f t="shared" si="117"/>
        <v>0</v>
      </c>
      <c r="AF90">
        <f>IFERROR(#REF!/$B$33,0)</f>
        <v>0</v>
      </c>
      <c r="AG90">
        <f t="shared" si="118"/>
        <v>0.15015015015015015</v>
      </c>
      <c r="AH90">
        <f t="shared" si="118"/>
        <v>6.381739906095206E-2</v>
      </c>
      <c r="AI90">
        <f t="shared" si="118"/>
        <v>0</v>
      </c>
      <c r="AJ90">
        <f t="shared" si="118"/>
        <v>0.15015015015015015</v>
      </c>
      <c r="AK90">
        <f t="shared" si="118"/>
        <v>3.1982251874402866E-2</v>
      </c>
      <c r="AL90">
        <f t="shared" si="118"/>
        <v>0</v>
      </c>
      <c r="AM90">
        <f t="shared" si="118"/>
        <v>1.1985723979357493E-2</v>
      </c>
      <c r="AN90">
        <f>IFERROR(#REF!/$B$33,0)</f>
        <v>0</v>
      </c>
      <c r="AO90">
        <f t="shared" si="119"/>
        <v>0</v>
      </c>
      <c r="AP90">
        <f t="shared" si="119"/>
        <v>7.7960650768942544E-3</v>
      </c>
      <c r="AQ90">
        <f t="shared" si="119"/>
        <v>0</v>
      </c>
      <c r="AR90">
        <f t="shared" si="119"/>
        <v>2.8028028028028024E-2</v>
      </c>
      <c r="AS90">
        <f t="shared" si="119"/>
        <v>0</v>
      </c>
      <c r="AT90">
        <f t="shared" si="119"/>
        <v>0</v>
      </c>
      <c r="AU90">
        <f t="shared" si="119"/>
        <v>0</v>
      </c>
      <c r="AV90">
        <f t="shared" si="119"/>
        <v>0</v>
      </c>
      <c r="AW90">
        <f t="shared" si="119"/>
        <v>3.3590246232250306E-2</v>
      </c>
      <c r="AX90">
        <f>IFERROR(AT57/$B$33,0)</f>
        <v>2.8636884306987402E-2</v>
      </c>
      <c r="AY90">
        <f>IFERROR(AU57/$B$33,0)</f>
        <v>0</v>
      </c>
    </row>
    <row r="91" spans="1:51" x14ac:dyDescent="0.25">
      <c r="A91" s="51" t="s">
        <v>200</v>
      </c>
      <c r="B91">
        <f t="shared" ref="B91:P91" si="122">IFERROR(B61/$B$33,0)</f>
        <v>0</v>
      </c>
      <c r="C91">
        <f t="shared" si="122"/>
        <v>0</v>
      </c>
      <c r="D91">
        <f t="shared" si="122"/>
        <v>0</v>
      </c>
      <c r="E91">
        <f t="shared" si="122"/>
        <v>4.0961359369319564E-2</v>
      </c>
      <c r="F91">
        <f t="shared" si="122"/>
        <v>8.437785611698656E-2</v>
      </c>
      <c r="G91">
        <f t="shared" si="122"/>
        <v>6.5993971811146329E-2</v>
      </c>
      <c r="H91">
        <f t="shared" si="122"/>
        <v>0.15015015015015015</v>
      </c>
      <c r="I91">
        <f t="shared" si="122"/>
        <v>0</v>
      </c>
      <c r="J91">
        <f t="shared" si="122"/>
        <v>0.10747147706998562</v>
      </c>
      <c r="K91">
        <f t="shared" si="122"/>
        <v>0</v>
      </c>
      <c r="L91">
        <f t="shared" si="122"/>
        <v>7.457707779552418E-2</v>
      </c>
      <c r="M91">
        <f t="shared" si="122"/>
        <v>8.7643022769605047E-2</v>
      </c>
      <c r="N91">
        <f t="shared" si="122"/>
        <v>0</v>
      </c>
      <c r="O91">
        <f t="shared" si="122"/>
        <v>0.10382723148680595</v>
      </c>
      <c r="P91">
        <f t="shared" si="122"/>
        <v>0.11261261261261261</v>
      </c>
      <c r="Q91">
        <f>IFERROR(#REF!/$B$33,0)</f>
        <v>0</v>
      </c>
      <c r="R91">
        <f t="shared" ref="R91:AA91" si="123">IFERROR(Q61/$B$33,0)</f>
        <v>0.15015015015015015</v>
      </c>
      <c r="S91">
        <f t="shared" si="123"/>
        <v>0</v>
      </c>
      <c r="T91">
        <f t="shared" si="123"/>
        <v>0</v>
      </c>
      <c r="U91">
        <f t="shared" si="123"/>
        <v>6.6743145014173041E-2</v>
      </c>
      <c r="V91">
        <f t="shared" si="123"/>
        <v>0.15015015015015015</v>
      </c>
      <c r="W91">
        <f t="shared" si="123"/>
        <v>0</v>
      </c>
      <c r="X91">
        <f t="shared" si="123"/>
        <v>2.548863462199483E-2</v>
      </c>
      <c r="Y91">
        <f t="shared" si="123"/>
        <v>3.1727348762173066E-3</v>
      </c>
      <c r="Z91">
        <f t="shared" si="123"/>
        <v>0</v>
      </c>
      <c r="AA91">
        <f t="shared" si="123"/>
        <v>0.15015015015015015</v>
      </c>
      <c r="AB91">
        <f>IFERROR(#REF!/$B$33,0)</f>
        <v>0</v>
      </c>
      <c r="AC91">
        <f t="shared" si="117"/>
        <v>0</v>
      </c>
      <c r="AD91">
        <f t="shared" si="117"/>
        <v>0.15015015015015015</v>
      </c>
      <c r="AE91">
        <f t="shared" si="117"/>
        <v>0</v>
      </c>
      <c r="AF91">
        <f>IFERROR(#REF!/$B$33,0)</f>
        <v>0</v>
      </c>
      <c r="AG91">
        <f t="shared" si="118"/>
        <v>7.0763794334663552E-2</v>
      </c>
      <c r="AH91">
        <f t="shared" si="118"/>
        <v>9.5797803534193204E-2</v>
      </c>
      <c r="AI91">
        <f t="shared" si="118"/>
        <v>0</v>
      </c>
      <c r="AJ91">
        <f t="shared" si="118"/>
        <v>0.12096228645368585</v>
      </c>
      <c r="AK91">
        <f t="shared" si="118"/>
        <v>0.15015015015015015</v>
      </c>
      <c r="AL91">
        <f t="shared" si="118"/>
        <v>0</v>
      </c>
      <c r="AM91">
        <f t="shared" si="118"/>
        <v>0.15015015015015015</v>
      </c>
      <c r="AN91">
        <f>IFERROR(#REF!/$B$33,0)</f>
        <v>0</v>
      </c>
      <c r="AO91">
        <f t="shared" si="119"/>
        <v>0.15015015015015015</v>
      </c>
      <c r="AP91">
        <f t="shared" si="119"/>
        <v>0.15015015015015015</v>
      </c>
      <c r="AQ91">
        <f t="shared" si="119"/>
        <v>0</v>
      </c>
      <c r="AR91">
        <f t="shared" si="119"/>
        <v>0.15015015015015015</v>
      </c>
      <c r="AS91">
        <f t="shared" si="119"/>
        <v>0</v>
      </c>
      <c r="AT91">
        <f t="shared" si="119"/>
        <v>0</v>
      </c>
      <c r="AU91">
        <f t="shared" si="119"/>
        <v>0</v>
      </c>
      <c r="AV91">
        <f t="shared" si="119"/>
        <v>0.15015015015015015</v>
      </c>
      <c r="AW91">
        <f t="shared" si="119"/>
        <v>0.15015015015015015</v>
      </c>
      <c r="AX91">
        <f>IFERROR(AT56/$B$33,0)</f>
        <v>0</v>
      </c>
      <c r="AY91">
        <f>IFERROR(AU56/$B$33,0)</f>
        <v>0</v>
      </c>
    </row>
    <row r="92" spans="1:51" x14ac:dyDescent="0.25">
      <c r="AX92">
        <f t="shared" ref="AX92:AY94" si="124">IFERROR(AT59/$B$33,0)</f>
        <v>1.3157487384291507E-2</v>
      </c>
      <c r="AY92">
        <f t="shared" si="124"/>
        <v>0</v>
      </c>
    </row>
    <row r="93" spans="1:51" x14ac:dyDescent="0.25">
      <c r="AX93">
        <f t="shared" si="124"/>
        <v>0</v>
      </c>
      <c r="AY93">
        <f t="shared" si="124"/>
        <v>0</v>
      </c>
    </row>
    <row r="94" spans="1:51" x14ac:dyDescent="0.25">
      <c r="AX94">
        <f t="shared" si="124"/>
        <v>0.15015015015015015</v>
      </c>
      <c r="AY94">
        <f t="shared" si="124"/>
        <v>0</v>
      </c>
    </row>
    <row r="95" spans="1:51" ht="190.8" x14ac:dyDescent="0.25">
      <c r="B95" s="175" t="s">
        <v>253</v>
      </c>
      <c r="C95" s="175" t="s">
        <v>254</v>
      </c>
      <c r="D95" s="175" t="s">
        <v>256</v>
      </c>
      <c r="E95" s="175" t="s">
        <v>257</v>
      </c>
      <c r="F95" s="175" t="s">
        <v>258</v>
      </c>
      <c r="G95" s="175" t="s">
        <v>259</v>
      </c>
      <c r="H95" s="175" t="s">
        <v>260</v>
      </c>
      <c r="I95" s="175" t="s">
        <v>261</v>
      </c>
      <c r="J95" s="175" t="s">
        <v>262</v>
      </c>
      <c r="K95" s="175" t="s">
        <v>263</v>
      </c>
      <c r="L95" s="175" t="s">
        <v>264</v>
      </c>
      <c r="M95" s="175" t="s">
        <v>265</v>
      </c>
      <c r="N95" s="175" t="s">
        <v>163</v>
      </c>
      <c r="O95" s="175" t="s">
        <v>165</v>
      </c>
      <c r="P95" s="175" t="s">
        <v>267</v>
      </c>
      <c r="Q95" s="175" t="s">
        <v>268</v>
      </c>
      <c r="R95" s="175" t="s">
        <v>270</v>
      </c>
      <c r="S95" s="175" t="s">
        <v>271</v>
      </c>
      <c r="T95" s="175" t="s">
        <v>274</v>
      </c>
      <c r="U95" s="176" t="s">
        <v>276</v>
      </c>
      <c r="V95" s="175" t="s">
        <v>277</v>
      </c>
      <c r="W95" s="175" t="s">
        <v>278</v>
      </c>
      <c r="X95" s="175" t="s">
        <v>279</v>
      </c>
      <c r="Y95" s="175" t="s">
        <v>281</v>
      </c>
      <c r="Z95" s="175" t="s">
        <v>282</v>
      </c>
      <c r="AA95" s="175" t="s">
        <v>284</v>
      </c>
      <c r="AB95" s="175" t="s">
        <v>286</v>
      </c>
      <c r="AC95" s="175" t="s">
        <v>288</v>
      </c>
      <c r="AD95" s="175" t="s">
        <v>289</v>
      </c>
      <c r="AE95" s="175" t="s">
        <v>290</v>
      </c>
      <c r="AF95" s="175" t="s">
        <v>291</v>
      </c>
      <c r="AG95" s="175" t="s">
        <v>293</v>
      </c>
      <c r="AH95" s="175" t="s">
        <v>296</v>
      </c>
      <c r="AI95" s="175" t="s">
        <v>297</v>
      </c>
      <c r="AJ95" s="175" t="s">
        <v>299</v>
      </c>
      <c r="AK95" s="175" t="s">
        <v>302</v>
      </c>
      <c r="AL95" s="175" t="s">
        <v>304</v>
      </c>
      <c r="AM95" s="175" t="s">
        <v>305</v>
      </c>
      <c r="AN95" s="175" t="s">
        <v>309</v>
      </c>
      <c r="AO95" s="175" t="s">
        <v>310</v>
      </c>
      <c r="AP95" s="175" t="s">
        <v>311</v>
      </c>
      <c r="AQ95" s="175" t="s">
        <v>313</v>
      </c>
      <c r="AR95" s="175" t="s">
        <v>314</v>
      </c>
      <c r="AS95" s="175" t="s">
        <v>315</v>
      </c>
      <c r="AT95" s="175" t="s">
        <v>318</v>
      </c>
      <c r="AU95" s="175" t="s">
        <v>323</v>
      </c>
      <c r="AV95" s="175" t="s">
        <v>324</v>
      </c>
      <c r="AW95" s="175" t="s">
        <v>325</v>
      </c>
    </row>
    <row r="96" spans="1:51" x14ac:dyDescent="0.25">
      <c r="A96" s="51" t="s">
        <v>181</v>
      </c>
      <c r="B96" s="169">
        <f t="shared" ref="B96:B122" si="125">IFERROR(B60/B$33,0)</f>
        <v>0</v>
      </c>
      <c r="C96" s="169">
        <f t="shared" ref="C96:P96" si="126">IFERROR(C60/$B$33,0)</f>
        <v>0</v>
      </c>
      <c r="D96" s="169">
        <f t="shared" si="126"/>
        <v>0</v>
      </c>
      <c r="E96" s="169">
        <f t="shared" si="126"/>
        <v>4.282889855029158E-2</v>
      </c>
      <c r="F96" s="169">
        <f t="shared" si="126"/>
        <v>7.5809505157331231E-2</v>
      </c>
      <c r="G96" s="169">
        <f t="shared" si="126"/>
        <v>8.3185678753545794E-2</v>
      </c>
      <c r="H96" s="169">
        <f t="shared" si="126"/>
        <v>4.4687544687544684E-2</v>
      </c>
      <c r="I96" s="169">
        <f t="shared" si="126"/>
        <v>0</v>
      </c>
      <c r="J96" s="169">
        <f t="shared" si="126"/>
        <v>0.11118049269723813</v>
      </c>
      <c r="K96" s="169">
        <f t="shared" si="126"/>
        <v>0</v>
      </c>
      <c r="L96" s="169">
        <f t="shared" si="126"/>
        <v>0.15015015015015015</v>
      </c>
      <c r="M96" s="169">
        <f t="shared" si="126"/>
        <v>0.15015015015015015</v>
      </c>
      <c r="N96" s="169">
        <f t="shared" si="126"/>
        <v>0</v>
      </c>
      <c r="O96" s="169">
        <f t="shared" si="126"/>
        <v>0.15015015015015015</v>
      </c>
      <c r="P96" s="169">
        <f t="shared" si="126"/>
        <v>7.5968825968825968E-2</v>
      </c>
      <c r="Q96" s="169">
        <f>IFERROR(#REF!/$B$33,0)</f>
        <v>0</v>
      </c>
      <c r="R96" s="169">
        <f t="shared" ref="R96:AA96" si="127">IFERROR(Q60/$B$33,0)</f>
        <v>0.11524359092097959</v>
      </c>
      <c r="S96" s="169">
        <f t="shared" si="127"/>
        <v>0</v>
      </c>
      <c r="T96" s="169">
        <f t="shared" si="127"/>
        <v>0</v>
      </c>
      <c r="U96" s="169">
        <f t="shared" si="127"/>
        <v>7.9635710476831961E-2</v>
      </c>
      <c r="V96" s="169">
        <f t="shared" si="127"/>
        <v>9.1129010471046115E-3</v>
      </c>
      <c r="W96" s="169">
        <f t="shared" si="127"/>
        <v>0</v>
      </c>
      <c r="X96" s="169">
        <f t="shared" si="127"/>
        <v>1.5195972625292223E-2</v>
      </c>
      <c r="Y96" s="169">
        <f t="shared" si="127"/>
        <v>8.474790331562598E-4</v>
      </c>
      <c r="Z96" s="169">
        <f t="shared" si="127"/>
        <v>0</v>
      </c>
      <c r="AA96" s="169">
        <f t="shared" si="127"/>
        <v>0</v>
      </c>
      <c r="AB96" s="169">
        <f>IFERROR(#REF!/$B$33,0)</f>
        <v>0</v>
      </c>
      <c r="AC96" s="169">
        <f t="shared" ref="AC96:AE97" si="128">IFERROR(AA60/$B$33,0)</f>
        <v>0.15015015015015015</v>
      </c>
      <c r="AD96" s="169">
        <f t="shared" si="128"/>
        <v>9.8213591985443327E-2</v>
      </c>
      <c r="AE96" s="169">
        <f t="shared" si="128"/>
        <v>0</v>
      </c>
      <c r="AF96" s="169">
        <f>IFERROR(#REF!/$B$33,0)</f>
        <v>0</v>
      </c>
      <c r="AG96" s="169">
        <f t="shared" ref="AG96:AM97" si="129">IFERROR(AD60/$B$33,0)</f>
        <v>0.15015015015015015</v>
      </c>
      <c r="AH96" s="169">
        <f t="shared" si="129"/>
        <v>6.381739906095206E-2</v>
      </c>
      <c r="AI96" s="169">
        <f t="shared" si="129"/>
        <v>0</v>
      </c>
      <c r="AJ96" s="169">
        <f t="shared" si="129"/>
        <v>0.15015015015015015</v>
      </c>
      <c r="AK96" s="169">
        <f t="shared" si="129"/>
        <v>3.1982251874402866E-2</v>
      </c>
      <c r="AL96" s="169">
        <f t="shared" si="129"/>
        <v>0</v>
      </c>
      <c r="AM96" s="169">
        <f t="shared" si="129"/>
        <v>1.1985723979357493E-2</v>
      </c>
      <c r="AN96" s="169">
        <f>IFERROR(#REF!/$B$33,0)</f>
        <v>0</v>
      </c>
      <c r="AO96" s="169">
        <f t="shared" ref="AO96:AW97" si="130">IFERROR(AK60/$B$33,0)</f>
        <v>0</v>
      </c>
      <c r="AP96" s="169">
        <f t="shared" si="130"/>
        <v>7.7960650768942544E-3</v>
      </c>
      <c r="AQ96" s="169">
        <f t="shared" si="130"/>
        <v>0</v>
      </c>
      <c r="AR96" s="169">
        <f t="shared" si="130"/>
        <v>2.8028028028028024E-2</v>
      </c>
      <c r="AS96" s="169">
        <f t="shared" si="130"/>
        <v>0</v>
      </c>
      <c r="AT96" s="169">
        <f t="shared" si="130"/>
        <v>0</v>
      </c>
      <c r="AU96" s="169">
        <f t="shared" si="130"/>
        <v>0</v>
      </c>
      <c r="AV96" s="169">
        <f t="shared" si="130"/>
        <v>0</v>
      </c>
      <c r="AW96" s="169">
        <f t="shared" si="130"/>
        <v>3.3590246232250306E-2</v>
      </c>
    </row>
    <row r="97" spans="1:51" x14ac:dyDescent="0.25">
      <c r="A97" s="51" t="s">
        <v>182</v>
      </c>
      <c r="B97" s="169">
        <f t="shared" si="125"/>
        <v>0</v>
      </c>
      <c r="C97" s="169">
        <f t="shared" ref="C97:P97" si="131">IFERROR(C61/$B$33,0)</f>
        <v>0</v>
      </c>
      <c r="D97" s="169">
        <f t="shared" si="131"/>
        <v>0</v>
      </c>
      <c r="E97" s="169">
        <f t="shared" si="131"/>
        <v>4.0961359369319564E-2</v>
      </c>
      <c r="F97" s="169">
        <f t="shared" si="131"/>
        <v>8.437785611698656E-2</v>
      </c>
      <c r="G97" s="169">
        <f t="shared" si="131"/>
        <v>6.5993971811146329E-2</v>
      </c>
      <c r="H97" s="169">
        <f t="shared" si="131"/>
        <v>0.15015015015015015</v>
      </c>
      <c r="I97" s="169">
        <f t="shared" si="131"/>
        <v>0</v>
      </c>
      <c r="J97" s="169">
        <f t="shared" si="131"/>
        <v>0.10747147706998562</v>
      </c>
      <c r="K97" s="169">
        <f t="shared" si="131"/>
        <v>0</v>
      </c>
      <c r="L97" s="169">
        <f t="shared" si="131"/>
        <v>7.457707779552418E-2</v>
      </c>
      <c r="M97" s="169">
        <f t="shared" si="131"/>
        <v>8.7643022769605047E-2</v>
      </c>
      <c r="N97" s="169">
        <f t="shared" si="131"/>
        <v>0</v>
      </c>
      <c r="O97" s="169">
        <f t="shared" si="131"/>
        <v>0.10382723148680595</v>
      </c>
      <c r="P97" s="169">
        <f t="shared" si="131"/>
        <v>0.11261261261261261</v>
      </c>
      <c r="Q97" s="169">
        <f>IFERROR(#REF!/$B$33,0)</f>
        <v>0</v>
      </c>
      <c r="R97" s="169">
        <f t="shared" ref="R97:AA97" si="132">IFERROR(Q61/$B$33,0)</f>
        <v>0.15015015015015015</v>
      </c>
      <c r="S97" s="169">
        <f t="shared" si="132"/>
        <v>0</v>
      </c>
      <c r="T97" s="169">
        <f t="shared" si="132"/>
        <v>0</v>
      </c>
      <c r="U97" s="169">
        <f t="shared" si="132"/>
        <v>6.6743145014173041E-2</v>
      </c>
      <c r="V97" s="169">
        <f t="shared" si="132"/>
        <v>0.15015015015015015</v>
      </c>
      <c r="W97" s="169">
        <f t="shared" si="132"/>
        <v>0</v>
      </c>
      <c r="X97" s="169">
        <f t="shared" si="132"/>
        <v>2.548863462199483E-2</v>
      </c>
      <c r="Y97" s="169">
        <f t="shared" si="132"/>
        <v>3.1727348762173066E-3</v>
      </c>
      <c r="Z97" s="169">
        <f t="shared" si="132"/>
        <v>0</v>
      </c>
      <c r="AA97" s="169">
        <f t="shared" si="132"/>
        <v>0.15015015015015015</v>
      </c>
      <c r="AB97" s="169">
        <f>IFERROR(#REF!/$B$33,0)</f>
        <v>0</v>
      </c>
      <c r="AC97" s="169">
        <f t="shared" si="128"/>
        <v>0</v>
      </c>
      <c r="AD97" s="169">
        <f t="shared" si="128"/>
        <v>0.15015015015015015</v>
      </c>
      <c r="AE97" s="169">
        <f t="shared" si="128"/>
        <v>0</v>
      </c>
      <c r="AF97" s="169">
        <f>IFERROR(#REF!/$B$33,0)</f>
        <v>0</v>
      </c>
      <c r="AG97" s="169">
        <f t="shared" si="129"/>
        <v>7.0763794334663552E-2</v>
      </c>
      <c r="AH97" s="169">
        <f t="shared" si="129"/>
        <v>9.5797803534193204E-2</v>
      </c>
      <c r="AI97" s="169">
        <f t="shared" si="129"/>
        <v>0</v>
      </c>
      <c r="AJ97" s="169">
        <f t="shared" si="129"/>
        <v>0.12096228645368585</v>
      </c>
      <c r="AK97" s="169">
        <f t="shared" si="129"/>
        <v>0.15015015015015015</v>
      </c>
      <c r="AL97" s="169">
        <f t="shared" si="129"/>
        <v>0</v>
      </c>
      <c r="AM97" s="169">
        <f t="shared" si="129"/>
        <v>0.15015015015015015</v>
      </c>
      <c r="AN97" s="169">
        <f>IFERROR(#REF!/$B$33,0)</f>
        <v>0</v>
      </c>
      <c r="AO97" s="169">
        <f t="shared" si="130"/>
        <v>0.15015015015015015</v>
      </c>
      <c r="AP97" s="169">
        <f t="shared" si="130"/>
        <v>0.15015015015015015</v>
      </c>
      <c r="AQ97" s="169">
        <f t="shared" si="130"/>
        <v>0</v>
      </c>
      <c r="AR97" s="169">
        <f t="shared" si="130"/>
        <v>0.15015015015015015</v>
      </c>
      <c r="AS97" s="169">
        <f t="shared" si="130"/>
        <v>0</v>
      </c>
      <c r="AT97" s="169">
        <f t="shared" si="130"/>
        <v>0</v>
      </c>
      <c r="AU97" s="169">
        <f t="shared" si="130"/>
        <v>0</v>
      </c>
      <c r="AV97" s="169">
        <f t="shared" si="130"/>
        <v>0.15015015015015015</v>
      </c>
      <c r="AW97" s="169">
        <f t="shared" si="130"/>
        <v>0.15015015015015015</v>
      </c>
    </row>
    <row r="98" spans="1:51" ht="59.4" thickBot="1" x14ac:dyDescent="0.3">
      <c r="A98" s="51" t="s">
        <v>183</v>
      </c>
      <c r="B98" s="169">
        <f t="shared" si="125"/>
        <v>0</v>
      </c>
      <c r="C98" s="169">
        <f t="shared" ref="C98:P98" si="133">IFERROR(C62/$B$33,0)</f>
        <v>0</v>
      </c>
      <c r="D98" s="169">
        <f t="shared" si="133"/>
        <v>0</v>
      </c>
      <c r="E98" s="169">
        <f t="shared" si="133"/>
        <v>0</v>
      </c>
      <c r="F98" s="169">
        <f t="shared" si="133"/>
        <v>0</v>
      </c>
      <c r="G98" s="169">
        <f t="shared" si="133"/>
        <v>0</v>
      </c>
      <c r="H98" s="169">
        <f t="shared" si="133"/>
        <v>0</v>
      </c>
      <c r="I98" s="169">
        <f t="shared" si="133"/>
        <v>0</v>
      </c>
      <c r="J98" s="169">
        <f t="shared" si="133"/>
        <v>0</v>
      </c>
      <c r="K98" s="169">
        <f t="shared" si="133"/>
        <v>0</v>
      </c>
      <c r="L98" s="169">
        <f t="shared" si="133"/>
        <v>0</v>
      </c>
      <c r="M98" s="169">
        <f t="shared" si="133"/>
        <v>0</v>
      </c>
      <c r="N98" s="169">
        <f t="shared" si="133"/>
        <v>0</v>
      </c>
      <c r="O98" s="169">
        <f t="shared" si="133"/>
        <v>0</v>
      </c>
      <c r="P98" s="169">
        <f t="shared" si="133"/>
        <v>0</v>
      </c>
      <c r="Q98" s="169">
        <f t="shared" ref="Q98:AW98" si="134">IFERROR(Q62/$B$33,0)</f>
        <v>0</v>
      </c>
      <c r="R98" s="169">
        <f t="shared" si="134"/>
        <v>0</v>
      </c>
      <c r="S98" s="169">
        <f t="shared" si="134"/>
        <v>0</v>
      </c>
      <c r="T98" s="169">
        <f t="shared" si="134"/>
        <v>0</v>
      </c>
      <c r="U98" s="169">
        <f t="shared" si="134"/>
        <v>0</v>
      </c>
      <c r="V98" s="169">
        <f t="shared" si="134"/>
        <v>0</v>
      </c>
      <c r="W98" s="169">
        <f t="shared" si="134"/>
        <v>0</v>
      </c>
      <c r="X98" s="169">
        <f t="shared" si="134"/>
        <v>0</v>
      </c>
      <c r="Y98" s="169">
        <f t="shared" si="134"/>
        <v>0</v>
      </c>
      <c r="Z98" s="169">
        <f t="shared" si="134"/>
        <v>0</v>
      </c>
      <c r="AA98" s="169">
        <f t="shared" si="134"/>
        <v>0</v>
      </c>
      <c r="AB98" s="169">
        <f t="shared" si="134"/>
        <v>0</v>
      </c>
      <c r="AC98" s="169">
        <f t="shared" si="134"/>
        <v>0</v>
      </c>
      <c r="AD98" s="169">
        <f t="shared" si="134"/>
        <v>0</v>
      </c>
      <c r="AE98" s="169">
        <f t="shared" si="134"/>
        <v>0</v>
      </c>
      <c r="AF98" s="169">
        <f t="shared" si="134"/>
        <v>0</v>
      </c>
      <c r="AG98" s="169">
        <f t="shared" si="134"/>
        <v>0</v>
      </c>
      <c r="AH98" s="169">
        <f t="shared" si="134"/>
        <v>0</v>
      </c>
      <c r="AI98" s="169">
        <f t="shared" si="134"/>
        <v>0</v>
      </c>
      <c r="AJ98" s="169">
        <f t="shared" si="134"/>
        <v>0</v>
      </c>
      <c r="AK98" s="169">
        <f t="shared" si="134"/>
        <v>0</v>
      </c>
      <c r="AL98" s="169">
        <f t="shared" si="134"/>
        <v>0</v>
      </c>
      <c r="AM98" s="169">
        <f t="shared" si="134"/>
        <v>0</v>
      </c>
      <c r="AN98" s="169">
        <f t="shared" si="134"/>
        <v>0</v>
      </c>
      <c r="AO98" s="169">
        <f t="shared" si="134"/>
        <v>0</v>
      </c>
      <c r="AP98" s="169">
        <f t="shared" si="134"/>
        <v>0</v>
      </c>
      <c r="AQ98" s="169">
        <f t="shared" si="134"/>
        <v>0</v>
      </c>
      <c r="AR98" s="169">
        <f t="shared" si="134"/>
        <v>0</v>
      </c>
      <c r="AS98" s="169">
        <f t="shared" si="134"/>
        <v>0</v>
      </c>
      <c r="AT98" s="169">
        <f t="shared" si="134"/>
        <v>0</v>
      </c>
      <c r="AU98" s="169">
        <f t="shared" si="134"/>
        <v>0</v>
      </c>
      <c r="AV98" s="169">
        <f t="shared" si="134"/>
        <v>0</v>
      </c>
      <c r="AW98" s="169">
        <f t="shared" si="134"/>
        <v>0</v>
      </c>
      <c r="AX98" s="175" t="s">
        <v>326</v>
      </c>
      <c r="AY98" s="175" t="s">
        <v>391</v>
      </c>
    </row>
    <row r="99" spans="1:51" x14ac:dyDescent="0.25">
      <c r="A99" s="51" t="s">
        <v>184</v>
      </c>
      <c r="B99" s="169">
        <f t="shared" si="125"/>
        <v>0</v>
      </c>
      <c r="C99" s="170">
        <f t="shared" ref="C99:P99" si="135">IFERROR(C63/$B$33,0)</f>
        <v>0</v>
      </c>
      <c r="D99" s="170">
        <f t="shared" si="135"/>
        <v>0</v>
      </c>
      <c r="E99" s="170">
        <f t="shared" si="135"/>
        <v>0</v>
      </c>
      <c r="F99" s="170">
        <f t="shared" si="135"/>
        <v>0</v>
      </c>
      <c r="G99" s="170">
        <f t="shared" si="135"/>
        <v>0</v>
      </c>
      <c r="H99" s="170">
        <f t="shared" si="135"/>
        <v>0</v>
      </c>
      <c r="I99" s="170">
        <f t="shared" si="135"/>
        <v>0</v>
      </c>
      <c r="J99" s="170">
        <f t="shared" si="135"/>
        <v>0</v>
      </c>
      <c r="K99" s="170">
        <f t="shared" si="135"/>
        <v>0</v>
      </c>
      <c r="L99" s="170">
        <f t="shared" si="135"/>
        <v>0</v>
      </c>
      <c r="M99" s="170">
        <f t="shared" si="135"/>
        <v>0</v>
      </c>
      <c r="N99" s="170">
        <f t="shared" si="135"/>
        <v>0</v>
      </c>
      <c r="O99" s="170">
        <f t="shared" si="135"/>
        <v>0</v>
      </c>
      <c r="P99" s="170">
        <f t="shared" si="135"/>
        <v>0</v>
      </c>
      <c r="Q99" s="170">
        <f t="shared" ref="Q99:AW99" si="136">IFERROR(Q63/$B$33,0)</f>
        <v>0</v>
      </c>
      <c r="R99" s="170">
        <f t="shared" si="136"/>
        <v>0</v>
      </c>
      <c r="S99" s="170">
        <f t="shared" si="136"/>
        <v>0</v>
      </c>
      <c r="T99" s="170">
        <f t="shared" si="136"/>
        <v>0</v>
      </c>
      <c r="U99" s="170">
        <f t="shared" si="136"/>
        <v>0</v>
      </c>
      <c r="V99" s="170">
        <f t="shared" si="136"/>
        <v>0</v>
      </c>
      <c r="W99" s="170">
        <f t="shared" si="136"/>
        <v>0</v>
      </c>
      <c r="X99" s="170">
        <f t="shared" si="136"/>
        <v>0</v>
      </c>
      <c r="Y99" s="170">
        <f t="shared" si="136"/>
        <v>0</v>
      </c>
      <c r="Z99" s="170">
        <f t="shared" si="136"/>
        <v>0</v>
      </c>
      <c r="AA99" s="170">
        <f t="shared" si="136"/>
        <v>0</v>
      </c>
      <c r="AB99" s="170">
        <f t="shared" si="136"/>
        <v>0</v>
      </c>
      <c r="AC99" s="170">
        <f t="shared" si="136"/>
        <v>0</v>
      </c>
      <c r="AD99" s="170">
        <f t="shared" si="136"/>
        <v>0</v>
      </c>
      <c r="AE99" s="170">
        <f t="shared" si="136"/>
        <v>0</v>
      </c>
      <c r="AF99" s="170">
        <f t="shared" si="136"/>
        <v>0</v>
      </c>
      <c r="AG99" s="170">
        <f t="shared" si="136"/>
        <v>0</v>
      </c>
      <c r="AH99" s="170">
        <f t="shared" si="136"/>
        <v>0</v>
      </c>
      <c r="AI99" s="170">
        <f t="shared" si="136"/>
        <v>0</v>
      </c>
      <c r="AJ99" s="170">
        <f t="shared" si="136"/>
        <v>0</v>
      </c>
      <c r="AK99" s="170">
        <f t="shared" si="136"/>
        <v>0</v>
      </c>
      <c r="AL99" s="170">
        <f t="shared" si="136"/>
        <v>0</v>
      </c>
      <c r="AM99" s="170">
        <f t="shared" si="136"/>
        <v>0</v>
      </c>
      <c r="AN99" s="170">
        <f t="shared" si="136"/>
        <v>0</v>
      </c>
      <c r="AO99" s="170">
        <f t="shared" si="136"/>
        <v>0</v>
      </c>
      <c r="AP99" s="170">
        <f t="shared" si="136"/>
        <v>0</v>
      </c>
      <c r="AQ99" s="170">
        <f t="shared" si="136"/>
        <v>0</v>
      </c>
      <c r="AR99" s="170">
        <f t="shared" si="136"/>
        <v>0</v>
      </c>
      <c r="AS99" s="170">
        <f t="shared" si="136"/>
        <v>0</v>
      </c>
      <c r="AT99" s="170">
        <f t="shared" si="136"/>
        <v>0</v>
      </c>
      <c r="AU99" s="170">
        <f t="shared" si="136"/>
        <v>0</v>
      </c>
      <c r="AV99" s="170">
        <f t="shared" si="136"/>
        <v>0</v>
      </c>
      <c r="AW99" s="170">
        <f t="shared" si="136"/>
        <v>0</v>
      </c>
      <c r="AX99" s="169">
        <f>IFERROR(AT60/$B$33,0)</f>
        <v>0</v>
      </c>
      <c r="AY99" s="169">
        <f>IFERROR(AU60/$B$33,0)</f>
        <v>0</v>
      </c>
    </row>
    <row r="100" spans="1:51" x14ac:dyDescent="0.25">
      <c r="A100" s="51" t="s">
        <v>185</v>
      </c>
      <c r="B100" s="169">
        <f t="shared" si="125"/>
        <v>0</v>
      </c>
      <c r="C100" s="169">
        <f t="shared" ref="C100:P100" si="137">IFERROR(C64/$B$33,0)</f>
        <v>0</v>
      </c>
      <c r="D100" s="169">
        <f t="shared" si="137"/>
        <v>0</v>
      </c>
      <c r="E100" s="169">
        <f t="shared" si="137"/>
        <v>0</v>
      </c>
      <c r="F100" s="169">
        <f t="shared" si="137"/>
        <v>0</v>
      </c>
      <c r="G100" s="169">
        <f t="shared" si="137"/>
        <v>0</v>
      </c>
      <c r="H100" s="169">
        <f t="shared" si="137"/>
        <v>0</v>
      </c>
      <c r="I100" s="169">
        <f t="shared" si="137"/>
        <v>0</v>
      </c>
      <c r="J100" s="169">
        <f t="shared" si="137"/>
        <v>0</v>
      </c>
      <c r="K100" s="169">
        <f t="shared" si="137"/>
        <v>0</v>
      </c>
      <c r="L100" s="169">
        <f t="shared" si="137"/>
        <v>0</v>
      </c>
      <c r="M100" s="169">
        <f t="shared" si="137"/>
        <v>0</v>
      </c>
      <c r="N100" s="169">
        <f t="shared" si="137"/>
        <v>0</v>
      </c>
      <c r="O100" s="169">
        <f t="shared" si="137"/>
        <v>0</v>
      </c>
      <c r="P100" s="169">
        <f t="shared" si="137"/>
        <v>0</v>
      </c>
      <c r="Q100" s="169">
        <f t="shared" ref="Q100:AW100" si="138">IFERROR(Q64/$B$33,0)</f>
        <v>0</v>
      </c>
      <c r="R100" s="169">
        <f t="shared" si="138"/>
        <v>0</v>
      </c>
      <c r="S100" s="169">
        <f t="shared" si="138"/>
        <v>0</v>
      </c>
      <c r="T100" s="169">
        <f t="shared" si="138"/>
        <v>0</v>
      </c>
      <c r="U100" s="169">
        <f t="shared" si="138"/>
        <v>0</v>
      </c>
      <c r="V100" s="169">
        <f t="shared" si="138"/>
        <v>0</v>
      </c>
      <c r="W100" s="169">
        <f t="shared" si="138"/>
        <v>0</v>
      </c>
      <c r="X100" s="169">
        <f t="shared" si="138"/>
        <v>0</v>
      </c>
      <c r="Y100" s="169">
        <f t="shared" si="138"/>
        <v>0</v>
      </c>
      <c r="Z100" s="169">
        <f t="shared" si="138"/>
        <v>0</v>
      </c>
      <c r="AA100" s="169">
        <f t="shared" si="138"/>
        <v>0</v>
      </c>
      <c r="AB100" s="169">
        <f t="shared" si="138"/>
        <v>0</v>
      </c>
      <c r="AC100" s="169">
        <f t="shared" si="138"/>
        <v>0</v>
      </c>
      <c r="AD100" s="169">
        <f t="shared" si="138"/>
        <v>0</v>
      </c>
      <c r="AE100" s="169">
        <f t="shared" si="138"/>
        <v>0</v>
      </c>
      <c r="AF100" s="169">
        <f t="shared" si="138"/>
        <v>0</v>
      </c>
      <c r="AG100" s="169">
        <f t="shared" si="138"/>
        <v>0</v>
      </c>
      <c r="AH100" s="169">
        <f t="shared" si="138"/>
        <v>0</v>
      </c>
      <c r="AI100" s="169">
        <f t="shared" si="138"/>
        <v>0</v>
      </c>
      <c r="AJ100" s="169">
        <f t="shared" si="138"/>
        <v>0</v>
      </c>
      <c r="AK100" s="169">
        <f t="shared" si="138"/>
        <v>0</v>
      </c>
      <c r="AL100" s="169">
        <f t="shared" si="138"/>
        <v>0</v>
      </c>
      <c r="AM100" s="169">
        <f t="shared" si="138"/>
        <v>0</v>
      </c>
      <c r="AN100" s="169">
        <f t="shared" si="138"/>
        <v>0</v>
      </c>
      <c r="AO100" s="169">
        <f t="shared" si="138"/>
        <v>0</v>
      </c>
      <c r="AP100" s="169">
        <f t="shared" si="138"/>
        <v>0</v>
      </c>
      <c r="AQ100" s="169">
        <f t="shared" si="138"/>
        <v>0</v>
      </c>
      <c r="AR100" s="169">
        <f t="shared" si="138"/>
        <v>0</v>
      </c>
      <c r="AS100" s="169">
        <f t="shared" si="138"/>
        <v>0</v>
      </c>
      <c r="AT100" s="169">
        <f t="shared" si="138"/>
        <v>0</v>
      </c>
      <c r="AU100" s="169">
        <f t="shared" si="138"/>
        <v>0</v>
      </c>
      <c r="AV100" s="169">
        <f t="shared" si="138"/>
        <v>0</v>
      </c>
      <c r="AW100" s="169">
        <f t="shared" si="138"/>
        <v>0</v>
      </c>
      <c r="AX100" s="169">
        <f>IFERROR(AT61/$B$33,0)</f>
        <v>0.15015015015015015</v>
      </c>
      <c r="AY100" s="169">
        <f>IFERROR(AU61/$B$33,0)</f>
        <v>0</v>
      </c>
    </row>
    <row r="101" spans="1:51" ht="14.4" thickBot="1" x14ac:dyDescent="0.3">
      <c r="A101" s="51" t="s">
        <v>186</v>
      </c>
      <c r="B101" s="169">
        <f t="shared" si="125"/>
        <v>0</v>
      </c>
      <c r="C101" s="169">
        <f t="shared" ref="C101:P101" si="139">IFERROR(C65/$B$33,0)</f>
        <v>0</v>
      </c>
      <c r="D101" s="169">
        <f t="shared" si="139"/>
        <v>0</v>
      </c>
      <c r="E101" s="169">
        <f t="shared" si="139"/>
        <v>0</v>
      </c>
      <c r="F101" s="169">
        <f t="shared" si="139"/>
        <v>0</v>
      </c>
      <c r="G101" s="169">
        <f t="shared" si="139"/>
        <v>0</v>
      </c>
      <c r="H101" s="169">
        <f t="shared" si="139"/>
        <v>0</v>
      </c>
      <c r="I101" s="169">
        <f t="shared" si="139"/>
        <v>0</v>
      </c>
      <c r="J101" s="169">
        <f t="shared" si="139"/>
        <v>0</v>
      </c>
      <c r="K101" s="169">
        <f t="shared" si="139"/>
        <v>0</v>
      </c>
      <c r="L101" s="169">
        <f t="shared" si="139"/>
        <v>0</v>
      </c>
      <c r="M101" s="169">
        <f t="shared" si="139"/>
        <v>0</v>
      </c>
      <c r="N101" s="169">
        <f t="shared" si="139"/>
        <v>0</v>
      </c>
      <c r="O101" s="169">
        <f t="shared" si="139"/>
        <v>0</v>
      </c>
      <c r="P101" s="169">
        <f t="shared" si="139"/>
        <v>0</v>
      </c>
      <c r="Q101" s="169">
        <f t="shared" ref="Q101:AW101" si="140">IFERROR(Q65/$B$33,0)</f>
        <v>0</v>
      </c>
      <c r="R101" s="169">
        <f t="shared" si="140"/>
        <v>0</v>
      </c>
      <c r="S101" s="169">
        <f t="shared" si="140"/>
        <v>0</v>
      </c>
      <c r="T101" s="169">
        <f t="shared" si="140"/>
        <v>0</v>
      </c>
      <c r="U101" s="169">
        <f t="shared" si="140"/>
        <v>0</v>
      </c>
      <c r="V101" s="169">
        <f t="shared" si="140"/>
        <v>0</v>
      </c>
      <c r="W101" s="169">
        <f t="shared" si="140"/>
        <v>0</v>
      </c>
      <c r="X101" s="169">
        <f t="shared" si="140"/>
        <v>0</v>
      </c>
      <c r="Y101" s="169">
        <f t="shared" si="140"/>
        <v>0</v>
      </c>
      <c r="Z101" s="169">
        <f t="shared" si="140"/>
        <v>0</v>
      </c>
      <c r="AA101" s="169">
        <f t="shared" si="140"/>
        <v>0</v>
      </c>
      <c r="AB101" s="169">
        <f t="shared" si="140"/>
        <v>0</v>
      </c>
      <c r="AC101" s="169">
        <f t="shared" si="140"/>
        <v>0</v>
      </c>
      <c r="AD101" s="169">
        <f t="shared" si="140"/>
        <v>0</v>
      </c>
      <c r="AE101" s="169">
        <f t="shared" si="140"/>
        <v>0</v>
      </c>
      <c r="AF101" s="169">
        <f t="shared" si="140"/>
        <v>0</v>
      </c>
      <c r="AG101" s="169">
        <f t="shared" si="140"/>
        <v>0</v>
      </c>
      <c r="AH101" s="169">
        <f t="shared" si="140"/>
        <v>0</v>
      </c>
      <c r="AI101" s="169">
        <f t="shared" si="140"/>
        <v>0</v>
      </c>
      <c r="AJ101" s="169">
        <f t="shared" si="140"/>
        <v>0</v>
      </c>
      <c r="AK101" s="169">
        <f t="shared" si="140"/>
        <v>0</v>
      </c>
      <c r="AL101" s="169">
        <f t="shared" si="140"/>
        <v>0</v>
      </c>
      <c r="AM101" s="169">
        <f t="shared" si="140"/>
        <v>0</v>
      </c>
      <c r="AN101" s="169">
        <f t="shared" si="140"/>
        <v>0</v>
      </c>
      <c r="AO101" s="169">
        <f t="shared" si="140"/>
        <v>0</v>
      </c>
      <c r="AP101" s="169">
        <f t="shared" si="140"/>
        <v>0</v>
      </c>
      <c r="AQ101" s="169">
        <f t="shared" si="140"/>
        <v>0</v>
      </c>
      <c r="AR101" s="169">
        <f t="shared" si="140"/>
        <v>0</v>
      </c>
      <c r="AS101" s="169">
        <f t="shared" si="140"/>
        <v>0</v>
      </c>
      <c r="AT101" s="169">
        <f t="shared" si="140"/>
        <v>0</v>
      </c>
      <c r="AU101" s="169">
        <f t="shared" si="140"/>
        <v>0</v>
      </c>
      <c r="AV101" s="169">
        <f t="shared" si="140"/>
        <v>0</v>
      </c>
      <c r="AW101" s="169">
        <f t="shared" si="140"/>
        <v>0</v>
      </c>
      <c r="AX101" s="169">
        <f t="shared" ref="AX101:AY105" si="141">IFERROR(AX65/$B$33,0)</f>
        <v>0</v>
      </c>
      <c r="AY101" s="169">
        <f t="shared" si="141"/>
        <v>0</v>
      </c>
    </row>
    <row r="102" spans="1:51" ht="14.4" thickBot="1" x14ac:dyDescent="0.3">
      <c r="A102" s="58" t="s">
        <v>187</v>
      </c>
      <c r="B102" s="169">
        <f t="shared" si="125"/>
        <v>0</v>
      </c>
      <c r="C102" s="173">
        <f t="shared" ref="C102:P102" si="142">IFERROR(C66/$B$33,0)</f>
        <v>0</v>
      </c>
      <c r="D102" s="173">
        <f t="shared" si="142"/>
        <v>0</v>
      </c>
      <c r="E102" s="173">
        <f t="shared" si="142"/>
        <v>0</v>
      </c>
      <c r="F102" s="173">
        <f t="shared" si="142"/>
        <v>0</v>
      </c>
      <c r="G102" s="173">
        <f t="shared" si="142"/>
        <v>0</v>
      </c>
      <c r="H102" s="173">
        <f t="shared" si="142"/>
        <v>0</v>
      </c>
      <c r="I102" s="173">
        <f t="shared" si="142"/>
        <v>0</v>
      </c>
      <c r="J102" s="173">
        <f t="shared" si="142"/>
        <v>0</v>
      </c>
      <c r="K102" s="173">
        <f t="shared" si="142"/>
        <v>0</v>
      </c>
      <c r="L102" s="173">
        <f t="shared" si="142"/>
        <v>0</v>
      </c>
      <c r="M102" s="173">
        <f t="shared" si="142"/>
        <v>0</v>
      </c>
      <c r="N102" s="173">
        <f t="shared" si="142"/>
        <v>0</v>
      </c>
      <c r="O102" s="173">
        <f t="shared" si="142"/>
        <v>0</v>
      </c>
      <c r="P102" s="173">
        <f t="shared" si="142"/>
        <v>0</v>
      </c>
      <c r="Q102" s="173">
        <f t="shared" ref="Q102:AW102" si="143">IFERROR(Q66/$B$33,0)</f>
        <v>0</v>
      </c>
      <c r="R102" s="173">
        <f t="shared" si="143"/>
        <v>0</v>
      </c>
      <c r="S102" s="173">
        <f t="shared" si="143"/>
        <v>0</v>
      </c>
      <c r="T102" s="173">
        <f t="shared" si="143"/>
        <v>0</v>
      </c>
      <c r="U102" s="173">
        <f t="shared" si="143"/>
        <v>0</v>
      </c>
      <c r="V102" s="173">
        <f t="shared" si="143"/>
        <v>0</v>
      </c>
      <c r="W102" s="173">
        <f t="shared" si="143"/>
        <v>0</v>
      </c>
      <c r="X102" s="173">
        <f t="shared" si="143"/>
        <v>0</v>
      </c>
      <c r="Y102" s="173">
        <f t="shared" si="143"/>
        <v>0</v>
      </c>
      <c r="Z102" s="173">
        <f t="shared" si="143"/>
        <v>0</v>
      </c>
      <c r="AA102" s="173">
        <f t="shared" si="143"/>
        <v>0</v>
      </c>
      <c r="AB102" s="173">
        <f t="shared" si="143"/>
        <v>0</v>
      </c>
      <c r="AC102" s="173">
        <f t="shared" si="143"/>
        <v>0</v>
      </c>
      <c r="AD102" s="173">
        <f t="shared" si="143"/>
        <v>0</v>
      </c>
      <c r="AE102" s="173">
        <f t="shared" si="143"/>
        <v>0</v>
      </c>
      <c r="AF102" s="173">
        <f t="shared" si="143"/>
        <v>0</v>
      </c>
      <c r="AG102" s="173">
        <f t="shared" si="143"/>
        <v>0</v>
      </c>
      <c r="AH102" s="173">
        <f t="shared" si="143"/>
        <v>0</v>
      </c>
      <c r="AI102" s="173">
        <f t="shared" si="143"/>
        <v>0</v>
      </c>
      <c r="AJ102" s="173">
        <f t="shared" si="143"/>
        <v>0</v>
      </c>
      <c r="AK102" s="173">
        <f t="shared" si="143"/>
        <v>0</v>
      </c>
      <c r="AL102" s="173">
        <f t="shared" si="143"/>
        <v>0</v>
      </c>
      <c r="AM102" s="173">
        <f t="shared" si="143"/>
        <v>0</v>
      </c>
      <c r="AN102" s="173">
        <f t="shared" si="143"/>
        <v>0</v>
      </c>
      <c r="AO102" s="173">
        <f t="shared" si="143"/>
        <v>0</v>
      </c>
      <c r="AP102" s="173">
        <f t="shared" si="143"/>
        <v>0</v>
      </c>
      <c r="AQ102" s="173">
        <f t="shared" si="143"/>
        <v>0</v>
      </c>
      <c r="AR102" s="173">
        <f t="shared" si="143"/>
        <v>0</v>
      </c>
      <c r="AS102" s="173">
        <f t="shared" si="143"/>
        <v>0</v>
      </c>
      <c r="AT102" s="173">
        <f t="shared" si="143"/>
        <v>0</v>
      </c>
      <c r="AU102" s="173">
        <f t="shared" si="143"/>
        <v>0</v>
      </c>
      <c r="AV102" s="173">
        <f t="shared" si="143"/>
        <v>0</v>
      </c>
      <c r="AW102" s="173">
        <f t="shared" si="143"/>
        <v>0</v>
      </c>
      <c r="AX102" s="170">
        <f t="shared" si="141"/>
        <v>0</v>
      </c>
      <c r="AY102" s="171">
        <f t="shared" si="141"/>
        <v>0</v>
      </c>
    </row>
    <row r="103" spans="1:51" x14ac:dyDescent="0.25">
      <c r="A103" s="51" t="s">
        <v>191</v>
      </c>
      <c r="B103" s="169">
        <f t="shared" si="125"/>
        <v>0</v>
      </c>
      <c r="C103" s="169">
        <f t="shared" ref="C103:AW103" si="144">IFERROR(C75/$B$33,0)</f>
        <v>3.2358802894044015E-3</v>
      </c>
      <c r="D103" s="169">
        <f t="shared" si="144"/>
        <v>0</v>
      </c>
      <c r="E103" s="169">
        <f t="shared" si="144"/>
        <v>0</v>
      </c>
      <c r="F103" s="169">
        <f t="shared" si="144"/>
        <v>0</v>
      </c>
      <c r="G103" s="169">
        <f t="shared" si="144"/>
        <v>0</v>
      </c>
      <c r="H103" s="169">
        <f t="shared" si="144"/>
        <v>9.6015464324950284E-3</v>
      </c>
      <c r="I103" s="169">
        <f t="shared" si="144"/>
        <v>0</v>
      </c>
      <c r="J103" s="169">
        <f t="shared" si="144"/>
        <v>0.30820433576130452</v>
      </c>
      <c r="K103" s="169">
        <f t="shared" si="144"/>
        <v>0</v>
      </c>
      <c r="L103" s="169">
        <f t="shared" si="144"/>
        <v>0.13638439711571668</v>
      </c>
      <c r="M103" s="169">
        <f t="shared" si="144"/>
        <v>2.3977342472308025E-2</v>
      </c>
      <c r="N103" s="169">
        <f t="shared" si="144"/>
        <v>0</v>
      </c>
      <c r="O103" s="169">
        <f t="shared" si="144"/>
        <v>0</v>
      </c>
      <c r="P103" s="169">
        <f t="shared" si="144"/>
        <v>8.646696511031433E-3</v>
      </c>
      <c r="Q103" s="169">
        <f t="shared" si="144"/>
        <v>0</v>
      </c>
      <c r="R103" s="169">
        <f t="shared" si="144"/>
        <v>2.259811480797172E-2</v>
      </c>
      <c r="S103" s="169">
        <f t="shared" si="144"/>
        <v>0</v>
      </c>
      <c r="T103" s="169">
        <f t="shared" si="144"/>
        <v>0</v>
      </c>
      <c r="U103" s="169">
        <f t="shared" si="144"/>
        <v>8.9119326003268742E-3</v>
      </c>
      <c r="V103" s="169">
        <f t="shared" si="144"/>
        <v>9.2302159074814077E-3</v>
      </c>
      <c r="W103" s="169">
        <f t="shared" si="144"/>
        <v>1.315571002905396E-2</v>
      </c>
      <c r="X103" s="169">
        <f t="shared" si="144"/>
        <v>174.96208450103524</v>
      </c>
      <c r="Y103" s="169">
        <f t="shared" si="144"/>
        <v>2.3128586986562609E-2</v>
      </c>
      <c r="Z103" s="169">
        <f t="shared" si="144"/>
        <v>0</v>
      </c>
      <c r="AA103" s="169">
        <f t="shared" si="144"/>
        <v>4.9333912608952356E-3</v>
      </c>
      <c r="AB103" s="169">
        <f t="shared" si="144"/>
        <v>0</v>
      </c>
      <c r="AC103" s="169">
        <f t="shared" si="144"/>
        <v>0</v>
      </c>
      <c r="AD103" s="169">
        <f t="shared" si="144"/>
        <v>8.667915398175069E-2</v>
      </c>
      <c r="AE103" s="169">
        <f t="shared" si="144"/>
        <v>0</v>
      </c>
      <c r="AF103" s="169">
        <f t="shared" si="144"/>
        <v>0</v>
      </c>
      <c r="AG103" s="169">
        <f t="shared" si="144"/>
        <v>2.4242578561603469E-2</v>
      </c>
      <c r="AH103" s="169">
        <f t="shared" si="144"/>
        <v>3.3207558379789434E-2</v>
      </c>
      <c r="AI103" s="169">
        <f t="shared" si="144"/>
        <v>0</v>
      </c>
      <c r="AJ103" s="169">
        <f t="shared" si="144"/>
        <v>1.8354337379244638E-2</v>
      </c>
      <c r="AK103" s="169">
        <f t="shared" si="144"/>
        <v>1.4375796039812998E-2</v>
      </c>
      <c r="AL103" s="169">
        <f t="shared" si="144"/>
        <v>0</v>
      </c>
      <c r="AM103" s="169">
        <f t="shared" si="144"/>
        <v>6.9332713741828741E-2</v>
      </c>
      <c r="AN103" s="169">
        <f t="shared" si="144"/>
        <v>0</v>
      </c>
      <c r="AO103" s="169">
        <f t="shared" si="144"/>
        <v>0</v>
      </c>
      <c r="AP103" s="169">
        <f t="shared" si="144"/>
        <v>7.5857521538496616E-3</v>
      </c>
      <c r="AQ103" s="169">
        <f t="shared" si="144"/>
        <v>0</v>
      </c>
      <c r="AR103" s="169">
        <f t="shared" si="144"/>
        <v>2.387124803658985E-2</v>
      </c>
      <c r="AS103" s="169">
        <f t="shared" si="144"/>
        <v>0</v>
      </c>
      <c r="AT103" s="169">
        <f t="shared" si="144"/>
        <v>0</v>
      </c>
      <c r="AU103" s="169">
        <f t="shared" si="144"/>
        <v>7.3205160645542194E-2</v>
      </c>
      <c r="AV103" s="169">
        <f t="shared" si="144"/>
        <v>0</v>
      </c>
      <c r="AW103" s="169">
        <f t="shared" si="144"/>
        <v>7.0552799752587769E-2</v>
      </c>
      <c r="AX103" s="169">
        <f t="shared" si="141"/>
        <v>0</v>
      </c>
      <c r="AY103" s="172">
        <f t="shared" si="141"/>
        <v>0</v>
      </c>
    </row>
    <row r="104" spans="1:51" x14ac:dyDescent="0.25">
      <c r="A104" s="51" t="s">
        <v>189</v>
      </c>
      <c r="B104" s="169">
        <f t="shared" si="125"/>
        <v>0</v>
      </c>
      <c r="C104" s="169">
        <f t="shared" ref="C104:AW104" si="145">IFERROR(C76/$B$33,0)</f>
        <v>2.5462664572362503E-3</v>
      </c>
      <c r="D104" s="169">
        <f t="shared" si="145"/>
        <v>0</v>
      </c>
      <c r="E104" s="169">
        <f t="shared" si="145"/>
        <v>5.5169106573452094E-3</v>
      </c>
      <c r="F104" s="169">
        <f t="shared" si="145"/>
        <v>0</v>
      </c>
      <c r="G104" s="169">
        <f t="shared" si="145"/>
        <v>0</v>
      </c>
      <c r="H104" s="169">
        <f t="shared" si="145"/>
        <v>2.4136484125885291E-2</v>
      </c>
      <c r="I104" s="169">
        <f t="shared" si="145"/>
        <v>0</v>
      </c>
      <c r="J104" s="169">
        <f t="shared" si="145"/>
        <v>0.53370805888028983</v>
      </c>
      <c r="K104" s="169">
        <f t="shared" si="145"/>
        <v>0</v>
      </c>
      <c r="L104" s="169">
        <f t="shared" si="145"/>
        <v>0.21584912946863133</v>
      </c>
      <c r="M104" s="169">
        <f t="shared" si="145"/>
        <v>2.8804639297485082E-2</v>
      </c>
      <c r="N104" s="169">
        <f t="shared" si="145"/>
        <v>0</v>
      </c>
      <c r="O104" s="169">
        <f t="shared" si="145"/>
        <v>0</v>
      </c>
      <c r="P104" s="169">
        <f t="shared" si="145"/>
        <v>2.7690647722444225E-2</v>
      </c>
      <c r="Q104" s="169">
        <f t="shared" si="145"/>
        <v>0</v>
      </c>
      <c r="R104" s="169">
        <f t="shared" si="145"/>
        <v>6.4240180827356233E-2</v>
      </c>
      <c r="S104" s="169">
        <f t="shared" si="145"/>
        <v>0</v>
      </c>
      <c r="T104" s="169">
        <f t="shared" si="145"/>
        <v>0</v>
      </c>
      <c r="U104" s="169">
        <f t="shared" si="145"/>
        <v>2.1165839925776326E-2</v>
      </c>
      <c r="V104" s="169">
        <f t="shared" si="145"/>
        <v>2.8857686515344171E-2</v>
      </c>
      <c r="W104" s="169">
        <f t="shared" si="145"/>
        <v>2.8486355990330555E-2</v>
      </c>
      <c r="X104" s="169">
        <f t="shared" si="145"/>
        <v>233.34903530981964</v>
      </c>
      <c r="Y104" s="169">
        <f t="shared" si="145"/>
        <v>5.4373398305565757E-2</v>
      </c>
      <c r="Z104" s="169">
        <f t="shared" si="145"/>
        <v>0.14980534323406605</v>
      </c>
      <c r="AA104" s="169">
        <f t="shared" si="145"/>
        <v>1.7717770764935574E-2</v>
      </c>
      <c r="AB104" s="169">
        <f t="shared" si="145"/>
        <v>0</v>
      </c>
      <c r="AC104" s="169">
        <f t="shared" si="145"/>
        <v>0</v>
      </c>
      <c r="AD104" s="169">
        <f t="shared" si="145"/>
        <v>0.16890234166333795</v>
      </c>
      <c r="AE104" s="169">
        <f t="shared" si="145"/>
        <v>4.7742496073179697E-3</v>
      </c>
      <c r="AF104" s="169">
        <f t="shared" si="145"/>
        <v>0</v>
      </c>
      <c r="AG104" s="169">
        <f t="shared" si="145"/>
        <v>3.2995369508353078E-2</v>
      </c>
      <c r="AH104" s="169">
        <f t="shared" si="145"/>
        <v>6.2118292112992683E-2</v>
      </c>
      <c r="AI104" s="169">
        <f t="shared" si="145"/>
        <v>0</v>
      </c>
      <c r="AJ104" s="169">
        <f t="shared" si="145"/>
        <v>5.0288762530415948E-2</v>
      </c>
      <c r="AK104" s="169">
        <f t="shared" si="145"/>
        <v>4.7265071112447897E-2</v>
      </c>
      <c r="AL104" s="169">
        <f t="shared" si="145"/>
        <v>0</v>
      </c>
      <c r="AM104" s="169">
        <f t="shared" si="145"/>
        <v>0.10853460773969519</v>
      </c>
      <c r="AN104" s="169">
        <f t="shared" si="145"/>
        <v>0</v>
      </c>
      <c r="AO104" s="169">
        <f t="shared" si="145"/>
        <v>1.1511246275422217E-2</v>
      </c>
      <c r="AP104" s="169">
        <f t="shared" si="145"/>
        <v>1.4853221000544793E-2</v>
      </c>
      <c r="AQ104" s="169">
        <f t="shared" si="145"/>
        <v>1.5914165357726565E-3</v>
      </c>
      <c r="AR104" s="169">
        <f t="shared" si="145"/>
        <v>1.4853221000544793E-2</v>
      </c>
      <c r="AS104" s="169">
        <f t="shared" si="145"/>
        <v>0</v>
      </c>
      <c r="AT104" s="169">
        <f t="shared" si="145"/>
        <v>1.6656826407753806E-2</v>
      </c>
      <c r="AU104" s="169">
        <f t="shared" si="145"/>
        <v>0.11877272078649928</v>
      </c>
      <c r="AV104" s="169">
        <f t="shared" si="145"/>
        <v>0</v>
      </c>
      <c r="AW104" s="169">
        <f t="shared" si="145"/>
        <v>0.21059745490058154</v>
      </c>
      <c r="AX104" s="169">
        <f t="shared" si="141"/>
        <v>0</v>
      </c>
      <c r="AY104" s="172">
        <f t="shared" si="141"/>
        <v>0</v>
      </c>
    </row>
    <row r="105" spans="1:51" ht="14.4" thickBot="1" x14ac:dyDescent="0.3">
      <c r="A105" s="51" t="s">
        <v>190</v>
      </c>
      <c r="B105" s="169">
        <f t="shared" si="125"/>
        <v>0.15015015015015015</v>
      </c>
      <c r="C105" s="169">
        <f t="shared" ref="C105:AW105" si="146">IFERROR(C77/$B$33,0)</f>
        <v>4.137682993008907E-3</v>
      </c>
      <c r="D105" s="169">
        <f t="shared" si="146"/>
        <v>0</v>
      </c>
      <c r="E105" s="169">
        <f t="shared" si="146"/>
        <v>0</v>
      </c>
      <c r="F105" s="169">
        <f t="shared" si="146"/>
        <v>0</v>
      </c>
      <c r="G105" s="169">
        <f t="shared" si="146"/>
        <v>0</v>
      </c>
      <c r="H105" s="169">
        <f t="shared" si="146"/>
        <v>4.7742496073179697E-3</v>
      </c>
      <c r="I105" s="169">
        <f t="shared" si="146"/>
        <v>1.9574423390003676E-2</v>
      </c>
      <c r="J105" s="169">
        <f t="shared" si="146"/>
        <v>0.18163367394951921</v>
      </c>
      <c r="K105" s="169">
        <f t="shared" si="146"/>
        <v>0</v>
      </c>
      <c r="L105" s="169">
        <f t="shared" si="146"/>
        <v>9.277958403554587E-2</v>
      </c>
      <c r="M105" s="169">
        <f t="shared" si="146"/>
        <v>1.2943521157617606E-2</v>
      </c>
      <c r="N105" s="169">
        <f t="shared" si="146"/>
        <v>0</v>
      </c>
      <c r="O105" s="169">
        <f t="shared" si="146"/>
        <v>0</v>
      </c>
      <c r="P105" s="169">
        <f t="shared" si="146"/>
        <v>8.328413203876903E-3</v>
      </c>
      <c r="Q105" s="169">
        <f t="shared" si="146"/>
        <v>0</v>
      </c>
      <c r="R105" s="169">
        <f t="shared" si="146"/>
        <v>0</v>
      </c>
      <c r="S105" s="169">
        <f t="shared" si="146"/>
        <v>0</v>
      </c>
      <c r="T105" s="169">
        <f t="shared" si="146"/>
        <v>0</v>
      </c>
      <c r="U105" s="169">
        <f t="shared" si="146"/>
        <v>8.9649798181859683E-3</v>
      </c>
      <c r="V105" s="169">
        <f t="shared" si="146"/>
        <v>3.2889275072634904E-3</v>
      </c>
      <c r="W105" s="169">
        <f t="shared" si="146"/>
        <v>0</v>
      </c>
      <c r="X105" s="169">
        <f t="shared" si="146"/>
        <v>134.71653953900906</v>
      </c>
      <c r="Y105" s="169">
        <f t="shared" si="146"/>
        <v>1.4853221000544793E-2</v>
      </c>
      <c r="Z105" s="169">
        <f t="shared" si="146"/>
        <v>0</v>
      </c>
      <c r="AA105" s="169">
        <f t="shared" si="146"/>
        <v>0</v>
      </c>
      <c r="AB105" s="169">
        <f t="shared" si="146"/>
        <v>0</v>
      </c>
      <c r="AC105" s="169">
        <f t="shared" si="146"/>
        <v>0</v>
      </c>
      <c r="AD105" s="169">
        <f t="shared" si="146"/>
        <v>6.7423013898901554E-2</v>
      </c>
      <c r="AE105" s="169">
        <f t="shared" si="146"/>
        <v>0</v>
      </c>
      <c r="AF105" s="169">
        <f t="shared" si="146"/>
        <v>0</v>
      </c>
      <c r="AG105" s="169">
        <f t="shared" si="146"/>
        <v>0</v>
      </c>
      <c r="AH105" s="169">
        <f t="shared" si="146"/>
        <v>1.9892706697158206E-2</v>
      </c>
      <c r="AI105" s="169">
        <f t="shared" si="146"/>
        <v>0</v>
      </c>
      <c r="AJ105" s="169">
        <f t="shared" si="146"/>
        <v>1.5542834832712946E-2</v>
      </c>
      <c r="AK105" s="169">
        <f t="shared" si="146"/>
        <v>6.3656661430906269E-3</v>
      </c>
      <c r="AL105" s="169">
        <f t="shared" si="146"/>
        <v>0</v>
      </c>
      <c r="AM105" s="169">
        <f t="shared" si="146"/>
        <v>0</v>
      </c>
      <c r="AN105" s="169">
        <f t="shared" si="146"/>
        <v>0</v>
      </c>
      <c r="AO105" s="169">
        <f t="shared" si="146"/>
        <v>0</v>
      </c>
      <c r="AP105" s="169">
        <f t="shared" si="146"/>
        <v>1.1246010186126773E-2</v>
      </c>
      <c r="AQ105" s="169">
        <f t="shared" si="146"/>
        <v>0</v>
      </c>
      <c r="AR105" s="169">
        <f t="shared" si="146"/>
        <v>1.2572190632603987E-2</v>
      </c>
      <c r="AS105" s="169">
        <f t="shared" si="146"/>
        <v>0</v>
      </c>
      <c r="AT105" s="169">
        <f t="shared" si="146"/>
        <v>0</v>
      </c>
      <c r="AU105" s="169">
        <f t="shared" si="146"/>
        <v>3.6496485887052926E-2</v>
      </c>
      <c r="AV105" s="169">
        <f t="shared" si="146"/>
        <v>3.9891507830034589E-2</v>
      </c>
      <c r="AW105" s="169">
        <f t="shared" si="146"/>
        <v>4.7318118330306982E-2</v>
      </c>
      <c r="AX105" s="173">
        <f t="shared" si="141"/>
        <v>0</v>
      </c>
      <c r="AY105" s="174">
        <f t="shared" si="141"/>
        <v>0</v>
      </c>
    </row>
    <row r="106" spans="1:51" ht="14.4" thickBot="1" x14ac:dyDescent="0.3">
      <c r="A106" s="51" t="s">
        <v>192</v>
      </c>
      <c r="B106" s="169">
        <f t="shared" si="125"/>
        <v>0</v>
      </c>
      <c r="C106" s="169">
        <f t="shared" ref="C106:AW106" si="147">IFERROR(C78/$B$33,0)</f>
        <v>2.6523608929544277E-3</v>
      </c>
      <c r="D106" s="169">
        <f t="shared" si="147"/>
        <v>0</v>
      </c>
      <c r="E106" s="169">
        <f t="shared" si="147"/>
        <v>0</v>
      </c>
      <c r="F106" s="169">
        <f t="shared" si="147"/>
        <v>0</v>
      </c>
      <c r="G106" s="169">
        <f t="shared" si="147"/>
        <v>0</v>
      </c>
      <c r="H106" s="169">
        <f t="shared" si="147"/>
        <v>6.6839494502451569E-3</v>
      </c>
      <c r="I106" s="169">
        <f t="shared" si="147"/>
        <v>0</v>
      </c>
      <c r="J106" s="169">
        <f t="shared" si="147"/>
        <v>0.22582200642613995</v>
      </c>
      <c r="K106" s="169">
        <f t="shared" si="147"/>
        <v>0</v>
      </c>
      <c r="L106" s="169">
        <f t="shared" si="147"/>
        <v>7.8085504688578361E-2</v>
      </c>
      <c r="M106" s="169">
        <f t="shared" si="147"/>
        <v>1.2731332286181252E-2</v>
      </c>
      <c r="N106" s="169">
        <f t="shared" si="147"/>
        <v>0</v>
      </c>
      <c r="O106" s="169">
        <f t="shared" si="147"/>
        <v>0</v>
      </c>
      <c r="P106" s="169">
        <f t="shared" si="147"/>
        <v>6.6839494502451569E-3</v>
      </c>
      <c r="Q106" s="169">
        <f t="shared" si="147"/>
        <v>0</v>
      </c>
      <c r="R106" s="169">
        <f t="shared" si="147"/>
        <v>2.5674853443798856E-2</v>
      </c>
      <c r="S106" s="169">
        <f t="shared" si="147"/>
        <v>0</v>
      </c>
      <c r="T106" s="169">
        <f t="shared" si="147"/>
        <v>1.8460431814962815E-2</v>
      </c>
      <c r="U106" s="169">
        <f t="shared" si="147"/>
        <v>8.646696511031433E-3</v>
      </c>
      <c r="V106" s="169">
        <f t="shared" si="147"/>
        <v>1.0556396353958622E-2</v>
      </c>
      <c r="W106" s="169">
        <f t="shared" si="147"/>
        <v>9.9198297396495584E-3</v>
      </c>
      <c r="X106" s="169">
        <f t="shared" si="147"/>
        <v>103.58238471645997</v>
      </c>
      <c r="Y106" s="169">
        <f t="shared" si="147"/>
        <v>1.2306954543308544E-2</v>
      </c>
      <c r="Z106" s="169">
        <f t="shared" si="147"/>
        <v>0</v>
      </c>
      <c r="AA106" s="169">
        <f t="shared" si="147"/>
        <v>0</v>
      </c>
      <c r="AB106" s="169">
        <f t="shared" si="147"/>
        <v>0</v>
      </c>
      <c r="AC106" s="169">
        <f t="shared" si="147"/>
        <v>0</v>
      </c>
      <c r="AD106" s="169">
        <f t="shared" si="147"/>
        <v>6.3497519777328995E-2</v>
      </c>
      <c r="AE106" s="169">
        <f t="shared" si="147"/>
        <v>0</v>
      </c>
      <c r="AF106" s="169">
        <f t="shared" si="147"/>
        <v>0</v>
      </c>
      <c r="AG106" s="169">
        <f t="shared" si="147"/>
        <v>0</v>
      </c>
      <c r="AH106" s="169">
        <f t="shared" si="147"/>
        <v>2.0900603836480885E-2</v>
      </c>
      <c r="AI106" s="169">
        <f t="shared" si="147"/>
        <v>0</v>
      </c>
      <c r="AJ106" s="169">
        <f t="shared" si="147"/>
        <v>1.8460431814962815E-2</v>
      </c>
      <c r="AK106" s="169">
        <f t="shared" si="147"/>
        <v>2.4720003522335266E-2</v>
      </c>
      <c r="AL106" s="169">
        <f t="shared" si="147"/>
        <v>0</v>
      </c>
      <c r="AM106" s="169">
        <f t="shared" si="147"/>
        <v>7.1083271931178652E-2</v>
      </c>
      <c r="AN106" s="169">
        <f t="shared" si="147"/>
        <v>0</v>
      </c>
      <c r="AO106" s="169">
        <f t="shared" si="147"/>
        <v>0</v>
      </c>
      <c r="AP106" s="169">
        <f t="shared" si="147"/>
        <v>6.7900438859633348E-3</v>
      </c>
      <c r="AQ106" s="169">
        <f t="shared" si="147"/>
        <v>0</v>
      </c>
      <c r="AR106" s="169">
        <f t="shared" si="147"/>
        <v>1.0662490789676798E-2</v>
      </c>
      <c r="AS106" s="169">
        <f t="shared" si="147"/>
        <v>0</v>
      </c>
      <c r="AT106" s="169">
        <f t="shared" si="147"/>
        <v>0</v>
      </c>
      <c r="AU106" s="169">
        <f t="shared" si="147"/>
        <v>0</v>
      </c>
      <c r="AV106" s="169">
        <f t="shared" si="147"/>
        <v>0</v>
      </c>
      <c r="AW106" s="169">
        <f t="shared" si="147"/>
        <v>9.3681386739150371E-2</v>
      </c>
      <c r="AX106" s="169">
        <f t="shared" ref="AX106:AY114" si="148">IFERROR(AX78/$B$33,0)</f>
        <v>2.2332878718676279E-2</v>
      </c>
      <c r="AY106" s="169">
        <f t="shared" si="148"/>
        <v>0</v>
      </c>
    </row>
    <row r="107" spans="1:51" x14ac:dyDescent="0.25">
      <c r="A107" s="51" t="s">
        <v>193</v>
      </c>
      <c r="B107" s="169">
        <f t="shared" si="125"/>
        <v>0</v>
      </c>
      <c r="C107" s="170">
        <f t="shared" ref="C107:AW107" si="149">IFERROR(C79/$B$33,0)</f>
        <v>0</v>
      </c>
      <c r="D107" s="170">
        <f t="shared" si="149"/>
        <v>0</v>
      </c>
      <c r="E107" s="170">
        <f t="shared" si="149"/>
        <v>9.8537938437334386E-3</v>
      </c>
      <c r="F107" s="170">
        <f t="shared" si="149"/>
        <v>0</v>
      </c>
      <c r="G107" s="170">
        <f t="shared" si="149"/>
        <v>0</v>
      </c>
      <c r="H107" s="170">
        <f t="shared" si="149"/>
        <v>4.034380516125419E-3</v>
      </c>
      <c r="I107" s="170">
        <f t="shared" si="149"/>
        <v>0</v>
      </c>
      <c r="J107" s="170">
        <f t="shared" si="149"/>
        <v>5.0795157490665854E-3</v>
      </c>
      <c r="K107" s="170">
        <f t="shared" si="149"/>
        <v>3.9790813769055599E-4</v>
      </c>
      <c r="L107" s="170">
        <f t="shared" si="149"/>
        <v>5.9642012409604588E-3</v>
      </c>
      <c r="M107" s="170">
        <f t="shared" si="149"/>
        <v>3.227481431960927E-3</v>
      </c>
      <c r="N107" s="170">
        <f t="shared" si="149"/>
        <v>0</v>
      </c>
      <c r="O107" s="170">
        <f t="shared" si="149"/>
        <v>0</v>
      </c>
      <c r="P107" s="170">
        <f t="shared" si="149"/>
        <v>2.2545067590112634E-2</v>
      </c>
      <c r="Q107" s="170">
        <f t="shared" si="149"/>
        <v>0</v>
      </c>
      <c r="R107" s="170">
        <f t="shared" si="149"/>
        <v>0</v>
      </c>
      <c r="S107" s="170">
        <f t="shared" si="149"/>
        <v>0</v>
      </c>
      <c r="T107" s="170">
        <f t="shared" si="149"/>
        <v>0</v>
      </c>
      <c r="U107" s="170">
        <f t="shared" si="149"/>
        <v>1.0314055875328793E-2</v>
      </c>
      <c r="V107" s="170">
        <f t="shared" si="149"/>
        <v>1.0548500005520755E-5</v>
      </c>
      <c r="W107" s="170">
        <f t="shared" si="149"/>
        <v>0</v>
      </c>
      <c r="X107" s="170">
        <f t="shared" si="149"/>
        <v>2.2545067590112634E-2</v>
      </c>
      <c r="Y107" s="170">
        <f t="shared" si="149"/>
        <v>2.2545067590112634E-2</v>
      </c>
      <c r="Z107" s="170">
        <f t="shared" si="149"/>
        <v>2.2545067590112634E-2</v>
      </c>
      <c r="AA107" s="170">
        <f t="shared" si="149"/>
        <v>0</v>
      </c>
      <c r="AB107" s="170">
        <f t="shared" si="149"/>
        <v>0</v>
      </c>
      <c r="AC107" s="170">
        <f t="shared" si="149"/>
        <v>0</v>
      </c>
      <c r="AD107" s="170">
        <f t="shared" si="149"/>
        <v>5.8205401861362576E-4</v>
      </c>
      <c r="AE107" s="170">
        <f t="shared" si="149"/>
        <v>0</v>
      </c>
      <c r="AF107" s="170">
        <f t="shared" si="149"/>
        <v>0</v>
      </c>
      <c r="AG107" s="170">
        <f t="shared" si="149"/>
        <v>7.9115558231037334E-3</v>
      </c>
      <c r="AH107" s="170">
        <f t="shared" si="149"/>
        <v>8.4695516013931198E-3</v>
      </c>
      <c r="AI107" s="170">
        <f t="shared" si="149"/>
        <v>0</v>
      </c>
      <c r="AJ107" s="170">
        <f t="shared" si="149"/>
        <v>6.9031679700676179E-5</v>
      </c>
      <c r="AK107" s="170">
        <f t="shared" si="149"/>
        <v>5.2061677277915972E-3</v>
      </c>
      <c r="AL107" s="170">
        <f t="shared" si="149"/>
        <v>0</v>
      </c>
      <c r="AM107" s="170">
        <f t="shared" si="149"/>
        <v>0</v>
      </c>
      <c r="AN107" s="170">
        <f t="shared" si="149"/>
        <v>0</v>
      </c>
      <c r="AO107" s="170">
        <f t="shared" si="149"/>
        <v>0</v>
      </c>
      <c r="AP107" s="170">
        <f t="shared" si="149"/>
        <v>1.0368208236406105E-4</v>
      </c>
      <c r="AQ107" s="170">
        <f t="shared" si="149"/>
        <v>0</v>
      </c>
      <c r="AR107" s="170">
        <f t="shared" si="149"/>
        <v>1.0671803153940462E-2</v>
      </c>
      <c r="AS107" s="170">
        <f t="shared" si="149"/>
        <v>0</v>
      </c>
      <c r="AT107" s="170">
        <f t="shared" si="149"/>
        <v>2.2545067590112634E-2</v>
      </c>
      <c r="AU107" s="170">
        <f t="shared" si="149"/>
        <v>0</v>
      </c>
      <c r="AV107" s="170">
        <f t="shared" si="149"/>
        <v>0</v>
      </c>
      <c r="AW107" s="170">
        <f t="shared" si="149"/>
        <v>7.8954148063218391E-3</v>
      </c>
      <c r="AX107" s="169">
        <f t="shared" si="148"/>
        <v>1.5277598743417503E-2</v>
      </c>
      <c r="AY107" s="169">
        <f t="shared" si="148"/>
        <v>0</v>
      </c>
    </row>
    <row r="108" spans="1:51" x14ac:dyDescent="0.25">
      <c r="A108" s="51" t="s">
        <v>194</v>
      </c>
      <c r="B108" s="169">
        <f t="shared" si="125"/>
        <v>0</v>
      </c>
      <c r="C108" s="169">
        <f t="shared" ref="C108:AW108" si="150">IFERROR(C80/$B$33,0)</f>
        <v>0</v>
      </c>
      <c r="D108" s="169">
        <f t="shared" si="150"/>
        <v>0</v>
      </c>
      <c r="E108" s="169">
        <f t="shared" si="150"/>
        <v>1.8675776813777512E-2</v>
      </c>
      <c r="F108" s="169">
        <f t="shared" si="150"/>
        <v>2.2545067590112634E-2</v>
      </c>
      <c r="G108" s="169">
        <f t="shared" si="150"/>
        <v>2.2545067590112634E-2</v>
      </c>
      <c r="H108" s="169">
        <f t="shared" si="150"/>
        <v>2.2545067590112634E-2</v>
      </c>
      <c r="I108" s="169">
        <f t="shared" si="150"/>
        <v>0</v>
      </c>
      <c r="J108" s="169">
        <f t="shared" si="150"/>
        <v>2.2545067590112634E-2</v>
      </c>
      <c r="K108" s="169">
        <f t="shared" si="150"/>
        <v>2.2545067590112634E-2</v>
      </c>
      <c r="L108" s="169">
        <f t="shared" si="150"/>
        <v>2.2545067590112634E-2</v>
      </c>
      <c r="M108" s="169">
        <f t="shared" si="150"/>
        <v>2.2545067590112634E-2</v>
      </c>
      <c r="N108" s="169">
        <f t="shared" si="150"/>
        <v>0</v>
      </c>
      <c r="O108" s="169">
        <f t="shared" si="150"/>
        <v>2.2545067590112634E-2</v>
      </c>
      <c r="P108" s="169">
        <f t="shared" si="150"/>
        <v>1.2942538801731325E-2</v>
      </c>
      <c r="Q108" s="169">
        <f t="shared" si="150"/>
        <v>0</v>
      </c>
      <c r="R108" s="169">
        <f t="shared" si="150"/>
        <v>2.2545067590112634E-2</v>
      </c>
      <c r="S108" s="169">
        <f t="shared" si="150"/>
        <v>0</v>
      </c>
      <c r="T108" s="169">
        <f t="shared" si="150"/>
        <v>0</v>
      </c>
      <c r="U108" s="169">
        <f t="shared" si="150"/>
        <v>2.2545067590112634E-2</v>
      </c>
      <c r="V108" s="169">
        <f t="shared" si="150"/>
        <v>2.2545067590112634E-2</v>
      </c>
      <c r="W108" s="169">
        <f t="shared" si="150"/>
        <v>0</v>
      </c>
      <c r="X108" s="169">
        <f t="shared" si="150"/>
        <v>9.9005966286290076E-3</v>
      </c>
      <c r="Y108" s="169">
        <f t="shared" si="150"/>
        <v>1.2691902388259993E-2</v>
      </c>
      <c r="Z108" s="169">
        <f t="shared" si="150"/>
        <v>0</v>
      </c>
      <c r="AA108" s="169">
        <f t="shared" si="150"/>
        <v>0</v>
      </c>
      <c r="AB108" s="169">
        <f t="shared" si="150"/>
        <v>0</v>
      </c>
      <c r="AC108" s="169">
        <f t="shared" si="150"/>
        <v>0</v>
      </c>
      <c r="AD108" s="169">
        <f t="shared" si="150"/>
        <v>2.2545067590112634E-2</v>
      </c>
      <c r="AE108" s="169">
        <f t="shared" si="150"/>
        <v>0</v>
      </c>
      <c r="AF108" s="169">
        <f t="shared" si="150"/>
        <v>0</v>
      </c>
      <c r="AG108" s="169">
        <f t="shared" si="150"/>
        <v>2.2545067590112634E-2</v>
      </c>
      <c r="AH108" s="169">
        <f t="shared" si="150"/>
        <v>2.2545067590112634E-2</v>
      </c>
      <c r="AI108" s="169">
        <f t="shared" si="150"/>
        <v>0</v>
      </c>
      <c r="AJ108" s="169">
        <f t="shared" si="150"/>
        <v>2.2545067590112634E-2</v>
      </c>
      <c r="AK108" s="169">
        <f t="shared" si="150"/>
        <v>2.2545067590112634E-2</v>
      </c>
      <c r="AL108" s="169">
        <f t="shared" si="150"/>
        <v>0</v>
      </c>
      <c r="AM108" s="169">
        <f t="shared" si="150"/>
        <v>2.2545067590112634E-2</v>
      </c>
      <c r="AN108" s="169">
        <f t="shared" si="150"/>
        <v>0</v>
      </c>
      <c r="AO108" s="169">
        <f t="shared" si="150"/>
        <v>0</v>
      </c>
      <c r="AP108" s="169">
        <f t="shared" si="150"/>
        <v>2.2545067590112634E-2</v>
      </c>
      <c r="AQ108" s="169">
        <f t="shared" si="150"/>
        <v>0</v>
      </c>
      <c r="AR108" s="169">
        <f t="shared" si="150"/>
        <v>2.2545067590112634E-2</v>
      </c>
      <c r="AS108" s="169">
        <f t="shared" si="150"/>
        <v>0</v>
      </c>
      <c r="AT108" s="169">
        <f t="shared" si="150"/>
        <v>1.8025292703312008E-2</v>
      </c>
      <c r="AU108" s="169">
        <f t="shared" si="150"/>
        <v>0</v>
      </c>
      <c r="AV108" s="169">
        <f t="shared" si="150"/>
        <v>0</v>
      </c>
      <c r="AW108" s="169">
        <f t="shared" si="150"/>
        <v>2.2545067590112634E-2</v>
      </c>
      <c r="AX108" s="169">
        <f t="shared" si="148"/>
        <v>5.3577690037679435E-3</v>
      </c>
      <c r="AY108" s="169">
        <f t="shared" si="148"/>
        <v>0</v>
      </c>
    </row>
    <row r="109" spans="1:51" ht="14.4" thickBot="1" x14ac:dyDescent="0.3">
      <c r="A109" s="51" t="s">
        <v>680</v>
      </c>
      <c r="B109" s="169">
        <f t="shared" si="125"/>
        <v>2.2545067590112634E-2</v>
      </c>
      <c r="C109" s="169">
        <f t="shared" ref="C109:AW109" si="151">IFERROR(C81/$B$33,0)</f>
        <v>0</v>
      </c>
      <c r="D109" s="169">
        <f t="shared" si="151"/>
        <v>0</v>
      </c>
      <c r="E109" s="169">
        <f t="shared" si="151"/>
        <v>0</v>
      </c>
      <c r="F109" s="169">
        <f t="shared" si="151"/>
        <v>0</v>
      </c>
      <c r="G109" s="169">
        <f t="shared" si="151"/>
        <v>0</v>
      </c>
      <c r="H109" s="169">
        <f t="shared" si="151"/>
        <v>2.4873666120546799E-3</v>
      </c>
      <c r="I109" s="169">
        <f t="shared" si="151"/>
        <v>0</v>
      </c>
      <c r="J109" s="169">
        <f t="shared" si="151"/>
        <v>3.8761459534893804E-3</v>
      </c>
      <c r="K109" s="169">
        <f t="shared" si="151"/>
        <v>2.2545067590112634E-2</v>
      </c>
      <c r="L109" s="169">
        <f t="shared" si="151"/>
        <v>3.858688146987338E-3</v>
      </c>
      <c r="M109" s="169">
        <f t="shared" si="151"/>
        <v>3.237217702027203E-3</v>
      </c>
      <c r="N109" s="169">
        <f t="shared" si="151"/>
        <v>0</v>
      </c>
      <c r="O109" s="169">
        <f t="shared" si="151"/>
        <v>0</v>
      </c>
      <c r="P109" s="169">
        <f t="shared" si="151"/>
        <v>1.0712021064915395E-2</v>
      </c>
      <c r="Q109" s="169">
        <f t="shared" si="151"/>
        <v>0</v>
      </c>
      <c r="R109" s="169">
        <f t="shared" si="151"/>
        <v>0</v>
      </c>
      <c r="S109" s="169">
        <f t="shared" si="151"/>
        <v>0</v>
      </c>
      <c r="T109" s="169">
        <f t="shared" si="151"/>
        <v>0</v>
      </c>
      <c r="U109" s="169">
        <f t="shared" si="151"/>
        <v>3.5480762109029681E-3</v>
      </c>
      <c r="V109" s="169">
        <f t="shared" si="151"/>
        <v>5.9145029220887876E-3</v>
      </c>
      <c r="W109" s="169">
        <f t="shared" si="151"/>
        <v>0</v>
      </c>
      <c r="X109" s="169">
        <f t="shared" si="151"/>
        <v>1.3365985584980972E-2</v>
      </c>
      <c r="Y109" s="169">
        <f t="shared" si="151"/>
        <v>3.4066221323398732E-3</v>
      </c>
      <c r="Z109" s="169">
        <f t="shared" si="151"/>
        <v>0</v>
      </c>
      <c r="AA109" s="169">
        <f t="shared" si="151"/>
        <v>0</v>
      </c>
      <c r="AB109" s="169">
        <f t="shared" si="151"/>
        <v>0</v>
      </c>
      <c r="AC109" s="169">
        <f t="shared" si="151"/>
        <v>0</v>
      </c>
      <c r="AD109" s="169">
        <f t="shared" si="151"/>
        <v>3.5541522264554378E-3</v>
      </c>
      <c r="AE109" s="169">
        <f t="shared" si="151"/>
        <v>0</v>
      </c>
      <c r="AF109" s="169">
        <f t="shared" si="151"/>
        <v>0</v>
      </c>
      <c r="AG109" s="169">
        <f t="shared" si="151"/>
        <v>5.067789719911721E-3</v>
      </c>
      <c r="AH109" s="169">
        <f t="shared" si="151"/>
        <v>2.6641953858516018E-3</v>
      </c>
      <c r="AI109" s="169">
        <f t="shared" si="151"/>
        <v>0</v>
      </c>
      <c r="AJ109" s="169">
        <f t="shared" si="151"/>
        <v>1.1792086103580408E-3</v>
      </c>
      <c r="AK109" s="169">
        <f t="shared" si="151"/>
        <v>2.0983162977501611E-3</v>
      </c>
      <c r="AL109" s="169">
        <f t="shared" si="151"/>
        <v>0</v>
      </c>
      <c r="AM109" s="169">
        <f t="shared" si="151"/>
        <v>0</v>
      </c>
      <c r="AN109" s="169">
        <f t="shared" si="151"/>
        <v>0</v>
      </c>
      <c r="AO109" s="169">
        <f t="shared" si="151"/>
        <v>0</v>
      </c>
      <c r="AP109" s="169">
        <f t="shared" si="151"/>
        <v>1.220524935729502E-2</v>
      </c>
      <c r="AQ109" s="169">
        <f t="shared" si="151"/>
        <v>0</v>
      </c>
      <c r="AR109" s="169">
        <f t="shared" si="151"/>
        <v>1.1337692949941034E-2</v>
      </c>
      <c r="AS109" s="169">
        <f t="shared" si="151"/>
        <v>0</v>
      </c>
      <c r="AT109" s="169">
        <f t="shared" si="151"/>
        <v>4.5029692639769201E-3</v>
      </c>
      <c r="AU109" s="169">
        <f t="shared" si="151"/>
        <v>7.4242866024924825E-3</v>
      </c>
      <c r="AV109" s="169">
        <f t="shared" si="151"/>
        <v>0</v>
      </c>
      <c r="AW109" s="169">
        <f t="shared" si="151"/>
        <v>1.2690228813087422E-3</v>
      </c>
      <c r="AX109" s="169">
        <f t="shared" si="148"/>
        <v>5.9412884002179181E-3</v>
      </c>
      <c r="AY109" s="169">
        <f t="shared" si="148"/>
        <v>0</v>
      </c>
    </row>
    <row r="110" spans="1:51" x14ac:dyDescent="0.25">
      <c r="A110" s="51" t="s">
        <v>681</v>
      </c>
      <c r="B110" s="169">
        <f t="shared" si="125"/>
        <v>0</v>
      </c>
      <c r="C110" s="169">
        <f t="shared" ref="C110:AW110" si="152">IFERROR(C82/$B$33,0)</f>
        <v>0</v>
      </c>
      <c r="D110" s="169">
        <f t="shared" si="152"/>
        <v>0</v>
      </c>
      <c r="E110" s="169">
        <f t="shared" si="152"/>
        <v>1.9146313682055455E-2</v>
      </c>
      <c r="F110" s="169">
        <f t="shared" si="152"/>
        <v>0</v>
      </c>
      <c r="G110" s="169">
        <f t="shared" si="152"/>
        <v>0</v>
      </c>
      <c r="H110" s="169">
        <f t="shared" si="152"/>
        <v>1.2066374203158875E-2</v>
      </c>
      <c r="I110" s="169">
        <f t="shared" si="152"/>
        <v>0</v>
      </c>
      <c r="J110" s="169">
        <f t="shared" si="152"/>
        <v>2.2545067590112634E-2</v>
      </c>
      <c r="K110" s="169">
        <f t="shared" si="152"/>
        <v>0</v>
      </c>
      <c r="L110" s="169">
        <f t="shared" si="152"/>
        <v>9.895196498145558E-3</v>
      </c>
      <c r="M110" s="169">
        <f t="shared" si="152"/>
        <v>6.350097824278326E-3</v>
      </c>
      <c r="N110" s="169">
        <f t="shared" si="152"/>
        <v>0</v>
      </c>
      <c r="O110" s="169">
        <f t="shared" si="152"/>
        <v>2.1816127760409226E-2</v>
      </c>
      <c r="P110" s="169">
        <f t="shared" si="152"/>
        <v>2.2545067590112634E-2</v>
      </c>
      <c r="Q110" s="169">
        <f t="shared" si="152"/>
        <v>0</v>
      </c>
      <c r="R110" s="169">
        <f t="shared" si="152"/>
        <v>9.1220975317507069E-3</v>
      </c>
      <c r="S110" s="169">
        <f t="shared" si="152"/>
        <v>2.2545067590112634E-2</v>
      </c>
      <c r="T110" s="169">
        <f t="shared" si="152"/>
        <v>0</v>
      </c>
      <c r="U110" s="169">
        <f t="shared" si="152"/>
        <v>2.2545067590112634E-2</v>
      </c>
      <c r="V110" s="169">
        <f t="shared" si="152"/>
        <v>1.9905800157137533E-2</v>
      </c>
      <c r="W110" s="169">
        <f t="shared" si="152"/>
        <v>2.2545067590112634E-2</v>
      </c>
      <c r="X110" s="169">
        <f t="shared" si="152"/>
        <v>1.721139791889156E-2</v>
      </c>
      <c r="Y110" s="169">
        <f t="shared" si="152"/>
        <v>2.2545067590112634E-2</v>
      </c>
      <c r="Z110" s="169">
        <f t="shared" si="152"/>
        <v>0</v>
      </c>
      <c r="AA110" s="169">
        <f t="shared" si="152"/>
        <v>2.2545067590112634E-2</v>
      </c>
      <c r="AB110" s="169">
        <f t="shared" si="152"/>
        <v>0</v>
      </c>
      <c r="AC110" s="169">
        <f t="shared" si="152"/>
        <v>0</v>
      </c>
      <c r="AD110" s="169">
        <f t="shared" si="152"/>
        <v>1.3209075609810926E-2</v>
      </c>
      <c r="AE110" s="169">
        <f t="shared" si="152"/>
        <v>0</v>
      </c>
      <c r="AF110" s="169">
        <f t="shared" si="152"/>
        <v>0</v>
      </c>
      <c r="AG110" s="169">
        <f t="shared" si="152"/>
        <v>4.6409467879130308E-3</v>
      </c>
      <c r="AH110" s="169">
        <f t="shared" si="152"/>
        <v>2.2545067590112634E-2</v>
      </c>
      <c r="AI110" s="169">
        <f t="shared" si="152"/>
        <v>0</v>
      </c>
      <c r="AJ110" s="169">
        <f t="shared" si="152"/>
        <v>1.5259659937999595E-2</v>
      </c>
      <c r="AK110" s="169">
        <f t="shared" si="152"/>
        <v>2.2071763162048688E-2</v>
      </c>
      <c r="AL110" s="169">
        <f t="shared" si="152"/>
        <v>0</v>
      </c>
      <c r="AM110" s="169">
        <f t="shared" si="152"/>
        <v>2.2545067590112634E-2</v>
      </c>
      <c r="AN110" s="169">
        <f t="shared" si="152"/>
        <v>0</v>
      </c>
      <c r="AO110" s="169">
        <f t="shared" si="152"/>
        <v>2.2545067590112634E-2</v>
      </c>
      <c r="AP110" s="169">
        <f t="shared" si="152"/>
        <v>1.2791527710702202E-2</v>
      </c>
      <c r="AQ110" s="169">
        <f t="shared" si="152"/>
        <v>0</v>
      </c>
      <c r="AR110" s="169">
        <f t="shared" si="152"/>
        <v>1.9547746465415579E-2</v>
      </c>
      <c r="AS110" s="169">
        <f t="shared" si="152"/>
        <v>0</v>
      </c>
      <c r="AT110" s="169">
        <f t="shared" si="152"/>
        <v>0</v>
      </c>
      <c r="AU110" s="169">
        <f t="shared" si="152"/>
        <v>2.2545067590112634E-2</v>
      </c>
      <c r="AV110" s="169">
        <f t="shared" si="152"/>
        <v>0</v>
      </c>
      <c r="AW110" s="169">
        <f t="shared" si="152"/>
        <v>2.2545067590112634E-2</v>
      </c>
      <c r="AX110" s="170">
        <f t="shared" si="148"/>
        <v>2.2545067590112634E-2</v>
      </c>
      <c r="AY110" s="171">
        <f t="shared" si="148"/>
        <v>0</v>
      </c>
    </row>
    <row r="111" spans="1:51" ht="14.4" thickBot="1" x14ac:dyDescent="0.3">
      <c r="A111" s="53" t="s">
        <v>195</v>
      </c>
      <c r="B111" s="169">
        <f t="shared" si="125"/>
        <v>0</v>
      </c>
      <c r="C111" s="173">
        <f t="shared" ref="C111:AW111" si="153">IFERROR(C83/$B$33,0)</f>
        <v>0</v>
      </c>
      <c r="D111" s="173">
        <f t="shared" si="153"/>
        <v>0</v>
      </c>
      <c r="E111" s="173">
        <f t="shared" si="153"/>
        <v>2.2545067590112634E-2</v>
      </c>
      <c r="F111" s="173">
        <f t="shared" si="153"/>
        <v>0</v>
      </c>
      <c r="G111" s="173">
        <f t="shared" si="153"/>
        <v>0</v>
      </c>
      <c r="H111" s="173">
        <f t="shared" si="153"/>
        <v>2.2545067590112634E-2</v>
      </c>
      <c r="I111" s="173">
        <f t="shared" si="153"/>
        <v>0</v>
      </c>
      <c r="J111" s="173">
        <f t="shared" si="153"/>
        <v>1.0223474851725024E-2</v>
      </c>
      <c r="K111" s="173">
        <f t="shared" si="153"/>
        <v>0</v>
      </c>
      <c r="L111" s="173">
        <f t="shared" si="153"/>
        <v>9.9107871573253046E-3</v>
      </c>
      <c r="M111" s="173">
        <f t="shared" si="153"/>
        <v>1.0919503881049234E-2</v>
      </c>
      <c r="N111" s="173">
        <f t="shared" si="153"/>
        <v>2.2545067590112634E-2</v>
      </c>
      <c r="O111" s="173">
        <f t="shared" si="153"/>
        <v>2.2545067590112634E-2</v>
      </c>
      <c r="P111" s="173">
        <f t="shared" si="153"/>
        <v>1.4075097445760926E-2</v>
      </c>
      <c r="Q111" s="173">
        <f t="shared" si="153"/>
        <v>0</v>
      </c>
      <c r="R111" s="173">
        <f t="shared" si="153"/>
        <v>2.2545067590112634E-2</v>
      </c>
      <c r="S111" s="173">
        <f t="shared" si="153"/>
        <v>9.0339394995350274E-3</v>
      </c>
      <c r="T111" s="173">
        <f t="shared" si="153"/>
        <v>0</v>
      </c>
      <c r="U111" s="173">
        <f t="shared" si="153"/>
        <v>1.4266223098005697E-2</v>
      </c>
      <c r="V111" s="173">
        <f t="shared" si="153"/>
        <v>2.2545067590112634E-2</v>
      </c>
      <c r="W111" s="173">
        <f t="shared" si="153"/>
        <v>1.4871705849555661E-2</v>
      </c>
      <c r="X111" s="173">
        <f t="shared" si="153"/>
        <v>1.0466222747443193E-2</v>
      </c>
      <c r="Y111" s="173">
        <f t="shared" si="153"/>
        <v>1.7689044115752381E-2</v>
      </c>
      <c r="Z111" s="173">
        <f t="shared" si="153"/>
        <v>0</v>
      </c>
      <c r="AA111" s="173">
        <f t="shared" si="153"/>
        <v>1.226064498639399E-2</v>
      </c>
      <c r="AB111" s="173">
        <f t="shared" si="153"/>
        <v>0</v>
      </c>
      <c r="AC111" s="173">
        <f t="shared" si="153"/>
        <v>0</v>
      </c>
      <c r="AD111" s="173">
        <f t="shared" si="153"/>
        <v>1.1032127169269561E-2</v>
      </c>
      <c r="AE111" s="173">
        <f t="shared" si="153"/>
        <v>2.2545067590112634E-2</v>
      </c>
      <c r="AF111" s="173">
        <f t="shared" si="153"/>
        <v>0</v>
      </c>
      <c r="AG111" s="173">
        <f t="shared" si="153"/>
        <v>5.0367465975845443E-3</v>
      </c>
      <c r="AH111" s="173">
        <f t="shared" si="153"/>
        <v>1.6905752414110964E-2</v>
      </c>
      <c r="AI111" s="173">
        <f t="shared" si="153"/>
        <v>0</v>
      </c>
      <c r="AJ111" s="173">
        <f t="shared" si="153"/>
        <v>2.2545067590112634E-2</v>
      </c>
      <c r="AK111" s="173">
        <f t="shared" si="153"/>
        <v>2.2545067590112634E-2</v>
      </c>
      <c r="AL111" s="173">
        <f t="shared" si="153"/>
        <v>0</v>
      </c>
      <c r="AM111" s="173">
        <f t="shared" si="153"/>
        <v>9.358027344001936E-3</v>
      </c>
      <c r="AN111" s="173">
        <f t="shared" si="153"/>
        <v>0</v>
      </c>
      <c r="AO111" s="173">
        <f t="shared" si="153"/>
        <v>1.5676776775224621E-2</v>
      </c>
      <c r="AP111" s="173">
        <f t="shared" si="153"/>
        <v>5.9160815661997686E-3</v>
      </c>
      <c r="AQ111" s="173">
        <f t="shared" si="153"/>
        <v>0</v>
      </c>
      <c r="AR111" s="173">
        <f t="shared" si="153"/>
        <v>1.0686101401093851E-2</v>
      </c>
      <c r="AS111" s="173">
        <f t="shared" si="153"/>
        <v>0</v>
      </c>
      <c r="AT111" s="173">
        <f t="shared" si="153"/>
        <v>2.2545067590112634E-2</v>
      </c>
      <c r="AU111" s="173">
        <f t="shared" si="153"/>
        <v>8.8045968631116217E-3</v>
      </c>
      <c r="AV111" s="173">
        <f t="shared" si="153"/>
        <v>0</v>
      </c>
      <c r="AW111" s="173">
        <f t="shared" si="153"/>
        <v>2.0314985539277186E-2</v>
      </c>
      <c r="AX111" s="169">
        <f t="shared" si="148"/>
        <v>1.5731693355262869E-2</v>
      </c>
      <c r="AY111" s="172">
        <f t="shared" si="148"/>
        <v>0</v>
      </c>
    </row>
    <row r="112" spans="1:51" ht="14.4" thickBot="1" x14ac:dyDescent="0.3">
      <c r="A112" s="51" t="s">
        <v>335</v>
      </c>
      <c r="B112" s="169">
        <f t="shared" si="125"/>
        <v>0</v>
      </c>
      <c r="C112" s="169">
        <f t="shared" ref="C112:AW112" si="154">IFERROR(C67/$B$33,0)</f>
        <v>0</v>
      </c>
      <c r="D112" s="169">
        <f t="shared" si="154"/>
        <v>0</v>
      </c>
      <c r="E112" s="169">
        <f t="shared" si="154"/>
        <v>0</v>
      </c>
      <c r="F112" s="169">
        <f t="shared" si="154"/>
        <v>0</v>
      </c>
      <c r="G112" s="169">
        <f t="shared" si="154"/>
        <v>0</v>
      </c>
      <c r="H112" s="169">
        <f t="shared" si="154"/>
        <v>0</v>
      </c>
      <c r="I112" s="169">
        <f t="shared" si="154"/>
        <v>0</v>
      </c>
      <c r="J112" s="169">
        <f t="shared" si="154"/>
        <v>0</v>
      </c>
      <c r="K112" s="169">
        <f t="shared" si="154"/>
        <v>0</v>
      </c>
      <c r="L112" s="169">
        <f t="shared" si="154"/>
        <v>0</v>
      </c>
      <c r="M112" s="169">
        <f t="shared" si="154"/>
        <v>0</v>
      </c>
      <c r="N112" s="169">
        <f t="shared" si="154"/>
        <v>0</v>
      </c>
      <c r="O112" s="169">
        <f t="shared" si="154"/>
        <v>0</v>
      </c>
      <c r="P112" s="169">
        <f t="shared" si="154"/>
        <v>0</v>
      </c>
      <c r="Q112" s="169">
        <f t="shared" si="154"/>
        <v>0</v>
      </c>
      <c r="R112" s="169">
        <f t="shared" si="154"/>
        <v>0</v>
      </c>
      <c r="S112" s="169">
        <f t="shared" si="154"/>
        <v>0</v>
      </c>
      <c r="T112" s="169">
        <f t="shared" si="154"/>
        <v>0</v>
      </c>
      <c r="U112" s="169">
        <f t="shared" si="154"/>
        <v>0</v>
      </c>
      <c r="V112" s="169">
        <f t="shared" si="154"/>
        <v>0</v>
      </c>
      <c r="W112" s="169">
        <f t="shared" si="154"/>
        <v>0</v>
      </c>
      <c r="X112" s="169">
        <f t="shared" si="154"/>
        <v>0</v>
      </c>
      <c r="Y112" s="169">
        <f t="shared" si="154"/>
        <v>0</v>
      </c>
      <c r="Z112" s="169">
        <f t="shared" si="154"/>
        <v>0</v>
      </c>
      <c r="AA112" s="169">
        <f t="shared" si="154"/>
        <v>0</v>
      </c>
      <c r="AB112" s="169">
        <f t="shared" si="154"/>
        <v>0</v>
      </c>
      <c r="AC112" s="169">
        <f t="shared" si="154"/>
        <v>0</v>
      </c>
      <c r="AD112" s="169">
        <f t="shared" si="154"/>
        <v>0</v>
      </c>
      <c r="AE112" s="169">
        <f t="shared" si="154"/>
        <v>0</v>
      </c>
      <c r="AF112" s="169">
        <f t="shared" si="154"/>
        <v>0</v>
      </c>
      <c r="AG112" s="169">
        <f t="shared" si="154"/>
        <v>0</v>
      </c>
      <c r="AH112" s="169">
        <f t="shared" si="154"/>
        <v>0</v>
      </c>
      <c r="AI112" s="169">
        <f t="shared" si="154"/>
        <v>0</v>
      </c>
      <c r="AJ112" s="169">
        <f t="shared" si="154"/>
        <v>0</v>
      </c>
      <c r="AK112" s="169">
        <f t="shared" si="154"/>
        <v>0</v>
      </c>
      <c r="AL112" s="169">
        <f t="shared" si="154"/>
        <v>0</v>
      </c>
      <c r="AM112" s="169">
        <f t="shared" si="154"/>
        <v>0</v>
      </c>
      <c r="AN112" s="169">
        <f t="shared" si="154"/>
        <v>0</v>
      </c>
      <c r="AO112" s="169">
        <f t="shared" si="154"/>
        <v>0</v>
      </c>
      <c r="AP112" s="169">
        <f t="shared" si="154"/>
        <v>0</v>
      </c>
      <c r="AQ112" s="169">
        <f t="shared" si="154"/>
        <v>0</v>
      </c>
      <c r="AR112" s="169">
        <f t="shared" si="154"/>
        <v>0</v>
      </c>
      <c r="AS112" s="169">
        <f t="shared" si="154"/>
        <v>0</v>
      </c>
      <c r="AT112" s="169">
        <f t="shared" si="154"/>
        <v>0</v>
      </c>
      <c r="AU112" s="169">
        <f t="shared" si="154"/>
        <v>0</v>
      </c>
      <c r="AV112" s="169">
        <f t="shared" si="154"/>
        <v>0</v>
      </c>
      <c r="AW112" s="169">
        <f t="shared" si="154"/>
        <v>0</v>
      </c>
      <c r="AX112" s="169">
        <f t="shared" si="148"/>
        <v>2.5871389037834171E-3</v>
      </c>
      <c r="AY112" s="172">
        <f t="shared" si="148"/>
        <v>0</v>
      </c>
    </row>
    <row r="113" spans="1:51" x14ac:dyDescent="0.25">
      <c r="A113" s="51" t="s">
        <v>682</v>
      </c>
      <c r="B113" s="169">
        <f t="shared" si="125"/>
        <v>0</v>
      </c>
      <c r="C113" s="170">
        <f t="shared" ref="C113:AW113" si="155">IFERROR(C70/$B$33,0)</f>
        <v>0</v>
      </c>
      <c r="D113" s="170">
        <f t="shared" si="155"/>
        <v>0</v>
      </c>
      <c r="E113" s="170">
        <f t="shared" si="155"/>
        <v>0</v>
      </c>
      <c r="F113" s="170">
        <f t="shared" si="155"/>
        <v>0</v>
      </c>
      <c r="G113" s="170">
        <f t="shared" si="155"/>
        <v>0</v>
      </c>
      <c r="H113" s="170">
        <f t="shared" si="155"/>
        <v>0</v>
      </c>
      <c r="I113" s="170">
        <f t="shared" si="155"/>
        <v>0</v>
      </c>
      <c r="J113" s="170">
        <f t="shared" si="155"/>
        <v>0</v>
      </c>
      <c r="K113" s="170">
        <f t="shared" si="155"/>
        <v>0</v>
      </c>
      <c r="L113" s="170">
        <f t="shared" si="155"/>
        <v>0</v>
      </c>
      <c r="M113" s="170">
        <f t="shared" si="155"/>
        <v>0</v>
      </c>
      <c r="N113" s="170">
        <f t="shared" si="155"/>
        <v>0</v>
      </c>
      <c r="O113" s="170">
        <f t="shared" si="155"/>
        <v>0</v>
      </c>
      <c r="P113" s="170">
        <f t="shared" si="155"/>
        <v>0</v>
      </c>
      <c r="Q113" s="170">
        <f t="shared" si="155"/>
        <v>0</v>
      </c>
      <c r="R113" s="170">
        <f t="shared" si="155"/>
        <v>0</v>
      </c>
      <c r="S113" s="170">
        <f t="shared" si="155"/>
        <v>0</v>
      </c>
      <c r="T113" s="170">
        <f t="shared" si="155"/>
        <v>0</v>
      </c>
      <c r="U113" s="170">
        <f t="shared" si="155"/>
        <v>0</v>
      </c>
      <c r="V113" s="170">
        <f t="shared" si="155"/>
        <v>0</v>
      </c>
      <c r="W113" s="170">
        <f t="shared" si="155"/>
        <v>0</v>
      </c>
      <c r="X113" s="170">
        <f t="shared" si="155"/>
        <v>0</v>
      </c>
      <c r="Y113" s="170">
        <f t="shared" si="155"/>
        <v>0</v>
      </c>
      <c r="Z113" s="170">
        <f t="shared" si="155"/>
        <v>0</v>
      </c>
      <c r="AA113" s="170">
        <f t="shared" si="155"/>
        <v>0</v>
      </c>
      <c r="AB113" s="170">
        <f t="shared" si="155"/>
        <v>0</v>
      </c>
      <c r="AC113" s="170">
        <f t="shared" si="155"/>
        <v>0</v>
      </c>
      <c r="AD113" s="170">
        <f t="shared" si="155"/>
        <v>0</v>
      </c>
      <c r="AE113" s="170">
        <f t="shared" si="155"/>
        <v>0</v>
      </c>
      <c r="AF113" s="170">
        <f t="shared" si="155"/>
        <v>0</v>
      </c>
      <c r="AG113" s="170">
        <f t="shared" si="155"/>
        <v>0</v>
      </c>
      <c r="AH113" s="170">
        <f t="shared" si="155"/>
        <v>0</v>
      </c>
      <c r="AI113" s="170">
        <f t="shared" si="155"/>
        <v>0</v>
      </c>
      <c r="AJ113" s="170">
        <f t="shared" si="155"/>
        <v>0</v>
      </c>
      <c r="AK113" s="170">
        <f t="shared" si="155"/>
        <v>0</v>
      </c>
      <c r="AL113" s="170">
        <f t="shared" si="155"/>
        <v>0</v>
      </c>
      <c r="AM113" s="170">
        <f t="shared" si="155"/>
        <v>0</v>
      </c>
      <c r="AN113" s="170">
        <f t="shared" si="155"/>
        <v>0</v>
      </c>
      <c r="AO113" s="170">
        <f t="shared" si="155"/>
        <v>0</v>
      </c>
      <c r="AP113" s="170">
        <f t="shared" si="155"/>
        <v>0</v>
      </c>
      <c r="AQ113" s="170">
        <f t="shared" si="155"/>
        <v>0</v>
      </c>
      <c r="AR113" s="170">
        <f t="shared" si="155"/>
        <v>0</v>
      </c>
      <c r="AS113" s="170">
        <f t="shared" si="155"/>
        <v>0</v>
      </c>
      <c r="AT113" s="170">
        <f t="shared" si="155"/>
        <v>0</v>
      </c>
      <c r="AU113" s="170">
        <f t="shared" si="155"/>
        <v>0</v>
      </c>
      <c r="AV113" s="170">
        <f t="shared" si="155"/>
        <v>0</v>
      </c>
      <c r="AW113" s="170">
        <f t="shared" si="155"/>
        <v>0</v>
      </c>
      <c r="AX113" s="169">
        <f t="shared" si="148"/>
        <v>8.0078108926629581E-3</v>
      </c>
      <c r="AY113" s="172">
        <f t="shared" si="148"/>
        <v>0</v>
      </c>
    </row>
    <row r="114" spans="1:51" ht="14.4" thickBot="1" x14ac:dyDescent="0.3">
      <c r="A114" s="58" t="s">
        <v>329</v>
      </c>
      <c r="B114" s="169">
        <f t="shared" si="125"/>
        <v>0</v>
      </c>
      <c r="C114" s="173">
        <f t="shared" ref="C114:AW114" si="156">IFERROR(C71/$B$33,0)</f>
        <v>0</v>
      </c>
      <c r="D114" s="173">
        <f t="shared" si="156"/>
        <v>0</v>
      </c>
      <c r="E114" s="173">
        <f t="shared" si="156"/>
        <v>9.5165109425601069E-3</v>
      </c>
      <c r="F114" s="173">
        <f t="shared" si="156"/>
        <v>0</v>
      </c>
      <c r="G114" s="173">
        <f t="shared" si="156"/>
        <v>0</v>
      </c>
      <c r="H114" s="173">
        <f t="shared" si="156"/>
        <v>6.2978005709469565E-3</v>
      </c>
      <c r="I114" s="173">
        <f t="shared" si="156"/>
        <v>0</v>
      </c>
      <c r="J114" s="173">
        <f t="shared" si="156"/>
        <v>9.716852502847392E-3</v>
      </c>
      <c r="K114" s="173">
        <f t="shared" si="156"/>
        <v>0</v>
      </c>
      <c r="L114" s="173">
        <f t="shared" si="156"/>
        <v>2.2545067590112634E-2</v>
      </c>
      <c r="M114" s="173">
        <f t="shared" si="156"/>
        <v>2.2545067590112634E-2</v>
      </c>
      <c r="N114" s="173">
        <f t="shared" si="156"/>
        <v>0</v>
      </c>
      <c r="O114" s="173">
        <f t="shared" si="156"/>
        <v>2.0462382362388599E-2</v>
      </c>
      <c r="P114" s="173">
        <f t="shared" si="156"/>
        <v>1.9555666362694384E-2</v>
      </c>
      <c r="Q114" s="173">
        <f t="shared" si="156"/>
        <v>0</v>
      </c>
      <c r="R114" s="173">
        <f t="shared" si="156"/>
        <v>8.1132508897061011E-3</v>
      </c>
      <c r="S114" s="173">
        <f t="shared" si="156"/>
        <v>0</v>
      </c>
      <c r="T114" s="173">
        <f t="shared" si="156"/>
        <v>0</v>
      </c>
      <c r="U114" s="173">
        <f t="shared" si="156"/>
        <v>7.3918254393811923E-3</v>
      </c>
      <c r="V114" s="173">
        <f t="shared" si="156"/>
        <v>2.9572514610443934E-3</v>
      </c>
      <c r="W114" s="173">
        <f t="shared" si="156"/>
        <v>0</v>
      </c>
      <c r="X114" s="173">
        <f t="shared" si="156"/>
        <v>2.2545067590112634E-2</v>
      </c>
      <c r="Y114" s="173">
        <f t="shared" si="156"/>
        <v>1.6673405219154159E-2</v>
      </c>
      <c r="Z114" s="173">
        <f t="shared" si="156"/>
        <v>0</v>
      </c>
      <c r="AA114" s="173">
        <f t="shared" si="156"/>
        <v>8.0258827378039601E-3</v>
      </c>
      <c r="AB114" s="173">
        <f t="shared" si="156"/>
        <v>0</v>
      </c>
      <c r="AC114" s="173">
        <f t="shared" si="156"/>
        <v>0</v>
      </c>
      <c r="AD114" s="173">
        <f t="shared" si="156"/>
        <v>2.2545067590112634E-2</v>
      </c>
      <c r="AE114" s="173">
        <f t="shared" si="156"/>
        <v>0</v>
      </c>
      <c r="AF114" s="173">
        <f t="shared" si="156"/>
        <v>0</v>
      </c>
      <c r="AG114" s="173">
        <f t="shared" si="156"/>
        <v>2.2545067590112634E-2</v>
      </c>
      <c r="AH114" s="173">
        <f t="shared" si="156"/>
        <v>1.5887627403957147E-2</v>
      </c>
      <c r="AI114" s="173">
        <f t="shared" si="156"/>
        <v>0</v>
      </c>
      <c r="AJ114" s="173">
        <f t="shared" si="156"/>
        <v>6.2930043661681562E-3</v>
      </c>
      <c r="AK114" s="173">
        <f t="shared" si="156"/>
        <v>6.4527170359384642E-3</v>
      </c>
      <c r="AL114" s="173">
        <f t="shared" si="156"/>
        <v>0</v>
      </c>
      <c r="AM114" s="173">
        <f t="shared" si="156"/>
        <v>1.439388096185388E-3</v>
      </c>
      <c r="AN114" s="173">
        <f t="shared" si="156"/>
        <v>0</v>
      </c>
      <c r="AO114" s="173">
        <f t="shared" si="156"/>
        <v>0</v>
      </c>
      <c r="AP114" s="173">
        <f t="shared" si="156"/>
        <v>1.0606308393457243E-2</v>
      </c>
      <c r="AQ114" s="173">
        <f t="shared" si="156"/>
        <v>0</v>
      </c>
      <c r="AR114" s="173">
        <f t="shared" si="156"/>
        <v>2.2545067590112634E-2</v>
      </c>
      <c r="AS114" s="173">
        <f t="shared" si="156"/>
        <v>0</v>
      </c>
      <c r="AT114" s="173">
        <f t="shared" si="156"/>
        <v>7.49487501655219E-3</v>
      </c>
      <c r="AU114" s="173">
        <f t="shared" si="156"/>
        <v>2.2048830393450257E-2</v>
      </c>
      <c r="AV114" s="173">
        <f t="shared" si="156"/>
        <v>0</v>
      </c>
      <c r="AW114" s="173">
        <f t="shared" si="156"/>
        <v>3.8601658356127847E-3</v>
      </c>
      <c r="AX114" s="173">
        <f t="shared" si="148"/>
        <v>4.4597346817599852E-3</v>
      </c>
      <c r="AY114" s="174">
        <f t="shared" si="148"/>
        <v>0</v>
      </c>
    </row>
    <row r="115" spans="1:51" ht="14.4" thickBot="1" x14ac:dyDescent="0.3">
      <c r="A115" s="51" t="s">
        <v>196</v>
      </c>
      <c r="B115" s="169">
        <f t="shared" si="125"/>
        <v>0</v>
      </c>
      <c r="C115" s="169">
        <f t="shared" ref="C115:AW115" si="157">IFERROR(C84/$B$33,0)</f>
        <v>0</v>
      </c>
      <c r="D115" s="169">
        <f t="shared" si="157"/>
        <v>0</v>
      </c>
      <c r="E115" s="169">
        <f t="shared" si="157"/>
        <v>2.2545067590112634E-2</v>
      </c>
      <c r="F115" s="169">
        <f t="shared" si="157"/>
        <v>1.0058568617127174E-2</v>
      </c>
      <c r="G115" s="169">
        <f t="shared" si="157"/>
        <v>1.5396355203499031E-2</v>
      </c>
      <c r="H115" s="169">
        <f t="shared" si="157"/>
        <v>6.6211303764646574E-3</v>
      </c>
      <c r="I115" s="169">
        <f t="shared" si="157"/>
        <v>0</v>
      </c>
      <c r="J115" s="169">
        <f t="shared" si="157"/>
        <v>4.9017578522686121E-3</v>
      </c>
      <c r="K115" s="169">
        <f t="shared" si="157"/>
        <v>0</v>
      </c>
      <c r="L115" s="169">
        <f t="shared" si="157"/>
        <v>1.5215558305593986E-3</v>
      </c>
      <c r="M115" s="169">
        <f t="shared" si="157"/>
        <v>1.1680062453883402E-3</v>
      </c>
      <c r="N115" s="169">
        <f t="shared" si="157"/>
        <v>0</v>
      </c>
      <c r="O115" s="169">
        <f t="shared" si="157"/>
        <v>0</v>
      </c>
      <c r="P115" s="169">
        <f t="shared" si="157"/>
        <v>1.2316286924228198E-2</v>
      </c>
      <c r="Q115" s="169">
        <f t="shared" si="157"/>
        <v>0</v>
      </c>
      <c r="R115" s="169">
        <f t="shared" si="157"/>
        <v>1.2915740581018337E-3</v>
      </c>
      <c r="S115" s="169">
        <f t="shared" si="157"/>
        <v>0</v>
      </c>
      <c r="T115" s="169">
        <f t="shared" si="157"/>
        <v>0</v>
      </c>
      <c r="U115" s="169">
        <f t="shared" si="157"/>
        <v>5.1049367463748578E-3</v>
      </c>
      <c r="V115" s="169">
        <f t="shared" si="157"/>
        <v>6.6595349432444279E-5</v>
      </c>
      <c r="W115" s="169">
        <f t="shared" si="157"/>
        <v>0</v>
      </c>
      <c r="X115" s="169">
        <f t="shared" si="157"/>
        <v>1.8856246007310111E-2</v>
      </c>
      <c r="Y115" s="169">
        <f t="shared" si="157"/>
        <v>6.9961135819845864E-3</v>
      </c>
      <c r="Z115" s="169">
        <f t="shared" si="157"/>
        <v>0</v>
      </c>
      <c r="AA115" s="169">
        <f t="shared" si="157"/>
        <v>0</v>
      </c>
      <c r="AB115" s="169">
        <f t="shared" si="157"/>
        <v>0</v>
      </c>
      <c r="AC115" s="169">
        <f t="shared" si="157"/>
        <v>0</v>
      </c>
      <c r="AD115" s="169">
        <f t="shared" si="157"/>
        <v>2.5679398301962556E-4</v>
      </c>
      <c r="AE115" s="169">
        <f t="shared" si="157"/>
        <v>0</v>
      </c>
      <c r="AF115" s="169">
        <f t="shared" si="157"/>
        <v>0</v>
      </c>
      <c r="AG115" s="169">
        <f t="shared" si="157"/>
        <v>0</v>
      </c>
      <c r="AH115" s="169">
        <f t="shared" si="157"/>
        <v>1.3969457203013342E-2</v>
      </c>
      <c r="AI115" s="169">
        <f t="shared" si="157"/>
        <v>0</v>
      </c>
      <c r="AJ115" s="169">
        <f t="shared" si="157"/>
        <v>7.0842346709218493E-4</v>
      </c>
      <c r="AK115" s="169">
        <f t="shared" si="157"/>
        <v>5.7683888647021364E-3</v>
      </c>
      <c r="AL115" s="169">
        <f t="shared" si="157"/>
        <v>0</v>
      </c>
      <c r="AM115" s="169">
        <f t="shared" si="157"/>
        <v>0</v>
      </c>
      <c r="AN115" s="169">
        <f t="shared" si="157"/>
        <v>0</v>
      </c>
      <c r="AO115" s="169">
        <f t="shared" si="157"/>
        <v>0</v>
      </c>
      <c r="AP115" s="169">
        <f t="shared" si="157"/>
        <v>3.2443189886347322E-5</v>
      </c>
      <c r="AQ115" s="169">
        <f t="shared" si="157"/>
        <v>0</v>
      </c>
      <c r="AR115" s="169">
        <f t="shared" si="157"/>
        <v>3.1803386882604027E-3</v>
      </c>
      <c r="AS115" s="169">
        <f t="shared" si="157"/>
        <v>0</v>
      </c>
      <c r="AT115" s="169">
        <f t="shared" si="157"/>
        <v>0</v>
      </c>
      <c r="AU115" s="169">
        <f t="shared" si="157"/>
        <v>2.2545067590112634E-2</v>
      </c>
      <c r="AV115" s="169">
        <f t="shared" si="157"/>
        <v>0</v>
      </c>
      <c r="AW115" s="169">
        <f t="shared" si="157"/>
        <v>3.1942030855451418E-3</v>
      </c>
      <c r="AX115" s="169">
        <f>IFERROR(AX70/$B$33,0)</f>
        <v>0</v>
      </c>
      <c r="AY115" s="169">
        <f>IFERROR(AY70/$B$33,0)</f>
        <v>0</v>
      </c>
    </row>
    <row r="116" spans="1:51" ht="14.4" thickBot="1" x14ac:dyDescent="0.3">
      <c r="A116" s="51" t="s">
        <v>197</v>
      </c>
      <c r="B116" s="169">
        <f t="shared" si="125"/>
        <v>0</v>
      </c>
      <c r="C116" s="169">
        <f t="shared" ref="C116:AW116" si="158">IFERROR(C85/$B$33,0)</f>
        <v>0</v>
      </c>
      <c r="D116" s="169">
        <f t="shared" si="158"/>
        <v>0</v>
      </c>
      <c r="E116" s="169">
        <f t="shared" si="158"/>
        <v>1.3095207169878857E-2</v>
      </c>
      <c r="F116" s="169">
        <f t="shared" si="158"/>
        <v>1.1958688026059745E-2</v>
      </c>
      <c r="G116" s="169">
        <f t="shared" si="158"/>
        <v>1.129543275567416E-2</v>
      </c>
      <c r="H116" s="169">
        <f t="shared" si="158"/>
        <v>7.0229674834279433E-3</v>
      </c>
      <c r="I116" s="169">
        <f t="shared" si="158"/>
        <v>0</v>
      </c>
      <c r="J116" s="169">
        <f t="shared" si="158"/>
        <v>3.7452522562974248E-3</v>
      </c>
      <c r="K116" s="169">
        <f t="shared" si="158"/>
        <v>0</v>
      </c>
      <c r="L116" s="169">
        <f t="shared" si="158"/>
        <v>3.9277833413517279E-3</v>
      </c>
      <c r="M116" s="169">
        <f t="shared" si="158"/>
        <v>2.5969634818990505E-3</v>
      </c>
      <c r="N116" s="169">
        <f t="shared" si="158"/>
        <v>0</v>
      </c>
      <c r="O116" s="169">
        <f t="shared" si="158"/>
        <v>2.5376740458328564E-3</v>
      </c>
      <c r="P116" s="169">
        <f t="shared" si="158"/>
        <v>2.1203099281177362E-2</v>
      </c>
      <c r="Q116" s="169">
        <f t="shared" si="158"/>
        <v>0</v>
      </c>
      <c r="R116" s="169">
        <f t="shared" si="158"/>
        <v>6.1622946589992545E-4</v>
      </c>
      <c r="S116" s="169">
        <f t="shared" si="158"/>
        <v>0</v>
      </c>
      <c r="T116" s="169">
        <f t="shared" si="158"/>
        <v>0</v>
      </c>
      <c r="U116" s="169">
        <f t="shared" si="158"/>
        <v>8.4807380420750811E-3</v>
      </c>
      <c r="V116" s="169">
        <f t="shared" si="158"/>
        <v>2.2618640310242653E-5</v>
      </c>
      <c r="W116" s="169">
        <f t="shared" si="158"/>
        <v>0</v>
      </c>
      <c r="X116" s="169">
        <f t="shared" si="158"/>
        <v>2.2545067590112634E-2</v>
      </c>
      <c r="Y116" s="169">
        <f t="shared" si="158"/>
        <v>2.1054587137059831E-4</v>
      </c>
      <c r="Z116" s="169">
        <f t="shared" si="158"/>
        <v>0</v>
      </c>
      <c r="AA116" s="169">
        <f t="shared" si="158"/>
        <v>0</v>
      </c>
      <c r="AB116" s="169">
        <f t="shared" si="158"/>
        <v>0</v>
      </c>
      <c r="AC116" s="169">
        <f t="shared" si="158"/>
        <v>0</v>
      </c>
      <c r="AD116" s="169">
        <f t="shared" si="158"/>
        <v>2.8693140472528538E-4</v>
      </c>
      <c r="AE116" s="169">
        <f t="shared" si="158"/>
        <v>0</v>
      </c>
      <c r="AF116" s="169">
        <f t="shared" si="158"/>
        <v>0</v>
      </c>
      <c r="AG116" s="169">
        <f t="shared" si="158"/>
        <v>2.2038965837893974E-3</v>
      </c>
      <c r="AH116" s="169">
        <f t="shared" si="158"/>
        <v>2.1080822512626812E-2</v>
      </c>
      <c r="AI116" s="169">
        <f t="shared" si="158"/>
        <v>0</v>
      </c>
      <c r="AJ116" s="169">
        <f t="shared" si="158"/>
        <v>5.2649281555407158E-4</v>
      </c>
      <c r="AK116" s="169">
        <f t="shared" si="158"/>
        <v>4.3901419812981462E-3</v>
      </c>
      <c r="AL116" s="169">
        <f t="shared" si="158"/>
        <v>0</v>
      </c>
      <c r="AM116" s="169">
        <f t="shared" si="158"/>
        <v>0</v>
      </c>
      <c r="AN116" s="169">
        <f t="shared" si="158"/>
        <v>0</v>
      </c>
      <c r="AO116" s="169">
        <f t="shared" si="158"/>
        <v>0</v>
      </c>
      <c r="AP116" s="169">
        <f t="shared" si="158"/>
        <v>4.9567107104012706E-5</v>
      </c>
      <c r="AQ116" s="169">
        <f t="shared" si="158"/>
        <v>0</v>
      </c>
      <c r="AR116" s="169">
        <f t="shared" si="158"/>
        <v>2.4048072096120145E-3</v>
      </c>
      <c r="AS116" s="169">
        <f t="shared" si="158"/>
        <v>0</v>
      </c>
      <c r="AT116" s="169">
        <f t="shared" si="158"/>
        <v>1.6582735665454748E-2</v>
      </c>
      <c r="AU116" s="169">
        <f t="shared" si="158"/>
        <v>2.2545067590112634E-2</v>
      </c>
      <c r="AV116" s="169">
        <f t="shared" si="158"/>
        <v>0</v>
      </c>
      <c r="AW116" s="169">
        <f t="shared" si="158"/>
        <v>5.3850729460799178E-3</v>
      </c>
      <c r="AX116" s="170">
        <f>IFERROR(AX73/$B$33,0)</f>
        <v>0</v>
      </c>
      <c r="AY116" s="171">
        <f>IFERROR(AY73/$B$33,0)</f>
        <v>0</v>
      </c>
    </row>
    <row r="117" spans="1:51" ht="14.4" thickBot="1" x14ac:dyDescent="0.3">
      <c r="A117" s="51" t="s">
        <v>198</v>
      </c>
      <c r="B117" s="169">
        <f t="shared" si="125"/>
        <v>0</v>
      </c>
      <c r="C117" s="170">
        <f t="shared" ref="C117:AW117" si="159">IFERROR(C86/$B$33,0)</f>
        <v>6.4610864435078888E-3</v>
      </c>
      <c r="D117" s="170">
        <f t="shared" si="159"/>
        <v>2.2545067590112634E-2</v>
      </c>
      <c r="E117" s="170">
        <f t="shared" si="159"/>
        <v>2.2545067590112634E-2</v>
      </c>
      <c r="F117" s="170">
        <f t="shared" si="159"/>
        <v>2.2545067590112634E-2</v>
      </c>
      <c r="G117" s="170">
        <f t="shared" si="159"/>
        <v>2.2545067590112634E-2</v>
      </c>
      <c r="H117" s="170">
        <f t="shared" si="159"/>
        <v>1.2793431211849629E-2</v>
      </c>
      <c r="I117" s="170">
        <f t="shared" si="159"/>
        <v>0</v>
      </c>
      <c r="J117" s="170">
        <f t="shared" si="159"/>
        <v>2.2545067590112634E-2</v>
      </c>
      <c r="K117" s="170">
        <f t="shared" si="159"/>
        <v>0</v>
      </c>
      <c r="L117" s="170">
        <f t="shared" si="159"/>
        <v>7.0948780269152155E-3</v>
      </c>
      <c r="M117" s="170">
        <f t="shared" si="159"/>
        <v>5.7129629344249023E-3</v>
      </c>
      <c r="N117" s="170">
        <f t="shared" si="159"/>
        <v>0</v>
      </c>
      <c r="O117" s="170">
        <f t="shared" si="159"/>
        <v>7.7136006819980424E-3</v>
      </c>
      <c r="P117" s="170">
        <f t="shared" si="159"/>
        <v>1.9861130972242083E-2</v>
      </c>
      <c r="Q117" s="170">
        <f t="shared" si="159"/>
        <v>0</v>
      </c>
      <c r="R117" s="170">
        <f t="shared" si="159"/>
        <v>1.8266589385323392E-3</v>
      </c>
      <c r="S117" s="170">
        <f t="shared" si="159"/>
        <v>0</v>
      </c>
      <c r="T117" s="170">
        <f t="shared" si="159"/>
        <v>0</v>
      </c>
      <c r="U117" s="170">
        <f t="shared" si="159"/>
        <v>2.2545067590112634E-2</v>
      </c>
      <c r="V117" s="170">
        <f t="shared" si="159"/>
        <v>3.8526255473490239E-5</v>
      </c>
      <c r="W117" s="170">
        <f t="shared" si="159"/>
        <v>0</v>
      </c>
      <c r="X117" s="170">
        <f t="shared" si="159"/>
        <v>1.7124053709909376E-3</v>
      </c>
      <c r="Y117" s="170">
        <f t="shared" si="159"/>
        <v>1.2795801273532995E-4</v>
      </c>
      <c r="Z117" s="170">
        <f t="shared" si="159"/>
        <v>0</v>
      </c>
      <c r="AA117" s="170">
        <f t="shared" si="159"/>
        <v>0</v>
      </c>
      <c r="AB117" s="170">
        <f t="shared" si="159"/>
        <v>0</v>
      </c>
      <c r="AC117" s="170">
        <f t="shared" si="159"/>
        <v>0</v>
      </c>
      <c r="AD117" s="170">
        <f t="shared" si="159"/>
        <v>6.271553868262658E-4</v>
      </c>
      <c r="AE117" s="170">
        <f t="shared" si="159"/>
        <v>0</v>
      </c>
      <c r="AF117" s="170">
        <f t="shared" si="159"/>
        <v>0</v>
      </c>
      <c r="AG117" s="170">
        <f t="shared" si="159"/>
        <v>5.1581184397634363E-3</v>
      </c>
      <c r="AH117" s="170">
        <f t="shared" si="159"/>
        <v>2.2545067590112634E-2</v>
      </c>
      <c r="AI117" s="170">
        <f t="shared" si="159"/>
        <v>0</v>
      </c>
      <c r="AJ117" s="170">
        <f t="shared" si="159"/>
        <v>1.8329133964109215E-3</v>
      </c>
      <c r="AK117" s="170">
        <f t="shared" si="159"/>
        <v>6.7675727157857591E-3</v>
      </c>
      <c r="AL117" s="170">
        <f t="shared" si="159"/>
        <v>0</v>
      </c>
      <c r="AM117" s="170">
        <f t="shared" si="159"/>
        <v>0</v>
      </c>
      <c r="AN117" s="170">
        <f t="shared" si="159"/>
        <v>0</v>
      </c>
      <c r="AO117" s="170">
        <f t="shared" si="159"/>
        <v>0</v>
      </c>
      <c r="AP117" s="170">
        <f t="shared" si="159"/>
        <v>5.1337360929156008E-5</v>
      </c>
      <c r="AQ117" s="170">
        <f t="shared" si="159"/>
        <v>0</v>
      </c>
      <c r="AR117" s="170">
        <f t="shared" si="159"/>
        <v>4.1783525267008745E-3</v>
      </c>
      <c r="AS117" s="170">
        <f t="shared" si="159"/>
        <v>0</v>
      </c>
      <c r="AT117" s="170">
        <f t="shared" si="159"/>
        <v>2.2545067590112634E-2</v>
      </c>
      <c r="AU117" s="170">
        <f t="shared" si="159"/>
        <v>0</v>
      </c>
      <c r="AV117" s="170">
        <f t="shared" si="159"/>
        <v>0</v>
      </c>
      <c r="AW117" s="170">
        <f t="shared" si="159"/>
        <v>5.0304461910941683E-3</v>
      </c>
      <c r="AX117" s="173">
        <f>IFERROR(AX74/$B$33,0)</f>
        <v>2.2545067590112634E-2</v>
      </c>
      <c r="AY117" s="174">
        <f>IFERROR(AY74/$B$33,0)</f>
        <v>0</v>
      </c>
    </row>
    <row r="118" spans="1:51" x14ac:dyDescent="0.25">
      <c r="A118" s="51" t="s">
        <v>199</v>
      </c>
      <c r="B118" s="169">
        <f t="shared" si="125"/>
        <v>0</v>
      </c>
      <c r="C118" s="169">
        <f t="shared" ref="C118:AW118" si="160">IFERROR(C87/$B$33,0)</f>
        <v>0</v>
      </c>
      <c r="D118" s="169">
        <f t="shared" si="160"/>
        <v>0</v>
      </c>
      <c r="E118" s="169">
        <f t="shared" si="160"/>
        <v>2.2900255222129337E-3</v>
      </c>
      <c r="F118" s="169">
        <f t="shared" si="160"/>
        <v>3.1367050560156704E-3</v>
      </c>
      <c r="G118" s="169">
        <f t="shared" si="160"/>
        <v>4.7171858872756441E-3</v>
      </c>
      <c r="H118" s="169">
        <f t="shared" si="160"/>
        <v>1.0869943302375734E-2</v>
      </c>
      <c r="I118" s="169">
        <f t="shared" si="160"/>
        <v>0</v>
      </c>
      <c r="J118" s="169">
        <f t="shared" si="160"/>
        <v>3.403000747505516E-3</v>
      </c>
      <c r="K118" s="169">
        <f t="shared" si="160"/>
        <v>0</v>
      </c>
      <c r="L118" s="169">
        <f t="shared" si="160"/>
        <v>4.8066802208562772E-4</v>
      </c>
      <c r="M118" s="169">
        <f t="shared" si="160"/>
        <v>3.6564389683331402E-4</v>
      </c>
      <c r="N118" s="169">
        <f t="shared" si="160"/>
        <v>0</v>
      </c>
      <c r="O118" s="169">
        <f t="shared" si="160"/>
        <v>0</v>
      </c>
      <c r="P118" s="169">
        <f t="shared" si="160"/>
        <v>1.113833696416279E-2</v>
      </c>
      <c r="Q118" s="169">
        <f t="shared" si="160"/>
        <v>0</v>
      </c>
      <c r="R118" s="169">
        <f t="shared" si="160"/>
        <v>3.316326690881724E-4</v>
      </c>
      <c r="S118" s="169">
        <f t="shared" si="160"/>
        <v>0</v>
      </c>
      <c r="T118" s="169">
        <f t="shared" si="160"/>
        <v>2.2545067590112634E-2</v>
      </c>
      <c r="U118" s="169">
        <f t="shared" si="160"/>
        <v>3.5687577785750721E-3</v>
      </c>
      <c r="V118" s="169">
        <f t="shared" si="160"/>
        <v>3.7283473038861522E-5</v>
      </c>
      <c r="W118" s="169">
        <f t="shared" si="160"/>
        <v>0</v>
      </c>
      <c r="X118" s="169">
        <f t="shared" si="160"/>
        <v>1.3795430644009958E-3</v>
      </c>
      <c r="Y118" s="169">
        <f t="shared" si="160"/>
        <v>9.6057123133724143E-5</v>
      </c>
      <c r="Z118" s="169">
        <f t="shared" si="160"/>
        <v>0</v>
      </c>
      <c r="AA118" s="169">
        <f t="shared" si="160"/>
        <v>0</v>
      </c>
      <c r="AB118" s="169">
        <f t="shared" si="160"/>
        <v>0</v>
      </c>
      <c r="AC118" s="169">
        <f t="shared" si="160"/>
        <v>0</v>
      </c>
      <c r="AD118" s="169">
        <f t="shared" si="160"/>
        <v>3.5697095124837062E-4</v>
      </c>
      <c r="AE118" s="169">
        <f t="shared" si="160"/>
        <v>0</v>
      </c>
      <c r="AF118" s="169">
        <f t="shared" si="160"/>
        <v>0</v>
      </c>
      <c r="AG118" s="169">
        <f t="shared" si="160"/>
        <v>0</v>
      </c>
      <c r="AH118" s="169">
        <f t="shared" si="160"/>
        <v>4.7587965018289317E-3</v>
      </c>
      <c r="AI118" s="169">
        <f t="shared" si="160"/>
        <v>0</v>
      </c>
      <c r="AJ118" s="169">
        <f t="shared" si="160"/>
        <v>2.0321358831556396E-4</v>
      </c>
      <c r="AK118" s="169">
        <f t="shared" si="160"/>
        <v>2.3166441532080991E-3</v>
      </c>
      <c r="AL118" s="169">
        <f t="shared" si="160"/>
        <v>0</v>
      </c>
      <c r="AM118" s="169">
        <f t="shared" si="160"/>
        <v>0</v>
      </c>
      <c r="AN118" s="169">
        <f t="shared" si="160"/>
        <v>0</v>
      </c>
      <c r="AO118" s="169">
        <f t="shared" si="160"/>
        <v>0</v>
      </c>
      <c r="AP118" s="169">
        <f t="shared" si="160"/>
        <v>9.028294508230884E-5</v>
      </c>
      <c r="AQ118" s="169">
        <f t="shared" si="160"/>
        <v>0</v>
      </c>
      <c r="AR118" s="169">
        <f t="shared" si="160"/>
        <v>4.5691336982628273E-3</v>
      </c>
      <c r="AS118" s="169">
        <f t="shared" si="160"/>
        <v>0</v>
      </c>
      <c r="AT118" s="169">
        <f t="shared" si="160"/>
        <v>0</v>
      </c>
      <c r="AU118" s="169">
        <f t="shared" si="160"/>
        <v>0</v>
      </c>
      <c r="AV118" s="169">
        <f t="shared" si="160"/>
        <v>0</v>
      </c>
      <c r="AW118" s="169">
        <f t="shared" si="160"/>
        <v>4.7283567331433442E-3</v>
      </c>
      <c r="AX118" s="169">
        <f t="shared" ref="AX118:AY121" si="161">IFERROR(AX87/$B$33,0)</f>
        <v>7.4227003859338898E-3</v>
      </c>
      <c r="AY118" s="169">
        <f t="shared" si="161"/>
        <v>0</v>
      </c>
    </row>
    <row r="119" spans="1:51" ht="14.4" thickBot="1" x14ac:dyDescent="0.3">
      <c r="A119" s="51" t="s">
        <v>203</v>
      </c>
      <c r="B119" s="169">
        <f t="shared" si="125"/>
        <v>0</v>
      </c>
      <c r="C119" s="169">
        <f t="shared" ref="C119:AH119" si="162">IFERROR(C89/$B$33,0)</f>
        <v>2.2545067590112634E-2</v>
      </c>
      <c r="D119" s="169">
        <f t="shared" si="162"/>
        <v>0</v>
      </c>
      <c r="E119" s="169">
        <f t="shared" si="162"/>
        <v>7.2906934992901544E-3</v>
      </c>
      <c r="F119" s="169">
        <f t="shared" si="162"/>
        <v>8.9935215277949319E-3</v>
      </c>
      <c r="G119" s="169">
        <f t="shared" si="162"/>
        <v>7.698214214980288E-3</v>
      </c>
      <c r="H119" s="169">
        <f t="shared" si="162"/>
        <v>1.0198959147908096E-2</v>
      </c>
      <c r="I119" s="169">
        <f t="shared" si="162"/>
        <v>2.2545067590112634E-2</v>
      </c>
      <c r="J119" s="169">
        <f t="shared" si="162"/>
        <v>1.4908956075970347E-2</v>
      </c>
      <c r="K119" s="169">
        <f t="shared" si="162"/>
        <v>2.2545067590112634E-2</v>
      </c>
      <c r="L119" s="169">
        <f t="shared" si="162"/>
        <v>1.6721183461426675E-2</v>
      </c>
      <c r="M119" s="169">
        <f t="shared" si="162"/>
        <v>1.6412951895903197E-2</v>
      </c>
      <c r="N119" s="169">
        <f t="shared" si="162"/>
        <v>0</v>
      </c>
      <c r="O119" s="169">
        <f t="shared" si="162"/>
        <v>1.5527779908495557E-2</v>
      </c>
      <c r="P119" s="169">
        <f t="shared" si="162"/>
        <v>2.2545067590112634E-2</v>
      </c>
      <c r="Q119" s="169">
        <f t="shared" si="162"/>
        <v>0</v>
      </c>
      <c r="R119" s="169">
        <f t="shared" si="162"/>
        <v>1.2674083710735952E-2</v>
      </c>
      <c r="S119" s="169">
        <f t="shared" si="162"/>
        <v>0</v>
      </c>
      <c r="T119" s="169">
        <f t="shared" si="162"/>
        <v>0</v>
      </c>
      <c r="U119" s="169">
        <f t="shared" si="162"/>
        <v>1.2247028539021466E-2</v>
      </c>
      <c r="V119" s="169">
        <f t="shared" si="162"/>
        <v>3.4395246660784383E-3</v>
      </c>
      <c r="W119" s="169">
        <f t="shared" si="162"/>
        <v>0</v>
      </c>
      <c r="X119" s="169">
        <f t="shared" si="162"/>
        <v>5.3024118282263572E-3</v>
      </c>
      <c r="Y119" s="169">
        <f t="shared" si="162"/>
        <v>1.2193228914391553E-4</v>
      </c>
      <c r="Z119" s="169">
        <f t="shared" si="162"/>
        <v>0</v>
      </c>
      <c r="AA119" s="169">
        <f t="shared" si="162"/>
        <v>0</v>
      </c>
      <c r="AB119" s="169">
        <f t="shared" si="162"/>
        <v>0</v>
      </c>
      <c r="AC119" s="169">
        <f t="shared" si="162"/>
        <v>1.7205446318770169E-2</v>
      </c>
      <c r="AD119" s="169">
        <f t="shared" si="162"/>
        <v>1.4345528202628429E-2</v>
      </c>
      <c r="AE119" s="169">
        <f t="shared" si="162"/>
        <v>0</v>
      </c>
      <c r="AF119" s="169">
        <f t="shared" si="162"/>
        <v>0</v>
      </c>
      <c r="AG119" s="169">
        <f t="shared" si="162"/>
        <v>2.0909064251545335E-2</v>
      </c>
      <c r="AH119" s="169">
        <f t="shared" si="162"/>
        <v>7.3535249111971969E-3</v>
      </c>
      <c r="AI119" s="169">
        <f t="shared" ref="AI119:AW119" si="163">IFERROR(AI89/$B$33,0)</f>
        <v>0</v>
      </c>
      <c r="AJ119" s="169">
        <f t="shared" si="163"/>
        <v>1.7013068221122821E-2</v>
      </c>
      <c r="AK119" s="169">
        <f t="shared" si="163"/>
        <v>4.7481074043886117E-3</v>
      </c>
      <c r="AL119" s="169">
        <f t="shared" si="163"/>
        <v>0</v>
      </c>
      <c r="AM119" s="169">
        <f t="shared" si="163"/>
        <v>3.8758197202876927E-3</v>
      </c>
      <c r="AN119" s="169">
        <f t="shared" si="163"/>
        <v>0</v>
      </c>
      <c r="AO119" s="169">
        <f t="shared" si="163"/>
        <v>4.6054057309968801E-3</v>
      </c>
      <c r="AP119" s="169">
        <f t="shared" si="163"/>
        <v>1.8220337495287529E-3</v>
      </c>
      <c r="AQ119" s="169">
        <f t="shared" si="163"/>
        <v>0</v>
      </c>
      <c r="AR119" s="169">
        <f t="shared" si="163"/>
        <v>7.8456835213591963E-3</v>
      </c>
      <c r="AS119" s="169">
        <f t="shared" si="163"/>
        <v>2.2545067590112634E-2</v>
      </c>
      <c r="AT119" s="169">
        <f t="shared" si="163"/>
        <v>0</v>
      </c>
      <c r="AU119" s="169">
        <f t="shared" si="163"/>
        <v>0</v>
      </c>
      <c r="AV119" s="169">
        <f t="shared" si="163"/>
        <v>0</v>
      </c>
      <c r="AW119" s="169">
        <f t="shared" si="163"/>
        <v>4.8071626786957318E-3</v>
      </c>
      <c r="AX119" s="169">
        <f t="shared" si="161"/>
        <v>3.4476134287285643E-3</v>
      </c>
      <c r="AY119" s="169">
        <f t="shared" si="161"/>
        <v>0</v>
      </c>
    </row>
    <row r="120" spans="1:51" x14ac:dyDescent="0.25">
      <c r="A120" s="51" t="s">
        <v>202</v>
      </c>
      <c r="B120" s="169">
        <f t="shared" si="125"/>
        <v>0</v>
      </c>
      <c r="C120" s="169">
        <f t="shared" ref="C120:AH120" si="164">IFERROR(C90/$B$33,0)</f>
        <v>0</v>
      </c>
      <c r="D120" s="169">
        <f t="shared" si="164"/>
        <v>0</v>
      </c>
      <c r="E120" s="169">
        <f t="shared" si="164"/>
        <v>6.4307655480918286E-3</v>
      </c>
      <c r="F120" s="169">
        <f t="shared" si="164"/>
        <v>1.1382808582181866E-2</v>
      </c>
      <c r="G120" s="169">
        <f t="shared" si="164"/>
        <v>1.2490342155187056E-2</v>
      </c>
      <c r="H120" s="169">
        <f t="shared" si="164"/>
        <v>6.7098415446763789E-3</v>
      </c>
      <c r="I120" s="169">
        <f t="shared" si="164"/>
        <v>0</v>
      </c>
      <c r="J120" s="169">
        <f t="shared" si="164"/>
        <v>1.6693767672257977E-2</v>
      </c>
      <c r="K120" s="169">
        <f t="shared" si="164"/>
        <v>0</v>
      </c>
      <c r="L120" s="169">
        <f t="shared" si="164"/>
        <v>2.2545067590112634E-2</v>
      </c>
      <c r="M120" s="169">
        <f t="shared" si="164"/>
        <v>2.2545067590112634E-2</v>
      </c>
      <c r="N120" s="169">
        <f t="shared" si="164"/>
        <v>0</v>
      </c>
      <c r="O120" s="169">
        <f t="shared" si="164"/>
        <v>2.2545067590112634E-2</v>
      </c>
      <c r="P120" s="169">
        <f t="shared" si="164"/>
        <v>1.1406730625949844E-2</v>
      </c>
      <c r="Q120" s="169">
        <f t="shared" si="164"/>
        <v>0</v>
      </c>
      <c r="R120" s="169">
        <f t="shared" si="164"/>
        <v>1.7303842480627565E-2</v>
      </c>
      <c r="S120" s="169">
        <f t="shared" si="164"/>
        <v>0</v>
      </c>
      <c r="T120" s="169">
        <f t="shared" si="164"/>
        <v>0</v>
      </c>
      <c r="U120" s="169">
        <f t="shared" si="164"/>
        <v>1.1957313885410204E-2</v>
      </c>
      <c r="V120" s="169">
        <f t="shared" si="164"/>
        <v>1.3683034605262178E-3</v>
      </c>
      <c r="W120" s="169">
        <f t="shared" si="164"/>
        <v>0</v>
      </c>
      <c r="X120" s="169">
        <f t="shared" si="164"/>
        <v>2.2816775713651984E-3</v>
      </c>
      <c r="Y120" s="169">
        <f t="shared" si="164"/>
        <v>1.2724910407751648E-4</v>
      </c>
      <c r="Z120" s="169">
        <f t="shared" si="164"/>
        <v>0</v>
      </c>
      <c r="AA120" s="169">
        <f t="shared" si="164"/>
        <v>0</v>
      </c>
      <c r="AB120" s="169">
        <f t="shared" si="164"/>
        <v>0</v>
      </c>
      <c r="AC120" s="169">
        <f t="shared" si="164"/>
        <v>2.2545067590112634E-2</v>
      </c>
      <c r="AD120" s="169">
        <f t="shared" si="164"/>
        <v>1.4746785583399898E-2</v>
      </c>
      <c r="AE120" s="169">
        <f t="shared" si="164"/>
        <v>0</v>
      </c>
      <c r="AF120" s="169">
        <f t="shared" si="164"/>
        <v>0</v>
      </c>
      <c r="AG120" s="169">
        <f t="shared" si="164"/>
        <v>2.2545067590112634E-2</v>
      </c>
      <c r="AH120" s="169">
        <f t="shared" si="164"/>
        <v>9.582192051194002E-3</v>
      </c>
      <c r="AI120" s="169">
        <f t="shared" ref="AI120:AW120" si="165">IFERROR(AI90/$B$33,0)</f>
        <v>0</v>
      </c>
      <c r="AJ120" s="169">
        <f t="shared" si="165"/>
        <v>2.2545067590112634E-2</v>
      </c>
      <c r="AK120" s="169">
        <f t="shared" si="165"/>
        <v>4.8021399210815109E-3</v>
      </c>
      <c r="AL120" s="169">
        <f t="shared" si="165"/>
        <v>0</v>
      </c>
      <c r="AM120" s="169">
        <f t="shared" si="165"/>
        <v>1.7996582551587828E-3</v>
      </c>
      <c r="AN120" s="169">
        <f t="shared" si="165"/>
        <v>0</v>
      </c>
      <c r="AO120" s="169">
        <f t="shared" si="165"/>
        <v>0</v>
      </c>
      <c r="AP120" s="169">
        <f t="shared" si="165"/>
        <v>1.1705803418760141E-3</v>
      </c>
      <c r="AQ120" s="169">
        <f t="shared" si="165"/>
        <v>0</v>
      </c>
      <c r="AR120" s="169">
        <f t="shared" si="165"/>
        <v>4.2084126168210247E-3</v>
      </c>
      <c r="AS120" s="169">
        <f t="shared" si="165"/>
        <v>0</v>
      </c>
      <c r="AT120" s="169">
        <f t="shared" si="165"/>
        <v>0</v>
      </c>
      <c r="AU120" s="169">
        <f t="shared" si="165"/>
        <v>0</v>
      </c>
      <c r="AV120" s="169">
        <f t="shared" si="165"/>
        <v>0</v>
      </c>
      <c r="AW120" s="169">
        <f t="shared" si="165"/>
        <v>5.043580515352899E-3</v>
      </c>
      <c r="AX120" s="170">
        <f t="shared" si="161"/>
        <v>4.3385697080629126E-3</v>
      </c>
      <c r="AY120" s="171">
        <f t="shared" si="161"/>
        <v>0</v>
      </c>
    </row>
    <row r="121" spans="1:51" x14ac:dyDescent="0.25">
      <c r="A121" s="51" t="s">
        <v>201</v>
      </c>
      <c r="B121" s="169">
        <f t="shared" si="125"/>
        <v>0</v>
      </c>
      <c r="C121" s="169">
        <f t="shared" ref="C121:AH121" si="166">IFERROR(C91/$B$33,0)</f>
        <v>0</v>
      </c>
      <c r="D121" s="169">
        <f t="shared" si="166"/>
        <v>0</v>
      </c>
      <c r="E121" s="169">
        <f t="shared" si="166"/>
        <v>6.1503542596575917E-3</v>
      </c>
      <c r="F121" s="169">
        <f t="shared" si="166"/>
        <v>1.2669347765313296E-2</v>
      </c>
      <c r="G121" s="169">
        <f t="shared" si="166"/>
        <v>9.9090047764483977E-3</v>
      </c>
      <c r="H121" s="169">
        <f t="shared" si="166"/>
        <v>2.2545067590112634E-2</v>
      </c>
      <c r="I121" s="169">
        <f t="shared" si="166"/>
        <v>0</v>
      </c>
      <c r="J121" s="169">
        <f t="shared" si="166"/>
        <v>1.6136858418916759E-2</v>
      </c>
      <c r="K121" s="169">
        <f t="shared" si="166"/>
        <v>0</v>
      </c>
      <c r="L121" s="169">
        <f t="shared" si="166"/>
        <v>1.1197759428757384E-2</v>
      </c>
      <c r="M121" s="169">
        <f t="shared" si="166"/>
        <v>1.3159613028469226E-2</v>
      </c>
      <c r="N121" s="169">
        <f t="shared" si="166"/>
        <v>0</v>
      </c>
      <c r="O121" s="169">
        <f t="shared" si="166"/>
        <v>1.558967439741831E-2</v>
      </c>
      <c r="P121" s="169">
        <f t="shared" si="166"/>
        <v>1.6908800692584477E-2</v>
      </c>
      <c r="Q121" s="169">
        <f t="shared" si="166"/>
        <v>0</v>
      </c>
      <c r="R121" s="169">
        <f t="shared" si="166"/>
        <v>2.2545067590112634E-2</v>
      </c>
      <c r="S121" s="169">
        <f t="shared" si="166"/>
        <v>0</v>
      </c>
      <c r="T121" s="169">
        <f t="shared" si="166"/>
        <v>0</v>
      </c>
      <c r="U121" s="169">
        <f t="shared" si="166"/>
        <v>1.0021493245371327E-2</v>
      </c>
      <c r="V121" s="169">
        <f t="shared" si="166"/>
        <v>2.2545067590112634E-2</v>
      </c>
      <c r="W121" s="169">
        <f t="shared" si="166"/>
        <v>0</v>
      </c>
      <c r="X121" s="169">
        <f t="shared" si="166"/>
        <v>3.8271223156148395E-3</v>
      </c>
      <c r="Y121" s="169">
        <f t="shared" si="166"/>
        <v>4.7638661805064661E-4</v>
      </c>
      <c r="Z121" s="169">
        <f t="shared" si="166"/>
        <v>0</v>
      </c>
      <c r="AA121" s="169">
        <f t="shared" si="166"/>
        <v>2.2545067590112634E-2</v>
      </c>
      <c r="AB121" s="169">
        <f t="shared" si="166"/>
        <v>0</v>
      </c>
      <c r="AC121" s="169">
        <f t="shared" si="166"/>
        <v>0</v>
      </c>
      <c r="AD121" s="169">
        <f t="shared" si="166"/>
        <v>2.2545067590112634E-2</v>
      </c>
      <c r="AE121" s="169">
        <f t="shared" si="166"/>
        <v>0</v>
      </c>
      <c r="AF121" s="169">
        <f t="shared" si="166"/>
        <v>0</v>
      </c>
      <c r="AG121" s="169">
        <f t="shared" si="166"/>
        <v>1.0625194344544077E-2</v>
      </c>
      <c r="AH121" s="169">
        <f t="shared" si="166"/>
        <v>1.4384054584713694E-2</v>
      </c>
      <c r="AI121" s="169">
        <f t="shared" ref="AI121:AW121" si="167">IFERROR(AI91/$B$33,0)</f>
        <v>0</v>
      </c>
      <c r="AJ121" s="169">
        <f t="shared" si="167"/>
        <v>1.8162505473526405E-2</v>
      </c>
      <c r="AK121" s="169">
        <f t="shared" si="167"/>
        <v>2.2545067590112634E-2</v>
      </c>
      <c r="AL121" s="169">
        <f t="shared" si="167"/>
        <v>0</v>
      </c>
      <c r="AM121" s="169">
        <f t="shared" si="167"/>
        <v>2.2545067590112634E-2</v>
      </c>
      <c r="AN121" s="169">
        <f t="shared" si="167"/>
        <v>0</v>
      </c>
      <c r="AO121" s="169">
        <f t="shared" si="167"/>
        <v>2.2545067590112634E-2</v>
      </c>
      <c r="AP121" s="169">
        <f t="shared" si="167"/>
        <v>2.2545067590112634E-2</v>
      </c>
      <c r="AQ121" s="169">
        <f t="shared" si="167"/>
        <v>0</v>
      </c>
      <c r="AR121" s="169">
        <f t="shared" si="167"/>
        <v>2.2545067590112634E-2</v>
      </c>
      <c r="AS121" s="169">
        <f t="shared" si="167"/>
        <v>0</v>
      </c>
      <c r="AT121" s="169">
        <f t="shared" si="167"/>
        <v>0</v>
      </c>
      <c r="AU121" s="169">
        <f t="shared" si="167"/>
        <v>0</v>
      </c>
      <c r="AV121" s="169">
        <f t="shared" si="167"/>
        <v>2.2545067590112634E-2</v>
      </c>
      <c r="AW121" s="169">
        <f t="shared" si="167"/>
        <v>2.2545067590112634E-2</v>
      </c>
      <c r="AX121" s="169">
        <f t="shared" si="161"/>
        <v>4.2998324785266367E-3</v>
      </c>
      <c r="AY121" s="172">
        <f t="shared" si="161"/>
        <v>0</v>
      </c>
    </row>
    <row r="122" spans="1:51" ht="14.4" thickBot="1" x14ac:dyDescent="0.3">
      <c r="A122" s="51" t="s">
        <v>200</v>
      </c>
      <c r="B122" s="169">
        <f t="shared" si="125"/>
        <v>0</v>
      </c>
      <c r="C122" s="173">
        <f t="shared" ref="C122:AH122" si="168">IFERROR(C92/$B$33,0)</f>
        <v>0</v>
      </c>
      <c r="D122" s="173">
        <f t="shared" si="168"/>
        <v>0</v>
      </c>
      <c r="E122" s="173">
        <f t="shared" si="168"/>
        <v>0</v>
      </c>
      <c r="F122" s="173">
        <f t="shared" si="168"/>
        <v>0</v>
      </c>
      <c r="G122" s="173">
        <f t="shared" si="168"/>
        <v>0</v>
      </c>
      <c r="H122" s="173">
        <f t="shared" si="168"/>
        <v>0</v>
      </c>
      <c r="I122" s="173">
        <f t="shared" si="168"/>
        <v>0</v>
      </c>
      <c r="J122" s="173">
        <f t="shared" si="168"/>
        <v>0</v>
      </c>
      <c r="K122" s="173">
        <f t="shared" si="168"/>
        <v>0</v>
      </c>
      <c r="L122" s="173">
        <f t="shared" si="168"/>
        <v>0</v>
      </c>
      <c r="M122" s="173">
        <f t="shared" si="168"/>
        <v>0</v>
      </c>
      <c r="N122" s="173">
        <f t="shared" si="168"/>
        <v>0</v>
      </c>
      <c r="O122" s="173">
        <f t="shared" si="168"/>
        <v>0</v>
      </c>
      <c r="P122" s="173">
        <f t="shared" si="168"/>
        <v>0</v>
      </c>
      <c r="Q122" s="173">
        <f t="shared" si="168"/>
        <v>0</v>
      </c>
      <c r="R122" s="173">
        <f t="shared" si="168"/>
        <v>0</v>
      </c>
      <c r="S122" s="173">
        <f t="shared" si="168"/>
        <v>0</v>
      </c>
      <c r="T122" s="173">
        <f t="shared" si="168"/>
        <v>0</v>
      </c>
      <c r="U122" s="173">
        <f t="shared" si="168"/>
        <v>0</v>
      </c>
      <c r="V122" s="173">
        <f t="shared" si="168"/>
        <v>0</v>
      </c>
      <c r="W122" s="173">
        <f t="shared" si="168"/>
        <v>0</v>
      </c>
      <c r="X122" s="173">
        <f t="shared" si="168"/>
        <v>0</v>
      </c>
      <c r="Y122" s="173">
        <f t="shared" si="168"/>
        <v>0</v>
      </c>
      <c r="Z122" s="173">
        <f t="shared" si="168"/>
        <v>0</v>
      </c>
      <c r="AA122" s="173">
        <f t="shared" si="168"/>
        <v>0</v>
      </c>
      <c r="AB122" s="173">
        <f t="shared" si="168"/>
        <v>0</v>
      </c>
      <c r="AC122" s="173">
        <f t="shared" si="168"/>
        <v>0</v>
      </c>
      <c r="AD122" s="173">
        <f t="shared" si="168"/>
        <v>0</v>
      </c>
      <c r="AE122" s="173">
        <f t="shared" si="168"/>
        <v>0</v>
      </c>
      <c r="AF122" s="173">
        <f t="shared" si="168"/>
        <v>0</v>
      </c>
      <c r="AG122" s="173">
        <f t="shared" si="168"/>
        <v>0</v>
      </c>
      <c r="AH122" s="173">
        <f t="shared" si="168"/>
        <v>0</v>
      </c>
      <c r="AI122" s="173">
        <f t="shared" ref="AI122:AW122" si="169">IFERROR(AI92/$B$33,0)</f>
        <v>0</v>
      </c>
      <c r="AJ122" s="173">
        <f t="shared" si="169"/>
        <v>0</v>
      </c>
      <c r="AK122" s="173">
        <f t="shared" si="169"/>
        <v>0</v>
      </c>
      <c r="AL122" s="173">
        <f t="shared" si="169"/>
        <v>0</v>
      </c>
      <c r="AM122" s="173">
        <f t="shared" si="169"/>
        <v>0</v>
      </c>
      <c r="AN122" s="173">
        <f t="shared" si="169"/>
        <v>0</v>
      </c>
      <c r="AO122" s="173">
        <f t="shared" si="169"/>
        <v>0</v>
      </c>
      <c r="AP122" s="173">
        <f t="shared" si="169"/>
        <v>0</v>
      </c>
      <c r="AQ122" s="173">
        <f t="shared" si="169"/>
        <v>0</v>
      </c>
      <c r="AR122" s="173">
        <f t="shared" si="169"/>
        <v>0</v>
      </c>
      <c r="AS122" s="173">
        <f t="shared" si="169"/>
        <v>0</v>
      </c>
      <c r="AT122" s="173">
        <f t="shared" si="169"/>
        <v>0</v>
      </c>
      <c r="AU122" s="173">
        <f t="shared" si="169"/>
        <v>0</v>
      </c>
      <c r="AV122" s="173">
        <f t="shared" si="169"/>
        <v>0</v>
      </c>
      <c r="AW122" s="173">
        <f t="shared" si="169"/>
        <v>0</v>
      </c>
      <c r="AX122" s="169">
        <f t="shared" ref="AX122:AY125" si="170">IFERROR(AX92/$B$33,0)</f>
        <v>1.9755987063500759E-3</v>
      </c>
      <c r="AY122" s="172">
        <f t="shared" si="170"/>
        <v>0</v>
      </c>
    </row>
    <row r="123" spans="1:51" x14ac:dyDescent="0.25">
      <c r="AX123" s="169">
        <f t="shared" si="170"/>
        <v>0</v>
      </c>
      <c r="AY123" s="172">
        <f t="shared" si="170"/>
        <v>0</v>
      </c>
    </row>
    <row r="124" spans="1:51" x14ac:dyDescent="0.25">
      <c r="AX124" s="169">
        <f t="shared" si="170"/>
        <v>2.2545067590112634E-2</v>
      </c>
      <c r="AY124" s="172">
        <f t="shared" si="170"/>
        <v>0</v>
      </c>
    </row>
    <row r="125" spans="1:51" ht="14.4" thickBot="1" x14ac:dyDescent="0.3">
      <c r="AX125" s="173">
        <f t="shared" si="170"/>
        <v>0</v>
      </c>
      <c r="AY125" s="174">
        <f t="shared" si="170"/>
        <v>0</v>
      </c>
    </row>
  </sheetData>
  <conditionalFormatting sqref="B35:B41">
    <cfRule type="colorScale" priority="10490">
      <colorScale>
        <cfvo type="min"/>
        <cfvo type="percentile" val="50"/>
        <cfvo type="max"/>
        <color rgb="FFF8696B"/>
        <color rgb="FFFFEB84"/>
        <color rgb="FF63BE7B"/>
      </colorScale>
    </cfRule>
  </conditionalFormatting>
  <conditionalFormatting sqref="B42:B50">
    <cfRule type="colorScale" priority="7474">
      <colorScale>
        <cfvo type="min"/>
        <cfvo type="percentile" val="50"/>
        <cfvo type="max"/>
        <color rgb="FF63BE7B"/>
        <color rgb="FFFFEB84"/>
        <color rgb="FFF8696B"/>
      </colorScale>
    </cfRule>
  </conditionalFormatting>
  <conditionalFormatting sqref="B51:B53">
    <cfRule type="colorScale" priority="4852">
      <colorScale>
        <cfvo type="min"/>
        <cfvo type="percentile" val="50"/>
        <cfvo type="max"/>
        <color rgb="FFF8696B"/>
        <color rgb="FFFFEB84"/>
        <color rgb="FF63BE7B"/>
      </colorScale>
    </cfRule>
  </conditionalFormatting>
  <conditionalFormatting sqref="B54:B61">
    <cfRule type="colorScale" priority="57">
      <colorScale>
        <cfvo type="min"/>
        <cfvo type="percentile" val="50"/>
        <cfvo type="max"/>
        <color rgb="FF63BE7B"/>
        <color rgb="FFFFEB84"/>
        <color rgb="FFF8696B"/>
      </colorScale>
    </cfRule>
  </conditionalFormatting>
  <conditionalFormatting sqref="B59:B67 B35:AV58 C59:AV61">
    <cfRule type="colorScale" priority="15653">
      <colorScale>
        <cfvo type="min"/>
        <cfvo type="percentile" val="50"/>
        <cfvo type="max"/>
        <color rgb="FF63BE7B"/>
        <color rgb="FFFFEB84"/>
        <color rgb="FFF8696B"/>
      </colorScale>
    </cfRule>
  </conditionalFormatting>
  <conditionalFormatting sqref="B60:B67 C60:AV61">
    <cfRule type="colorScale" priority="81">
      <colorScale>
        <cfvo type="min"/>
        <cfvo type="percentile" val="50"/>
        <cfvo type="max"/>
        <color rgb="FF63BE7B"/>
        <color rgb="FFFFEB84"/>
        <color rgb="FFF8696B"/>
      </colorScale>
    </cfRule>
    <cfRule type="colorScale" priority="84">
      <colorScale>
        <cfvo type="min"/>
        <cfvo type="percentile" val="50"/>
        <cfvo type="max"/>
        <color rgb="FF63BE7B"/>
        <color rgb="FFFFEB84"/>
        <color rgb="FFF8696B"/>
      </colorScale>
    </cfRule>
    <cfRule type="colorScale" priority="80">
      <colorScale>
        <cfvo type="min"/>
        <cfvo type="percentile" val="50"/>
        <cfvo type="max"/>
        <color rgb="FF63BE7B"/>
        <color rgb="FFFFEB84"/>
        <color rgb="FFF8696B"/>
      </colorScale>
    </cfRule>
    <cfRule type="colorScale" priority="78">
      <colorScale>
        <cfvo type="min"/>
        <cfvo type="percentile" val="50"/>
        <cfvo type="max"/>
        <color rgb="FF63BE7B"/>
        <color rgb="FFFFEB84"/>
        <color rgb="FFF8696B"/>
      </colorScale>
    </cfRule>
    <cfRule type="colorScale" priority="77">
      <colorScale>
        <cfvo type="min"/>
        <cfvo type="percentile" val="50"/>
        <cfvo type="max"/>
        <color rgb="FFF8696B"/>
        <color rgb="FFFFEB84"/>
        <color rgb="FF63BE7B"/>
      </colorScale>
    </cfRule>
    <cfRule type="colorScale" priority="85">
      <colorScale>
        <cfvo type="min"/>
        <cfvo type="percentile" val="50"/>
        <cfvo type="max"/>
        <color rgb="FF63BE7B"/>
        <color rgb="FFFFEB84"/>
        <color rgb="FFF8696B"/>
      </colorScale>
    </cfRule>
    <cfRule type="colorScale" priority="86">
      <colorScale>
        <cfvo type="min"/>
        <cfvo type="percentile" val="50"/>
        <cfvo type="max"/>
        <color rgb="FF63BE7B"/>
        <color rgb="FFFFEB84"/>
        <color rgb="FFF8696B"/>
      </colorScale>
    </cfRule>
    <cfRule type="colorScale" priority="87">
      <colorScale>
        <cfvo type="min"/>
        <cfvo type="percentile" val="50"/>
        <cfvo type="max"/>
        <color rgb="FF63BE7B"/>
        <color rgb="FFFFEB84"/>
        <color rgb="FFF8696B"/>
      </colorScale>
    </cfRule>
    <cfRule type="colorScale" priority="89">
      <colorScale>
        <cfvo type="min"/>
        <cfvo type="percentile" val="50"/>
        <cfvo type="max"/>
        <color rgb="FF63BE7B"/>
        <color rgb="FFFFEB84"/>
        <color rgb="FFF8696B"/>
      </colorScale>
    </cfRule>
    <cfRule type="colorScale" priority="83">
      <colorScale>
        <cfvo type="min"/>
        <cfvo type="percentile" val="50"/>
        <cfvo type="max"/>
        <color rgb="FF63BE7B"/>
        <color rgb="FFFFEB84"/>
        <color rgb="FFF8696B"/>
      </colorScale>
    </cfRule>
    <cfRule type="colorScale" priority="82">
      <colorScale>
        <cfvo type="min"/>
        <cfvo type="percentile" val="50"/>
        <cfvo type="max"/>
        <color rgb="FF63BE7B"/>
        <color rgb="FFFFEB84"/>
        <color rgb="FFF8696B"/>
      </colorScale>
    </cfRule>
  </conditionalFormatting>
  <conditionalFormatting sqref="B62">
    <cfRule type="colorScale" priority="79">
      <colorScale>
        <cfvo type="min"/>
        <cfvo type="percentile" val="50"/>
        <cfvo type="max"/>
        <color rgb="FF63BE7B"/>
        <color rgb="FFFFEB84"/>
        <color rgb="FFF8696B"/>
      </colorScale>
    </cfRule>
    <cfRule type="colorScale" priority="88">
      <colorScale>
        <cfvo type="min"/>
        <cfvo type="percentile" val="50"/>
        <cfvo type="max"/>
        <color rgb="FF63BE7B"/>
        <color rgb="FFFFEB84"/>
        <color rgb="FFF8696B"/>
      </colorScale>
    </cfRule>
  </conditionalFormatting>
  <conditionalFormatting sqref="B68:B71">
    <cfRule type="colorScale" priority="12575">
      <colorScale>
        <cfvo type="min"/>
        <cfvo type="percentile" val="50"/>
        <cfvo type="max"/>
        <color rgb="FFF8696B"/>
        <color rgb="FFFFEB84"/>
        <color rgb="FF63BE7B"/>
      </colorScale>
    </cfRule>
  </conditionalFormatting>
  <conditionalFormatting sqref="B68:B80">
    <cfRule type="colorScale" priority="12605">
      <colorScale>
        <cfvo type="min"/>
        <cfvo type="percentile" val="50"/>
        <cfvo type="max"/>
        <color rgb="FF63BE7B"/>
        <color rgb="FFFFEB84"/>
        <color rgb="FFF8696B"/>
      </colorScale>
    </cfRule>
  </conditionalFormatting>
  <conditionalFormatting sqref="B68:B91">
    <cfRule type="colorScale" priority="12627">
      <colorScale>
        <cfvo type="min"/>
        <cfvo type="percentile" val="50"/>
        <cfvo type="max"/>
        <color rgb="FF63BE7B"/>
        <color rgb="FFFFEB84"/>
        <color rgb="FFF8696B"/>
      </colorScale>
    </cfRule>
    <cfRule type="colorScale" priority="12629">
      <colorScale>
        <cfvo type="min"/>
        <cfvo type="percentile" val="50"/>
        <cfvo type="max"/>
        <color rgb="FF63BE7B"/>
        <color rgb="FFFFEB84"/>
        <color rgb="FFF8696B"/>
      </colorScale>
    </cfRule>
  </conditionalFormatting>
  <conditionalFormatting sqref="B72:B80">
    <cfRule type="colorScale" priority="12458">
      <colorScale>
        <cfvo type="min"/>
        <cfvo type="percentile" val="50"/>
        <cfvo type="max"/>
        <color rgb="FF63BE7B"/>
        <color rgb="FFFFEB84"/>
        <color rgb="FFF8696B"/>
      </colorScale>
    </cfRule>
  </conditionalFormatting>
  <conditionalFormatting sqref="B81:B83">
    <cfRule type="colorScale" priority="12324">
      <colorScale>
        <cfvo type="min"/>
        <cfvo type="percentile" val="50"/>
        <cfvo type="max"/>
        <color rgb="FFF8696B"/>
        <color rgb="FFFFEB84"/>
        <color rgb="FF63BE7B"/>
      </colorScale>
    </cfRule>
  </conditionalFormatting>
  <conditionalFormatting sqref="B84:B91">
    <cfRule type="colorScale" priority="12237">
      <colorScale>
        <cfvo type="min"/>
        <cfvo type="percentile" val="50"/>
        <cfvo type="max"/>
        <color rgb="FF63BE7B"/>
        <color rgb="FFFFEB84"/>
        <color rgb="FFF8696B"/>
      </colorScale>
    </cfRule>
  </conditionalFormatting>
  <conditionalFormatting sqref="B96:B122">
    <cfRule type="colorScale" priority="11999">
      <colorScale>
        <cfvo type="min"/>
        <cfvo type="percentile" val="50"/>
        <cfvo type="max"/>
        <color rgb="FF63BE7B"/>
        <color rgb="FFFFEB84"/>
        <color rgb="FFF8696B"/>
      </colorScale>
    </cfRule>
    <cfRule type="colorScale" priority="11969">
      <colorScale>
        <cfvo type="min"/>
        <cfvo type="percentile" val="50"/>
        <cfvo type="max"/>
        <color rgb="FFF8696B"/>
        <color rgb="FFFFEB84"/>
        <color rgb="FF63BE7B"/>
      </colorScale>
    </cfRule>
    <cfRule type="colorScale" priority="12020">
      <colorScale>
        <cfvo type="min"/>
        <cfvo type="percentile" val="50"/>
        <cfvo type="max"/>
        <color rgb="FF63BE7B"/>
        <color rgb="FFFFEB84"/>
        <color rgb="FFF8696B"/>
      </colorScale>
    </cfRule>
  </conditionalFormatting>
  <conditionalFormatting sqref="B97:B122">
    <cfRule type="colorScale" priority="12021">
      <colorScale>
        <cfvo type="min"/>
        <cfvo type="percentile" val="50"/>
        <cfvo type="max"/>
        <color rgb="FF63BE7B"/>
        <color rgb="FFFFEB84"/>
        <color rgb="FFF8696B"/>
      </colorScale>
    </cfRule>
  </conditionalFormatting>
  <conditionalFormatting sqref="B103:B111">
    <cfRule type="colorScale" priority="11852">
      <colorScale>
        <cfvo type="min"/>
        <cfvo type="percentile" val="50"/>
        <cfvo type="max"/>
        <color rgb="FF63BE7B"/>
        <color rgb="FFFFEB84"/>
        <color rgb="FFF8696B"/>
      </colorScale>
    </cfRule>
  </conditionalFormatting>
  <conditionalFormatting sqref="B112:B114">
    <cfRule type="colorScale" priority="11721">
      <colorScale>
        <cfvo type="min"/>
        <cfvo type="percentile" val="50"/>
        <cfvo type="max"/>
        <color rgb="FFF8696B"/>
        <color rgb="FFFFEB84"/>
        <color rgb="FF63BE7B"/>
      </colorScale>
    </cfRule>
  </conditionalFormatting>
  <conditionalFormatting sqref="B115:B122">
    <cfRule type="colorScale" priority="11634">
      <colorScale>
        <cfvo type="min"/>
        <cfvo type="percentile" val="50"/>
        <cfvo type="max"/>
        <color rgb="FF63BE7B"/>
        <color rgb="FFFFEB84"/>
        <color rgb="FFF8696B"/>
      </colorScale>
    </cfRule>
  </conditionalFormatting>
  <conditionalFormatting sqref="B86:C86">
    <cfRule type="colorScale" priority="12325">
      <colorScale>
        <cfvo type="min"/>
        <cfvo type="percentile" val="50"/>
        <cfvo type="max"/>
        <color rgb="FF63BE7B"/>
        <color rgb="FFFFEB84"/>
        <color rgb="FFF8696B"/>
      </colorScale>
    </cfRule>
  </conditionalFormatting>
  <conditionalFormatting sqref="B117:C117">
    <cfRule type="colorScale" priority="11722">
      <colorScale>
        <cfvo type="min"/>
        <cfvo type="percentile" val="50"/>
        <cfvo type="max"/>
        <color rgb="FF63BE7B"/>
        <color rgb="FFFFEB84"/>
        <color rgb="FFF8696B"/>
      </colorScale>
    </cfRule>
  </conditionalFormatting>
  <conditionalFormatting sqref="B51:AV53">
    <cfRule type="colorScale" priority="12939">
      <colorScale>
        <cfvo type="min"/>
        <cfvo type="percentile" val="50"/>
        <cfvo type="max"/>
        <color rgb="FFF8696B"/>
        <color rgb="FFFFEB84"/>
        <color rgb="FF63BE7B"/>
      </colorScale>
    </cfRule>
  </conditionalFormatting>
  <conditionalFormatting sqref="B52:AV53">
    <cfRule type="colorScale" priority="7304">
      <colorScale>
        <cfvo type="min"/>
        <cfvo type="percentile" val="50"/>
        <cfvo type="max"/>
        <color rgb="FF63BE7B"/>
        <color rgb="FFFFEB84"/>
        <color rgb="FFF8696B"/>
      </colorScale>
    </cfRule>
    <cfRule type="colorScale" priority="7303">
      <colorScale>
        <cfvo type="min"/>
        <cfvo type="percentile" val="50"/>
        <cfvo type="max"/>
        <color rgb="FF63BE7B"/>
        <color rgb="FFFFEB84"/>
        <color rgb="FFF8696B"/>
      </colorScale>
    </cfRule>
    <cfRule type="colorScale" priority="7305">
      <colorScale>
        <cfvo type="min"/>
        <cfvo type="percentile" val="50"/>
        <cfvo type="max"/>
        <color rgb="FF63BE7B"/>
        <color rgb="FFFFEB84"/>
        <color rgb="FFF8696B"/>
      </colorScale>
    </cfRule>
    <cfRule type="colorScale" priority="7315">
      <colorScale>
        <cfvo type="min"/>
        <cfvo type="percentile" val="50"/>
        <cfvo type="max"/>
        <color rgb="FF63BE7B"/>
        <color rgb="FFFFEB84"/>
        <color rgb="FFF8696B"/>
      </colorScale>
    </cfRule>
    <cfRule type="colorScale" priority="7314">
      <colorScale>
        <cfvo type="min"/>
        <cfvo type="percentile" val="50"/>
        <cfvo type="max"/>
        <color rgb="FF63BE7B"/>
        <color rgb="FFFFEB84"/>
        <color rgb="FFF8696B"/>
      </colorScale>
    </cfRule>
    <cfRule type="colorScale" priority="7313">
      <colorScale>
        <cfvo type="min"/>
        <cfvo type="percentile" val="50"/>
        <cfvo type="max"/>
        <color rgb="FF63BE7B"/>
        <color rgb="FFFFEB84"/>
        <color rgb="FFF8696B"/>
      </colorScale>
    </cfRule>
    <cfRule type="colorScale" priority="7312">
      <colorScale>
        <cfvo type="min"/>
        <cfvo type="percentile" val="50"/>
        <cfvo type="max"/>
        <color rgb="FFF8696B"/>
        <color rgb="FFFFEB84"/>
        <color rgb="FF63BE7B"/>
      </colorScale>
    </cfRule>
    <cfRule type="colorScale" priority="7317">
      <colorScale>
        <cfvo type="min"/>
        <cfvo type="percentile" val="50"/>
        <cfvo type="max"/>
        <color rgb="FF63BE7B"/>
        <color rgb="FFFFEB84"/>
        <color rgb="FFF8696B"/>
      </colorScale>
    </cfRule>
    <cfRule type="colorScale" priority="7311">
      <colorScale>
        <cfvo type="min"/>
        <cfvo type="percentile" val="50"/>
        <cfvo type="max"/>
        <color rgb="FFF8696B"/>
        <color rgb="FFFFEB84"/>
        <color rgb="FF63BE7B"/>
      </colorScale>
    </cfRule>
    <cfRule type="colorScale" priority="7310">
      <colorScale>
        <cfvo type="min"/>
        <cfvo type="percentile" val="50"/>
        <cfvo type="max"/>
        <color rgb="FFF8696B"/>
        <color rgb="FFFFEB84"/>
        <color rgb="FF63BE7B"/>
      </colorScale>
    </cfRule>
    <cfRule type="colorScale" priority="7309">
      <colorScale>
        <cfvo type="min"/>
        <cfvo type="percentile" val="50"/>
        <cfvo type="max"/>
        <color rgb="FFF8696B"/>
        <color rgb="FFFFEB84"/>
        <color rgb="FF63BE7B"/>
      </colorScale>
    </cfRule>
    <cfRule type="colorScale" priority="7316">
      <colorScale>
        <cfvo type="min"/>
        <cfvo type="percentile" val="50"/>
        <cfvo type="max"/>
        <color rgb="FFF8696B"/>
        <color rgb="FFFFEB84"/>
        <color rgb="FF63BE7B"/>
      </colorScale>
    </cfRule>
    <cfRule type="colorScale" priority="7308">
      <colorScale>
        <cfvo type="min"/>
        <cfvo type="percentile" val="50"/>
        <cfvo type="max"/>
        <color rgb="FF63BE7B"/>
        <color rgb="FFFFEB84"/>
        <color rgb="FFF8696B"/>
      </colorScale>
    </cfRule>
    <cfRule type="colorScale" priority="6472">
      <colorScale>
        <cfvo type="min"/>
        <cfvo type="percentile" val="50"/>
        <cfvo type="max"/>
        <color rgb="FFF8696B"/>
        <color rgb="FFFFEB84"/>
        <color rgb="FF63BE7B"/>
      </colorScale>
    </cfRule>
    <cfRule type="colorScale" priority="6467">
      <colorScale>
        <cfvo type="min"/>
        <cfvo type="percentile" val="50"/>
        <cfvo type="max"/>
        <color rgb="FFF8696B"/>
        <color rgb="FFFFEB84"/>
        <color rgb="FF63BE7B"/>
      </colorScale>
    </cfRule>
    <cfRule type="colorScale" priority="7307">
      <colorScale>
        <cfvo type="min"/>
        <cfvo type="percentile" val="50"/>
        <cfvo type="max"/>
        <color rgb="FF63BE7B"/>
        <color rgb="FFFFEB84"/>
        <color rgb="FFF8696B"/>
      </colorScale>
    </cfRule>
    <cfRule type="colorScale" priority="7306">
      <colorScale>
        <cfvo type="min"/>
        <cfvo type="percentile" val="50"/>
        <cfvo type="max"/>
        <color rgb="FF63BE7B"/>
        <color rgb="FFFFEB84"/>
        <color rgb="FFF8696B"/>
      </colorScale>
    </cfRule>
    <cfRule type="colorScale" priority="7302">
      <colorScale>
        <cfvo type="min"/>
        <cfvo type="percentile" val="50"/>
        <cfvo type="max"/>
        <color rgb="FF63BE7B"/>
        <color rgb="FFFFEB84"/>
        <color rgb="FFF8696B"/>
      </colorScale>
    </cfRule>
    <cfRule type="colorScale" priority="7319">
      <colorScale>
        <cfvo type="min"/>
        <cfvo type="percentile" val="50"/>
        <cfvo type="max"/>
        <color rgb="FF63BE7B"/>
        <color rgb="FFFFEB84"/>
        <color rgb="FFF8696B"/>
      </colorScale>
    </cfRule>
    <cfRule type="colorScale" priority="7318">
      <colorScale>
        <cfvo type="min"/>
        <cfvo type="percentile" val="50"/>
        <cfvo type="max"/>
        <color rgb="FF63BE7B"/>
        <color rgb="FFFFEB84"/>
        <color rgb="FFF8696B"/>
      </colorScale>
    </cfRule>
  </conditionalFormatting>
  <conditionalFormatting sqref="B54:AV61">
    <cfRule type="colorScale" priority="76">
      <colorScale>
        <cfvo type="min"/>
        <cfvo type="percentile" val="50"/>
        <cfvo type="max"/>
        <color rgb="FFF8696B"/>
        <color rgb="FFFFEB84"/>
        <color rgb="FF63BE7B"/>
      </colorScale>
    </cfRule>
    <cfRule type="colorScale" priority="193">
      <colorScale>
        <cfvo type="min"/>
        <cfvo type="percentile" val="50"/>
        <cfvo type="max"/>
        <color rgb="FFF8696B"/>
        <color rgb="FFFFEB84"/>
        <color rgb="FF63BE7B"/>
      </colorScale>
    </cfRule>
  </conditionalFormatting>
  <conditionalFormatting sqref="B57:AV57">
    <cfRule type="colorScale" priority="12941">
      <colorScale>
        <cfvo type="min"/>
        <cfvo type="percentile" val="50"/>
        <cfvo type="max"/>
        <color rgb="FF63BE7B"/>
        <color rgb="FFFFEB84"/>
        <color rgb="FFF8696B"/>
      </colorScale>
    </cfRule>
  </conditionalFormatting>
  <conditionalFormatting sqref="B59:AV61 AC39:AC45 G36:G42 O41:O47 B35:AV41 B52:AV53 B35:B58 C42:AV58">
    <cfRule type="colorScale" priority="15580">
      <colorScale>
        <cfvo type="min"/>
        <cfvo type="percentile" val="50"/>
        <cfvo type="max"/>
        <color rgb="FF63BE7B"/>
        <color rgb="FFFFEB84"/>
        <color rgb="FFF8696B"/>
      </colorScale>
    </cfRule>
    <cfRule type="colorScale" priority="15579">
      <colorScale>
        <cfvo type="min"/>
        <cfvo type="percentile" val="50"/>
        <cfvo type="max"/>
        <color rgb="FF63BE7B"/>
        <color rgb="FFFFEB84"/>
        <color rgb="FFF8696B"/>
      </colorScale>
    </cfRule>
  </conditionalFormatting>
  <conditionalFormatting sqref="C35:C41">
    <cfRule type="colorScale" priority="10489">
      <colorScale>
        <cfvo type="min"/>
        <cfvo type="percentile" val="50"/>
        <cfvo type="max"/>
        <color rgb="FFF8696B"/>
        <color rgb="FFFFEB84"/>
        <color rgb="FF63BE7B"/>
      </colorScale>
    </cfRule>
  </conditionalFormatting>
  <conditionalFormatting sqref="C42:C50">
    <cfRule type="colorScale" priority="7476">
      <colorScale>
        <cfvo type="min"/>
        <cfvo type="percentile" val="50"/>
        <cfvo type="max"/>
        <color rgb="FFF8696B"/>
        <color rgb="FFFFEB84"/>
        <color rgb="FF63BE7B"/>
      </colorScale>
    </cfRule>
    <cfRule type="colorScale" priority="7473">
      <colorScale>
        <cfvo type="min"/>
        <cfvo type="percentile" val="50"/>
        <cfvo type="max"/>
        <color rgb="FF63BE7B"/>
        <color rgb="FFFFEB84"/>
        <color rgb="FFF8696B"/>
      </colorScale>
    </cfRule>
  </conditionalFormatting>
  <conditionalFormatting sqref="C51:C53">
    <cfRule type="colorScale" priority="4850">
      <colorScale>
        <cfvo type="min"/>
        <cfvo type="percentile" val="50"/>
        <cfvo type="max"/>
        <color rgb="FFF8696B"/>
        <color rgb="FFFFEB84"/>
        <color rgb="FF63BE7B"/>
      </colorScale>
    </cfRule>
  </conditionalFormatting>
  <conditionalFormatting sqref="C52:C53">
    <cfRule type="colorScale" priority="6466">
      <colorScale>
        <cfvo type="min"/>
        <cfvo type="percentile" val="50"/>
        <cfvo type="max"/>
        <color rgb="FFF8696B"/>
        <color rgb="FFFFEB84"/>
        <color rgb="FF63BE7B"/>
      </colorScale>
    </cfRule>
  </conditionalFormatting>
  <conditionalFormatting sqref="C54:C61">
    <cfRule type="colorScale" priority="75">
      <colorScale>
        <cfvo type="min"/>
        <cfvo type="percentile" val="50"/>
        <cfvo type="max"/>
        <color rgb="FF63BE7B"/>
        <color rgb="FFFFEB84"/>
        <color rgb="FFF8696B"/>
      </colorScale>
    </cfRule>
    <cfRule type="colorScale" priority="56">
      <colorScale>
        <cfvo type="min"/>
        <cfvo type="percentile" val="50"/>
        <cfvo type="max"/>
        <color rgb="FF63BE7B"/>
        <color rgb="FFFFEB84"/>
        <color rgb="FFF8696B"/>
      </colorScale>
    </cfRule>
  </conditionalFormatting>
  <conditionalFormatting sqref="C65:C80">
    <cfRule type="colorScale" priority="12604">
      <colorScale>
        <cfvo type="min"/>
        <cfvo type="percentile" val="50"/>
        <cfvo type="max"/>
        <color rgb="FF63BE7B"/>
        <color rgb="FFFFEB84"/>
        <color rgb="FFF8696B"/>
      </colorScale>
    </cfRule>
  </conditionalFormatting>
  <conditionalFormatting sqref="C65:C91">
    <cfRule type="colorScale" priority="12626">
      <colorScale>
        <cfvo type="min"/>
        <cfvo type="percentile" val="50"/>
        <cfvo type="max"/>
        <color rgb="FF63BE7B"/>
        <color rgb="FFFFEB84"/>
        <color rgb="FFF8696B"/>
      </colorScale>
    </cfRule>
  </conditionalFormatting>
  <conditionalFormatting sqref="C72:C80">
    <cfRule type="colorScale" priority="12457">
      <colorScale>
        <cfvo type="min"/>
        <cfvo type="percentile" val="50"/>
        <cfvo type="max"/>
        <color rgb="FF63BE7B"/>
        <color rgb="FFFFEB84"/>
        <color rgb="FFF8696B"/>
      </colorScale>
    </cfRule>
    <cfRule type="colorScale" priority="12456">
      <colorScale>
        <cfvo type="min"/>
        <cfvo type="percentile" val="50"/>
        <cfvo type="max"/>
        <color rgb="FF63BE7B"/>
        <color rgb="FFFFEB84"/>
        <color rgb="FFF8696B"/>
      </colorScale>
    </cfRule>
    <cfRule type="colorScale" priority="12455">
      <colorScale>
        <cfvo type="min"/>
        <cfvo type="percentile" val="50"/>
        <cfvo type="max"/>
        <color rgb="FF63BE7B"/>
        <color rgb="FFFFEB84"/>
        <color rgb="FFF8696B"/>
      </colorScale>
    </cfRule>
    <cfRule type="colorScale" priority="12454">
      <colorScale>
        <cfvo type="min"/>
        <cfvo type="percentile" val="50"/>
        <cfvo type="max"/>
        <color rgb="FF63BE7B"/>
        <color rgb="FFFFEB84"/>
        <color rgb="FFF8696B"/>
      </colorScale>
    </cfRule>
  </conditionalFormatting>
  <conditionalFormatting sqref="C84:C91">
    <cfRule type="colorScale" priority="12236">
      <colorScale>
        <cfvo type="min"/>
        <cfvo type="percentile" val="50"/>
        <cfvo type="max"/>
        <color rgb="FF63BE7B"/>
        <color rgb="FFFFEB84"/>
        <color rgb="FFF8696B"/>
      </colorScale>
    </cfRule>
    <cfRule type="colorScale" priority="12235">
      <colorScale>
        <cfvo type="min"/>
        <cfvo type="percentile" val="50"/>
        <cfvo type="max"/>
        <color rgb="FF63BE7B"/>
        <color rgb="FFFFEB84"/>
        <color rgb="FFF8696B"/>
      </colorScale>
    </cfRule>
    <cfRule type="colorScale" priority="12185">
      <colorScale>
        <cfvo type="min"/>
        <cfvo type="percentile" val="50"/>
        <cfvo type="max"/>
        <color rgb="FF63BE7B"/>
        <color rgb="FFFFEB84"/>
        <color rgb="FFF8696B"/>
      </colorScale>
    </cfRule>
    <cfRule type="colorScale" priority="12234">
      <colorScale>
        <cfvo type="min"/>
        <cfvo type="percentile" val="50"/>
        <cfvo type="max"/>
        <color rgb="FF63BE7B"/>
        <color rgb="FFFFEB84"/>
        <color rgb="FFF8696B"/>
      </colorScale>
    </cfRule>
    <cfRule type="colorScale" priority="12183">
      <colorScale>
        <cfvo type="min"/>
        <cfvo type="percentile" val="50"/>
        <cfvo type="max"/>
        <color rgb="FF63BE7B"/>
        <color rgb="FFFFEB84"/>
        <color rgb="FFF8696B"/>
      </colorScale>
    </cfRule>
    <cfRule type="colorScale" priority="12184">
      <colorScale>
        <cfvo type="min"/>
        <cfvo type="percentile" val="50"/>
        <cfvo type="max"/>
        <color rgb="FF63BE7B"/>
        <color rgb="FFFFEB84"/>
        <color rgb="FFF8696B"/>
      </colorScale>
    </cfRule>
  </conditionalFormatting>
  <conditionalFormatting sqref="C96:C111">
    <cfRule type="colorScale" priority="11998">
      <colorScale>
        <cfvo type="min"/>
        <cfvo type="percentile" val="50"/>
        <cfvo type="max"/>
        <color rgb="FF63BE7B"/>
        <color rgb="FFFFEB84"/>
        <color rgb="FFF8696B"/>
      </colorScale>
    </cfRule>
  </conditionalFormatting>
  <conditionalFormatting sqref="C96:C122">
    <cfRule type="colorScale" priority="12019">
      <colorScale>
        <cfvo type="min"/>
        <cfvo type="percentile" val="50"/>
        <cfvo type="max"/>
        <color rgb="FF63BE7B"/>
        <color rgb="FFFFEB84"/>
        <color rgb="FFF8696B"/>
      </colorScale>
    </cfRule>
  </conditionalFormatting>
  <conditionalFormatting sqref="C103:C111">
    <cfRule type="colorScale" priority="11849">
      <colorScale>
        <cfvo type="min"/>
        <cfvo type="percentile" val="50"/>
        <cfvo type="max"/>
        <color rgb="FF63BE7B"/>
        <color rgb="FFFFEB84"/>
        <color rgb="FFF8696B"/>
      </colorScale>
    </cfRule>
    <cfRule type="colorScale" priority="11850">
      <colorScale>
        <cfvo type="min"/>
        <cfvo type="percentile" val="50"/>
        <cfvo type="max"/>
        <color rgb="FF63BE7B"/>
        <color rgb="FFFFEB84"/>
        <color rgb="FFF8696B"/>
      </colorScale>
    </cfRule>
    <cfRule type="colorScale" priority="11848">
      <colorScale>
        <cfvo type="min"/>
        <cfvo type="percentile" val="50"/>
        <cfvo type="max"/>
        <color rgb="FF63BE7B"/>
        <color rgb="FFFFEB84"/>
        <color rgb="FFF8696B"/>
      </colorScale>
    </cfRule>
    <cfRule type="colorScale" priority="11851">
      <colorScale>
        <cfvo type="min"/>
        <cfvo type="percentile" val="50"/>
        <cfvo type="max"/>
        <color rgb="FF63BE7B"/>
        <color rgb="FFFFEB84"/>
        <color rgb="FFF8696B"/>
      </colorScale>
    </cfRule>
  </conditionalFormatting>
  <conditionalFormatting sqref="C115:C122">
    <cfRule type="colorScale" priority="11582">
      <colorScale>
        <cfvo type="min"/>
        <cfvo type="percentile" val="50"/>
        <cfvo type="max"/>
        <color rgb="FF63BE7B"/>
        <color rgb="FFFFEB84"/>
        <color rgb="FFF8696B"/>
      </colorScale>
    </cfRule>
    <cfRule type="colorScale" priority="11580">
      <colorScale>
        <cfvo type="min"/>
        <cfvo type="percentile" val="50"/>
        <cfvo type="max"/>
        <color rgb="FF63BE7B"/>
        <color rgb="FFFFEB84"/>
        <color rgb="FFF8696B"/>
      </colorScale>
    </cfRule>
    <cfRule type="colorScale" priority="11632">
      <colorScale>
        <cfvo type="min"/>
        <cfvo type="percentile" val="50"/>
        <cfvo type="max"/>
        <color rgb="FF63BE7B"/>
        <color rgb="FFFFEB84"/>
        <color rgb="FFF8696B"/>
      </colorScale>
    </cfRule>
    <cfRule type="colorScale" priority="11581">
      <colorScale>
        <cfvo type="min"/>
        <cfvo type="percentile" val="50"/>
        <cfvo type="max"/>
        <color rgb="FF63BE7B"/>
        <color rgb="FFFFEB84"/>
        <color rgb="FFF8696B"/>
      </colorScale>
    </cfRule>
    <cfRule type="colorScale" priority="11631">
      <colorScale>
        <cfvo type="min"/>
        <cfvo type="percentile" val="50"/>
        <cfvo type="max"/>
        <color rgb="FF63BE7B"/>
        <color rgb="FFFFEB84"/>
        <color rgb="FFF8696B"/>
      </colorScale>
    </cfRule>
    <cfRule type="colorScale" priority="11633">
      <colorScale>
        <cfvo type="min"/>
        <cfvo type="percentile" val="50"/>
        <cfvo type="max"/>
        <color rgb="FF63BE7B"/>
        <color rgb="FFFFEB84"/>
        <color rgb="FFF8696B"/>
      </colorScale>
    </cfRule>
  </conditionalFormatting>
  <conditionalFormatting sqref="D35:D37">
    <cfRule type="colorScale" priority="10167">
      <colorScale>
        <cfvo type="min"/>
        <cfvo type="percentile" val="50"/>
        <cfvo type="max"/>
        <color rgb="FF63BE7B"/>
        <color rgb="FFFFEB84"/>
        <color rgb="FFF8696B"/>
      </colorScale>
    </cfRule>
    <cfRule type="colorScale" priority="10157">
      <colorScale>
        <cfvo type="min"/>
        <cfvo type="percentile" val="50"/>
        <cfvo type="max"/>
        <color rgb="FF63BE7B"/>
        <color rgb="FFFFEB84"/>
        <color rgb="FFF8696B"/>
      </colorScale>
    </cfRule>
    <cfRule type="colorScale" priority="10166">
      <colorScale>
        <cfvo type="min"/>
        <cfvo type="percentile" val="50"/>
        <cfvo type="max"/>
        <color rgb="FF63BE7B"/>
        <color rgb="FFFFEB84"/>
        <color rgb="FFF8696B"/>
      </colorScale>
    </cfRule>
    <cfRule type="colorScale" priority="10170">
      <colorScale>
        <cfvo type="min"/>
        <cfvo type="percentile" val="50"/>
        <cfvo type="max"/>
        <color rgb="FF63BE7B"/>
        <color rgb="FFFFEB84"/>
        <color rgb="FFF8696B"/>
      </colorScale>
    </cfRule>
    <cfRule type="colorScale" priority="10165">
      <colorScale>
        <cfvo type="min"/>
        <cfvo type="percentile" val="50"/>
        <cfvo type="max"/>
        <color rgb="FF63BE7B"/>
        <color rgb="FFFFEB84"/>
        <color rgb="FFF8696B"/>
      </colorScale>
    </cfRule>
    <cfRule type="colorScale" priority="10171">
      <colorScale>
        <cfvo type="min"/>
        <cfvo type="percentile" val="50"/>
        <cfvo type="max"/>
        <color rgb="FF63BE7B"/>
        <color rgb="FFFFEB84"/>
        <color rgb="FFF8696B"/>
      </colorScale>
    </cfRule>
    <cfRule type="colorScale" priority="10168">
      <colorScale>
        <cfvo type="min"/>
        <cfvo type="percentile" val="50"/>
        <cfvo type="max"/>
        <color rgb="FF63BE7B"/>
        <color rgb="FFFFEB84"/>
        <color rgb="FFF8696B"/>
      </colorScale>
    </cfRule>
  </conditionalFormatting>
  <conditionalFormatting sqref="D35:D38">
    <cfRule type="colorScale" priority="11399">
      <colorScale>
        <cfvo type="min"/>
        <cfvo type="percentile" val="50"/>
        <cfvo type="max"/>
        <color rgb="FF63BE7B"/>
        <color rgb="FFFFEB84"/>
        <color rgb="FFF8696B"/>
      </colorScale>
    </cfRule>
  </conditionalFormatting>
  <conditionalFormatting sqref="D35:D41">
    <cfRule type="colorScale" priority="11303">
      <colorScale>
        <cfvo type="min"/>
        <cfvo type="percentile" val="50"/>
        <cfvo type="max"/>
        <color rgb="FF63BE7B"/>
        <color rgb="FFFFEB84"/>
        <color rgb="FFF8696B"/>
      </colorScale>
    </cfRule>
    <cfRule type="colorScale" priority="9319">
      <colorScale>
        <cfvo type="min"/>
        <cfvo type="percentile" val="50"/>
        <cfvo type="max"/>
        <color rgb="FFF8696B"/>
        <color rgb="FFFFEB84"/>
        <color rgb="FF63BE7B"/>
      </colorScale>
    </cfRule>
    <cfRule type="colorScale" priority="10155">
      <colorScale>
        <cfvo type="min"/>
        <cfvo type="percentile" val="50"/>
        <cfvo type="max"/>
        <color rgb="FF63BE7B"/>
        <color rgb="FFFFEB84"/>
        <color rgb="FFF8696B"/>
      </colorScale>
    </cfRule>
    <cfRule type="colorScale" priority="10158">
      <colorScale>
        <cfvo type="min"/>
        <cfvo type="percentile" val="50"/>
        <cfvo type="max"/>
        <color rgb="FF63BE7B"/>
        <color rgb="FFFFEB84"/>
        <color rgb="FFF8696B"/>
      </colorScale>
    </cfRule>
    <cfRule type="colorScale" priority="10159">
      <colorScale>
        <cfvo type="min"/>
        <cfvo type="percentile" val="50"/>
        <cfvo type="max"/>
        <color rgb="FF63BE7B"/>
        <color rgb="FFFFEB84"/>
        <color rgb="FFF8696B"/>
      </colorScale>
    </cfRule>
    <cfRule type="colorScale" priority="10160">
      <colorScale>
        <cfvo type="min"/>
        <cfvo type="percentile" val="50"/>
        <cfvo type="max"/>
        <color rgb="FF63BE7B"/>
        <color rgb="FFFFEB84"/>
        <color rgb="FFF8696B"/>
      </colorScale>
    </cfRule>
    <cfRule type="colorScale" priority="10161">
      <colorScale>
        <cfvo type="min"/>
        <cfvo type="percentile" val="50"/>
        <cfvo type="max"/>
        <color rgb="FF63BE7B"/>
        <color rgb="FFFFEB84"/>
        <color rgb="FFF8696B"/>
      </colorScale>
    </cfRule>
    <cfRule type="colorScale" priority="10162">
      <colorScale>
        <cfvo type="min"/>
        <cfvo type="percentile" val="50"/>
        <cfvo type="max"/>
        <color rgb="FF63BE7B"/>
        <color rgb="FFFFEB84"/>
        <color rgb="FFF8696B"/>
      </colorScale>
    </cfRule>
    <cfRule type="colorScale" priority="10163">
      <colorScale>
        <cfvo type="min"/>
        <cfvo type="percentile" val="50"/>
        <cfvo type="max"/>
        <color rgb="FF63BE7B"/>
        <color rgb="FFFFEB84"/>
        <color rgb="FFF8696B"/>
      </colorScale>
    </cfRule>
    <cfRule type="colorScale" priority="10181">
      <colorScale>
        <cfvo type="min"/>
        <cfvo type="percentile" val="50"/>
        <cfvo type="max"/>
        <color rgb="FF63BE7B"/>
        <color rgb="FFFFEB84"/>
        <color rgb="FFF8696B"/>
      </colorScale>
    </cfRule>
    <cfRule type="colorScale" priority="10175">
      <colorScale>
        <cfvo type="min"/>
        <cfvo type="percentile" val="50"/>
        <cfvo type="max"/>
        <color rgb="FF63BE7B"/>
        <color rgb="FFFFEB84"/>
        <color rgb="FFF8696B"/>
      </colorScale>
    </cfRule>
    <cfRule type="colorScale" priority="10174">
      <colorScale>
        <cfvo type="min"/>
        <cfvo type="percentile" val="50"/>
        <cfvo type="max"/>
        <color rgb="FF63BE7B"/>
        <color rgb="FFFFEB84"/>
        <color rgb="FFF8696B"/>
      </colorScale>
    </cfRule>
    <cfRule type="colorScale" priority="10173">
      <colorScale>
        <cfvo type="min"/>
        <cfvo type="percentile" val="50"/>
        <cfvo type="max"/>
        <color rgb="FF63BE7B"/>
        <color rgb="FFFFEB84"/>
        <color rgb="FFF8696B"/>
      </colorScale>
    </cfRule>
    <cfRule type="colorScale" priority="10488">
      <colorScale>
        <cfvo type="min"/>
        <cfvo type="percentile" val="50"/>
        <cfvo type="max"/>
        <color rgb="FFF8696B"/>
        <color rgb="FFFFEB84"/>
        <color rgb="FF63BE7B"/>
      </colorScale>
    </cfRule>
    <cfRule type="colorScale" priority="11301">
      <colorScale>
        <cfvo type="min"/>
        <cfvo type="percentile" val="50"/>
        <cfvo type="max"/>
        <color rgb="FFF8696B"/>
        <color rgb="FFFFEB84"/>
        <color rgb="FF63BE7B"/>
      </colorScale>
    </cfRule>
    <cfRule type="colorScale" priority="10172">
      <colorScale>
        <cfvo type="min"/>
        <cfvo type="percentile" val="50"/>
        <cfvo type="max"/>
        <color rgb="FF63BE7B"/>
        <color rgb="FFFFEB84"/>
        <color rgb="FFF8696B"/>
      </colorScale>
    </cfRule>
    <cfRule type="colorScale" priority="10180">
      <colorScale>
        <cfvo type="min"/>
        <cfvo type="percentile" val="50"/>
        <cfvo type="max"/>
        <color rgb="FF63BE7B"/>
        <color rgb="FFFFEB84"/>
        <color rgb="FFF8696B"/>
      </colorScale>
    </cfRule>
    <cfRule type="colorScale" priority="10178">
      <colorScale>
        <cfvo type="min"/>
        <cfvo type="percentile" val="50"/>
        <cfvo type="max"/>
        <color rgb="FF63BE7B"/>
        <color rgb="FFFFEB84"/>
        <color rgb="FFF8696B"/>
      </colorScale>
    </cfRule>
    <cfRule type="colorScale" priority="10177">
      <colorScale>
        <cfvo type="min"/>
        <cfvo type="percentile" val="50"/>
        <cfvo type="max"/>
        <color rgb="FF63BE7B"/>
        <color rgb="FFFFEB84"/>
        <color rgb="FFF8696B"/>
      </colorScale>
    </cfRule>
    <cfRule type="colorScale" priority="10164">
      <colorScale>
        <cfvo type="min"/>
        <cfvo type="percentile" val="50"/>
        <cfvo type="max"/>
        <color rgb="FF63BE7B"/>
        <color rgb="FFFFEB84"/>
        <color rgb="FFF8696B"/>
      </colorScale>
    </cfRule>
    <cfRule type="colorScale" priority="10176">
      <colorScale>
        <cfvo type="min"/>
        <cfvo type="percentile" val="50"/>
        <cfvo type="max"/>
        <color rgb="FF63BE7B"/>
        <color rgb="FFFFEB84"/>
        <color rgb="FFF8696B"/>
      </colorScale>
    </cfRule>
    <cfRule type="colorScale" priority="10156">
      <colorScale>
        <cfvo type="min"/>
        <cfvo type="percentile" val="50"/>
        <cfvo type="max"/>
        <color rgb="FF63BE7B"/>
        <color rgb="FFFFEB84"/>
        <color rgb="FFF8696B"/>
      </colorScale>
    </cfRule>
    <cfRule type="colorScale" priority="11302">
      <colorScale>
        <cfvo type="min"/>
        <cfvo type="percentile" val="50"/>
        <cfvo type="max"/>
        <color rgb="FF63BE7B"/>
        <color rgb="FFFFEB84"/>
        <color rgb="FFF8696B"/>
      </colorScale>
    </cfRule>
    <cfRule type="colorScale" priority="11323">
      <colorScale>
        <cfvo type="min"/>
        <cfvo type="percentile" val="50"/>
        <cfvo type="max"/>
        <color rgb="FFF8696B"/>
        <color rgb="FFFFEB84"/>
        <color rgb="FF63BE7B"/>
      </colorScale>
    </cfRule>
  </conditionalFormatting>
  <conditionalFormatting sqref="D36:D37">
    <cfRule type="colorScale" priority="10169">
      <colorScale>
        <cfvo type="min"/>
        <cfvo type="percentile" val="50"/>
        <cfvo type="max"/>
        <color rgb="FF63BE7B"/>
        <color rgb="FFFFEB84"/>
        <color rgb="FFF8696B"/>
      </colorScale>
    </cfRule>
  </conditionalFormatting>
  <conditionalFormatting sqref="D36:D41">
    <cfRule type="colorScale" priority="10179">
      <colorScale>
        <cfvo type="min"/>
        <cfvo type="percentile" val="50"/>
        <cfvo type="max"/>
        <color rgb="FF63BE7B"/>
        <color rgb="FFFFEB84"/>
        <color rgb="FFF8696B"/>
      </colorScale>
    </cfRule>
  </conditionalFormatting>
  <conditionalFormatting sqref="D42:D50">
    <cfRule type="colorScale" priority="7472">
      <colorScale>
        <cfvo type="min"/>
        <cfvo type="percentile" val="50"/>
        <cfvo type="max"/>
        <color rgb="FF63BE7B"/>
        <color rgb="FFFFEB84"/>
        <color rgb="FFF8696B"/>
      </colorScale>
    </cfRule>
  </conditionalFormatting>
  <conditionalFormatting sqref="D42:D51">
    <cfRule type="colorScale" priority="7425">
      <colorScale>
        <cfvo type="min"/>
        <cfvo type="percentile" val="50"/>
        <cfvo type="max"/>
        <color rgb="FFF8696B"/>
        <color rgb="FFFFEB84"/>
        <color rgb="FF63BE7B"/>
      </colorScale>
    </cfRule>
  </conditionalFormatting>
  <conditionalFormatting sqref="D51:D53">
    <cfRule type="colorScale" priority="4849">
      <colorScale>
        <cfvo type="min"/>
        <cfvo type="percentile" val="50"/>
        <cfvo type="max"/>
        <color rgb="FFF8696B"/>
        <color rgb="FFFFEB84"/>
        <color rgb="FF63BE7B"/>
      </colorScale>
    </cfRule>
  </conditionalFormatting>
  <conditionalFormatting sqref="D52">
    <cfRule type="colorScale" priority="7099">
      <colorScale>
        <cfvo type="min"/>
        <cfvo type="percentile" val="50"/>
        <cfvo type="max"/>
        <color rgb="FF63BE7B"/>
        <color rgb="FFFFEB84"/>
        <color rgb="FFF8696B"/>
      </colorScale>
    </cfRule>
  </conditionalFormatting>
  <conditionalFormatting sqref="D52:D53">
    <cfRule type="colorScale" priority="6265">
      <colorScale>
        <cfvo type="min"/>
        <cfvo type="percentile" val="50"/>
        <cfvo type="max"/>
        <color rgb="FF63BE7B"/>
        <color rgb="FFFFEB84"/>
        <color rgb="FFF8696B"/>
      </colorScale>
    </cfRule>
    <cfRule type="colorScale" priority="6264">
      <colorScale>
        <cfvo type="min"/>
        <cfvo type="percentile" val="50"/>
        <cfvo type="max"/>
        <color rgb="FF63BE7B"/>
        <color rgb="FFFFEB84"/>
        <color rgb="FFF8696B"/>
      </colorScale>
    </cfRule>
    <cfRule type="colorScale" priority="6257">
      <colorScale>
        <cfvo type="min"/>
        <cfvo type="percentile" val="50"/>
        <cfvo type="max"/>
        <color rgb="FF63BE7B"/>
        <color rgb="FFFFEB84"/>
        <color rgb="FFF8696B"/>
      </colorScale>
    </cfRule>
    <cfRule type="colorScale" priority="6263">
      <colorScale>
        <cfvo type="min"/>
        <cfvo type="percentile" val="50"/>
        <cfvo type="max"/>
        <color rgb="FF63BE7B"/>
        <color rgb="FFFFEB84"/>
        <color rgb="FFF8696B"/>
      </colorScale>
    </cfRule>
    <cfRule type="colorScale" priority="6266">
      <colorScale>
        <cfvo type="min"/>
        <cfvo type="percentile" val="50"/>
        <cfvo type="max"/>
        <color rgb="FF63BE7B"/>
        <color rgb="FFFFEB84"/>
        <color rgb="FFF8696B"/>
      </colorScale>
    </cfRule>
    <cfRule type="colorScale" priority="6256">
      <colorScale>
        <cfvo type="min"/>
        <cfvo type="percentile" val="50"/>
        <cfvo type="max"/>
        <color rgb="FF63BE7B"/>
        <color rgb="FFFFEB84"/>
        <color rgb="FFF8696B"/>
      </colorScale>
    </cfRule>
    <cfRule type="colorScale" priority="6255">
      <colorScale>
        <cfvo type="min"/>
        <cfvo type="percentile" val="50"/>
        <cfvo type="max"/>
        <color rgb="FF63BE7B"/>
        <color rgb="FFFFEB84"/>
        <color rgb="FFF8696B"/>
      </colorScale>
    </cfRule>
    <cfRule type="colorScale" priority="6272">
      <colorScale>
        <cfvo type="min"/>
        <cfvo type="percentile" val="50"/>
        <cfvo type="max"/>
        <color rgb="FF63BE7B"/>
        <color rgb="FFFFEB84"/>
        <color rgb="FFF8696B"/>
      </colorScale>
    </cfRule>
    <cfRule type="colorScale" priority="6260">
      <colorScale>
        <cfvo type="min"/>
        <cfvo type="percentile" val="50"/>
        <cfvo type="max"/>
        <color rgb="FF63BE7B"/>
        <color rgb="FFFFEB84"/>
        <color rgb="FFF8696B"/>
      </colorScale>
    </cfRule>
    <cfRule type="colorScale" priority="6271">
      <colorScale>
        <cfvo type="min"/>
        <cfvo type="percentile" val="50"/>
        <cfvo type="max"/>
        <color rgb="FF63BE7B"/>
        <color rgb="FFFFEB84"/>
        <color rgb="FFF8696B"/>
      </colorScale>
    </cfRule>
    <cfRule type="colorScale" priority="7082">
      <colorScale>
        <cfvo type="min"/>
        <cfvo type="percentile" val="50"/>
        <cfvo type="max"/>
        <color rgb="FFF8696B"/>
        <color rgb="FFFFEB84"/>
        <color rgb="FF63BE7B"/>
      </colorScale>
    </cfRule>
    <cfRule type="colorScale" priority="6254">
      <colorScale>
        <cfvo type="min"/>
        <cfvo type="percentile" val="50"/>
        <cfvo type="max"/>
        <color rgb="FF63BE7B"/>
        <color rgb="FFFFEB84"/>
        <color rgb="FFF8696B"/>
      </colorScale>
    </cfRule>
    <cfRule type="colorScale" priority="6465">
      <colorScale>
        <cfvo type="min"/>
        <cfvo type="percentile" val="50"/>
        <cfvo type="max"/>
        <color rgb="FFF8696B"/>
        <color rgb="FFFFEB84"/>
        <color rgb="FF63BE7B"/>
      </colorScale>
    </cfRule>
    <cfRule type="colorScale" priority="5917">
      <colorScale>
        <cfvo type="min"/>
        <cfvo type="percentile" val="50"/>
        <cfvo type="max"/>
        <color rgb="FFF8696B"/>
        <color rgb="FFFFEB84"/>
        <color rgb="FF63BE7B"/>
      </colorScale>
    </cfRule>
    <cfRule type="colorScale" priority="6262">
      <colorScale>
        <cfvo type="min"/>
        <cfvo type="percentile" val="50"/>
        <cfvo type="max"/>
        <color rgb="FF63BE7B"/>
        <color rgb="FFFFEB84"/>
        <color rgb="FFF8696B"/>
      </colorScale>
    </cfRule>
    <cfRule type="colorScale" priority="7098">
      <colorScale>
        <cfvo type="min"/>
        <cfvo type="percentile" val="50"/>
        <cfvo type="max"/>
        <color rgb="FFF8696B"/>
        <color rgb="FFFFEB84"/>
        <color rgb="FF63BE7B"/>
      </colorScale>
    </cfRule>
    <cfRule type="colorScale" priority="6261">
      <colorScale>
        <cfvo type="min"/>
        <cfvo type="percentile" val="50"/>
        <cfvo type="max"/>
        <color rgb="FF63BE7B"/>
        <color rgb="FFFFEB84"/>
        <color rgb="FFF8696B"/>
      </colorScale>
    </cfRule>
    <cfRule type="colorScale" priority="6270">
      <colorScale>
        <cfvo type="min"/>
        <cfvo type="percentile" val="50"/>
        <cfvo type="max"/>
        <color rgb="FF63BE7B"/>
        <color rgb="FFFFEB84"/>
        <color rgb="FFF8696B"/>
      </colorScale>
    </cfRule>
    <cfRule type="colorScale" priority="6259">
      <colorScale>
        <cfvo type="min"/>
        <cfvo type="percentile" val="50"/>
        <cfvo type="max"/>
        <color rgb="FF63BE7B"/>
        <color rgb="FFFFEB84"/>
        <color rgb="FFF8696B"/>
      </colorScale>
    </cfRule>
    <cfRule type="colorScale" priority="6269">
      <colorScale>
        <cfvo type="min"/>
        <cfvo type="percentile" val="50"/>
        <cfvo type="max"/>
        <color rgb="FF63BE7B"/>
        <color rgb="FFFFEB84"/>
        <color rgb="FFF8696B"/>
      </colorScale>
    </cfRule>
    <cfRule type="colorScale" priority="7084">
      <colorScale>
        <cfvo type="min"/>
        <cfvo type="percentile" val="50"/>
        <cfvo type="max"/>
        <color rgb="FF63BE7B"/>
        <color rgb="FFFFEB84"/>
        <color rgb="FFF8696B"/>
      </colorScale>
    </cfRule>
    <cfRule type="colorScale" priority="6268">
      <colorScale>
        <cfvo type="min"/>
        <cfvo type="percentile" val="50"/>
        <cfvo type="max"/>
        <color rgb="FF63BE7B"/>
        <color rgb="FFFFEB84"/>
        <color rgb="FFF8696B"/>
      </colorScale>
    </cfRule>
    <cfRule type="colorScale" priority="7083">
      <colorScale>
        <cfvo type="min"/>
        <cfvo type="percentile" val="50"/>
        <cfvo type="max"/>
        <color rgb="FF63BE7B"/>
        <color rgb="FFFFEB84"/>
        <color rgb="FFF8696B"/>
      </colorScale>
    </cfRule>
    <cfRule type="colorScale" priority="6258">
      <colorScale>
        <cfvo type="min"/>
        <cfvo type="percentile" val="50"/>
        <cfvo type="max"/>
        <color rgb="FF63BE7B"/>
        <color rgb="FFFFEB84"/>
        <color rgb="FFF8696B"/>
      </colorScale>
    </cfRule>
    <cfRule type="colorScale" priority="6267">
      <colorScale>
        <cfvo type="min"/>
        <cfvo type="percentile" val="50"/>
        <cfvo type="max"/>
        <color rgb="FF63BE7B"/>
        <color rgb="FFFFEB84"/>
        <color rgb="FFF8696B"/>
      </colorScale>
    </cfRule>
  </conditionalFormatting>
  <conditionalFormatting sqref="D54:D61">
    <cfRule type="colorScale" priority="55">
      <colorScale>
        <cfvo type="min"/>
        <cfvo type="percentile" val="50"/>
        <cfvo type="max"/>
        <color rgb="FF63BE7B"/>
        <color rgb="FFFFEB84"/>
        <color rgb="FFF8696B"/>
      </colorScale>
    </cfRule>
    <cfRule type="colorScale" priority="74">
      <colorScale>
        <cfvo type="min"/>
        <cfvo type="percentile" val="50"/>
        <cfvo type="max"/>
        <color rgb="FF63BE7B"/>
        <color rgb="FFFFEB84"/>
        <color rgb="FFF8696B"/>
      </colorScale>
    </cfRule>
  </conditionalFormatting>
  <conditionalFormatting sqref="D65:D91">
    <cfRule type="colorScale" priority="12625">
      <colorScale>
        <cfvo type="min"/>
        <cfvo type="percentile" val="50"/>
        <cfvo type="max"/>
        <color rgb="FF63BE7B"/>
        <color rgb="FFFFEB84"/>
        <color rgb="FFF8696B"/>
      </colorScale>
    </cfRule>
  </conditionalFormatting>
  <conditionalFormatting sqref="D96:D122">
    <cfRule type="colorScale" priority="12018">
      <colorScale>
        <cfvo type="min"/>
        <cfvo type="percentile" val="50"/>
        <cfvo type="max"/>
        <color rgb="FF63BE7B"/>
        <color rgb="FFFFEB84"/>
        <color rgb="FFF8696B"/>
      </colorScale>
    </cfRule>
  </conditionalFormatting>
  <conditionalFormatting sqref="D35:E41">
    <cfRule type="colorScale" priority="11295">
      <colorScale>
        <cfvo type="min"/>
        <cfvo type="percentile" val="50"/>
        <cfvo type="max"/>
        <color rgb="FF63BE7B"/>
        <color rgb="FFFFEB84"/>
        <color rgb="FFF8696B"/>
      </colorScale>
    </cfRule>
  </conditionalFormatting>
  <conditionalFormatting sqref="D42:E50">
    <cfRule type="colorScale" priority="7475">
      <colorScale>
        <cfvo type="min"/>
        <cfvo type="percentile" val="50"/>
        <cfvo type="max"/>
        <color rgb="FFF8696B"/>
        <color rgb="FFFFEB84"/>
        <color rgb="FF63BE7B"/>
      </colorScale>
    </cfRule>
  </conditionalFormatting>
  <conditionalFormatting sqref="D52:E53">
    <cfRule type="colorScale" priority="7077">
      <colorScale>
        <cfvo type="min"/>
        <cfvo type="percentile" val="50"/>
        <cfvo type="max"/>
        <color rgb="FF63BE7B"/>
        <color rgb="FFFFEB84"/>
        <color rgb="FFF8696B"/>
      </colorScale>
    </cfRule>
  </conditionalFormatting>
  <conditionalFormatting sqref="D52:AU53">
    <cfRule type="colorScale" priority="7321">
      <colorScale>
        <cfvo type="min"/>
        <cfvo type="percentile" val="50"/>
        <cfvo type="max"/>
        <color rgb="FF63BE7B"/>
        <color rgb="FFFFEB84"/>
        <color rgb="FFF8696B"/>
      </colorScale>
    </cfRule>
  </conditionalFormatting>
  <conditionalFormatting sqref="E35:E37">
    <cfRule type="colorScale" priority="10184">
      <colorScale>
        <cfvo type="min"/>
        <cfvo type="percentile" val="50"/>
        <cfvo type="max"/>
        <color rgb="FF63BE7B"/>
        <color rgb="FFFFEB84"/>
        <color rgb="FFF8696B"/>
      </colorScale>
    </cfRule>
    <cfRule type="colorScale" priority="10198">
      <colorScale>
        <cfvo type="min"/>
        <cfvo type="percentile" val="50"/>
        <cfvo type="max"/>
        <color rgb="FF63BE7B"/>
        <color rgb="FFFFEB84"/>
        <color rgb="FFF8696B"/>
      </colorScale>
    </cfRule>
    <cfRule type="colorScale" priority="10197">
      <colorScale>
        <cfvo type="min"/>
        <cfvo type="percentile" val="50"/>
        <cfvo type="max"/>
        <color rgb="FF63BE7B"/>
        <color rgb="FFFFEB84"/>
        <color rgb="FFF8696B"/>
      </colorScale>
    </cfRule>
    <cfRule type="colorScale" priority="10195">
      <colorScale>
        <cfvo type="min"/>
        <cfvo type="percentile" val="50"/>
        <cfvo type="max"/>
        <color rgb="FF63BE7B"/>
        <color rgb="FFFFEB84"/>
        <color rgb="FFF8696B"/>
      </colorScale>
    </cfRule>
    <cfRule type="colorScale" priority="10194">
      <colorScale>
        <cfvo type="min"/>
        <cfvo type="percentile" val="50"/>
        <cfvo type="max"/>
        <color rgb="FF63BE7B"/>
        <color rgb="FFFFEB84"/>
        <color rgb="FFF8696B"/>
      </colorScale>
    </cfRule>
    <cfRule type="colorScale" priority="10193">
      <colorScale>
        <cfvo type="min"/>
        <cfvo type="percentile" val="50"/>
        <cfvo type="max"/>
        <color rgb="FF63BE7B"/>
        <color rgb="FFFFEB84"/>
        <color rgb="FFF8696B"/>
      </colorScale>
    </cfRule>
    <cfRule type="colorScale" priority="10192">
      <colorScale>
        <cfvo type="min"/>
        <cfvo type="percentile" val="50"/>
        <cfvo type="max"/>
        <color rgb="FF63BE7B"/>
        <color rgb="FFFFEB84"/>
        <color rgb="FFF8696B"/>
      </colorScale>
    </cfRule>
    <cfRule type="colorScale" priority="11398">
      <colorScale>
        <cfvo type="min"/>
        <cfvo type="percentile" val="50"/>
        <cfvo type="max"/>
        <color rgb="FF63BE7B"/>
        <color rgb="FFFFEB84"/>
        <color rgb="FFF8696B"/>
      </colorScale>
    </cfRule>
  </conditionalFormatting>
  <conditionalFormatting sqref="E35:E41">
    <cfRule type="colorScale" priority="10190">
      <colorScale>
        <cfvo type="min"/>
        <cfvo type="percentile" val="50"/>
        <cfvo type="max"/>
        <color rgb="FF63BE7B"/>
        <color rgb="FFFFEB84"/>
        <color rgb="FFF8696B"/>
      </colorScale>
    </cfRule>
    <cfRule type="colorScale" priority="10189">
      <colorScale>
        <cfvo type="min"/>
        <cfvo type="percentile" val="50"/>
        <cfvo type="max"/>
        <color rgb="FF63BE7B"/>
        <color rgb="FFFFEB84"/>
        <color rgb="FFF8696B"/>
      </colorScale>
    </cfRule>
    <cfRule type="colorScale" priority="10188">
      <colorScale>
        <cfvo type="min"/>
        <cfvo type="percentile" val="50"/>
        <cfvo type="max"/>
        <color rgb="FF63BE7B"/>
        <color rgb="FFFFEB84"/>
        <color rgb="FFF8696B"/>
      </colorScale>
    </cfRule>
    <cfRule type="colorScale" priority="10186">
      <colorScale>
        <cfvo type="min"/>
        <cfvo type="percentile" val="50"/>
        <cfvo type="max"/>
        <color rgb="FF63BE7B"/>
        <color rgb="FFFFEB84"/>
        <color rgb="FFF8696B"/>
      </colorScale>
    </cfRule>
    <cfRule type="colorScale" priority="10200">
      <colorScale>
        <cfvo type="min"/>
        <cfvo type="percentile" val="50"/>
        <cfvo type="max"/>
        <color rgb="FF63BE7B"/>
        <color rgb="FFFFEB84"/>
        <color rgb="FFF8696B"/>
      </colorScale>
    </cfRule>
    <cfRule type="colorScale" priority="10202">
      <colorScale>
        <cfvo type="min"/>
        <cfvo type="percentile" val="50"/>
        <cfvo type="max"/>
        <color rgb="FF63BE7B"/>
        <color rgb="FFFFEB84"/>
        <color rgb="FFF8696B"/>
      </colorScale>
    </cfRule>
    <cfRule type="colorScale" priority="10182">
      <colorScale>
        <cfvo type="min"/>
        <cfvo type="percentile" val="50"/>
        <cfvo type="max"/>
        <color rgb="FF63BE7B"/>
        <color rgb="FFFFEB84"/>
        <color rgb="FFF8696B"/>
      </colorScale>
    </cfRule>
    <cfRule type="colorScale" priority="10183">
      <colorScale>
        <cfvo type="min"/>
        <cfvo type="percentile" val="50"/>
        <cfvo type="max"/>
        <color rgb="FF63BE7B"/>
        <color rgb="FFFFEB84"/>
        <color rgb="FFF8696B"/>
      </colorScale>
    </cfRule>
    <cfRule type="colorScale" priority="10487">
      <colorScale>
        <cfvo type="min"/>
        <cfvo type="percentile" val="50"/>
        <cfvo type="max"/>
        <color rgb="FF63BE7B"/>
        <color rgb="FFFFEB84"/>
        <color rgb="FFF8696B"/>
      </colorScale>
    </cfRule>
    <cfRule type="colorScale" priority="10185">
      <colorScale>
        <cfvo type="min"/>
        <cfvo type="percentile" val="50"/>
        <cfvo type="max"/>
        <color rgb="FF63BE7B"/>
        <color rgb="FFFFEB84"/>
        <color rgb="FFF8696B"/>
      </colorScale>
    </cfRule>
    <cfRule type="colorScale" priority="10199">
      <colorScale>
        <cfvo type="min"/>
        <cfvo type="percentile" val="50"/>
        <cfvo type="max"/>
        <color rgb="FF63BE7B"/>
        <color rgb="FFFFEB84"/>
        <color rgb="FFF8696B"/>
      </colorScale>
    </cfRule>
    <cfRule type="colorScale" priority="10208">
      <colorScale>
        <cfvo type="min"/>
        <cfvo type="percentile" val="50"/>
        <cfvo type="max"/>
        <color rgb="FF63BE7B"/>
        <color rgb="FFFFEB84"/>
        <color rgb="FFF8696B"/>
      </colorScale>
    </cfRule>
    <cfRule type="colorScale" priority="10191">
      <colorScale>
        <cfvo type="min"/>
        <cfvo type="percentile" val="50"/>
        <cfvo type="max"/>
        <color rgb="FF63BE7B"/>
        <color rgb="FFFFEB84"/>
        <color rgb="FFF8696B"/>
      </colorScale>
    </cfRule>
    <cfRule type="colorScale" priority="10207">
      <colorScale>
        <cfvo type="min"/>
        <cfvo type="percentile" val="50"/>
        <cfvo type="max"/>
        <color rgb="FF63BE7B"/>
        <color rgb="FFFFEB84"/>
        <color rgb="FFF8696B"/>
      </colorScale>
    </cfRule>
    <cfRule type="colorScale" priority="10201">
      <colorScale>
        <cfvo type="min"/>
        <cfvo type="percentile" val="50"/>
        <cfvo type="max"/>
        <color rgb="FF63BE7B"/>
        <color rgb="FFFFEB84"/>
        <color rgb="FFF8696B"/>
      </colorScale>
    </cfRule>
    <cfRule type="colorScale" priority="10187">
      <colorScale>
        <cfvo type="min"/>
        <cfvo type="percentile" val="50"/>
        <cfvo type="max"/>
        <color rgb="FF63BE7B"/>
        <color rgb="FFFFEB84"/>
        <color rgb="FFF8696B"/>
      </colorScale>
    </cfRule>
    <cfRule type="colorScale" priority="10203">
      <colorScale>
        <cfvo type="min"/>
        <cfvo type="percentile" val="50"/>
        <cfvo type="max"/>
        <color rgb="FF63BE7B"/>
        <color rgb="FFFFEB84"/>
        <color rgb="FFF8696B"/>
      </colorScale>
    </cfRule>
    <cfRule type="colorScale" priority="10204">
      <colorScale>
        <cfvo type="min"/>
        <cfvo type="percentile" val="50"/>
        <cfvo type="max"/>
        <color rgb="FF63BE7B"/>
        <color rgb="FFFFEB84"/>
        <color rgb="FFF8696B"/>
      </colorScale>
    </cfRule>
    <cfRule type="colorScale" priority="10205">
      <colorScale>
        <cfvo type="min"/>
        <cfvo type="percentile" val="50"/>
        <cfvo type="max"/>
        <color rgb="FF63BE7B"/>
        <color rgb="FFFFEB84"/>
        <color rgb="FFF8696B"/>
      </colorScale>
    </cfRule>
  </conditionalFormatting>
  <conditionalFormatting sqref="E36:E37">
    <cfRule type="colorScale" priority="10196">
      <colorScale>
        <cfvo type="min"/>
        <cfvo type="percentile" val="50"/>
        <cfvo type="max"/>
        <color rgb="FF63BE7B"/>
        <color rgb="FFFFEB84"/>
        <color rgb="FFF8696B"/>
      </colorScale>
    </cfRule>
  </conditionalFormatting>
  <conditionalFormatting sqref="E36:E41">
    <cfRule type="colorScale" priority="10206">
      <colorScale>
        <cfvo type="min"/>
        <cfvo type="percentile" val="50"/>
        <cfvo type="max"/>
        <color rgb="FF63BE7B"/>
        <color rgb="FFFFEB84"/>
        <color rgb="FFF8696B"/>
      </colorScale>
    </cfRule>
  </conditionalFormatting>
  <conditionalFormatting sqref="E42:E50">
    <cfRule type="colorScale" priority="7471">
      <colorScale>
        <cfvo type="min"/>
        <cfvo type="percentile" val="50"/>
        <cfvo type="max"/>
        <color rgb="FF63BE7B"/>
        <color rgb="FFFFEB84"/>
        <color rgb="FFF8696B"/>
      </colorScale>
    </cfRule>
  </conditionalFormatting>
  <conditionalFormatting sqref="E51:E53">
    <cfRule type="colorScale" priority="4848">
      <colorScale>
        <cfvo type="min"/>
        <cfvo type="percentile" val="50"/>
        <cfvo type="max"/>
        <color rgb="FF63BE7B"/>
        <color rgb="FFFFEB84"/>
        <color rgb="FFF8696B"/>
      </colorScale>
    </cfRule>
  </conditionalFormatting>
  <conditionalFormatting sqref="E52:E53 U52:U53 AI52:AI53">
    <cfRule type="colorScale" priority="7134">
      <colorScale>
        <cfvo type="min"/>
        <cfvo type="percentile" val="50"/>
        <cfvo type="max"/>
        <color rgb="FF63BE7B"/>
        <color rgb="FFFFEB84"/>
        <color rgb="FFF8696B"/>
      </colorScale>
    </cfRule>
    <cfRule type="colorScale" priority="7133">
      <colorScale>
        <cfvo type="min"/>
        <cfvo type="percentile" val="50"/>
        <cfvo type="max"/>
        <color rgb="FF63BE7B"/>
        <color rgb="FFFFEB84"/>
        <color rgb="FFF8696B"/>
      </colorScale>
    </cfRule>
    <cfRule type="colorScale" priority="7132">
      <colorScale>
        <cfvo type="min"/>
        <cfvo type="percentile" val="50"/>
        <cfvo type="max"/>
        <color rgb="FF63BE7B"/>
        <color rgb="FFFFEB84"/>
        <color rgb="FFF8696B"/>
      </colorScale>
    </cfRule>
    <cfRule type="colorScale" priority="7271">
      <colorScale>
        <cfvo type="min"/>
        <cfvo type="percentile" val="50"/>
        <cfvo type="max"/>
        <color rgb="FF63BE7B"/>
        <color rgb="FFFFEB84"/>
        <color rgb="FFF8696B"/>
      </colorScale>
    </cfRule>
    <cfRule type="colorScale" priority="7135">
      <colorScale>
        <cfvo type="min"/>
        <cfvo type="percentile" val="50"/>
        <cfvo type="max"/>
        <color rgb="FF63BE7B"/>
        <color rgb="FFFFEB84"/>
        <color rgb="FFF8696B"/>
      </colorScale>
    </cfRule>
  </conditionalFormatting>
  <conditionalFormatting sqref="E52:E53">
    <cfRule type="colorScale" priority="6276">
      <colorScale>
        <cfvo type="min"/>
        <cfvo type="percentile" val="50"/>
        <cfvo type="max"/>
        <color rgb="FF63BE7B"/>
        <color rgb="FFFFEB84"/>
        <color rgb="FFF8696B"/>
      </colorScale>
    </cfRule>
    <cfRule type="colorScale" priority="6275">
      <colorScale>
        <cfvo type="min"/>
        <cfvo type="percentile" val="50"/>
        <cfvo type="max"/>
        <color rgb="FF63BE7B"/>
        <color rgb="FFFFEB84"/>
        <color rgb="FFF8696B"/>
      </colorScale>
    </cfRule>
    <cfRule type="colorScale" priority="6274">
      <colorScale>
        <cfvo type="min"/>
        <cfvo type="percentile" val="50"/>
        <cfvo type="max"/>
        <color rgb="FF63BE7B"/>
        <color rgb="FFFFEB84"/>
        <color rgb="FFF8696B"/>
      </colorScale>
    </cfRule>
    <cfRule type="colorScale" priority="6273">
      <colorScale>
        <cfvo type="min"/>
        <cfvo type="percentile" val="50"/>
        <cfvo type="max"/>
        <color rgb="FF63BE7B"/>
        <color rgb="FFFFEB84"/>
        <color rgb="FFF8696B"/>
      </colorScale>
    </cfRule>
    <cfRule type="colorScale" priority="6464">
      <colorScale>
        <cfvo type="min"/>
        <cfvo type="percentile" val="50"/>
        <cfvo type="max"/>
        <color rgb="FF63BE7B"/>
        <color rgb="FFFFEB84"/>
        <color rgb="FFF8696B"/>
      </colorScale>
    </cfRule>
    <cfRule type="colorScale" priority="6290">
      <colorScale>
        <cfvo type="min"/>
        <cfvo type="percentile" val="50"/>
        <cfvo type="max"/>
        <color rgb="FF63BE7B"/>
        <color rgb="FFFFEB84"/>
        <color rgb="FFF8696B"/>
      </colorScale>
    </cfRule>
    <cfRule type="colorScale" priority="6291">
      <colorScale>
        <cfvo type="min"/>
        <cfvo type="percentile" val="50"/>
        <cfvo type="max"/>
        <color rgb="FF63BE7B"/>
        <color rgb="FFFFEB84"/>
        <color rgb="FFF8696B"/>
      </colorScale>
    </cfRule>
    <cfRule type="colorScale" priority="6289">
      <colorScale>
        <cfvo type="min"/>
        <cfvo type="percentile" val="50"/>
        <cfvo type="max"/>
        <color rgb="FF63BE7B"/>
        <color rgb="FFFFEB84"/>
        <color rgb="FFF8696B"/>
      </colorScale>
    </cfRule>
    <cfRule type="colorScale" priority="6288">
      <colorScale>
        <cfvo type="min"/>
        <cfvo type="percentile" val="50"/>
        <cfvo type="max"/>
        <color rgb="FF63BE7B"/>
        <color rgb="FFFFEB84"/>
        <color rgb="FFF8696B"/>
      </colorScale>
    </cfRule>
    <cfRule type="colorScale" priority="6287">
      <colorScale>
        <cfvo type="min"/>
        <cfvo type="percentile" val="50"/>
        <cfvo type="max"/>
        <color rgb="FF63BE7B"/>
        <color rgb="FFFFEB84"/>
        <color rgb="FFF8696B"/>
      </colorScale>
    </cfRule>
    <cfRule type="colorScale" priority="6286">
      <colorScale>
        <cfvo type="min"/>
        <cfvo type="percentile" val="50"/>
        <cfvo type="max"/>
        <color rgb="FF63BE7B"/>
        <color rgb="FFFFEB84"/>
        <color rgb="FFF8696B"/>
      </colorScale>
    </cfRule>
    <cfRule type="colorScale" priority="6285">
      <colorScale>
        <cfvo type="min"/>
        <cfvo type="percentile" val="50"/>
        <cfvo type="max"/>
        <color rgb="FF63BE7B"/>
        <color rgb="FFFFEB84"/>
        <color rgb="FFF8696B"/>
      </colorScale>
    </cfRule>
    <cfRule type="colorScale" priority="6284">
      <colorScale>
        <cfvo type="min"/>
        <cfvo type="percentile" val="50"/>
        <cfvo type="max"/>
        <color rgb="FF63BE7B"/>
        <color rgb="FFFFEB84"/>
        <color rgb="FFF8696B"/>
      </colorScale>
    </cfRule>
    <cfRule type="colorScale" priority="6283">
      <colorScale>
        <cfvo type="min"/>
        <cfvo type="percentile" val="50"/>
        <cfvo type="max"/>
        <color rgb="FF63BE7B"/>
        <color rgb="FFFFEB84"/>
        <color rgb="FFF8696B"/>
      </colorScale>
    </cfRule>
    <cfRule type="colorScale" priority="6281">
      <colorScale>
        <cfvo type="min"/>
        <cfvo type="percentile" val="50"/>
        <cfvo type="max"/>
        <color rgb="FF63BE7B"/>
        <color rgb="FFFFEB84"/>
        <color rgb="FFF8696B"/>
      </colorScale>
    </cfRule>
    <cfRule type="colorScale" priority="6282">
      <colorScale>
        <cfvo type="min"/>
        <cfvo type="percentile" val="50"/>
        <cfvo type="max"/>
        <color rgb="FF63BE7B"/>
        <color rgb="FFFFEB84"/>
        <color rgb="FFF8696B"/>
      </colorScale>
    </cfRule>
    <cfRule type="colorScale" priority="6277">
      <colorScale>
        <cfvo type="min"/>
        <cfvo type="percentile" val="50"/>
        <cfvo type="max"/>
        <color rgb="FF63BE7B"/>
        <color rgb="FFFFEB84"/>
        <color rgb="FFF8696B"/>
      </colorScale>
    </cfRule>
    <cfRule type="colorScale" priority="6280">
      <colorScale>
        <cfvo type="min"/>
        <cfvo type="percentile" val="50"/>
        <cfvo type="max"/>
        <color rgb="FF63BE7B"/>
        <color rgb="FFFFEB84"/>
        <color rgb="FFF8696B"/>
      </colorScale>
    </cfRule>
    <cfRule type="colorScale" priority="6279">
      <colorScale>
        <cfvo type="min"/>
        <cfvo type="percentile" val="50"/>
        <cfvo type="max"/>
        <color rgb="FF63BE7B"/>
        <color rgb="FFFFEB84"/>
        <color rgb="FFF8696B"/>
      </colorScale>
    </cfRule>
    <cfRule type="colorScale" priority="6278">
      <colorScale>
        <cfvo type="min"/>
        <cfvo type="percentile" val="50"/>
        <cfvo type="max"/>
        <color rgb="FF63BE7B"/>
        <color rgb="FFFFEB84"/>
        <color rgb="FFF8696B"/>
      </colorScale>
    </cfRule>
  </conditionalFormatting>
  <conditionalFormatting sqref="E54:E61">
    <cfRule type="colorScale" priority="54">
      <colorScale>
        <cfvo type="min"/>
        <cfvo type="percentile" val="50"/>
        <cfvo type="max"/>
        <color rgb="FF63BE7B"/>
        <color rgb="FFFFEB84"/>
        <color rgb="FFF8696B"/>
      </colorScale>
    </cfRule>
    <cfRule type="colorScale" priority="73">
      <colorScale>
        <cfvo type="min"/>
        <cfvo type="percentile" val="50"/>
        <cfvo type="max"/>
        <color rgb="FF63BE7B"/>
        <color rgb="FFFFEB84"/>
        <color rgb="FFF8696B"/>
      </colorScale>
    </cfRule>
  </conditionalFormatting>
  <conditionalFormatting sqref="E65:E71">
    <cfRule type="colorScale" priority="12574">
      <colorScale>
        <cfvo type="min"/>
        <cfvo type="percentile" val="50"/>
        <cfvo type="max"/>
        <color rgb="FF63BE7B"/>
        <color rgb="FFFFEB84"/>
        <color rgb="FFF8696B"/>
      </colorScale>
    </cfRule>
  </conditionalFormatting>
  <conditionalFormatting sqref="E65:E80">
    <cfRule type="colorScale" priority="12603">
      <colorScale>
        <cfvo type="min"/>
        <cfvo type="percentile" val="50"/>
        <cfvo type="max"/>
        <color rgb="FF63BE7B"/>
        <color rgb="FFFFEB84"/>
        <color rgb="FFF8696B"/>
      </colorScale>
    </cfRule>
  </conditionalFormatting>
  <conditionalFormatting sqref="E65:E91">
    <cfRule type="colorScale" priority="12624">
      <colorScale>
        <cfvo type="min"/>
        <cfvo type="percentile" val="50"/>
        <cfvo type="max"/>
        <color rgb="FF63BE7B"/>
        <color rgb="FFFFEB84"/>
        <color rgb="FFF8696B"/>
      </colorScale>
    </cfRule>
  </conditionalFormatting>
  <conditionalFormatting sqref="E66:E91">
    <cfRule type="colorScale" priority="12630">
      <colorScale>
        <cfvo type="min"/>
        <cfvo type="percentile" val="50"/>
        <cfvo type="max"/>
        <color rgb="FF63BE7B"/>
        <color rgb="FFFFEB84"/>
        <color rgb="FFF8696B"/>
      </colorScale>
    </cfRule>
  </conditionalFormatting>
  <conditionalFormatting sqref="E72:E80">
    <cfRule type="colorScale" priority="12453">
      <colorScale>
        <cfvo type="min"/>
        <cfvo type="percentile" val="50"/>
        <cfvo type="max"/>
        <color rgb="FF63BE7B"/>
        <color rgb="FFFFEB84"/>
        <color rgb="FFF8696B"/>
      </colorScale>
    </cfRule>
    <cfRule type="colorScale" priority="12452">
      <colorScale>
        <cfvo type="min"/>
        <cfvo type="percentile" val="50"/>
        <cfvo type="max"/>
        <color rgb="FF63BE7B"/>
        <color rgb="FFFFEB84"/>
        <color rgb="FFF8696B"/>
      </colorScale>
    </cfRule>
    <cfRule type="colorScale" priority="12451">
      <colorScale>
        <cfvo type="min"/>
        <cfvo type="percentile" val="50"/>
        <cfvo type="max"/>
        <color rgb="FF63BE7B"/>
        <color rgb="FFFFEB84"/>
        <color rgb="FFF8696B"/>
      </colorScale>
    </cfRule>
    <cfRule type="colorScale" priority="12450">
      <colorScale>
        <cfvo type="min"/>
        <cfvo type="percentile" val="50"/>
        <cfvo type="max"/>
        <color rgb="FF63BE7B"/>
        <color rgb="FFFFEB84"/>
        <color rgb="FFF8696B"/>
      </colorScale>
    </cfRule>
  </conditionalFormatting>
  <conditionalFormatting sqref="E81:E83">
    <cfRule type="colorScale" priority="12323">
      <colorScale>
        <cfvo type="min"/>
        <cfvo type="percentile" val="50"/>
        <cfvo type="max"/>
        <color rgb="FF63BE7B"/>
        <color rgb="FFFFEB84"/>
        <color rgb="FFF8696B"/>
      </colorScale>
    </cfRule>
  </conditionalFormatting>
  <conditionalFormatting sqref="E84:E91">
    <cfRule type="colorScale" priority="12179">
      <colorScale>
        <cfvo type="min"/>
        <cfvo type="percentile" val="50"/>
        <cfvo type="max"/>
        <color rgb="FF63BE7B"/>
        <color rgb="FFFFEB84"/>
        <color rgb="FFF8696B"/>
      </colorScale>
    </cfRule>
    <cfRule type="colorScale" priority="12233">
      <colorScale>
        <cfvo type="min"/>
        <cfvo type="percentile" val="50"/>
        <cfvo type="max"/>
        <color rgb="FF63BE7B"/>
        <color rgb="FFFFEB84"/>
        <color rgb="FFF8696B"/>
      </colorScale>
    </cfRule>
    <cfRule type="colorScale" priority="12232">
      <colorScale>
        <cfvo type="min"/>
        <cfvo type="percentile" val="50"/>
        <cfvo type="max"/>
        <color rgb="FF63BE7B"/>
        <color rgb="FFFFEB84"/>
        <color rgb="FFF8696B"/>
      </colorScale>
    </cfRule>
    <cfRule type="colorScale" priority="12230">
      <colorScale>
        <cfvo type="min"/>
        <cfvo type="percentile" val="50"/>
        <cfvo type="max"/>
        <color rgb="FF63BE7B"/>
        <color rgb="FFFFEB84"/>
        <color rgb="FFF8696B"/>
      </colorScale>
    </cfRule>
    <cfRule type="colorScale" priority="12181">
      <colorScale>
        <cfvo type="min"/>
        <cfvo type="percentile" val="50"/>
        <cfvo type="max"/>
        <color rgb="FF63BE7B"/>
        <color rgb="FFFFEB84"/>
        <color rgb="FFF8696B"/>
      </colorScale>
    </cfRule>
    <cfRule type="colorScale" priority="12182">
      <colorScale>
        <cfvo type="min"/>
        <cfvo type="percentile" val="50"/>
        <cfvo type="max"/>
        <color rgb="FF63BE7B"/>
        <color rgb="FFFFEB84"/>
        <color rgb="FFF8696B"/>
      </colorScale>
    </cfRule>
  </conditionalFormatting>
  <conditionalFormatting sqref="E86">
    <cfRule type="colorScale" priority="12180">
      <colorScale>
        <cfvo type="min"/>
        <cfvo type="percentile" val="50"/>
        <cfvo type="max"/>
        <color rgb="FF63BE7B"/>
        <color rgb="FFFFEB84"/>
        <color rgb="FFF8696B"/>
      </colorScale>
    </cfRule>
    <cfRule type="colorScale" priority="12231">
      <colorScale>
        <cfvo type="min"/>
        <cfvo type="percentile" val="50"/>
        <cfvo type="max"/>
        <color rgb="FF63BE7B"/>
        <color rgb="FFFFEB84"/>
        <color rgb="FFF8696B"/>
      </colorScale>
    </cfRule>
  </conditionalFormatting>
  <conditionalFormatting sqref="E96:E102">
    <cfRule type="colorScale" priority="11968">
      <colorScale>
        <cfvo type="min"/>
        <cfvo type="percentile" val="50"/>
        <cfvo type="max"/>
        <color rgb="FF63BE7B"/>
        <color rgb="FFFFEB84"/>
        <color rgb="FFF8696B"/>
      </colorScale>
    </cfRule>
  </conditionalFormatting>
  <conditionalFormatting sqref="E96:E111">
    <cfRule type="colorScale" priority="11997">
      <colorScale>
        <cfvo type="min"/>
        <cfvo type="percentile" val="50"/>
        <cfvo type="max"/>
        <color rgb="FF63BE7B"/>
        <color rgb="FFFFEB84"/>
        <color rgb="FFF8696B"/>
      </colorScale>
    </cfRule>
  </conditionalFormatting>
  <conditionalFormatting sqref="E96:E122">
    <cfRule type="colorScale" priority="12017">
      <colorScale>
        <cfvo type="min"/>
        <cfvo type="percentile" val="50"/>
        <cfvo type="max"/>
        <color rgb="FF63BE7B"/>
        <color rgb="FFFFEB84"/>
        <color rgb="FFF8696B"/>
      </colorScale>
    </cfRule>
  </conditionalFormatting>
  <conditionalFormatting sqref="E97:E122">
    <cfRule type="colorScale" priority="12022">
      <colorScale>
        <cfvo type="min"/>
        <cfvo type="percentile" val="50"/>
        <cfvo type="max"/>
        <color rgb="FF63BE7B"/>
        <color rgb="FFFFEB84"/>
        <color rgb="FFF8696B"/>
      </colorScale>
    </cfRule>
  </conditionalFormatting>
  <conditionalFormatting sqref="E103:E111">
    <cfRule type="colorScale" priority="11847">
      <colorScale>
        <cfvo type="min"/>
        <cfvo type="percentile" val="50"/>
        <cfvo type="max"/>
        <color rgb="FF63BE7B"/>
        <color rgb="FFFFEB84"/>
        <color rgb="FFF8696B"/>
      </colorScale>
    </cfRule>
    <cfRule type="colorScale" priority="11845">
      <colorScale>
        <cfvo type="min"/>
        <cfvo type="percentile" val="50"/>
        <cfvo type="max"/>
        <color rgb="FF63BE7B"/>
        <color rgb="FFFFEB84"/>
        <color rgb="FFF8696B"/>
      </colorScale>
    </cfRule>
    <cfRule type="colorScale" priority="11844">
      <colorScale>
        <cfvo type="min"/>
        <cfvo type="percentile" val="50"/>
        <cfvo type="max"/>
        <color rgb="FF63BE7B"/>
        <color rgb="FFFFEB84"/>
        <color rgb="FFF8696B"/>
      </colorScale>
    </cfRule>
    <cfRule type="colorScale" priority="11846">
      <colorScale>
        <cfvo type="min"/>
        <cfvo type="percentile" val="50"/>
        <cfvo type="max"/>
        <color rgb="FF63BE7B"/>
        <color rgb="FFFFEB84"/>
        <color rgb="FFF8696B"/>
      </colorScale>
    </cfRule>
  </conditionalFormatting>
  <conditionalFormatting sqref="E112:E114">
    <cfRule type="colorScale" priority="11720">
      <colorScale>
        <cfvo type="min"/>
        <cfvo type="percentile" val="50"/>
        <cfvo type="max"/>
        <color rgb="FF63BE7B"/>
        <color rgb="FFFFEB84"/>
        <color rgb="FFF8696B"/>
      </colorScale>
    </cfRule>
  </conditionalFormatting>
  <conditionalFormatting sqref="E115:E122">
    <cfRule type="colorScale" priority="11578">
      <colorScale>
        <cfvo type="min"/>
        <cfvo type="percentile" val="50"/>
        <cfvo type="max"/>
        <color rgb="FF63BE7B"/>
        <color rgb="FFFFEB84"/>
        <color rgb="FFF8696B"/>
      </colorScale>
    </cfRule>
    <cfRule type="colorScale" priority="11579">
      <colorScale>
        <cfvo type="min"/>
        <cfvo type="percentile" val="50"/>
        <cfvo type="max"/>
        <color rgb="FF63BE7B"/>
        <color rgb="FFFFEB84"/>
        <color rgb="FFF8696B"/>
      </colorScale>
    </cfRule>
    <cfRule type="colorScale" priority="11576">
      <colorScale>
        <cfvo type="min"/>
        <cfvo type="percentile" val="50"/>
        <cfvo type="max"/>
        <color rgb="FF63BE7B"/>
        <color rgb="FFFFEB84"/>
        <color rgb="FFF8696B"/>
      </colorScale>
    </cfRule>
    <cfRule type="colorScale" priority="11627">
      <colorScale>
        <cfvo type="min"/>
        <cfvo type="percentile" val="50"/>
        <cfvo type="max"/>
        <color rgb="FF63BE7B"/>
        <color rgb="FFFFEB84"/>
        <color rgb="FFF8696B"/>
      </colorScale>
    </cfRule>
    <cfRule type="colorScale" priority="11629">
      <colorScale>
        <cfvo type="min"/>
        <cfvo type="percentile" val="50"/>
        <cfvo type="max"/>
        <color rgb="FF63BE7B"/>
        <color rgb="FFFFEB84"/>
        <color rgb="FFF8696B"/>
      </colorScale>
    </cfRule>
    <cfRule type="colorScale" priority="11630">
      <colorScale>
        <cfvo type="min"/>
        <cfvo type="percentile" val="50"/>
        <cfvo type="max"/>
        <color rgb="FF63BE7B"/>
        <color rgb="FFFFEB84"/>
        <color rgb="FFF8696B"/>
      </colorScale>
    </cfRule>
  </conditionalFormatting>
  <conditionalFormatting sqref="E117">
    <cfRule type="colorScale" priority="11628">
      <colorScale>
        <cfvo type="min"/>
        <cfvo type="percentile" val="50"/>
        <cfvo type="max"/>
        <color rgb="FF63BE7B"/>
        <color rgb="FFFFEB84"/>
        <color rgb="FFF8696B"/>
      </colorScale>
    </cfRule>
    <cfRule type="colorScale" priority="11577">
      <colorScale>
        <cfvo type="min"/>
        <cfvo type="percentile" val="50"/>
        <cfvo type="max"/>
        <color rgb="FF63BE7B"/>
        <color rgb="FFFFEB84"/>
        <color rgb="FFF8696B"/>
      </colorScale>
    </cfRule>
  </conditionalFormatting>
  <conditionalFormatting sqref="F35:F37">
    <cfRule type="colorScale" priority="11394">
      <colorScale>
        <cfvo type="min"/>
        <cfvo type="percentile" val="50"/>
        <cfvo type="max"/>
        <color rgb="FF63BE7B"/>
        <color rgb="FFFFEB84"/>
        <color rgb="FFF8696B"/>
      </colorScale>
    </cfRule>
    <cfRule type="colorScale" priority="11393">
      <colorScale>
        <cfvo type="min"/>
        <cfvo type="percentile" val="50"/>
        <cfvo type="max"/>
        <color rgb="FF63BE7B"/>
        <color rgb="FFFFEB84"/>
        <color rgb="FFF8696B"/>
      </colorScale>
    </cfRule>
    <cfRule type="colorScale" priority="11286">
      <colorScale>
        <cfvo type="min"/>
        <cfvo type="percentile" val="50"/>
        <cfvo type="max"/>
        <color rgb="FF63BE7B"/>
        <color rgb="FFFFEB84"/>
        <color rgb="FFF8696B"/>
      </colorScale>
    </cfRule>
    <cfRule type="colorScale" priority="11395">
      <colorScale>
        <cfvo type="min"/>
        <cfvo type="percentile" val="50"/>
        <cfvo type="max"/>
        <color rgb="FF63BE7B"/>
        <color rgb="FFFFEB84"/>
        <color rgb="FFF8696B"/>
      </colorScale>
    </cfRule>
    <cfRule type="colorScale" priority="11396">
      <colorScale>
        <cfvo type="min"/>
        <cfvo type="percentile" val="50"/>
        <cfvo type="max"/>
        <color rgb="FF63BE7B"/>
        <color rgb="FFFFEB84"/>
        <color rgb="FFF8696B"/>
      </colorScale>
    </cfRule>
  </conditionalFormatting>
  <conditionalFormatting sqref="F35:F41">
    <cfRule type="colorScale" priority="11290">
      <colorScale>
        <cfvo type="min"/>
        <cfvo type="percentile" val="50"/>
        <cfvo type="max"/>
        <color rgb="FF63BE7B"/>
        <color rgb="FFFFEB84"/>
        <color rgb="FFF8696B"/>
      </colorScale>
    </cfRule>
    <cfRule type="colorScale" priority="11291">
      <colorScale>
        <cfvo type="min"/>
        <cfvo type="percentile" val="50"/>
        <cfvo type="max"/>
        <color rgb="FF63BE7B"/>
        <color rgb="FFFFEB84"/>
        <color rgb="FFF8696B"/>
      </colorScale>
    </cfRule>
    <cfRule type="colorScale" priority="11292">
      <colorScale>
        <cfvo type="min"/>
        <cfvo type="percentile" val="50"/>
        <cfvo type="max"/>
        <color rgb="FF63BE7B"/>
        <color rgb="FFFFEB84"/>
        <color rgb="FFF8696B"/>
      </colorScale>
    </cfRule>
    <cfRule type="colorScale" priority="11284">
      <colorScale>
        <cfvo type="min"/>
        <cfvo type="percentile" val="50"/>
        <cfvo type="max"/>
        <color rgb="FF63BE7B"/>
        <color rgb="FFFFEB84"/>
        <color rgb="FFF8696B"/>
      </colorScale>
    </cfRule>
    <cfRule type="colorScale" priority="11285">
      <colorScale>
        <cfvo type="min"/>
        <cfvo type="percentile" val="50"/>
        <cfvo type="max"/>
        <color rgb="FF63BE7B"/>
        <color rgb="FFFFEB84"/>
        <color rgb="FFF8696B"/>
      </colorScale>
    </cfRule>
    <cfRule type="colorScale" priority="11287">
      <colorScale>
        <cfvo type="min"/>
        <cfvo type="percentile" val="50"/>
        <cfvo type="max"/>
        <color rgb="FF63BE7B"/>
        <color rgb="FFFFEB84"/>
        <color rgb="FFF8696B"/>
      </colorScale>
    </cfRule>
    <cfRule type="colorScale" priority="11288">
      <colorScale>
        <cfvo type="min"/>
        <cfvo type="percentile" val="50"/>
        <cfvo type="max"/>
        <color rgb="FF63BE7B"/>
        <color rgb="FFFFEB84"/>
        <color rgb="FFF8696B"/>
      </colorScale>
    </cfRule>
    <cfRule type="colorScale" priority="11289">
      <colorScale>
        <cfvo type="min"/>
        <cfvo type="percentile" val="50"/>
        <cfvo type="max"/>
        <color rgb="FF63BE7B"/>
        <color rgb="FFFFEB84"/>
        <color rgb="FFF8696B"/>
      </colorScale>
    </cfRule>
    <cfRule type="colorScale" priority="11293">
      <colorScale>
        <cfvo type="min"/>
        <cfvo type="percentile" val="50"/>
        <cfvo type="max"/>
        <color rgb="FF63BE7B"/>
        <color rgb="FFFFEB84"/>
        <color rgb="FFF8696B"/>
      </colorScale>
    </cfRule>
  </conditionalFormatting>
  <conditionalFormatting sqref="F36:F37">
    <cfRule type="colorScale" priority="11397">
      <colorScale>
        <cfvo type="min"/>
        <cfvo type="percentile" val="50"/>
        <cfvo type="max"/>
        <color rgb="FF63BE7B"/>
        <color rgb="FFFFEB84"/>
        <color rgb="FFF8696B"/>
      </colorScale>
    </cfRule>
  </conditionalFormatting>
  <conditionalFormatting sqref="F42:F50">
    <cfRule type="colorScale" priority="7470">
      <colorScale>
        <cfvo type="min"/>
        <cfvo type="percentile" val="50"/>
        <cfvo type="max"/>
        <color rgb="FF63BE7B"/>
        <color rgb="FFFFEB84"/>
        <color rgb="FFF8696B"/>
      </colorScale>
    </cfRule>
  </conditionalFormatting>
  <conditionalFormatting sqref="F51:F53">
    <cfRule type="colorScale" priority="4819">
      <colorScale>
        <cfvo type="min"/>
        <cfvo type="percentile" val="50"/>
        <cfvo type="max"/>
        <color rgb="FF63BE7B"/>
        <color rgb="FFFFEB84"/>
        <color rgb="FFF8696B"/>
      </colorScale>
    </cfRule>
    <cfRule type="colorScale" priority="4847">
      <colorScale>
        <cfvo type="min"/>
        <cfvo type="percentile" val="50"/>
        <cfvo type="max"/>
        <color rgb="FF63BE7B"/>
        <color rgb="FFFFEB84"/>
        <color rgb="FFF8696B"/>
      </colorScale>
    </cfRule>
    <cfRule type="colorScale" priority="12937">
      <colorScale>
        <cfvo type="min"/>
        <cfvo type="percentile" val="50"/>
        <cfvo type="max"/>
        <color rgb="FF63BE7B"/>
        <color rgb="FFFFEB84"/>
        <color rgb="FFF8696B"/>
      </colorScale>
    </cfRule>
    <cfRule type="colorScale" priority="12936">
      <colorScale>
        <cfvo type="min"/>
        <cfvo type="percentile" val="50"/>
        <cfvo type="max"/>
        <color rgb="FF63BE7B"/>
        <color rgb="FFFFEB84"/>
        <color rgb="FFF8696B"/>
      </colorScale>
    </cfRule>
    <cfRule type="colorScale" priority="4846">
      <colorScale>
        <cfvo type="min"/>
        <cfvo type="percentile" val="50"/>
        <cfvo type="max"/>
        <color rgb="FF63BE7B"/>
        <color rgb="FFFFEB84"/>
        <color rgb="FFF8696B"/>
      </colorScale>
    </cfRule>
    <cfRule type="colorScale" priority="12935">
      <colorScale>
        <cfvo type="min"/>
        <cfvo type="percentile" val="50"/>
        <cfvo type="max"/>
        <color rgb="FF63BE7B"/>
        <color rgb="FFFFEB84"/>
        <color rgb="FFF8696B"/>
      </colorScale>
    </cfRule>
  </conditionalFormatting>
  <conditionalFormatting sqref="F52:F53">
    <cfRule type="colorScale" priority="7072">
      <colorScale>
        <cfvo type="min"/>
        <cfvo type="percentile" val="50"/>
        <cfvo type="max"/>
        <color rgb="FF63BE7B"/>
        <color rgb="FFFFEB84"/>
        <color rgb="FFF8696B"/>
      </colorScale>
    </cfRule>
    <cfRule type="colorScale" priority="7071">
      <colorScale>
        <cfvo type="min"/>
        <cfvo type="percentile" val="50"/>
        <cfvo type="max"/>
        <color rgb="FF63BE7B"/>
        <color rgb="FFFFEB84"/>
        <color rgb="FFF8696B"/>
      </colorScale>
    </cfRule>
    <cfRule type="colorScale" priority="7070">
      <colorScale>
        <cfvo type="min"/>
        <cfvo type="percentile" val="50"/>
        <cfvo type="max"/>
        <color rgb="FF63BE7B"/>
        <color rgb="FFFFEB84"/>
        <color rgb="FFF8696B"/>
      </colorScale>
    </cfRule>
    <cfRule type="colorScale" priority="7069">
      <colorScale>
        <cfvo type="min"/>
        <cfvo type="percentile" val="50"/>
        <cfvo type="max"/>
        <color rgb="FF63BE7B"/>
        <color rgb="FFFFEB84"/>
        <color rgb="FFF8696B"/>
      </colorScale>
    </cfRule>
    <cfRule type="colorScale" priority="7068">
      <colorScale>
        <cfvo type="min"/>
        <cfvo type="percentile" val="50"/>
        <cfvo type="max"/>
        <color rgb="FF63BE7B"/>
        <color rgb="FFFFEB84"/>
        <color rgb="FFF8696B"/>
      </colorScale>
    </cfRule>
    <cfRule type="colorScale" priority="4836">
      <colorScale>
        <cfvo type="min"/>
        <cfvo type="percentile" val="50"/>
        <cfvo type="max"/>
        <color rgb="FF63BE7B"/>
        <color rgb="FFFFEB84"/>
        <color rgb="FFF8696B"/>
      </colorScale>
    </cfRule>
    <cfRule type="colorScale" priority="4837">
      <colorScale>
        <cfvo type="min"/>
        <cfvo type="percentile" val="50"/>
        <cfvo type="max"/>
        <color rgb="FF63BE7B"/>
        <color rgb="FFFFEB84"/>
        <color rgb="FFF8696B"/>
      </colorScale>
    </cfRule>
    <cfRule type="colorScale" priority="7074">
      <colorScale>
        <cfvo type="min"/>
        <cfvo type="percentile" val="50"/>
        <cfvo type="max"/>
        <color rgb="FF63BE7B"/>
        <color rgb="FFFFEB84"/>
        <color rgb="FFF8696B"/>
      </colorScale>
    </cfRule>
    <cfRule type="colorScale" priority="4838">
      <colorScale>
        <cfvo type="min"/>
        <cfvo type="percentile" val="50"/>
        <cfvo type="max"/>
        <color rgb="FF63BE7B"/>
        <color rgb="FFFFEB84"/>
        <color rgb="FFF8696B"/>
      </colorScale>
    </cfRule>
    <cfRule type="colorScale" priority="4843">
      <colorScale>
        <cfvo type="min"/>
        <cfvo type="percentile" val="50"/>
        <cfvo type="max"/>
        <color rgb="FF63BE7B"/>
        <color rgb="FFFFEB84"/>
        <color rgb="FFF8696B"/>
      </colorScale>
    </cfRule>
    <cfRule type="colorScale" priority="4828">
      <colorScale>
        <cfvo type="min"/>
        <cfvo type="percentile" val="50"/>
        <cfvo type="max"/>
        <color rgb="FF63BE7B"/>
        <color rgb="FFFFEB84"/>
        <color rgb="FFF8696B"/>
      </colorScale>
    </cfRule>
    <cfRule type="colorScale" priority="4844">
      <colorScale>
        <cfvo type="min"/>
        <cfvo type="percentile" val="50"/>
        <cfvo type="max"/>
        <color rgb="FF63BE7B"/>
        <color rgb="FFFFEB84"/>
        <color rgb="FFF8696B"/>
      </colorScale>
    </cfRule>
    <cfRule type="colorScale" priority="4835">
      <colorScale>
        <cfvo type="min"/>
        <cfvo type="percentile" val="50"/>
        <cfvo type="max"/>
        <color rgb="FF63BE7B"/>
        <color rgb="FFFFEB84"/>
        <color rgb="FFF8696B"/>
      </colorScale>
    </cfRule>
    <cfRule type="colorScale" priority="4845">
      <colorScale>
        <cfvo type="min"/>
        <cfvo type="percentile" val="50"/>
        <cfvo type="max"/>
        <color rgb="FF63BE7B"/>
        <color rgb="FFFFEB84"/>
        <color rgb="FFF8696B"/>
      </colorScale>
    </cfRule>
    <cfRule type="colorScale" priority="7073">
      <colorScale>
        <cfvo type="min"/>
        <cfvo type="percentile" val="50"/>
        <cfvo type="max"/>
        <color rgb="FF63BE7B"/>
        <color rgb="FFFFEB84"/>
        <color rgb="FFF8696B"/>
      </colorScale>
    </cfRule>
    <cfRule type="colorScale" priority="4833">
      <colorScale>
        <cfvo type="min"/>
        <cfvo type="percentile" val="50"/>
        <cfvo type="max"/>
        <color rgb="FF63BE7B"/>
        <color rgb="FFFFEB84"/>
        <color rgb="FFF8696B"/>
      </colorScale>
    </cfRule>
    <cfRule type="colorScale" priority="4832">
      <colorScale>
        <cfvo type="min"/>
        <cfvo type="percentile" val="50"/>
        <cfvo type="max"/>
        <color rgb="FF63BE7B"/>
        <color rgb="FFFFEB84"/>
        <color rgb="FFF8696B"/>
      </colorScale>
    </cfRule>
    <cfRule type="colorScale" priority="4831">
      <colorScale>
        <cfvo type="min"/>
        <cfvo type="percentile" val="50"/>
        <cfvo type="max"/>
        <color rgb="FF63BE7B"/>
        <color rgb="FFFFEB84"/>
        <color rgb="FFF8696B"/>
      </colorScale>
    </cfRule>
    <cfRule type="colorScale" priority="4830">
      <colorScale>
        <cfvo type="min"/>
        <cfvo type="percentile" val="50"/>
        <cfvo type="max"/>
        <color rgb="FF63BE7B"/>
        <color rgb="FFFFEB84"/>
        <color rgb="FFF8696B"/>
      </colorScale>
    </cfRule>
    <cfRule type="colorScale" priority="4829">
      <colorScale>
        <cfvo type="min"/>
        <cfvo type="percentile" val="50"/>
        <cfvo type="max"/>
        <color rgb="FF63BE7B"/>
        <color rgb="FFFFEB84"/>
        <color rgb="FFF8696B"/>
      </colorScale>
    </cfRule>
    <cfRule type="colorScale" priority="4840">
      <colorScale>
        <cfvo type="min"/>
        <cfvo type="percentile" val="50"/>
        <cfvo type="max"/>
        <color rgb="FF63BE7B"/>
        <color rgb="FFFFEB84"/>
        <color rgb="FFF8696B"/>
      </colorScale>
    </cfRule>
    <cfRule type="colorScale" priority="4827">
      <colorScale>
        <cfvo type="min"/>
        <cfvo type="percentile" val="50"/>
        <cfvo type="max"/>
        <color rgb="FF63BE7B"/>
        <color rgb="FFFFEB84"/>
        <color rgb="FFF8696B"/>
      </colorScale>
    </cfRule>
    <cfRule type="colorScale" priority="4826">
      <colorScale>
        <cfvo type="min"/>
        <cfvo type="percentile" val="50"/>
        <cfvo type="max"/>
        <color rgb="FF63BE7B"/>
        <color rgb="FFFFEB84"/>
        <color rgb="FFF8696B"/>
      </colorScale>
    </cfRule>
    <cfRule type="colorScale" priority="4825">
      <colorScale>
        <cfvo type="min"/>
        <cfvo type="percentile" val="50"/>
        <cfvo type="max"/>
        <color rgb="FF63BE7B"/>
        <color rgb="FFFFEB84"/>
        <color rgb="FFF8696B"/>
      </colorScale>
    </cfRule>
    <cfRule type="colorScale" priority="4824">
      <colorScale>
        <cfvo type="min"/>
        <cfvo type="percentile" val="50"/>
        <cfvo type="max"/>
        <color rgb="FF63BE7B"/>
        <color rgb="FFFFEB84"/>
        <color rgb="FFF8696B"/>
      </colorScale>
    </cfRule>
    <cfRule type="colorScale" priority="4823">
      <colorScale>
        <cfvo type="min"/>
        <cfvo type="percentile" val="50"/>
        <cfvo type="max"/>
        <color rgb="FF63BE7B"/>
        <color rgb="FFFFEB84"/>
        <color rgb="FFF8696B"/>
      </colorScale>
    </cfRule>
    <cfRule type="colorScale" priority="4822">
      <colorScale>
        <cfvo type="min"/>
        <cfvo type="percentile" val="50"/>
        <cfvo type="max"/>
        <color rgb="FF63BE7B"/>
        <color rgb="FFFFEB84"/>
        <color rgb="FFF8696B"/>
      </colorScale>
    </cfRule>
    <cfRule type="colorScale" priority="4821">
      <colorScale>
        <cfvo type="min"/>
        <cfvo type="percentile" val="50"/>
        <cfvo type="max"/>
        <color rgb="FF63BE7B"/>
        <color rgb="FFFFEB84"/>
        <color rgb="FFF8696B"/>
      </colorScale>
    </cfRule>
    <cfRule type="colorScale" priority="4820">
      <colorScale>
        <cfvo type="min"/>
        <cfvo type="percentile" val="50"/>
        <cfvo type="max"/>
        <color rgb="FF63BE7B"/>
        <color rgb="FFFFEB84"/>
        <color rgb="FFF8696B"/>
      </colorScale>
    </cfRule>
    <cfRule type="colorScale" priority="4834">
      <colorScale>
        <cfvo type="min"/>
        <cfvo type="percentile" val="50"/>
        <cfvo type="max"/>
        <color rgb="FF63BE7B"/>
        <color rgb="FFFFEB84"/>
        <color rgb="FFF8696B"/>
      </colorScale>
    </cfRule>
    <cfRule type="colorScale" priority="4841">
      <colorScale>
        <cfvo type="min"/>
        <cfvo type="percentile" val="50"/>
        <cfvo type="max"/>
        <color rgb="FF63BE7B"/>
        <color rgb="FFFFEB84"/>
        <color rgb="FFF8696B"/>
      </colorScale>
    </cfRule>
    <cfRule type="colorScale" priority="4842">
      <colorScale>
        <cfvo type="min"/>
        <cfvo type="percentile" val="50"/>
        <cfvo type="max"/>
        <color rgb="FF63BE7B"/>
        <color rgb="FFFFEB84"/>
        <color rgb="FFF8696B"/>
      </colorScale>
    </cfRule>
    <cfRule type="colorScale" priority="4839">
      <colorScale>
        <cfvo type="min"/>
        <cfvo type="percentile" val="50"/>
        <cfvo type="max"/>
        <color rgb="FF63BE7B"/>
        <color rgb="FFFFEB84"/>
        <color rgb="FFF8696B"/>
      </colorScale>
    </cfRule>
    <cfRule type="colorScale" priority="7076">
      <colorScale>
        <cfvo type="min"/>
        <cfvo type="percentile" val="50"/>
        <cfvo type="max"/>
        <color rgb="FF63BE7B"/>
        <color rgb="FFFFEB84"/>
        <color rgb="FFF8696B"/>
      </colorScale>
    </cfRule>
    <cfRule type="colorScale" priority="7075">
      <colorScale>
        <cfvo type="min"/>
        <cfvo type="percentile" val="50"/>
        <cfvo type="max"/>
        <color rgb="FF63BE7B"/>
        <color rgb="FFFFEB84"/>
        <color rgb="FFF8696B"/>
      </colorScale>
    </cfRule>
  </conditionalFormatting>
  <conditionalFormatting sqref="F54:F61">
    <cfRule type="colorScale" priority="53">
      <colorScale>
        <cfvo type="min"/>
        <cfvo type="percentile" val="50"/>
        <cfvo type="max"/>
        <color rgb="FF63BE7B"/>
        <color rgb="FFFFEB84"/>
        <color rgb="FFF8696B"/>
      </colorScale>
    </cfRule>
    <cfRule type="colorScale" priority="72">
      <colorScale>
        <cfvo type="min"/>
        <cfvo type="percentile" val="50"/>
        <cfvo type="max"/>
        <color rgb="FF63BE7B"/>
        <color rgb="FFFFEB84"/>
        <color rgb="FFF8696B"/>
      </colorScale>
    </cfRule>
  </conditionalFormatting>
  <conditionalFormatting sqref="F65:F80">
    <cfRule type="colorScale" priority="12602">
      <colorScale>
        <cfvo type="min"/>
        <cfvo type="percentile" val="50"/>
        <cfvo type="max"/>
        <color rgb="FF63BE7B"/>
        <color rgb="FFFFEB84"/>
        <color rgb="FFF8696B"/>
      </colorScale>
    </cfRule>
  </conditionalFormatting>
  <conditionalFormatting sqref="F65:F91">
    <cfRule type="colorScale" priority="12623">
      <colorScale>
        <cfvo type="min"/>
        <cfvo type="percentile" val="50"/>
        <cfvo type="max"/>
        <color rgb="FF63BE7B"/>
        <color rgb="FFFFEB84"/>
        <color rgb="FFF8696B"/>
      </colorScale>
    </cfRule>
  </conditionalFormatting>
  <conditionalFormatting sqref="F81:F83">
    <cfRule type="colorScale" priority="12322">
      <colorScale>
        <cfvo type="min"/>
        <cfvo type="percentile" val="50"/>
        <cfvo type="max"/>
        <color rgb="FF63BE7B"/>
        <color rgb="FFFFEB84"/>
        <color rgb="FFF8696B"/>
      </colorScale>
    </cfRule>
    <cfRule type="colorScale" priority="12320">
      <colorScale>
        <cfvo type="min"/>
        <cfvo type="percentile" val="50"/>
        <cfvo type="max"/>
        <color rgb="FF63BE7B"/>
        <color rgb="FFFFEB84"/>
        <color rgb="FFF8696B"/>
      </colorScale>
    </cfRule>
    <cfRule type="colorScale" priority="12321">
      <colorScale>
        <cfvo type="min"/>
        <cfvo type="percentile" val="50"/>
        <cfvo type="max"/>
        <color rgb="FF63BE7B"/>
        <color rgb="FFFFEB84"/>
        <color rgb="FFF8696B"/>
      </colorScale>
    </cfRule>
  </conditionalFormatting>
  <conditionalFormatting sqref="F84:F91">
    <cfRule type="colorScale" priority="12229">
      <colorScale>
        <cfvo type="min"/>
        <cfvo type="percentile" val="50"/>
        <cfvo type="max"/>
        <color rgb="FF63BE7B"/>
        <color rgb="FFFFEB84"/>
        <color rgb="FFF8696B"/>
      </colorScale>
    </cfRule>
    <cfRule type="colorScale" priority="12228">
      <colorScale>
        <cfvo type="min"/>
        <cfvo type="percentile" val="50"/>
        <cfvo type="max"/>
        <color rgb="FF63BE7B"/>
        <color rgb="FFFFEB84"/>
        <color rgb="FFF8696B"/>
      </colorScale>
    </cfRule>
    <cfRule type="colorScale" priority="12226">
      <colorScale>
        <cfvo type="min"/>
        <cfvo type="percentile" val="50"/>
        <cfvo type="max"/>
        <color rgb="FF63BE7B"/>
        <color rgb="FFFFEB84"/>
        <color rgb="FFF8696B"/>
      </colorScale>
    </cfRule>
  </conditionalFormatting>
  <conditionalFormatting sqref="F86">
    <cfRule type="colorScale" priority="12227">
      <colorScale>
        <cfvo type="min"/>
        <cfvo type="percentile" val="50"/>
        <cfvo type="max"/>
        <color rgb="FF63BE7B"/>
        <color rgb="FFFFEB84"/>
        <color rgb="FFF8696B"/>
      </colorScale>
    </cfRule>
  </conditionalFormatting>
  <conditionalFormatting sqref="F96:F111">
    <cfRule type="colorScale" priority="11996">
      <colorScale>
        <cfvo type="min"/>
        <cfvo type="percentile" val="50"/>
        <cfvo type="max"/>
        <color rgb="FF63BE7B"/>
        <color rgb="FFFFEB84"/>
        <color rgb="FFF8696B"/>
      </colorScale>
    </cfRule>
  </conditionalFormatting>
  <conditionalFormatting sqref="F96:F122">
    <cfRule type="colorScale" priority="12016">
      <colorScale>
        <cfvo type="min"/>
        <cfvo type="percentile" val="50"/>
        <cfvo type="max"/>
        <color rgb="FF63BE7B"/>
        <color rgb="FFFFEB84"/>
        <color rgb="FFF8696B"/>
      </colorScale>
    </cfRule>
  </conditionalFormatting>
  <conditionalFormatting sqref="F112:F114">
    <cfRule type="colorScale" priority="11719">
      <colorScale>
        <cfvo type="min"/>
        <cfvo type="percentile" val="50"/>
        <cfvo type="max"/>
        <color rgb="FF63BE7B"/>
        <color rgb="FFFFEB84"/>
        <color rgb="FFF8696B"/>
      </colorScale>
    </cfRule>
    <cfRule type="colorScale" priority="11718">
      <colorScale>
        <cfvo type="min"/>
        <cfvo type="percentile" val="50"/>
        <cfvo type="max"/>
        <color rgb="FF63BE7B"/>
        <color rgb="FFFFEB84"/>
        <color rgb="FFF8696B"/>
      </colorScale>
    </cfRule>
    <cfRule type="colorScale" priority="11717">
      <colorScale>
        <cfvo type="min"/>
        <cfvo type="percentile" val="50"/>
        <cfvo type="max"/>
        <color rgb="FF63BE7B"/>
        <color rgb="FFFFEB84"/>
        <color rgb="FFF8696B"/>
      </colorScale>
    </cfRule>
  </conditionalFormatting>
  <conditionalFormatting sqref="F115:F122">
    <cfRule type="colorScale" priority="11625">
      <colorScale>
        <cfvo type="min"/>
        <cfvo type="percentile" val="50"/>
        <cfvo type="max"/>
        <color rgb="FF63BE7B"/>
        <color rgb="FFFFEB84"/>
        <color rgb="FFF8696B"/>
      </colorScale>
    </cfRule>
    <cfRule type="colorScale" priority="11626">
      <colorScale>
        <cfvo type="min"/>
        <cfvo type="percentile" val="50"/>
        <cfvo type="max"/>
        <color rgb="FF63BE7B"/>
        <color rgb="FFFFEB84"/>
        <color rgb="FFF8696B"/>
      </colorScale>
    </cfRule>
    <cfRule type="colorScale" priority="11623">
      <colorScale>
        <cfvo type="min"/>
        <cfvo type="percentile" val="50"/>
        <cfvo type="max"/>
        <color rgb="FF63BE7B"/>
        <color rgb="FFFFEB84"/>
        <color rgb="FFF8696B"/>
      </colorScale>
    </cfRule>
  </conditionalFormatting>
  <conditionalFormatting sqref="F117">
    <cfRule type="colorScale" priority="11624">
      <colorScale>
        <cfvo type="min"/>
        <cfvo type="percentile" val="50"/>
        <cfvo type="max"/>
        <color rgb="FF63BE7B"/>
        <color rgb="FFFFEB84"/>
        <color rgb="FFF8696B"/>
      </colorScale>
    </cfRule>
  </conditionalFormatting>
  <conditionalFormatting sqref="F35:G41">
    <cfRule type="colorScale" priority="11314">
      <colorScale>
        <cfvo type="min"/>
        <cfvo type="percentile" val="50"/>
        <cfvo type="max"/>
        <color rgb="FF63BE7B"/>
        <color rgb="FFFFEB84"/>
        <color rgb="FFF8696B"/>
      </colorScale>
    </cfRule>
    <cfRule type="colorScale" priority="11313">
      <colorScale>
        <cfvo type="min"/>
        <cfvo type="percentile" val="50"/>
        <cfvo type="max"/>
        <color rgb="FF63BE7B"/>
        <color rgb="FFFFEB84"/>
        <color rgb="FFF8696B"/>
      </colorScale>
    </cfRule>
    <cfRule type="colorScale" priority="11312">
      <colorScale>
        <cfvo type="min"/>
        <cfvo type="percentile" val="50"/>
        <cfvo type="max"/>
        <color rgb="FFF8696B"/>
        <color rgb="FFFFEB84"/>
        <color rgb="FF63BE7B"/>
      </colorScale>
    </cfRule>
    <cfRule type="colorScale" priority="10493">
      <colorScale>
        <cfvo type="min"/>
        <cfvo type="percentile" val="50"/>
        <cfvo type="max"/>
        <color rgb="FFF8696B"/>
        <color rgb="FFFFEB84"/>
        <color rgb="FF63BE7B"/>
      </colorScale>
    </cfRule>
  </conditionalFormatting>
  <conditionalFormatting sqref="F52:G53">
    <cfRule type="colorScale" priority="7093">
      <colorScale>
        <cfvo type="min"/>
        <cfvo type="percentile" val="50"/>
        <cfvo type="max"/>
        <color rgb="FF63BE7B"/>
        <color rgb="FFFFEB84"/>
        <color rgb="FFF8696B"/>
      </colorScale>
    </cfRule>
    <cfRule type="colorScale" priority="7092">
      <colorScale>
        <cfvo type="min"/>
        <cfvo type="percentile" val="50"/>
        <cfvo type="max"/>
        <color rgb="FF63BE7B"/>
        <color rgb="FFFFEB84"/>
        <color rgb="FFF8696B"/>
      </colorScale>
    </cfRule>
    <cfRule type="colorScale" priority="7091">
      <colorScale>
        <cfvo type="min"/>
        <cfvo type="percentile" val="50"/>
        <cfvo type="max"/>
        <color rgb="FFF8696B"/>
        <color rgb="FFFFEB84"/>
        <color rgb="FF63BE7B"/>
      </colorScale>
    </cfRule>
    <cfRule type="colorScale" priority="6470">
      <colorScale>
        <cfvo type="min"/>
        <cfvo type="percentile" val="50"/>
        <cfvo type="max"/>
        <color rgb="FFF8696B"/>
        <color rgb="FFFFEB84"/>
        <color rgb="FF63BE7B"/>
      </colorScale>
    </cfRule>
  </conditionalFormatting>
  <conditionalFormatting sqref="G35:G37">
    <cfRule type="colorScale" priority="11391">
      <colorScale>
        <cfvo type="min"/>
        <cfvo type="percentile" val="50"/>
        <cfvo type="max"/>
        <color rgb="FF63BE7B"/>
        <color rgb="FFFFEB84"/>
        <color rgb="FFF8696B"/>
      </colorScale>
    </cfRule>
    <cfRule type="colorScale" priority="11392">
      <colorScale>
        <cfvo type="min"/>
        <cfvo type="percentile" val="50"/>
        <cfvo type="max"/>
        <color rgb="FF63BE7B"/>
        <color rgb="FFFFEB84"/>
        <color rgb="FFF8696B"/>
      </colorScale>
    </cfRule>
    <cfRule type="colorScale" priority="11388">
      <colorScale>
        <cfvo type="min"/>
        <cfvo type="percentile" val="50"/>
        <cfvo type="max"/>
        <color rgb="FF63BE7B"/>
        <color rgb="FFFFEB84"/>
        <color rgb="FFF8696B"/>
      </colorScale>
    </cfRule>
    <cfRule type="colorScale" priority="11386">
      <colorScale>
        <cfvo type="min"/>
        <cfvo type="percentile" val="50"/>
        <cfvo type="max"/>
        <color rgb="FF63BE7B"/>
        <color rgb="FFFFEB84"/>
        <color rgb="FFF8696B"/>
      </colorScale>
    </cfRule>
    <cfRule type="colorScale" priority="11389">
      <colorScale>
        <cfvo type="min"/>
        <cfvo type="percentile" val="50"/>
        <cfvo type="max"/>
        <color rgb="FF63BE7B"/>
        <color rgb="FFFFEB84"/>
        <color rgb="FFF8696B"/>
      </colorScale>
    </cfRule>
    <cfRule type="colorScale" priority="11387">
      <colorScale>
        <cfvo type="min"/>
        <cfvo type="percentile" val="50"/>
        <cfvo type="max"/>
        <color rgb="FF63BE7B"/>
        <color rgb="FFFFEB84"/>
        <color rgb="FFF8696B"/>
      </colorScale>
    </cfRule>
    <cfRule type="colorScale" priority="11276">
      <colorScale>
        <cfvo type="min"/>
        <cfvo type="percentile" val="50"/>
        <cfvo type="max"/>
        <color rgb="FF63BE7B"/>
        <color rgb="FFFFEB84"/>
        <color rgb="FFF8696B"/>
      </colorScale>
    </cfRule>
  </conditionalFormatting>
  <conditionalFormatting sqref="G35:G41">
    <cfRule type="colorScale" priority="11283">
      <colorScale>
        <cfvo type="min"/>
        <cfvo type="percentile" val="50"/>
        <cfvo type="max"/>
        <color rgb="FF63BE7B"/>
        <color rgb="FFFFEB84"/>
        <color rgb="FFF8696B"/>
      </colorScale>
    </cfRule>
    <cfRule type="colorScale" priority="11282">
      <colorScale>
        <cfvo type="min"/>
        <cfvo type="percentile" val="50"/>
        <cfvo type="max"/>
        <color rgb="FF63BE7B"/>
        <color rgb="FFFFEB84"/>
        <color rgb="FFF8696B"/>
      </colorScale>
    </cfRule>
    <cfRule type="colorScale" priority="11274">
      <colorScale>
        <cfvo type="min"/>
        <cfvo type="percentile" val="50"/>
        <cfvo type="max"/>
        <color rgb="FF63BE7B"/>
        <color rgb="FFFFEB84"/>
        <color rgb="FFF8696B"/>
      </colorScale>
    </cfRule>
    <cfRule type="colorScale" priority="11275">
      <colorScale>
        <cfvo type="min"/>
        <cfvo type="percentile" val="50"/>
        <cfvo type="max"/>
        <color rgb="FF63BE7B"/>
        <color rgb="FFFFEB84"/>
        <color rgb="FFF8696B"/>
      </colorScale>
    </cfRule>
    <cfRule type="colorScale" priority="11277">
      <colorScale>
        <cfvo type="min"/>
        <cfvo type="percentile" val="50"/>
        <cfvo type="max"/>
        <color rgb="FF63BE7B"/>
        <color rgb="FFFFEB84"/>
        <color rgb="FFF8696B"/>
      </colorScale>
    </cfRule>
    <cfRule type="colorScale" priority="11278">
      <colorScale>
        <cfvo type="min"/>
        <cfvo type="percentile" val="50"/>
        <cfvo type="max"/>
        <color rgb="FF63BE7B"/>
        <color rgb="FFFFEB84"/>
        <color rgb="FFF8696B"/>
      </colorScale>
    </cfRule>
    <cfRule type="colorScale" priority="11279">
      <colorScale>
        <cfvo type="min"/>
        <cfvo type="percentile" val="50"/>
        <cfvo type="max"/>
        <color rgb="FF63BE7B"/>
        <color rgb="FFFFEB84"/>
        <color rgb="FFF8696B"/>
      </colorScale>
    </cfRule>
    <cfRule type="colorScale" priority="11280">
      <colorScale>
        <cfvo type="min"/>
        <cfvo type="percentile" val="50"/>
        <cfvo type="max"/>
        <color rgb="FF63BE7B"/>
        <color rgb="FFFFEB84"/>
        <color rgb="FFF8696B"/>
      </colorScale>
    </cfRule>
    <cfRule type="colorScale" priority="11281">
      <colorScale>
        <cfvo type="min"/>
        <cfvo type="percentile" val="50"/>
        <cfvo type="max"/>
        <color rgb="FF63BE7B"/>
        <color rgb="FFFFEB84"/>
        <color rgb="FFF8696B"/>
      </colorScale>
    </cfRule>
  </conditionalFormatting>
  <conditionalFormatting sqref="G36:G37">
    <cfRule type="colorScale" priority="11390">
      <colorScale>
        <cfvo type="min"/>
        <cfvo type="percentile" val="50"/>
        <cfvo type="max"/>
        <color rgb="FF63BE7B"/>
        <color rgb="FFFFEB84"/>
        <color rgb="FFF8696B"/>
      </colorScale>
    </cfRule>
  </conditionalFormatting>
  <conditionalFormatting sqref="G36:G42 B35:AV41 O41:O47">
    <cfRule type="colorScale" priority="15638">
      <colorScale>
        <cfvo type="min"/>
        <cfvo type="percentile" val="50"/>
        <cfvo type="max"/>
        <color rgb="FF63BE7B"/>
        <color rgb="FFFFEB84"/>
        <color rgb="FFF8696B"/>
      </colorScale>
    </cfRule>
    <cfRule type="colorScale" priority="15636">
      <colorScale>
        <cfvo type="min"/>
        <cfvo type="percentile" val="50"/>
        <cfvo type="max"/>
        <color rgb="FFF8696B"/>
        <color rgb="FFFFEB84"/>
        <color rgb="FF63BE7B"/>
      </colorScale>
    </cfRule>
    <cfRule type="colorScale" priority="15637">
      <colorScale>
        <cfvo type="min"/>
        <cfvo type="percentile" val="50"/>
        <cfvo type="max"/>
        <color rgb="FF63BE7B"/>
        <color rgb="FFFFEB84"/>
        <color rgb="FFF8696B"/>
      </colorScale>
    </cfRule>
    <cfRule type="colorScale" priority="15635">
      <colorScale>
        <cfvo type="min"/>
        <cfvo type="percentile" val="50"/>
        <cfvo type="max"/>
        <color rgb="FF63BE7B"/>
        <color rgb="FFFFEB84"/>
        <color rgb="FFF8696B"/>
      </colorScale>
    </cfRule>
    <cfRule type="colorScale" priority="15639">
      <colorScale>
        <cfvo type="min"/>
        <cfvo type="percentile" val="50"/>
        <cfvo type="max"/>
        <color rgb="FF63BE7B"/>
        <color rgb="FFFFEB84"/>
        <color rgb="FFF8696B"/>
      </colorScale>
    </cfRule>
  </conditionalFormatting>
  <conditionalFormatting sqref="G36:G42">
    <cfRule type="colorScale" priority="11298">
      <colorScale>
        <cfvo type="min"/>
        <cfvo type="percentile" val="50"/>
        <cfvo type="max"/>
        <color rgb="FF63BE7B"/>
        <color rgb="FFFFEB84"/>
        <color rgb="FFF8696B"/>
      </colorScale>
    </cfRule>
    <cfRule type="colorScale" priority="11296">
      <colorScale>
        <cfvo type="min"/>
        <cfvo type="percentile" val="50"/>
        <cfvo type="max"/>
        <color rgb="FFF8696B"/>
        <color rgb="FFFFEB84"/>
        <color rgb="FF63BE7B"/>
      </colorScale>
    </cfRule>
    <cfRule type="colorScale" priority="11297">
      <colorScale>
        <cfvo type="min"/>
        <cfvo type="percentile" val="50"/>
        <cfvo type="max"/>
        <color rgb="FFF8696B"/>
        <color rgb="FFFFEB84"/>
        <color rgb="FF63BE7B"/>
      </colorScale>
    </cfRule>
    <cfRule type="colorScale" priority="11299">
      <colorScale>
        <cfvo type="min"/>
        <cfvo type="percentile" val="50"/>
        <cfvo type="max"/>
        <color rgb="FF63BE7B"/>
        <color rgb="FFFFEB84"/>
        <color rgb="FFF8696B"/>
      </colorScale>
    </cfRule>
  </conditionalFormatting>
  <conditionalFormatting sqref="G37:G38 B36:AV37">
    <cfRule type="colorScale" priority="15650">
      <colorScale>
        <cfvo type="min"/>
        <cfvo type="percentile" val="50"/>
        <cfvo type="max"/>
        <color rgb="FF63BE7B"/>
        <color rgb="FFFFEB84"/>
        <color rgb="FFF8696B"/>
      </colorScale>
    </cfRule>
  </conditionalFormatting>
  <conditionalFormatting sqref="G42:G50">
    <cfRule type="colorScale" priority="7424">
      <colorScale>
        <cfvo type="min"/>
        <cfvo type="percentile" val="50"/>
        <cfvo type="max"/>
        <color rgb="FFF8696B"/>
        <color rgb="FFFFEB84"/>
        <color rgb="FF63BE7B"/>
      </colorScale>
    </cfRule>
  </conditionalFormatting>
  <conditionalFormatting sqref="G51:G53">
    <cfRule type="colorScale" priority="4818">
      <colorScale>
        <cfvo type="min"/>
        <cfvo type="percentile" val="50"/>
        <cfvo type="max"/>
        <color rgb="FF63BE7B"/>
        <color rgb="FFFFEB84"/>
        <color rgb="FFF8696B"/>
      </colorScale>
    </cfRule>
    <cfRule type="colorScale" priority="12934">
      <colorScale>
        <cfvo type="min"/>
        <cfvo type="percentile" val="50"/>
        <cfvo type="max"/>
        <color rgb="FF63BE7B"/>
        <color rgb="FFFFEB84"/>
        <color rgb="FFF8696B"/>
      </colorScale>
    </cfRule>
    <cfRule type="colorScale" priority="4790">
      <colorScale>
        <cfvo type="min"/>
        <cfvo type="percentile" val="50"/>
        <cfvo type="max"/>
        <color rgb="FF63BE7B"/>
        <color rgb="FFFFEB84"/>
        <color rgb="FFF8696B"/>
      </colorScale>
    </cfRule>
    <cfRule type="colorScale" priority="4817">
      <colorScale>
        <cfvo type="min"/>
        <cfvo type="percentile" val="50"/>
        <cfvo type="max"/>
        <color rgb="FF63BE7B"/>
        <color rgb="FFFFEB84"/>
        <color rgb="FFF8696B"/>
      </colorScale>
    </cfRule>
  </conditionalFormatting>
  <conditionalFormatting sqref="G52">
    <cfRule type="colorScale" priority="7320">
      <colorScale>
        <cfvo type="min"/>
        <cfvo type="percentile" val="50"/>
        <cfvo type="max"/>
        <color rgb="FF63BE7B"/>
        <color rgb="FFFFEB84"/>
        <color rgb="FFF8696B"/>
      </colorScale>
    </cfRule>
  </conditionalFormatting>
  <conditionalFormatting sqref="G52:G53">
    <cfRule type="colorScale" priority="4796">
      <colorScale>
        <cfvo type="min"/>
        <cfvo type="percentile" val="50"/>
        <cfvo type="max"/>
        <color rgb="FF63BE7B"/>
        <color rgb="FFFFEB84"/>
        <color rgb="FFF8696B"/>
      </colorScale>
    </cfRule>
    <cfRule type="colorScale" priority="4797">
      <colorScale>
        <cfvo type="min"/>
        <cfvo type="percentile" val="50"/>
        <cfvo type="max"/>
        <color rgb="FF63BE7B"/>
        <color rgb="FFFFEB84"/>
        <color rgb="FFF8696B"/>
      </colorScale>
    </cfRule>
    <cfRule type="colorScale" priority="4798">
      <colorScale>
        <cfvo type="min"/>
        <cfvo type="percentile" val="50"/>
        <cfvo type="max"/>
        <color rgb="FF63BE7B"/>
        <color rgb="FFFFEB84"/>
        <color rgb="FFF8696B"/>
      </colorScale>
    </cfRule>
    <cfRule type="colorScale" priority="4799">
      <colorScale>
        <cfvo type="min"/>
        <cfvo type="percentile" val="50"/>
        <cfvo type="max"/>
        <color rgb="FF63BE7B"/>
        <color rgb="FFFFEB84"/>
        <color rgb="FFF8696B"/>
      </colorScale>
    </cfRule>
    <cfRule type="colorScale" priority="4800">
      <colorScale>
        <cfvo type="min"/>
        <cfvo type="percentile" val="50"/>
        <cfvo type="max"/>
        <color rgb="FF63BE7B"/>
        <color rgb="FFFFEB84"/>
        <color rgb="FFF8696B"/>
      </colorScale>
    </cfRule>
    <cfRule type="colorScale" priority="4801">
      <colorScale>
        <cfvo type="min"/>
        <cfvo type="percentile" val="50"/>
        <cfvo type="max"/>
        <color rgb="FF63BE7B"/>
        <color rgb="FFFFEB84"/>
        <color rgb="FFF8696B"/>
      </colorScale>
    </cfRule>
    <cfRule type="colorScale" priority="4802">
      <colorScale>
        <cfvo type="min"/>
        <cfvo type="percentile" val="50"/>
        <cfvo type="max"/>
        <color rgb="FF63BE7B"/>
        <color rgb="FFFFEB84"/>
        <color rgb="FFF8696B"/>
      </colorScale>
    </cfRule>
    <cfRule type="colorScale" priority="7078">
      <colorScale>
        <cfvo type="min"/>
        <cfvo type="percentile" val="50"/>
        <cfvo type="max"/>
        <color rgb="FFF8696B"/>
        <color rgb="FFFFEB84"/>
        <color rgb="FF63BE7B"/>
      </colorScale>
    </cfRule>
    <cfRule type="colorScale" priority="7079">
      <colorScale>
        <cfvo type="min"/>
        <cfvo type="percentile" val="50"/>
        <cfvo type="max"/>
        <color rgb="FFF8696B"/>
        <color rgb="FFFFEB84"/>
        <color rgb="FF63BE7B"/>
      </colorScale>
    </cfRule>
    <cfRule type="colorScale" priority="7080">
      <colorScale>
        <cfvo type="min"/>
        <cfvo type="percentile" val="50"/>
        <cfvo type="max"/>
        <color rgb="FF63BE7B"/>
        <color rgb="FFFFEB84"/>
        <color rgb="FFF8696B"/>
      </colorScale>
    </cfRule>
    <cfRule type="colorScale" priority="7081">
      <colorScale>
        <cfvo type="min"/>
        <cfvo type="percentile" val="50"/>
        <cfvo type="max"/>
        <color rgb="FF63BE7B"/>
        <color rgb="FFFFEB84"/>
        <color rgb="FFF8696B"/>
      </colorScale>
    </cfRule>
    <cfRule type="colorScale" priority="4803">
      <colorScale>
        <cfvo type="min"/>
        <cfvo type="percentile" val="50"/>
        <cfvo type="max"/>
        <color rgb="FF63BE7B"/>
        <color rgb="FFFFEB84"/>
        <color rgb="FFF8696B"/>
      </colorScale>
    </cfRule>
    <cfRule type="colorScale" priority="4804">
      <colorScale>
        <cfvo type="min"/>
        <cfvo type="percentile" val="50"/>
        <cfvo type="max"/>
        <color rgb="FF63BE7B"/>
        <color rgb="FFFFEB84"/>
        <color rgb="FFF8696B"/>
      </colorScale>
    </cfRule>
    <cfRule type="colorScale" priority="4791">
      <colorScale>
        <cfvo type="min"/>
        <cfvo type="percentile" val="50"/>
        <cfvo type="max"/>
        <color rgb="FF63BE7B"/>
        <color rgb="FFFFEB84"/>
        <color rgb="FFF8696B"/>
      </colorScale>
    </cfRule>
    <cfRule type="colorScale" priority="4805">
      <colorScale>
        <cfvo type="min"/>
        <cfvo type="percentile" val="50"/>
        <cfvo type="max"/>
        <color rgb="FF63BE7B"/>
        <color rgb="FFFFEB84"/>
        <color rgb="FFF8696B"/>
      </colorScale>
    </cfRule>
    <cfRule type="colorScale" priority="4806">
      <colorScale>
        <cfvo type="min"/>
        <cfvo type="percentile" val="50"/>
        <cfvo type="max"/>
        <color rgb="FF63BE7B"/>
        <color rgb="FFFFEB84"/>
        <color rgb="FFF8696B"/>
      </colorScale>
    </cfRule>
    <cfRule type="colorScale" priority="4807">
      <colorScale>
        <cfvo type="min"/>
        <cfvo type="percentile" val="50"/>
        <cfvo type="max"/>
        <color rgb="FF63BE7B"/>
        <color rgb="FFFFEB84"/>
        <color rgb="FFF8696B"/>
      </colorScale>
    </cfRule>
    <cfRule type="colorScale" priority="4808">
      <colorScale>
        <cfvo type="min"/>
        <cfvo type="percentile" val="50"/>
        <cfvo type="max"/>
        <color rgb="FF63BE7B"/>
        <color rgb="FFFFEB84"/>
        <color rgb="FFF8696B"/>
      </colorScale>
    </cfRule>
    <cfRule type="colorScale" priority="4792">
      <colorScale>
        <cfvo type="min"/>
        <cfvo type="percentile" val="50"/>
        <cfvo type="max"/>
        <color rgb="FF63BE7B"/>
        <color rgb="FFFFEB84"/>
        <color rgb="FFF8696B"/>
      </colorScale>
    </cfRule>
    <cfRule type="colorScale" priority="4810">
      <colorScale>
        <cfvo type="min"/>
        <cfvo type="percentile" val="50"/>
        <cfvo type="max"/>
        <color rgb="FF63BE7B"/>
        <color rgb="FFFFEB84"/>
        <color rgb="FFF8696B"/>
      </colorScale>
    </cfRule>
    <cfRule type="colorScale" priority="4811">
      <colorScale>
        <cfvo type="min"/>
        <cfvo type="percentile" val="50"/>
        <cfvo type="max"/>
        <color rgb="FF63BE7B"/>
        <color rgb="FFFFEB84"/>
        <color rgb="FFF8696B"/>
      </colorScale>
    </cfRule>
    <cfRule type="colorScale" priority="4813">
      <colorScale>
        <cfvo type="min"/>
        <cfvo type="percentile" val="50"/>
        <cfvo type="max"/>
        <color rgb="FF63BE7B"/>
        <color rgb="FFFFEB84"/>
        <color rgb="FFF8696B"/>
      </colorScale>
    </cfRule>
    <cfRule type="colorScale" priority="4814">
      <colorScale>
        <cfvo type="min"/>
        <cfvo type="percentile" val="50"/>
        <cfvo type="max"/>
        <color rgb="FF63BE7B"/>
        <color rgb="FFFFEB84"/>
        <color rgb="FFF8696B"/>
      </colorScale>
    </cfRule>
    <cfRule type="colorScale" priority="4815">
      <colorScale>
        <cfvo type="min"/>
        <cfvo type="percentile" val="50"/>
        <cfvo type="max"/>
        <color rgb="FF63BE7B"/>
        <color rgb="FFFFEB84"/>
        <color rgb="FFF8696B"/>
      </colorScale>
    </cfRule>
    <cfRule type="colorScale" priority="4809">
      <colorScale>
        <cfvo type="min"/>
        <cfvo type="percentile" val="50"/>
        <cfvo type="max"/>
        <color rgb="FF63BE7B"/>
        <color rgb="FFFFEB84"/>
        <color rgb="FFF8696B"/>
      </colorScale>
    </cfRule>
    <cfRule type="colorScale" priority="4816">
      <colorScale>
        <cfvo type="min"/>
        <cfvo type="percentile" val="50"/>
        <cfvo type="max"/>
        <color rgb="FF63BE7B"/>
        <color rgb="FFFFEB84"/>
        <color rgb="FFF8696B"/>
      </colorScale>
    </cfRule>
    <cfRule type="colorScale" priority="4793">
      <colorScale>
        <cfvo type="min"/>
        <cfvo type="percentile" val="50"/>
        <cfvo type="max"/>
        <color rgb="FF63BE7B"/>
        <color rgb="FFFFEB84"/>
        <color rgb="FFF8696B"/>
      </colorScale>
    </cfRule>
    <cfRule type="colorScale" priority="4794">
      <colorScale>
        <cfvo type="min"/>
        <cfvo type="percentile" val="50"/>
        <cfvo type="max"/>
        <color rgb="FF63BE7B"/>
        <color rgb="FFFFEB84"/>
        <color rgb="FFF8696B"/>
      </colorScale>
    </cfRule>
    <cfRule type="colorScale" priority="4795">
      <colorScale>
        <cfvo type="min"/>
        <cfvo type="percentile" val="50"/>
        <cfvo type="max"/>
        <color rgb="FF63BE7B"/>
        <color rgb="FFFFEB84"/>
        <color rgb="FFF8696B"/>
      </colorScale>
    </cfRule>
    <cfRule type="colorScale" priority="7064">
      <colorScale>
        <cfvo type="min"/>
        <cfvo type="percentile" val="50"/>
        <cfvo type="max"/>
        <color rgb="FF63BE7B"/>
        <color rgb="FFFFEB84"/>
        <color rgb="FFF8696B"/>
      </colorScale>
    </cfRule>
    <cfRule type="colorScale" priority="7059">
      <colorScale>
        <cfvo type="min"/>
        <cfvo type="percentile" val="50"/>
        <cfvo type="max"/>
        <color rgb="FF63BE7B"/>
        <color rgb="FFFFEB84"/>
        <color rgb="FFF8696B"/>
      </colorScale>
    </cfRule>
    <cfRule type="colorScale" priority="4812">
      <colorScale>
        <cfvo type="min"/>
        <cfvo type="percentile" val="50"/>
        <cfvo type="max"/>
        <color rgb="FF63BE7B"/>
        <color rgb="FFFFEB84"/>
        <color rgb="FFF8696B"/>
      </colorScale>
    </cfRule>
    <cfRule type="colorScale" priority="7060">
      <colorScale>
        <cfvo type="min"/>
        <cfvo type="percentile" val="50"/>
        <cfvo type="max"/>
        <color rgb="FF63BE7B"/>
        <color rgb="FFFFEB84"/>
        <color rgb="FFF8696B"/>
      </colorScale>
    </cfRule>
    <cfRule type="colorScale" priority="7061">
      <colorScale>
        <cfvo type="min"/>
        <cfvo type="percentile" val="50"/>
        <cfvo type="max"/>
        <color rgb="FF63BE7B"/>
        <color rgb="FFFFEB84"/>
        <color rgb="FFF8696B"/>
      </colorScale>
    </cfRule>
    <cfRule type="colorScale" priority="7062">
      <colorScale>
        <cfvo type="min"/>
        <cfvo type="percentile" val="50"/>
        <cfvo type="max"/>
        <color rgb="FF63BE7B"/>
        <color rgb="FFFFEB84"/>
        <color rgb="FFF8696B"/>
      </colorScale>
    </cfRule>
    <cfRule type="colorScale" priority="7063">
      <colorScale>
        <cfvo type="min"/>
        <cfvo type="percentile" val="50"/>
        <cfvo type="max"/>
        <color rgb="FF63BE7B"/>
        <color rgb="FFFFEB84"/>
        <color rgb="FFF8696B"/>
      </colorScale>
    </cfRule>
    <cfRule type="colorScale" priority="7065">
      <colorScale>
        <cfvo type="min"/>
        <cfvo type="percentile" val="50"/>
        <cfvo type="max"/>
        <color rgb="FF63BE7B"/>
        <color rgb="FFFFEB84"/>
        <color rgb="FFF8696B"/>
      </colorScale>
    </cfRule>
    <cfRule type="colorScale" priority="7066">
      <colorScale>
        <cfvo type="min"/>
        <cfvo type="percentile" val="50"/>
        <cfvo type="max"/>
        <color rgb="FF63BE7B"/>
        <color rgb="FFFFEB84"/>
        <color rgb="FFF8696B"/>
      </colorScale>
    </cfRule>
    <cfRule type="colorScale" priority="7067">
      <colorScale>
        <cfvo type="min"/>
        <cfvo type="percentile" val="50"/>
        <cfvo type="max"/>
        <color rgb="FF63BE7B"/>
        <color rgb="FFFFEB84"/>
        <color rgb="FFF8696B"/>
      </colorScale>
    </cfRule>
  </conditionalFormatting>
  <conditionalFormatting sqref="G54:G60">
    <cfRule type="colorScale" priority="71">
      <colorScale>
        <cfvo type="min"/>
        <cfvo type="percentile" val="50"/>
        <cfvo type="max"/>
        <color rgb="FF63BE7B"/>
        <color rgb="FFFFEB84"/>
        <color rgb="FFF8696B"/>
      </colorScale>
    </cfRule>
  </conditionalFormatting>
  <conditionalFormatting sqref="G54:G61">
    <cfRule type="colorScale" priority="52">
      <colorScale>
        <cfvo type="min"/>
        <cfvo type="percentile" val="50"/>
        <cfvo type="max"/>
        <color rgb="FF63BE7B"/>
        <color rgb="FFFFEB84"/>
        <color rgb="FFF8696B"/>
      </colorScale>
    </cfRule>
  </conditionalFormatting>
  <conditionalFormatting sqref="G67:G91">
    <cfRule type="colorScale" priority="12622">
      <colorScale>
        <cfvo type="min"/>
        <cfvo type="percentile" val="50"/>
        <cfvo type="max"/>
        <color rgb="FF63BE7B"/>
        <color rgb="FFFFEB84"/>
        <color rgb="FFF8696B"/>
      </colorScale>
    </cfRule>
  </conditionalFormatting>
  <conditionalFormatting sqref="G81:G83">
    <cfRule type="colorScale" priority="12319">
      <colorScale>
        <cfvo type="min"/>
        <cfvo type="percentile" val="50"/>
        <cfvo type="max"/>
        <color rgb="FF63BE7B"/>
        <color rgb="FFFFEB84"/>
        <color rgb="FFF8696B"/>
      </colorScale>
    </cfRule>
  </conditionalFormatting>
  <conditionalFormatting sqref="G84:G91">
    <cfRule type="colorScale" priority="12224">
      <colorScale>
        <cfvo type="min"/>
        <cfvo type="percentile" val="50"/>
        <cfvo type="max"/>
        <color rgb="FF63BE7B"/>
        <color rgb="FFFFEB84"/>
        <color rgb="FFF8696B"/>
      </colorScale>
    </cfRule>
    <cfRule type="colorScale" priority="12225">
      <colorScale>
        <cfvo type="min"/>
        <cfvo type="percentile" val="50"/>
        <cfvo type="max"/>
        <color rgb="FF63BE7B"/>
        <color rgb="FFFFEB84"/>
        <color rgb="FFF8696B"/>
      </colorScale>
    </cfRule>
    <cfRule type="colorScale" priority="12222">
      <colorScale>
        <cfvo type="min"/>
        <cfvo type="percentile" val="50"/>
        <cfvo type="max"/>
        <color rgb="FF63BE7B"/>
        <color rgb="FFFFEB84"/>
        <color rgb="FFF8696B"/>
      </colorScale>
    </cfRule>
    <cfRule type="colorScale" priority="12175">
      <colorScale>
        <cfvo type="min"/>
        <cfvo type="percentile" val="50"/>
        <cfvo type="max"/>
        <color rgb="FF63BE7B"/>
        <color rgb="FFFFEB84"/>
        <color rgb="FFF8696B"/>
      </colorScale>
    </cfRule>
    <cfRule type="colorScale" priority="12177">
      <colorScale>
        <cfvo type="min"/>
        <cfvo type="percentile" val="50"/>
        <cfvo type="max"/>
        <color rgb="FF63BE7B"/>
        <color rgb="FFFFEB84"/>
        <color rgb="FFF8696B"/>
      </colorScale>
    </cfRule>
    <cfRule type="colorScale" priority="12178">
      <colorScale>
        <cfvo type="min"/>
        <cfvo type="percentile" val="50"/>
        <cfvo type="max"/>
        <color rgb="FF63BE7B"/>
        <color rgb="FFFFEB84"/>
        <color rgb="FFF8696B"/>
      </colorScale>
    </cfRule>
  </conditionalFormatting>
  <conditionalFormatting sqref="G86">
    <cfRule type="colorScale" priority="12223">
      <colorScale>
        <cfvo type="min"/>
        <cfvo type="percentile" val="50"/>
        <cfvo type="max"/>
        <color rgb="FF63BE7B"/>
        <color rgb="FFFFEB84"/>
        <color rgb="FFF8696B"/>
      </colorScale>
    </cfRule>
    <cfRule type="colorScale" priority="12176">
      <colorScale>
        <cfvo type="min"/>
        <cfvo type="percentile" val="50"/>
        <cfvo type="max"/>
        <color rgb="FF63BE7B"/>
        <color rgb="FFFFEB84"/>
        <color rgb="FFF8696B"/>
      </colorScale>
    </cfRule>
  </conditionalFormatting>
  <conditionalFormatting sqref="G98:G122">
    <cfRule type="colorScale" priority="12015">
      <colorScale>
        <cfvo type="min"/>
        <cfvo type="percentile" val="50"/>
        <cfvo type="max"/>
        <color rgb="FF63BE7B"/>
        <color rgb="FFFFEB84"/>
        <color rgb="FFF8696B"/>
      </colorScale>
    </cfRule>
  </conditionalFormatting>
  <conditionalFormatting sqref="G112:G114">
    <cfRule type="colorScale" priority="11716">
      <colorScale>
        <cfvo type="min"/>
        <cfvo type="percentile" val="50"/>
        <cfvo type="max"/>
        <color rgb="FF63BE7B"/>
        <color rgb="FFFFEB84"/>
        <color rgb="FFF8696B"/>
      </colorScale>
    </cfRule>
  </conditionalFormatting>
  <conditionalFormatting sqref="G115:G122">
    <cfRule type="colorScale" priority="11619">
      <colorScale>
        <cfvo type="min"/>
        <cfvo type="percentile" val="50"/>
        <cfvo type="max"/>
        <color rgb="FF63BE7B"/>
        <color rgb="FFFFEB84"/>
        <color rgb="FFF8696B"/>
      </colorScale>
    </cfRule>
    <cfRule type="colorScale" priority="11575">
      <colorScale>
        <cfvo type="min"/>
        <cfvo type="percentile" val="50"/>
        <cfvo type="max"/>
        <color rgb="FF63BE7B"/>
        <color rgb="FFFFEB84"/>
        <color rgb="FFF8696B"/>
      </colorScale>
    </cfRule>
    <cfRule type="colorScale" priority="11621">
      <colorScale>
        <cfvo type="min"/>
        <cfvo type="percentile" val="50"/>
        <cfvo type="max"/>
        <color rgb="FF63BE7B"/>
        <color rgb="FFFFEB84"/>
        <color rgb="FFF8696B"/>
      </colorScale>
    </cfRule>
    <cfRule type="colorScale" priority="11622">
      <colorScale>
        <cfvo type="min"/>
        <cfvo type="percentile" val="50"/>
        <cfvo type="max"/>
        <color rgb="FF63BE7B"/>
        <color rgb="FFFFEB84"/>
        <color rgb="FFF8696B"/>
      </colorScale>
    </cfRule>
    <cfRule type="colorScale" priority="11574">
      <colorScale>
        <cfvo type="min"/>
        <cfvo type="percentile" val="50"/>
        <cfvo type="max"/>
        <color rgb="FF63BE7B"/>
        <color rgb="FFFFEB84"/>
        <color rgb="FFF8696B"/>
      </colorScale>
    </cfRule>
    <cfRule type="colorScale" priority="11572">
      <colorScale>
        <cfvo type="min"/>
        <cfvo type="percentile" val="50"/>
        <cfvo type="max"/>
        <color rgb="FF63BE7B"/>
        <color rgb="FFFFEB84"/>
        <color rgb="FFF8696B"/>
      </colorScale>
    </cfRule>
  </conditionalFormatting>
  <conditionalFormatting sqref="G117">
    <cfRule type="colorScale" priority="11620">
      <colorScale>
        <cfvo type="min"/>
        <cfvo type="percentile" val="50"/>
        <cfvo type="max"/>
        <color rgb="FF63BE7B"/>
        <color rgb="FFFFEB84"/>
        <color rgb="FFF8696B"/>
      </colorScale>
    </cfRule>
    <cfRule type="colorScale" priority="11573">
      <colorScale>
        <cfvo type="min"/>
        <cfvo type="percentile" val="50"/>
        <cfvo type="max"/>
        <color rgb="FF63BE7B"/>
        <color rgb="FFFFEB84"/>
        <color rgb="FFF8696B"/>
      </colorScale>
    </cfRule>
  </conditionalFormatting>
  <conditionalFormatting sqref="H35:H37">
    <cfRule type="colorScale" priority="11379">
      <colorScale>
        <cfvo type="min"/>
        <cfvo type="percentile" val="50"/>
        <cfvo type="max"/>
        <color rgb="FF63BE7B"/>
        <color rgb="FFFFEB84"/>
        <color rgb="FFF8696B"/>
      </colorScale>
    </cfRule>
    <cfRule type="colorScale" priority="10437">
      <colorScale>
        <cfvo type="min"/>
        <cfvo type="percentile" val="50"/>
        <cfvo type="max"/>
        <color rgb="FF63BE7B"/>
        <color rgb="FFFFEB84"/>
        <color rgb="FFF8696B"/>
      </colorScale>
    </cfRule>
    <cfRule type="colorScale" priority="10436">
      <colorScale>
        <cfvo type="min"/>
        <cfvo type="percentile" val="50"/>
        <cfvo type="max"/>
        <color rgb="FF63BE7B"/>
        <color rgb="FFFFEB84"/>
        <color rgb="FFF8696B"/>
      </colorScale>
    </cfRule>
    <cfRule type="colorScale" priority="8073">
      <colorScale>
        <cfvo type="min"/>
        <cfvo type="percentile" val="50"/>
        <cfvo type="max"/>
        <color rgb="FF63BE7B"/>
        <color rgb="FFFFEB84"/>
        <color rgb="FFF8696B"/>
      </colorScale>
    </cfRule>
    <cfRule type="colorScale" priority="10219">
      <colorScale>
        <cfvo type="min"/>
        <cfvo type="percentile" val="50"/>
        <cfvo type="max"/>
        <color rgb="FF63BE7B"/>
        <color rgb="FFFFEB84"/>
        <color rgb="FFF8696B"/>
      </colorScale>
    </cfRule>
    <cfRule type="colorScale" priority="10220">
      <colorScale>
        <cfvo type="min"/>
        <cfvo type="percentile" val="50"/>
        <cfvo type="max"/>
        <color rgb="FF63BE7B"/>
        <color rgb="FFFFEB84"/>
        <color rgb="FFF8696B"/>
      </colorScale>
    </cfRule>
    <cfRule type="colorScale" priority="10427">
      <colorScale>
        <cfvo type="min"/>
        <cfvo type="percentile" val="50"/>
        <cfvo type="max"/>
        <color rgb="FF63BE7B"/>
        <color rgb="FFFFEB84"/>
        <color rgb="FFF8696B"/>
      </colorScale>
    </cfRule>
    <cfRule type="colorScale" priority="8087">
      <colorScale>
        <cfvo type="min"/>
        <cfvo type="percentile" val="50"/>
        <cfvo type="max"/>
        <color rgb="FF63BE7B"/>
        <color rgb="FFFFEB84"/>
        <color rgb="FFF8696B"/>
      </colorScale>
    </cfRule>
    <cfRule type="colorScale" priority="8081">
      <colorScale>
        <cfvo type="min"/>
        <cfvo type="percentile" val="50"/>
        <cfvo type="max"/>
        <color rgb="FF63BE7B"/>
        <color rgb="FFFFEB84"/>
        <color rgb="FFF8696B"/>
      </colorScale>
    </cfRule>
    <cfRule type="colorScale" priority="8100">
      <colorScale>
        <cfvo type="min"/>
        <cfvo type="percentile" val="50"/>
        <cfvo type="max"/>
        <color rgb="FF63BE7B"/>
        <color rgb="FFFFEB84"/>
        <color rgb="FFF8696B"/>
      </colorScale>
    </cfRule>
    <cfRule type="colorScale" priority="10435">
      <colorScale>
        <cfvo type="min"/>
        <cfvo type="percentile" val="50"/>
        <cfvo type="max"/>
        <color rgb="FF63BE7B"/>
        <color rgb="FFFFEB84"/>
        <color rgb="FFF8696B"/>
      </colorScale>
    </cfRule>
    <cfRule type="colorScale" priority="8108">
      <colorScale>
        <cfvo type="min"/>
        <cfvo type="percentile" val="50"/>
        <cfvo type="max"/>
        <color rgb="FF63BE7B"/>
        <color rgb="FFFFEB84"/>
        <color rgb="FFF8696B"/>
      </colorScale>
    </cfRule>
    <cfRule type="colorScale" priority="8109">
      <colorScale>
        <cfvo type="min"/>
        <cfvo type="percentile" val="50"/>
        <cfvo type="max"/>
        <color rgb="FF63BE7B"/>
        <color rgb="FFFFEB84"/>
        <color rgb="FFF8696B"/>
      </colorScale>
    </cfRule>
    <cfRule type="colorScale" priority="10221">
      <colorScale>
        <cfvo type="min"/>
        <cfvo type="percentile" val="50"/>
        <cfvo type="max"/>
        <color rgb="FF63BE7B"/>
        <color rgb="FFFFEB84"/>
        <color rgb="FFF8696B"/>
      </colorScale>
    </cfRule>
    <cfRule type="colorScale" priority="8082">
      <colorScale>
        <cfvo type="min"/>
        <cfvo type="percentile" val="50"/>
        <cfvo type="max"/>
        <color rgb="FF63BE7B"/>
        <color rgb="FFFFEB84"/>
        <color rgb="FFF8696B"/>
      </colorScale>
    </cfRule>
    <cfRule type="colorScale" priority="8083">
      <colorScale>
        <cfvo type="min"/>
        <cfvo type="percentile" val="50"/>
        <cfvo type="max"/>
        <color rgb="FF63BE7B"/>
        <color rgb="FFFFEB84"/>
        <color rgb="FFF8696B"/>
      </colorScale>
    </cfRule>
    <cfRule type="colorScale" priority="8084">
      <colorScale>
        <cfvo type="min"/>
        <cfvo type="percentile" val="50"/>
        <cfvo type="max"/>
        <color rgb="FF63BE7B"/>
        <color rgb="FFFFEB84"/>
        <color rgb="FFF8696B"/>
      </colorScale>
    </cfRule>
    <cfRule type="colorScale" priority="10211">
      <colorScale>
        <cfvo type="min"/>
        <cfvo type="percentile" val="50"/>
        <cfvo type="max"/>
        <color rgb="FF63BE7B"/>
        <color rgb="FFFFEB84"/>
        <color rgb="FFF8696B"/>
      </colorScale>
    </cfRule>
    <cfRule type="colorScale" priority="8110">
      <colorScale>
        <cfvo type="min"/>
        <cfvo type="percentile" val="50"/>
        <cfvo type="max"/>
        <color rgb="FF63BE7B"/>
        <color rgb="FFFFEB84"/>
        <color rgb="FFF8696B"/>
      </colorScale>
    </cfRule>
    <cfRule type="colorScale" priority="10441">
      <colorScale>
        <cfvo type="min"/>
        <cfvo type="percentile" val="50"/>
        <cfvo type="max"/>
        <color rgb="FF63BE7B"/>
        <color rgb="FFFFEB84"/>
        <color rgb="FFF8696B"/>
      </colorScale>
    </cfRule>
    <cfRule type="colorScale" priority="10440">
      <colorScale>
        <cfvo type="min"/>
        <cfvo type="percentile" val="50"/>
        <cfvo type="max"/>
        <color rgb="FF63BE7B"/>
        <color rgb="FFFFEB84"/>
        <color rgb="FFF8696B"/>
      </colorScale>
    </cfRule>
    <cfRule type="colorScale" priority="8086">
      <colorScale>
        <cfvo type="min"/>
        <cfvo type="percentile" val="50"/>
        <cfvo type="max"/>
        <color rgb="FF63BE7B"/>
        <color rgb="FFFFEB84"/>
        <color rgb="FFF8696B"/>
      </colorScale>
    </cfRule>
    <cfRule type="colorScale" priority="11384">
      <colorScale>
        <cfvo type="min"/>
        <cfvo type="percentile" val="50"/>
        <cfvo type="max"/>
        <color rgb="FF63BE7B"/>
        <color rgb="FFFFEB84"/>
        <color rgb="FFF8696B"/>
      </colorScale>
    </cfRule>
    <cfRule type="colorScale" priority="10222">
      <colorScale>
        <cfvo type="min"/>
        <cfvo type="percentile" val="50"/>
        <cfvo type="max"/>
        <color rgb="FF63BE7B"/>
        <color rgb="FFFFEB84"/>
        <color rgb="FFF8696B"/>
      </colorScale>
    </cfRule>
    <cfRule type="colorScale" priority="8111">
      <colorScale>
        <cfvo type="min"/>
        <cfvo type="percentile" val="50"/>
        <cfvo type="max"/>
        <color rgb="FF63BE7B"/>
        <color rgb="FFFFEB84"/>
        <color rgb="FFF8696B"/>
      </colorScale>
    </cfRule>
    <cfRule type="colorScale" priority="11266">
      <colorScale>
        <cfvo type="min"/>
        <cfvo type="percentile" val="50"/>
        <cfvo type="max"/>
        <color rgb="FF63BE7B"/>
        <color rgb="FFFFEB84"/>
        <color rgb="FFF8696B"/>
      </colorScale>
    </cfRule>
    <cfRule type="colorScale" priority="10224">
      <colorScale>
        <cfvo type="min"/>
        <cfvo type="percentile" val="50"/>
        <cfvo type="max"/>
        <color rgb="FF63BE7B"/>
        <color rgb="FFFFEB84"/>
        <color rgb="FFF8696B"/>
      </colorScale>
    </cfRule>
    <cfRule type="colorScale" priority="10225">
      <colorScale>
        <cfvo type="min"/>
        <cfvo type="percentile" val="50"/>
        <cfvo type="max"/>
        <color rgb="FF63BE7B"/>
        <color rgb="FFFFEB84"/>
        <color rgb="FFF8696B"/>
      </colorScale>
    </cfRule>
    <cfRule type="colorScale" priority="11385">
      <colorScale>
        <cfvo type="min"/>
        <cfvo type="percentile" val="50"/>
        <cfvo type="max"/>
        <color rgb="FF63BE7B"/>
        <color rgb="FFFFEB84"/>
        <color rgb="FFF8696B"/>
      </colorScale>
    </cfRule>
    <cfRule type="colorScale" priority="8113">
      <colorScale>
        <cfvo type="min"/>
        <cfvo type="percentile" val="50"/>
        <cfvo type="max"/>
        <color rgb="FF63BE7B"/>
        <color rgb="FFFFEB84"/>
        <color rgb="FFF8696B"/>
      </colorScale>
    </cfRule>
    <cfRule type="colorScale" priority="11382">
      <colorScale>
        <cfvo type="min"/>
        <cfvo type="percentile" val="50"/>
        <cfvo type="max"/>
        <color rgb="FF63BE7B"/>
        <color rgb="FFFFEB84"/>
        <color rgb="FFF8696B"/>
      </colorScale>
    </cfRule>
    <cfRule type="colorScale" priority="11381">
      <colorScale>
        <cfvo type="min"/>
        <cfvo type="percentile" val="50"/>
        <cfvo type="max"/>
        <color rgb="FF63BE7B"/>
        <color rgb="FFFFEB84"/>
        <color rgb="FFF8696B"/>
      </colorScale>
    </cfRule>
    <cfRule type="colorScale" priority="11380">
      <colorScale>
        <cfvo type="min"/>
        <cfvo type="percentile" val="50"/>
        <cfvo type="max"/>
        <color rgb="FF63BE7B"/>
        <color rgb="FFFFEB84"/>
        <color rgb="FFF8696B"/>
      </colorScale>
    </cfRule>
    <cfRule type="colorScale" priority="8114">
      <colorScale>
        <cfvo type="min"/>
        <cfvo type="percentile" val="50"/>
        <cfvo type="max"/>
        <color rgb="FF63BE7B"/>
        <color rgb="FFFFEB84"/>
        <color rgb="FFF8696B"/>
      </colorScale>
    </cfRule>
    <cfRule type="colorScale" priority="10438">
      <colorScale>
        <cfvo type="min"/>
        <cfvo type="percentile" val="50"/>
        <cfvo type="max"/>
        <color rgb="FF63BE7B"/>
        <color rgb="FFFFEB84"/>
        <color rgb="FFF8696B"/>
      </colorScale>
    </cfRule>
  </conditionalFormatting>
  <conditionalFormatting sqref="H35:H41">
    <cfRule type="colorScale" priority="8120">
      <colorScale>
        <cfvo type="min"/>
        <cfvo type="percentile" val="50"/>
        <cfvo type="max"/>
        <color rgb="FF63BE7B"/>
        <color rgb="FFFFEB84"/>
        <color rgb="FFF8696B"/>
      </colorScale>
    </cfRule>
    <cfRule type="colorScale" priority="8121">
      <colorScale>
        <cfvo type="min"/>
        <cfvo type="percentile" val="50"/>
        <cfvo type="max"/>
        <color rgb="FF63BE7B"/>
        <color rgb="FFFFEB84"/>
        <color rgb="FFF8696B"/>
      </colorScale>
    </cfRule>
    <cfRule type="colorScale" priority="8123">
      <colorScale>
        <cfvo type="min"/>
        <cfvo type="percentile" val="50"/>
        <cfvo type="max"/>
        <color rgb="FF63BE7B"/>
        <color rgb="FFFFEB84"/>
        <color rgb="FFF8696B"/>
      </colorScale>
    </cfRule>
    <cfRule type="colorScale" priority="8124">
      <colorScale>
        <cfvo type="min"/>
        <cfvo type="percentile" val="50"/>
        <cfvo type="max"/>
        <color rgb="FF63BE7B"/>
        <color rgb="FFFFEB84"/>
        <color rgb="FFF8696B"/>
      </colorScale>
    </cfRule>
    <cfRule type="colorScale" priority="10231">
      <colorScale>
        <cfvo type="min"/>
        <cfvo type="percentile" val="50"/>
        <cfvo type="max"/>
        <color rgb="FF63BE7B"/>
        <color rgb="FFFFEB84"/>
        <color rgb="FFF8696B"/>
      </colorScale>
    </cfRule>
    <cfRule type="colorScale" priority="10230">
      <colorScale>
        <cfvo type="min"/>
        <cfvo type="percentile" val="50"/>
        <cfvo type="max"/>
        <color rgb="FF63BE7B"/>
        <color rgb="FFFFEB84"/>
        <color rgb="FFF8696B"/>
      </colorScale>
    </cfRule>
    <cfRule type="colorScale" priority="10229">
      <colorScale>
        <cfvo type="min"/>
        <cfvo type="percentile" val="50"/>
        <cfvo type="max"/>
        <color rgb="FF63BE7B"/>
        <color rgb="FFFFEB84"/>
        <color rgb="FFF8696B"/>
      </colorScale>
    </cfRule>
    <cfRule type="colorScale" priority="10228">
      <colorScale>
        <cfvo type="min"/>
        <cfvo type="percentile" val="50"/>
        <cfvo type="max"/>
        <color rgb="FF63BE7B"/>
        <color rgb="FFFFEB84"/>
        <color rgb="FFF8696B"/>
      </colorScale>
    </cfRule>
    <cfRule type="colorScale" priority="10227">
      <colorScale>
        <cfvo type="min"/>
        <cfvo type="percentile" val="50"/>
        <cfvo type="max"/>
        <color rgb="FF63BE7B"/>
        <color rgb="FFFFEB84"/>
        <color rgb="FFF8696B"/>
      </colorScale>
    </cfRule>
    <cfRule type="colorScale" priority="10226">
      <colorScale>
        <cfvo type="min"/>
        <cfvo type="percentile" val="50"/>
        <cfvo type="max"/>
        <color rgb="FF63BE7B"/>
        <color rgb="FFFFEB84"/>
        <color rgb="FFF8696B"/>
      </colorScale>
    </cfRule>
    <cfRule type="colorScale" priority="10218">
      <colorScale>
        <cfvo type="min"/>
        <cfvo type="percentile" val="50"/>
        <cfvo type="max"/>
        <color rgb="FF63BE7B"/>
        <color rgb="FFFFEB84"/>
        <color rgb="FFF8696B"/>
      </colorScale>
    </cfRule>
    <cfRule type="colorScale" priority="10217">
      <colorScale>
        <cfvo type="min"/>
        <cfvo type="percentile" val="50"/>
        <cfvo type="max"/>
        <color rgb="FF63BE7B"/>
        <color rgb="FFFFEB84"/>
        <color rgb="FFF8696B"/>
      </colorScale>
    </cfRule>
    <cfRule type="colorScale" priority="10216">
      <colorScale>
        <cfvo type="min"/>
        <cfvo type="percentile" val="50"/>
        <cfvo type="max"/>
        <color rgb="FF63BE7B"/>
        <color rgb="FFFFEB84"/>
        <color rgb="FFF8696B"/>
      </colorScale>
    </cfRule>
    <cfRule type="colorScale" priority="10215">
      <colorScale>
        <cfvo type="min"/>
        <cfvo type="percentile" val="50"/>
        <cfvo type="max"/>
        <color rgb="FF63BE7B"/>
        <color rgb="FFFFEB84"/>
        <color rgb="FFF8696B"/>
      </colorScale>
    </cfRule>
    <cfRule type="colorScale" priority="10214">
      <colorScale>
        <cfvo type="min"/>
        <cfvo type="percentile" val="50"/>
        <cfvo type="max"/>
        <color rgb="FF63BE7B"/>
        <color rgb="FFFFEB84"/>
        <color rgb="FFF8696B"/>
      </colorScale>
    </cfRule>
    <cfRule type="colorScale" priority="10213">
      <colorScale>
        <cfvo type="min"/>
        <cfvo type="percentile" val="50"/>
        <cfvo type="max"/>
        <color rgb="FF63BE7B"/>
        <color rgb="FFFFEB84"/>
        <color rgb="FFF8696B"/>
      </colorScale>
    </cfRule>
    <cfRule type="colorScale" priority="10212">
      <colorScale>
        <cfvo type="min"/>
        <cfvo type="percentile" val="50"/>
        <cfvo type="max"/>
        <color rgb="FF63BE7B"/>
        <color rgb="FFFFEB84"/>
        <color rgb="FFF8696B"/>
      </colorScale>
    </cfRule>
    <cfRule type="colorScale" priority="10210">
      <colorScale>
        <cfvo type="min"/>
        <cfvo type="percentile" val="50"/>
        <cfvo type="max"/>
        <color rgb="FF63BE7B"/>
        <color rgb="FFFFEB84"/>
        <color rgb="FFF8696B"/>
      </colorScale>
    </cfRule>
    <cfRule type="colorScale" priority="8106">
      <colorScale>
        <cfvo type="min"/>
        <cfvo type="percentile" val="50"/>
        <cfvo type="max"/>
        <color rgb="FF63BE7B"/>
        <color rgb="FFFFEB84"/>
        <color rgb="FFF8696B"/>
      </colorScale>
    </cfRule>
    <cfRule type="colorScale" priority="10209">
      <colorScale>
        <cfvo type="min"/>
        <cfvo type="percentile" val="50"/>
        <cfvo type="max"/>
        <color rgb="FF63BE7B"/>
        <color rgb="FFFFEB84"/>
        <color rgb="FFF8696B"/>
      </colorScale>
    </cfRule>
    <cfRule type="colorScale" priority="10434">
      <colorScale>
        <cfvo type="min"/>
        <cfvo type="percentile" val="50"/>
        <cfvo type="max"/>
        <color rgb="FF63BE7B"/>
        <color rgb="FFFFEB84"/>
        <color rgb="FFF8696B"/>
      </colorScale>
    </cfRule>
    <cfRule type="colorScale" priority="10433">
      <colorScale>
        <cfvo type="min"/>
        <cfvo type="percentile" val="50"/>
        <cfvo type="max"/>
        <color rgb="FF63BE7B"/>
        <color rgb="FFFFEB84"/>
        <color rgb="FFF8696B"/>
      </colorScale>
    </cfRule>
    <cfRule type="colorScale" priority="10432">
      <colorScale>
        <cfvo type="min"/>
        <cfvo type="percentile" val="50"/>
        <cfvo type="max"/>
        <color rgb="FF63BE7B"/>
        <color rgb="FFFFEB84"/>
        <color rgb="FFF8696B"/>
      </colorScale>
    </cfRule>
    <cfRule type="colorScale" priority="10431">
      <colorScale>
        <cfvo type="min"/>
        <cfvo type="percentile" val="50"/>
        <cfvo type="max"/>
        <color rgb="FF63BE7B"/>
        <color rgb="FFFFEB84"/>
        <color rgb="FFF8696B"/>
      </colorScale>
    </cfRule>
    <cfRule type="colorScale" priority="10430">
      <colorScale>
        <cfvo type="min"/>
        <cfvo type="percentile" val="50"/>
        <cfvo type="max"/>
        <color rgb="FF63BE7B"/>
        <color rgb="FFFFEB84"/>
        <color rgb="FFF8696B"/>
      </colorScale>
    </cfRule>
    <cfRule type="colorScale" priority="10429">
      <colorScale>
        <cfvo type="min"/>
        <cfvo type="percentile" val="50"/>
        <cfvo type="max"/>
        <color rgb="FF63BE7B"/>
        <color rgb="FFFFEB84"/>
        <color rgb="FFF8696B"/>
      </colorScale>
    </cfRule>
    <cfRule type="colorScale" priority="10428">
      <colorScale>
        <cfvo type="min"/>
        <cfvo type="percentile" val="50"/>
        <cfvo type="max"/>
        <color rgb="FF63BE7B"/>
        <color rgb="FFFFEB84"/>
        <color rgb="FFF8696B"/>
      </colorScale>
    </cfRule>
    <cfRule type="colorScale" priority="10426">
      <colorScale>
        <cfvo type="min"/>
        <cfvo type="percentile" val="50"/>
        <cfvo type="max"/>
        <color rgb="FF63BE7B"/>
        <color rgb="FFFFEB84"/>
        <color rgb="FFF8696B"/>
      </colorScale>
    </cfRule>
    <cfRule type="colorScale" priority="10425">
      <colorScale>
        <cfvo type="min"/>
        <cfvo type="percentile" val="50"/>
        <cfvo type="max"/>
        <color rgb="FF63BE7B"/>
        <color rgb="FFFFEB84"/>
        <color rgb="FFF8696B"/>
      </colorScale>
    </cfRule>
    <cfRule type="colorScale" priority="10235">
      <colorScale>
        <cfvo type="min"/>
        <cfvo type="percentile" val="50"/>
        <cfvo type="max"/>
        <color rgb="FF63BE7B"/>
        <color rgb="FFFFEB84"/>
        <color rgb="FFF8696B"/>
      </colorScale>
    </cfRule>
    <cfRule type="colorScale" priority="10234">
      <colorScale>
        <cfvo type="min"/>
        <cfvo type="percentile" val="50"/>
        <cfvo type="max"/>
        <color rgb="FF63BE7B"/>
        <color rgb="FFFFEB84"/>
        <color rgb="FFF8696B"/>
      </colorScale>
    </cfRule>
    <cfRule type="colorScale" priority="10232">
      <colorScale>
        <cfvo type="min"/>
        <cfvo type="percentile" val="50"/>
        <cfvo type="max"/>
        <color rgb="FF63BE7B"/>
        <color rgb="FFFFEB84"/>
        <color rgb="FFF8696B"/>
      </colorScale>
    </cfRule>
    <cfRule type="colorScale" priority="8071">
      <colorScale>
        <cfvo type="min"/>
        <cfvo type="percentile" val="50"/>
        <cfvo type="max"/>
        <color rgb="FF63BE7B"/>
        <color rgb="FFFFEB84"/>
        <color rgb="FFF8696B"/>
      </colorScale>
    </cfRule>
    <cfRule type="colorScale" priority="8072">
      <colorScale>
        <cfvo type="min"/>
        <cfvo type="percentile" val="50"/>
        <cfvo type="max"/>
        <color rgb="FF63BE7B"/>
        <color rgb="FFFFEB84"/>
        <color rgb="FFF8696B"/>
      </colorScale>
    </cfRule>
    <cfRule type="colorScale" priority="8074">
      <colorScale>
        <cfvo type="min"/>
        <cfvo type="percentile" val="50"/>
        <cfvo type="max"/>
        <color rgb="FF63BE7B"/>
        <color rgb="FFFFEB84"/>
        <color rgb="FFF8696B"/>
      </colorScale>
    </cfRule>
    <cfRule type="colorScale" priority="8075">
      <colorScale>
        <cfvo type="min"/>
        <cfvo type="percentile" val="50"/>
        <cfvo type="max"/>
        <color rgb="FF63BE7B"/>
        <color rgb="FFFFEB84"/>
        <color rgb="FFF8696B"/>
      </colorScale>
    </cfRule>
    <cfRule type="colorScale" priority="8076">
      <colorScale>
        <cfvo type="min"/>
        <cfvo type="percentile" val="50"/>
        <cfvo type="max"/>
        <color rgb="FF63BE7B"/>
        <color rgb="FFFFEB84"/>
        <color rgb="FFF8696B"/>
      </colorScale>
    </cfRule>
    <cfRule type="colorScale" priority="8077">
      <colorScale>
        <cfvo type="min"/>
        <cfvo type="percentile" val="50"/>
        <cfvo type="max"/>
        <color rgb="FF63BE7B"/>
        <color rgb="FFFFEB84"/>
        <color rgb="FFF8696B"/>
      </colorScale>
    </cfRule>
    <cfRule type="colorScale" priority="8078">
      <colorScale>
        <cfvo type="min"/>
        <cfvo type="percentile" val="50"/>
        <cfvo type="max"/>
        <color rgb="FF63BE7B"/>
        <color rgb="FFFFEB84"/>
        <color rgb="FFF8696B"/>
      </colorScale>
    </cfRule>
    <cfRule type="colorScale" priority="8079">
      <colorScale>
        <cfvo type="min"/>
        <cfvo type="percentile" val="50"/>
        <cfvo type="max"/>
        <color rgb="FF63BE7B"/>
        <color rgb="FFFFEB84"/>
        <color rgb="FFF8696B"/>
      </colorScale>
    </cfRule>
    <cfRule type="colorScale" priority="8080">
      <colorScale>
        <cfvo type="min"/>
        <cfvo type="percentile" val="50"/>
        <cfvo type="max"/>
        <color rgb="FF63BE7B"/>
        <color rgb="FFFFEB84"/>
        <color rgb="FFF8696B"/>
      </colorScale>
    </cfRule>
    <cfRule type="colorScale" priority="8088">
      <colorScale>
        <cfvo type="min"/>
        <cfvo type="percentile" val="50"/>
        <cfvo type="max"/>
        <color rgb="FF63BE7B"/>
        <color rgb="FFFFEB84"/>
        <color rgb="FFF8696B"/>
      </colorScale>
    </cfRule>
    <cfRule type="colorScale" priority="13187">
      <colorScale>
        <cfvo type="min"/>
        <cfvo type="percentile" val="50"/>
        <cfvo type="max"/>
        <color rgb="FF63BE7B"/>
        <color rgb="FFFFEB84"/>
        <color rgb="FFF8696B"/>
      </colorScale>
    </cfRule>
    <cfRule type="colorScale" priority="8089">
      <colorScale>
        <cfvo type="min"/>
        <cfvo type="percentile" val="50"/>
        <cfvo type="max"/>
        <color rgb="FF63BE7B"/>
        <color rgb="FFFFEB84"/>
        <color rgb="FFF8696B"/>
      </colorScale>
    </cfRule>
    <cfRule type="colorScale" priority="8090">
      <colorScale>
        <cfvo type="min"/>
        <cfvo type="percentile" val="50"/>
        <cfvo type="max"/>
        <color rgb="FF63BE7B"/>
        <color rgb="FFFFEB84"/>
        <color rgb="FFF8696B"/>
      </colorScale>
    </cfRule>
    <cfRule type="colorScale" priority="8091">
      <colorScale>
        <cfvo type="min"/>
        <cfvo type="percentile" val="50"/>
        <cfvo type="max"/>
        <color rgb="FF63BE7B"/>
        <color rgb="FFFFEB84"/>
        <color rgb="FFF8696B"/>
      </colorScale>
    </cfRule>
    <cfRule type="colorScale" priority="8092">
      <colorScale>
        <cfvo type="min"/>
        <cfvo type="percentile" val="50"/>
        <cfvo type="max"/>
        <color rgb="FF63BE7B"/>
        <color rgb="FFFFEB84"/>
        <color rgb="FFF8696B"/>
      </colorScale>
    </cfRule>
    <cfRule type="colorScale" priority="8093">
      <colorScale>
        <cfvo type="min"/>
        <cfvo type="percentile" val="50"/>
        <cfvo type="max"/>
        <color rgb="FF63BE7B"/>
        <color rgb="FFFFEB84"/>
        <color rgb="FFF8696B"/>
      </colorScale>
    </cfRule>
    <cfRule type="colorScale" priority="13188">
      <colorScale>
        <cfvo type="min"/>
        <cfvo type="percentile" val="50"/>
        <cfvo type="max"/>
        <color rgb="FF63BE7B"/>
        <color rgb="FFFFEB84"/>
        <color rgb="FFF8696B"/>
      </colorScale>
    </cfRule>
    <cfRule type="colorScale" priority="13189">
      <colorScale>
        <cfvo type="min"/>
        <cfvo type="percentile" val="50"/>
        <cfvo type="max"/>
        <color rgb="FF63BE7B"/>
        <color rgb="FFFFEB84"/>
        <color rgb="FFF8696B"/>
      </colorScale>
    </cfRule>
    <cfRule type="colorScale" priority="8094">
      <colorScale>
        <cfvo type="min"/>
        <cfvo type="percentile" val="50"/>
        <cfvo type="max"/>
        <color rgb="FF63BE7B"/>
        <color rgb="FFFFEB84"/>
        <color rgb="FFF8696B"/>
      </colorScale>
    </cfRule>
    <cfRule type="colorScale" priority="10442">
      <colorScale>
        <cfvo type="min"/>
        <cfvo type="percentile" val="50"/>
        <cfvo type="max"/>
        <color rgb="FF63BE7B"/>
        <color rgb="FFFFEB84"/>
        <color rgb="FFF8696B"/>
      </colorScale>
    </cfRule>
    <cfRule type="colorScale" priority="10443">
      <colorScale>
        <cfvo type="min"/>
        <cfvo type="percentile" val="50"/>
        <cfvo type="max"/>
        <color rgb="FF63BE7B"/>
        <color rgb="FFFFEB84"/>
        <color rgb="FFF8696B"/>
      </colorScale>
    </cfRule>
    <cfRule type="colorScale" priority="10444">
      <colorScale>
        <cfvo type="min"/>
        <cfvo type="percentile" val="50"/>
        <cfvo type="max"/>
        <color rgb="FF63BE7B"/>
        <color rgb="FFFFEB84"/>
        <color rgb="FFF8696B"/>
      </colorScale>
    </cfRule>
    <cfRule type="colorScale" priority="10445">
      <colorScale>
        <cfvo type="min"/>
        <cfvo type="percentile" val="50"/>
        <cfvo type="max"/>
        <color rgb="FF63BE7B"/>
        <color rgb="FFFFEB84"/>
        <color rgb="FFF8696B"/>
      </colorScale>
    </cfRule>
    <cfRule type="colorScale" priority="10446">
      <colorScale>
        <cfvo type="min"/>
        <cfvo type="percentile" val="50"/>
        <cfvo type="max"/>
        <color rgb="FF63BE7B"/>
        <color rgb="FFFFEB84"/>
        <color rgb="FFF8696B"/>
      </colorScale>
    </cfRule>
    <cfRule type="colorScale" priority="10447">
      <colorScale>
        <cfvo type="min"/>
        <cfvo type="percentile" val="50"/>
        <cfvo type="max"/>
        <color rgb="FF63BE7B"/>
        <color rgb="FFFFEB84"/>
        <color rgb="FFF8696B"/>
      </colorScale>
    </cfRule>
    <cfRule type="colorScale" priority="10448">
      <colorScale>
        <cfvo type="min"/>
        <cfvo type="percentile" val="50"/>
        <cfvo type="max"/>
        <color rgb="FF63BE7B"/>
        <color rgb="FFFFEB84"/>
        <color rgb="FFF8696B"/>
      </colorScale>
    </cfRule>
    <cfRule type="colorScale" priority="10450">
      <colorScale>
        <cfvo type="min"/>
        <cfvo type="percentile" val="50"/>
        <cfvo type="max"/>
        <color rgb="FF63BE7B"/>
        <color rgb="FFFFEB84"/>
        <color rgb="FFF8696B"/>
      </colorScale>
    </cfRule>
    <cfRule type="colorScale" priority="10451">
      <colorScale>
        <cfvo type="min"/>
        <cfvo type="percentile" val="50"/>
        <cfvo type="max"/>
        <color rgb="FF63BE7B"/>
        <color rgb="FFFFEB84"/>
        <color rgb="FFF8696B"/>
      </colorScale>
    </cfRule>
    <cfRule type="colorScale" priority="8096">
      <colorScale>
        <cfvo type="min"/>
        <cfvo type="percentile" val="50"/>
        <cfvo type="max"/>
        <color rgb="FF63BE7B"/>
        <color rgb="FFFFEB84"/>
        <color rgb="FFF8696B"/>
      </colorScale>
    </cfRule>
    <cfRule type="colorScale" priority="8097">
      <colorScale>
        <cfvo type="min"/>
        <cfvo type="percentile" val="50"/>
        <cfvo type="max"/>
        <color rgb="FF63BE7B"/>
        <color rgb="FFFFEB84"/>
        <color rgb="FFF8696B"/>
      </colorScale>
    </cfRule>
    <cfRule type="colorScale" priority="8098">
      <colorScale>
        <cfvo type="min"/>
        <cfvo type="percentile" val="50"/>
        <cfvo type="max"/>
        <color rgb="FF63BE7B"/>
        <color rgb="FFFFEB84"/>
        <color rgb="FFF8696B"/>
      </colorScale>
    </cfRule>
    <cfRule type="colorScale" priority="8099">
      <colorScale>
        <cfvo type="min"/>
        <cfvo type="percentile" val="50"/>
        <cfvo type="max"/>
        <color rgb="FF63BE7B"/>
        <color rgb="FFFFEB84"/>
        <color rgb="FFF8696B"/>
      </colorScale>
    </cfRule>
    <cfRule type="colorScale" priority="8101">
      <colorScale>
        <cfvo type="min"/>
        <cfvo type="percentile" val="50"/>
        <cfvo type="max"/>
        <color rgb="FF63BE7B"/>
        <color rgb="FFFFEB84"/>
        <color rgb="FFF8696B"/>
      </colorScale>
    </cfRule>
    <cfRule type="colorScale" priority="11264">
      <colorScale>
        <cfvo type="min"/>
        <cfvo type="percentile" val="50"/>
        <cfvo type="max"/>
        <color rgb="FF63BE7B"/>
        <color rgb="FFFFEB84"/>
        <color rgb="FFF8696B"/>
      </colorScale>
    </cfRule>
    <cfRule type="colorScale" priority="11265">
      <colorScale>
        <cfvo type="min"/>
        <cfvo type="percentile" val="50"/>
        <cfvo type="max"/>
        <color rgb="FF63BE7B"/>
        <color rgb="FFFFEB84"/>
        <color rgb="FFF8696B"/>
      </colorScale>
    </cfRule>
    <cfRule type="colorScale" priority="8102">
      <colorScale>
        <cfvo type="min"/>
        <cfvo type="percentile" val="50"/>
        <cfvo type="max"/>
        <color rgb="FF63BE7B"/>
        <color rgb="FFFFEB84"/>
        <color rgb="FFF8696B"/>
      </colorScale>
    </cfRule>
    <cfRule type="colorScale" priority="11267">
      <colorScale>
        <cfvo type="min"/>
        <cfvo type="percentile" val="50"/>
        <cfvo type="max"/>
        <color rgb="FF63BE7B"/>
        <color rgb="FFFFEB84"/>
        <color rgb="FFF8696B"/>
      </colorScale>
    </cfRule>
    <cfRule type="colorScale" priority="11268">
      <colorScale>
        <cfvo type="min"/>
        <cfvo type="percentile" val="50"/>
        <cfvo type="max"/>
        <color rgb="FF63BE7B"/>
        <color rgb="FFFFEB84"/>
        <color rgb="FFF8696B"/>
      </colorScale>
    </cfRule>
    <cfRule type="colorScale" priority="11269">
      <colorScale>
        <cfvo type="min"/>
        <cfvo type="percentile" val="50"/>
        <cfvo type="max"/>
        <color rgb="FF63BE7B"/>
        <color rgb="FFFFEB84"/>
        <color rgb="FFF8696B"/>
      </colorScale>
    </cfRule>
    <cfRule type="colorScale" priority="11270">
      <colorScale>
        <cfvo type="min"/>
        <cfvo type="percentile" val="50"/>
        <cfvo type="max"/>
        <color rgb="FF63BE7B"/>
        <color rgb="FFFFEB84"/>
        <color rgb="FFF8696B"/>
      </colorScale>
    </cfRule>
    <cfRule type="colorScale" priority="11271">
      <colorScale>
        <cfvo type="min"/>
        <cfvo type="percentile" val="50"/>
        <cfvo type="max"/>
        <color rgb="FF63BE7B"/>
        <color rgb="FFFFEB84"/>
        <color rgb="FFF8696B"/>
      </colorScale>
    </cfRule>
    <cfRule type="colorScale" priority="11272">
      <colorScale>
        <cfvo type="min"/>
        <cfvo type="percentile" val="50"/>
        <cfvo type="max"/>
        <color rgb="FF63BE7B"/>
        <color rgb="FFFFEB84"/>
        <color rgb="FFF8696B"/>
      </colorScale>
    </cfRule>
    <cfRule type="colorScale" priority="11273">
      <colorScale>
        <cfvo type="min"/>
        <cfvo type="percentile" val="50"/>
        <cfvo type="max"/>
        <color rgb="FF63BE7B"/>
        <color rgb="FFFFEB84"/>
        <color rgb="FFF8696B"/>
      </colorScale>
    </cfRule>
    <cfRule type="colorScale" priority="8103">
      <colorScale>
        <cfvo type="min"/>
        <cfvo type="percentile" val="50"/>
        <cfvo type="max"/>
        <color rgb="FF63BE7B"/>
        <color rgb="FFFFEB84"/>
        <color rgb="FFF8696B"/>
      </colorScale>
    </cfRule>
    <cfRule type="colorScale" priority="8104">
      <colorScale>
        <cfvo type="min"/>
        <cfvo type="percentile" val="50"/>
        <cfvo type="max"/>
        <color rgb="FF63BE7B"/>
        <color rgb="FFFFEB84"/>
        <color rgb="FFF8696B"/>
      </colorScale>
    </cfRule>
    <cfRule type="colorScale" priority="8105">
      <colorScale>
        <cfvo type="min"/>
        <cfvo type="percentile" val="50"/>
        <cfvo type="max"/>
        <color rgb="FF63BE7B"/>
        <color rgb="FFFFEB84"/>
        <color rgb="FFF8696B"/>
      </colorScale>
    </cfRule>
    <cfRule type="colorScale" priority="8107">
      <colorScale>
        <cfvo type="min"/>
        <cfvo type="percentile" val="50"/>
        <cfvo type="max"/>
        <color rgb="FF63BE7B"/>
        <color rgb="FFFFEB84"/>
        <color rgb="FFF8696B"/>
      </colorScale>
    </cfRule>
    <cfRule type="colorScale" priority="8115">
      <colorScale>
        <cfvo type="min"/>
        <cfvo type="percentile" val="50"/>
        <cfvo type="max"/>
        <color rgb="FF63BE7B"/>
        <color rgb="FFFFEB84"/>
        <color rgb="FFF8696B"/>
      </colorScale>
    </cfRule>
    <cfRule type="colorScale" priority="8116">
      <colorScale>
        <cfvo type="min"/>
        <cfvo type="percentile" val="50"/>
        <cfvo type="max"/>
        <color rgb="FF63BE7B"/>
        <color rgb="FFFFEB84"/>
        <color rgb="FFF8696B"/>
      </colorScale>
    </cfRule>
    <cfRule type="colorScale" priority="8117">
      <colorScale>
        <cfvo type="min"/>
        <cfvo type="percentile" val="50"/>
        <cfvo type="max"/>
        <color rgb="FF63BE7B"/>
        <color rgb="FFFFEB84"/>
        <color rgb="FFF8696B"/>
      </colorScale>
    </cfRule>
    <cfRule type="colorScale" priority="8118">
      <colorScale>
        <cfvo type="min"/>
        <cfvo type="percentile" val="50"/>
        <cfvo type="max"/>
        <color rgb="FF63BE7B"/>
        <color rgb="FFFFEB84"/>
        <color rgb="FFF8696B"/>
      </colorScale>
    </cfRule>
    <cfRule type="colorScale" priority="8119">
      <colorScale>
        <cfvo type="min"/>
        <cfvo type="percentile" val="50"/>
        <cfvo type="max"/>
        <color rgb="FF63BE7B"/>
        <color rgb="FFFFEB84"/>
        <color rgb="FFF8696B"/>
      </colorScale>
    </cfRule>
  </conditionalFormatting>
  <conditionalFormatting sqref="H36:H37">
    <cfRule type="colorScale" priority="10223">
      <colorScale>
        <cfvo type="min"/>
        <cfvo type="percentile" val="50"/>
        <cfvo type="max"/>
        <color rgb="FF63BE7B"/>
        <color rgb="FFFFEB84"/>
        <color rgb="FFF8696B"/>
      </colorScale>
    </cfRule>
    <cfRule type="colorScale" priority="10439">
      <colorScale>
        <cfvo type="min"/>
        <cfvo type="percentile" val="50"/>
        <cfvo type="max"/>
        <color rgb="FF63BE7B"/>
        <color rgb="FFFFEB84"/>
        <color rgb="FFF8696B"/>
      </colorScale>
    </cfRule>
    <cfRule type="colorScale" priority="11383">
      <colorScale>
        <cfvo type="min"/>
        <cfvo type="percentile" val="50"/>
        <cfvo type="max"/>
        <color rgb="FF63BE7B"/>
        <color rgb="FFFFEB84"/>
        <color rgb="FFF8696B"/>
      </colorScale>
    </cfRule>
    <cfRule type="colorScale" priority="8112">
      <colorScale>
        <cfvo type="min"/>
        <cfvo type="percentile" val="50"/>
        <cfvo type="max"/>
        <color rgb="FF63BE7B"/>
        <color rgb="FFFFEB84"/>
        <color rgb="FFF8696B"/>
      </colorScale>
    </cfRule>
    <cfRule type="colorScale" priority="8085">
      <colorScale>
        <cfvo type="min"/>
        <cfvo type="percentile" val="50"/>
        <cfvo type="max"/>
        <color rgb="FF63BE7B"/>
        <color rgb="FFFFEB84"/>
        <color rgb="FFF8696B"/>
      </colorScale>
    </cfRule>
  </conditionalFormatting>
  <conditionalFormatting sqref="H36:H41">
    <cfRule type="colorScale" priority="8122">
      <colorScale>
        <cfvo type="min"/>
        <cfvo type="percentile" val="50"/>
        <cfvo type="max"/>
        <color rgb="FF63BE7B"/>
        <color rgb="FFFFEB84"/>
        <color rgb="FFF8696B"/>
      </colorScale>
    </cfRule>
    <cfRule type="colorScale" priority="13190">
      <colorScale>
        <cfvo type="min"/>
        <cfvo type="percentile" val="50"/>
        <cfvo type="max"/>
        <color rgb="FF63BE7B"/>
        <color rgb="FFFFEB84"/>
        <color rgb="FFF8696B"/>
      </colorScale>
    </cfRule>
    <cfRule type="colorScale" priority="8095">
      <colorScale>
        <cfvo type="min"/>
        <cfvo type="percentile" val="50"/>
        <cfvo type="max"/>
        <color rgb="FF63BE7B"/>
        <color rgb="FFFFEB84"/>
        <color rgb="FFF8696B"/>
      </colorScale>
    </cfRule>
    <cfRule type="colorScale" priority="10233">
      <colorScale>
        <cfvo type="min"/>
        <cfvo type="percentile" val="50"/>
        <cfvo type="max"/>
        <color rgb="FF63BE7B"/>
        <color rgb="FFFFEB84"/>
        <color rgb="FFF8696B"/>
      </colorScale>
    </cfRule>
    <cfRule type="colorScale" priority="10449">
      <colorScale>
        <cfvo type="min"/>
        <cfvo type="percentile" val="50"/>
        <cfvo type="max"/>
        <color rgb="FF63BE7B"/>
        <color rgb="FFFFEB84"/>
        <color rgb="FFF8696B"/>
      </colorScale>
    </cfRule>
  </conditionalFormatting>
  <conditionalFormatting sqref="H42:H50">
    <cfRule type="colorScale" priority="7468">
      <colorScale>
        <cfvo type="min"/>
        <cfvo type="percentile" val="50"/>
        <cfvo type="max"/>
        <color rgb="FF63BE7B"/>
        <color rgb="FFFFEB84"/>
        <color rgb="FFF8696B"/>
      </colorScale>
    </cfRule>
  </conditionalFormatting>
  <conditionalFormatting sqref="H51:H53">
    <cfRule type="colorScale" priority="4730">
      <colorScale>
        <cfvo type="min"/>
        <cfvo type="percentile" val="50"/>
        <cfvo type="max"/>
        <color rgb="FF63BE7B"/>
        <color rgb="FFFFEB84"/>
        <color rgb="FFF8696B"/>
      </colorScale>
    </cfRule>
    <cfRule type="colorScale" priority="12933">
      <colorScale>
        <cfvo type="min"/>
        <cfvo type="percentile" val="50"/>
        <cfvo type="max"/>
        <color rgb="FF63BE7B"/>
        <color rgb="FFFFEB84"/>
        <color rgb="FFF8696B"/>
      </colorScale>
    </cfRule>
    <cfRule type="colorScale" priority="4703">
      <colorScale>
        <cfvo type="min"/>
        <cfvo type="percentile" val="50"/>
        <cfvo type="max"/>
        <color rgb="FF63BE7B"/>
        <color rgb="FFFFEB84"/>
        <color rgb="FFF8696B"/>
      </colorScale>
    </cfRule>
    <cfRule type="colorScale" priority="4789">
      <colorScale>
        <cfvo type="min"/>
        <cfvo type="percentile" val="50"/>
        <cfvo type="max"/>
        <color rgb="FF63BE7B"/>
        <color rgb="FFFFEB84"/>
        <color rgb="FFF8696B"/>
      </colorScale>
    </cfRule>
    <cfRule type="colorScale" priority="4788">
      <colorScale>
        <cfvo type="min"/>
        <cfvo type="percentile" val="50"/>
        <cfvo type="max"/>
        <color rgb="FF63BE7B"/>
        <color rgb="FFFFEB84"/>
        <color rgb="FFF8696B"/>
      </colorScale>
    </cfRule>
    <cfRule type="colorScale" priority="12932">
      <colorScale>
        <cfvo type="min"/>
        <cfvo type="percentile" val="50"/>
        <cfvo type="max"/>
        <color rgb="FF63BE7B"/>
        <color rgb="FFFFEB84"/>
        <color rgb="FFF8696B"/>
      </colorScale>
    </cfRule>
    <cfRule type="colorScale" priority="4731">
      <colorScale>
        <cfvo type="min"/>
        <cfvo type="percentile" val="50"/>
        <cfvo type="max"/>
        <color rgb="FF63BE7B"/>
        <color rgb="FFFFEB84"/>
        <color rgb="FFF8696B"/>
      </colorScale>
    </cfRule>
    <cfRule type="colorScale" priority="4761">
      <colorScale>
        <cfvo type="min"/>
        <cfvo type="percentile" val="50"/>
        <cfvo type="max"/>
        <color rgb="FF63BE7B"/>
        <color rgb="FFFFEB84"/>
        <color rgb="FFF8696B"/>
      </colorScale>
    </cfRule>
  </conditionalFormatting>
  <conditionalFormatting sqref="H52:H53">
    <cfRule type="colorScale" priority="4787">
      <colorScale>
        <cfvo type="min"/>
        <cfvo type="percentile" val="50"/>
        <cfvo type="max"/>
        <color rgb="FF63BE7B"/>
        <color rgb="FFFFEB84"/>
        <color rgb="FFF8696B"/>
      </colorScale>
    </cfRule>
    <cfRule type="colorScale" priority="4786">
      <colorScale>
        <cfvo type="min"/>
        <cfvo type="percentile" val="50"/>
        <cfvo type="max"/>
        <color rgb="FF63BE7B"/>
        <color rgb="FFFFEB84"/>
        <color rgb="FFF8696B"/>
      </colorScale>
    </cfRule>
    <cfRule type="colorScale" priority="4785">
      <colorScale>
        <cfvo type="min"/>
        <cfvo type="percentile" val="50"/>
        <cfvo type="max"/>
        <color rgb="FF63BE7B"/>
        <color rgb="FFFFEB84"/>
        <color rgb="FFF8696B"/>
      </colorScale>
    </cfRule>
    <cfRule type="colorScale" priority="4784">
      <colorScale>
        <cfvo type="min"/>
        <cfvo type="percentile" val="50"/>
        <cfvo type="max"/>
        <color rgb="FF63BE7B"/>
        <color rgb="FFFFEB84"/>
        <color rgb="FFF8696B"/>
      </colorScale>
    </cfRule>
    <cfRule type="colorScale" priority="4783">
      <colorScale>
        <cfvo type="min"/>
        <cfvo type="percentile" val="50"/>
        <cfvo type="max"/>
        <color rgb="FF63BE7B"/>
        <color rgb="FFFFEB84"/>
        <color rgb="FFF8696B"/>
      </colorScale>
    </cfRule>
    <cfRule type="colorScale" priority="4782">
      <colorScale>
        <cfvo type="min"/>
        <cfvo type="percentile" val="50"/>
        <cfvo type="max"/>
        <color rgb="FF63BE7B"/>
        <color rgb="FFFFEB84"/>
        <color rgb="FFF8696B"/>
      </colorScale>
    </cfRule>
    <cfRule type="colorScale" priority="4781">
      <colorScale>
        <cfvo type="min"/>
        <cfvo type="percentile" val="50"/>
        <cfvo type="max"/>
        <color rgb="FF63BE7B"/>
        <color rgb="FFFFEB84"/>
        <color rgb="FFF8696B"/>
      </colorScale>
    </cfRule>
    <cfRule type="colorScale" priority="4780">
      <colorScale>
        <cfvo type="min"/>
        <cfvo type="percentile" val="50"/>
        <cfvo type="max"/>
        <color rgb="FF63BE7B"/>
        <color rgb="FFFFEB84"/>
        <color rgb="FFF8696B"/>
      </colorScale>
    </cfRule>
    <cfRule type="colorScale" priority="4779">
      <colorScale>
        <cfvo type="min"/>
        <cfvo type="percentile" val="50"/>
        <cfvo type="max"/>
        <color rgb="FF63BE7B"/>
        <color rgb="FFFFEB84"/>
        <color rgb="FFF8696B"/>
      </colorScale>
    </cfRule>
    <cfRule type="colorScale" priority="4778">
      <colorScale>
        <cfvo type="min"/>
        <cfvo type="percentile" val="50"/>
        <cfvo type="max"/>
        <color rgb="FF63BE7B"/>
        <color rgb="FFFFEB84"/>
        <color rgb="FFF8696B"/>
      </colorScale>
    </cfRule>
    <cfRule type="colorScale" priority="4777">
      <colorScale>
        <cfvo type="min"/>
        <cfvo type="percentile" val="50"/>
        <cfvo type="max"/>
        <color rgb="FF63BE7B"/>
        <color rgb="FFFFEB84"/>
        <color rgb="FFF8696B"/>
      </colorScale>
    </cfRule>
    <cfRule type="colorScale" priority="4776">
      <colorScale>
        <cfvo type="min"/>
        <cfvo type="percentile" val="50"/>
        <cfvo type="max"/>
        <color rgb="FF63BE7B"/>
        <color rgb="FFFFEB84"/>
        <color rgb="FFF8696B"/>
      </colorScale>
    </cfRule>
    <cfRule type="colorScale" priority="4775">
      <colorScale>
        <cfvo type="min"/>
        <cfvo type="percentile" val="50"/>
        <cfvo type="max"/>
        <color rgb="FF63BE7B"/>
        <color rgb="FFFFEB84"/>
        <color rgb="FFF8696B"/>
      </colorScale>
    </cfRule>
    <cfRule type="colorScale" priority="4774">
      <colorScale>
        <cfvo type="min"/>
        <cfvo type="percentile" val="50"/>
        <cfvo type="max"/>
        <color rgb="FF63BE7B"/>
        <color rgb="FFFFEB84"/>
        <color rgb="FFF8696B"/>
      </colorScale>
    </cfRule>
    <cfRule type="colorScale" priority="4773">
      <colorScale>
        <cfvo type="min"/>
        <cfvo type="percentile" val="50"/>
        <cfvo type="max"/>
        <color rgb="FF63BE7B"/>
        <color rgb="FFFFEB84"/>
        <color rgb="FFF8696B"/>
      </colorScale>
    </cfRule>
    <cfRule type="colorScale" priority="4772">
      <colorScale>
        <cfvo type="min"/>
        <cfvo type="percentile" val="50"/>
        <cfvo type="max"/>
        <color rgb="FF63BE7B"/>
        <color rgb="FFFFEB84"/>
        <color rgb="FFF8696B"/>
      </colorScale>
    </cfRule>
    <cfRule type="colorScale" priority="5108">
      <colorScale>
        <cfvo type="min"/>
        <cfvo type="percentile" val="50"/>
        <cfvo type="max"/>
        <color rgb="FF63BE7B"/>
        <color rgb="FFFFEB84"/>
        <color rgb="FFF8696B"/>
      </colorScale>
    </cfRule>
    <cfRule type="colorScale" priority="4771">
      <colorScale>
        <cfvo type="min"/>
        <cfvo type="percentile" val="50"/>
        <cfvo type="max"/>
        <color rgb="FF63BE7B"/>
        <color rgb="FFFFEB84"/>
        <color rgb="FFF8696B"/>
      </colorScale>
    </cfRule>
    <cfRule type="colorScale" priority="4769">
      <colorScale>
        <cfvo type="min"/>
        <cfvo type="percentile" val="50"/>
        <cfvo type="max"/>
        <color rgb="FF63BE7B"/>
        <color rgb="FFFFEB84"/>
        <color rgb="FFF8696B"/>
      </colorScale>
    </cfRule>
    <cfRule type="colorScale" priority="4768">
      <colorScale>
        <cfvo type="min"/>
        <cfvo type="percentile" val="50"/>
        <cfvo type="max"/>
        <color rgb="FF63BE7B"/>
        <color rgb="FFFFEB84"/>
        <color rgb="FFF8696B"/>
      </colorScale>
    </cfRule>
    <cfRule type="colorScale" priority="4767">
      <colorScale>
        <cfvo type="min"/>
        <cfvo type="percentile" val="50"/>
        <cfvo type="max"/>
        <color rgb="FF63BE7B"/>
        <color rgb="FFFFEB84"/>
        <color rgb="FFF8696B"/>
      </colorScale>
    </cfRule>
    <cfRule type="colorScale" priority="4766">
      <colorScale>
        <cfvo type="min"/>
        <cfvo type="percentile" val="50"/>
        <cfvo type="max"/>
        <color rgb="FF63BE7B"/>
        <color rgb="FFFFEB84"/>
        <color rgb="FFF8696B"/>
      </colorScale>
    </cfRule>
    <cfRule type="colorScale" priority="4765">
      <colorScale>
        <cfvo type="min"/>
        <cfvo type="percentile" val="50"/>
        <cfvo type="max"/>
        <color rgb="FF63BE7B"/>
        <color rgb="FFFFEB84"/>
        <color rgb="FFF8696B"/>
      </colorScale>
    </cfRule>
    <cfRule type="colorScale" priority="4764">
      <colorScale>
        <cfvo type="min"/>
        <cfvo type="percentile" val="50"/>
        <cfvo type="max"/>
        <color rgb="FF63BE7B"/>
        <color rgb="FFFFEB84"/>
        <color rgb="FFF8696B"/>
      </colorScale>
    </cfRule>
    <cfRule type="colorScale" priority="4763">
      <colorScale>
        <cfvo type="min"/>
        <cfvo type="percentile" val="50"/>
        <cfvo type="max"/>
        <color rgb="FF63BE7B"/>
        <color rgb="FFFFEB84"/>
        <color rgb="FFF8696B"/>
      </colorScale>
    </cfRule>
    <cfRule type="colorScale" priority="4762">
      <colorScale>
        <cfvo type="min"/>
        <cfvo type="percentile" val="50"/>
        <cfvo type="max"/>
        <color rgb="FF63BE7B"/>
        <color rgb="FFFFEB84"/>
        <color rgb="FFF8696B"/>
      </colorScale>
    </cfRule>
    <cfRule type="colorScale" priority="6296">
      <colorScale>
        <cfvo type="min"/>
        <cfvo type="percentile" val="50"/>
        <cfvo type="max"/>
        <color rgb="FF63BE7B"/>
        <color rgb="FFFFEB84"/>
        <color rgb="FFF8696B"/>
      </colorScale>
    </cfRule>
    <cfRule type="colorScale" priority="4770">
      <colorScale>
        <cfvo type="min"/>
        <cfvo type="percentile" val="50"/>
        <cfvo type="max"/>
        <color rgb="FF63BE7B"/>
        <color rgb="FFFFEB84"/>
        <color rgb="FFF8696B"/>
      </colorScale>
    </cfRule>
    <cfRule type="colorScale" priority="6295">
      <colorScale>
        <cfvo type="min"/>
        <cfvo type="percentile" val="50"/>
        <cfvo type="max"/>
        <color rgb="FF63BE7B"/>
        <color rgb="FFFFEB84"/>
        <color rgb="FFF8696B"/>
      </colorScale>
    </cfRule>
    <cfRule type="colorScale" priority="6294">
      <colorScale>
        <cfvo type="min"/>
        <cfvo type="percentile" val="50"/>
        <cfvo type="max"/>
        <color rgb="FF63BE7B"/>
        <color rgb="FFFFEB84"/>
        <color rgb="FFF8696B"/>
      </colorScale>
    </cfRule>
    <cfRule type="colorScale" priority="6293">
      <colorScale>
        <cfvo type="min"/>
        <cfvo type="percentile" val="50"/>
        <cfvo type="max"/>
        <color rgb="FF63BE7B"/>
        <color rgb="FFFFEB84"/>
        <color rgb="FFF8696B"/>
      </colorScale>
    </cfRule>
    <cfRule type="colorScale" priority="7247">
      <colorScale>
        <cfvo type="min"/>
        <cfvo type="percentile" val="50"/>
        <cfvo type="max"/>
        <color rgb="FF63BE7B"/>
        <color rgb="FFFFEB84"/>
        <color rgb="FFF8696B"/>
      </colorScale>
    </cfRule>
    <cfRule type="colorScale" priority="7246">
      <colorScale>
        <cfvo type="min"/>
        <cfvo type="percentile" val="50"/>
        <cfvo type="max"/>
        <color rgb="FF63BE7B"/>
        <color rgb="FFFFEB84"/>
        <color rgb="FFF8696B"/>
      </colorScale>
    </cfRule>
    <cfRule type="colorScale" priority="7245">
      <colorScale>
        <cfvo type="min"/>
        <cfvo type="percentile" val="50"/>
        <cfvo type="max"/>
        <color rgb="FF63BE7B"/>
        <color rgb="FFFFEB84"/>
        <color rgb="FFF8696B"/>
      </colorScale>
    </cfRule>
    <cfRule type="colorScale" priority="7244">
      <colorScale>
        <cfvo type="min"/>
        <cfvo type="percentile" val="50"/>
        <cfvo type="max"/>
        <color rgb="FF63BE7B"/>
        <color rgb="FFFFEB84"/>
        <color rgb="FFF8696B"/>
      </colorScale>
    </cfRule>
    <cfRule type="colorScale" priority="6292">
      <colorScale>
        <cfvo type="min"/>
        <cfvo type="percentile" val="50"/>
        <cfvo type="max"/>
        <color rgb="FF63BE7B"/>
        <color rgb="FFFFEB84"/>
        <color rgb="FFF8696B"/>
      </colorScale>
    </cfRule>
    <cfRule type="colorScale" priority="6297">
      <colorScale>
        <cfvo type="min"/>
        <cfvo type="percentile" val="50"/>
        <cfvo type="max"/>
        <color rgb="FF63BE7B"/>
        <color rgb="FFFFEB84"/>
        <color rgb="FFF8696B"/>
      </colorScale>
    </cfRule>
    <cfRule type="colorScale" priority="6298">
      <colorScale>
        <cfvo type="min"/>
        <cfvo type="percentile" val="50"/>
        <cfvo type="max"/>
        <color rgb="FF63BE7B"/>
        <color rgb="FFFFEB84"/>
        <color rgb="FFF8696B"/>
      </colorScale>
    </cfRule>
    <cfRule type="colorScale" priority="6299">
      <colorScale>
        <cfvo type="min"/>
        <cfvo type="percentile" val="50"/>
        <cfvo type="max"/>
        <color rgb="FF63BE7B"/>
        <color rgb="FFFFEB84"/>
        <color rgb="FFF8696B"/>
      </colorScale>
    </cfRule>
    <cfRule type="colorScale" priority="4706">
      <colorScale>
        <cfvo type="min"/>
        <cfvo type="percentile" val="50"/>
        <cfvo type="max"/>
        <color rgb="FF63BE7B"/>
        <color rgb="FFFFEB84"/>
        <color rgb="FFF8696B"/>
      </colorScale>
    </cfRule>
    <cfRule type="colorScale" priority="4707">
      <colorScale>
        <cfvo type="min"/>
        <cfvo type="percentile" val="50"/>
        <cfvo type="max"/>
        <color rgb="FF63BE7B"/>
        <color rgb="FFFFEB84"/>
        <color rgb="FFF8696B"/>
      </colorScale>
    </cfRule>
    <cfRule type="colorScale" priority="4708">
      <colorScale>
        <cfvo type="min"/>
        <cfvo type="percentile" val="50"/>
        <cfvo type="max"/>
        <color rgb="FF63BE7B"/>
        <color rgb="FFFFEB84"/>
        <color rgb="FFF8696B"/>
      </colorScale>
    </cfRule>
    <cfRule type="colorScale" priority="4709">
      <colorScale>
        <cfvo type="min"/>
        <cfvo type="percentile" val="50"/>
        <cfvo type="max"/>
        <color rgb="FF63BE7B"/>
        <color rgb="FFFFEB84"/>
        <color rgb="FFF8696B"/>
      </colorScale>
    </cfRule>
    <cfRule type="colorScale" priority="6300">
      <colorScale>
        <cfvo type="min"/>
        <cfvo type="percentile" val="50"/>
        <cfvo type="max"/>
        <color rgb="FF63BE7B"/>
        <color rgb="FFFFEB84"/>
        <color rgb="FFF8696B"/>
      </colorScale>
    </cfRule>
    <cfRule type="colorScale" priority="6301">
      <colorScale>
        <cfvo type="min"/>
        <cfvo type="percentile" val="50"/>
        <cfvo type="max"/>
        <color rgb="FF63BE7B"/>
        <color rgb="FFFFEB84"/>
        <color rgb="FFF8696B"/>
      </colorScale>
    </cfRule>
    <cfRule type="colorScale" priority="6302">
      <colorScale>
        <cfvo type="min"/>
        <cfvo type="percentile" val="50"/>
        <cfvo type="max"/>
        <color rgb="FF63BE7B"/>
        <color rgb="FFFFEB84"/>
        <color rgb="FFF8696B"/>
      </colorScale>
    </cfRule>
    <cfRule type="colorScale" priority="6303">
      <colorScale>
        <cfvo type="min"/>
        <cfvo type="percentile" val="50"/>
        <cfvo type="max"/>
        <color rgb="FF63BE7B"/>
        <color rgb="FFFFEB84"/>
        <color rgb="FFF8696B"/>
      </colorScale>
    </cfRule>
    <cfRule type="colorScale" priority="6304">
      <colorScale>
        <cfvo type="min"/>
        <cfvo type="percentile" val="50"/>
        <cfvo type="max"/>
        <color rgb="FF63BE7B"/>
        <color rgb="FFFFEB84"/>
        <color rgb="FFF8696B"/>
      </colorScale>
    </cfRule>
    <cfRule type="colorScale" priority="6305">
      <colorScale>
        <cfvo type="min"/>
        <cfvo type="percentile" val="50"/>
        <cfvo type="max"/>
        <color rgb="FF63BE7B"/>
        <color rgb="FFFFEB84"/>
        <color rgb="FFF8696B"/>
      </colorScale>
    </cfRule>
    <cfRule type="colorScale" priority="6306">
      <colorScale>
        <cfvo type="min"/>
        <cfvo type="percentile" val="50"/>
        <cfvo type="max"/>
        <color rgb="FF63BE7B"/>
        <color rgb="FFFFEB84"/>
        <color rgb="FFF8696B"/>
      </colorScale>
    </cfRule>
    <cfRule type="colorScale" priority="6307">
      <colorScale>
        <cfvo type="min"/>
        <cfvo type="percentile" val="50"/>
        <cfvo type="max"/>
        <color rgb="FF63BE7B"/>
        <color rgb="FFFFEB84"/>
        <color rgb="FFF8696B"/>
      </colorScale>
    </cfRule>
    <cfRule type="colorScale" priority="5076">
      <colorScale>
        <cfvo type="min"/>
        <cfvo type="percentile" val="50"/>
        <cfvo type="max"/>
        <color rgb="FF63BE7B"/>
        <color rgb="FFFFEB84"/>
        <color rgb="FFF8696B"/>
      </colorScale>
    </cfRule>
    <cfRule type="colorScale" priority="5077">
      <colorScale>
        <cfvo type="min"/>
        <cfvo type="percentile" val="50"/>
        <cfvo type="max"/>
        <color rgb="FF63BE7B"/>
        <color rgb="FFFFEB84"/>
        <color rgb="FFF8696B"/>
      </colorScale>
    </cfRule>
    <cfRule type="colorScale" priority="5078">
      <colorScale>
        <cfvo type="min"/>
        <cfvo type="percentile" val="50"/>
        <cfvo type="max"/>
        <color rgb="FF63BE7B"/>
        <color rgb="FFFFEB84"/>
        <color rgb="FFF8696B"/>
      </colorScale>
    </cfRule>
    <cfRule type="colorScale" priority="6308">
      <colorScale>
        <cfvo type="min"/>
        <cfvo type="percentile" val="50"/>
        <cfvo type="max"/>
        <color rgb="FF63BE7B"/>
        <color rgb="FFFFEB84"/>
        <color rgb="FFF8696B"/>
      </colorScale>
    </cfRule>
    <cfRule type="colorScale" priority="5080">
      <colorScale>
        <cfvo type="min"/>
        <cfvo type="percentile" val="50"/>
        <cfvo type="max"/>
        <color rgb="FF63BE7B"/>
        <color rgb="FFFFEB84"/>
        <color rgb="FFF8696B"/>
      </colorScale>
    </cfRule>
    <cfRule type="colorScale" priority="5081">
      <colorScale>
        <cfvo type="min"/>
        <cfvo type="percentile" val="50"/>
        <cfvo type="max"/>
        <color rgb="FF63BE7B"/>
        <color rgb="FFFFEB84"/>
        <color rgb="FFF8696B"/>
      </colorScale>
    </cfRule>
    <cfRule type="colorScale" priority="5082">
      <colorScale>
        <cfvo type="min"/>
        <cfvo type="percentile" val="50"/>
        <cfvo type="max"/>
        <color rgb="FF63BE7B"/>
        <color rgb="FFFFEB84"/>
        <color rgb="FFF8696B"/>
      </colorScale>
    </cfRule>
    <cfRule type="colorScale" priority="5083">
      <colorScale>
        <cfvo type="min"/>
        <cfvo type="percentile" val="50"/>
        <cfvo type="max"/>
        <color rgb="FF63BE7B"/>
        <color rgb="FFFFEB84"/>
        <color rgb="FFF8696B"/>
      </colorScale>
    </cfRule>
    <cfRule type="colorScale" priority="5084">
      <colorScale>
        <cfvo type="min"/>
        <cfvo type="percentile" val="50"/>
        <cfvo type="max"/>
        <color rgb="FF63BE7B"/>
        <color rgb="FFFFEB84"/>
        <color rgb="FFF8696B"/>
      </colorScale>
    </cfRule>
    <cfRule type="colorScale" priority="5085">
      <colorScale>
        <cfvo type="min"/>
        <cfvo type="percentile" val="50"/>
        <cfvo type="max"/>
        <color rgb="FF63BE7B"/>
        <color rgb="FFFFEB84"/>
        <color rgb="FFF8696B"/>
      </colorScale>
    </cfRule>
    <cfRule type="colorScale" priority="5086">
      <colorScale>
        <cfvo type="min"/>
        <cfvo type="percentile" val="50"/>
        <cfvo type="max"/>
        <color rgb="FF63BE7B"/>
        <color rgb="FFFFEB84"/>
        <color rgb="FFF8696B"/>
      </colorScale>
    </cfRule>
    <cfRule type="colorScale" priority="5087">
      <colorScale>
        <cfvo type="min"/>
        <cfvo type="percentile" val="50"/>
        <cfvo type="max"/>
        <color rgb="FF63BE7B"/>
        <color rgb="FFFFEB84"/>
        <color rgb="FFF8696B"/>
      </colorScale>
    </cfRule>
    <cfRule type="colorScale" priority="5088">
      <colorScale>
        <cfvo type="min"/>
        <cfvo type="percentile" val="50"/>
        <cfvo type="max"/>
        <color rgb="FF63BE7B"/>
        <color rgb="FFFFEB84"/>
        <color rgb="FFF8696B"/>
      </colorScale>
    </cfRule>
    <cfRule type="colorScale" priority="5089">
      <colorScale>
        <cfvo type="min"/>
        <cfvo type="percentile" val="50"/>
        <cfvo type="max"/>
        <color rgb="FF63BE7B"/>
        <color rgb="FFFFEB84"/>
        <color rgb="FFF8696B"/>
      </colorScale>
    </cfRule>
    <cfRule type="colorScale" priority="5090">
      <colorScale>
        <cfvo type="min"/>
        <cfvo type="percentile" val="50"/>
        <cfvo type="max"/>
        <color rgb="FF63BE7B"/>
        <color rgb="FFFFEB84"/>
        <color rgb="FFF8696B"/>
      </colorScale>
    </cfRule>
    <cfRule type="colorScale" priority="5091">
      <colorScale>
        <cfvo type="min"/>
        <cfvo type="percentile" val="50"/>
        <cfvo type="max"/>
        <color rgb="FF63BE7B"/>
        <color rgb="FFFFEB84"/>
        <color rgb="FFF8696B"/>
      </colorScale>
    </cfRule>
    <cfRule type="colorScale" priority="7050">
      <colorScale>
        <cfvo type="min"/>
        <cfvo type="percentile" val="50"/>
        <cfvo type="max"/>
        <color rgb="FF63BE7B"/>
        <color rgb="FFFFEB84"/>
        <color rgb="FFF8696B"/>
      </colorScale>
    </cfRule>
    <cfRule type="colorScale" priority="7051">
      <colorScale>
        <cfvo type="min"/>
        <cfvo type="percentile" val="50"/>
        <cfvo type="max"/>
        <color rgb="FF63BE7B"/>
        <color rgb="FFFFEB84"/>
        <color rgb="FFF8696B"/>
      </colorScale>
    </cfRule>
    <cfRule type="colorScale" priority="7052">
      <colorScale>
        <cfvo type="min"/>
        <cfvo type="percentile" val="50"/>
        <cfvo type="max"/>
        <color rgb="FF63BE7B"/>
        <color rgb="FFFFEB84"/>
        <color rgb="FFF8696B"/>
      </colorScale>
    </cfRule>
    <cfRule type="colorScale" priority="7053">
      <colorScale>
        <cfvo type="min"/>
        <cfvo type="percentile" val="50"/>
        <cfvo type="max"/>
        <color rgb="FF63BE7B"/>
        <color rgb="FFFFEB84"/>
        <color rgb="FFF8696B"/>
      </colorScale>
    </cfRule>
    <cfRule type="colorScale" priority="7054">
      <colorScale>
        <cfvo type="min"/>
        <cfvo type="percentile" val="50"/>
        <cfvo type="max"/>
        <color rgb="FF63BE7B"/>
        <color rgb="FFFFEB84"/>
        <color rgb="FFF8696B"/>
      </colorScale>
    </cfRule>
    <cfRule type="colorScale" priority="7055">
      <colorScale>
        <cfvo type="min"/>
        <cfvo type="percentile" val="50"/>
        <cfvo type="max"/>
        <color rgb="FF63BE7B"/>
        <color rgb="FFFFEB84"/>
        <color rgb="FFF8696B"/>
      </colorScale>
    </cfRule>
    <cfRule type="colorScale" priority="7056">
      <colorScale>
        <cfvo type="min"/>
        <cfvo type="percentile" val="50"/>
        <cfvo type="max"/>
        <color rgb="FF63BE7B"/>
        <color rgb="FFFFEB84"/>
        <color rgb="FFF8696B"/>
      </colorScale>
    </cfRule>
    <cfRule type="colorScale" priority="7057">
      <colorScale>
        <cfvo type="min"/>
        <cfvo type="percentile" val="50"/>
        <cfvo type="max"/>
        <color rgb="FF63BE7B"/>
        <color rgb="FFFFEB84"/>
        <color rgb="FFF8696B"/>
      </colorScale>
    </cfRule>
    <cfRule type="colorScale" priority="7058">
      <colorScale>
        <cfvo type="min"/>
        <cfvo type="percentile" val="50"/>
        <cfvo type="max"/>
        <color rgb="FF63BE7B"/>
        <color rgb="FFFFEB84"/>
        <color rgb="FFF8696B"/>
      </colorScale>
    </cfRule>
    <cfRule type="colorScale" priority="5092">
      <colorScale>
        <cfvo type="min"/>
        <cfvo type="percentile" val="50"/>
        <cfvo type="max"/>
        <color rgb="FF63BE7B"/>
        <color rgb="FFFFEB84"/>
        <color rgb="FFF8696B"/>
      </colorScale>
    </cfRule>
    <cfRule type="colorScale" priority="5093">
      <colorScale>
        <cfvo type="min"/>
        <cfvo type="percentile" val="50"/>
        <cfvo type="max"/>
        <color rgb="FF63BE7B"/>
        <color rgb="FFFFEB84"/>
        <color rgb="FFF8696B"/>
      </colorScale>
    </cfRule>
    <cfRule type="colorScale" priority="5094">
      <colorScale>
        <cfvo type="min"/>
        <cfvo type="percentile" val="50"/>
        <cfvo type="max"/>
        <color rgb="FF63BE7B"/>
        <color rgb="FFFFEB84"/>
        <color rgb="FFF8696B"/>
      </colorScale>
    </cfRule>
    <cfRule type="colorScale" priority="5095">
      <colorScale>
        <cfvo type="min"/>
        <cfvo type="percentile" val="50"/>
        <cfvo type="max"/>
        <color rgb="FF63BE7B"/>
        <color rgb="FFFFEB84"/>
        <color rgb="FFF8696B"/>
      </colorScale>
    </cfRule>
    <cfRule type="colorScale" priority="5096">
      <colorScale>
        <cfvo type="min"/>
        <cfvo type="percentile" val="50"/>
        <cfvo type="max"/>
        <color rgb="FF63BE7B"/>
        <color rgb="FFFFEB84"/>
        <color rgb="FFF8696B"/>
      </colorScale>
    </cfRule>
    <cfRule type="colorScale" priority="5097">
      <colorScale>
        <cfvo type="min"/>
        <cfvo type="percentile" val="50"/>
        <cfvo type="max"/>
        <color rgb="FF63BE7B"/>
        <color rgb="FFFFEB84"/>
        <color rgb="FFF8696B"/>
      </colorScale>
    </cfRule>
    <cfRule type="colorScale" priority="5098">
      <colorScale>
        <cfvo type="min"/>
        <cfvo type="percentile" val="50"/>
        <cfvo type="max"/>
        <color rgb="FF63BE7B"/>
        <color rgb="FFFFEB84"/>
        <color rgb="FFF8696B"/>
      </colorScale>
    </cfRule>
    <cfRule type="colorScale" priority="5099">
      <colorScale>
        <cfvo type="min"/>
        <cfvo type="percentile" val="50"/>
        <cfvo type="max"/>
        <color rgb="FF63BE7B"/>
        <color rgb="FFFFEB84"/>
        <color rgb="FFF8696B"/>
      </colorScale>
    </cfRule>
    <cfRule type="colorScale" priority="5100">
      <colorScale>
        <cfvo type="min"/>
        <cfvo type="percentile" val="50"/>
        <cfvo type="max"/>
        <color rgb="FF63BE7B"/>
        <color rgb="FFFFEB84"/>
        <color rgb="FFF8696B"/>
      </colorScale>
    </cfRule>
    <cfRule type="colorScale" priority="5101">
      <colorScale>
        <cfvo type="min"/>
        <cfvo type="percentile" val="50"/>
        <cfvo type="max"/>
        <color rgb="FF63BE7B"/>
        <color rgb="FFFFEB84"/>
        <color rgb="FFF8696B"/>
      </colorScale>
    </cfRule>
    <cfRule type="colorScale" priority="5102">
      <colorScale>
        <cfvo type="min"/>
        <cfvo type="percentile" val="50"/>
        <cfvo type="max"/>
        <color rgb="FF63BE7B"/>
        <color rgb="FFFFEB84"/>
        <color rgb="FFF8696B"/>
      </colorScale>
    </cfRule>
    <cfRule type="colorScale" priority="5103">
      <colorScale>
        <cfvo type="min"/>
        <cfvo type="percentile" val="50"/>
        <cfvo type="max"/>
        <color rgb="FF63BE7B"/>
        <color rgb="FFFFEB84"/>
        <color rgb="FFF8696B"/>
      </colorScale>
    </cfRule>
    <cfRule type="colorScale" priority="5104">
      <colorScale>
        <cfvo type="min"/>
        <cfvo type="percentile" val="50"/>
        <cfvo type="max"/>
        <color rgb="FF63BE7B"/>
        <color rgb="FFFFEB84"/>
        <color rgb="FFF8696B"/>
      </colorScale>
    </cfRule>
    <cfRule type="colorScale" priority="5105">
      <colorScale>
        <cfvo type="min"/>
        <cfvo type="percentile" val="50"/>
        <cfvo type="max"/>
        <color rgb="FF63BE7B"/>
        <color rgb="FFFFEB84"/>
        <color rgb="FFF8696B"/>
      </colorScale>
    </cfRule>
    <cfRule type="colorScale" priority="5106">
      <colorScale>
        <cfvo type="min"/>
        <cfvo type="percentile" val="50"/>
        <cfvo type="max"/>
        <color rgb="FF63BE7B"/>
        <color rgb="FFFFEB84"/>
        <color rgb="FFF8696B"/>
      </colorScale>
    </cfRule>
    <cfRule type="colorScale" priority="4710">
      <colorScale>
        <cfvo type="min"/>
        <cfvo type="percentile" val="50"/>
        <cfvo type="max"/>
        <color rgb="FF63BE7B"/>
        <color rgb="FFFFEB84"/>
        <color rgb="FFF8696B"/>
      </colorScale>
    </cfRule>
    <cfRule type="colorScale" priority="4711">
      <colorScale>
        <cfvo type="min"/>
        <cfvo type="percentile" val="50"/>
        <cfvo type="max"/>
        <color rgb="FF63BE7B"/>
        <color rgb="FFFFEB84"/>
        <color rgb="FFF8696B"/>
      </colorScale>
    </cfRule>
    <cfRule type="colorScale" priority="4712">
      <colorScale>
        <cfvo type="min"/>
        <cfvo type="percentile" val="50"/>
        <cfvo type="max"/>
        <color rgb="FF63BE7B"/>
        <color rgb="FFFFEB84"/>
        <color rgb="FFF8696B"/>
      </colorScale>
    </cfRule>
    <cfRule type="colorScale" priority="4713">
      <colorScale>
        <cfvo type="min"/>
        <cfvo type="percentile" val="50"/>
        <cfvo type="max"/>
        <color rgb="FF63BE7B"/>
        <color rgb="FFFFEB84"/>
        <color rgb="FFF8696B"/>
      </colorScale>
    </cfRule>
    <cfRule type="colorScale" priority="4714">
      <colorScale>
        <cfvo type="min"/>
        <cfvo type="percentile" val="50"/>
        <cfvo type="max"/>
        <color rgb="FF63BE7B"/>
        <color rgb="FFFFEB84"/>
        <color rgb="FFF8696B"/>
      </colorScale>
    </cfRule>
    <cfRule type="colorScale" priority="4715">
      <colorScale>
        <cfvo type="min"/>
        <cfvo type="percentile" val="50"/>
        <cfvo type="max"/>
        <color rgb="FF63BE7B"/>
        <color rgb="FFFFEB84"/>
        <color rgb="FFF8696B"/>
      </colorScale>
    </cfRule>
    <cfRule type="colorScale" priority="4716">
      <colorScale>
        <cfvo type="min"/>
        <cfvo type="percentile" val="50"/>
        <cfvo type="max"/>
        <color rgb="FF63BE7B"/>
        <color rgb="FFFFEB84"/>
        <color rgb="FFF8696B"/>
      </colorScale>
    </cfRule>
    <cfRule type="colorScale" priority="4717">
      <colorScale>
        <cfvo type="min"/>
        <cfvo type="percentile" val="50"/>
        <cfvo type="max"/>
        <color rgb="FF63BE7B"/>
        <color rgb="FFFFEB84"/>
        <color rgb="FFF8696B"/>
      </colorScale>
    </cfRule>
    <cfRule type="colorScale" priority="4718">
      <colorScale>
        <cfvo type="min"/>
        <cfvo type="percentile" val="50"/>
        <cfvo type="max"/>
        <color rgb="FF63BE7B"/>
        <color rgb="FFFFEB84"/>
        <color rgb="FFF8696B"/>
      </colorScale>
    </cfRule>
    <cfRule type="colorScale" priority="4719">
      <colorScale>
        <cfvo type="min"/>
        <cfvo type="percentile" val="50"/>
        <cfvo type="max"/>
        <color rgb="FF63BE7B"/>
        <color rgb="FFFFEB84"/>
        <color rgb="FFF8696B"/>
      </colorScale>
    </cfRule>
    <cfRule type="colorScale" priority="4720">
      <colorScale>
        <cfvo type="min"/>
        <cfvo type="percentile" val="50"/>
        <cfvo type="max"/>
        <color rgb="FF63BE7B"/>
        <color rgb="FFFFEB84"/>
        <color rgb="FFF8696B"/>
      </colorScale>
    </cfRule>
    <cfRule type="colorScale" priority="4721">
      <colorScale>
        <cfvo type="min"/>
        <cfvo type="percentile" val="50"/>
        <cfvo type="max"/>
        <color rgb="FF63BE7B"/>
        <color rgb="FFFFEB84"/>
        <color rgb="FFF8696B"/>
      </colorScale>
    </cfRule>
    <cfRule type="colorScale" priority="4722">
      <colorScale>
        <cfvo type="min"/>
        <cfvo type="percentile" val="50"/>
        <cfvo type="max"/>
        <color rgb="FF63BE7B"/>
        <color rgb="FFFFEB84"/>
        <color rgb="FFF8696B"/>
      </colorScale>
    </cfRule>
    <cfRule type="colorScale" priority="4723">
      <colorScale>
        <cfvo type="min"/>
        <cfvo type="percentile" val="50"/>
        <cfvo type="max"/>
        <color rgb="FF63BE7B"/>
        <color rgb="FFFFEB84"/>
        <color rgb="FFF8696B"/>
      </colorScale>
    </cfRule>
    <cfRule type="colorScale" priority="6309">
      <colorScale>
        <cfvo type="min"/>
        <cfvo type="percentile" val="50"/>
        <cfvo type="max"/>
        <color rgb="FF63BE7B"/>
        <color rgb="FFFFEB84"/>
        <color rgb="FFF8696B"/>
      </colorScale>
    </cfRule>
    <cfRule type="colorScale" priority="4724">
      <colorScale>
        <cfvo type="min"/>
        <cfvo type="percentile" val="50"/>
        <cfvo type="max"/>
        <color rgb="FF63BE7B"/>
        <color rgb="FFFFEB84"/>
        <color rgb="FFF8696B"/>
      </colorScale>
    </cfRule>
    <cfRule type="colorScale" priority="4725">
      <colorScale>
        <cfvo type="min"/>
        <cfvo type="percentile" val="50"/>
        <cfvo type="max"/>
        <color rgb="FF63BE7B"/>
        <color rgb="FFFFEB84"/>
        <color rgb="FFF8696B"/>
      </colorScale>
    </cfRule>
    <cfRule type="colorScale" priority="4726">
      <colorScale>
        <cfvo type="min"/>
        <cfvo type="percentile" val="50"/>
        <cfvo type="max"/>
        <color rgb="FF63BE7B"/>
        <color rgb="FFFFEB84"/>
        <color rgb="FFF8696B"/>
      </colorScale>
    </cfRule>
    <cfRule type="colorScale" priority="4727">
      <colorScale>
        <cfvo type="min"/>
        <cfvo type="percentile" val="50"/>
        <cfvo type="max"/>
        <color rgb="FF63BE7B"/>
        <color rgb="FFFFEB84"/>
        <color rgb="FFF8696B"/>
      </colorScale>
    </cfRule>
    <cfRule type="colorScale" priority="4728">
      <colorScale>
        <cfvo type="min"/>
        <cfvo type="percentile" val="50"/>
        <cfvo type="max"/>
        <color rgb="FF63BE7B"/>
        <color rgb="FFFFEB84"/>
        <color rgb="FFF8696B"/>
      </colorScale>
    </cfRule>
    <cfRule type="colorScale" priority="4729">
      <colorScale>
        <cfvo type="min"/>
        <cfvo type="percentile" val="50"/>
        <cfvo type="max"/>
        <color rgb="FF63BE7B"/>
        <color rgb="FFFFEB84"/>
        <color rgb="FFF8696B"/>
      </colorScale>
    </cfRule>
    <cfRule type="colorScale" priority="4704">
      <colorScale>
        <cfvo type="min"/>
        <cfvo type="percentile" val="50"/>
        <cfvo type="max"/>
        <color rgb="FF63BE7B"/>
        <color rgb="FFFFEB84"/>
        <color rgb="FFF8696B"/>
      </colorScale>
    </cfRule>
    <cfRule type="colorScale" priority="6310">
      <colorScale>
        <cfvo type="min"/>
        <cfvo type="percentile" val="50"/>
        <cfvo type="max"/>
        <color rgb="FF63BE7B"/>
        <color rgb="FFFFEB84"/>
        <color rgb="FFF8696B"/>
      </colorScale>
    </cfRule>
    <cfRule type="colorScale" priority="6447">
      <colorScale>
        <cfvo type="min"/>
        <cfvo type="percentile" val="50"/>
        <cfvo type="max"/>
        <color rgb="FF63BE7B"/>
        <color rgb="FFFFEB84"/>
        <color rgb="FFF8696B"/>
      </colorScale>
    </cfRule>
    <cfRule type="colorScale" priority="6448">
      <colorScale>
        <cfvo type="min"/>
        <cfvo type="percentile" val="50"/>
        <cfvo type="max"/>
        <color rgb="FF63BE7B"/>
        <color rgb="FFFFEB84"/>
        <color rgb="FFF8696B"/>
      </colorScale>
    </cfRule>
    <cfRule type="colorScale" priority="6449">
      <colorScale>
        <cfvo type="min"/>
        <cfvo type="percentile" val="50"/>
        <cfvo type="max"/>
        <color rgb="FF63BE7B"/>
        <color rgb="FFFFEB84"/>
        <color rgb="FFF8696B"/>
      </colorScale>
    </cfRule>
    <cfRule type="colorScale" priority="6450">
      <colorScale>
        <cfvo type="min"/>
        <cfvo type="percentile" val="50"/>
        <cfvo type="max"/>
        <color rgb="FF63BE7B"/>
        <color rgb="FFFFEB84"/>
        <color rgb="FFF8696B"/>
      </colorScale>
    </cfRule>
    <cfRule type="colorScale" priority="6451">
      <colorScale>
        <cfvo type="min"/>
        <cfvo type="percentile" val="50"/>
        <cfvo type="max"/>
        <color rgb="FF63BE7B"/>
        <color rgb="FFFFEB84"/>
        <color rgb="FFF8696B"/>
      </colorScale>
    </cfRule>
    <cfRule type="colorScale" priority="6452">
      <colorScale>
        <cfvo type="min"/>
        <cfvo type="percentile" val="50"/>
        <cfvo type="max"/>
        <color rgb="FF63BE7B"/>
        <color rgb="FFFFEB84"/>
        <color rgb="FFF8696B"/>
      </colorScale>
    </cfRule>
    <cfRule type="colorScale" priority="6453">
      <colorScale>
        <cfvo type="min"/>
        <cfvo type="percentile" val="50"/>
        <cfvo type="max"/>
        <color rgb="FF63BE7B"/>
        <color rgb="FFFFEB84"/>
        <color rgb="FFF8696B"/>
      </colorScale>
    </cfRule>
    <cfRule type="colorScale" priority="6454">
      <colorScale>
        <cfvo type="min"/>
        <cfvo type="percentile" val="50"/>
        <cfvo type="max"/>
        <color rgb="FF63BE7B"/>
        <color rgb="FFFFEB84"/>
        <color rgb="FFF8696B"/>
      </colorScale>
    </cfRule>
    <cfRule type="colorScale" priority="6455">
      <colorScale>
        <cfvo type="min"/>
        <cfvo type="percentile" val="50"/>
        <cfvo type="max"/>
        <color rgb="FF63BE7B"/>
        <color rgb="FFFFEB84"/>
        <color rgb="FFF8696B"/>
      </colorScale>
    </cfRule>
    <cfRule type="colorScale" priority="6456">
      <colorScale>
        <cfvo type="min"/>
        <cfvo type="percentile" val="50"/>
        <cfvo type="max"/>
        <color rgb="FF63BE7B"/>
        <color rgb="FFFFEB84"/>
        <color rgb="FFF8696B"/>
      </colorScale>
    </cfRule>
    <cfRule type="colorScale" priority="6457">
      <colorScale>
        <cfvo type="min"/>
        <cfvo type="percentile" val="50"/>
        <cfvo type="max"/>
        <color rgb="FF63BE7B"/>
        <color rgb="FFFFEB84"/>
        <color rgb="FFF8696B"/>
      </colorScale>
    </cfRule>
    <cfRule type="colorScale" priority="6458">
      <colorScale>
        <cfvo type="min"/>
        <cfvo type="percentile" val="50"/>
        <cfvo type="max"/>
        <color rgb="FF63BE7B"/>
        <color rgb="FFFFEB84"/>
        <color rgb="FFF8696B"/>
      </colorScale>
    </cfRule>
    <cfRule type="colorScale" priority="6459">
      <colorScale>
        <cfvo type="min"/>
        <cfvo type="percentile" val="50"/>
        <cfvo type="max"/>
        <color rgb="FF63BE7B"/>
        <color rgb="FFFFEB84"/>
        <color rgb="FFF8696B"/>
      </colorScale>
    </cfRule>
    <cfRule type="colorScale" priority="6460">
      <colorScale>
        <cfvo type="min"/>
        <cfvo type="percentile" val="50"/>
        <cfvo type="max"/>
        <color rgb="FF63BE7B"/>
        <color rgb="FFFFEB84"/>
        <color rgb="FFF8696B"/>
      </colorScale>
    </cfRule>
    <cfRule type="colorScale" priority="6461">
      <colorScale>
        <cfvo type="min"/>
        <cfvo type="percentile" val="50"/>
        <cfvo type="max"/>
        <color rgb="FF63BE7B"/>
        <color rgb="FFFFEB84"/>
        <color rgb="FFF8696B"/>
      </colorScale>
    </cfRule>
    <cfRule type="colorScale" priority="6462">
      <colorScale>
        <cfvo type="min"/>
        <cfvo type="percentile" val="50"/>
        <cfvo type="max"/>
        <color rgb="FF63BE7B"/>
        <color rgb="FFFFEB84"/>
        <color rgb="FFF8696B"/>
      </colorScale>
    </cfRule>
    <cfRule type="colorScale" priority="5107">
      <colorScale>
        <cfvo type="min"/>
        <cfvo type="percentile" val="50"/>
        <cfvo type="max"/>
        <color rgb="FF63BE7B"/>
        <color rgb="FFFFEB84"/>
        <color rgb="FFF8696B"/>
      </colorScale>
    </cfRule>
    <cfRule type="colorScale" priority="5079">
      <colorScale>
        <cfvo type="min"/>
        <cfvo type="percentile" val="50"/>
        <cfvo type="max"/>
        <color rgb="FF63BE7B"/>
        <color rgb="FFFFEB84"/>
        <color rgb="FFF8696B"/>
      </colorScale>
    </cfRule>
    <cfRule type="colorScale" priority="6446">
      <colorScale>
        <cfvo type="min"/>
        <cfvo type="percentile" val="50"/>
        <cfvo type="max"/>
        <color rgb="FF63BE7B"/>
        <color rgb="FFFFEB84"/>
        <color rgb="FFF8696B"/>
      </colorScale>
    </cfRule>
    <cfRule type="colorScale" priority="6445">
      <colorScale>
        <cfvo type="min"/>
        <cfvo type="percentile" val="50"/>
        <cfvo type="max"/>
        <color rgb="FF63BE7B"/>
        <color rgb="FFFFEB84"/>
        <color rgb="FFF8696B"/>
      </colorScale>
    </cfRule>
    <cfRule type="colorScale" priority="4705">
      <colorScale>
        <cfvo type="min"/>
        <cfvo type="percentile" val="50"/>
        <cfvo type="max"/>
        <color rgb="FF63BE7B"/>
        <color rgb="FFFFEB84"/>
        <color rgb="FFF8696B"/>
      </colorScale>
    </cfRule>
    <cfRule type="colorScale" priority="6444">
      <colorScale>
        <cfvo type="min"/>
        <cfvo type="percentile" val="50"/>
        <cfvo type="max"/>
        <color rgb="FF63BE7B"/>
        <color rgb="FFFFEB84"/>
        <color rgb="FFF8696B"/>
      </colorScale>
    </cfRule>
    <cfRule type="colorScale" priority="5113">
      <colorScale>
        <cfvo type="min"/>
        <cfvo type="percentile" val="50"/>
        <cfvo type="max"/>
        <color rgb="FF63BE7B"/>
        <color rgb="FFFFEB84"/>
        <color rgb="FFF8696B"/>
      </colorScale>
    </cfRule>
    <cfRule type="colorScale" priority="5112">
      <colorScale>
        <cfvo type="min"/>
        <cfvo type="percentile" val="50"/>
        <cfvo type="max"/>
        <color rgb="FF63BE7B"/>
        <color rgb="FFFFEB84"/>
        <color rgb="FFF8696B"/>
      </colorScale>
    </cfRule>
    <cfRule type="colorScale" priority="5111">
      <colorScale>
        <cfvo type="min"/>
        <cfvo type="percentile" val="50"/>
        <cfvo type="max"/>
        <color rgb="FF63BE7B"/>
        <color rgb="FFFFEB84"/>
        <color rgb="FFF8696B"/>
      </colorScale>
    </cfRule>
    <cfRule type="colorScale" priority="5110">
      <colorScale>
        <cfvo type="min"/>
        <cfvo type="percentile" val="50"/>
        <cfvo type="max"/>
        <color rgb="FF63BE7B"/>
        <color rgb="FFFFEB84"/>
        <color rgb="FFF8696B"/>
      </colorScale>
    </cfRule>
    <cfRule type="colorScale" priority="5109">
      <colorScale>
        <cfvo type="min"/>
        <cfvo type="percentile" val="50"/>
        <cfvo type="max"/>
        <color rgb="FF63BE7B"/>
        <color rgb="FFFFEB84"/>
        <color rgb="FFF8696B"/>
      </colorScale>
    </cfRule>
  </conditionalFormatting>
  <conditionalFormatting sqref="H54:H61">
    <cfRule type="colorScale" priority="70">
      <colorScale>
        <cfvo type="min"/>
        <cfvo type="percentile" val="50"/>
        <cfvo type="max"/>
        <color rgb="FF63BE7B"/>
        <color rgb="FFFFEB84"/>
        <color rgb="FFF8696B"/>
      </colorScale>
    </cfRule>
    <cfRule type="colorScale" priority="51">
      <colorScale>
        <cfvo type="min"/>
        <cfvo type="percentile" val="50"/>
        <cfvo type="max"/>
        <color rgb="FF63BE7B"/>
        <color rgb="FFFFEB84"/>
        <color rgb="FFF8696B"/>
      </colorScale>
    </cfRule>
  </conditionalFormatting>
  <conditionalFormatting sqref="H65:H71">
    <cfRule type="colorScale" priority="12570">
      <colorScale>
        <cfvo type="min"/>
        <cfvo type="percentile" val="50"/>
        <cfvo type="max"/>
        <color rgb="FF63BE7B"/>
        <color rgb="FFFFEB84"/>
        <color rgb="FFF8696B"/>
      </colorScale>
    </cfRule>
    <cfRule type="colorScale" priority="12572">
      <colorScale>
        <cfvo type="min"/>
        <cfvo type="percentile" val="50"/>
        <cfvo type="max"/>
        <color rgb="FF63BE7B"/>
        <color rgb="FFFFEB84"/>
        <color rgb="FFF8696B"/>
      </colorScale>
    </cfRule>
    <cfRule type="colorScale" priority="12571">
      <colorScale>
        <cfvo type="min"/>
        <cfvo type="percentile" val="50"/>
        <cfvo type="max"/>
        <color rgb="FF63BE7B"/>
        <color rgb="FFFFEB84"/>
        <color rgb="FFF8696B"/>
      </colorScale>
    </cfRule>
  </conditionalFormatting>
  <conditionalFormatting sqref="H65:H80">
    <cfRule type="colorScale" priority="12601">
      <colorScale>
        <cfvo type="min"/>
        <cfvo type="percentile" val="50"/>
        <cfvo type="max"/>
        <color rgb="FF63BE7B"/>
        <color rgb="FFFFEB84"/>
        <color rgb="FFF8696B"/>
      </colorScale>
    </cfRule>
  </conditionalFormatting>
  <conditionalFormatting sqref="H65:H91">
    <cfRule type="colorScale" priority="12621">
      <colorScale>
        <cfvo type="min"/>
        <cfvo type="percentile" val="50"/>
        <cfvo type="max"/>
        <color rgb="FF63BE7B"/>
        <color rgb="FFFFEB84"/>
        <color rgb="FFF8696B"/>
      </colorScale>
    </cfRule>
  </conditionalFormatting>
  <conditionalFormatting sqref="H66:H71">
    <cfRule type="colorScale" priority="12573">
      <colorScale>
        <cfvo type="min"/>
        <cfvo type="percentile" val="50"/>
        <cfvo type="max"/>
        <color rgb="FF63BE7B"/>
        <color rgb="FFFFEB84"/>
        <color rgb="FFF8696B"/>
      </colorScale>
    </cfRule>
  </conditionalFormatting>
  <conditionalFormatting sqref="H72:H80">
    <cfRule type="colorScale" priority="12447">
      <colorScale>
        <cfvo type="min"/>
        <cfvo type="percentile" val="50"/>
        <cfvo type="max"/>
        <color rgb="FF63BE7B"/>
        <color rgb="FFFFEB84"/>
        <color rgb="FFF8696B"/>
      </colorScale>
    </cfRule>
    <cfRule type="colorScale" priority="12449">
      <colorScale>
        <cfvo type="min"/>
        <cfvo type="percentile" val="50"/>
        <cfvo type="max"/>
        <color rgb="FF63BE7B"/>
        <color rgb="FFFFEB84"/>
        <color rgb="FFF8696B"/>
      </colorScale>
    </cfRule>
    <cfRule type="colorScale" priority="12448">
      <colorScale>
        <cfvo type="min"/>
        <cfvo type="percentile" val="50"/>
        <cfvo type="max"/>
        <color rgb="FF63BE7B"/>
        <color rgb="FFFFEB84"/>
        <color rgb="FFF8696B"/>
      </colorScale>
    </cfRule>
    <cfRule type="colorScale" priority="12446">
      <colorScale>
        <cfvo type="min"/>
        <cfvo type="percentile" val="50"/>
        <cfvo type="max"/>
        <color rgb="FF63BE7B"/>
        <color rgb="FFFFEB84"/>
        <color rgb="FFF8696B"/>
      </colorScale>
    </cfRule>
  </conditionalFormatting>
  <conditionalFormatting sqref="H81:H83">
    <cfRule type="colorScale" priority="12318">
      <colorScale>
        <cfvo type="min"/>
        <cfvo type="percentile" val="50"/>
        <cfvo type="max"/>
        <color rgb="FF63BE7B"/>
        <color rgb="FFFFEB84"/>
        <color rgb="FFF8696B"/>
      </colorScale>
    </cfRule>
    <cfRule type="colorScale" priority="12317">
      <colorScale>
        <cfvo type="min"/>
        <cfvo type="percentile" val="50"/>
        <cfvo type="max"/>
        <color rgb="FF63BE7B"/>
        <color rgb="FFFFEB84"/>
        <color rgb="FFF8696B"/>
      </colorScale>
    </cfRule>
  </conditionalFormatting>
  <conditionalFormatting sqref="H84:H91">
    <cfRule type="colorScale" priority="12171">
      <colorScale>
        <cfvo type="min"/>
        <cfvo type="percentile" val="50"/>
        <cfvo type="max"/>
        <color rgb="FF63BE7B"/>
        <color rgb="FFFFEB84"/>
        <color rgb="FFF8696B"/>
      </colorScale>
    </cfRule>
    <cfRule type="colorScale" priority="12174">
      <colorScale>
        <cfvo type="min"/>
        <cfvo type="percentile" val="50"/>
        <cfvo type="max"/>
        <color rgb="FF63BE7B"/>
        <color rgb="FFFFEB84"/>
        <color rgb="FFF8696B"/>
      </colorScale>
    </cfRule>
    <cfRule type="colorScale" priority="12173">
      <colorScale>
        <cfvo type="min"/>
        <cfvo type="percentile" val="50"/>
        <cfvo type="max"/>
        <color rgb="FF63BE7B"/>
        <color rgb="FFFFEB84"/>
        <color rgb="FFF8696B"/>
      </colorScale>
    </cfRule>
    <cfRule type="colorScale" priority="12220">
      <colorScale>
        <cfvo type="min"/>
        <cfvo type="percentile" val="50"/>
        <cfvo type="max"/>
        <color rgb="FF63BE7B"/>
        <color rgb="FFFFEB84"/>
        <color rgb="FFF8696B"/>
      </colorScale>
    </cfRule>
    <cfRule type="colorScale" priority="12221">
      <colorScale>
        <cfvo type="min"/>
        <cfvo type="percentile" val="50"/>
        <cfvo type="max"/>
        <color rgb="FF63BE7B"/>
        <color rgb="FFFFEB84"/>
        <color rgb="FFF8696B"/>
      </colorScale>
    </cfRule>
    <cfRule type="colorScale" priority="12218">
      <colorScale>
        <cfvo type="min"/>
        <cfvo type="percentile" val="50"/>
        <cfvo type="max"/>
        <color rgb="FF63BE7B"/>
        <color rgb="FFFFEB84"/>
        <color rgb="FFF8696B"/>
      </colorScale>
    </cfRule>
  </conditionalFormatting>
  <conditionalFormatting sqref="H86">
    <cfRule type="colorScale" priority="12219">
      <colorScale>
        <cfvo type="min"/>
        <cfvo type="percentile" val="50"/>
        <cfvo type="max"/>
        <color rgb="FF63BE7B"/>
        <color rgb="FFFFEB84"/>
        <color rgb="FFF8696B"/>
      </colorScale>
    </cfRule>
    <cfRule type="colorScale" priority="12172">
      <colorScale>
        <cfvo type="min"/>
        <cfvo type="percentile" val="50"/>
        <cfvo type="max"/>
        <color rgb="FF63BE7B"/>
        <color rgb="FFFFEB84"/>
        <color rgb="FFF8696B"/>
      </colorScale>
    </cfRule>
  </conditionalFormatting>
  <conditionalFormatting sqref="H96:H102">
    <cfRule type="colorScale" priority="11965">
      <colorScale>
        <cfvo type="min"/>
        <cfvo type="percentile" val="50"/>
        <cfvo type="max"/>
        <color rgb="FF63BE7B"/>
        <color rgb="FFFFEB84"/>
        <color rgb="FFF8696B"/>
      </colorScale>
    </cfRule>
    <cfRule type="colorScale" priority="11964">
      <colorScale>
        <cfvo type="min"/>
        <cfvo type="percentile" val="50"/>
        <cfvo type="max"/>
        <color rgb="FF63BE7B"/>
        <color rgb="FFFFEB84"/>
        <color rgb="FFF8696B"/>
      </colorScale>
    </cfRule>
    <cfRule type="colorScale" priority="11966">
      <colorScale>
        <cfvo type="min"/>
        <cfvo type="percentile" val="50"/>
        <cfvo type="max"/>
        <color rgb="FF63BE7B"/>
        <color rgb="FFFFEB84"/>
        <color rgb="FFF8696B"/>
      </colorScale>
    </cfRule>
  </conditionalFormatting>
  <conditionalFormatting sqref="H96:H111">
    <cfRule type="colorScale" priority="11995">
      <colorScale>
        <cfvo type="min"/>
        <cfvo type="percentile" val="50"/>
        <cfvo type="max"/>
        <color rgb="FF63BE7B"/>
        <color rgb="FFFFEB84"/>
        <color rgb="FFF8696B"/>
      </colorScale>
    </cfRule>
  </conditionalFormatting>
  <conditionalFormatting sqref="H96:H122">
    <cfRule type="colorScale" priority="12014">
      <colorScale>
        <cfvo type="min"/>
        <cfvo type="percentile" val="50"/>
        <cfvo type="max"/>
        <color rgb="FF63BE7B"/>
        <color rgb="FFFFEB84"/>
        <color rgb="FFF8696B"/>
      </colorScale>
    </cfRule>
  </conditionalFormatting>
  <conditionalFormatting sqref="H97:H102">
    <cfRule type="colorScale" priority="11967">
      <colorScale>
        <cfvo type="min"/>
        <cfvo type="percentile" val="50"/>
        <cfvo type="max"/>
        <color rgb="FF63BE7B"/>
        <color rgb="FFFFEB84"/>
        <color rgb="FFF8696B"/>
      </colorScale>
    </cfRule>
  </conditionalFormatting>
  <conditionalFormatting sqref="H103:H111">
    <cfRule type="colorScale" priority="11842">
      <colorScale>
        <cfvo type="min"/>
        <cfvo type="percentile" val="50"/>
        <cfvo type="max"/>
        <color rgb="FF63BE7B"/>
        <color rgb="FFFFEB84"/>
        <color rgb="FFF8696B"/>
      </colorScale>
    </cfRule>
    <cfRule type="colorScale" priority="11840">
      <colorScale>
        <cfvo type="min"/>
        <cfvo type="percentile" val="50"/>
        <cfvo type="max"/>
        <color rgb="FF63BE7B"/>
        <color rgb="FFFFEB84"/>
        <color rgb="FFF8696B"/>
      </colorScale>
    </cfRule>
    <cfRule type="colorScale" priority="11841">
      <colorScale>
        <cfvo type="min"/>
        <cfvo type="percentile" val="50"/>
        <cfvo type="max"/>
        <color rgb="FF63BE7B"/>
        <color rgb="FFFFEB84"/>
        <color rgb="FFF8696B"/>
      </colorScale>
    </cfRule>
    <cfRule type="colorScale" priority="11843">
      <colorScale>
        <cfvo type="min"/>
        <cfvo type="percentile" val="50"/>
        <cfvo type="max"/>
        <color rgb="FF63BE7B"/>
        <color rgb="FFFFEB84"/>
        <color rgb="FFF8696B"/>
      </colorScale>
    </cfRule>
  </conditionalFormatting>
  <conditionalFormatting sqref="H112:H114">
    <cfRule type="colorScale" priority="11714">
      <colorScale>
        <cfvo type="min"/>
        <cfvo type="percentile" val="50"/>
        <cfvo type="max"/>
        <color rgb="FF63BE7B"/>
        <color rgb="FFFFEB84"/>
        <color rgb="FFF8696B"/>
      </colorScale>
    </cfRule>
    <cfRule type="colorScale" priority="11715">
      <colorScale>
        <cfvo type="min"/>
        <cfvo type="percentile" val="50"/>
        <cfvo type="max"/>
        <color rgb="FF63BE7B"/>
        <color rgb="FFFFEB84"/>
        <color rgb="FFF8696B"/>
      </colorScale>
    </cfRule>
  </conditionalFormatting>
  <conditionalFormatting sqref="H115:H122">
    <cfRule type="colorScale" priority="11618">
      <colorScale>
        <cfvo type="min"/>
        <cfvo type="percentile" val="50"/>
        <cfvo type="max"/>
        <color rgb="FF63BE7B"/>
        <color rgb="FFFFEB84"/>
        <color rgb="FFF8696B"/>
      </colorScale>
    </cfRule>
    <cfRule type="colorScale" priority="11570">
      <colorScale>
        <cfvo type="min"/>
        <cfvo type="percentile" val="50"/>
        <cfvo type="max"/>
        <color rgb="FF63BE7B"/>
        <color rgb="FFFFEB84"/>
        <color rgb="FFF8696B"/>
      </colorScale>
    </cfRule>
    <cfRule type="colorScale" priority="11571">
      <colorScale>
        <cfvo type="min"/>
        <cfvo type="percentile" val="50"/>
        <cfvo type="max"/>
        <color rgb="FF63BE7B"/>
        <color rgb="FFFFEB84"/>
        <color rgb="FFF8696B"/>
      </colorScale>
    </cfRule>
    <cfRule type="colorScale" priority="11617">
      <colorScale>
        <cfvo type="min"/>
        <cfvo type="percentile" val="50"/>
        <cfvo type="max"/>
        <color rgb="FF63BE7B"/>
        <color rgb="FFFFEB84"/>
        <color rgb="FFF8696B"/>
      </colorScale>
    </cfRule>
    <cfRule type="colorScale" priority="11568">
      <colorScale>
        <cfvo type="min"/>
        <cfvo type="percentile" val="50"/>
        <cfvo type="max"/>
        <color rgb="FF63BE7B"/>
        <color rgb="FFFFEB84"/>
        <color rgb="FFF8696B"/>
      </colorScale>
    </cfRule>
    <cfRule type="colorScale" priority="11615">
      <colorScale>
        <cfvo type="min"/>
        <cfvo type="percentile" val="50"/>
        <cfvo type="max"/>
        <color rgb="FF63BE7B"/>
        <color rgb="FFFFEB84"/>
        <color rgb="FFF8696B"/>
      </colorScale>
    </cfRule>
  </conditionalFormatting>
  <conditionalFormatting sqref="H117">
    <cfRule type="colorScale" priority="11616">
      <colorScale>
        <cfvo type="min"/>
        <cfvo type="percentile" val="50"/>
        <cfvo type="max"/>
        <color rgb="FF63BE7B"/>
        <color rgb="FFFFEB84"/>
        <color rgb="FFF8696B"/>
      </colorScale>
    </cfRule>
    <cfRule type="colorScale" priority="11569">
      <colorScale>
        <cfvo type="min"/>
        <cfvo type="percentile" val="50"/>
        <cfvo type="max"/>
        <color rgb="FF63BE7B"/>
        <color rgb="FFFFEB84"/>
        <color rgb="FFF8696B"/>
      </colorScale>
    </cfRule>
  </conditionalFormatting>
  <conditionalFormatting sqref="I35:I37">
    <cfRule type="colorScale" priority="10252">
      <colorScale>
        <cfvo type="min"/>
        <cfvo type="percentile" val="50"/>
        <cfvo type="max"/>
        <color rgb="FF63BE7B"/>
        <color rgb="FFFFEB84"/>
        <color rgb="FFF8696B"/>
      </colorScale>
    </cfRule>
    <cfRule type="colorScale" priority="11372">
      <colorScale>
        <cfvo type="min"/>
        <cfvo type="percentile" val="50"/>
        <cfvo type="max"/>
        <color rgb="FF63BE7B"/>
        <color rgb="FFFFEB84"/>
        <color rgb="FFF8696B"/>
      </colorScale>
    </cfRule>
    <cfRule type="colorScale" priority="11373">
      <colorScale>
        <cfvo type="min"/>
        <cfvo type="percentile" val="50"/>
        <cfvo type="max"/>
        <color rgb="FF63BE7B"/>
        <color rgb="FFFFEB84"/>
        <color rgb="FFF8696B"/>
      </colorScale>
    </cfRule>
    <cfRule type="colorScale" priority="11374">
      <colorScale>
        <cfvo type="min"/>
        <cfvo type="percentile" val="50"/>
        <cfvo type="max"/>
        <color rgb="FF63BE7B"/>
        <color rgb="FFFFEB84"/>
        <color rgb="FFF8696B"/>
      </colorScale>
    </cfRule>
    <cfRule type="colorScale" priority="10246">
      <colorScale>
        <cfvo type="min"/>
        <cfvo type="percentile" val="50"/>
        <cfvo type="max"/>
        <color rgb="FF63BE7B"/>
        <color rgb="FFFFEB84"/>
        <color rgb="FFF8696B"/>
      </colorScale>
    </cfRule>
    <cfRule type="colorScale" priority="10247">
      <colorScale>
        <cfvo type="min"/>
        <cfvo type="percentile" val="50"/>
        <cfvo type="max"/>
        <color rgb="FF63BE7B"/>
        <color rgb="FFFFEB84"/>
        <color rgb="FFF8696B"/>
      </colorScale>
    </cfRule>
    <cfRule type="colorScale" priority="11375">
      <colorScale>
        <cfvo type="min"/>
        <cfvo type="percentile" val="50"/>
        <cfvo type="max"/>
        <color rgb="FF63BE7B"/>
        <color rgb="FFFFEB84"/>
        <color rgb="FFF8696B"/>
      </colorScale>
    </cfRule>
    <cfRule type="colorScale" priority="10130">
      <colorScale>
        <cfvo type="min"/>
        <cfvo type="percentile" val="50"/>
        <cfvo type="max"/>
        <color rgb="FF63BE7B"/>
        <color rgb="FFFFEB84"/>
        <color rgb="FFF8696B"/>
      </colorScale>
    </cfRule>
    <cfRule type="colorScale" priority="10238">
      <colorScale>
        <cfvo type="min"/>
        <cfvo type="percentile" val="50"/>
        <cfvo type="max"/>
        <color rgb="FF63BE7B"/>
        <color rgb="FFFFEB84"/>
        <color rgb="FFF8696B"/>
      </colorScale>
    </cfRule>
    <cfRule type="colorScale" priority="10248">
      <colorScale>
        <cfvo type="min"/>
        <cfvo type="percentile" val="50"/>
        <cfvo type="max"/>
        <color rgb="FF63BE7B"/>
        <color rgb="FFFFEB84"/>
        <color rgb="FFF8696B"/>
      </colorScale>
    </cfRule>
    <cfRule type="colorScale" priority="10249">
      <colorScale>
        <cfvo type="min"/>
        <cfvo type="percentile" val="50"/>
        <cfvo type="max"/>
        <color rgb="FF63BE7B"/>
        <color rgb="FFFFEB84"/>
        <color rgb="FFF8696B"/>
      </colorScale>
    </cfRule>
    <cfRule type="colorScale" priority="11256">
      <colorScale>
        <cfvo type="min"/>
        <cfvo type="percentile" val="50"/>
        <cfvo type="max"/>
        <color rgb="FF63BE7B"/>
        <color rgb="FFFFEB84"/>
        <color rgb="FFF8696B"/>
      </colorScale>
    </cfRule>
    <cfRule type="colorScale" priority="10144">
      <colorScale>
        <cfvo type="min"/>
        <cfvo type="percentile" val="50"/>
        <cfvo type="max"/>
        <color rgb="FF63BE7B"/>
        <color rgb="FFFFEB84"/>
        <color rgb="FFF8696B"/>
      </colorScale>
    </cfRule>
    <cfRule type="colorScale" priority="10251">
      <colorScale>
        <cfvo type="min"/>
        <cfvo type="percentile" val="50"/>
        <cfvo type="max"/>
        <color rgb="FF63BE7B"/>
        <color rgb="FFFFEB84"/>
        <color rgb="FFF8696B"/>
      </colorScale>
    </cfRule>
    <cfRule type="colorScale" priority="11378">
      <colorScale>
        <cfvo type="min"/>
        <cfvo type="percentile" val="50"/>
        <cfvo type="max"/>
        <color rgb="FF63BE7B"/>
        <color rgb="FFFFEB84"/>
        <color rgb="FFF8696B"/>
      </colorScale>
    </cfRule>
    <cfRule type="colorScale" priority="11377">
      <colorScale>
        <cfvo type="min"/>
        <cfvo type="percentile" val="50"/>
        <cfvo type="max"/>
        <color rgb="FF63BE7B"/>
        <color rgb="FFFFEB84"/>
        <color rgb="FFF8696B"/>
      </colorScale>
    </cfRule>
    <cfRule type="colorScale" priority="10143">
      <colorScale>
        <cfvo type="min"/>
        <cfvo type="percentile" val="50"/>
        <cfvo type="max"/>
        <color rgb="FF63BE7B"/>
        <color rgb="FFFFEB84"/>
        <color rgb="FFF8696B"/>
      </colorScale>
    </cfRule>
    <cfRule type="colorScale" priority="10141">
      <colorScale>
        <cfvo type="min"/>
        <cfvo type="percentile" val="50"/>
        <cfvo type="max"/>
        <color rgb="FF63BE7B"/>
        <color rgb="FFFFEB84"/>
        <color rgb="FFF8696B"/>
      </colorScale>
    </cfRule>
    <cfRule type="colorScale" priority="10140">
      <colorScale>
        <cfvo type="min"/>
        <cfvo type="percentile" val="50"/>
        <cfvo type="max"/>
        <color rgb="FF63BE7B"/>
        <color rgb="FFFFEB84"/>
        <color rgb="FFF8696B"/>
      </colorScale>
    </cfRule>
    <cfRule type="colorScale" priority="10139">
      <colorScale>
        <cfvo type="min"/>
        <cfvo type="percentile" val="50"/>
        <cfvo type="max"/>
        <color rgb="FF63BE7B"/>
        <color rgb="FFFFEB84"/>
        <color rgb="FFF8696B"/>
      </colorScale>
    </cfRule>
    <cfRule type="colorScale" priority="10138">
      <colorScale>
        <cfvo type="min"/>
        <cfvo type="percentile" val="50"/>
        <cfvo type="max"/>
        <color rgb="FF63BE7B"/>
        <color rgb="FFFFEB84"/>
        <color rgb="FFF8696B"/>
      </colorScale>
    </cfRule>
  </conditionalFormatting>
  <conditionalFormatting sqref="I35:I41">
    <cfRule type="colorScale" priority="10135">
      <colorScale>
        <cfvo type="min"/>
        <cfvo type="percentile" val="50"/>
        <cfvo type="max"/>
        <color rgb="FF63BE7B"/>
        <color rgb="FFFFEB84"/>
        <color rgb="FFF8696B"/>
      </colorScale>
    </cfRule>
    <cfRule type="colorScale" priority="10244">
      <colorScale>
        <cfvo type="min"/>
        <cfvo type="percentile" val="50"/>
        <cfvo type="max"/>
        <color rgb="FF63BE7B"/>
        <color rgb="FFFFEB84"/>
        <color rgb="FFF8696B"/>
      </colorScale>
    </cfRule>
    <cfRule type="colorScale" priority="10243">
      <colorScale>
        <cfvo type="min"/>
        <cfvo type="percentile" val="50"/>
        <cfvo type="max"/>
        <color rgb="FF63BE7B"/>
        <color rgb="FFFFEB84"/>
        <color rgb="FFF8696B"/>
      </colorScale>
    </cfRule>
    <cfRule type="colorScale" priority="10242">
      <colorScale>
        <cfvo type="min"/>
        <cfvo type="percentile" val="50"/>
        <cfvo type="max"/>
        <color rgb="FF63BE7B"/>
        <color rgb="FFFFEB84"/>
        <color rgb="FFF8696B"/>
      </colorScale>
    </cfRule>
    <cfRule type="colorScale" priority="10241">
      <colorScale>
        <cfvo type="min"/>
        <cfvo type="percentile" val="50"/>
        <cfvo type="max"/>
        <color rgb="FF63BE7B"/>
        <color rgb="FFFFEB84"/>
        <color rgb="FFF8696B"/>
      </colorScale>
    </cfRule>
    <cfRule type="colorScale" priority="10262">
      <colorScale>
        <cfvo type="min"/>
        <cfvo type="percentile" val="50"/>
        <cfvo type="max"/>
        <color rgb="FF63BE7B"/>
        <color rgb="FFFFEB84"/>
        <color rgb="FFF8696B"/>
      </colorScale>
    </cfRule>
    <cfRule type="colorScale" priority="11310">
      <colorScale>
        <cfvo type="min"/>
        <cfvo type="percentile" val="50"/>
        <cfvo type="max"/>
        <color rgb="FF63BE7B"/>
        <color rgb="FFFFEB84"/>
        <color rgb="FFF8696B"/>
      </colorScale>
    </cfRule>
    <cfRule type="colorScale" priority="11311">
      <colorScale>
        <cfvo type="min"/>
        <cfvo type="percentile" val="50"/>
        <cfvo type="max"/>
        <color rgb="FF63BE7B"/>
        <color rgb="FFFFEB84"/>
        <color rgb="FFF8696B"/>
      </colorScale>
    </cfRule>
    <cfRule type="colorScale" priority="11309">
      <colorScale>
        <cfvo type="min"/>
        <cfvo type="percentile" val="50"/>
        <cfvo type="max"/>
        <color rgb="FFF8696B"/>
        <color rgb="FFFFEB84"/>
        <color rgb="FF63BE7B"/>
      </colorScale>
    </cfRule>
    <cfRule type="colorScale" priority="10256">
      <colorScale>
        <cfvo type="min"/>
        <cfvo type="percentile" val="50"/>
        <cfvo type="max"/>
        <color rgb="FF63BE7B"/>
        <color rgb="FFFFEB84"/>
        <color rgb="FFF8696B"/>
      </colorScale>
    </cfRule>
    <cfRule type="colorScale" priority="10236">
      <colorScale>
        <cfvo type="min"/>
        <cfvo type="percentile" val="50"/>
        <cfvo type="max"/>
        <color rgb="FF63BE7B"/>
        <color rgb="FFFFEB84"/>
        <color rgb="FFF8696B"/>
      </colorScale>
    </cfRule>
    <cfRule type="colorScale" priority="10237">
      <colorScale>
        <cfvo type="min"/>
        <cfvo type="percentile" val="50"/>
        <cfvo type="max"/>
        <color rgb="FF63BE7B"/>
        <color rgb="FFFFEB84"/>
        <color rgb="FFF8696B"/>
      </colorScale>
    </cfRule>
    <cfRule type="colorScale" priority="10261">
      <colorScale>
        <cfvo type="min"/>
        <cfvo type="percentile" val="50"/>
        <cfvo type="max"/>
        <color rgb="FF63BE7B"/>
        <color rgb="FFFFEB84"/>
        <color rgb="FFF8696B"/>
      </colorScale>
    </cfRule>
    <cfRule type="colorScale" priority="10154">
      <colorScale>
        <cfvo type="min"/>
        <cfvo type="percentile" val="50"/>
        <cfvo type="max"/>
        <color rgb="FF63BE7B"/>
        <color rgb="FFFFEB84"/>
        <color rgb="FFF8696B"/>
      </colorScale>
    </cfRule>
    <cfRule type="colorScale" priority="10153">
      <colorScale>
        <cfvo type="min"/>
        <cfvo type="percentile" val="50"/>
        <cfvo type="max"/>
        <color rgb="FF63BE7B"/>
        <color rgb="FFFFEB84"/>
        <color rgb="FFF8696B"/>
      </colorScale>
    </cfRule>
    <cfRule type="colorScale" priority="10151">
      <colorScale>
        <cfvo type="min"/>
        <cfvo type="percentile" val="50"/>
        <cfvo type="max"/>
        <color rgb="FF63BE7B"/>
        <color rgb="FFFFEB84"/>
        <color rgb="FFF8696B"/>
      </colorScale>
    </cfRule>
    <cfRule type="colorScale" priority="10150">
      <colorScale>
        <cfvo type="min"/>
        <cfvo type="percentile" val="50"/>
        <cfvo type="max"/>
        <color rgb="FF63BE7B"/>
        <color rgb="FFFFEB84"/>
        <color rgb="FFF8696B"/>
      </colorScale>
    </cfRule>
    <cfRule type="colorScale" priority="10255">
      <colorScale>
        <cfvo type="min"/>
        <cfvo type="percentile" val="50"/>
        <cfvo type="max"/>
        <color rgb="FF63BE7B"/>
        <color rgb="FFFFEB84"/>
        <color rgb="FFF8696B"/>
      </colorScale>
    </cfRule>
    <cfRule type="colorScale" priority="10149">
      <colorScale>
        <cfvo type="min"/>
        <cfvo type="percentile" val="50"/>
        <cfvo type="max"/>
        <color rgb="FF63BE7B"/>
        <color rgb="FFFFEB84"/>
        <color rgb="FFF8696B"/>
      </colorScale>
    </cfRule>
    <cfRule type="colorScale" priority="11254">
      <colorScale>
        <cfvo type="min"/>
        <cfvo type="percentile" val="50"/>
        <cfvo type="max"/>
        <color rgb="FF63BE7B"/>
        <color rgb="FFFFEB84"/>
        <color rgb="FFF8696B"/>
      </colorScale>
    </cfRule>
    <cfRule type="colorScale" priority="11255">
      <colorScale>
        <cfvo type="min"/>
        <cfvo type="percentile" val="50"/>
        <cfvo type="max"/>
        <color rgb="FF63BE7B"/>
        <color rgb="FFFFEB84"/>
        <color rgb="FFF8696B"/>
      </colorScale>
    </cfRule>
    <cfRule type="colorScale" priority="9318">
      <colorScale>
        <cfvo type="min"/>
        <cfvo type="percentile" val="50"/>
        <cfvo type="max"/>
        <color rgb="FFF8696B"/>
        <color rgb="FFFFEB84"/>
        <color rgb="FF63BE7B"/>
      </colorScale>
    </cfRule>
    <cfRule type="colorScale" priority="11257">
      <colorScale>
        <cfvo type="min"/>
        <cfvo type="percentile" val="50"/>
        <cfvo type="max"/>
        <color rgb="FF63BE7B"/>
        <color rgb="FFFFEB84"/>
        <color rgb="FFF8696B"/>
      </colorScale>
    </cfRule>
    <cfRule type="colorScale" priority="11258">
      <colorScale>
        <cfvo type="min"/>
        <cfvo type="percentile" val="50"/>
        <cfvo type="max"/>
        <color rgb="FF63BE7B"/>
        <color rgb="FFFFEB84"/>
        <color rgb="FFF8696B"/>
      </colorScale>
    </cfRule>
    <cfRule type="colorScale" priority="11259">
      <colorScale>
        <cfvo type="min"/>
        <cfvo type="percentile" val="50"/>
        <cfvo type="max"/>
        <color rgb="FF63BE7B"/>
        <color rgb="FFFFEB84"/>
        <color rgb="FFF8696B"/>
      </colorScale>
    </cfRule>
    <cfRule type="colorScale" priority="10254">
      <colorScale>
        <cfvo type="min"/>
        <cfvo type="percentile" val="50"/>
        <cfvo type="max"/>
        <color rgb="FF63BE7B"/>
        <color rgb="FFFFEB84"/>
        <color rgb="FFF8696B"/>
      </colorScale>
    </cfRule>
    <cfRule type="colorScale" priority="11261">
      <colorScale>
        <cfvo type="min"/>
        <cfvo type="percentile" val="50"/>
        <cfvo type="max"/>
        <color rgb="FF63BE7B"/>
        <color rgb="FFFFEB84"/>
        <color rgb="FFF8696B"/>
      </colorScale>
    </cfRule>
    <cfRule type="colorScale" priority="11262">
      <colorScale>
        <cfvo type="min"/>
        <cfvo type="percentile" val="50"/>
        <cfvo type="max"/>
        <color rgb="FF63BE7B"/>
        <color rgb="FFFFEB84"/>
        <color rgb="FFF8696B"/>
      </colorScale>
    </cfRule>
    <cfRule type="colorScale" priority="11263">
      <colorScale>
        <cfvo type="min"/>
        <cfvo type="percentile" val="50"/>
        <cfvo type="max"/>
        <color rgb="FF63BE7B"/>
        <color rgb="FFFFEB84"/>
        <color rgb="FFF8696B"/>
      </colorScale>
    </cfRule>
    <cfRule type="colorScale" priority="10148">
      <colorScale>
        <cfvo type="min"/>
        <cfvo type="percentile" val="50"/>
        <cfvo type="max"/>
        <color rgb="FF63BE7B"/>
        <color rgb="FFFFEB84"/>
        <color rgb="FFF8696B"/>
      </colorScale>
    </cfRule>
    <cfRule type="colorScale" priority="10147">
      <colorScale>
        <cfvo type="min"/>
        <cfvo type="percentile" val="50"/>
        <cfvo type="max"/>
        <color rgb="FF63BE7B"/>
        <color rgb="FFFFEB84"/>
        <color rgb="FFF8696B"/>
      </colorScale>
    </cfRule>
    <cfRule type="colorScale" priority="10253">
      <colorScale>
        <cfvo type="min"/>
        <cfvo type="percentile" val="50"/>
        <cfvo type="max"/>
        <color rgb="FF63BE7B"/>
        <color rgb="FFFFEB84"/>
        <color rgb="FFF8696B"/>
      </colorScale>
    </cfRule>
    <cfRule type="colorScale" priority="10128">
      <colorScale>
        <cfvo type="min"/>
        <cfvo type="percentile" val="50"/>
        <cfvo type="max"/>
        <color rgb="FF63BE7B"/>
        <color rgb="FFFFEB84"/>
        <color rgb="FFF8696B"/>
      </colorScale>
    </cfRule>
    <cfRule type="colorScale" priority="10257">
      <colorScale>
        <cfvo type="min"/>
        <cfvo type="percentile" val="50"/>
        <cfvo type="max"/>
        <color rgb="FF63BE7B"/>
        <color rgb="FFFFEB84"/>
        <color rgb="FFF8696B"/>
      </colorScale>
    </cfRule>
    <cfRule type="colorScale" priority="10245">
      <colorScale>
        <cfvo type="min"/>
        <cfvo type="percentile" val="50"/>
        <cfvo type="max"/>
        <color rgb="FF63BE7B"/>
        <color rgb="FFFFEB84"/>
        <color rgb="FFF8696B"/>
      </colorScale>
    </cfRule>
    <cfRule type="colorScale" priority="10239">
      <colorScale>
        <cfvo type="min"/>
        <cfvo type="percentile" val="50"/>
        <cfvo type="max"/>
        <color rgb="FF63BE7B"/>
        <color rgb="FFFFEB84"/>
        <color rgb="FFF8696B"/>
      </colorScale>
    </cfRule>
    <cfRule type="colorScale" priority="10240">
      <colorScale>
        <cfvo type="min"/>
        <cfvo type="percentile" val="50"/>
        <cfvo type="max"/>
        <color rgb="FF63BE7B"/>
        <color rgb="FFFFEB84"/>
        <color rgb="FFF8696B"/>
      </colorScale>
    </cfRule>
    <cfRule type="colorScale" priority="10146">
      <colorScale>
        <cfvo type="min"/>
        <cfvo type="percentile" val="50"/>
        <cfvo type="max"/>
        <color rgb="FF63BE7B"/>
        <color rgb="FFFFEB84"/>
        <color rgb="FFF8696B"/>
      </colorScale>
    </cfRule>
    <cfRule type="colorScale" priority="10145">
      <colorScale>
        <cfvo type="min"/>
        <cfvo type="percentile" val="50"/>
        <cfvo type="max"/>
        <color rgb="FF63BE7B"/>
        <color rgb="FFFFEB84"/>
        <color rgb="FFF8696B"/>
      </colorScale>
    </cfRule>
    <cfRule type="colorScale" priority="11260">
      <colorScale>
        <cfvo type="min"/>
        <cfvo type="percentile" val="50"/>
        <cfvo type="max"/>
        <color rgb="FF63BE7B"/>
        <color rgb="FFFFEB84"/>
        <color rgb="FFF8696B"/>
      </colorScale>
    </cfRule>
    <cfRule type="colorScale" priority="10129">
      <colorScale>
        <cfvo type="min"/>
        <cfvo type="percentile" val="50"/>
        <cfvo type="max"/>
        <color rgb="FF63BE7B"/>
        <color rgb="FFFFEB84"/>
        <color rgb="FFF8696B"/>
      </colorScale>
    </cfRule>
    <cfRule type="colorScale" priority="10131">
      <colorScale>
        <cfvo type="min"/>
        <cfvo type="percentile" val="50"/>
        <cfvo type="max"/>
        <color rgb="FF63BE7B"/>
        <color rgb="FFFFEB84"/>
        <color rgb="FFF8696B"/>
      </colorScale>
    </cfRule>
    <cfRule type="colorScale" priority="10132">
      <colorScale>
        <cfvo type="min"/>
        <cfvo type="percentile" val="50"/>
        <cfvo type="max"/>
        <color rgb="FF63BE7B"/>
        <color rgb="FFFFEB84"/>
        <color rgb="FFF8696B"/>
      </colorScale>
    </cfRule>
    <cfRule type="colorScale" priority="10133">
      <colorScale>
        <cfvo type="min"/>
        <cfvo type="percentile" val="50"/>
        <cfvo type="max"/>
        <color rgb="FF63BE7B"/>
        <color rgb="FFFFEB84"/>
        <color rgb="FFF8696B"/>
      </colorScale>
    </cfRule>
    <cfRule type="colorScale" priority="10134">
      <colorScale>
        <cfvo type="min"/>
        <cfvo type="percentile" val="50"/>
        <cfvo type="max"/>
        <color rgb="FF63BE7B"/>
        <color rgb="FFFFEB84"/>
        <color rgb="FFF8696B"/>
      </colorScale>
    </cfRule>
    <cfRule type="colorScale" priority="10137">
      <colorScale>
        <cfvo type="min"/>
        <cfvo type="percentile" val="50"/>
        <cfvo type="max"/>
        <color rgb="FF63BE7B"/>
        <color rgb="FFFFEB84"/>
        <color rgb="FFF8696B"/>
      </colorScale>
    </cfRule>
    <cfRule type="colorScale" priority="10136">
      <colorScale>
        <cfvo type="min"/>
        <cfvo type="percentile" val="50"/>
        <cfvo type="max"/>
        <color rgb="FF63BE7B"/>
        <color rgb="FFFFEB84"/>
        <color rgb="FFF8696B"/>
      </colorScale>
    </cfRule>
    <cfRule type="colorScale" priority="10259">
      <colorScale>
        <cfvo type="min"/>
        <cfvo type="percentile" val="50"/>
        <cfvo type="max"/>
        <color rgb="FF63BE7B"/>
        <color rgb="FFFFEB84"/>
        <color rgb="FFF8696B"/>
      </colorScale>
    </cfRule>
    <cfRule type="colorScale" priority="10258">
      <colorScale>
        <cfvo type="min"/>
        <cfvo type="percentile" val="50"/>
        <cfvo type="max"/>
        <color rgb="FF63BE7B"/>
        <color rgb="FFFFEB84"/>
        <color rgb="FFF8696B"/>
      </colorScale>
    </cfRule>
    <cfRule type="colorScale" priority="10492">
      <colorScale>
        <cfvo type="min"/>
        <cfvo type="percentile" val="50"/>
        <cfvo type="max"/>
        <color rgb="FFF8696B"/>
        <color rgb="FFFFEB84"/>
        <color rgb="FF63BE7B"/>
      </colorScale>
    </cfRule>
  </conditionalFormatting>
  <conditionalFormatting sqref="I36:I37">
    <cfRule type="colorScale" priority="10142">
      <colorScale>
        <cfvo type="min"/>
        <cfvo type="percentile" val="50"/>
        <cfvo type="max"/>
        <color rgb="FF63BE7B"/>
        <color rgb="FFFFEB84"/>
        <color rgb="FFF8696B"/>
      </colorScale>
    </cfRule>
    <cfRule type="colorScale" priority="10250">
      <colorScale>
        <cfvo type="min"/>
        <cfvo type="percentile" val="50"/>
        <cfvo type="max"/>
        <color rgb="FF63BE7B"/>
        <color rgb="FFFFEB84"/>
        <color rgb="FFF8696B"/>
      </colorScale>
    </cfRule>
    <cfRule type="colorScale" priority="11376">
      <colorScale>
        <cfvo type="min"/>
        <cfvo type="percentile" val="50"/>
        <cfvo type="max"/>
        <color rgb="FF63BE7B"/>
        <color rgb="FFFFEB84"/>
        <color rgb="FFF8696B"/>
      </colorScale>
    </cfRule>
  </conditionalFormatting>
  <conditionalFormatting sqref="I36:I41">
    <cfRule type="colorScale" priority="10260">
      <colorScale>
        <cfvo type="min"/>
        <cfvo type="percentile" val="50"/>
        <cfvo type="max"/>
        <color rgb="FF63BE7B"/>
        <color rgb="FFFFEB84"/>
        <color rgb="FFF8696B"/>
      </colorScale>
    </cfRule>
    <cfRule type="colorScale" priority="10152">
      <colorScale>
        <cfvo type="min"/>
        <cfvo type="percentile" val="50"/>
        <cfvo type="max"/>
        <color rgb="FF63BE7B"/>
        <color rgb="FFFFEB84"/>
        <color rgb="FFF8696B"/>
      </colorScale>
    </cfRule>
  </conditionalFormatting>
  <conditionalFormatting sqref="I42:I50">
    <cfRule type="colorScale" priority="7467">
      <colorScale>
        <cfvo type="min"/>
        <cfvo type="percentile" val="50"/>
        <cfvo type="max"/>
        <color rgb="FF63BE7B"/>
        <color rgb="FFFFEB84"/>
        <color rgb="FFF8696B"/>
      </colorScale>
    </cfRule>
  </conditionalFormatting>
  <conditionalFormatting sqref="I51:I53">
    <cfRule type="colorScale" priority="223">
      <colorScale>
        <cfvo type="min"/>
        <cfvo type="percentile" val="50"/>
        <cfvo type="max"/>
        <color rgb="FF63BE7B"/>
        <color rgb="FFFFEB84"/>
        <color rgb="FFF8696B"/>
      </colorScale>
    </cfRule>
    <cfRule type="colorScale" priority="4702">
      <colorScale>
        <cfvo type="min"/>
        <cfvo type="percentile" val="50"/>
        <cfvo type="max"/>
        <color rgb="FF63BE7B"/>
        <color rgb="FFFFEB84"/>
        <color rgb="FFF8696B"/>
      </colorScale>
    </cfRule>
    <cfRule type="colorScale" priority="4701">
      <colorScale>
        <cfvo type="min"/>
        <cfvo type="percentile" val="50"/>
        <cfvo type="max"/>
        <color rgb="FF63BE7B"/>
        <color rgb="FFFFEB84"/>
        <color rgb="FFF8696B"/>
      </colorScale>
    </cfRule>
    <cfRule type="colorScale" priority="194">
      <colorScale>
        <cfvo type="min"/>
        <cfvo type="percentile" val="50"/>
        <cfvo type="max"/>
        <color rgb="FFF8696B"/>
        <color rgb="FFFFEB84"/>
        <color rgb="FF63BE7B"/>
      </colorScale>
    </cfRule>
    <cfRule type="colorScale" priority="222">
      <colorScale>
        <cfvo type="min"/>
        <cfvo type="percentile" val="50"/>
        <cfvo type="max"/>
        <color rgb="FF63BE7B"/>
        <color rgb="FFFFEB84"/>
        <color rgb="FFF8696B"/>
      </colorScale>
    </cfRule>
    <cfRule type="colorScale" priority="4674">
      <colorScale>
        <cfvo type="min"/>
        <cfvo type="percentile" val="50"/>
        <cfvo type="max"/>
        <color rgb="FF63BE7B"/>
        <color rgb="FFFFEB84"/>
        <color rgb="FFF8696B"/>
      </colorScale>
    </cfRule>
    <cfRule type="colorScale" priority="4732">
      <colorScale>
        <cfvo type="min"/>
        <cfvo type="percentile" val="50"/>
        <cfvo type="max"/>
        <color rgb="FF63BE7B"/>
        <color rgb="FFFFEB84"/>
        <color rgb="FFF8696B"/>
      </colorScale>
    </cfRule>
    <cfRule type="colorScale" priority="4759">
      <colorScale>
        <cfvo type="min"/>
        <cfvo type="percentile" val="50"/>
        <cfvo type="max"/>
        <color rgb="FF63BE7B"/>
        <color rgb="FFFFEB84"/>
        <color rgb="FFF8696B"/>
      </colorScale>
    </cfRule>
    <cfRule type="colorScale" priority="4760">
      <colorScale>
        <cfvo type="min"/>
        <cfvo type="percentile" val="50"/>
        <cfvo type="max"/>
        <color rgb="FF63BE7B"/>
        <color rgb="FFFFEB84"/>
        <color rgb="FFF8696B"/>
      </colorScale>
    </cfRule>
  </conditionalFormatting>
  <conditionalFormatting sqref="I52:I53">
    <cfRule type="colorScale" priority="6320">
      <colorScale>
        <cfvo type="min"/>
        <cfvo type="percentile" val="50"/>
        <cfvo type="max"/>
        <color rgb="FF63BE7B"/>
        <color rgb="FFFFEB84"/>
        <color rgb="FFF8696B"/>
      </colorScale>
    </cfRule>
    <cfRule type="colorScale" priority="5916">
      <colorScale>
        <cfvo type="min"/>
        <cfvo type="percentile" val="50"/>
        <cfvo type="max"/>
        <color rgb="FFF8696B"/>
        <color rgb="FFFFEB84"/>
        <color rgb="FF63BE7B"/>
      </colorScale>
    </cfRule>
    <cfRule type="colorScale" priority="4698">
      <colorScale>
        <cfvo type="min"/>
        <cfvo type="percentile" val="50"/>
        <cfvo type="max"/>
        <color rgb="FF63BE7B"/>
        <color rgb="FFFFEB84"/>
        <color rgb="FFF8696B"/>
      </colorScale>
    </cfRule>
    <cfRule type="colorScale" priority="4697">
      <colorScale>
        <cfvo type="min"/>
        <cfvo type="percentile" val="50"/>
        <cfvo type="max"/>
        <color rgb="FF63BE7B"/>
        <color rgb="FFFFEB84"/>
        <color rgb="FFF8696B"/>
      </colorScale>
    </cfRule>
    <cfRule type="colorScale" priority="4696">
      <colorScale>
        <cfvo type="min"/>
        <cfvo type="percentile" val="50"/>
        <cfvo type="max"/>
        <color rgb="FF63BE7B"/>
        <color rgb="FFFFEB84"/>
        <color rgb="FFF8696B"/>
      </colorScale>
    </cfRule>
    <cfRule type="colorScale" priority="4695">
      <colorScale>
        <cfvo type="min"/>
        <cfvo type="percentile" val="50"/>
        <cfvo type="max"/>
        <color rgb="FF63BE7B"/>
        <color rgb="FFFFEB84"/>
        <color rgb="FFF8696B"/>
      </colorScale>
    </cfRule>
    <cfRule type="colorScale" priority="4694">
      <colorScale>
        <cfvo type="min"/>
        <cfvo type="percentile" val="50"/>
        <cfvo type="max"/>
        <color rgb="FF63BE7B"/>
        <color rgb="FFFFEB84"/>
        <color rgb="FFF8696B"/>
      </colorScale>
    </cfRule>
    <cfRule type="colorScale" priority="4693">
      <colorScale>
        <cfvo type="min"/>
        <cfvo type="percentile" val="50"/>
        <cfvo type="max"/>
        <color rgb="FF63BE7B"/>
        <color rgb="FFFFEB84"/>
        <color rgb="FFF8696B"/>
      </colorScale>
    </cfRule>
    <cfRule type="colorScale" priority="4692">
      <colorScale>
        <cfvo type="min"/>
        <cfvo type="percentile" val="50"/>
        <cfvo type="max"/>
        <color rgb="FF63BE7B"/>
        <color rgb="FFFFEB84"/>
        <color rgb="FFF8696B"/>
      </colorScale>
    </cfRule>
    <cfRule type="colorScale" priority="4691">
      <colorScale>
        <cfvo type="min"/>
        <cfvo type="percentile" val="50"/>
        <cfvo type="max"/>
        <color rgb="FF63BE7B"/>
        <color rgb="FFFFEB84"/>
        <color rgb="FFF8696B"/>
      </colorScale>
    </cfRule>
    <cfRule type="colorScale" priority="4690">
      <colorScale>
        <cfvo type="min"/>
        <cfvo type="percentile" val="50"/>
        <cfvo type="max"/>
        <color rgb="FF63BE7B"/>
        <color rgb="FFFFEB84"/>
        <color rgb="FFF8696B"/>
      </colorScale>
    </cfRule>
    <cfRule type="colorScale" priority="4689">
      <colorScale>
        <cfvo type="min"/>
        <cfvo type="percentile" val="50"/>
        <cfvo type="max"/>
        <color rgb="FF63BE7B"/>
        <color rgb="FFFFEB84"/>
        <color rgb="FFF8696B"/>
      </colorScale>
    </cfRule>
    <cfRule type="colorScale" priority="4688">
      <colorScale>
        <cfvo type="min"/>
        <cfvo type="percentile" val="50"/>
        <cfvo type="max"/>
        <color rgb="FF63BE7B"/>
        <color rgb="FFFFEB84"/>
        <color rgb="FFF8696B"/>
      </colorScale>
    </cfRule>
    <cfRule type="colorScale" priority="4687">
      <colorScale>
        <cfvo type="min"/>
        <cfvo type="percentile" val="50"/>
        <cfvo type="max"/>
        <color rgb="FF63BE7B"/>
        <color rgb="FFFFEB84"/>
        <color rgb="FFF8696B"/>
      </colorScale>
    </cfRule>
    <cfRule type="colorScale" priority="4686">
      <colorScale>
        <cfvo type="min"/>
        <cfvo type="percentile" val="50"/>
        <cfvo type="max"/>
        <color rgb="FF63BE7B"/>
        <color rgb="FFFFEB84"/>
        <color rgb="FFF8696B"/>
      </colorScale>
    </cfRule>
    <cfRule type="colorScale" priority="4685">
      <colorScale>
        <cfvo type="min"/>
        <cfvo type="percentile" val="50"/>
        <cfvo type="max"/>
        <color rgb="FF63BE7B"/>
        <color rgb="FFFFEB84"/>
        <color rgb="FFF8696B"/>
      </colorScale>
    </cfRule>
    <cfRule type="colorScale" priority="4684">
      <colorScale>
        <cfvo type="min"/>
        <cfvo type="percentile" val="50"/>
        <cfvo type="max"/>
        <color rgb="FF63BE7B"/>
        <color rgb="FFFFEB84"/>
        <color rgb="FFF8696B"/>
      </colorScale>
    </cfRule>
    <cfRule type="colorScale" priority="4683">
      <colorScale>
        <cfvo type="min"/>
        <cfvo type="percentile" val="50"/>
        <cfvo type="max"/>
        <color rgb="FF63BE7B"/>
        <color rgb="FFFFEB84"/>
        <color rgb="FFF8696B"/>
      </colorScale>
    </cfRule>
    <cfRule type="colorScale" priority="4682">
      <colorScale>
        <cfvo type="min"/>
        <cfvo type="percentile" val="50"/>
        <cfvo type="max"/>
        <color rgb="FF63BE7B"/>
        <color rgb="FFFFEB84"/>
        <color rgb="FFF8696B"/>
      </colorScale>
    </cfRule>
    <cfRule type="colorScale" priority="4681">
      <colorScale>
        <cfvo type="min"/>
        <cfvo type="percentile" val="50"/>
        <cfvo type="max"/>
        <color rgb="FF63BE7B"/>
        <color rgb="FFFFEB84"/>
        <color rgb="FFF8696B"/>
      </colorScale>
    </cfRule>
    <cfRule type="colorScale" priority="4680">
      <colorScale>
        <cfvo type="min"/>
        <cfvo type="percentile" val="50"/>
        <cfvo type="max"/>
        <color rgb="FF63BE7B"/>
        <color rgb="FFFFEB84"/>
        <color rgb="FFF8696B"/>
      </colorScale>
    </cfRule>
    <cfRule type="colorScale" priority="4679">
      <colorScale>
        <cfvo type="min"/>
        <cfvo type="percentile" val="50"/>
        <cfvo type="max"/>
        <color rgb="FF63BE7B"/>
        <color rgb="FFFFEB84"/>
        <color rgb="FFF8696B"/>
      </colorScale>
    </cfRule>
    <cfRule type="colorScale" priority="4678">
      <colorScale>
        <cfvo type="min"/>
        <cfvo type="percentile" val="50"/>
        <cfvo type="max"/>
        <color rgb="FF63BE7B"/>
        <color rgb="FFFFEB84"/>
        <color rgb="FFF8696B"/>
      </colorScale>
    </cfRule>
    <cfRule type="colorScale" priority="4677">
      <colorScale>
        <cfvo type="min"/>
        <cfvo type="percentile" val="50"/>
        <cfvo type="max"/>
        <color rgb="FF63BE7B"/>
        <color rgb="FFFFEB84"/>
        <color rgb="FFF8696B"/>
      </colorScale>
    </cfRule>
    <cfRule type="colorScale" priority="4676">
      <colorScale>
        <cfvo type="min"/>
        <cfvo type="percentile" val="50"/>
        <cfvo type="max"/>
        <color rgb="FF63BE7B"/>
        <color rgb="FFFFEB84"/>
        <color rgb="FFF8696B"/>
      </colorScale>
    </cfRule>
    <cfRule type="colorScale" priority="4675">
      <colorScale>
        <cfvo type="min"/>
        <cfvo type="percentile" val="50"/>
        <cfvo type="max"/>
        <color rgb="FF63BE7B"/>
        <color rgb="FFFFEB84"/>
        <color rgb="FFF8696B"/>
      </colorScale>
    </cfRule>
    <cfRule type="colorScale" priority="6329">
      <colorScale>
        <cfvo type="min"/>
        <cfvo type="percentile" val="50"/>
        <cfvo type="max"/>
        <color rgb="FF63BE7B"/>
        <color rgb="FFFFEB84"/>
        <color rgb="FFF8696B"/>
      </colorScale>
    </cfRule>
    <cfRule type="colorScale" priority="6328">
      <colorScale>
        <cfvo type="min"/>
        <cfvo type="percentile" val="50"/>
        <cfvo type="max"/>
        <color rgb="FF63BE7B"/>
        <color rgb="FFFFEB84"/>
        <color rgb="FFF8696B"/>
      </colorScale>
    </cfRule>
    <cfRule type="colorScale" priority="6327">
      <colorScale>
        <cfvo type="min"/>
        <cfvo type="percentile" val="50"/>
        <cfvo type="max"/>
        <color rgb="FF63BE7B"/>
        <color rgb="FFFFEB84"/>
        <color rgb="FFF8696B"/>
      </colorScale>
    </cfRule>
    <cfRule type="colorScale" priority="6326">
      <colorScale>
        <cfvo type="min"/>
        <cfvo type="percentile" val="50"/>
        <cfvo type="max"/>
        <color rgb="FF63BE7B"/>
        <color rgb="FFFFEB84"/>
        <color rgb="FFF8696B"/>
      </colorScale>
    </cfRule>
    <cfRule type="colorScale" priority="6325">
      <colorScale>
        <cfvo type="min"/>
        <cfvo type="percentile" val="50"/>
        <cfvo type="max"/>
        <color rgb="FF63BE7B"/>
        <color rgb="FFFFEB84"/>
        <color rgb="FFF8696B"/>
      </colorScale>
    </cfRule>
    <cfRule type="colorScale" priority="6324">
      <colorScale>
        <cfvo type="min"/>
        <cfvo type="percentile" val="50"/>
        <cfvo type="max"/>
        <color rgb="FF63BE7B"/>
        <color rgb="FFFFEB84"/>
        <color rgb="FFF8696B"/>
      </colorScale>
    </cfRule>
    <cfRule type="colorScale" priority="6323">
      <colorScale>
        <cfvo type="min"/>
        <cfvo type="percentile" val="50"/>
        <cfvo type="max"/>
        <color rgb="FF63BE7B"/>
        <color rgb="FFFFEB84"/>
        <color rgb="FFF8696B"/>
      </colorScale>
    </cfRule>
    <cfRule type="colorScale" priority="6322">
      <colorScale>
        <cfvo type="min"/>
        <cfvo type="percentile" val="50"/>
        <cfvo type="max"/>
        <color rgb="FF63BE7B"/>
        <color rgb="FFFFEB84"/>
        <color rgb="FFF8696B"/>
      </colorScale>
    </cfRule>
    <cfRule type="colorScale" priority="6321">
      <colorScale>
        <cfvo type="min"/>
        <cfvo type="percentile" val="50"/>
        <cfvo type="max"/>
        <color rgb="FF63BE7B"/>
        <color rgb="FFFFEB84"/>
        <color rgb="FFF8696B"/>
      </colorScale>
    </cfRule>
    <cfRule type="colorScale" priority="6319">
      <colorScale>
        <cfvo type="min"/>
        <cfvo type="percentile" val="50"/>
        <cfvo type="max"/>
        <color rgb="FF63BE7B"/>
        <color rgb="FFFFEB84"/>
        <color rgb="FFF8696B"/>
      </colorScale>
    </cfRule>
    <cfRule type="colorScale" priority="6318">
      <colorScale>
        <cfvo type="min"/>
        <cfvo type="percentile" val="50"/>
        <cfvo type="max"/>
        <color rgb="FF63BE7B"/>
        <color rgb="FFFFEB84"/>
        <color rgb="FFF8696B"/>
      </colorScale>
    </cfRule>
    <cfRule type="colorScale" priority="6317">
      <colorScale>
        <cfvo type="min"/>
        <cfvo type="percentile" val="50"/>
        <cfvo type="max"/>
        <color rgb="FF63BE7B"/>
        <color rgb="FFFFEB84"/>
        <color rgb="FFF8696B"/>
      </colorScale>
    </cfRule>
    <cfRule type="colorScale" priority="6316">
      <colorScale>
        <cfvo type="min"/>
        <cfvo type="percentile" val="50"/>
        <cfvo type="max"/>
        <color rgb="FF63BE7B"/>
        <color rgb="FFFFEB84"/>
        <color rgb="FFF8696B"/>
      </colorScale>
    </cfRule>
    <cfRule type="colorScale" priority="7041">
      <colorScale>
        <cfvo type="min"/>
        <cfvo type="percentile" val="50"/>
        <cfvo type="max"/>
        <color rgb="FF63BE7B"/>
        <color rgb="FFFFEB84"/>
        <color rgb="FFF8696B"/>
      </colorScale>
    </cfRule>
    <cfRule type="colorScale" priority="7042">
      <colorScale>
        <cfvo type="min"/>
        <cfvo type="percentile" val="50"/>
        <cfvo type="max"/>
        <color rgb="FF63BE7B"/>
        <color rgb="FFFFEB84"/>
        <color rgb="FFF8696B"/>
      </colorScale>
    </cfRule>
    <cfRule type="colorScale" priority="7043">
      <colorScale>
        <cfvo type="min"/>
        <cfvo type="percentile" val="50"/>
        <cfvo type="max"/>
        <color rgb="FF63BE7B"/>
        <color rgb="FFFFEB84"/>
        <color rgb="FFF8696B"/>
      </colorScale>
    </cfRule>
    <cfRule type="colorScale" priority="7044">
      <colorScale>
        <cfvo type="min"/>
        <cfvo type="percentile" val="50"/>
        <cfvo type="max"/>
        <color rgb="FF63BE7B"/>
        <color rgb="FFFFEB84"/>
        <color rgb="FFF8696B"/>
      </colorScale>
    </cfRule>
    <cfRule type="colorScale" priority="7045">
      <colorScale>
        <cfvo type="min"/>
        <cfvo type="percentile" val="50"/>
        <cfvo type="max"/>
        <color rgb="FF63BE7B"/>
        <color rgb="FFFFEB84"/>
        <color rgb="FFF8696B"/>
      </colorScale>
    </cfRule>
    <cfRule type="colorScale" priority="7046">
      <colorScale>
        <cfvo type="min"/>
        <cfvo type="percentile" val="50"/>
        <cfvo type="max"/>
        <color rgb="FF63BE7B"/>
        <color rgb="FFFFEB84"/>
        <color rgb="FFF8696B"/>
      </colorScale>
    </cfRule>
    <cfRule type="colorScale" priority="7047">
      <colorScale>
        <cfvo type="min"/>
        <cfvo type="percentile" val="50"/>
        <cfvo type="max"/>
        <color rgb="FF63BE7B"/>
        <color rgb="FFFFEB84"/>
        <color rgb="FFF8696B"/>
      </colorScale>
    </cfRule>
    <cfRule type="colorScale" priority="7048">
      <colorScale>
        <cfvo type="min"/>
        <cfvo type="percentile" val="50"/>
        <cfvo type="max"/>
        <color rgb="FF63BE7B"/>
        <color rgb="FFFFEB84"/>
        <color rgb="FFF8696B"/>
      </colorScale>
    </cfRule>
    <cfRule type="colorScale" priority="7049">
      <colorScale>
        <cfvo type="min"/>
        <cfvo type="percentile" val="50"/>
        <cfvo type="max"/>
        <color rgb="FF63BE7B"/>
        <color rgb="FFFFEB84"/>
        <color rgb="FFF8696B"/>
      </colorScale>
    </cfRule>
    <cfRule type="colorScale" priority="7088">
      <colorScale>
        <cfvo type="min"/>
        <cfvo type="percentile" val="50"/>
        <cfvo type="max"/>
        <color rgb="FFF8696B"/>
        <color rgb="FFFFEB84"/>
        <color rgb="FF63BE7B"/>
      </colorScale>
    </cfRule>
    <cfRule type="colorScale" priority="7089">
      <colorScale>
        <cfvo type="min"/>
        <cfvo type="percentile" val="50"/>
        <cfvo type="max"/>
        <color rgb="FF63BE7B"/>
        <color rgb="FFFFEB84"/>
        <color rgb="FFF8696B"/>
      </colorScale>
    </cfRule>
    <cfRule type="colorScale" priority="7090">
      <colorScale>
        <cfvo type="min"/>
        <cfvo type="percentile" val="50"/>
        <cfvo type="max"/>
        <color rgb="FF63BE7B"/>
        <color rgb="FFFFEB84"/>
        <color rgb="FFF8696B"/>
      </colorScale>
    </cfRule>
    <cfRule type="colorScale" priority="6315">
      <colorScale>
        <cfvo type="min"/>
        <cfvo type="percentile" val="50"/>
        <cfvo type="max"/>
        <color rgb="FF63BE7B"/>
        <color rgb="FFFFEB84"/>
        <color rgb="FFF8696B"/>
      </colorScale>
    </cfRule>
    <cfRule type="colorScale" priority="6314">
      <colorScale>
        <cfvo type="min"/>
        <cfvo type="percentile" val="50"/>
        <cfvo type="max"/>
        <color rgb="FF63BE7B"/>
        <color rgb="FFFFEB84"/>
        <color rgb="FFF8696B"/>
      </colorScale>
    </cfRule>
    <cfRule type="colorScale" priority="6313">
      <colorScale>
        <cfvo type="min"/>
        <cfvo type="percentile" val="50"/>
        <cfvo type="max"/>
        <color rgb="FF63BE7B"/>
        <color rgb="FFFFEB84"/>
        <color rgb="FFF8696B"/>
      </colorScale>
    </cfRule>
    <cfRule type="colorScale" priority="6312">
      <colorScale>
        <cfvo type="min"/>
        <cfvo type="percentile" val="50"/>
        <cfvo type="max"/>
        <color rgb="FF63BE7B"/>
        <color rgb="FFFFEB84"/>
        <color rgb="FFF8696B"/>
      </colorScale>
    </cfRule>
    <cfRule type="colorScale" priority="6311">
      <colorScale>
        <cfvo type="min"/>
        <cfvo type="percentile" val="50"/>
        <cfvo type="max"/>
        <color rgb="FF63BE7B"/>
        <color rgb="FFFFEB84"/>
        <color rgb="FFF8696B"/>
      </colorScale>
    </cfRule>
    <cfRule type="colorScale" priority="4738">
      <colorScale>
        <cfvo type="min"/>
        <cfvo type="percentile" val="50"/>
        <cfvo type="max"/>
        <color rgb="FF63BE7B"/>
        <color rgb="FFFFEB84"/>
        <color rgb="FFF8696B"/>
      </colorScale>
    </cfRule>
    <cfRule type="colorScale" priority="195">
      <colorScale>
        <cfvo type="min"/>
        <cfvo type="percentile" val="50"/>
        <cfvo type="max"/>
        <color rgb="FF63BE7B"/>
        <color rgb="FFFFEB84"/>
        <color rgb="FFF8696B"/>
      </colorScale>
    </cfRule>
    <cfRule type="colorScale" priority="196">
      <colorScale>
        <cfvo type="min"/>
        <cfvo type="percentile" val="50"/>
        <cfvo type="max"/>
        <color rgb="FF63BE7B"/>
        <color rgb="FFFFEB84"/>
        <color rgb="FFF8696B"/>
      </colorScale>
    </cfRule>
    <cfRule type="colorScale" priority="197">
      <colorScale>
        <cfvo type="min"/>
        <cfvo type="percentile" val="50"/>
        <cfvo type="max"/>
        <color rgb="FF63BE7B"/>
        <color rgb="FFFFEB84"/>
        <color rgb="FFF8696B"/>
      </colorScale>
    </cfRule>
    <cfRule type="colorScale" priority="198">
      <colorScale>
        <cfvo type="min"/>
        <cfvo type="percentile" val="50"/>
        <cfvo type="max"/>
        <color rgb="FF63BE7B"/>
        <color rgb="FFFFEB84"/>
        <color rgb="FFF8696B"/>
      </colorScale>
    </cfRule>
    <cfRule type="colorScale" priority="199">
      <colorScale>
        <cfvo type="min"/>
        <cfvo type="percentile" val="50"/>
        <cfvo type="max"/>
        <color rgb="FF63BE7B"/>
        <color rgb="FFFFEB84"/>
        <color rgb="FFF8696B"/>
      </colorScale>
    </cfRule>
    <cfRule type="colorScale" priority="200">
      <colorScale>
        <cfvo type="min"/>
        <cfvo type="percentile" val="50"/>
        <cfvo type="max"/>
        <color rgb="FF63BE7B"/>
        <color rgb="FFFFEB84"/>
        <color rgb="FFF8696B"/>
      </colorScale>
    </cfRule>
    <cfRule type="colorScale" priority="201">
      <colorScale>
        <cfvo type="min"/>
        <cfvo type="percentile" val="50"/>
        <cfvo type="max"/>
        <color rgb="FF63BE7B"/>
        <color rgb="FFFFEB84"/>
        <color rgb="FFF8696B"/>
      </colorScale>
    </cfRule>
    <cfRule type="colorScale" priority="202">
      <colorScale>
        <cfvo type="min"/>
        <cfvo type="percentile" val="50"/>
        <cfvo type="max"/>
        <color rgb="FF63BE7B"/>
        <color rgb="FFFFEB84"/>
        <color rgb="FFF8696B"/>
      </colorScale>
    </cfRule>
    <cfRule type="colorScale" priority="203">
      <colorScale>
        <cfvo type="min"/>
        <cfvo type="percentile" val="50"/>
        <cfvo type="max"/>
        <color rgb="FF63BE7B"/>
        <color rgb="FFFFEB84"/>
        <color rgb="FFF8696B"/>
      </colorScale>
    </cfRule>
    <cfRule type="colorScale" priority="204">
      <colorScale>
        <cfvo type="min"/>
        <cfvo type="percentile" val="50"/>
        <cfvo type="max"/>
        <color rgb="FF63BE7B"/>
        <color rgb="FFFFEB84"/>
        <color rgb="FFF8696B"/>
      </colorScale>
    </cfRule>
    <cfRule type="colorScale" priority="205">
      <colorScale>
        <cfvo type="min"/>
        <cfvo type="percentile" val="50"/>
        <cfvo type="max"/>
        <color rgb="FF63BE7B"/>
        <color rgb="FFFFEB84"/>
        <color rgb="FFF8696B"/>
      </colorScale>
    </cfRule>
    <cfRule type="colorScale" priority="206">
      <colorScale>
        <cfvo type="min"/>
        <cfvo type="percentile" val="50"/>
        <cfvo type="max"/>
        <color rgb="FF63BE7B"/>
        <color rgb="FFFFEB84"/>
        <color rgb="FFF8696B"/>
      </colorScale>
    </cfRule>
    <cfRule type="colorScale" priority="207">
      <colorScale>
        <cfvo type="min"/>
        <cfvo type="percentile" val="50"/>
        <cfvo type="max"/>
        <color rgb="FF63BE7B"/>
        <color rgb="FFFFEB84"/>
        <color rgb="FFF8696B"/>
      </colorScale>
    </cfRule>
    <cfRule type="colorScale" priority="208">
      <colorScale>
        <cfvo type="min"/>
        <cfvo type="percentile" val="50"/>
        <cfvo type="max"/>
        <color rgb="FF63BE7B"/>
        <color rgb="FFFFEB84"/>
        <color rgb="FFF8696B"/>
      </colorScale>
    </cfRule>
    <cfRule type="colorScale" priority="209">
      <colorScale>
        <cfvo type="min"/>
        <cfvo type="percentile" val="50"/>
        <cfvo type="max"/>
        <color rgb="FF63BE7B"/>
        <color rgb="FFFFEB84"/>
        <color rgb="FFF8696B"/>
      </colorScale>
    </cfRule>
    <cfRule type="colorScale" priority="210">
      <colorScale>
        <cfvo type="min"/>
        <cfvo type="percentile" val="50"/>
        <cfvo type="max"/>
        <color rgb="FF63BE7B"/>
        <color rgb="FFFFEB84"/>
        <color rgb="FFF8696B"/>
      </colorScale>
    </cfRule>
    <cfRule type="colorScale" priority="211">
      <colorScale>
        <cfvo type="min"/>
        <cfvo type="percentile" val="50"/>
        <cfvo type="max"/>
        <color rgb="FF63BE7B"/>
        <color rgb="FFFFEB84"/>
        <color rgb="FFF8696B"/>
      </colorScale>
    </cfRule>
    <cfRule type="colorScale" priority="212">
      <colorScale>
        <cfvo type="min"/>
        <cfvo type="percentile" val="50"/>
        <cfvo type="max"/>
        <color rgb="FF63BE7B"/>
        <color rgb="FFFFEB84"/>
        <color rgb="FFF8696B"/>
      </colorScale>
    </cfRule>
    <cfRule type="colorScale" priority="213">
      <colorScale>
        <cfvo type="min"/>
        <cfvo type="percentile" val="50"/>
        <cfvo type="max"/>
        <color rgb="FF63BE7B"/>
        <color rgb="FFFFEB84"/>
        <color rgb="FFF8696B"/>
      </colorScale>
    </cfRule>
    <cfRule type="colorScale" priority="214">
      <colorScale>
        <cfvo type="min"/>
        <cfvo type="percentile" val="50"/>
        <cfvo type="max"/>
        <color rgb="FF63BE7B"/>
        <color rgb="FFFFEB84"/>
        <color rgb="FFF8696B"/>
      </colorScale>
    </cfRule>
    <cfRule type="colorScale" priority="215">
      <colorScale>
        <cfvo type="min"/>
        <cfvo type="percentile" val="50"/>
        <cfvo type="max"/>
        <color rgb="FF63BE7B"/>
        <color rgb="FFFFEB84"/>
        <color rgb="FFF8696B"/>
      </colorScale>
    </cfRule>
    <cfRule type="colorScale" priority="216">
      <colorScale>
        <cfvo type="min"/>
        <cfvo type="percentile" val="50"/>
        <cfvo type="max"/>
        <color rgb="FF63BE7B"/>
        <color rgb="FFFFEB84"/>
        <color rgb="FFF8696B"/>
      </colorScale>
    </cfRule>
    <cfRule type="colorScale" priority="217">
      <colorScale>
        <cfvo type="min"/>
        <cfvo type="percentile" val="50"/>
        <cfvo type="max"/>
        <color rgb="FF63BE7B"/>
        <color rgb="FFFFEB84"/>
        <color rgb="FFF8696B"/>
      </colorScale>
    </cfRule>
    <cfRule type="colorScale" priority="218">
      <colorScale>
        <cfvo type="min"/>
        <cfvo type="percentile" val="50"/>
        <cfvo type="max"/>
        <color rgb="FF63BE7B"/>
        <color rgb="FFFFEB84"/>
        <color rgb="FFF8696B"/>
      </colorScale>
    </cfRule>
    <cfRule type="colorScale" priority="219">
      <colorScale>
        <cfvo type="min"/>
        <cfvo type="percentile" val="50"/>
        <cfvo type="max"/>
        <color rgb="FF63BE7B"/>
        <color rgb="FFFFEB84"/>
        <color rgb="FFF8696B"/>
      </colorScale>
    </cfRule>
    <cfRule type="colorScale" priority="220">
      <colorScale>
        <cfvo type="min"/>
        <cfvo type="percentile" val="50"/>
        <cfvo type="max"/>
        <color rgb="FF63BE7B"/>
        <color rgb="FFFFEB84"/>
        <color rgb="FFF8696B"/>
      </colorScale>
    </cfRule>
    <cfRule type="colorScale" priority="221">
      <colorScale>
        <cfvo type="min"/>
        <cfvo type="percentile" val="50"/>
        <cfvo type="max"/>
        <color rgb="FF63BE7B"/>
        <color rgb="FFFFEB84"/>
        <color rgb="FFF8696B"/>
      </colorScale>
    </cfRule>
    <cfRule type="colorScale" priority="224">
      <colorScale>
        <cfvo type="min"/>
        <cfvo type="percentile" val="50"/>
        <cfvo type="max"/>
        <color rgb="FFF8696B"/>
        <color rgb="FFFFEB84"/>
        <color rgb="FF63BE7B"/>
      </colorScale>
    </cfRule>
    <cfRule type="colorScale" priority="225">
      <colorScale>
        <cfvo type="min"/>
        <cfvo type="percentile" val="50"/>
        <cfvo type="max"/>
        <color rgb="FF63BE7B"/>
        <color rgb="FFFFEB84"/>
        <color rgb="FFF8696B"/>
      </colorScale>
    </cfRule>
    <cfRule type="colorScale" priority="226">
      <colorScale>
        <cfvo type="min"/>
        <cfvo type="percentile" val="50"/>
        <cfvo type="max"/>
        <color rgb="FF63BE7B"/>
        <color rgb="FFFFEB84"/>
        <color rgb="FFF8696B"/>
      </colorScale>
    </cfRule>
    <cfRule type="colorScale" priority="227">
      <colorScale>
        <cfvo type="min"/>
        <cfvo type="percentile" val="50"/>
        <cfvo type="max"/>
        <color rgb="FF63BE7B"/>
        <color rgb="FFFFEB84"/>
        <color rgb="FFF8696B"/>
      </colorScale>
    </cfRule>
    <cfRule type="colorScale" priority="228">
      <colorScale>
        <cfvo type="min"/>
        <cfvo type="percentile" val="50"/>
        <cfvo type="max"/>
        <color rgb="FF63BE7B"/>
        <color rgb="FFFFEB84"/>
        <color rgb="FFF8696B"/>
      </colorScale>
    </cfRule>
    <cfRule type="colorScale" priority="229">
      <colorScale>
        <cfvo type="min"/>
        <cfvo type="percentile" val="50"/>
        <cfvo type="max"/>
        <color rgb="FF63BE7B"/>
        <color rgb="FFFFEB84"/>
        <color rgb="FFF8696B"/>
      </colorScale>
    </cfRule>
    <cfRule type="colorScale" priority="230">
      <colorScale>
        <cfvo type="min"/>
        <cfvo type="percentile" val="50"/>
        <cfvo type="max"/>
        <color rgb="FF63BE7B"/>
        <color rgb="FFFFEB84"/>
        <color rgb="FFF8696B"/>
      </colorScale>
    </cfRule>
    <cfRule type="colorScale" priority="231">
      <colorScale>
        <cfvo type="min"/>
        <cfvo type="percentile" val="50"/>
        <cfvo type="max"/>
        <color rgb="FF63BE7B"/>
        <color rgb="FFFFEB84"/>
        <color rgb="FFF8696B"/>
      </colorScale>
    </cfRule>
    <cfRule type="colorScale" priority="232">
      <colorScale>
        <cfvo type="min"/>
        <cfvo type="percentile" val="50"/>
        <cfvo type="max"/>
        <color rgb="FF63BE7B"/>
        <color rgb="FFFFEB84"/>
        <color rgb="FFF8696B"/>
      </colorScale>
    </cfRule>
    <cfRule type="colorScale" priority="233">
      <colorScale>
        <cfvo type="min"/>
        <cfvo type="percentile" val="50"/>
        <cfvo type="max"/>
        <color rgb="FF63BE7B"/>
        <color rgb="FFFFEB84"/>
        <color rgb="FFF8696B"/>
      </colorScale>
    </cfRule>
    <cfRule type="colorScale" priority="234">
      <colorScale>
        <cfvo type="min"/>
        <cfvo type="percentile" val="50"/>
        <cfvo type="max"/>
        <color rgb="FF63BE7B"/>
        <color rgb="FFFFEB84"/>
        <color rgb="FFF8696B"/>
      </colorScale>
    </cfRule>
    <cfRule type="colorScale" priority="235">
      <colorScale>
        <cfvo type="min"/>
        <cfvo type="percentile" val="50"/>
        <cfvo type="max"/>
        <color rgb="FF63BE7B"/>
        <color rgb="FFFFEB84"/>
        <color rgb="FFF8696B"/>
      </colorScale>
    </cfRule>
    <cfRule type="colorScale" priority="236">
      <colorScale>
        <cfvo type="min"/>
        <cfvo type="percentile" val="50"/>
        <cfvo type="max"/>
        <color rgb="FF63BE7B"/>
        <color rgb="FFFFEB84"/>
        <color rgb="FFF8696B"/>
      </colorScale>
    </cfRule>
    <cfRule type="colorScale" priority="237">
      <colorScale>
        <cfvo type="min"/>
        <cfvo type="percentile" val="50"/>
        <cfvo type="max"/>
        <color rgb="FF63BE7B"/>
        <color rgb="FFFFEB84"/>
        <color rgb="FFF8696B"/>
      </colorScale>
    </cfRule>
    <cfRule type="colorScale" priority="238">
      <colorScale>
        <cfvo type="min"/>
        <cfvo type="percentile" val="50"/>
        <cfvo type="max"/>
        <color rgb="FF63BE7B"/>
        <color rgb="FFFFEB84"/>
        <color rgb="FFF8696B"/>
      </colorScale>
    </cfRule>
    <cfRule type="colorScale" priority="239">
      <colorScale>
        <cfvo type="min"/>
        <cfvo type="percentile" val="50"/>
        <cfvo type="max"/>
        <color rgb="FF63BE7B"/>
        <color rgb="FFFFEB84"/>
        <color rgb="FFF8696B"/>
      </colorScale>
    </cfRule>
    <cfRule type="colorScale" priority="240">
      <colorScale>
        <cfvo type="min"/>
        <cfvo type="percentile" val="50"/>
        <cfvo type="max"/>
        <color rgb="FF63BE7B"/>
        <color rgb="FFFFEB84"/>
        <color rgb="FFF8696B"/>
      </colorScale>
    </cfRule>
    <cfRule type="colorScale" priority="241">
      <colorScale>
        <cfvo type="min"/>
        <cfvo type="percentile" val="50"/>
        <cfvo type="max"/>
        <color rgb="FF63BE7B"/>
        <color rgb="FFFFEB84"/>
        <color rgb="FFF8696B"/>
      </colorScale>
    </cfRule>
    <cfRule type="colorScale" priority="242">
      <colorScale>
        <cfvo type="min"/>
        <cfvo type="percentile" val="50"/>
        <cfvo type="max"/>
        <color rgb="FF63BE7B"/>
        <color rgb="FFFFEB84"/>
        <color rgb="FFF8696B"/>
      </colorScale>
    </cfRule>
    <cfRule type="colorScale" priority="243">
      <colorScale>
        <cfvo type="min"/>
        <cfvo type="percentile" val="50"/>
        <cfvo type="max"/>
        <color rgb="FF63BE7B"/>
        <color rgb="FFFFEB84"/>
        <color rgb="FFF8696B"/>
      </colorScale>
    </cfRule>
    <cfRule type="colorScale" priority="244">
      <colorScale>
        <cfvo type="min"/>
        <cfvo type="percentile" val="50"/>
        <cfvo type="max"/>
        <color rgb="FF63BE7B"/>
        <color rgb="FFFFEB84"/>
        <color rgb="FFF8696B"/>
      </colorScale>
    </cfRule>
    <cfRule type="colorScale" priority="245">
      <colorScale>
        <cfvo type="min"/>
        <cfvo type="percentile" val="50"/>
        <cfvo type="max"/>
        <color rgb="FF63BE7B"/>
        <color rgb="FFFFEB84"/>
        <color rgb="FFF8696B"/>
      </colorScale>
    </cfRule>
    <cfRule type="colorScale" priority="246">
      <colorScale>
        <cfvo type="min"/>
        <cfvo type="percentile" val="50"/>
        <cfvo type="max"/>
        <color rgb="FF63BE7B"/>
        <color rgb="FFFFEB84"/>
        <color rgb="FFF8696B"/>
      </colorScale>
    </cfRule>
    <cfRule type="colorScale" priority="247">
      <colorScale>
        <cfvo type="min"/>
        <cfvo type="percentile" val="50"/>
        <cfvo type="max"/>
        <color rgb="FF63BE7B"/>
        <color rgb="FFFFEB84"/>
        <color rgb="FFF8696B"/>
      </colorScale>
    </cfRule>
    <cfRule type="colorScale" priority="248">
      <colorScale>
        <cfvo type="min"/>
        <cfvo type="percentile" val="50"/>
        <cfvo type="max"/>
        <color rgb="FF63BE7B"/>
        <color rgb="FFFFEB84"/>
        <color rgb="FFF8696B"/>
      </colorScale>
    </cfRule>
    <cfRule type="colorScale" priority="249">
      <colorScale>
        <cfvo type="min"/>
        <cfvo type="percentile" val="50"/>
        <cfvo type="max"/>
        <color rgb="FF63BE7B"/>
        <color rgb="FFFFEB84"/>
        <color rgb="FFF8696B"/>
      </colorScale>
    </cfRule>
    <cfRule type="colorScale" priority="250">
      <colorScale>
        <cfvo type="min"/>
        <cfvo type="percentile" val="50"/>
        <cfvo type="max"/>
        <color rgb="FF63BE7B"/>
        <color rgb="FFFFEB84"/>
        <color rgb="FFF8696B"/>
      </colorScale>
    </cfRule>
    <cfRule type="colorScale" priority="251">
      <colorScale>
        <cfvo type="min"/>
        <cfvo type="percentile" val="50"/>
        <cfvo type="max"/>
        <color rgb="FF63BE7B"/>
        <color rgb="FFFFEB84"/>
        <color rgb="FFF8696B"/>
      </colorScale>
    </cfRule>
    <cfRule type="colorScale" priority="252">
      <colorScale>
        <cfvo type="min"/>
        <cfvo type="percentile" val="50"/>
        <cfvo type="max"/>
        <color rgb="FF63BE7B"/>
        <color rgb="FFFFEB84"/>
        <color rgb="FFF8696B"/>
      </colorScale>
    </cfRule>
    <cfRule type="colorScale" priority="253">
      <colorScale>
        <cfvo type="min"/>
        <cfvo type="percentile" val="50"/>
        <cfvo type="max"/>
        <color rgb="FF63BE7B"/>
        <color rgb="FFFFEB84"/>
        <color rgb="FFF8696B"/>
      </colorScale>
    </cfRule>
    <cfRule type="colorScale" priority="254">
      <colorScale>
        <cfvo type="min"/>
        <cfvo type="percentile" val="50"/>
        <cfvo type="max"/>
        <color rgb="FF63BE7B"/>
        <color rgb="FFFFEB84"/>
        <color rgb="FFF8696B"/>
      </colorScale>
    </cfRule>
    <cfRule type="colorScale" priority="255">
      <colorScale>
        <cfvo type="min"/>
        <cfvo type="percentile" val="50"/>
        <cfvo type="max"/>
        <color rgb="FF63BE7B"/>
        <color rgb="FFFFEB84"/>
        <color rgb="FFF8696B"/>
      </colorScale>
    </cfRule>
    <cfRule type="colorScale" priority="256">
      <colorScale>
        <cfvo type="min"/>
        <cfvo type="percentile" val="50"/>
        <cfvo type="max"/>
        <color rgb="FF63BE7B"/>
        <color rgb="FFFFEB84"/>
        <color rgb="FFF8696B"/>
      </colorScale>
    </cfRule>
    <cfRule type="colorScale" priority="257">
      <colorScale>
        <cfvo type="min"/>
        <cfvo type="percentile" val="50"/>
        <cfvo type="max"/>
        <color rgb="FF63BE7B"/>
        <color rgb="FFFFEB84"/>
        <color rgb="FFF8696B"/>
      </colorScale>
    </cfRule>
    <cfRule type="colorScale" priority="258">
      <colorScale>
        <cfvo type="min"/>
        <cfvo type="percentile" val="50"/>
        <cfvo type="max"/>
        <color rgb="FF63BE7B"/>
        <color rgb="FFFFEB84"/>
        <color rgb="FFF8696B"/>
      </colorScale>
    </cfRule>
    <cfRule type="colorScale" priority="259">
      <colorScale>
        <cfvo type="min"/>
        <cfvo type="percentile" val="50"/>
        <cfvo type="max"/>
        <color rgb="FF63BE7B"/>
        <color rgb="FFFFEB84"/>
        <color rgb="FFF8696B"/>
      </colorScale>
    </cfRule>
    <cfRule type="colorScale" priority="260">
      <colorScale>
        <cfvo type="min"/>
        <cfvo type="percentile" val="50"/>
        <cfvo type="max"/>
        <color rgb="FF63BE7B"/>
        <color rgb="FFFFEB84"/>
        <color rgb="FFF8696B"/>
      </colorScale>
    </cfRule>
    <cfRule type="colorScale" priority="261">
      <colorScale>
        <cfvo type="min"/>
        <cfvo type="percentile" val="50"/>
        <cfvo type="max"/>
        <color rgb="FF63BE7B"/>
        <color rgb="FFFFEB84"/>
        <color rgb="FFF8696B"/>
      </colorScale>
    </cfRule>
    <cfRule type="colorScale" priority="262">
      <colorScale>
        <cfvo type="min"/>
        <cfvo type="percentile" val="50"/>
        <cfvo type="max"/>
        <color rgb="FF63BE7B"/>
        <color rgb="FFFFEB84"/>
        <color rgb="FFF8696B"/>
      </colorScale>
    </cfRule>
    <cfRule type="colorScale" priority="263">
      <colorScale>
        <cfvo type="min"/>
        <cfvo type="percentile" val="50"/>
        <cfvo type="max"/>
        <color rgb="FFF8696B"/>
        <color rgb="FFFFEB84"/>
        <color rgb="FF63BE7B"/>
      </colorScale>
    </cfRule>
    <cfRule type="colorScale" priority="264">
      <colorScale>
        <cfvo type="min"/>
        <cfvo type="percentile" val="50"/>
        <cfvo type="max"/>
        <color rgb="FF63BE7B"/>
        <color rgb="FFFFEB84"/>
        <color rgb="FFF8696B"/>
      </colorScale>
    </cfRule>
    <cfRule type="colorScale" priority="265">
      <colorScale>
        <cfvo type="min"/>
        <cfvo type="percentile" val="50"/>
        <cfvo type="max"/>
        <color rgb="FF63BE7B"/>
        <color rgb="FFFFEB84"/>
        <color rgb="FFF8696B"/>
      </colorScale>
    </cfRule>
    <cfRule type="colorScale" priority="266">
      <colorScale>
        <cfvo type="min"/>
        <cfvo type="percentile" val="50"/>
        <cfvo type="max"/>
        <color rgb="FF63BE7B"/>
        <color rgb="FFFFEB84"/>
        <color rgb="FFF8696B"/>
      </colorScale>
    </cfRule>
    <cfRule type="colorScale" priority="267">
      <colorScale>
        <cfvo type="min"/>
        <cfvo type="percentile" val="50"/>
        <cfvo type="max"/>
        <color rgb="FF63BE7B"/>
        <color rgb="FFFFEB84"/>
        <color rgb="FFF8696B"/>
      </colorScale>
    </cfRule>
    <cfRule type="colorScale" priority="268">
      <colorScale>
        <cfvo type="min"/>
        <cfvo type="percentile" val="50"/>
        <cfvo type="max"/>
        <color rgb="FF63BE7B"/>
        <color rgb="FFFFEB84"/>
        <color rgb="FFF8696B"/>
      </colorScale>
    </cfRule>
    <cfRule type="colorScale" priority="269">
      <colorScale>
        <cfvo type="min"/>
        <cfvo type="percentile" val="50"/>
        <cfvo type="max"/>
        <color rgb="FF63BE7B"/>
        <color rgb="FFFFEB84"/>
        <color rgb="FFF8696B"/>
      </colorScale>
    </cfRule>
    <cfRule type="colorScale" priority="270">
      <colorScale>
        <cfvo type="min"/>
        <cfvo type="percentile" val="50"/>
        <cfvo type="max"/>
        <color rgb="FF63BE7B"/>
        <color rgb="FFFFEB84"/>
        <color rgb="FFF8696B"/>
      </colorScale>
    </cfRule>
    <cfRule type="colorScale" priority="271">
      <colorScale>
        <cfvo type="min"/>
        <cfvo type="percentile" val="50"/>
        <cfvo type="max"/>
        <color rgb="FF63BE7B"/>
        <color rgb="FFFFEB84"/>
        <color rgb="FFF8696B"/>
      </colorScale>
    </cfRule>
    <cfRule type="colorScale" priority="272">
      <colorScale>
        <cfvo type="min"/>
        <cfvo type="percentile" val="50"/>
        <cfvo type="max"/>
        <color rgb="FF63BE7B"/>
        <color rgb="FFFFEB84"/>
        <color rgb="FFF8696B"/>
      </colorScale>
    </cfRule>
    <cfRule type="colorScale" priority="273">
      <colorScale>
        <cfvo type="min"/>
        <cfvo type="percentile" val="50"/>
        <cfvo type="max"/>
        <color rgb="FF63BE7B"/>
        <color rgb="FFFFEB84"/>
        <color rgb="FFF8696B"/>
      </colorScale>
    </cfRule>
    <cfRule type="colorScale" priority="274">
      <colorScale>
        <cfvo type="min"/>
        <cfvo type="percentile" val="50"/>
        <cfvo type="max"/>
        <color rgb="FF63BE7B"/>
        <color rgb="FFFFEB84"/>
        <color rgb="FFF8696B"/>
      </colorScale>
    </cfRule>
    <cfRule type="colorScale" priority="275">
      <colorScale>
        <cfvo type="min"/>
        <cfvo type="percentile" val="50"/>
        <cfvo type="max"/>
        <color rgb="FF63BE7B"/>
        <color rgb="FFFFEB84"/>
        <color rgb="FFF8696B"/>
      </colorScale>
    </cfRule>
    <cfRule type="colorScale" priority="276">
      <colorScale>
        <cfvo type="min"/>
        <cfvo type="percentile" val="50"/>
        <cfvo type="max"/>
        <color rgb="FF63BE7B"/>
        <color rgb="FFFFEB84"/>
        <color rgb="FFF8696B"/>
      </colorScale>
    </cfRule>
    <cfRule type="colorScale" priority="277">
      <colorScale>
        <cfvo type="min"/>
        <cfvo type="percentile" val="50"/>
        <cfvo type="max"/>
        <color rgb="FF63BE7B"/>
        <color rgb="FFFFEB84"/>
        <color rgb="FFF8696B"/>
      </colorScale>
    </cfRule>
    <cfRule type="colorScale" priority="278">
      <colorScale>
        <cfvo type="min"/>
        <cfvo type="percentile" val="50"/>
        <cfvo type="max"/>
        <color rgb="FF63BE7B"/>
        <color rgb="FFFFEB84"/>
        <color rgb="FFF8696B"/>
      </colorScale>
    </cfRule>
    <cfRule type="colorScale" priority="279">
      <colorScale>
        <cfvo type="min"/>
        <cfvo type="percentile" val="50"/>
        <cfvo type="max"/>
        <color rgb="FF63BE7B"/>
        <color rgb="FFFFEB84"/>
        <color rgb="FFF8696B"/>
      </colorScale>
    </cfRule>
    <cfRule type="colorScale" priority="280">
      <colorScale>
        <cfvo type="min"/>
        <cfvo type="percentile" val="50"/>
        <cfvo type="max"/>
        <color rgb="FF63BE7B"/>
        <color rgb="FFFFEB84"/>
        <color rgb="FFF8696B"/>
      </colorScale>
    </cfRule>
    <cfRule type="colorScale" priority="281">
      <colorScale>
        <cfvo type="min"/>
        <cfvo type="percentile" val="50"/>
        <cfvo type="max"/>
        <color rgb="FF63BE7B"/>
        <color rgb="FFFFEB84"/>
        <color rgb="FFF8696B"/>
      </colorScale>
    </cfRule>
    <cfRule type="colorScale" priority="282">
      <colorScale>
        <cfvo type="min"/>
        <cfvo type="percentile" val="50"/>
        <cfvo type="max"/>
        <color rgb="FF63BE7B"/>
        <color rgb="FFFFEB84"/>
        <color rgb="FFF8696B"/>
      </colorScale>
    </cfRule>
    <cfRule type="colorScale" priority="283">
      <colorScale>
        <cfvo type="min"/>
        <cfvo type="percentile" val="50"/>
        <cfvo type="max"/>
        <color rgb="FF63BE7B"/>
        <color rgb="FFFFEB84"/>
        <color rgb="FFF8696B"/>
      </colorScale>
    </cfRule>
    <cfRule type="colorScale" priority="284">
      <colorScale>
        <cfvo type="min"/>
        <cfvo type="percentile" val="50"/>
        <cfvo type="max"/>
        <color rgb="FF63BE7B"/>
        <color rgb="FFFFEB84"/>
        <color rgb="FFF8696B"/>
      </colorScale>
    </cfRule>
    <cfRule type="colorScale" priority="285">
      <colorScale>
        <cfvo type="min"/>
        <cfvo type="percentile" val="50"/>
        <cfvo type="max"/>
        <color rgb="FF63BE7B"/>
        <color rgb="FFFFEB84"/>
        <color rgb="FFF8696B"/>
      </colorScale>
    </cfRule>
    <cfRule type="colorScale" priority="286">
      <colorScale>
        <cfvo type="min"/>
        <cfvo type="percentile" val="50"/>
        <cfvo type="max"/>
        <color rgb="FF63BE7B"/>
        <color rgb="FFFFEB84"/>
        <color rgb="FFF8696B"/>
      </colorScale>
    </cfRule>
    <cfRule type="colorScale" priority="287">
      <colorScale>
        <cfvo type="min"/>
        <cfvo type="percentile" val="50"/>
        <cfvo type="max"/>
        <color rgb="FF63BE7B"/>
        <color rgb="FFFFEB84"/>
        <color rgb="FFF8696B"/>
      </colorScale>
    </cfRule>
    <cfRule type="colorScale" priority="288">
      <colorScale>
        <cfvo type="min"/>
        <cfvo type="percentile" val="50"/>
        <cfvo type="max"/>
        <color rgb="FF63BE7B"/>
        <color rgb="FFFFEB84"/>
        <color rgb="FFF8696B"/>
      </colorScale>
    </cfRule>
    <cfRule type="colorScale" priority="289">
      <colorScale>
        <cfvo type="min"/>
        <cfvo type="percentile" val="50"/>
        <cfvo type="max"/>
        <color rgb="FF63BE7B"/>
        <color rgb="FFFFEB84"/>
        <color rgb="FFF8696B"/>
      </colorScale>
    </cfRule>
    <cfRule type="colorScale" priority="290">
      <colorScale>
        <cfvo type="min"/>
        <cfvo type="percentile" val="50"/>
        <cfvo type="max"/>
        <color rgb="FF63BE7B"/>
        <color rgb="FFFFEB84"/>
        <color rgb="FFF8696B"/>
      </colorScale>
    </cfRule>
    <cfRule type="colorScale" priority="291">
      <colorScale>
        <cfvo type="min"/>
        <cfvo type="percentile" val="50"/>
        <cfvo type="max"/>
        <color rgb="FF63BE7B"/>
        <color rgb="FFFFEB84"/>
        <color rgb="FFF8696B"/>
      </colorScale>
    </cfRule>
    <cfRule type="colorScale" priority="292">
      <colorScale>
        <cfvo type="min"/>
        <cfvo type="percentile" val="50"/>
        <cfvo type="max"/>
        <color rgb="FF63BE7B"/>
        <color rgb="FFFFEB84"/>
        <color rgb="FFF8696B"/>
      </colorScale>
    </cfRule>
    <cfRule type="colorScale" priority="293">
      <colorScale>
        <cfvo type="min"/>
        <cfvo type="percentile" val="50"/>
        <cfvo type="max"/>
        <color rgb="FF63BE7B"/>
        <color rgb="FFFFEB84"/>
        <color rgb="FFF8696B"/>
      </colorScale>
    </cfRule>
    <cfRule type="colorScale" priority="294">
      <colorScale>
        <cfvo type="min"/>
        <cfvo type="percentile" val="50"/>
        <cfvo type="max"/>
        <color rgb="FF63BE7B"/>
        <color rgb="FFFFEB84"/>
        <color rgb="FFF8696B"/>
      </colorScale>
    </cfRule>
    <cfRule type="colorScale" priority="295">
      <colorScale>
        <cfvo type="min"/>
        <cfvo type="percentile" val="50"/>
        <cfvo type="max"/>
        <color rgb="FF63BE7B"/>
        <color rgb="FFFFEB84"/>
        <color rgb="FFF8696B"/>
      </colorScale>
    </cfRule>
    <cfRule type="colorScale" priority="296">
      <colorScale>
        <cfvo type="min"/>
        <cfvo type="percentile" val="50"/>
        <cfvo type="max"/>
        <color rgb="FF63BE7B"/>
        <color rgb="FFFFEB84"/>
        <color rgb="FFF8696B"/>
      </colorScale>
    </cfRule>
    <cfRule type="colorScale" priority="297">
      <colorScale>
        <cfvo type="min"/>
        <cfvo type="percentile" val="50"/>
        <cfvo type="max"/>
        <color rgb="FF63BE7B"/>
        <color rgb="FFFFEB84"/>
        <color rgb="FFF8696B"/>
      </colorScale>
    </cfRule>
    <cfRule type="colorScale" priority="298">
      <colorScale>
        <cfvo type="min"/>
        <cfvo type="percentile" val="50"/>
        <cfvo type="max"/>
        <color rgb="FF63BE7B"/>
        <color rgb="FFFFEB84"/>
        <color rgb="FFF8696B"/>
      </colorScale>
    </cfRule>
    <cfRule type="colorScale" priority="299">
      <colorScale>
        <cfvo type="min"/>
        <cfvo type="percentile" val="50"/>
        <cfvo type="max"/>
        <color rgb="FF63BE7B"/>
        <color rgb="FFFFEB84"/>
        <color rgb="FFF8696B"/>
      </colorScale>
    </cfRule>
    <cfRule type="colorScale" priority="300">
      <colorScale>
        <cfvo type="min"/>
        <cfvo type="percentile" val="50"/>
        <cfvo type="max"/>
        <color rgb="FF63BE7B"/>
        <color rgb="FFFFEB84"/>
        <color rgb="FFF8696B"/>
      </colorScale>
    </cfRule>
    <cfRule type="colorScale" priority="301">
      <colorScale>
        <cfvo type="min"/>
        <cfvo type="percentile" val="50"/>
        <cfvo type="max"/>
        <color rgb="FF63BE7B"/>
        <color rgb="FFFFEB84"/>
        <color rgb="FFF8696B"/>
      </colorScale>
    </cfRule>
    <cfRule type="colorScale" priority="302">
      <colorScale>
        <cfvo type="min"/>
        <cfvo type="percentile" val="50"/>
        <cfvo type="max"/>
        <color rgb="FF63BE7B"/>
        <color rgb="FFFFEB84"/>
        <color rgb="FFF8696B"/>
      </colorScale>
    </cfRule>
    <cfRule type="colorScale" priority="303">
      <colorScale>
        <cfvo type="min"/>
        <cfvo type="percentile" val="50"/>
        <cfvo type="max"/>
        <color rgb="FF63BE7B"/>
        <color rgb="FFFFEB84"/>
        <color rgb="FFF8696B"/>
      </colorScale>
    </cfRule>
    <cfRule type="colorScale" priority="304">
      <colorScale>
        <cfvo type="min"/>
        <cfvo type="percentile" val="50"/>
        <cfvo type="max"/>
        <color rgb="FF63BE7B"/>
        <color rgb="FFFFEB84"/>
        <color rgb="FFF8696B"/>
      </colorScale>
    </cfRule>
    <cfRule type="colorScale" priority="305">
      <colorScale>
        <cfvo type="min"/>
        <cfvo type="percentile" val="50"/>
        <cfvo type="max"/>
        <color rgb="FF63BE7B"/>
        <color rgb="FFFFEB84"/>
        <color rgb="FFF8696B"/>
      </colorScale>
    </cfRule>
    <cfRule type="colorScale" priority="306">
      <colorScale>
        <cfvo type="min"/>
        <cfvo type="percentile" val="50"/>
        <cfvo type="max"/>
        <color rgb="FF63BE7B"/>
        <color rgb="FFFFEB84"/>
        <color rgb="FFF8696B"/>
      </colorScale>
    </cfRule>
    <cfRule type="colorScale" priority="307">
      <colorScale>
        <cfvo type="min"/>
        <cfvo type="percentile" val="50"/>
        <cfvo type="max"/>
        <color rgb="FF63BE7B"/>
        <color rgb="FFFFEB84"/>
        <color rgb="FFF8696B"/>
      </colorScale>
    </cfRule>
    <cfRule type="colorScale" priority="308">
      <colorScale>
        <cfvo type="min"/>
        <cfvo type="percentile" val="50"/>
        <cfvo type="max"/>
        <color rgb="FF63BE7B"/>
        <color rgb="FFFFEB84"/>
        <color rgb="FFF8696B"/>
      </colorScale>
    </cfRule>
    <cfRule type="colorScale" priority="309">
      <colorScale>
        <cfvo type="min"/>
        <cfvo type="percentile" val="50"/>
        <cfvo type="max"/>
        <color rgb="FF63BE7B"/>
        <color rgb="FFFFEB84"/>
        <color rgb="FFF8696B"/>
      </colorScale>
    </cfRule>
    <cfRule type="colorScale" priority="310">
      <colorScale>
        <cfvo type="min"/>
        <cfvo type="percentile" val="50"/>
        <cfvo type="max"/>
        <color rgb="FF63BE7B"/>
        <color rgb="FFFFEB84"/>
        <color rgb="FFF8696B"/>
      </colorScale>
    </cfRule>
    <cfRule type="colorScale" priority="311">
      <colorScale>
        <cfvo type="min"/>
        <cfvo type="percentile" val="50"/>
        <cfvo type="max"/>
        <color rgb="FFF8696B"/>
        <color rgb="FFFFEB84"/>
        <color rgb="FF63BE7B"/>
      </colorScale>
    </cfRule>
    <cfRule type="colorScale" priority="312">
      <colorScale>
        <cfvo type="min"/>
        <cfvo type="percentile" val="50"/>
        <cfvo type="max"/>
        <color rgb="FF63BE7B"/>
        <color rgb="FFFFEB84"/>
        <color rgb="FFF8696B"/>
      </colorScale>
    </cfRule>
    <cfRule type="colorScale" priority="313">
      <colorScale>
        <cfvo type="min"/>
        <cfvo type="percentile" val="50"/>
        <cfvo type="max"/>
        <color rgb="FF63BE7B"/>
        <color rgb="FFFFEB84"/>
        <color rgb="FFF8696B"/>
      </colorScale>
    </cfRule>
    <cfRule type="colorScale" priority="314">
      <colorScale>
        <cfvo type="min"/>
        <cfvo type="percentile" val="50"/>
        <cfvo type="max"/>
        <color rgb="FF63BE7B"/>
        <color rgb="FFFFEB84"/>
        <color rgb="FFF8696B"/>
      </colorScale>
    </cfRule>
    <cfRule type="colorScale" priority="315">
      <colorScale>
        <cfvo type="min"/>
        <cfvo type="percentile" val="50"/>
        <cfvo type="max"/>
        <color rgb="FF63BE7B"/>
        <color rgb="FFFFEB84"/>
        <color rgb="FFF8696B"/>
      </colorScale>
    </cfRule>
    <cfRule type="colorScale" priority="316">
      <colorScale>
        <cfvo type="min"/>
        <cfvo type="percentile" val="50"/>
        <cfvo type="max"/>
        <color rgb="FF63BE7B"/>
        <color rgb="FFFFEB84"/>
        <color rgb="FFF8696B"/>
      </colorScale>
    </cfRule>
    <cfRule type="colorScale" priority="317">
      <colorScale>
        <cfvo type="min"/>
        <cfvo type="percentile" val="50"/>
        <cfvo type="max"/>
        <color rgb="FF63BE7B"/>
        <color rgb="FFFFEB84"/>
        <color rgb="FFF8696B"/>
      </colorScale>
    </cfRule>
    <cfRule type="colorScale" priority="318">
      <colorScale>
        <cfvo type="min"/>
        <cfvo type="percentile" val="50"/>
        <cfvo type="max"/>
        <color rgb="FF63BE7B"/>
        <color rgb="FFFFEB84"/>
        <color rgb="FFF8696B"/>
      </colorScale>
    </cfRule>
    <cfRule type="colorScale" priority="319">
      <colorScale>
        <cfvo type="min"/>
        <cfvo type="percentile" val="50"/>
        <cfvo type="max"/>
        <color rgb="FF63BE7B"/>
        <color rgb="FFFFEB84"/>
        <color rgb="FFF8696B"/>
      </colorScale>
    </cfRule>
    <cfRule type="colorScale" priority="320">
      <colorScale>
        <cfvo type="min"/>
        <cfvo type="percentile" val="50"/>
        <cfvo type="max"/>
        <color rgb="FF63BE7B"/>
        <color rgb="FFFFEB84"/>
        <color rgb="FFF8696B"/>
      </colorScale>
    </cfRule>
    <cfRule type="colorScale" priority="321">
      <colorScale>
        <cfvo type="min"/>
        <cfvo type="percentile" val="50"/>
        <cfvo type="max"/>
        <color rgb="FF63BE7B"/>
        <color rgb="FFFFEB84"/>
        <color rgb="FFF8696B"/>
      </colorScale>
    </cfRule>
    <cfRule type="colorScale" priority="322">
      <colorScale>
        <cfvo type="min"/>
        <cfvo type="percentile" val="50"/>
        <cfvo type="max"/>
        <color rgb="FF63BE7B"/>
        <color rgb="FFFFEB84"/>
        <color rgb="FFF8696B"/>
      </colorScale>
    </cfRule>
    <cfRule type="colorScale" priority="323">
      <colorScale>
        <cfvo type="min"/>
        <cfvo type="percentile" val="50"/>
        <cfvo type="max"/>
        <color rgb="FF63BE7B"/>
        <color rgb="FFFFEB84"/>
        <color rgb="FFF8696B"/>
      </colorScale>
    </cfRule>
    <cfRule type="colorScale" priority="324">
      <colorScale>
        <cfvo type="min"/>
        <cfvo type="percentile" val="50"/>
        <cfvo type="max"/>
        <color rgb="FF63BE7B"/>
        <color rgb="FFFFEB84"/>
        <color rgb="FFF8696B"/>
      </colorScale>
    </cfRule>
    <cfRule type="colorScale" priority="325">
      <colorScale>
        <cfvo type="min"/>
        <cfvo type="percentile" val="50"/>
        <cfvo type="max"/>
        <color rgb="FF63BE7B"/>
        <color rgb="FFFFEB84"/>
        <color rgb="FFF8696B"/>
      </colorScale>
    </cfRule>
    <cfRule type="colorScale" priority="326">
      <colorScale>
        <cfvo type="min"/>
        <cfvo type="percentile" val="50"/>
        <cfvo type="max"/>
        <color rgb="FF63BE7B"/>
        <color rgb="FFFFEB84"/>
        <color rgb="FFF8696B"/>
      </colorScale>
    </cfRule>
    <cfRule type="colorScale" priority="327">
      <colorScale>
        <cfvo type="min"/>
        <cfvo type="percentile" val="50"/>
        <cfvo type="max"/>
        <color rgb="FF63BE7B"/>
        <color rgb="FFFFEB84"/>
        <color rgb="FFF8696B"/>
      </colorScale>
    </cfRule>
    <cfRule type="colorScale" priority="328">
      <colorScale>
        <cfvo type="min"/>
        <cfvo type="percentile" val="50"/>
        <cfvo type="max"/>
        <color rgb="FF63BE7B"/>
        <color rgb="FFFFEB84"/>
        <color rgb="FFF8696B"/>
      </colorScale>
    </cfRule>
    <cfRule type="colorScale" priority="329">
      <colorScale>
        <cfvo type="min"/>
        <cfvo type="percentile" val="50"/>
        <cfvo type="max"/>
        <color rgb="FF63BE7B"/>
        <color rgb="FFFFEB84"/>
        <color rgb="FFF8696B"/>
      </colorScale>
    </cfRule>
    <cfRule type="colorScale" priority="330">
      <colorScale>
        <cfvo type="min"/>
        <cfvo type="percentile" val="50"/>
        <cfvo type="max"/>
        <color rgb="FF63BE7B"/>
        <color rgb="FFFFEB84"/>
        <color rgb="FFF8696B"/>
      </colorScale>
    </cfRule>
    <cfRule type="colorScale" priority="331">
      <colorScale>
        <cfvo type="min"/>
        <cfvo type="percentile" val="50"/>
        <cfvo type="max"/>
        <color rgb="FF63BE7B"/>
        <color rgb="FFFFEB84"/>
        <color rgb="FFF8696B"/>
      </colorScale>
    </cfRule>
    <cfRule type="colorScale" priority="332">
      <colorScale>
        <cfvo type="min"/>
        <cfvo type="percentile" val="50"/>
        <cfvo type="max"/>
        <color rgb="FF63BE7B"/>
        <color rgb="FFFFEB84"/>
        <color rgb="FFF8696B"/>
      </colorScale>
    </cfRule>
    <cfRule type="colorScale" priority="333">
      <colorScale>
        <cfvo type="min"/>
        <cfvo type="percentile" val="50"/>
        <cfvo type="max"/>
        <color rgb="FF63BE7B"/>
        <color rgb="FFFFEB84"/>
        <color rgb="FFF8696B"/>
      </colorScale>
    </cfRule>
    <cfRule type="colorScale" priority="334">
      <colorScale>
        <cfvo type="min"/>
        <cfvo type="percentile" val="50"/>
        <cfvo type="max"/>
        <color rgb="FF63BE7B"/>
        <color rgb="FFFFEB84"/>
        <color rgb="FFF8696B"/>
      </colorScale>
    </cfRule>
    <cfRule type="colorScale" priority="335">
      <colorScale>
        <cfvo type="min"/>
        <cfvo type="percentile" val="50"/>
        <cfvo type="max"/>
        <color rgb="FF63BE7B"/>
        <color rgb="FFFFEB84"/>
        <color rgb="FFF8696B"/>
      </colorScale>
    </cfRule>
    <cfRule type="colorScale" priority="336">
      <colorScale>
        <cfvo type="min"/>
        <cfvo type="percentile" val="50"/>
        <cfvo type="max"/>
        <color rgb="FF63BE7B"/>
        <color rgb="FFFFEB84"/>
        <color rgb="FFF8696B"/>
      </colorScale>
    </cfRule>
    <cfRule type="colorScale" priority="337">
      <colorScale>
        <cfvo type="min"/>
        <cfvo type="percentile" val="50"/>
        <cfvo type="max"/>
        <color rgb="FF63BE7B"/>
        <color rgb="FFFFEB84"/>
        <color rgb="FFF8696B"/>
      </colorScale>
    </cfRule>
    <cfRule type="colorScale" priority="338">
      <colorScale>
        <cfvo type="min"/>
        <cfvo type="percentile" val="50"/>
        <cfvo type="max"/>
        <color rgb="FF63BE7B"/>
        <color rgb="FFFFEB84"/>
        <color rgb="FFF8696B"/>
      </colorScale>
    </cfRule>
    <cfRule type="colorScale" priority="339">
      <colorScale>
        <cfvo type="min"/>
        <cfvo type="percentile" val="50"/>
        <cfvo type="max"/>
        <color rgb="FF63BE7B"/>
        <color rgb="FFFFEB84"/>
        <color rgb="FFF8696B"/>
      </colorScale>
    </cfRule>
    <cfRule type="colorScale" priority="340">
      <colorScale>
        <cfvo type="min"/>
        <cfvo type="percentile" val="50"/>
        <cfvo type="max"/>
        <color rgb="FF63BE7B"/>
        <color rgb="FFFFEB84"/>
        <color rgb="FFF8696B"/>
      </colorScale>
    </cfRule>
    <cfRule type="colorScale" priority="341">
      <colorScale>
        <cfvo type="min"/>
        <cfvo type="percentile" val="50"/>
        <cfvo type="max"/>
        <color rgb="FF63BE7B"/>
        <color rgb="FFFFEB84"/>
        <color rgb="FFF8696B"/>
      </colorScale>
    </cfRule>
    <cfRule type="colorScale" priority="342">
      <colorScale>
        <cfvo type="min"/>
        <cfvo type="percentile" val="50"/>
        <cfvo type="max"/>
        <color rgb="FF63BE7B"/>
        <color rgb="FFFFEB84"/>
        <color rgb="FFF8696B"/>
      </colorScale>
    </cfRule>
    <cfRule type="colorScale" priority="343">
      <colorScale>
        <cfvo type="min"/>
        <cfvo type="percentile" val="50"/>
        <cfvo type="max"/>
        <color rgb="FF63BE7B"/>
        <color rgb="FFFFEB84"/>
        <color rgb="FFF8696B"/>
      </colorScale>
    </cfRule>
    <cfRule type="colorScale" priority="344">
      <colorScale>
        <cfvo type="min"/>
        <cfvo type="percentile" val="50"/>
        <cfvo type="max"/>
        <color rgb="FF63BE7B"/>
        <color rgb="FFFFEB84"/>
        <color rgb="FFF8696B"/>
      </colorScale>
    </cfRule>
    <cfRule type="colorScale" priority="345">
      <colorScale>
        <cfvo type="min"/>
        <cfvo type="percentile" val="50"/>
        <cfvo type="max"/>
        <color rgb="FF63BE7B"/>
        <color rgb="FFFFEB84"/>
        <color rgb="FFF8696B"/>
      </colorScale>
    </cfRule>
    <cfRule type="colorScale" priority="346">
      <colorScale>
        <cfvo type="min"/>
        <cfvo type="percentile" val="50"/>
        <cfvo type="max"/>
        <color rgb="FF63BE7B"/>
        <color rgb="FFFFEB84"/>
        <color rgb="FFF8696B"/>
      </colorScale>
    </cfRule>
    <cfRule type="colorScale" priority="347">
      <colorScale>
        <cfvo type="min"/>
        <cfvo type="percentile" val="50"/>
        <cfvo type="max"/>
        <color rgb="FF63BE7B"/>
        <color rgb="FFFFEB84"/>
        <color rgb="FFF8696B"/>
      </colorScale>
    </cfRule>
    <cfRule type="colorScale" priority="348">
      <colorScale>
        <cfvo type="min"/>
        <cfvo type="percentile" val="50"/>
        <cfvo type="max"/>
        <color rgb="FF63BE7B"/>
        <color rgb="FFFFEB84"/>
        <color rgb="FFF8696B"/>
      </colorScale>
    </cfRule>
    <cfRule type="colorScale" priority="349">
      <colorScale>
        <cfvo type="min"/>
        <cfvo type="percentile" val="50"/>
        <cfvo type="max"/>
        <color rgb="FF63BE7B"/>
        <color rgb="FFFFEB84"/>
        <color rgb="FFF8696B"/>
      </colorScale>
    </cfRule>
    <cfRule type="colorScale" priority="350">
      <colorScale>
        <cfvo type="min"/>
        <cfvo type="percentile" val="50"/>
        <cfvo type="max"/>
        <color rgb="FF63BE7B"/>
        <color rgb="FFFFEB84"/>
        <color rgb="FFF8696B"/>
      </colorScale>
    </cfRule>
    <cfRule type="colorScale" priority="351">
      <colorScale>
        <cfvo type="min"/>
        <cfvo type="percentile" val="50"/>
        <cfvo type="max"/>
        <color rgb="FF63BE7B"/>
        <color rgb="FFFFEB84"/>
        <color rgb="FFF8696B"/>
      </colorScale>
    </cfRule>
    <cfRule type="colorScale" priority="352">
      <colorScale>
        <cfvo type="min"/>
        <cfvo type="percentile" val="50"/>
        <cfvo type="max"/>
        <color rgb="FF63BE7B"/>
        <color rgb="FFFFEB84"/>
        <color rgb="FFF8696B"/>
      </colorScale>
    </cfRule>
    <cfRule type="colorScale" priority="353">
      <colorScale>
        <cfvo type="min"/>
        <cfvo type="percentile" val="50"/>
        <cfvo type="max"/>
        <color rgb="FF63BE7B"/>
        <color rgb="FFFFEB84"/>
        <color rgb="FFF8696B"/>
      </colorScale>
    </cfRule>
    <cfRule type="colorScale" priority="354">
      <colorScale>
        <cfvo type="min"/>
        <cfvo type="percentile" val="50"/>
        <cfvo type="max"/>
        <color rgb="FF63BE7B"/>
        <color rgb="FFFFEB84"/>
        <color rgb="FFF8696B"/>
      </colorScale>
    </cfRule>
    <cfRule type="colorScale" priority="355">
      <colorScale>
        <cfvo type="min"/>
        <cfvo type="percentile" val="50"/>
        <cfvo type="max"/>
        <color rgb="FF63BE7B"/>
        <color rgb="FFFFEB84"/>
        <color rgb="FFF8696B"/>
      </colorScale>
    </cfRule>
    <cfRule type="colorScale" priority="356">
      <colorScale>
        <cfvo type="min"/>
        <cfvo type="percentile" val="50"/>
        <cfvo type="max"/>
        <color rgb="FF63BE7B"/>
        <color rgb="FFFFEB84"/>
        <color rgb="FFF8696B"/>
      </colorScale>
    </cfRule>
    <cfRule type="colorScale" priority="357">
      <colorScale>
        <cfvo type="min"/>
        <cfvo type="percentile" val="50"/>
        <cfvo type="max"/>
        <color rgb="FF63BE7B"/>
        <color rgb="FFFFEB84"/>
        <color rgb="FFF8696B"/>
      </colorScale>
    </cfRule>
    <cfRule type="colorScale" priority="358">
      <colorScale>
        <cfvo type="min"/>
        <cfvo type="percentile" val="50"/>
        <cfvo type="max"/>
        <color rgb="FF63BE7B"/>
        <color rgb="FFFFEB84"/>
        <color rgb="FFF8696B"/>
      </colorScale>
    </cfRule>
    <cfRule type="colorScale" priority="359">
      <colorScale>
        <cfvo type="min"/>
        <cfvo type="percentile" val="50"/>
        <cfvo type="max"/>
        <color rgb="FF63BE7B"/>
        <color rgb="FFFFEB84"/>
        <color rgb="FFF8696B"/>
      </colorScale>
    </cfRule>
    <cfRule type="colorScale" priority="360">
      <colorScale>
        <cfvo type="min"/>
        <cfvo type="percentile" val="50"/>
        <cfvo type="max"/>
        <color rgb="FF63BE7B"/>
        <color rgb="FFFFEB84"/>
        <color rgb="FFF8696B"/>
      </colorScale>
    </cfRule>
    <cfRule type="colorScale" priority="361">
      <colorScale>
        <cfvo type="min"/>
        <cfvo type="percentile" val="50"/>
        <cfvo type="max"/>
        <color rgb="FF63BE7B"/>
        <color rgb="FFFFEB84"/>
        <color rgb="FFF8696B"/>
      </colorScale>
    </cfRule>
    <cfRule type="colorScale" priority="362">
      <colorScale>
        <cfvo type="min"/>
        <cfvo type="percentile" val="50"/>
        <cfvo type="max"/>
        <color rgb="FF63BE7B"/>
        <color rgb="FFFFEB84"/>
        <color rgb="FFF8696B"/>
      </colorScale>
    </cfRule>
    <cfRule type="colorScale" priority="363">
      <colorScale>
        <cfvo type="min"/>
        <cfvo type="percentile" val="50"/>
        <cfvo type="max"/>
        <color rgb="FF63BE7B"/>
        <color rgb="FFFFEB84"/>
        <color rgb="FFF8696B"/>
      </colorScale>
    </cfRule>
    <cfRule type="colorScale" priority="364">
      <colorScale>
        <cfvo type="min"/>
        <cfvo type="percentile" val="50"/>
        <cfvo type="max"/>
        <color rgb="FF63BE7B"/>
        <color rgb="FFFFEB84"/>
        <color rgb="FFF8696B"/>
      </colorScale>
    </cfRule>
    <cfRule type="colorScale" priority="365">
      <colorScale>
        <cfvo type="min"/>
        <cfvo type="percentile" val="50"/>
        <cfvo type="max"/>
        <color rgb="FF63BE7B"/>
        <color rgb="FFFFEB84"/>
        <color rgb="FFF8696B"/>
      </colorScale>
    </cfRule>
    <cfRule type="colorScale" priority="366">
      <colorScale>
        <cfvo type="min"/>
        <cfvo type="percentile" val="50"/>
        <cfvo type="max"/>
        <color rgb="FF63BE7B"/>
        <color rgb="FFFFEB84"/>
        <color rgb="FFF8696B"/>
      </colorScale>
    </cfRule>
    <cfRule type="colorScale" priority="367">
      <colorScale>
        <cfvo type="min"/>
        <cfvo type="percentile" val="50"/>
        <cfvo type="max"/>
        <color rgb="FF63BE7B"/>
        <color rgb="FFFFEB84"/>
        <color rgb="FFF8696B"/>
      </colorScale>
    </cfRule>
    <cfRule type="colorScale" priority="368">
      <colorScale>
        <cfvo type="min"/>
        <cfvo type="percentile" val="50"/>
        <cfvo type="max"/>
        <color rgb="FF63BE7B"/>
        <color rgb="FFFFEB84"/>
        <color rgb="FFF8696B"/>
      </colorScale>
    </cfRule>
    <cfRule type="colorScale" priority="369">
      <colorScale>
        <cfvo type="min"/>
        <cfvo type="percentile" val="50"/>
        <cfvo type="max"/>
        <color rgb="FF63BE7B"/>
        <color rgb="FFFFEB84"/>
        <color rgb="FFF8696B"/>
      </colorScale>
    </cfRule>
    <cfRule type="colorScale" priority="370">
      <colorScale>
        <cfvo type="min"/>
        <cfvo type="percentile" val="50"/>
        <cfvo type="max"/>
        <color rgb="FF63BE7B"/>
        <color rgb="FFFFEB84"/>
        <color rgb="FFF8696B"/>
      </colorScale>
    </cfRule>
    <cfRule type="colorScale" priority="371">
      <colorScale>
        <cfvo type="min"/>
        <cfvo type="percentile" val="50"/>
        <cfvo type="max"/>
        <color rgb="FF63BE7B"/>
        <color rgb="FFFFEB84"/>
        <color rgb="FFF8696B"/>
      </colorScale>
    </cfRule>
    <cfRule type="colorScale" priority="372">
      <colorScale>
        <cfvo type="min"/>
        <cfvo type="percentile" val="50"/>
        <cfvo type="max"/>
        <color rgb="FF63BE7B"/>
        <color rgb="FFFFEB84"/>
        <color rgb="FFF8696B"/>
      </colorScale>
    </cfRule>
    <cfRule type="colorScale" priority="373">
      <colorScale>
        <cfvo type="min"/>
        <cfvo type="percentile" val="50"/>
        <cfvo type="max"/>
        <color rgb="FF63BE7B"/>
        <color rgb="FFFFEB84"/>
        <color rgb="FFF8696B"/>
      </colorScale>
    </cfRule>
    <cfRule type="colorScale" priority="374">
      <colorScale>
        <cfvo type="min"/>
        <cfvo type="percentile" val="50"/>
        <cfvo type="max"/>
        <color rgb="FF63BE7B"/>
        <color rgb="FFFFEB84"/>
        <color rgb="FFF8696B"/>
      </colorScale>
    </cfRule>
    <cfRule type="colorScale" priority="375">
      <colorScale>
        <cfvo type="min"/>
        <cfvo type="percentile" val="50"/>
        <cfvo type="max"/>
        <color rgb="FF63BE7B"/>
        <color rgb="FFFFEB84"/>
        <color rgb="FFF8696B"/>
      </colorScale>
    </cfRule>
    <cfRule type="colorScale" priority="376">
      <colorScale>
        <cfvo type="min"/>
        <cfvo type="percentile" val="50"/>
        <cfvo type="max"/>
        <color rgb="FF63BE7B"/>
        <color rgb="FFFFEB84"/>
        <color rgb="FFF8696B"/>
      </colorScale>
    </cfRule>
    <cfRule type="colorScale" priority="377">
      <colorScale>
        <cfvo type="min"/>
        <cfvo type="percentile" val="50"/>
        <cfvo type="max"/>
        <color rgb="FF63BE7B"/>
        <color rgb="FFFFEB84"/>
        <color rgb="FFF8696B"/>
      </colorScale>
    </cfRule>
    <cfRule type="colorScale" priority="378">
      <colorScale>
        <cfvo type="min"/>
        <cfvo type="percentile" val="50"/>
        <cfvo type="max"/>
        <color rgb="FF63BE7B"/>
        <color rgb="FFFFEB84"/>
        <color rgb="FFF8696B"/>
      </colorScale>
    </cfRule>
    <cfRule type="colorScale" priority="379">
      <colorScale>
        <cfvo type="min"/>
        <cfvo type="percentile" val="50"/>
        <cfvo type="max"/>
        <color rgb="FF63BE7B"/>
        <color rgb="FFFFEB84"/>
        <color rgb="FFF8696B"/>
      </colorScale>
    </cfRule>
    <cfRule type="colorScale" priority="380">
      <colorScale>
        <cfvo type="min"/>
        <cfvo type="percentile" val="50"/>
        <cfvo type="max"/>
        <color rgb="FF63BE7B"/>
        <color rgb="FFFFEB84"/>
        <color rgb="FFF8696B"/>
      </colorScale>
    </cfRule>
    <cfRule type="colorScale" priority="381">
      <colorScale>
        <cfvo type="min"/>
        <cfvo type="percentile" val="50"/>
        <cfvo type="max"/>
        <color rgb="FF63BE7B"/>
        <color rgb="FFFFEB84"/>
        <color rgb="FFF8696B"/>
      </colorScale>
    </cfRule>
    <cfRule type="colorScale" priority="382">
      <colorScale>
        <cfvo type="min"/>
        <cfvo type="percentile" val="50"/>
        <cfvo type="max"/>
        <color rgb="FF63BE7B"/>
        <color rgb="FFFFEB84"/>
        <color rgb="FFF8696B"/>
      </colorScale>
    </cfRule>
    <cfRule type="colorScale" priority="383">
      <colorScale>
        <cfvo type="min"/>
        <cfvo type="percentile" val="50"/>
        <cfvo type="max"/>
        <color rgb="FF63BE7B"/>
        <color rgb="FFFFEB84"/>
        <color rgb="FFF8696B"/>
      </colorScale>
    </cfRule>
    <cfRule type="colorScale" priority="384">
      <colorScale>
        <cfvo type="min"/>
        <cfvo type="percentile" val="50"/>
        <cfvo type="max"/>
        <color rgb="FF63BE7B"/>
        <color rgb="FFFFEB84"/>
        <color rgb="FFF8696B"/>
      </colorScale>
    </cfRule>
    <cfRule type="colorScale" priority="385">
      <colorScale>
        <cfvo type="min"/>
        <cfvo type="percentile" val="50"/>
        <cfvo type="max"/>
        <color rgb="FF63BE7B"/>
        <color rgb="FFFFEB84"/>
        <color rgb="FFF8696B"/>
      </colorScale>
    </cfRule>
    <cfRule type="colorScale" priority="386">
      <colorScale>
        <cfvo type="min"/>
        <cfvo type="percentile" val="50"/>
        <cfvo type="max"/>
        <color rgb="FF63BE7B"/>
        <color rgb="FFFFEB84"/>
        <color rgb="FFF8696B"/>
      </colorScale>
    </cfRule>
    <cfRule type="colorScale" priority="387">
      <colorScale>
        <cfvo type="min"/>
        <cfvo type="percentile" val="50"/>
        <cfvo type="max"/>
        <color rgb="FF63BE7B"/>
        <color rgb="FFFFEB84"/>
        <color rgb="FFF8696B"/>
      </colorScale>
    </cfRule>
    <cfRule type="colorScale" priority="388">
      <colorScale>
        <cfvo type="min"/>
        <cfvo type="percentile" val="50"/>
        <cfvo type="max"/>
        <color rgb="FF63BE7B"/>
        <color rgb="FFFFEB84"/>
        <color rgb="FFF8696B"/>
      </colorScale>
    </cfRule>
    <cfRule type="colorScale" priority="389">
      <colorScale>
        <cfvo type="min"/>
        <cfvo type="percentile" val="50"/>
        <cfvo type="max"/>
        <color rgb="FF63BE7B"/>
        <color rgb="FFFFEB84"/>
        <color rgb="FFF8696B"/>
      </colorScale>
    </cfRule>
    <cfRule type="colorScale" priority="390">
      <colorScale>
        <cfvo type="min"/>
        <cfvo type="percentile" val="50"/>
        <cfvo type="max"/>
        <color rgb="FF63BE7B"/>
        <color rgb="FFFFEB84"/>
        <color rgb="FFF8696B"/>
      </colorScale>
    </cfRule>
    <cfRule type="colorScale" priority="391">
      <colorScale>
        <cfvo type="min"/>
        <cfvo type="percentile" val="50"/>
        <cfvo type="max"/>
        <color rgb="FF63BE7B"/>
        <color rgb="FFFFEB84"/>
        <color rgb="FFF8696B"/>
      </colorScale>
    </cfRule>
    <cfRule type="colorScale" priority="392">
      <colorScale>
        <cfvo type="min"/>
        <cfvo type="percentile" val="50"/>
        <cfvo type="max"/>
        <color rgb="FFF8696B"/>
        <color rgb="FFFFEB84"/>
        <color rgb="FF63BE7B"/>
      </colorScale>
    </cfRule>
    <cfRule type="colorScale" priority="393">
      <colorScale>
        <cfvo type="min"/>
        <cfvo type="percentile" val="50"/>
        <cfvo type="max"/>
        <color rgb="FF63BE7B"/>
        <color rgb="FFFFEB84"/>
        <color rgb="FFF8696B"/>
      </colorScale>
    </cfRule>
    <cfRule type="colorScale" priority="394">
      <colorScale>
        <cfvo type="min"/>
        <cfvo type="percentile" val="50"/>
        <cfvo type="max"/>
        <color rgb="FF63BE7B"/>
        <color rgb="FFFFEB84"/>
        <color rgb="FFF8696B"/>
      </colorScale>
    </cfRule>
    <cfRule type="colorScale" priority="395">
      <colorScale>
        <cfvo type="min"/>
        <cfvo type="percentile" val="50"/>
        <cfvo type="max"/>
        <color rgb="FF63BE7B"/>
        <color rgb="FFFFEB84"/>
        <color rgb="FFF8696B"/>
      </colorScale>
    </cfRule>
    <cfRule type="colorScale" priority="396">
      <colorScale>
        <cfvo type="min"/>
        <cfvo type="percentile" val="50"/>
        <cfvo type="max"/>
        <color rgb="FF63BE7B"/>
        <color rgb="FFFFEB84"/>
        <color rgb="FFF8696B"/>
      </colorScale>
    </cfRule>
    <cfRule type="colorScale" priority="397">
      <colorScale>
        <cfvo type="min"/>
        <cfvo type="percentile" val="50"/>
        <cfvo type="max"/>
        <color rgb="FF63BE7B"/>
        <color rgb="FFFFEB84"/>
        <color rgb="FFF8696B"/>
      </colorScale>
    </cfRule>
    <cfRule type="colorScale" priority="398">
      <colorScale>
        <cfvo type="min"/>
        <cfvo type="percentile" val="50"/>
        <cfvo type="max"/>
        <color rgb="FF63BE7B"/>
        <color rgb="FFFFEB84"/>
        <color rgb="FFF8696B"/>
      </colorScale>
    </cfRule>
    <cfRule type="colorScale" priority="399">
      <colorScale>
        <cfvo type="min"/>
        <cfvo type="percentile" val="50"/>
        <cfvo type="max"/>
        <color rgb="FF63BE7B"/>
        <color rgb="FFFFEB84"/>
        <color rgb="FFF8696B"/>
      </colorScale>
    </cfRule>
    <cfRule type="colorScale" priority="400">
      <colorScale>
        <cfvo type="min"/>
        <cfvo type="percentile" val="50"/>
        <cfvo type="max"/>
        <color rgb="FF63BE7B"/>
        <color rgb="FFFFEB84"/>
        <color rgb="FFF8696B"/>
      </colorScale>
    </cfRule>
    <cfRule type="colorScale" priority="401">
      <colorScale>
        <cfvo type="min"/>
        <cfvo type="percentile" val="50"/>
        <cfvo type="max"/>
        <color rgb="FF63BE7B"/>
        <color rgb="FFFFEB84"/>
        <color rgb="FFF8696B"/>
      </colorScale>
    </cfRule>
    <cfRule type="colorScale" priority="402">
      <colorScale>
        <cfvo type="min"/>
        <cfvo type="percentile" val="50"/>
        <cfvo type="max"/>
        <color rgb="FF63BE7B"/>
        <color rgb="FFFFEB84"/>
        <color rgb="FFF8696B"/>
      </colorScale>
    </cfRule>
    <cfRule type="colorScale" priority="403">
      <colorScale>
        <cfvo type="min"/>
        <cfvo type="percentile" val="50"/>
        <cfvo type="max"/>
        <color rgb="FF63BE7B"/>
        <color rgb="FFFFEB84"/>
        <color rgb="FFF8696B"/>
      </colorScale>
    </cfRule>
    <cfRule type="colorScale" priority="404">
      <colorScale>
        <cfvo type="min"/>
        <cfvo type="percentile" val="50"/>
        <cfvo type="max"/>
        <color rgb="FF63BE7B"/>
        <color rgb="FFFFEB84"/>
        <color rgb="FFF8696B"/>
      </colorScale>
    </cfRule>
    <cfRule type="colorScale" priority="405">
      <colorScale>
        <cfvo type="min"/>
        <cfvo type="percentile" val="50"/>
        <cfvo type="max"/>
        <color rgb="FF63BE7B"/>
        <color rgb="FFFFEB84"/>
        <color rgb="FFF8696B"/>
      </colorScale>
    </cfRule>
    <cfRule type="colorScale" priority="406">
      <colorScale>
        <cfvo type="min"/>
        <cfvo type="percentile" val="50"/>
        <cfvo type="max"/>
        <color rgb="FF63BE7B"/>
        <color rgb="FFFFEB84"/>
        <color rgb="FFF8696B"/>
      </colorScale>
    </cfRule>
    <cfRule type="colorScale" priority="407">
      <colorScale>
        <cfvo type="min"/>
        <cfvo type="percentile" val="50"/>
        <cfvo type="max"/>
        <color rgb="FF63BE7B"/>
        <color rgb="FFFFEB84"/>
        <color rgb="FFF8696B"/>
      </colorScale>
    </cfRule>
    <cfRule type="colorScale" priority="408">
      <colorScale>
        <cfvo type="min"/>
        <cfvo type="percentile" val="50"/>
        <cfvo type="max"/>
        <color rgb="FF63BE7B"/>
        <color rgb="FFFFEB84"/>
        <color rgb="FFF8696B"/>
      </colorScale>
    </cfRule>
    <cfRule type="colorScale" priority="409">
      <colorScale>
        <cfvo type="min"/>
        <cfvo type="percentile" val="50"/>
        <cfvo type="max"/>
        <color rgb="FF63BE7B"/>
        <color rgb="FFFFEB84"/>
        <color rgb="FFF8696B"/>
      </colorScale>
    </cfRule>
    <cfRule type="colorScale" priority="410">
      <colorScale>
        <cfvo type="min"/>
        <cfvo type="percentile" val="50"/>
        <cfvo type="max"/>
        <color rgb="FF63BE7B"/>
        <color rgb="FFFFEB84"/>
        <color rgb="FFF8696B"/>
      </colorScale>
    </cfRule>
    <cfRule type="colorScale" priority="411">
      <colorScale>
        <cfvo type="min"/>
        <cfvo type="percentile" val="50"/>
        <cfvo type="max"/>
        <color rgb="FF63BE7B"/>
        <color rgb="FFFFEB84"/>
        <color rgb="FFF8696B"/>
      </colorScale>
    </cfRule>
    <cfRule type="colorScale" priority="412">
      <colorScale>
        <cfvo type="min"/>
        <cfvo type="percentile" val="50"/>
        <cfvo type="max"/>
        <color rgb="FF63BE7B"/>
        <color rgb="FFFFEB84"/>
        <color rgb="FFF8696B"/>
      </colorScale>
    </cfRule>
    <cfRule type="colorScale" priority="413">
      <colorScale>
        <cfvo type="min"/>
        <cfvo type="percentile" val="50"/>
        <cfvo type="max"/>
        <color rgb="FF63BE7B"/>
        <color rgb="FFFFEB84"/>
        <color rgb="FFF8696B"/>
      </colorScale>
    </cfRule>
    <cfRule type="colorScale" priority="414">
      <colorScale>
        <cfvo type="min"/>
        <cfvo type="percentile" val="50"/>
        <cfvo type="max"/>
        <color rgb="FF63BE7B"/>
        <color rgb="FFFFEB84"/>
        <color rgb="FFF8696B"/>
      </colorScale>
    </cfRule>
    <cfRule type="colorScale" priority="415">
      <colorScale>
        <cfvo type="min"/>
        <cfvo type="percentile" val="50"/>
        <cfvo type="max"/>
        <color rgb="FF63BE7B"/>
        <color rgb="FFFFEB84"/>
        <color rgb="FFF8696B"/>
      </colorScale>
    </cfRule>
    <cfRule type="colorScale" priority="416">
      <colorScale>
        <cfvo type="min"/>
        <cfvo type="percentile" val="50"/>
        <cfvo type="max"/>
        <color rgb="FF63BE7B"/>
        <color rgb="FFFFEB84"/>
        <color rgb="FFF8696B"/>
      </colorScale>
    </cfRule>
    <cfRule type="colorScale" priority="417">
      <colorScale>
        <cfvo type="min"/>
        <cfvo type="percentile" val="50"/>
        <cfvo type="max"/>
        <color rgb="FF63BE7B"/>
        <color rgb="FFFFEB84"/>
        <color rgb="FFF8696B"/>
      </colorScale>
    </cfRule>
    <cfRule type="colorScale" priority="418">
      <colorScale>
        <cfvo type="min"/>
        <cfvo type="percentile" val="50"/>
        <cfvo type="max"/>
        <color rgb="FF63BE7B"/>
        <color rgb="FFFFEB84"/>
        <color rgb="FFF8696B"/>
      </colorScale>
    </cfRule>
    <cfRule type="colorScale" priority="419">
      <colorScale>
        <cfvo type="min"/>
        <cfvo type="percentile" val="50"/>
        <cfvo type="max"/>
        <color rgb="FF63BE7B"/>
        <color rgb="FFFFEB84"/>
        <color rgb="FFF8696B"/>
      </colorScale>
    </cfRule>
    <cfRule type="colorScale" priority="420">
      <colorScale>
        <cfvo type="min"/>
        <cfvo type="percentile" val="50"/>
        <cfvo type="max"/>
        <color rgb="FF63BE7B"/>
        <color rgb="FFFFEB84"/>
        <color rgb="FFF8696B"/>
      </colorScale>
    </cfRule>
    <cfRule type="colorScale" priority="421">
      <colorScale>
        <cfvo type="min"/>
        <cfvo type="percentile" val="50"/>
        <cfvo type="max"/>
        <color rgb="FF63BE7B"/>
        <color rgb="FFFFEB84"/>
        <color rgb="FFF8696B"/>
      </colorScale>
    </cfRule>
    <cfRule type="colorScale" priority="422">
      <colorScale>
        <cfvo type="min"/>
        <cfvo type="percentile" val="50"/>
        <cfvo type="max"/>
        <color rgb="FF63BE7B"/>
        <color rgb="FFFFEB84"/>
        <color rgb="FFF8696B"/>
      </colorScale>
    </cfRule>
    <cfRule type="colorScale" priority="423">
      <colorScale>
        <cfvo type="min"/>
        <cfvo type="percentile" val="50"/>
        <cfvo type="max"/>
        <color rgb="FF63BE7B"/>
        <color rgb="FFFFEB84"/>
        <color rgb="FFF8696B"/>
      </colorScale>
    </cfRule>
    <cfRule type="colorScale" priority="424">
      <colorScale>
        <cfvo type="min"/>
        <cfvo type="percentile" val="50"/>
        <cfvo type="max"/>
        <color rgb="FF63BE7B"/>
        <color rgb="FFFFEB84"/>
        <color rgb="FFF8696B"/>
      </colorScale>
    </cfRule>
    <cfRule type="colorScale" priority="425">
      <colorScale>
        <cfvo type="min"/>
        <cfvo type="percentile" val="50"/>
        <cfvo type="max"/>
        <color rgb="FF63BE7B"/>
        <color rgb="FFFFEB84"/>
        <color rgb="FFF8696B"/>
      </colorScale>
    </cfRule>
    <cfRule type="colorScale" priority="426">
      <colorScale>
        <cfvo type="min"/>
        <cfvo type="percentile" val="50"/>
        <cfvo type="max"/>
        <color rgb="FF63BE7B"/>
        <color rgb="FFFFEB84"/>
        <color rgb="FFF8696B"/>
      </colorScale>
    </cfRule>
    <cfRule type="colorScale" priority="427">
      <colorScale>
        <cfvo type="min"/>
        <cfvo type="percentile" val="50"/>
        <cfvo type="max"/>
        <color rgb="FF63BE7B"/>
        <color rgb="FFFFEB84"/>
        <color rgb="FFF8696B"/>
      </colorScale>
    </cfRule>
    <cfRule type="colorScale" priority="428">
      <colorScale>
        <cfvo type="min"/>
        <cfvo type="percentile" val="50"/>
        <cfvo type="max"/>
        <color rgb="FF63BE7B"/>
        <color rgb="FFFFEB84"/>
        <color rgb="FFF8696B"/>
      </colorScale>
    </cfRule>
    <cfRule type="colorScale" priority="429">
      <colorScale>
        <cfvo type="min"/>
        <cfvo type="percentile" val="50"/>
        <cfvo type="max"/>
        <color rgb="FF63BE7B"/>
        <color rgb="FFFFEB84"/>
        <color rgb="FFF8696B"/>
      </colorScale>
    </cfRule>
    <cfRule type="colorScale" priority="430">
      <colorScale>
        <cfvo type="min"/>
        <cfvo type="percentile" val="50"/>
        <cfvo type="max"/>
        <color rgb="FF63BE7B"/>
        <color rgb="FFFFEB84"/>
        <color rgb="FFF8696B"/>
      </colorScale>
    </cfRule>
    <cfRule type="colorScale" priority="431">
      <colorScale>
        <cfvo type="min"/>
        <cfvo type="percentile" val="50"/>
        <cfvo type="max"/>
        <color rgb="FF63BE7B"/>
        <color rgb="FFFFEB84"/>
        <color rgb="FFF8696B"/>
      </colorScale>
    </cfRule>
    <cfRule type="colorScale" priority="432">
      <colorScale>
        <cfvo type="min"/>
        <cfvo type="percentile" val="50"/>
        <cfvo type="max"/>
        <color rgb="FF63BE7B"/>
        <color rgb="FFFFEB84"/>
        <color rgb="FFF8696B"/>
      </colorScale>
    </cfRule>
    <cfRule type="colorScale" priority="433">
      <colorScale>
        <cfvo type="min"/>
        <cfvo type="percentile" val="50"/>
        <cfvo type="max"/>
        <color rgb="FF63BE7B"/>
        <color rgb="FFFFEB84"/>
        <color rgb="FFF8696B"/>
      </colorScale>
    </cfRule>
    <cfRule type="colorScale" priority="434">
      <colorScale>
        <cfvo type="min"/>
        <cfvo type="percentile" val="50"/>
        <cfvo type="max"/>
        <color rgb="FF63BE7B"/>
        <color rgb="FFFFEB84"/>
        <color rgb="FFF8696B"/>
      </colorScale>
    </cfRule>
    <cfRule type="colorScale" priority="435">
      <colorScale>
        <cfvo type="min"/>
        <cfvo type="percentile" val="50"/>
        <cfvo type="max"/>
        <color rgb="FF63BE7B"/>
        <color rgb="FFFFEB84"/>
        <color rgb="FFF8696B"/>
      </colorScale>
    </cfRule>
    <cfRule type="colorScale" priority="436">
      <colorScale>
        <cfvo type="min"/>
        <cfvo type="percentile" val="50"/>
        <cfvo type="max"/>
        <color rgb="FF63BE7B"/>
        <color rgb="FFFFEB84"/>
        <color rgb="FFF8696B"/>
      </colorScale>
    </cfRule>
    <cfRule type="colorScale" priority="437">
      <colorScale>
        <cfvo type="min"/>
        <cfvo type="percentile" val="50"/>
        <cfvo type="max"/>
        <color rgb="FF63BE7B"/>
        <color rgb="FFFFEB84"/>
        <color rgb="FFF8696B"/>
      </colorScale>
    </cfRule>
    <cfRule type="colorScale" priority="438">
      <colorScale>
        <cfvo type="min"/>
        <cfvo type="percentile" val="50"/>
        <cfvo type="max"/>
        <color rgb="FF63BE7B"/>
        <color rgb="FFFFEB84"/>
        <color rgb="FFF8696B"/>
      </colorScale>
    </cfRule>
    <cfRule type="colorScale" priority="439">
      <colorScale>
        <cfvo type="min"/>
        <cfvo type="percentile" val="50"/>
        <cfvo type="max"/>
        <color rgb="FF63BE7B"/>
        <color rgb="FFFFEB84"/>
        <color rgb="FFF8696B"/>
      </colorScale>
    </cfRule>
    <cfRule type="colorScale" priority="440">
      <colorScale>
        <cfvo type="min"/>
        <cfvo type="percentile" val="50"/>
        <cfvo type="max"/>
        <color rgb="FF63BE7B"/>
        <color rgb="FFFFEB84"/>
        <color rgb="FFF8696B"/>
      </colorScale>
    </cfRule>
    <cfRule type="colorScale" priority="441">
      <colorScale>
        <cfvo type="min"/>
        <cfvo type="percentile" val="50"/>
        <cfvo type="max"/>
        <color rgb="FF63BE7B"/>
        <color rgb="FFFFEB84"/>
        <color rgb="FFF8696B"/>
      </colorScale>
    </cfRule>
    <cfRule type="colorScale" priority="442">
      <colorScale>
        <cfvo type="min"/>
        <cfvo type="percentile" val="50"/>
        <cfvo type="max"/>
        <color rgb="FF63BE7B"/>
        <color rgb="FFFFEB84"/>
        <color rgb="FFF8696B"/>
      </colorScale>
    </cfRule>
    <cfRule type="colorScale" priority="443">
      <colorScale>
        <cfvo type="min"/>
        <cfvo type="percentile" val="50"/>
        <cfvo type="max"/>
        <color rgb="FF63BE7B"/>
        <color rgb="FFFFEB84"/>
        <color rgb="FFF8696B"/>
      </colorScale>
    </cfRule>
    <cfRule type="colorScale" priority="444">
      <colorScale>
        <cfvo type="min"/>
        <cfvo type="percentile" val="50"/>
        <cfvo type="max"/>
        <color rgb="FF63BE7B"/>
        <color rgb="FFFFEB84"/>
        <color rgb="FFF8696B"/>
      </colorScale>
    </cfRule>
    <cfRule type="colorScale" priority="445">
      <colorScale>
        <cfvo type="min"/>
        <cfvo type="percentile" val="50"/>
        <cfvo type="max"/>
        <color rgb="FF63BE7B"/>
        <color rgb="FFFFEB84"/>
        <color rgb="FFF8696B"/>
      </colorScale>
    </cfRule>
    <cfRule type="colorScale" priority="446">
      <colorScale>
        <cfvo type="min"/>
        <cfvo type="percentile" val="50"/>
        <cfvo type="max"/>
        <color rgb="FF63BE7B"/>
        <color rgb="FFFFEB84"/>
        <color rgb="FFF8696B"/>
      </colorScale>
    </cfRule>
    <cfRule type="colorScale" priority="447">
      <colorScale>
        <cfvo type="min"/>
        <cfvo type="percentile" val="50"/>
        <cfvo type="max"/>
        <color rgb="FF63BE7B"/>
        <color rgb="FFFFEB84"/>
        <color rgb="FFF8696B"/>
      </colorScale>
    </cfRule>
    <cfRule type="colorScale" priority="6242">
      <colorScale>
        <cfvo type="min"/>
        <cfvo type="percentile" val="50"/>
        <cfvo type="max"/>
        <color rgb="FF63BE7B"/>
        <color rgb="FFFFEB84"/>
        <color rgb="FFF8696B"/>
      </colorScale>
    </cfRule>
    <cfRule type="colorScale" priority="6241">
      <colorScale>
        <cfvo type="min"/>
        <cfvo type="percentile" val="50"/>
        <cfvo type="max"/>
        <color rgb="FF63BE7B"/>
        <color rgb="FFFFEB84"/>
        <color rgb="FFF8696B"/>
      </colorScale>
    </cfRule>
    <cfRule type="colorScale" priority="6240">
      <colorScale>
        <cfvo type="min"/>
        <cfvo type="percentile" val="50"/>
        <cfvo type="max"/>
        <color rgb="FF63BE7B"/>
        <color rgb="FFFFEB84"/>
        <color rgb="FFF8696B"/>
      </colorScale>
    </cfRule>
    <cfRule type="colorScale" priority="6239">
      <colorScale>
        <cfvo type="min"/>
        <cfvo type="percentile" val="50"/>
        <cfvo type="max"/>
        <color rgb="FF63BE7B"/>
        <color rgb="FFFFEB84"/>
        <color rgb="FFF8696B"/>
      </colorScale>
    </cfRule>
    <cfRule type="colorScale" priority="6238">
      <colorScale>
        <cfvo type="min"/>
        <cfvo type="percentile" val="50"/>
        <cfvo type="max"/>
        <color rgb="FF63BE7B"/>
        <color rgb="FFFFEB84"/>
        <color rgb="FFF8696B"/>
      </colorScale>
    </cfRule>
    <cfRule type="colorScale" priority="6237">
      <colorScale>
        <cfvo type="min"/>
        <cfvo type="percentile" val="50"/>
        <cfvo type="max"/>
        <color rgb="FF63BE7B"/>
        <color rgb="FFFFEB84"/>
        <color rgb="FFF8696B"/>
      </colorScale>
    </cfRule>
    <cfRule type="colorScale" priority="6236">
      <colorScale>
        <cfvo type="min"/>
        <cfvo type="percentile" val="50"/>
        <cfvo type="max"/>
        <color rgb="FF63BE7B"/>
        <color rgb="FFFFEB84"/>
        <color rgb="FFF8696B"/>
      </colorScale>
    </cfRule>
    <cfRule type="colorScale" priority="6235">
      <colorScale>
        <cfvo type="min"/>
        <cfvo type="percentile" val="50"/>
        <cfvo type="max"/>
        <color rgb="FF63BE7B"/>
        <color rgb="FFFFEB84"/>
        <color rgb="FFF8696B"/>
      </colorScale>
    </cfRule>
    <cfRule type="colorScale" priority="6469">
      <colorScale>
        <cfvo type="min"/>
        <cfvo type="percentile" val="50"/>
        <cfvo type="max"/>
        <color rgb="FFF8696B"/>
        <color rgb="FFFFEB84"/>
        <color rgb="FF63BE7B"/>
      </colorScale>
    </cfRule>
    <cfRule type="colorScale" priority="6243">
      <colorScale>
        <cfvo type="min"/>
        <cfvo type="percentile" val="50"/>
        <cfvo type="max"/>
        <color rgb="FF63BE7B"/>
        <color rgb="FFFFEB84"/>
        <color rgb="FFF8696B"/>
      </colorScale>
    </cfRule>
    <cfRule type="colorScale" priority="6244">
      <colorScale>
        <cfvo type="min"/>
        <cfvo type="percentile" val="50"/>
        <cfvo type="max"/>
        <color rgb="FF63BE7B"/>
        <color rgb="FFFFEB84"/>
        <color rgb="FFF8696B"/>
      </colorScale>
    </cfRule>
    <cfRule type="colorScale" priority="6245">
      <colorScale>
        <cfvo type="min"/>
        <cfvo type="percentile" val="50"/>
        <cfvo type="max"/>
        <color rgb="FF63BE7B"/>
        <color rgb="FFFFEB84"/>
        <color rgb="FFF8696B"/>
      </colorScale>
    </cfRule>
    <cfRule type="colorScale" priority="6246">
      <colorScale>
        <cfvo type="min"/>
        <cfvo type="percentile" val="50"/>
        <cfvo type="max"/>
        <color rgb="FF63BE7B"/>
        <color rgb="FFFFEB84"/>
        <color rgb="FFF8696B"/>
      </colorScale>
    </cfRule>
    <cfRule type="colorScale" priority="6247">
      <colorScale>
        <cfvo type="min"/>
        <cfvo type="percentile" val="50"/>
        <cfvo type="max"/>
        <color rgb="FF63BE7B"/>
        <color rgb="FFFFEB84"/>
        <color rgb="FFF8696B"/>
      </colorScale>
    </cfRule>
    <cfRule type="colorScale" priority="6248">
      <colorScale>
        <cfvo type="min"/>
        <cfvo type="percentile" val="50"/>
        <cfvo type="max"/>
        <color rgb="FF63BE7B"/>
        <color rgb="FFFFEB84"/>
        <color rgb="FFF8696B"/>
      </colorScale>
    </cfRule>
    <cfRule type="colorScale" priority="6249">
      <colorScale>
        <cfvo type="min"/>
        <cfvo type="percentile" val="50"/>
        <cfvo type="max"/>
        <color rgb="FF63BE7B"/>
        <color rgb="FFFFEB84"/>
        <color rgb="FFF8696B"/>
      </colorScale>
    </cfRule>
    <cfRule type="colorScale" priority="6250">
      <colorScale>
        <cfvo type="min"/>
        <cfvo type="percentile" val="50"/>
        <cfvo type="max"/>
        <color rgb="FF63BE7B"/>
        <color rgb="FFFFEB84"/>
        <color rgb="FFF8696B"/>
      </colorScale>
    </cfRule>
    <cfRule type="colorScale" priority="6251">
      <colorScale>
        <cfvo type="min"/>
        <cfvo type="percentile" val="50"/>
        <cfvo type="max"/>
        <color rgb="FF63BE7B"/>
        <color rgb="FFFFEB84"/>
        <color rgb="FFF8696B"/>
      </colorScale>
    </cfRule>
    <cfRule type="colorScale" priority="6252">
      <colorScale>
        <cfvo type="min"/>
        <cfvo type="percentile" val="50"/>
        <cfvo type="max"/>
        <color rgb="FF63BE7B"/>
        <color rgb="FFFFEB84"/>
        <color rgb="FFF8696B"/>
      </colorScale>
    </cfRule>
    <cfRule type="colorScale" priority="6253">
      <colorScale>
        <cfvo type="min"/>
        <cfvo type="percentile" val="50"/>
        <cfvo type="max"/>
        <color rgb="FF63BE7B"/>
        <color rgb="FFFFEB84"/>
        <color rgb="FFF8696B"/>
      </colorScale>
    </cfRule>
    <cfRule type="colorScale" priority="4758">
      <colorScale>
        <cfvo type="min"/>
        <cfvo type="percentile" val="50"/>
        <cfvo type="max"/>
        <color rgb="FF63BE7B"/>
        <color rgb="FFFFEB84"/>
        <color rgb="FFF8696B"/>
      </colorScale>
    </cfRule>
    <cfRule type="colorScale" priority="4757">
      <colorScale>
        <cfvo type="min"/>
        <cfvo type="percentile" val="50"/>
        <cfvo type="max"/>
        <color rgb="FF63BE7B"/>
        <color rgb="FFFFEB84"/>
        <color rgb="FFF8696B"/>
      </colorScale>
    </cfRule>
    <cfRule type="colorScale" priority="4756">
      <colorScale>
        <cfvo type="min"/>
        <cfvo type="percentile" val="50"/>
        <cfvo type="max"/>
        <color rgb="FF63BE7B"/>
        <color rgb="FFFFEB84"/>
        <color rgb="FFF8696B"/>
      </colorScale>
    </cfRule>
    <cfRule type="colorScale" priority="4755">
      <colorScale>
        <cfvo type="min"/>
        <cfvo type="percentile" val="50"/>
        <cfvo type="max"/>
        <color rgb="FF63BE7B"/>
        <color rgb="FFFFEB84"/>
        <color rgb="FFF8696B"/>
      </colorScale>
    </cfRule>
    <cfRule type="colorScale" priority="4754">
      <colorScale>
        <cfvo type="min"/>
        <cfvo type="percentile" val="50"/>
        <cfvo type="max"/>
        <color rgb="FF63BE7B"/>
        <color rgb="FFFFEB84"/>
        <color rgb="FFF8696B"/>
      </colorScale>
    </cfRule>
    <cfRule type="colorScale" priority="4753">
      <colorScale>
        <cfvo type="min"/>
        <cfvo type="percentile" val="50"/>
        <cfvo type="max"/>
        <color rgb="FF63BE7B"/>
        <color rgb="FFFFEB84"/>
        <color rgb="FFF8696B"/>
      </colorScale>
    </cfRule>
    <cfRule type="colorScale" priority="4752">
      <colorScale>
        <cfvo type="min"/>
        <cfvo type="percentile" val="50"/>
        <cfvo type="max"/>
        <color rgb="FF63BE7B"/>
        <color rgb="FFFFEB84"/>
        <color rgb="FFF8696B"/>
      </colorScale>
    </cfRule>
    <cfRule type="colorScale" priority="4751">
      <colorScale>
        <cfvo type="min"/>
        <cfvo type="percentile" val="50"/>
        <cfvo type="max"/>
        <color rgb="FF63BE7B"/>
        <color rgb="FFFFEB84"/>
        <color rgb="FFF8696B"/>
      </colorScale>
    </cfRule>
    <cfRule type="colorScale" priority="4750">
      <colorScale>
        <cfvo type="min"/>
        <cfvo type="percentile" val="50"/>
        <cfvo type="max"/>
        <color rgb="FF63BE7B"/>
        <color rgb="FFFFEB84"/>
        <color rgb="FFF8696B"/>
      </colorScale>
    </cfRule>
    <cfRule type="colorScale" priority="4749">
      <colorScale>
        <cfvo type="min"/>
        <cfvo type="percentile" val="50"/>
        <cfvo type="max"/>
        <color rgb="FF63BE7B"/>
        <color rgb="FFFFEB84"/>
        <color rgb="FFF8696B"/>
      </colorScale>
    </cfRule>
    <cfRule type="colorScale" priority="4748">
      <colorScale>
        <cfvo type="min"/>
        <cfvo type="percentile" val="50"/>
        <cfvo type="max"/>
        <color rgb="FF63BE7B"/>
        <color rgb="FFFFEB84"/>
        <color rgb="FFF8696B"/>
      </colorScale>
    </cfRule>
    <cfRule type="colorScale" priority="4747">
      <colorScale>
        <cfvo type="min"/>
        <cfvo type="percentile" val="50"/>
        <cfvo type="max"/>
        <color rgb="FF63BE7B"/>
        <color rgb="FFFFEB84"/>
        <color rgb="FFF8696B"/>
      </colorScale>
    </cfRule>
    <cfRule type="colorScale" priority="4746">
      <colorScale>
        <cfvo type="min"/>
        <cfvo type="percentile" val="50"/>
        <cfvo type="max"/>
        <color rgb="FF63BE7B"/>
        <color rgb="FFFFEB84"/>
        <color rgb="FFF8696B"/>
      </colorScale>
    </cfRule>
    <cfRule type="colorScale" priority="4745">
      <colorScale>
        <cfvo type="min"/>
        <cfvo type="percentile" val="50"/>
        <cfvo type="max"/>
        <color rgb="FF63BE7B"/>
        <color rgb="FFFFEB84"/>
        <color rgb="FFF8696B"/>
      </colorScale>
    </cfRule>
    <cfRule type="colorScale" priority="4744">
      <colorScale>
        <cfvo type="min"/>
        <cfvo type="percentile" val="50"/>
        <cfvo type="max"/>
        <color rgb="FF63BE7B"/>
        <color rgb="FFFFEB84"/>
        <color rgb="FFF8696B"/>
      </colorScale>
    </cfRule>
    <cfRule type="colorScale" priority="4743">
      <colorScale>
        <cfvo type="min"/>
        <cfvo type="percentile" val="50"/>
        <cfvo type="max"/>
        <color rgb="FF63BE7B"/>
        <color rgb="FFFFEB84"/>
        <color rgb="FFF8696B"/>
      </colorScale>
    </cfRule>
    <cfRule type="colorScale" priority="4742">
      <colorScale>
        <cfvo type="min"/>
        <cfvo type="percentile" val="50"/>
        <cfvo type="max"/>
        <color rgb="FF63BE7B"/>
        <color rgb="FFFFEB84"/>
        <color rgb="FFF8696B"/>
      </colorScale>
    </cfRule>
    <cfRule type="colorScale" priority="4741">
      <colorScale>
        <cfvo type="min"/>
        <cfvo type="percentile" val="50"/>
        <cfvo type="max"/>
        <color rgb="FF63BE7B"/>
        <color rgb="FFFFEB84"/>
        <color rgb="FFF8696B"/>
      </colorScale>
    </cfRule>
    <cfRule type="colorScale" priority="4740">
      <colorScale>
        <cfvo type="min"/>
        <cfvo type="percentile" val="50"/>
        <cfvo type="max"/>
        <color rgb="FF63BE7B"/>
        <color rgb="FFFFEB84"/>
        <color rgb="FFF8696B"/>
      </colorScale>
    </cfRule>
    <cfRule type="colorScale" priority="4739">
      <colorScale>
        <cfvo type="min"/>
        <cfvo type="percentile" val="50"/>
        <cfvo type="max"/>
        <color rgb="FF63BE7B"/>
        <color rgb="FFFFEB84"/>
        <color rgb="FFF8696B"/>
      </colorScale>
    </cfRule>
    <cfRule type="colorScale" priority="4737">
      <colorScale>
        <cfvo type="min"/>
        <cfvo type="percentile" val="50"/>
        <cfvo type="max"/>
        <color rgb="FF63BE7B"/>
        <color rgb="FFFFEB84"/>
        <color rgb="FFF8696B"/>
      </colorScale>
    </cfRule>
    <cfRule type="colorScale" priority="4736">
      <colorScale>
        <cfvo type="min"/>
        <cfvo type="percentile" val="50"/>
        <cfvo type="max"/>
        <color rgb="FF63BE7B"/>
        <color rgb="FFFFEB84"/>
        <color rgb="FFF8696B"/>
      </colorScale>
    </cfRule>
    <cfRule type="colorScale" priority="4735">
      <colorScale>
        <cfvo type="min"/>
        <cfvo type="percentile" val="50"/>
        <cfvo type="max"/>
        <color rgb="FF63BE7B"/>
        <color rgb="FFFFEB84"/>
        <color rgb="FFF8696B"/>
      </colorScale>
    </cfRule>
    <cfRule type="colorScale" priority="4734">
      <colorScale>
        <cfvo type="min"/>
        <cfvo type="percentile" val="50"/>
        <cfvo type="max"/>
        <color rgb="FF63BE7B"/>
        <color rgb="FFFFEB84"/>
        <color rgb="FFF8696B"/>
      </colorScale>
    </cfRule>
    <cfRule type="colorScale" priority="4733">
      <colorScale>
        <cfvo type="min"/>
        <cfvo type="percentile" val="50"/>
        <cfvo type="max"/>
        <color rgb="FF63BE7B"/>
        <color rgb="FFFFEB84"/>
        <color rgb="FFF8696B"/>
      </colorScale>
    </cfRule>
    <cfRule type="colorScale" priority="4700">
      <colorScale>
        <cfvo type="min"/>
        <cfvo type="percentile" val="50"/>
        <cfvo type="max"/>
        <color rgb="FF63BE7B"/>
        <color rgb="FFFFEB84"/>
        <color rgb="FFF8696B"/>
      </colorScale>
    </cfRule>
    <cfRule type="colorScale" priority="4699">
      <colorScale>
        <cfvo type="min"/>
        <cfvo type="percentile" val="50"/>
        <cfvo type="max"/>
        <color rgb="FF63BE7B"/>
        <color rgb="FFFFEB84"/>
        <color rgb="FFF8696B"/>
      </colorScale>
    </cfRule>
  </conditionalFormatting>
  <conditionalFormatting sqref="I54:I61">
    <cfRule type="colorScale" priority="50">
      <colorScale>
        <cfvo type="min"/>
        <cfvo type="percentile" val="50"/>
        <cfvo type="max"/>
        <color rgb="FF63BE7B"/>
        <color rgb="FFFFEB84"/>
        <color rgb="FFF8696B"/>
      </colorScale>
    </cfRule>
    <cfRule type="colorScale" priority="69">
      <colorScale>
        <cfvo type="min"/>
        <cfvo type="percentile" val="50"/>
        <cfvo type="max"/>
        <color rgb="FF63BE7B"/>
        <color rgb="FFFFEB84"/>
        <color rgb="FFF8696B"/>
      </colorScale>
    </cfRule>
  </conditionalFormatting>
  <conditionalFormatting sqref="I65:I80">
    <cfRule type="colorScale" priority="12600">
      <colorScale>
        <cfvo type="min"/>
        <cfvo type="percentile" val="50"/>
        <cfvo type="max"/>
        <color rgb="FF63BE7B"/>
        <color rgb="FFFFEB84"/>
        <color rgb="FFF8696B"/>
      </colorScale>
    </cfRule>
  </conditionalFormatting>
  <conditionalFormatting sqref="I72:I80">
    <cfRule type="colorScale" priority="12442">
      <colorScale>
        <cfvo type="min"/>
        <cfvo type="percentile" val="50"/>
        <cfvo type="max"/>
        <color rgb="FF63BE7B"/>
        <color rgb="FFFFEB84"/>
        <color rgb="FFF8696B"/>
      </colorScale>
    </cfRule>
    <cfRule type="colorScale" priority="12445">
      <colorScale>
        <cfvo type="min"/>
        <cfvo type="percentile" val="50"/>
        <cfvo type="max"/>
        <color rgb="FF63BE7B"/>
        <color rgb="FFFFEB84"/>
        <color rgb="FFF8696B"/>
      </colorScale>
    </cfRule>
    <cfRule type="colorScale" priority="12444">
      <colorScale>
        <cfvo type="min"/>
        <cfvo type="percentile" val="50"/>
        <cfvo type="max"/>
        <color rgb="FF63BE7B"/>
        <color rgb="FFFFEB84"/>
        <color rgb="FFF8696B"/>
      </colorScale>
    </cfRule>
    <cfRule type="colorScale" priority="12443">
      <colorScale>
        <cfvo type="min"/>
        <cfvo type="percentile" val="50"/>
        <cfvo type="max"/>
        <color rgb="FF63BE7B"/>
        <color rgb="FFFFEB84"/>
        <color rgb="FFF8696B"/>
      </colorScale>
    </cfRule>
  </conditionalFormatting>
  <conditionalFormatting sqref="I84:I91">
    <cfRule type="colorScale" priority="12216">
      <colorScale>
        <cfvo type="min"/>
        <cfvo type="percentile" val="50"/>
        <cfvo type="max"/>
        <color rgb="FF63BE7B"/>
        <color rgb="FFFFEB84"/>
        <color rgb="FFF8696B"/>
      </colorScale>
    </cfRule>
    <cfRule type="colorScale" priority="12214">
      <colorScale>
        <cfvo type="min"/>
        <cfvo type="percentile" val="50"/>
        <cfvo type="max"/>
        <color rgb="FF63BE7B"/>
        <color rgb="FFFFEB84"/>
        <color rgb="FFF8696B"/>
      </colorScale>
    </cfRule>
    <cfRule type="colorScale" priority="12217">
      <colorScale>
        <cfvo type="min"/>
        <cfvo type="percentile" val="50"/>
        <cfvo type="max"/>
        <color rgb="FF63BE7B"/>
        <color rgb="FFFFEB84"/>
        <color rgb="FFF8696B"/>
      </colorScale>
    </cfRule>
  </conditionalFormatting>
  <conditionalFormatting sqref="I86">
    <cfRule type="colorScale" priority="12215">
      <colorScale>
        <cfvo type="min"/>
        <cfvo type="percentile" val="50"/>
        <cfvo type="max"/>
        <color rgb="FF63BE7B"/>
        <color rgb="FFFFEB84"/>
        <color rgb="FFF8696B"/>
      </colorScale>
    </cfRule>
  </conditionalFormatting>
  <conditionalFormatting sqref="I96:I111">
    <cfRule type="colorScale" priority="11994">
      <colorScale>
        <cfvo type="min"/>
        <cfvo type="percentile" val="50"/>
        <cfvo type="max"/>
        <color rgb="FF63BE7B"/>
        <color rgb="FFFFEB84"/>
        <color rgb="FFF8696B"/>
      </colorScale>
    </cfRule>
  </conditionalFormatting>
  <conditionalFormatting sqref="I103:I111">
    <cfRule type="colorScale" priority="11836">
      <colorScale>
        <cfvo type="min"/>
        <cfvo type="percentile" val="50"/>
        <cfvo type="max"/>
        <color rgb="FF63BE7B"/>
        <color rgb="FFFFEB84"/>
        <color rgb="FFF8696B"/>
      </colorScale>
    </cfRule>
    <cfRule type="colorScale" priority="11837">
      <colorScale>
        <cfvo type="min"/>
        <cfvo type="percentile" val="50"/>
        <cfvo type="max"/>
        <color rgb="FF63BE7B"/>
        <color rgb="FFFFEB84"/>
        <color rgb="FFF8696B"/>
      </colorScale>
    </cfRule>
    <cfRule type="colorScale" priority="11838">
      <colorScale>
        <cfvo type="min"/>
        <cfvo type="percentile" val="50"/>
        <cfvo type="max"/>
        <color rgb="FF63BE7B"/>
        <color rgb="FFFFEB84"/>
        <color rgb="FFF8696B"/>
      </colorScale>
    </cfRule>
    <cfRule type="colorScale" priority="11839">
      <colorScale>
        <cfvo type="min"/>
        <cfvo type="percentile" val="50"/>
        <cfvo type="max"/>
        <color rgb="FF63BE7B"/>
        <color rgb="FFFFEB84"/>
        <color rgb="FFF8696B"/>
      </colorScale>
    </cfRule>
  </conditionalFormatting>
  <conditionalFormatting sqref="I115:I122">
    <cfRule type="colorScale" priority="11613">
      <colorScale>
        <cfvo type="min"/>
        <cfvo type="percentile" val="50"/>
        <cfvo type="max"/>
        <color rgb="FF63BE7B"/>
        <color rgb="FFFFEB84"/>
        <color rgb="FFF8696B"/>
      </colorScale>
    </cfRule>
    <cfRule type="colorScale" priority="11614">
      <colorScale>
        <cfvo type="min"/>
        <cfvo type="percentile" val="50"/>
        <cfvo type="max"/>
        <color rgb="FF63BE7B"/>
        <color rgb="FFFFEB84"/>
        <color rgb="FFF8696B"/>
      </colorScale>
    </cfRule>
    <cfRule type="colorScale" priority="11611">
      <colorScale>
        <cfvo type="min"/>
        <cfvo type="percentile" val="50"/>
        <cfvo type="max"/>
        <color rgb="FF63BE7B"/>
        <color rgb="FFFFEB84"/>
        <color rgb="FFF8696B"/>
      </colorScale>
    </cfRule>
  </conditionalFormatting>
  <conditionalFormatting sqref="I117">
    <cfRule type="colorScale" priority="11612">
      <colorScale>
        <cfvo type="min"/>
        <cfvo type="percentile" val="50"/>
        <cfvo type="max"/>
        <color rgb="FF63BE7B"/>
        <color rgb="FFFFEB84"/>
        <color rgb="FFF8696B"/>
      </colorScale>
    </cfRule>
  </conditionalFormatting>
  <conditionalFormatting sqref="J35:J37">
    <cfRule type="colorScale" priority="10114">
      <colorScale>
        <cfvo type="min"/>
        <cfvo type="percentile" val="50"/>
        <cfvo type="max"/>
        <color rgb="FF63BE7B"/>
        <color rgb="FFFFEB84"/>
        <color rgb="FFF8696B"/>
      </colorScale>
    </cfRule>
    <cfRule type="colorScale" priority="11368">
      <colorScale>
        <cfvo type="min"/>
        <cfvo type="percentile" val="50"/>
        <cfvo type="max"/>
        <color rgb="FF63BE7B"/>
        <color rgb="FFFFEB84"/>
        <color rgb="FFF8696B"/>
      </colorScale>
    </cfRule>
    <cfRule type="colorScale" priority="10111">
      <colorScale>
        <cfvo type="min"/>
        <cfvo type="percentile" val="50"/>
        <cfvo type="max"/>
        <color rgb="FF63BE7B"/>
        <color rgb="FFFFEB84"/>
        <color rgb="FFF8696B"/>
      </colorScale>
    </cfRule>
    <cfRule type="colorScale" priority="11246">
      <colorScale>
        <cfvo type="min"/>
        <cfvo type="percentile" val="50"/>
        <cfvo type="max"/>
        <color rgb="FF63BE7B"/>
        <color rgb="FFFFEB84"/>
        <color rgb="FFF8696B"/>
      </colorScale>
    </cfRule>
    <cfRule type="colorScale" priority="10113">
      <colorScale>
        <cfvo type="min"/>
        <cfvo type="percentile" val="50"/>
        <cfvo type="max"/>
        <color rgb="FF63BE7B"/>
        <color rgb="FFFFEB84"/>
        <color rgb="FFF8696B"/>
      </colorScale>
    </cfRule>
    <cfRule type="colorScale" priority="11367">
      <colorScale>
        <cfvo type="min"/>
        <cfvo type="percentile" val="50"/>
        <cfvo type="max"/>
        <color rgb="FF63BE7B"/>
        <color rgb="FFFFEB84"/>
        <color rgb="FFF8696B"/>
      </colorScale>
    </cfRule>
    <cfRule type="colorScale" priority="10117">
      <colorScale>
        <cfvo type="min"/>
        <cfvo type="percentile" val="50"/>
        <cfvo type="max"/>
        <color rgb="FF63BE7B"/>
        <color rgb="FFFFEB84"/>
        <color rgb="FFF8696B"/>
      </colorScale>
    </cfRule>
    <cfRule type="colorScale" priority="10103">
      <colorScale>
        <cfvo type="min"/>
        <cfvo type="percentile" val="50"/>
        <cfvo type="max"/>
        <color rgb="FF63BE7B"/>
        <color rgb="FFFFEB84"/>
        <color rgb="FFF8696B"/>
      </colorScale>
    </cfRule>
    <cfRule type="colorScale" priority="11366">
      <colorScale>
        <cfvo type="min"/>
        <cfvo type="percentile" val="50"/>
        <cfvo type="max"/>
        <color rgb="FF63BE7B"/>
        <color rgb="FFFFEB84"/>
        <color rgb="FFF8696B"/>
      </colorScale>
    </cfRule>
    <cfRule type="colorScale" priority="11365">
      <colorScale>
        <cfvo type="min"/>
        <cfvo type="percentile" val="50"/>
        <cfvo type="max"/>
        <color rgb="FF63BE7B"/>
        <color rgb="FFFFEB84"/>
        <color rgb="FFF8696B"/>
      </colorScale>
    </cfRule>
    <cfRule type="colorScale" priority="10112">
      <colorScale>
        <cfvo type="min"/>
        <cfvo type="percentile" val="50"/>
        <cfvo type="max"/>
        <color rgb="FF63BE7B"/>
        <color rgb="FFFFEB84"/>
        <color rgb="FFF8696B"/>
      </colorScale>
    </cfRule>
    <cfRule type="colorScale" priority="10116">
      <colorScale>
        <cfvo type="min"/>
        <cfvo type="percentile" val="50"/>
        <cfvo type="max"/>
        <color rgb="FF63BE7B"/>
        <color rgb="FFFFEB84"/>
        <color rgb="FFF8696B"/>
      </colorScale>
    </cfRule>
    <cfRule type="colorScale" priority="11370">
      <colorScale>
        <cfvo type="min"/>
        <cfvo type="percentile" val="50"/>
        <cfvo type="max"/>
        <color rgb="FF63BE7B"/>
        <color rgb="FFFFEB84"/>
        <color rgb="FFF8696B"/>
      </colorScale>
    </cfRule>
    <cfRule type="colorScale" priority="11371">
      <colorScale>
        <cfvo type="min"/>
        <cfvo type="percentile" val="50"/>
        <cfvo type="max"/>
        <color rgb="FF63BE7B"/>
        <color rgb="FFFFEB84"/>
        <color rgb="FFF8696B"/>
      </colorScale>
    </cfRule>
  </conditionalFormatting>
  <conditionalFormatting sqref="J35:J41">
    <cfRule type="colorScale" priority="10118">
      <colorScale>
        <cfvo type="min"/>
        <cfvo type="percentile" val="50"/>
        <cfvo type="max"/>
        <color rgb="FF63BE7B"/>
        <color rgb="FFFFEB84"/>
        <color rgb="FFF8696B"/>
      </colorScale>
    </cfRule>
    <cfRule type="colorScale" priority="10119">
      <colorScale>
        <cfvo type="min"/>
        <cfvo type="percentile" val="50"/>
        <cfvo type="max"/>
        <color rgb="FF63BE7B"/>
        <color rgb="FFFFEB84"/>
        <color rgb="FFF8696B"/>
      </colorScale>
    </cfRule>
    <cfRule type="colorScale" priority="10120">
      <colorScale>
        <cfvo type="min"/>
        <cfvo type="percentile" val="50"/>
        <cfvo type="max"/>
        <color rgb="FF63BE7B"/>
        <color rgb="FFFFEB84"/>
        <color rgb="FFF8696B"/>
      </colorScale>
    </cfRule>
    <cfRule type="colorScale" priority="13183">
      <colorScale>
        <cfvo type="min"/>
        <cfvo type="percentile" val="50"/>
        <cfvo type="max"/>
        <color rgb="FF63BE7B"/>
        <color rgb="FFFFEB84"/>
        <color rgb="FFF8696B"/>
      </colorScale>
    </cfRule>
    <cfRule type="colorScale" priority="10127">
      <colorScale>
        <cfvo type="min"/>
        <cfvo type="percentile" val="50"/>
        <cfvo type="max"/>
        <color rgb="FF63BE7B"/>
        <color rgb="FFFFEB84"/>
        <color rgb="FFF8696B"/>
      </colorScale>
    </cfRule>
    <cfRule type="colorScale" priority="13184">
      <colorScale>
        <cfvo type="min"/>
        <cfvo type="percentile" val="50"/>
        <cfvo type="max"/>
        <color rgb="FF63BE7B"/>
        <color rgb="FFFFEB84"/>
        <color rgb="FFF8696B"/>
      </colorScale>
    </cfRule>
    <cfRule type="colorScale" priority="10126">
      <colorScale>
        <cfvo type="min"/>
        <cfvo type="percentile" val="50"/>
        <cfvo type="max"/>
        <color rgb="FF63BE7B"/>
        <color rgb="FFFFEB84"/>
        <color rgb="FFF8696B"/>
      </colorScale>
    </cfRule>
    <cfRule type="colorScale" priority="13185">
      <colorScale>
        <cfvo type="min"/>
        <cfvo type="percentile" val="50"/>
        <cfvo type="max"/>
        <color rgb="FF63BE7B"/>
        <color rgb="FFFFEB84"/>
        <color rgb="FFF8696B"/>
      </colorScale>
    </cfRule>
    <cfRule type="colorScale" priority="11253">
      <colorScale>
        <cfvo type="min"/>
        <cfvo type="percentile" val="50"/>
        <cfvo type="max"/>
        <color rgb="FF63BE7B"/>
        <color rgb="FFFFEB84"/>
        <color rgb="FFF8696B"/>
      </colorScale>
    </cfRule>
    <cfRule type="colorScale" priority="11252">
      <colorScale>
        <cfvo type="min"/>
        <cfvo type="percentile" val="50"/>
        <cfvo type="max"/>
        <color rgb="FF63BE7B"/>
        <color rgb="FFFFEB84"/>
        <color rgb="FFF8696B"/>
      </colorScale>
    </cfRule>
    <cfRule type="colorScale" priority="10124">
      <colorScale>
        <cfvo type="min"/>
        <cfvo type="percentile" val="50"/>
        <cfvo type="max"/>
        <color rgb="FF63BE7B"/>
        <color rgb="FFFFEB84"/>
        <color rgb="FFF8696B"/>
      </colorScale>
    </cfRule>
    <cfRule type="colorScale" priority="11251">
      <colorScale>
        <cfvo type="min"/>
        <cfvo type="percentile" val="50"/>
        <cfvo type="max"/>
        <color rgb="FF63BE7B"/>
        <color rgb="FFFFEB84"/>
        <color rgb="FFF8696B"/>
      </colorScale>
    </cfRule>
    <cfRule type="colorScale" priority="11250">
      <colorScale>
        <cfvo type="min"/>
        <cfvo type="percentile" val="50"/>
        <cfvo type="max"/>
        <color rgb="FF63BE7B"/>
        <color rgb="FFFFEB84"/>
        <color rgb="FFF8696B"/>
      </colorScale>
    </cfRule>
    <cfRule type="colorScale" priority="10104">
      <colorScale>
        <cfvo type="min"/>
        <cfvo type="percentile" val="50"/>
        <cfvo type="max"/>
        <color rgb="FF63BE7B"/>
        <color rgb="FFFFEB84"/>
        <color rgb="FFF8696B"/>
      </colorScale>
    </cfRule>
    <cfRule type="colorScale" priority="10102">
      <colorScale>
        <cfvo type="min"/>
        <cfvo type="percentile" val="50"/>
        <cfvo type="max"/>
        <color rgb="FF63BE7B"/>
        <color rgb="FFFFEB84"/>
        <color rgb="FFF8696B"/>
      </colorScale>
    </cfRule>
    <cfRule type="colorScale" priority="10101">
      <colorScale>
        <cfvo type="min"/>
        <cfvo type="percentile" val="50"/>
        <cfvo type="max"/>
        <color rgb="FF63BE7B"/>
        <color rgb="FFFFEB84"/>
        <color rgb="FFF8696B"/>
      </colorScale>
    </cfRule>
    <cfRule type="colorScale" priority="10121">
      <colorScale>
        <cfvo type="min"/>
        <cfvo type="percentile" val="50"/>
        <cfvo type="max"/>
        <color rgb="FF63BE7B"/>
        <color rgb="FFFFEB84"/>
        <color rgb="FFF8696B"/>
      </colorScale>
    </cfRule>
    <cfRule type="colorScale" priority="10122">
      <colorScale>
        <cfvo type="min"/>
        <cfvo type="percentile" val="50"/>
        <cfvo type="max"/>
        <color rgb="FF63BE7B"/>
        <color rgb="FFFFEB84"/>
        <color rgb="FFF8696B"/>
      </colorScale>
    </cfRule>
    <cfRule type="colorScale" priority="11248">
      <colorScale>
        <cfvo type="min"/>
        <cfvo type="percentile" val="50"/>
        <cfvo type="max"/>
        <color rgb="FF63BE7B"/>
        <color rgb="FFFFEB84"/>
        <color rgb="FFF8696B"/>
      </colorScale>
    </cfRule>
    <cfRule type="colorScale" priority="11247">
      <colorScale>
        <cfvo type="min"/>
        <cfvo type="percentile" val="50"/>
        <cfvo type="max"/>
        <color rgb="FF63BE7B"/>
        <color rgb="FFFFEB84"/>
        <color rgb="FFF8696B"/>
      </colorScale>
    </cfRule>
    <cfRule type="colorScale" priority="11245">
      <colorScale>
        <cfvo type="min"/>
        <cfvo type="percentile" val="50"/>
        <cfvo type="max"/>
        <color rgb="FF63BE7B"/>
        <color rgb="FFFFEB84"/>
        <color rgb="FFF8696B"/>
      </colorScale>
    </cfRule>
    <cfRule type="colorScale" priority="11244">
      <colorScale>
        <cfvo type="min"/>
        <cfvo type="percentile" val="50"/>
        <cfvo type="max"/>
        <color rgb="FF63BE7B"/>
        <color rgb="FFFFEB84"/>
        <color rgb="FFF8696B"/>
      </colorScale>
    </cfRule>
    <cfRule type="colorScale" priority="10110">
      <colorScale>
        <cfvo type="min"/>
        <cfvo type="percentile" val="50"/>
        <cfvo type="max"/>
        <color rgb="FF63BE7B"/>
        <color rgb="FFFFEB84"/>
        <color rgb="FFF8696B"/>
      </colorScale>
    </cfRule>
    <cfRule type="colorScale" priority="11249">
      <colorScale>
        <cfvo type="min"/>
        <cfvo type="percentile" val="50"/>
        <cfvo type="max"/>
        <color rgb="FF63BE7B"/>
        <color rgb="FFFFEB84"/>
        <color rgb="FFF8696B"/>
      </colorScale>
    </cfRule>
    <cfRule type="colorScale" priority="10107">
      <colorScale>
        <cfvo type="min"/>
        <cfvo type="percentile" val="50"/>
        <cfvo type="max"/>
        <color rgb="FF63BE7B"/>
        <color rgb="FFFFEB84"/>
        <color rgb="FFF8696B"/>
      </colorScale>
    </cfRule>
    <cfRule type="colorScale" priority="10108">
      <colorScale>
        <cfvo type="min"/>
        <cfvo type="percentile" val="50"/>
        <cfvo type="max"/>
        <color rgb="FF63BE7B"/>
        <color rgb="FFFFEB84"/>
        <color rgb="FFF8696B"/>
      </colorScale>
    </cfRule>
    <cfRule type="colorScale" priority="10109">
      <colorScale>
        <cfvo type="min"/>
        <cfvo type="percentile" val="50"/>
        <cfvo type="max"/>
        <color rgb="FF63BE7B"/>
        <color rgb="FFFFEB84"/>
        <color rgb="FFF8696B"/>
      </colorScale>
    </cfRule>
    <cfRule type="colorScale" priority="10123">
      <colorScale>
        <cfvo type="min"/>
        <cfvo type="percentile" val="50"/>
        <cfvo type="max"/>
        <color rgb="FF63BE7B"/>
        <color rgb="FFFFEB84"/>
        <color rgb="FFF8696B"/>
      </colorScale>
    </cfRule>
    <cfRule type="colorScale" priority="10106">
      <colorScale>
        <cfvo type="min"/>
        <cfvo type="percentile" val="50"/>
        <cfvo type="max"/>
        <color rgb="FF63BE7B"/>
        <color rgb="FFFFEB84"/>
        <color rgb="FFF8696B"/>
      </colorScale>
    </cfRule>
    <cfRule type="colorScale" priority="10105">
      <colorScale>
        <cfvo type="min"/>
        <cfvo type="percentile" val="50"/>
        <cfvo type="max"/>
        <color rgb="FF63BE7B"/>
        <color rgb="FFFFEB84"/>
        <color rgb="FFF8696B"/>
      </colorScale>
    </cfRule>
  </conditionalFormatting>
  <conditionalFormatting sqref="J35:J50 Z35:Z41 AM35:AM41">
    <cfRule type="colorScale" priority="13217">
      <colorScale>
        <cfvo type="min"/>
        <cfvo type="percentile" val="50"/>
        <cfvo type="max"/>
        <color rgb="FF63BE7B"/>
        <color rgb="FFFFEB84"/>
        <color rgb="FFF8696B"/>
      </colorScale>
    </cfRule>
    <cfRule type="colorScale" priority="13054">
      <colorScale>
        <cfvo type="min"/>
        <cfvo type="percentile" val="50"/>
        <cfvo type="max"/>
        <color rgb="FF63BE7B"/>
        <color rgb="FFFFEB84"/>
        <color rgb="FFF8696B"/>
      </colorScale>
    </cfRule>
    <cfRule type="colorScale" priority="13055">
      <colorScale>
        <cfvo type="min"/>
        <cfvo type="percentile" val="50"/>
        <cfvo type="max"/>
        <color rgb="FF63BE7B"/>
        <color rgb="FFFFEB84"/>
        <color rgb="FFF8696B"/>
      </colorScale>
    </cfRule>
    <cfRule type="colorScale" priority="13056">
      <colorScale>
        <cfvo type="min"/>
        <cfvo type="percentile" val="50"/>
        <cfvo type="max"/>
        <color rgb="FF63BE7B"/>
        <color rgb="FFFFEB84"/>
        <color rgb="FFF8696B"/>
      </colorScale>
    </cfRule>
    <cfRule type="colorScale" priority="13057">
      <colorScale>
        <cfvo type="min"/>
        <cfvo type="percentile" val="50"/>
        <cfvo type="max"/>
        <color rgb="FF63BE7B"/>
        <color rgb="FFFFEB84"/>
        <color rgb="FFF8696B"/>
      </colorScale>
    </cfRule>
  </conditionalFormatting>
  <conditionalFormatting sqref="J36:J37">
    <cfRule type="colorScale" priority="11369">
      <colorScale>
        <cfvo type="min"/>
        <cfvo type="percentile" val="50"/>
        <cfvo type="max"/>
        <color rgb="FF63BE7B"/>
        <color rgb="FFFFEB84"/>
        <color rgb="FFF8696B"/>
      </colorScale>
    </cfRule>
    <cfRule type="colorScale" priority="10115">
      <colorScale>
        <cfvo type="min"/>
        <cfvo type="percentile" val="50"/>
        <cfvo type="max"/>
        <color rgb="FF63BE7B"/>
        <color rgb="FFFFEB84"/>
        <color rgb="FFF8696B"/>
      </colorScale>
    </cfRule>
  </conditionalFormatting>
  <conditionalFormatting sqref="J36:J41">
    <cfRule type="colorScale" priority="13186">
      <colorScale>
        <cfvo type="min"/>
        <cfvo type="percentile" val="50"/>
        <cfvo type="max"/>
        <color rgb="FF63BE7B"/>
        <color rgb="FFFFEB84"/>
        <color rgb="FFF8696B"/>
      </colorScale>
    </cfRule>
    <cfRule type="colorScale" priority="10125">
      <colorScale>
        <cfvo type="min"/>
        <cfvo type="percentile" val="50"/>
        <cfvo type="max"/>
        <color rgb="FF63BE7B"/>
        <color rgb="FFFFEB84"/>
        <color rgb="FFF8696B"/>
      </colorScale>
    </cfRule>
  </conditionalFormatting>
  <conditionalFormatting sqref="J42:J50">
    <cfRule type="colorScale" priority="7466">
      <colorScale>
        <cfvo type="min"/>
        <cfvo type="percentile" val="50"/>
        <cfvo type="max"/>
        <color rgb="FF63BE7B"/>
        <color rgb="FFFFEB84"/>
        <color rgb="FFF8696B"/>
      </colorScale>
    </cfRule>
  </conditionalFormatting>
  <conditionalFormatting sqref="J51:J53">
    <cfRule type="colorScale" priority="4672">
      <colorScale>
        <cfvo type="min"/>
        <cfvo type="percentile" val="50"/>
        <cfvo type="max"/>
        <color rgb="FF63BE7B"/>
        <color rgb="FFFFEB84"/>
        <color rgb="FFF8696B"/>
      </colorScale>
    </cfRule>
    <cfRule type="colorScale" priority="4673">
      <colorScale>
        <cfvo type="min"/>
        <cfvo type="percentile" val="50"/>
        <cfvo type="max"/>
        <color rgb="FF63BE7B"/>
        <color rgb="FFFFEB84"/>
        <color rgb="FFF8696B"/>
      </colorScale>
    </cfRule>
    <cfRule type="colorScale" priority="4645">
      <colorScale>
        <cfvo type="min"/>
        <cfvo type="percentile" val="50"/>
        <cfvo type="max"/>
        <color rgb="FF63BE7B"/>
        <color rgb="FFFFEB84"/>
        <color rgb="FFF8696B"/>
      </colorScale>
    </cfRule>
    <cfRule type="colorScale" priority="12931">
      <colorScale>
        <cfvo type="min"/>
        <cfvo type="percentile" val="50"/>
        <cfvo type="max"/>
        <color rgb="FF63BE7B"/>
        <color rgb="FFFFEB84"/>
        <color rgb="FFF8696B"/>
      </colorScale>
    </cfRule>
    <cfRule type="colorScale" priority="12930">
      <colorScale>
        <cfvo type="min"/>
        <cfvo type="percentile" val="50"/>
        <cfvo type="max"/>
        <color rgb="FF63BE7B"/>
        <color rgb="FFFFEB84"/>
        <color rgb="FFF8696B"/>
      </colorScale>
    </cfRule>
  </conditionalFormatting>
  <conditionalFormatting sqref="J52:J53 Z52:Z53 AM52:AM53">
    <cfRule type="colorScale" priority="7120">
      <colorScale>
        <cfvo type="min"/>
        <cfvo type="percentile" val="50"/>
        <cfvo type="max"/>
        <color rgb="FF63BE7B"/>
        <color rgb="FFFFEB84"/>
        <color rgb="FFF8696B"/>
      </colorScale>
    </cfRule>
    <cfRule type="colorScale" priority="7121">
      <colorScale>
        <cfvo type="min"/>
        <cfvo type="percentile" val="50"/>
        <cfvo type="max"/>
        <color rgb="FF63BE7B"/>
        <color rgb="FFFFEB84"/>
        <color rgb="FFF8696B"/>
      </colorScale>
    </cfRule>
    <cfRule type="colorScale" priority="7267">
      <colorScale>
        <cfvo type="min"/>
        <cfvo type="percentile" val="50"/>
        <cfvo type="max"/>
        <color rgb="FF63BE7B"/>
        <color rgb="FFFFEB84"/>
        <color rgb="FFF8696B"/>
      </colorScale>
    </cfRule>
    <cfRule type="colorScale" priority="7123">
      <colorScale>
        <cfvo type="min"/>
        <cfvo type="percentile" val="50"/>
        <cfvo type="max"/>
        <color rgb="FF63BE7B"/>
        <color rgb="FFFFEB84"/>
        <color rgb="FFF8696B"/>
      </colorScale>
    </cfRule>
    <cfRule type="colorScale" priority="7122">
      <colorScale>
        <cfvo type="min"/>
        <cfvo type="percentile" val="50"/>
        <cfvo type="max"/>
        <color rgb="FF63BE7B"/>
        <color rgb="FFFFEB84"/>
        <color rgb="FFF8696B"/>
      </colorScale>
    </cfRule>
  </conditionalFormatting>
  <conditionalFormatting sqref="J52:J53">
    <cfRule type="colorScale" priority="4654">
      <colorScale>
        <cfvo type="min"/>
        <cfvo type="percentile" val="50"/>
        <cfvo type="max"/>
        <color rgb="FF63BE7B"/>
        <color rgb="FFFFEB84"/>
        <color rgb="FFF8696B"/>
      </colorScale>
    </cfRule>
    <cfRule type="colorScale" priority="4653">
      <colorScale>
        <cfvo type="min"/>
        <cfvo type="percentile" val="50"/>
        <cfvo type="max"/>
        <color rgb="FF63BE7B"/>
        <color rgb="FFFFEB84"/>
        <color rgb="FFF8696B"/>
      </colorScale>
    </cfRule>
    <cfRule type="colorScale" priority="4652">
      <colorScale>
        <cfvo type="min"/>
        <cfvo type="percentile" val="50"/>
        <cfvo type="max"/>
        <color rgb="FF63BE7B"/>
        <color rgb="FFFFEB84"/>
        <color rgb="FFF8696B"/>
      </colorScale>
    </cfRule>
    <cfRule type="colorScale" priority="4651">
      <colorScale>
        <cfvo type="min"/>
        <cfvo type="percentile" val="50"/>
        <cfvo type="max"/>
        <color rgb="FF63BE7B"/>
        <color rgb="FFFFEB84"/>
        <color rgb="FFF8696B"/>
      </colorScale>
    </cfRule>
    <cfRule type="colorScale" priority="4650">
      <colorScale>
        <cfvo type="min"/>
        <cfvo type="percentile" val="50"/>
        <cfvo type="max"/>
        <color rgb="FF63BE7B"/>
        <color rgb="FFFFEB84"/>
        <color rgb="FFF8696B"/>
      </colorScale>
    </cfRule>
    <cfRule type="colorScale" priority="4649">
      <colorScale>
        <cfvo type="min"/>
        <cfvo type="percentile" val="50"/>
        <cfvo type="max"/>
        <color rgb="FF63BE7B"/>
        <color rgb="FFFFEB84"/>
        <color rgb="FFF8696B"/>
      </colorScale>
    </cfRule>
    <cfRule type="colorScale" priority="4648">
      <colorScale>
        <cfvo type="min"/>
        <cfvo type="percentile" val="50"/>
        <cfvo type="max"/>
        <color rgb="FF63BE7B"/>
        <color rgb="FFFFEB84"/>
        <color rgb="FFF8696B"/>
      </colorScale>
    </cfRule>
    <cfRule type="colorScale" priority="4647">
      <colorScale>
        <cfvo type="min"/>
        <cfvo type="percentile" val="50"/>
        <cfvo type="max"/>
        <color rgb="FF63BE7B"/>
        <color rgb="FFFFEB84"/>
        <color rgb="FFF8696B"/>
      </colorScale>
    </cfRule>
    <cfRule type="colorScale" priority="4646">
      <colorScale>
        <cfvo type="min"/>
        <cfvo type="percentile" val="50"/>
        <cfvo type="max"/>
        <color rgb="FF63BE7B"/>
        <color rgb="FFFFEB84"/>
        <color rgb="FFF8696B"/>
      </colorScale>
    </cfRule>
    <cfRule type="colorScale" priority="6219">
      <colorScale>
        <cfvo type="min"/>
        <cfvo type="percentile" val="50"/>
        <cfvo type="max"/>
        <color rgb="FF63BE7B"/>
        <color rgb="FFFFEB84"/>
        <color rgb="FFF8696B"/>
      </colorScale>
    </cfRule>
    <cfRule type="colorScale" priority="4658">
      <colorScale>
        <cfvo type="min"/>
        <cfvo type="percentile" val="50"/>
        <cfvo type="max"/>
        <color rgb="FF63BE7B"/>
        <color rgb="FFFFEB84"/>
        <color rgb="FFF8696B"/>
      </colorScale>
    </cfRule>
    <cfRule type="colorScale" priority="4657">
      <colorScale>
        <cfvo type="min"/>
        <cfvo type="percentile" val="50"/>
        <cfvo type="max"/>
        <color rgb="FF63BE7B"/>
        <color rgb="FFFFEB84"/>
        <color rgb="FFF8696B"/>
      </colorScale>
    </cfRule>
    <cfRule type="colorScale" priority="4656">
      <colorScale>
        <cfvo type="min"/>
        <cfvo type="percentile" val="50"/>
        <cfvo type="max"/>
        <color rgb="FF63BE7B"/>
        <color rgb="FFFFEB84"/>
        <color rgb="FFF8696B"/>
      </colorScale>
    </cfRule>
    <cfRule type="colorScale" priority="4655">
      <colorScale>
        <cfvo type="min"/>
        <cfvo type="percentile" val="50"/>
        <cfvo type="max"/>
        <color rgb="FF63BE7B"/>
        <color rgb="FFFFEB84"/>
        <color rgb="FFF8696B"/>
      </colorScale>
    </cfRule>
    <cfRule type="colorScale" priority="6234">
      <colorScale>
        <cfvo type="min"/>
        <cfvo type="percentile" val="50"/>
        <cfvo type="max"/>
        <color rgb="FF63BE7B"/>
        <color rgb="FFFFEB84"/>
        <color rgb="FFF8696B"/>
      </colorScale>
    </cfRule>
    <cfRule type="colorScale" priority="7243">
      <colorScale>
        <cfvo type="min"/>
        <cfvo type="percentile" val="50"/>
        <cfvo type="max"/>
        <color rgb="FF63BE7B"/>
        <color rgb="FFFFEB84"/>
        <color rgb="FFF8696B"/>
      </colorScale>
    </cfRule>
    <cfRule type="colorScale" priority="7242">
      <colorScale>
        <cfvo type="min"/>
        <cfvo type="percentile" val="50"/>
        <cfvo type="max"/>
        <color rgb="FF63BE7B"/>
        <color rgb="FFFFEB84"/>
        <color rgb="FFF8696B"/>
      </colorScale>
    </cfRule>
    <cfRule type="colorScale" priority="6225">
      <colorScale>
        <cfvo type="min"/>
        <cfvo type="percentile" val="50"/>
        <cfvo type="max"/>
        <color rgb="FF63BE7B"/>
        <color rgb="FFFFEB84"/>
        <color rgb="FFF8696B"/>
      </colorScale>
    </cfRule>
    <cfRule type="colorScale" priority="6226">
      <colorScale>
        <cfvo type="min"/>
        <cfvo type="percentile" val="50"/>
        <cfvo type="max"/>
        <color rgb="FF63BE7B"/>
        <color rgb="FFFFEB84"/>
        <color rgb="FFF8696B"/>
      </colorScale>
    </cfRule>
    <cfRule type="colorScale" priority="6223">
      <colorScale>
        <cfvo type="min"/>
        <cfvo type="percentile" val="50"/>
        <cfvo type="max"/>
        <color rgb="FF63BE7B"/>
        <color rgb="FFFFEB84"/>
        <color rgb="FFF8696B"/>
      </colorScale>
    </cfRule>
    <cfRule type="colorScale" priority="6222">
      <colorScale>
        <cfvo type="min"/>
        <cfvo type="percentile" val="50"/>
        <cfvo type="max"/>
        <color rgb="FF63BE7B"/>
        <color rgb="FFFFEB84"/>
        <color rgb="FFF8696B"/>
      </colorScale>
    </cfRule>
    <cfRule type="colorScale" priority="6224">
      <colorScale>
        <cfvo type="min"/>
        <cfvo type="percentile" val="50"/>
        <cfvo type="max"/>
        <color rgb="FF63BE7B"/>
        <color rgb="FFFFEB84"/>
        <color rgb="FFF8696B"/>
      </colorScale>
    </cfRule>
    <cfRule type="colorScale" priority="6221">
      <colorScale>
        <cfvo type="min"/>
        <cfvo type="percentile" val="50"/>
        <cfvo type="max"/>
        <color rgb="FF63BE7B"/>
        <color rgb="FFFFEB84"/>
        <color rgb="FFF8696B"/>
      </colorScale>
    </cfRule>
    <cfRule type="colorScale" priority="4668">
      <colorScale>
        <cfvo type="min"/>
        <cfvo type="percentile" val="50"/>
        <cfvo type="max"/>
        <color rgb="FF63BE7B"/>
        <color rgb="FFFFEB84"/>
        <color rgb="FFF8696B"/>
      </colorScale>
    </cfRule>
    <cfRule type="colorScale" priority="6220">
      <colorScale>
        <cfvo type="min"/>
        <cfvo type="percentile" val="50"/>
        <cfvo type="max"/>
        <color rgb="FF63BE7B"/>
        <color rgb="FFFFEB84"/>
        <color rgb="FFF8696B"/>
      </colorScale>
    </cfRule>
    <cfRule type="colorScale" priority="7241">
      <colorScale>
        <cfvo type="min"/>
        <cfvo type="percentile" val="50"/>
        <cfvo type="max"/>
        <color rgb="FF63BE7B"/>
        <color rgb="FFFFEB84"/>
        <color rgb="FFF8696B"/>
      </colorScale>
    </cfRule>
    <cfRule type="colorScale" priority="7240">
      <colorScale>
        <cfvo type="min"/>
        <cfvo type="percentile" val="50"/>
        <cfvo type="max"/>
        <color rgb="FF63BE7B"/>
        <color rgb="FFFFEB84"/>
        <color rgb="FFF8696B"/>
      </colorScale>
    </cfRule>
    <cfRule type="colorScale" priority="6227">
      <colorScale>
        <cfvo type="min"/>
        <cfvo type="percentile" val="50"/>
        <cfvo type="max"/>
        <color rgb="FF63BE7B"/>
        <color rgb="FFFFEB84"/>
        <color rgb="FFF8696B"/>
      </colorScale>
    </cfRule>
    <cfRule type="colorScale" priority="6228">
      <colorScale>
        <cfvo type="min"/>
        <cfvo type="percentile" val="50"/>
        <cfvo type="max"/>
        <color rgb="FF63BE7B"/>
        <color rgb="FFFFEB84"/>
        <color rgb="FFF8696B"/>
      </colorScale>
    </cfRule>
    <cfRule type="colorScale" priority="6217">
      <colorScale>
        <cfvo type="min"/>
        <cfvo type="percentile" val="50"/>
        <cfvo type="max"/>
        <color rgb="FF63BE7B"/>
        <color rgb="FFFFEB84"/>
        <color rgb="FFF8696B"/>
      </colorScale>
    </cfRule>
    <cfRule type="colorScale" priority="6229">
      <colorScale>
        <cfvo type="min"/>
        <cfvo type="percentile" val="50"/>
        <cfvo type="max"/>
        <color rgb="FF63BE7B"/>
        <color rgb="FFFFEB84"/>
        <color rgb="FFF8696B"/>
      </colorScale>
    </cfRule>
    <cfRule type="colorScale" priority="6230">
      <colorScale>
        <cfvo type="min"/>
        <cfvo type="percentile" val="50"/>
        <cfvo type="max"/>
        <color rgb="FF63BE7B"/>
        <color rgb="FFFFEB84"/>
        <color rgb="FFF8696B"/>
      </colorScale>
    </cfRule>
    <cfRule type="colorScale" priority="4666">
      <colorScale>
        <cfvo type="min"/>
        <cfvo type="percentile" val="50"/>
        <cfvo type="max"/>
        <color rgb="FF63BE7B"/>
        <color rgb="FFFFEB84"/>
        <color rgb="FFF8696B"/>
      </colorScale>
    </cfRule>
    <cfRule type="colorScale" priority="6231">
      <colorScale>
        <cfvo type="min"/>
        <cfvo type="percentile" val="50"/>
        <cfvo type="max"/>
        <color rgb="FF63BE7B"/>
        <color rgb="FFFFEB84"/>
        <color rgb="FFF8696B"/>
      </colorScale>
    </cfRule>
    <cfRule type="colorScale" priority="7039">
      <colorScale>
        <cfvo type="min"/>
        <cfvo type="percentile" val="50"/>
        <cfvo type="max"/>
        <color rgb="FF63BE7B"/>
        <color rgb="FFFFEB84"/>
        <color rgb="FFF8696B"/>
      </colorScale>
    </cfRule>
    <cfRule type="colorScale" priority="7038">
      <colorScale>
        <cfvo type="min"/>
        <cfvo type="percentile" val="50"/>
        <cfvo type="max"/>
        <color rgb="FF63BE7B"/>
        <color rgb="FFFFEB84"/>
        <color rgb="FFF8696B"/>
      </colorScale>
    </cfRule>
    <cfRule type="colorScale" priority="7037">
      <colorScale>
        <cfvo type="min"/>
        <cfvo type="percentile" val="50"/>
        <cfvo type="max"/>
        <color rgb="FF63BE7B"/>
        <color rgb="FFFFEB84"/>
        <color rgb="FFF8696B"/>
      </colorScale>
    </cfRule>
    <cfRule type="colorScale" priority="7036">
      <colorScale>
        <cfvo type="min"/>
        <cfvo type="percentile" val="50"/>
        <cfvo type="max"/>
        <color rgb="FF63BE7B"/>
        <color rgb="FFFFEB84"/>
        <color rgb="FFF8696B"/>
      </colorScale>
    </cfRule>
    <cfRule type="colorScale" priority="7035">
      <colorScale>
        <cfvo type="min"/>
        <cfvo type="percentile" val="50"/>
        <cfvo type="max"/>
        <color rgb="FF63BE7B"/>
        <color rgb="FFFFEB84"/>
        <color rgb="FFF8696B"/>
      </colorScale>
    </cfRule>
    <cfRule type="colorScale" priority="7034">
      <colorScale>
        <cfvo type="min"/>
        <cfvo type="percentile" val="50"/>
        <cfvo type="max"/>
        <color rgb="FF63BE7B"/>
        <color rgb="FFFFEB84"/>
        <color rgb="FFF8696B"/>
      </colorScale>
    </cfRule>
    <cfRule type="colorScale" priority="7033">
      <colorScale>
        <cfvo type="min"/>
        <cfvo type="percentile" val="50"/>
        <cfvo type="max"/>
        <color rgb="FF63BE7B"/>
        <color rgb="FFFFEB84"/>
        <color rgb="FFF8696B"/>
      </colorScale>
    </cfRule>
    <cfRule type="colorScale" priority="7032">
      <colorScale>
        <cfvo type="min"/>
        <cfvo type="percentile" val="50"/>
        <cfvo type="max"/>
        <color rgb="FF63BE7B"/>
        <color rgb="FFFFEB84"/>
        <color rgb="FFF8696B"/>
      </colorScale>
    </cfRule>
    <cfRule type="colorScale" priority="6218">
      <colorScale>
        <cfvo type="min"/>
        <cfvo type="percentile" val="50"/>
        <cfvo type="max"/>
        <color rgb="FF63BE7B"/>
        <color rgb="FFFFEB84"/>
        <color rgb="FFF8696B"/>
      </colorScale>
    </cfRule>
    <cfRule type="colorScale" priority="6216">
      <colorScale>
        <cfvo type="min"/>
        <cfvo type="percentile" val="50"/>
        <cfvo type="max"/>
        <color rgb="FF63BE7B"/>
        <color rgb="FFFFEB84"/>
        <color rgb="FFF8696B"/>
      </colorScale>
    </cfRule>
    <cfRule type="colorScale" priority="7040">
      <colorScale>
        <cfvo type="min"/>
        <cfvo type="percentile" val="50"/>
        <cfvo type="max"/>
        <color rgb="FF63BE7B"/>
        <color rgb="FFFFEB84"/>
        <color rgb="FFF8696B"/>
      </colorScale>
    </cfRule>
    <cfRule type="colorScale" priority="6232">
      <colorScale>
        <cfvo type="min"/>
        <cfvo type="percentile" val="50"/>
        <cfvo type="max"/>
        <color rgb="FF63BE7B"/>
        <color rgb="FFFFEB84"/>
        <color rgb="FFF8696B"/>
      </colorScale>
    </cfRule>
    <cfRule type="colorScale" priority="6233">
      <colorScale>
        <cfvo type="min"/>
        <cfvo type="percentile" val="50"/>
        <cfvo type="max"/>
        <color rgb="FF63BE7B"/>
        <color rgb="FFFFEB84"/>
        <color rgb="FFF8696B"/>
      </colorScale>
    </cfRule>
    <cfRule type="colorScale" priority="4671">
      <colorScale>
        <cfvo type="min"/>
        <cfvo type="percentile" val="50"/>
        <cfvo type="max"/>
        <color rgb="FF63BE7B"/>
        <color rgb="FFFFEB84"/>
        <color rgb="FFF8696B"/>
      </colorScale>
    </cfRule>
    <cfRule type="colorScale" priority="4670">
      <colorScale>
        <cfvo type="min"/>
        <cfvo type="percentile" val="50"/>
        <cfvo type="max"/>
        <color rgb="FF63BE7B"/>
        <color rgb="FFFFEB84"/>
        <color rgb="FFF8696B"/>
      </colorScale>
    </cfRule>
    <cfRule type="colorScale" priority="4669">
      <colorScale>
        <cfvo type="min"/>
        <cfvo type="percentile" val="50"/>
        <cfvo type="max"/>
        <color rgb="FF63BE7B"/>
        <color rgb="FFFFEB84"/>
        <color rgb="FFF8696B"/>
      </colorScale>
    </cfRule>
    <cfRule type="colorScale" priority="4667">
      <colorScale>
        <cfvo type="min"/>
        <cfvo type="percentile" val="50"/>
        <cfvo type="max"/>
        <color rgb="FF63BE7B"/>
        <color rgb="FFFFEB84"/>
        <color rgb="FFF8696B"/>
      </colorScale>
    </cfRule>
    <cfRule type="colorScale" priority="4665">
      <colorScale>
        <cfvo type="min"/>
        <cfvo type="percentile" val="50"/>
        <cfvo type="max"/>
        <color rgb="FF63BE7B"/>
        <color rgb="FFFFEB84"/>
        <color rgb="FFF8696B"/>
      </colorScale>
    </cfRule>
    <cfRule type="colorScale" priority="4664">
      <colorScale>
        <cfvo type="min"/>
        <cfvo type="percentile" val="50"/>
        <cfvo type="max"/>
        <color rgb="FF63BE7B"/>
        <color rgb="FFFFEB84"/>
        <color rgb="FFF8696B"/>
      </colorScale>
    </cfRule>
    <cfRule type="colorScale" priority="4663">
      <colorScale>
        <cfvo type="min"/>
        <cfvo type="percentile" val="50"/>
        <cfvo type="max"/>
        <color rgb="FF63BE7B"/>
        <color rgb="FFFFEB84"/>
        <color rgb="FFF8696B"/>
      </colorScale>
    </cfRule>
    <cfRule type="colorScale" priority="4662">
      <colorScale>
        <cfvo type="min"/>
        <cfvo type="percentile" val="50"/>
        <cfvo type="max"/>
        <color rgb="FF63BE7B"/>
        <color rgb="FFFFEB84"/>
        <color rgb="FFF8696B"/>
      </colorScale>
    </cfRule>
    <cfRule type="colorScale" priority="4661">
      <colorScale>
        <cfvo type="min"/>
        <cfvo type="percentile" val="50"/>
        <cfvo type="max"/>
        <color rgb="FF63BE7B"/>
        <color rgb="FFFFEB84"/>
        <color rgb="FFF8696B"/>
      </colorScale>
    </cfRule>
    <cfRule type="colorScale" priority="4660">
      <colorScale>
        <cfvo type="min"/>
        <cfvo type="percentile" val="50"/>
        <cfvo type="max"/>
        <color rgb="FF63BE7B"/>
        <color rgb="FFFFEB84"/>
        <color rgb="FFF8696B"/>
      </colorScale>
    </cfRule>
    <cfRule type="colorScale" priority="4659">
      <colorScale>
        <cfvo type="min"/>
        <cfvo type="percentile" val="50"/>
        <cfvo type="max"/>
        <color rgb="FF63BE7B"/>
        <color rgb="FFFFEB84"/>
        <color rgb="FFF8696B"/>
      </colorScale>
    </cfRule>
  </conditionalFormatting>
  <conditionalFormatting sqref="J54:J61">
    <cfRule type="colorScale" priority="49">
      <colorScale>
        <cfvo type="min"/>
        <cfvo type="percentile" val="50"/>
        <cfvo type="max"/>
        <color rgb="FF63BE7B"/>
        <color rgb="FFFFEB84"/>
        <color rgb="FFF8696B"/>
      </colorScale>
    </cfRule>
    <cfRule type="colorScale" priority="68">
      <colorScale>
        <cfvo type="min"/>
        <cfvo type="percentile" val="50"/>
        <cfvo type="max"/>
        <color rgb="FF63BE7B"/>
        <color rgb="FFFFEB84"/>
        <color rgb="FFF8696B"/>
      </colorScale>
    </cfRule>
    <cfRule type="colorScale" priority="66">
      <colorScale>
        <cfvo type="min"/>
        <cfvo type="percentile" val="50"/>
        <cfvo type="max"/>
        <color rgb="FF63BE7B"/>
        <color rgb="FFFFEB84"/>
        <color rgb="FFF8696B"/>
      </colorScale>
    </cfRule>
  </conditionalFormatting>
  <conditionalFormatting sqref="J65:J71">
    <cfRule type="colorScale" priority="12568">
      <colorScale>
        <cfvo type="min"/>
        <cfvo type="percentile" val="50"/>
        <cfvo type="max"/>
        <color rgb="FF63BE7B"/>
        <color rgb="FFFFEB84"/>
        <color rgb="FFF8696B"/>
      </colorScale>
    </cfRule>
    <cfRule type="colorScale" priority="12567">
      <colorScale>
        <cfvo type="min"/>
        <cfvo type="percentile" val="50"/>
        <cfvo type="max"/>
        <color rgb="FF63BE7B"/>
        <color rgb="FFFFEB84"/>
        <color rgb="FFF8696B"/>
      </colorScale>
    </cfRule>
    <cfRule type="colorScale" priority="12566">
      <colorScale>
        <cfvo type="min"/>
        <cfvo type="percentile" val="50"/>
        <cfvo type="max"/>
        <color rgb="FF63BE7B"/>
        <color rgb="FFFFEB84"/>
        <color rgb="FFF8696B"/>
      </colorScale>
    </cfRule>
  </conditionalFormatting>
  <conditionalFormatting sqref="J65:J80">
    <cfRule type="colorScale" priority="12599">
      <colorScale>
        <cfvo type="min"/>
        <cfvo type="percentile" val="50"/>
        <cfvo type="max"/>
        <color rgb="FF63BE7B"/>
        <color rgb="FFFFEB84"/>
        <color rgb="FFF8696B"/>
      </colorScale>
    </cfRule>
  </conditionalFormatting>
  <conditionalFormatting sqref="J65:J91">
    <cfRule type="colorScale" priority="12620">
      <colorScale>
        <cfvo type="min"/>
        <cfvo type="percentile" val="50"/>
        <cfvo type="max"/>
        <color rgb="FF63BE7B"/>
        <color rgb="FFFFEB84"/>
        <color rgb="FFF8696B"/>
      </colorScale>
    </cfRule>
  </conditionalFormatting>
  <conditionalFormatting sqref="J66:J71">
    <cfRule type="colorScale" priority="12569">
      <colorScale>
        <cfvo type="min"/>
        <cfvo type="percentile" val="50"/>
        <cfvo type="max"/>
        <color rgb="FF63BE7B"/>
        <color rgb="FFFFEB84"/>
        <color rgb="FFF8696B"/>
      </colorScale>
    </cfRule>
  </conditionalFormatting>
  <conditionalFormatting sqref="J72:J80">
    <cfRule type="colorScale" priority="12441">
      <colorScale>
        <cfvo type="min"/>
        <cfvo type="percentile" val="50"/>
        <cfvo type="max"/>
        <color rgb="FF63BE7B"/>
        <color rgb="FFFFEB84"/>
        <color rgb="FFF8696B"/>
      </colorScale>
    </cfRule>
    <cfRule type="colorScale" priority="12440">
      <colorScale>
        <cfvo type="min"/>
        <cfvo type="percentile" val="50"/>
        <cfvo type="max"/>
        <color rgb="FF63BE7B"/>
        <color rgb="FFFFEB84"/>
        <color rgb="FFF8696B"/>
      </colorScale>
    </cfRule>
    <cfRule type="colorScale" priority="12439">
      <colorScale>
        <cfvo type="min"/>
        <cfvo type="percentile" val="50"/>
        <cfvo type="max"/>
        <color rgb="FF63BE7B"/>
        <color rgb="FFFFEB84"/>
        <color rgb="FFF8696B"/>
      </colorScale>
    </cfRule>
    <cfRule type="colorScale" priority="12438">
      <colorScale>
        <cfvo type="min"/>
        <cfvo type="percentile" val="50"/>
        <cfvo type="max"/>
        <color rgb="FF63BE7B"/>
        <color rgb="FFFFEB84"/>
        <color rgb="FFF8696B"/>
      </colorScale>
    </cfRule>
  </conditionalFormatting>
  <conditionalFormatting sqref="J81:J83">
    <cfRule type="colorScale" priority="12315">
      <colorScale>
        <cfvo type="min"/>
        <cfvo type="percentile" val="50"/>
        <cfvo type="max"/>
        <color rgb="FF63BE7B"/>
        <color rgb="FFFFEB84"/>
        <color rgb="FFF8696B"/>
      </colorScale>
    </cfRule>
    <cfRule type="colorScale" priority="12316">
      <colorScale>
        <cfvo type="min"/>
        <cfvo type="percentile" val="50"/>
        <cfvo type="max"/>
        <color rgb="FF63BE7B"/>
        <color rgb="FFFFEB84"/>
        <color rgb="FFF8696B"/>
      </colorScale>
    </cfRule>
  </conditionalFormatting>
  <conditionalFormatting sqref="J84:J91">
    <cfRule type="colorScale" priority="12169">
      <colorScale>
        <cfvo type="min"/>
        <cfvo type="percentile" val="50"/>
        <cfvo type="max"/>
        <color rgb="FF63BE7B"/>
        <color rgb="FFFFEB84"/>
        <color rgb="FFF8696B"/>
      </colorScale>
    </cfRule>
    <cfRule type="colorScale" priority="12167">
      <colorScale>
        <cfvo type="min"/>
        <cfvo type="percentile" val="50"/>
        <cfvo type="max"/>
        <color rgb="FF63BE7B"/>
        <color rgb="FFFFEB84"/>
        <color rgb="FFF8696B"/>
      </colorScale>
    </cfRule>
    <cfRule type="colorScale" priority="12210">
      <colorScale>
        <cfvo type="min"/>
        <cfvo type="percentile" val="50"/>
        <cfvo type="max"/>
        <color rgb="FF63BE7B"/>
        <color rgb="FFFFEB84"/>
        <color rgb="FFF8696B"/>
      </colorScale>
    </cfRule>
    <cfRule type="colorScale" priority="12212">
      <colorScale>
        <cfvo type="min"/>
        <cfvo type="percentile" val="50"/>
        <cfvo type="max"/>
        <color rgb="FF63BE7B"/>
        <color rgb="FFFFEB84"/>
        <color rgb="FFF8696B"/>
      </colorScale>
    </cfRule>
    <cfRule type="colorScale" priority="12213">
      <colorScale>
        <cfvo type="min"/>
        <cfvo type="percentile" val="50"/>
        <cfvo type="max"/>
        <color rgb="FF63BE7B"/>
        <color rgb="FFFFEB84"/>
        <color rgb="FFF8696B"/>
      </colorScale>
    </cfRule>
    <cfRule type="colorScale" priority="12170">
      <colorScale>
        <cfvo type="min"/>
        <cfvo type="percentile" val="50"/>
        <cfvo type="max"/>
        <color rgb="FF63BE7B"/>
        <color rgb="FFFFEB84"/>
        <color rgb="FFF8696B"/>
      </colorScale>
    </cfRule>
  </conditionalFormatting>
  <conditionalFormatting sqref="J86">
    <cfRule type="colorScale" priority="12211">
      <colorScale>
        <cfvo type="min"/>
        <cfvo type="percentile" val="50"/>
        <cfvo type="max"/>
        <color rgb="FF63BE7B"/>
        <color rgb="FFFFEB84"/>
        <color rgb="FFF8696B"/>
      </colorScale>
    </cfRule>
    <cfRule type="colorScale" priority="12168">
      <colorScale>
        <cfvo type="min"/>
        <cfvo type="percentile" val="50"/>
        <cfvo type="max"/>
        <color rgb="FF63BE7B"/>
        <color rgb="FFFFEB84"/>
        <color rgb="FFF8696B"/>
      </colorScale>
    </cfRule>
  </conditionalFormatting>
  <conditionalFormatting sqref="J96:J102">
    <cfRule type="colorScale" priority="11960">
      <colorScale>
        <cfvo type="min"/>
        <cfvo type="percentile" val="50"/>
        <cfvo type="max"/>
        <color rgb="FF63BE7B"/>
        <color rgb="FFFFEB84"/>
        <color rgb="FFF8696B"/>
      </colorScale>
    </cfRule>
    <cfRule type="colorScale" priority="11961">
      <colorScale>
        <cfvo type="min"/>
        <cfvo type="percentile" val="50"/>
        <cfvo type="max"/>
        <color rgb="FF63BE7B"/>
        <color rgb="FFFFEB84"/>
        <color rgb="FFF8696B"/>
      </colorScale>
    </cfRule>
    <cfRule type="colorScale" priority="11962">
      <colorScale>
        <cfvo type="min"/>
        <cfvo type="percentile" val="50"/>
        <cfvo type="max"/>
        <color rgb="FF63BE7B"/>
        <color rgb="FFFFEB84"/>
        <color rgb="FFF8696B"/>
      </colorScale>
    </cfRule>
  </conditionalFormatting>
  <conditionalFormatting sqref="J96:J111">
    <cfRule type="colorScale" priority="11993">
      <colorScale>
        <cfvo type="min"/>
        <cfvo type="percentile" val="50"/>
        <cfvo type="max"/>
        <color rgb="FF63BE7B"/>
        <color rgb="FFFFEB84"/>
        <color rgb="FFF8696B"/>
      </colorScale>
    </cfRule>
  </conditionalFormatting>
  <conditionalFormatting sqref="J96:J122">
    <cfRule type="colorScale" priority="12013">
      <colorScale>
        <cfvo type="min"/>
        <cfvo type="percentile" val="50"/>
        <cfvo type="max"/>
        <color rgb="FF63BE7B"/>
        <color rgb="FFFFEB84"/>
        <color rgb="FFF8696B"/>
      </colorScale>
    </cfRule>
  </conditionalFormatting>
  <conditionalFormatting sqref="J97:J102">
    <cfRule type="colorScale" priority="11963">
      <colorScale>
        <cfvo type="min"/>
        <cfvo type="percentile" val="50"/>
        <cfvo type="max"/>
        <color rgb="FF63BE7B"/>
        <color rgb="FFFFEB84"/>
        <color rgb="FFF8696B"/>
      </colorScale>
    </cfRule>
  </conditionalFormatting>
  <conditionalFormatting sqref="J103:J111">
    <cfRule type="colorScale" priority="11832">
      <colorScale>
        <cfvo type="min"/>
        <cfvo type="percentile" val="50"/>
        <cfvo type="max"/>
        <color rgb="FF63BE7B"/>
        <color rgb="FFFFEB84"/>
        <color rgb="FFF8696B"/>
      </colorScale>
    </cfRule>
    <cfRule type="colorScale" priority="11834">
      <colorScale>
        <cfvo type="min"/>
        <cfvo type="percentile" val="50"/>
        <cfvo type="max"/>
        <color rgb="FF63BE7B"/>
        <color rgb="FFFFEB84"/>
        <color rgb="FFF8696B"/>
      </colorScale>
    </cfRule>
    <cfRule type="colorScale" priority="11835">
      <colorScale>
        <cfvo type="min"/>
        <cfvo type="percentile" val="50"/>
        <cfvo type="max"/>
        <color rgb="FF63BE7B"/>
        <color rgb="FFFFEB84"/>
        <color rgb="FFF8696B"/>
      </colorScale>
    </cfRule>
    <cfRule type="colorScale" priority="11833">
      <colorScale>
        <cfvo type="min"/>
        <cfvo type="percentile" val="50"/>
        <cfvo type="max"/>
        <color rgb="FF63BE7B"/>
        <color rgb="FFFFEB84"/>
        <color rgb="FFF8696B"/>
      </colorScale>
    </cfRule>
  </conditionalFormatting>
  <conditionalFormatting sqref="J112:J114">
    <cfRule type="colorScale" priority="11712">
      <colorScale>
        <cfvo type="min"/>
        <cfvo type="percentile" val="50"/>
        <cfvo type="max"/>
        <color rgb="FF63BE7B"/>
        <color rgb="FFFFEB84"/>
        <color rgb="FFF8696B"/>
      </colorScale>
    </cfRule>
    <cfRule type="colorScale" priority="11713">
      <colorScale>
        <cfvo type="min"/>
        <cfvo type="percentile" val="50"/>
        <cfvo type="max"/>
        <color rgb="FF63BE7B"/>
        <color rgb="FFFFEB84"/>
        <color rgb="FFF8696B"/>
      </colorScale>
    </cfRule>
  </conditionalFormatting>
  <conditionalFormatting sqref="J115:J122">
    <cfRule type="colorScale" priority="11564">
      <colorScale>
        <cfvo type="min"/>
        <cfvo type="percentile" val="50"/>
        <cfvo type="max"/>
        <color rgb="FF63BE7B"/>
        <color rgb="FFFFEB84"/>
        <color rgb="FFF8696B"/>
      </colorScale>
    </cfRule>
    <cfRule type="colorScale" priority="11567">
      <colorScale>
        <cfvo type="min"/>
        <cfvo type="percentile" val="50"/>
        <cfvo type="max"/>
        <color rgb="FF63BE7B"/>
        <color rgb="FFFFEB84"/>
        <color rgb="FFF8696B"/>
      </colorScale>
    </cfRule>
    <cfRule type="colorScale" priority="11610">
      <colorScale>
        <cfvo type="min"/>
        <cfvo type="percentile" val="50"/>
        <cfvo type="max"/>
        <color rgb="FF63BE7B"/>
        <color rgb="FFFFEB84"/>
        <color rgb="FFF8696B"/>
      </colorScale>
    </cfRule>
    <cfRule type="colorScale" priority="11566">
      <colorScale>
        <cfvo type="min"/>
        <cfvo type="percentile" val="50"/>
        <cfvo type="max"/>
        <color rgb="FF63BE7B"/>
        <color rgb="FFFFEB84"/>
        <color rgb="FFF8696B"/>
      </colorScale>
    </cfRule>
    <cfRule type="colorScale" priority="11607">
      <colorScale>
        <cfvo type="min"/>
        <cfvo type="percentile" val="50"/>
        <cfvo type="max"/>
        <color rgb="FF63BE7B"/>
        <color rgb="FFFFEB84"/>
        <color rgb="FFF8696B"/>
      </colorScale>
    </cfRule>
    <cfRule type="colorScale" priority="11609">
      <colorScale>
        <cfvo type="min"/>
        <cfvo type="percentile" val="50"/>
        <cfvo type="max"/>
        <color rgb="FF63BE7B"/>
        <color rgb="FFFFEB84"/>
        <color rgb="FFF8696B"/>
      </colorScale>
    </cfRule>
  </conditionalFormatting>
  <conditionalFormatting sqref="J117">
    <cfRule type="colorScale" priority="11565">
      <colorScale>
        <cfvo type="min"/>
        <cfvo type="percentile" val="50"/>
        <cfvo type="max"/>
        <color rgb="FF63BE7B"/>
        <color rgb="FFFFEB84"/>
        <color rgb="FFF8696B"/>
      </colorScale>
    </cfRule>
    <cfRule type="colorScale" priority="11608">
      <colorScale>
        <cfvo type="min"/>
        <cfvo type="percentile" val="50"/>
        <cfvo type="max"/>
        <color rgb="FF63BE7B"/>
        <color rgb="FFFFEB84"/>
        <color rgb="FFF8696B"/>
      </colorScale>
    </cfRule>
  </conditionalFormatting>
  <conditionalFormatting sqref="J54:K61">
    <cfRule type="colorScale" priority="67">
      <colorScale>
        <cfvo type="min"/>
        <cfvo type="percentile" val="50"/>
        <cfvo type="max"/>
        <color rgb="FF63BE7B"/>
        <color rgb="FFFFEB84"/>
        <color rgb="FFF8696B"/>
      </colorScale>
    </cfRule>
  </conditionalFormatting>
  <conditionalFormatting sqref="K35:K37">
    <cfRule type="colorScale" priority="8040">
      <colorScale>
        <cfvo type="min"/>
        <cfvo type="percentile" val="50"/>
        <cfvo type="max"/>
        <color rgb="FF63BE7B"/>
        <color rgb="FFFFEB84"/>
        <color rgb="FFF8696B"/>
      </colorScale>
    </cfRule>
    <cfRule type="colorScale" priority="11236">
      <colorScale>
        <cfvo type="min"/>
        <cfvo type="percentile" val="50"/>
        <cfvo type="max"/>
        <color rgb="FF63BE7B"/>
        <color rgb="FFFFEB84"/>
        <color rgb="FFF8696B"/>
      </colorScale>
    </cfRule>
    <cfRule type="colorScale" priority="11361">
      <colorScale>
        <cfvo type="min"/>
        <cfvo type="percentile" val="50"/>
        <cfvo type="max"/>
        <color rgb="FF63BE7B"/>
        <color rgb="FFFFEB84"/>
        <color rgb="FFF8696B"/>
      </colorScale>
    </cfRule>
    <cfRule type="colorScale" priority="11360">
      <colorScale>
        <cfvo type="min"/>
        <cfvo type="percentile" val="50"/>
        <cfvo type="max"/>
        <color rgb="FF63BE7B"/>
        <color rgb="FFFFEB84"/>
        <color rgb="FFF8696B"/>
      </colorScale>
    </cfRule>
    <cfRule type="colorScale" priority="8053">
      <colorScale>
        <cfvo type="min"/>
        <cfvo type="percentile" val="50"/>
        <cfvo type="max"/>
        <color rgb="FF63BE7B"/>
        <color rgb="FFFFEB84"/>
        <color rgb="FFF8696B"/>
      </colorScale>
    </cfRule>
    <cfRule type="colorScale" priority="11359">
      <colorScale>
        <cfvo type="min"/>
        <cfvo type="percentile" val="50"/>
        <cfvo type="max"/>
        <color rgb="FF63BE7B"/>
        <color rgb="FFFFEB84"/>
        <color rgb="FFF8696B"/>
      </colorScale>
    </cfRule>
    <cfRule type="colorScale" priority="11364">
      <colorScale>
        <cfvo type="min"/>
        <cfvo type="percentile" val="50"/>
        <cfvo type="max"/>
        <color rgb="FF63BE7B"/>
        <color rgb="FFFFEB84"/>
        <color rgb="FFF8696B"/>
      </colorScale>
    </cfRule>
    <cfRule type="colorScale" priority="11363">
      <colorScale>
        <cfvo type="min"/>
        <cfvo type="percentile" val="50"/>
        <cfvo type="max"/>
        <color rgb="FF63BE7B"/>
        <color rgb="FFFFEB84"/>
        <color rgb="FFF8696B"/>
      </colorScale>
    </cfRule>
    <cfRule type="colorScale" priority="11358">
      <colorScale>
        <cfvo type="min"/>
        <cfvo type="percentile" val="50"/>
        <cfvo type="max"/>
        <color rgb="FF63BE7B"/>
        <color rgb="FFFFEB84"/>
        <color rgb="FFF8696B"/>
      </colorScale>
    </cfRule>
    <cfRule type="colorScale" priority="8037">
      <colorScale>
        <cfvo type="min"/>
        <cfvo type="percentile" val="50"/>
        <cfvo type="max"/>
        <color rgb="FF63BE7B"/>
        <color rgb="FFFFEB84"/>
        <color rgb="FFF8696B"/>
      </colorScale>
    </cfRule>
    <cfRule type="colorScale" priority="8039">
      <colorScale>
        <cfvo type="min"/>
        <cfvo type="percentile" val="50"/>
        <cfvo type="max"/>
        <color rgb="FF63BE7B"/>
        <color rgb="FFFFEB84"/>
        <color rgb="FFF8696B"/>
      </colorScale>
    </cfRule>
    <cfRule type="colorScale" priority="8035">
      <colorScale>
        <cfvo type="min"/>
        <cfvo type="percentile" val="50"/>
        <cfvo type="max"/>
        <color rgb="FF63BE7B"/>
        <color rgb="FFFFEB84"/>
        <color rgb="FFF8696B"/>
      </colorScale>
    </cfRule>
    <cfRule type="colorScale" priority="8036">
      <colorScale>
        <cfvo type="min"/>
        <cfvo type="percentile" val="50"/>
        <cfvo type="max"/>
        <color rgb="FF63BE7B"/>
        <color rgb="FFFFEB84"/>
        <color rgb="FFF8696B"/>
      </colorScale>
    </cfRule>
    <cfRule type="colorScale" priority="8034">
      <colorScale>
        <cfvo type="min"/>
        <cfvo type="percentile" val="50"/>
        <cfvo type="max"/>
        <color rgb="FF63BE7B"/>
        <color rgb="FFFFEB84"/>
        <color rgb="FFF8696B"/>
      </colorScale>
    </cfRule>
    <cfRule type="colorScale" priority="8026">
      <colorScale>
        <cfvo type="min"/>
        <cfvo type="percentile" val="50"/>
        <cfvo type="max"/>
        <color rgb="FF63BE7B"/>
        <color rgb="FFFFEB84"/>
        <color rgb="FFF8696B"/>
      </colorScale>
    </cfRule>
  </conditionalFormatting>
  <conditionalFormatting sqref="K35:K40">
    <cfRule type="colorScale" priority="11243">
      <colorScale>
        <cfvo type="min"/>
        <cfvo type="percentile" val="50"/>
        <cfvo type="max"/>
        <color rgb="FF63BE7B"/>
        <color rgb="FFFFEB84"/>
        <color rgb="FFF8696B"/>
      </colorScale>
    </cfRule>
    <cfRule type="colorScale" priority="11239">
      <colorScale>
        <cfvo type="min"/>
        <cfvo type="percentile" val="50"/>
        <cfvo type="max"/>
        <color rgb="FF63BE7B"/>
        <color rgb="FFFFEB84"/>
        <color rgb="FFF8696B"/>
      </colorScale>
    </cfRule>
    <cfRule type="colorScale" priority="11242">
      <colorScale>
        <cfvo type="min"/>
        <cfvo type="percentile" val="50"/>
        <cfvo type="max"/>
        <color rgb="FF63BE7B"/>
        <color rgb="FFFFEB84"/>
        <color rgb="FFF8696B"/>
      </colorScale>
    </cfRule>
    <cfRule type="colorScale" priority="11241">
      <colorScale>
        <cfvo type="min"/>
        <cfvo type="percentile" val="50"/>
        <cfvo type="max"/>
        <color rgb="FF63BE7B"/>
        <color rgb="FFFFEB84"/>
        <color rgb="FFF8696B"/>
      </colorScale>
    </cfRule>
    <cfRule type="colorScale" priority="11240">
      <colorScale>
        <cfvo type="min"/>
        <cfvo type="percentile" val="50"/>
        <cfvo type="max"/>
        <color rgb="FF63BE7B"/>
        <color rgb="FFFFEB84"/>
        <color rgb="FFF8696B"/>
      </colorScale>
    </cfRule>
    <cfRule type="colorScale" priority="11238">
      <colorScale>
        <cfvo type="min"/>
        <cfvo type="percentile" val="50"/>
        <cfvo type="max"/>
        <color rgb="FF63BE7B"/>
        <color rgb="FFFFEB84"/>
        <color rgb="FFF8696B"/>
      </colorScale>
    </cfRule>
    <cfRule type="colorScale" priority="11237">
      <colorScale>
        <cfvo type="min"/>
        <cfvo type="percentile" val="50"/>
        <cfvo type="max"/>
        <color rgb="FF63BE7B"/>
        <color rgb="FFFFEB84"/>
        <color rgb="FFF8696B"/>
      </colorScale>
    </cfRule>
    <cfRule type="colorScale" priority="11235">
      <colorScale>
        <cfvo type="min"/>
        <cfvo type="percentile" val="50"/>
        <cfvo type="max"/>
        <color rgb="FF63BE7B"/>
        <color rgb="FFFFEB84"/>
        <color rgb="FFF8696B"/>
      </colorScale>
    </cfRule>
    <cfRule type="colorScale" priority="11234">
      <colorScale>
        <cfvo type="min"/>
        <cfvo type="percentile" val="50"/>
        <cfvo type="max"/>
        <color rgb="FF63BE7B"/>
        <color rgb="FFFFEB84"/>
        <color rgb="FFF8696B"/>
      </colorScale>
    </cfRule>
  </conditionalFormatting>
  <conditionalFormatting sqref="K35:K41">
    <cfRule type="colorScale" priority="8047">
      <colorScale>
        <cfvo type="min"/>
        <cfvo type="percentile" val="50"/>
        <cfvo type="max"/>
        <color rgb="FF63BE7B"/>
        <color rgb="FFFFEB84"/>
        <color rgb="FFF8696B"/>
      </colorScale>
    </cfRule>
    <cfRule type="colorScale" priority="8049">
      <colorScale>
        <cfvo type="min"/>
        <cfvo type="percentile" val="50"/>
        <cfvo type="max"/>
        <color rgb="FF63BE7B"/>
        <color rgb="FFFFEB84"/>
        <color rgb="FFF8696B"/>
      </colorScale>
    </cfRule>
    <cfRule type="colorScale" priority="8030">
      <colorScale>
        <cfvo type="min"/>
        <cfvo type="percentile" val="50"/>
        <cfvo type="max"/>
        <color rgb="FF63BE7B"/>
        <color rgb="FFFFEB84"/>
        <color rgb="FFF8696B"/>
      </colorScale>
    </cfRule>
    <cfRule type="colorScale" priority="8033">
      <colorScale>
        <cfvo type="min"/>
        <cfvo type="percentile" val="50"/>
        <cfvo type="max"/>
        <color rgb="FF63BE7B"/>
        <color rgb="FFFFEB84"/>
        <color rgb="FFF8696B"/>
      </colorScale>
    </cfRule>
    <cfRule type="colorScale" priority="8050">
      <colorScale>
        <cfvo type="min"/>
        <cfvo type="percentile" val="50"/>
        <cfvo type="max"/>
        <color rgb="FF63BE7B"/>
        <color rgb="FFFFEB84"/>
        <color rgb="FFF8696B"/>
      </colorScale>
    </cfRule>
    <cfRule type="colorScale" priority="8051">
      <colorScale>
        <cfvo type="min"/>
        <cfvo type="percentile" val="50"/>
        <cfvo type="max"/>
        <color rgb="FF63BE7B"/>
        <color rgb="FFFFEB84"/>
        <color rgb="FFF8696B"/>
      </colorScale>
    </cfRule>
    <cfRule type="colorScale" priority="8052">
      <colorScale>
        <cfvo type="min"/>
        <cfvo type="percentile" val="50"/>
        <cfvo type="max"/>
        <color rgb="FF63BE7B"/>
        <color rgb="FFFFEB84"/>
        <color rgb="FFF8696B"/>
      </colorScale>
    </cfRule>
    <cfRule type="colorScale" priority="8054">
      <colorScale>
        <cfvo type="min"/>
        <cfvo type="percentile" val="50"/>
        <cfvo type="max"/>
        <color rgb="FF63BE7B"/>
        <color rgb="FFFFEB84"/>
        <color rgb="FFF8696B"/>
      </colorScale>
    </cfRule>
    <cfRule type="colorScale" priority="8032">
      <colorScale>
        <cfvo type="min"/>
        <cfvo type="percentile" val="50"/>
        <cfvo type="max"/>
        <color rgb="FF63BE7B"/>
        <color rgb="FFFFEB84"/>
        <color rgb="FFF8696B"/>
      </colorScale>
    </cfRule>
    <cfRule type="colorScale" priority="8031">
      <colorScale>
        <cfvo type="min"/>
        <cfvo type="percentile" val="50"/>
        <cfvo type="max"/>
        <color rgb="FF63BE7B"/>
        <color rgb="FFFFEB84"/>
        <color rgb="FFF8696B"/>
      </colorScale>
    </cfRule>
    <cfRule type="colorScale" priority="8029">
      <colorScale>
        <cfvo type="min"/>
        <cfvo type="percentile" val="50"/>
        <cfvo type="max"/>
        <color rgb="FF63BE7B"/>
        <color rgb="FFFFEB84"/>
        <color rgb="FFF8696B"/>
      </colorScale>
    </cfRule>
    <cfRule type="colorScale" priority="8055">
      <colorScale>
        <cfvo type="min"/>
        <cfvo type="percentile" val="50"/>
        <cfvo type="max"/>
        <color rgb="FF63BE7B"/>
        <color rgb="FFFFEB84"/>
        <color rgb="FFF8696B"/>
      </colorScale>
    </cfRule>
    <cfRule type="colorScale" priority="8056">
      <colorScale>
        <cfvo type="min"/>
        <cfvo type="percentile" val="50"/>
        <cfvo type="max"/>
        <color rgb="FF63BE7B"/>
        <color rgb="FFFFEB84"/>
        <color rgb="FFF8696B"/>
      </colorScale>
    </cfRule>
    <cfRule type="colorScale" priority="8057">
      <colorScale>
        <cfvo type="min"/>
        <cfvo type="percentile" val="50"/>
        <cfvo type="max"/>
        <color rgb="FF63BE7B"/>
        <color rgb="FFFFEB84"/>
        <color rgb="FFF8696B"/>
      </colorScale>
    </cfRule>
    <cfRule type="colorScale" priority="8058">
      <colorScale>
        <cfvo type="min"/>
        <cfvo type="percentile" val="50"/>
        <cfvo type="max"/>
        <color rgb="FF63BE7B"/>
        <color rgb="FFFFEB84"/>
        <color rgb="FFF8696B"/>
      </colorScale>
    </cfRule>
    <cfRule type="colorScale" priority="8059">
      <colorScale>
        <cfvo type="min"/>
        <cfvo type="percentile" val="50"/>
        <cfvo type="max"/>
        <color rgb="FF63BE7B"/>
        <color rgb="FFFFEB84"/>
        <color rgb="FFF8696B"/>
      </colorScale>
    </cfRule>
    <cfRule type="colorScale" priority="8060">
      <colorScale>
        <cfvo type="min"/>
        <cfvo type="percentile" val="50"/>
        <cfvo type="max"/>
        <color rgb="FF63BE7B"/>
        <color rgb="FFFFEB84"/>
        <color rgb="FFF8696B"/>
      </colorScale>
    </cfRule>
    <cfRule type="colorScale" priority="8028">
      <colorScale>
        <cfvo type="min"/>
        <cfvo type="percentile" val="50"/>
        <cfvo type="max"/>
        <color rgb="FF63BE7B"/>
        <color rgb="FFFFEB84"/>
        <color rgb="FFF8696B"/>
      </colorScale>
    </cfRule>
    <cfRule type="colorScale" priority="8061">
      <colorScale>
        <cfvo type="min"/>
        <cfvo type="percentile" val="50"/>
        <cfvo type="max"/>
        <color rgb="FF63BE7B"/>
        <color rgb="FFFFEB84"/>
        <color rgb="FFF8696B"/>
      </colorScale>
    </cfRule>
    <cfRule type="colorScale" priority="8062">
      <colorScale>
        <cfvo type="min"/>
        <cfvo type="percentile" val="50"/>
        <cfvo type="max"/>
        <color rgb="FF63BE7B"/>
        <color rgb="FFFFEB84"/>
        <color rgb="FFF8696B"/>
      </colorScale>
    </cfRule>
    <cfRule type="colorScale" priority="8070">
      <colorScale>
        <cfvo type="min"/>
        <cfvo type="percentile" val="50"/>
        <cfvo type="max"/>
        <color rgb="FF63BE7B"/>
        <color rgb="FFFFEB84"/>
        <color rgb="FFF8696B"/>
      </colorScale>
    </cfRule>
    <cfRule type="colorScale" priority="13181">
      <colorScale>
        <cfvo type="min"/>
        <cfvo type="percentile" val="50"/>
        <cfvo type="max"/>
        <color rgb="FF63BE7B"/>
        <color rgb="FFFFEB84"/>
        <color rgb="FFF8696B"/>
      </colorScale>
    </cfRule>
    <cfRule type="colorScale" priority="13179">
      <colorScale>
        <cfvo type="min"/>
        <cfvo type="percentile" val="50"/>
        <cfvo type="max"/>
        <color rgb="FF63BE7B"/>
        <color rgb="FFFFEB84"/>
        <color rgb="FFF8696B"/>
      </colorScale>
    </cfRule>
    <cfRule type="colorScale" priority="8069">
      <colorScale>
        <cfvo type="min"/>
        <cfvo type="percentile" val="50"/>
        <cfvo type="max"/>
        <color rgb="FF63BE7B"/>
        <color rgb="FFFFEB84"/>
        <color rgb="FFF8696B"/>
      </colorScale>
    </cfRule>
    <cfRule type="colorScale" priority="13180">
      <colorScale>
        <cfvo type="min"/>
        <cfvo type="percentile" val="50"/>
        <cfvo type="max"/>
        <color rgb="FF63BE7B"/>
        <color rgb="FFFFEB84"/>
        <color rgb="FFF8696B"/>
      </colorScale>
    </cfRule>
    <cfRule type="colorScale" priority="9317">
      <colorScale>
        <cfvo type="min"/>
        <cfvo type="percentile" val="50"/>
        <cfvo type="max"/>
        <color rgb="FFF8696B"/>
        <color rgb="FFFFEB84"/>
        <color rgb="FF63BE7B"/>
      </colorScale>
    </cfRule>
    <cfRule type="colorScale" priority="8067">
      <colorScale>
        <cfvo type="min"/>
        <cfvo type="percentile" val="50"/>
        <cfvo type="max"/>
        <color rgb="FF63BE7B"/>
        <color rgb="FFFFEB84"/>
        <color rgb="FFF8696B"/>
      </colorScale>
    </cfRule>
    <cfRule type="colorScale" priority="8027">
      <colorScale>
        <cfvo type="min"/>
        <cfvo type="percentile" val="50"/>
        <cfvo type="max"/>
        <color rgb="FF63BE7B"/>
        <color rgb="FFFFEB84"/>
        <color rgb="FFF8696B"/>
      </colorScale>
    </cfRule>
    <cfRule type="colorScale" priority="8024">
      <colorScale>
        <cfvo type="min"/>
        <cfvo type="percentile" val="50"/>
        <cfvo type="max"/>
        <color rgb="FF63BE7B"/>
        <color rgb="FFFFEB84"/>
        <color rgb="FFF8696B"/>
      </colorScale>
    </cfRule>
    <cfRule type="colorScale" priority="8065">
      <colorScale>
        <cfvo type="min"/>
        <cfvo type="percentile" val="50"/>
        <cfvo type="max"/>
        <color rgb="FF63BE7B"/>
        <color rgb="FFFFEB84"/>
        <color rgb="FFF8696B"/>
      </colorScale>
    </cfRule>
    <cfRule type="colorScale" priority="8064">
      <colorScale>
        <cfvo type="min"/>
        <cfvo type="percentile" val="50"/>
        <cfvo type="max"/>
        <color rgb="FF63BE7B"/>
        <color rgb="FFFFEB84"/>
        <color rgb="FFF8696B"/>
      </colorScale>
    </cfRule>
    <cfRule type="colorScale" priority="8063">
      <colorScale>
        <cfvo type="min"/>
        <cfvo type="percentile" val="50"/>
        <cfvo type="max"/>
        <color rgb="FF63BE7B"/>
        <color rgb="FFFFEB84"/>
        <color rgb="FFF8696B"/>
      </colorScale>
    </cfRule>
    <cfRule type="colorScale" priority="8041">
      <colorScale>
        <cfvo type="min"/>
        <cfvo type="percentile" val="50"/>
        <cfvo type="max"/>
        <color rgb="FF63BE7B"/>
        <color rgb="FFFFEB84"/>
        <color rgb="FFF8696B"/>
      </colorScale>
    </cfRule>
    <cfRule type="colorScale" priority="8042">
      <colorScale>
        <cfvo type="min"/>
        <cfvo type="percentile" val="50"/>
        <cfvo type="max"/>
        <color rgb="FF63BE7B"/>
        <color rgb="FFFFEB84"/>
        <color rgb="FFF8696B"/>
      </colorScale>
    </cfRule>
    <cfRule type="colorScale" priority="8066">
      <colorScale>
        <cfvo type="min"/>
        <cfvo type="percentile" val="50"/>
        <cfvo type="max"/>
        <color rgb="FF63BE7B"/>
        <color rgb="FFFFEB84"/>
        <color rgb="FFF8696B"/>
      </colorScale>
    </cfRule>
    <cfRule type="colorScale" priority="8043">
      <colorScale>
        <cfvo type="min"/>
        <cfvo type="percentile" val="50"/>
        <cfvo type="max"/>
        <color rgb="FF63BE7B"/>
        <color rgb="FFFFEB84"/>
        <color rgb="FFF8696B"/>
      </colorScale>
    </cfRule>
    <cfRule type="colorScale" priority="8044">
      <colorScale>
        <cfvo type="min"/>
        <cfvo type="percentile" val="50"/>
        <cfvo type="max"/>
        <color rgb="FF63BE7B"/>
        <color rgb="FFFFEB84"/>
        <color rgb="FFF8696B"/>
      </colorScale>
    </cfRule>
    <cfRule type="colorScale" priority="8045">
      <colorScale>
        <cfvo type="min"/>
        <cfvo type="percentile" val="50"/>
        <cfvo type="max"/>
        <color rgb="FF63BE7B"/>
        <color rgb="FFFFEB84"/>
        <color rgb="FFF8696B"/>
      </colorScale>
    </cfRule>
    <cfRule type="colorScale" priority="8046">
      <colorScale>
        <cfvo type="min"/>
        <cfvo type="percentile" val="50"/>
        <cfvo type="max"/>
        <color rgb="FF63BE7B"/>
        <color rgb="FFFFEB84"/>
        <color rgb="FFF8696B"/>
      </colorScale>
    </cfRule>
    <cfRule type="colorScale" priority="8025">
      <colorScale>
        <cfvo type="min"/>
        <cfvo type="percentile" val="50"/>
        <cfvo type="max"/>
        <color rgb="FF63BE7B"/>
        <color rgb="FFFFEB84"/>
        <color rgb="FFF8696B"/>
      </colorScale>
    </cfRule>
  </conditionalFormatting>
  <conditionalFormatting sqref="K36:K37">
    <cfRule type="colorScale" priority="11362">
      <colorScale>
        <cfvo type="min"/>
        <cfvo type="percentile" val="50"/>
        <cfvo type="max"/>
        <color rgb="FF63BE7B"/>
        <color rgb="FFFFEB84"/>
        <color rgb="FFF8696B"/>
      </colorScale>
    </cfRule>
    <cfRule type="colorScale" priority="8038">
      <colorScale>
        <cfvo type="min"/>
        <cfvo type="percentile" val="50"/>
        <cfvo type="max"/>
        <color rgb="FF63BE7B"/>
        <color rgb="FFFFEB84"/>
        <color rgb="FFF8696B"/>
      </colorScale>
    </cfRule>
  </conditionalFormatting>
  <conditionalFormatting sqref="K36:K41">
    <cfRule type="colorScale" priority="8048">
      <colorScale>
        <cfvo type="min"/>
        <cfvo type="percentile" val="50"/>
        <cfvo type="max"/>
        <color rgb="FF63BE7B"/>
        <color rgb="FFFFEB84"/>
        <color rgb="FFF8696B"/>
      </colorScale>
    </cfRule>
    <cfRule type="colorScale" priority="8068">
      <colorScale>
        <cfvo type="min"/>
        <cfvo type="percentile" val="50"/>
        <cfvo type="max"/>
        <color rgb="FF63BE7B"/>
        <color rgb="FFFFEB84"/>
        <color rgb="FFF8696B"/>
      </colorScale>
    </cfRule>
    <cfRule type="colorScale" priority="13182">
      <colorScale>
        <cfvo type="min"/>
        <cfvo type="percentile" val="50"/>
        <cfvo type="max"/>
        <color rgb="FF63BE7B"/>
        <color rgb="FFFFEB84"/>
        <color rgb="FFF8696B"/>
      </colorScale>
    </cfRule>
  </conditionalFormatting>
  <conditionalFormatting sqref="K42">
    <cfRule type="colorScale" priority="7423">
      <colorScale>
        <cfvo type="min"/>
        <cfvo type="percentile" val="50"/>
        <cfvo type="max"/>
        <color rgb="FF63BE7B"/>
        <color rgb="FFFFEB84"/>
        <color rgb="FFF8696B"/>
      </colorScale>
    </cfRule>
    <cfRule type="colorScale" priority="7420">
      <colorScale>
        <cfvo type="min"/>
        <cfvo type="percentile" val="50"/>
        <cfvo type="max"/>
        <color rgb="FFF8696B"/>
        <color rgb="FFFFEB84"/>
        <color rgb="FF63BE7B"/>
      </colorScale>
    </cfRule>
    <cfRule type="colorScale" priority="7421">
      <colorScale>
        <cfvo type="min"/>
        <cfvo type="percentile" val="50"/>
        <cfvo type="max"/>
        <color rgb="FF63BE7B"/>
        <color rgb="FFFFEB84"/>
        <color rgb="FFF8696B"/>
      </colorScale>
    </cfRule>
    <cfRule type="colorScale" priority="7406">
      <colorScale>
        <cfvo type="min"/>
        <cfvo type="percentile" val="50"/>
        <cfvo type="max"/>
        <color rgb="FFF8696B"/>
        <color rgb="FFFFEB84"/>
        <color rgb="FF63BE7B"/>
      </colorScale>
    </cfRule>
    <cfRule type="colorScale" priority="7422">
      <colorScale>
        <cfvo type="min"/>
        <cfvo type="percentile" val="50"/>
        <cfvo type="max"/>
        <color rgb="FF63BE7B"/>
        <color rgb="FFFFEB84"/>
        <color rgb="FFF8696B"/>
      </colorScale>
    </cfRule>
    <cfRule type="colorScale" priority="7419">
      <colorScale>
        <cfvo type="min"/>
        <cfvo type="percentile" val="50"/>
        <cfvo type="max"/>
        <color rgb="FF63BE7B"/>
        <color rgb="FFFFEB84"/>
        <color rgb="FFF8696B"/>
      </colorScale>
    </cfRule>
    <cfRule type="colorScale" priority="7418">
      <colorScale>
        <cfvo type="min"/>
        <cfvo type="percentile" val="50"/>
        <cfvo type="max"/>
        <color rgb="FFF8696B"/>
        <color rgb="FFFFEB84"/>
        <color rgb="FF63BE7B"/>
      </colorScale>
    </cfRule>
    <cfRule type="colorScale" priority="7417">
      <colorScale>
        <cfvo type="min"/>
        <cfvo type="percentile" val="50"/>
        <cfvo type="max"/>
        <color rgb="FFF8696B"/>
        <color rgb="FFFFEB84"/>
        <color rgb="FF63BE7B"/>
      </colorScale>
    </cfRule>
    <cfRule type="colorScale" priority="7416">
      <colorScale>
        <cfvo type="min"/>
        <cfvo type="percentile" val="50"/>
        <cfvo type="max"/>
        <color rgb="FF63BE7B"/>
        <color rgb="FFFFEB84"/>
        <color rgb="FFF8696B"/>
      </colorScale>
    </cfRule>
    <cfRule type="colorScale" priority="7415">
      <colorScale>
        <cfvo type="min"/>
        <cfvo type="percentile" val="50"/>
        <cfvo type="max"/>
        <color rgb="FF63BE7B"/>
        <color rgb="FFFFEB84"/>
        <color rgb="FFF8696B"/>
      </colorScale>
    </cfRule>
    <cfRule type="colorScale" priority="7414">
      <colorScale>
        <cfvo type="min"/>
        <cfvo type="percentile" val="50"/>
        <cfvo type="max"/>
        <color rgb="FF63BE7B"/>
        <color rgb="FFFFEB84"/>
        <color rgb="FFF8696B"/>
      </colorScale>
    </cfRule>
    <cfRule type="colorScale" priority="7413">
      <colorScale>
        <cfvo type="min"/>
        <cfvo type="percentile" val="50"/>
        <cfvo type="max"/>
        <color rgb="FF63BE7B"/>
        <color rgb="FFFFEB84"/>
        <color rgb="FFF8696B"/>
      </colorScale>
    </cfRule>
    <cfRule type="colorScale" priority="7412">
      <colorScale>
        <cfvo type="min"/>
        <cfvo type="percentile" val="50"/>
        <cfvo type="max"/>
        <color rgb="FF63BE7B"/>
        <color rgb="FFFFEB84"/>
        <color rgb="FFF8696B"/>
      </colorScale>
    </cfRule>
    <cfRule type="colorScale" priority="7411">
      <colorScale>
        <cfvo type="min"/>
        <cfvo type="percentile" val="50"/>
        <cfvo type="max"/>
        <color rgb="FF63BE7B"/>
        <color rgb="FFFFEB84"/>
        <color rgb="FFF8696B"/>
      </colorScale>
    </cfRule>
    <cfRule type="colorScale" priority="7409">
      <colorScale>
        <cfvo type="min"/>
        <cfvo type="percentile" val="50"/>
        <cfvo type="max"/>
        <color rgb="FF63BE7B"/>
        <color rgb="FFFFEB84"/>
        <color rgb="FFF8696B"/>
      </colorScale>
    </cfRule>
    <cfRule type="colorScale" priority="7408">
      <colorScale>
        <cfvo type="min"/>
        <cfvo type="percentile" val="50"/>
        <cfvo type="max"/>
        <color rgb="FF63BE7B"/>
        <color rgb="FFFFEB84"/>
        <color rgb="FFF8696B"/>
      </colorScale>
    </cfRule>
    <cfRule type="colorScale" priority="7407">
      <colorScale>
        <cfvo type="min"/>
        <cfvo type="percentile" val="50"/>
        <cfvo type="max"/>
        <color rgb="FFF8696B"/>
        <color rgb="FFFFEB84"/>
        <color rgb="FF63BE7B"/>
      </colorScale>
    </cfRule>
  </conditionalFormatting>
  <conditionalFormatting sqref="K42:K50">
    <cfRule type="colorScale" priority="7465">
      <colorScale>
        <cfvo type="min"/>
        <cfvo type="percentile" val="50"/>
        <cfvo type="max"/>
        <color rgb="FF63BE7B"/>
        <color rgb="FFFFEB84"/>
        <color rgb="FFF8696B"/>
      </colorScale>
    </cfRule>
    <cfRule type="colorScale" priority="7405">
      <colorScale>
        <cfvo type="min"/>
        <cfvo type="percentile" val="50"/>
        <cfvo type="max"/>
        <color rgb="FFF8696B"/>
        <color rgb="FFFFEB84"/>
        <color rgb="FF63BE7B"/>
      </colorScale>
    </cfRule>
    <cfRule type="colorScale" priority="7410">
      <colorScale>
        <cfvo type="min"/>
        <cfvo type="percentile" val="50"/>
        <cfvo type="max"/>
        <color rgb="FF63BE7B"/>
        <color rgb="FFFFEB84"/>
        <color rgb="FFF8696B"/>
      </colorScale>
    </cfRule>
  </conditionalFormatting>
  <conditionalFormatting sqref="K51:K52">
    <cfRule type="colorScale" priority="12929">
      <colorScale>
        <cfvo type="min"/>
        <cfvo type="percentile" val="50"/>
        <cfvo type="max"/>
        <color rgb="FF63BE7B"/>
        <color rgb="FFFFEB84"/>
        <color rgb="FFF8696B"/>
      </colorScale>
    </cfRule>
    <cfRule type="colorScale" priority="12928">
      <colorScale>
        <cfvo type="min"/>
        <cfvo type="percentile" val="50"/>
        <cfvo type="max"/>
        <color rgb="FF63BE7B"/>
        <color rgb="FFFFEB84"/>
        <color rgb="FFF8696B"/>
      </colorScale>
    </cfRule>
  </conditionalFormatting>
  <conditionalFormatting sqref="K51:K53">
    <cfRule type="colorScale" priority="4643">
      <colorScale>
        <cfvo type="min"/>
        <cfvo type="percentile" val="50"/>
        <cfvo type="max"/>
        <color rgb="FF63BE7B"/>
        <color rgb="FFFFEB84"/>
        <color rgb="FFF8696B"/>
      </colorScale>
    </cfRule>
    <cfRule type="colorScale" priority="4616">
      <colorScale>
        <cfvo type="min"/>
        <cfvo type="percentile" val="50"/>
        <cfvo type="max"/>
        <color rgb="FF63BE7B"/>
        <color rgb="FFFFEB84"/>
        <color rgb="FFF8696B"/>
      </colorScale>
    </cfRule>
    <cfRule type="colorScale" priority="4644">
      <colorScale>
        <cfvo type="min"/>
        <cfvo type="percentile" val="50"/>
        <cfvo type="max"/>
        <color rgb="FF63BE7B"/>
        <color rgb="FFFFEB84"/>
        <color rgb="FFF8696B"/>
      </colorScale>
    </cfRule>
  </conditionalFormatting>
  <conditionalFormatting sqref="K52:K53">
    <cfRule type="colorScale" priority="5039">
      <colorScale>
        <cfvo type="min"/>
        <cfvo type="percentile" val="50"/>
        <cfvo type="max"/>
        <color rgb="FF63BE7B"/>
        <color rgb="FFFFEB84"/>
        <color rgb="FFF8696B"/>
      </colorScale>
    </cfRule>
    <cfRule type="colorScale" priority="5040">
      <colorScale>
        <cfvo type="min"/>
        <cfvo type="percentile" val="50"/>
        <cfvo type="max"/>
        <color rgb="FF63BE7B"/>
        <color rgb="FFFFEB84"/>
        <color rgb="FFF8696B"/>
      </colorScale>
    </cfRule>
    <cfRule type="colorScale" priority="5041">
      <colorScale>
        <cfvo type="min"/>
        <cfvo type="percentile" val="50"/>
        <cfvo type="max"/>
        <color rgb="FF63BE7B"/>
        <color rgb="FFFFEB84"/>
        <color rgb="FFF8696B"/>
      </colorScale>
    </cfRule>
    <cfRule type="colorScale" priority="4642">
      <colorScale>
        <cfvo type="min"/>
        <cfvo type="percentile" val="50"/>
        <cfvo type="max"/>
        <color rgb="FF63BE7B"/>
        <color rgb="FFFFEB84"/>
        <color rgb="FFF8696B"/>
      </colorScale>
    </cfRule>
    <cfRule type="colorScale" priority="4641">
      <colorScale>
        <cfvo type="min"/>
        <cfvo type="percentile" val="50"/>
        <cfvo type="max"/>
        <color rgb="FF63BE7B"/>
        <color rgb="FFFFEB84"/>
        <color rgb="FFF8696B"/>
      </colorScale>
    </cfRule>
    <cfRule type="colorScale" priority="4640">
      <colorScale>
        <cfvo type="min"/>
        <cfvo type="percentile" val="50"/>
        <cfvo type="max"/>
        <color rgb="FF63BE7B"/>
        <color rgb="FFFFEB84"/>
        <color rgb="FFF8696B"/>
      </colorScale>
    </cfRule>
    <cfRule type="colorScale" priority="4639">
      <colorScale>
        <cfvo type="min"/>
        <cfvo type="percentile" val="50"/>
        <cfvo type="max"/>
        <color rgb="FF63BE7B"/>
        <color rgb="FFFFEB84"/>
        <color rgb="FFF8696B"/>
      </colorScale>
    </cfRule>
    <cfRule type="colorScale" priority="4632">
      <colorScale>
        <cfvo type="min"/>
        <cfvo type="percentile" val="50"/>
        <cfvo type="max"/>
        <color rgb="FF63BE7B"/>
        <color rgb="FFFFEB84"/>
        <color rgb="FFF8696B"/>
      </colorScale>
    </cfRule>
    <cfRule type="colorScale" priority="4631">
      <colorScale>
        <cfvo type="min"/>
        <cfvo type="percentile" val="50"/>
        <cfvo type="max"/>
        <color rgb="FF63BE7B"/>
        <color rgb="FFFFEB84"/>
        <color rgb="FFF8696B"/>
      </colorScale>
    </cfRule>
    <cfRule type="colorScale" priority="4630">
      <colorScale>
        <cfvo type="min"/>
        <cfvo type="percentile" val="50"/>
        <cfvo type="max"/>
        <color rgb="FF63BE7B"/>
        <color rgb="FFFFEB84"/>
        <color rgb="FFF8696B"/>
      </colorScale>
    </cfRule>
    <cfRule type="colorScale" priority="5065">
      <colorScale>
        <cfvo type="min"/>
        <cfvo type="percentile" val="50"/>
        <cfvo type="max"/>
        <color rgb="FF63BE7B"/>
        <color rgb="FFFFEB84"/>
        <color rgb="FFF8696B"/>
      </colorScale>
    </cfRule>
    <cfRule type="colorScale" priority="5042">
      <colorScale>
        <cfvo type="min"/>
        <cfvo type="percentile" val="50"/>
        <cfvo type="max"/>
        <color rgb="FF63BE7B"/>
        <color rgb="FFFFEB84"/>
        <color rgb="FFF8696B"/>
      </colorScale>
    </cfRule>
    <cfRule type="colorScale" priority="5066">
      <colorScale>
        <cfvo type="min"/>
        <cfvo type="percentile" val="50"/>
        <cfvo type="max"/>
        <color rgb="FF63BE7B"/>
        <color rgb="FFFFEB84"/>
        <color rgb="FFF8696B"/>
      </colorScale>
    </cfRule>
    <cfRule type="colorScale" priority="5067">
      <colorScale>
        <cfvo type="min"/>
        <cfvo type="percentile" val="50"/>
        <cfvo type="max"/>
        <color rgb="FF63BE7B"/>
        <color rgb="FFFFEB84"/>
        <color rgb="FFF8696B"/>
      </colorScale>
    </cfRule>
    <cfRule type="colorScale" priority="5068">
      <colorScale>
        <cfvo type="min"/>
        <cfvo type="percentile" val="50"/>
        <cfvo type="max"/>
        <color rgb="FF63BE7B"/>
        <color rgb="FFFFEB84"/>
        <color rgb="FFF8696B"/>
      </colorScale>
    </cfRule>
    <cfRule type="colorScale" priority="5069">
      <colorScale>
        <cfvo type="min"/>
        <cfvo type="percentile" val="50"/>
        <cfvo type="max"/>
        <color rgb="FF63BE7B"/>
        <color rgb="FFFFEB84"/>
        <color rgb="FFF8696B"/>
      </colorScale>
    </cfRule>
    <cfRule type="colorScale" priority="5070">
      <colorScale>
        <cfvo type="min"/>
        <cfvo type="percentile" val="50"/>
        <cfvo type="max"/>
        <color rgb="FF63BE7B"/>
        <color rgb="FFFFEB84"/>
        <color rgb="FFF8696B"/>
      </colorScale>
    </cfRule>
    <cfRule type="colorScale" priority="5071">
      <colorScale>
        <cfvo type="min"/>
        <cfvo type="percentile" val="50"/>
        <cfvo type="max"/>
        <color rgb="FF63BE7B"/>
        <color rgb="FFFFEB84"/>
        <color rgb="FFF8696B"/>
      </colorScale>
    </cfRule>
    <cfRule type="colorScale" priority="5043">
      <colorScale>
        <cfvo type="min"/>
        <cfvo type="percentile" val="50"/>
        <cfvo type="max"/>
        <color rgb="FF63BE7B"/>
        <color rgb="FFFFEB84"/>
        <color rgb="FFF8696B"/>
      </colorScale>
    </cfRule>
    <cfRule type="colorScale" priority="5044">
      <colorScale>
        <cfvo type="min"/>
        <cfvo type="percentile" val="50"/>
        <cfvo type="max"/>
        <color rgb="FF63BE7B"/>
        <color rgb="FFFFEB84"/>
        <color rgb="FFF8696B"/>
      </colorScale>
    </cfRule>
    <cfRule type="colorScale" priority="5072">
      <colorScale>
        <cfvo type="min"/>
        <cfvo type="percentile" val="50"/>
        <cfvo type="max"/>
        <color rgb="FF63BE7B"/>
        <color rgb="FFFFEB84"/>
        <color rgb="FFF8696B"/>
      </colorScale>
    </cfRule>
    <cfRule type="colorScale" priority="4638">
      <colorScale>
        <cfvo type="min"/>
        <cfvo type="percentile" val="50"/>
        <cfvo type="max"/>
        <color rgb="FF63BE7B"/>
        <color rgb="FFFFEB84"/>
        <color rgb="FFF8696B"/>
      </colorScale>
    </cfRule>
    <cfRule type="colorScale" priority="4637">
      <colorScale>
        <cfvo type="min"/>
        <cfvo type="percentile" val="50"/>
        <cfvo type="max"/>
        <color rgb="FF63BE7B"/>
        <color rgb="FFFFEB84"/>
        <color rgb="FFF8696B"/>
      </colorScale>
    </cfRule>
    <cfRule type="colorScale" priority="5074">
      <colorScale>
        <cfvo type="min"/>
        <cfvo type="percentile" val="50"/>
        <cfvo type="max"/>
        <color rgb="FF63BE7B"/>
        <color rgb="FFFFEB84"/>
        <color rgb="FFF8696B"/>
      </colorScale>
    </cfRule>
    <cfRule type="colorScale" priority="5075">
      <colorScale>
        <cfvo type="min"/>
        <cfvo type="percentile" val="50"/>
        <cfvo type="max"/>
        <color rgb="FF63BE7B"/>
        <color rgb="FFFFEB84"/>
        <color rgb="FFF8696B"/>
      </colorScale>
    </cfRule>
    <cfRule type="colorScale" priority="4629">
      <colorScale>
        <cfvo type="min"/>
        <cfvo type="percentile" val="50"/>
        <cfvo type="max"/>
        <color rgb="FF63BE7B"/>
        <color rgb="FFFFEB84"/>
        <color rgb="FFF8696B"/>
      </colorScale>
    </cfRule>
    <cfRule type="colorScale" priority="4628">
      <colorScale>
        <cfvo type="min"/>
        <cfvo type="percentile" val="50"/>
        <cfvo type="max"/>
        <color rgb="FF63BE7B"/>
        <color rgb="FFFFEB84"/>
        <color rgb="FFF8696B"/>
      </colorScale>
    </cfRule>
    <cfRule type="colorScale" priority="4627">
      <colorScale>
        <cfvo type="min"/>
        <cfvo type="percentile" val="50"/>
        <cfvo type="max"/>
        <color rgb="FF63BE7B"/>
        <color rgb="FFFFEB84"/>
        <color rgb="FFF8696B"/>
      </colorScale>
    </cfRule>
    <cfRule type="colorScale" priority="4626">
      <colorScale>
        <cfvo type="min"/>
        <cfvo type="percentile" val="50"/>
        <cfvo type="max"/>
        <color rgb="FF63BE7B"/>
        <color rgb="FFFFEB84"/>
        <color rgb="FFF8696B"/>
      </colorScale>
    </cfRule>
    <cfRule type="colorScale" priority="4625">
      <colorScale>
        <cfvo type="min"/>
        <cfvo type="percentile" val="50"/>
        <cfvo type="max"/>
        <color rgb="FF63BE7B"/>
        <color rgb="FFFFEB84"/>
        <color rgb="FFF8696B"/>
      </colorScale>
    </cfRule>
    <cfRule type="colorScale" priority="4624">
      <colorScale>
        <cfvo type="min"/>
        <cfvo type="percentile" val="50"/>
        <cfvo type="max"/>
        <color rgb="FF63BE7B"/>
        <color rgb="FFFFEB84"/>
        <color rgb="FFF8696B"/>
      </colorScale>
    </cfRule>
    <cfRule type="colorScale" priority="4623">
      <colorScale>
        <cfvo type="min"/>
        <cfvo type="percentile" val="50"/>
        <cfvo type="max"/>
        <color rgb="FF63BE7B"/>
        <color rgb="FFFFEB84"/>
        <color rgb="FFF8696B"/>
      </colorScale>
    </cfRule>
    <cfRule type="colorScale" priority="4622">
      <colorScale>
        <cfvo type="min"/>
        <cfvo type="percentile" val="50"/>
        <cfvo type="max"/>
        <color rgb="FF63BE7B"/>
        <color rgb="FFFFEB84"/>
        <color rgb="FFF8696B"/>
      </colorScale>
    </cfRule>
    <cfRule type="colorScale" priority="7023">
      <colorScale>
        <cfvo type="min"/>
        <cfvo type="percentile" val="50"/>
        <cfvo type="max"/>
        <color rgb="FF63BE7B"/>
        <color rgb="FFFFEB84"/>
        <color rgb="FFF8696B"/>
      </colorScale>
    </cfRule>
    <cfRule type="colorScale" priority="7024">
      <colorScale>
        <cfvo type="min"/>
        <cfvo type="percentile" val="50"/>
        <cfvo type="max"/>
        <color rgb="FF63BE7B"/>
        <color rgb="FFFFEB84"/>
        <color rgb="FFF8696B"/>
      </colorScale>
    </cfRule>
    <cfRule type="colorScale" priority="7025">
      <colorScale>
        <cfvo type="min"/>
        <cfvo type="percentile" val="50"/>
        <cfvo type="max"/>
        <color rgb="FF63BE7B"/>
        <color rgb="FFFFEB84"/>
        <color rgb="FFF8696B"/>
      </colorScale>
    </cfRule>
    <cfRule type="colorScale" priority="7026">
      <colorScale>
        <cfvo type="min"/>
        <cfvo type="percentile" val="50"/>
        <cfvo type="max"/>
        <color rgb="FF63BE7B"/>
        <color rgb="FFFFEB84"/>
        <color rgb="FFF8696B"/>
      </colorScale>
    </cfRule>
    <cfRule type="colorScale" priority="7027">
      <colorScale>
        <cfvo type="min"/>
        <cfvo type="percentile" val="50"/>
        <cfvo type="max"/>
        <color rgb="FF63BE7B"/>
        <color rgb="FFFFEB84"/>
        <color rgb="FFF8696B"/>
      </colorScale>
    </cfRule>
    <cfRule type="colorScale" priority="7028">
      <colorScale>
        <cfvo type="min"/>
        <cfvo type="percentile" val="50"/>
        <cfvo type="max"/>
        <color rgb="FF63BE7B"/>
        <color rgb="FFFFEB84"/>
        <color rgb="FFF8696B"/>
      </colorScale>
    </cfRule>
    <cfRule type="colorScale" priority="7029">
      <colorScale>
        <cfvo type="min"/>
        <cfvo type="percentile" val="50"/>
        <cfvo type="max"/>
        <color rgb="FF63BE7B"/>
        <color rgb="FFFFEB84"/>
        <color rgb="FFF8696B"/>
      </colorScale>
    </cfRule>
    <cfRule type="colorScale" priority="7030">
      <colorScale>
        <cfvo type="min"/>
        <cfvo type="percentile" val="50"/>
        <cfvo type="max"/>
        <color rgb="FF63BE7B"/>
        <color rgb="FFFFEB84"/>
        <color rgb="FFF8696B"/>
      </colorScale>
    </cfRule>
    <cfRule type="colorScale" priority="7031">
      <colorScale>
        <cfvo type="min"/>
        <cfvo type="percentile" val="50"/>
        <cfvo type="max"/>
        <color rgb="FF63BE7B"/>
        <color rgb="FFFFEB84"/>
        <color rgb="FFF8696B"/>
      </colorScale>
    </cfRule>
    <cfRule type="colorScale" priority="4621">
      <colorScale>
        <cfvo type="min"/>
        <cfvo type="percentile" val="50"/>
        <cfvo type="max"/>
        <color rgb="FF63BE7B"/>
        <color rgb="FFFFEB84"/>
        <color rgb="FFF8696B"/>
      </colorScale>
    </cfRule>
    <cfRule type="colorScale" priority="4620">
      <colorScale>
        <cfvo type="min"/>
        <cfvo type="percentile" val="50"/>
        <cfvo type="max"/>
        <color rgb="FF63BE7B"/>
        <color rgb="FFFFEB84"/>
        <color rgb="FFF8696B"/>
      </colorScale>
    </cfRule>
    <cfRule type="colorScale" priority="4619">
      <colorScale>
        <cfvo type="min"/>
        <cfvo type="percentile" val="50"/>
        <cfvo type="max"/>
        <color rgb="FF63BE7B"/>
        <color rgb="FFFFEB84"/>
        <color rgb="FFF8696B"/>
      </colorScale>
    </cfRule>
    <cfRule type="colorScale" priority="5045">
      <colorScale>
        <cfvo type="min"/>
        <cfvo type="percentile" val="50"/>
        <cfvo type="max"/>
        <color rgb="FF63BE7B"/>
        <color rgb="FFFFEB84"/>
        <color rgb="FFF8696B"/>
      </colorScale>
    </cfRule>
    <cfRule type="colorScale" priority="5046">
      <colorScale>
        <cfvo type="min"/>
        <cfvo type="percentile" val="50"/>
        <cfvo type="max"/>
        <color rgb="FF63BE7B"/>
        <color rgb="FFFFEB84"/>
        <color rgb="FFF8696B"/>
      </colorScale>
    </cfRule>
    <cfRule type="colorScale" priority="5047">
      <colorScale>
        <cfvo type="min"/>
        <cfvo type="percentile" val="50"/>
        <cfvo type="max"/>
        <color rgb="FF63BE7B"/>
        <color rgb="FFFFEB84"/>
        <color rgb="FFF8696B"/>
      </colorScale>
    </cfRule>
    <cfRule type="colorScale" priority="5048">
      <colorScale>
        <cfvo type="min"/>
        <cfvo type="percentile" val="50"/>
        <cfvo type="max"/>
        <color rgb="FF63BE7B"/>
        <color rgb="FFFFEB84"/>
        <color rgb="FFF8696B"/>
      </colorScale>
    </cfRule>
    <cfRule type="colorScale" priority="5049">
      <colorScale>
        <cfvo type="min"/>
        <cfvo type="percentile" val="50"/>
        <cfvo type="max"/>
        <color rgb="FF63BE7B"/>
        <color rgb="FFFFEB84"/>
        <color rgb="FFF8696B"/>
      </colorScale>
    </cfRule>
    <cfRule type="colorScale" priority="4636">
      <colorScale>
        <cfvo type="min"/>
        <cfvo type="percentile" val="50"/>
        <cfvo type="max"/>
        <color rgb="FF63BE7B"/>
        <color rgb="FFFFEB84"/>
        <color rgb="FFF8696B"/>
      </colorScale>
    </cfRule>
    <cfRule type="colorScale" priority="4635">
      <colorScale>
        <cfvo type="min"/>
        <cfvo type="percentile" val="50"/>
        <cfvo type="max"/>
        <color rgb="FF63BE7B"/>
        <color rgb="FFFFEB84"/>
        <color rgb="FFF8696B"/>
      </colorScale>
    </cfRule>
    <cfRule type="colorScale" priority="4634">
      <colorScale>
        <cfvo type="min"/>
        <cfvo type="percentile" val="50"/>
        <cfvo type="max"/>
        <color rgb="FF63BE7B"/>
        <color rgb="FFFFEB84"/>
        <color rgb="FFF8696B"/>
      </colorScale>
    </cfRule>
    <cfRule type="colorScale" priority="4633">
      <colorScale>
        <cfvo type="min"/>
        <cfvo type="percentile" val="50"/>
        <cfvo type="max"/>
        <color rgb="FF63BE7B"/>
        <color rgb="FFFFEB84"/>
        <color rgb="FFF8696B"/>
      </colorScale>
    </cfRule>
    <cfRule type="colorScale" priority="5050">
      <colorScale>
        <cfvo type="min"/>
        <cfvo type="percentile" val="50"/>
        <cfvo type="max"/>
        <color rgb="FF63BE7B"/>
        <color rgb="FFFFEB84"/>
        <color rgb="FFF8696B"/>
      </colorScale>
    </cfRule>
    <cfRule type="colorScale" priority="5051">
      <colorScale>
        <cfvo type="min"/>
        <cfvo type="percentile" val="50"/>
        <cfvo type="max"/>
        <color rgb="FF63BE7B"/>
        <color rgb="FFFFEB84"/>
        <color rgb="FFF8696B"/>
      </colorScale>
    </cfRule>
    <cfRule type="colorScale" priority="5915">
      <colorScale>
        <cfvo type="min"/>
        <cfvo type="percentile" val="50"/>
        <cfvo type="max"/>
        <color rgb="FFF8696B"/>
        <color rgb="FFFFEB84"/>
        <color rgb="FF63BE7B"/>
      </colorScale>
    </cfRule>
    <cfRule type="colorScale" priority="5052">
      <colorScale>
        <cfvo type="min"/>
        <cfvo type="percentile" val="50"/>
        <cfvo type="max"/>
        <color rgb="FF63BE7B"/>
        <color rgb="FFFFEB84"/>
        <color rgb="FFF8696B"/>
      </colorScale>
    </cfRule>
    <cfRule type="colorScale" priority="5053">
      <colorScale>
        <cfvo type="min"/>
        <cfvo type="percentile" val="50"/>
        <cfvo type="max"/>
        <color rgb="FF63BE7B"/>
        <color rgb="FFFFEB84"/>
        <color rgb="FFF8696B"/>
      </colorScale>
    </cfRule>
    <cfRule type="colorScale" priority="5054">
      <colorScale>
        <cfvo type="min"/>
        <cfvo type="percentile" val="50"/>
        <cfvo type="max"/>
        <color rgb="FF63BE7B"/>
        <color rgb="FFFFEB84"/>
        <color rgb="FFF8696B"/>
      </colorScale>
    </cfRule>
    <cfRule type="colorScale" priority="5055">
      <colorScale>
        <cfvo type="min"/>
        <cfvo type="percentile" val="50"/>
        <cfvo type="max"/>
        <color rgb="FF63BE7B"/>
        <color rgb="FFFFEB84"/>
        <color rgb="FFF8696B"/>
      </colorScale>
    </cfRule>
    <cfRule type="colorScale" priority="4618">
      <colorScale>
        <cfvo type="min"/>
        <cfvo type="percentile" val="50"/>
        <cfvo type="max"/>
        <color rgb="FF63BE7B"/>
        <color rgb="FFFFEB84"/>
        <color rgb="FFF8696B"/>
      </colorScale>
    </cfRule>
    <cfRule type="colorScale" priority="7236">
      <colorScale>
        <cfvo type="min"/>
        <cfvo type="percentile" val="50"/>
        <cfvo type="max"/>
        <color rgb="FF63BE7B"/>
        <color rgb="FFFFEB84"/>
        <color rgb="FFF8696B"/>
      </colorScale>
    </cfRule>
    <cfRule type="colorScale" priority="7237">
      <colorScale>
        <cfvo type="min"/>
        <cfvo type="percentile" val="50"/>
        <cfvo type="max"/>
        <color rgb="FF63BE7B"/>
        <color rgb="FFFFEB84"/>
        <color rgb="FFF8696B"/>
      </colorScale>
    </cfRule>
    <cfRule type="colorScale" priority="7238">
      <colorScale>
        <cfvo type="min"/>
        <cfvo type="percentile" val="50"/>
        <cfvo type="max"/>
        <color rgb="FF63BE7B"/>
        <color rgb="FFFFEB84"/>
        <color rgb="FFF8696B"/>
      </colorScale>
    </cfRule>
    <cfRule type="colorScale" priority="7239">
      <colorScale>
        <cfvo type="min"/>
        <cfvo type="percentile" val="50"/>
        <cfvo type="max"/>
        <color rgb="FF63BE7B"/>
        <color rgb="FFFFEB84"/>
        <color rgb="FFF8696B"/>
      </colorScale>
    </cfRule>
    <cfRule type="colorScale" priority="4617">
      <colorScale>
        <cfvo type="min"/>
        <cfvo type="percentile" val="50"/>
        <cfvo type="max"/>
        <color rgb="FF63BE7B"/>
        <color rgb="FFFFEB84"/>
        <color rgb="FFF8696B"/>
      </colorScale>
    </cfRule>
    <cfRule type="colorScale" priority="5056">
      <colorScale>
        <cfvo type="min"/>
        <cfvo type="percentile" val="50"/>
        <cfvo type="max"/>
        <color rgb="FF63BE7B"/>
        <color rgb="FFFFEB84"/>
        <color rgb="FFF8696B"/>
      </colorScale>
    </cfRule>
    <cfRule type="colorScale" priority="5057">
      <colorScale>
        <cfvo type="min"/>
        <cfvo type="percentile" val="50"/>
        <cfvo type="max"/>
        <color rgb="FF63BE7B"/>
        <color rgb="FFFFEB84"/>
        <color rgb="FFF8696B"/>
      </colorScale>
    </cfRule>
    <cfRule type="colorScale" priority="5058">
      <colorScale>
        <cfvo type="min"/>
        <cfvo type="percentile" val="50"/>
        <cfvo type="max"/>
        <color rgb="FF63BE7B"/>
        <color rgb="FFFFEB84"/>
        <color rgb="FFF8696B"/>
      </colorScale>
    </cfRule>
    <cfRule type="colorScale" priority="5059">
      <colorScale>
        <cfvo type="min"/>
        <cfvo type="percentile" val="50"/>
        <cfvo type="max"/>
        <color rgb="FF63BE7B"/>
        <color rgb="FFFFEB84"/>
        <color rgb="FFF8696B"/>
      </colorScale>
    </cfRule>
    <cfRule type="colorScale" priority="5060">
      <colorScale>
        <cfvo type="min"/>
        <cfvo type="percentile" val="50"/>
        <cfvo type="max"/>
        <color rgb="FF63BE7B"/>
        <color rgb="FFFFEB84"/>
        <color rgb="FFF8696B"/>
      </colorScale>
    </cfRule>
    <cfRule type="colorScale" priority="5061">
      <colorScale>
        <cfvo type="min"/>
        <cfvo type="percentile" val="50"/>
        <cfvo type="max"/>
        <color rgb="FF63BE7B"/>
        <color rgb="FFFFEB84"/>
        <color rgb="FFF8696B"/>
      </colorScale>
    </cfRule>
    <cfRule type="colorScale" priority="5062">
      <colorScale>
        <cfvo type="min"/>
        <cfvo type="percentile" val="50"/>
        <cfvo type="max"/>
        <color rgb="FF63BE7B"/>
        <color rgb="FFFFEB84"/>
        <color rgb="FFF8696B"/>
      </colorScale>
    </cfRule>
    <cfRule type="colorScale" priority="5063">
      <colorScale>
        <cfvo type="min"/>
        <cfvo type="percentile" val="50"/>
        <cfvo type="max"/>
        <color rgb="FF63BE7B"/>
        <color rgb="FFFFEB84"/>
        <color rgb="FFF8696B"/>
      </colorScale>
    </cfRule>
    <cfRule type="colorScale" priority="5064">
      <colorScale>
        <cfvo type="min"/>
        <cfvo type="percentile" val="50"/>
        <cfvo type="max"/>
        <color rgb="FF63BE7B"/>
        <color rgb="FFFFEB84"/>
        <color rgb="FFF8696B"/>
      </colorScale>
    </cfRule>
    <cfRule type="colorScale" priority="5073">
      <colorScale>
        <cfvo type="min"/>
        <cfvo type="percentile" val="50"/>
        <cfvo type="max"/>
        <color rgb="FF63BE7B"/>
        <color rgb="FFFFEB84"/>
        <color rgb="FFF8696B"/>
      </colorScale>
    </cfRule>
    <cfRule type="colorScale" priority="5038">
      <colorScale>
        <cfvo type="min"/>
        <cfvo type="percentile" val="50"/>
        <cfvo type="max"/>
        <color rgb="FF63BE7B"/>
        <color rgb="FFFFEB84"/>
        <color rgb="FFF8696B"/>
      </colorScale>
    </cfRule>
  </conditionalFormatting>
  <conditionalFormatting sqref="K54:K61">
    <cfRule type="colorScale" priority="65">
      <colorScale>
        <cfvo type="min"/>
        <cfvo type="percentile" val="50"/>
        <cfvo type="max"/>
        <color rgb="FF63BE7B"/>
        <color rgb="FFFFEB84"/>
        <color rgb="FFF8696B"/>
      </colorScale>
    </cfRule>
    <cfRule type="colorScale" priority="48">
      <colorScale>
        <cfvo type="min"/>
        <cfvo type="percentile" val="50"/>
        <cfvo type="max"/>
        <color rgb="FF63BE7B"/>
        <color rgb="FFFFEB84"/>
        <color rgb="FFF8696B"/>
      </colorScale>
    </cfRule>
  </conditionalFormatting>
  <conditionalFormatting sqref="K65:K71">
    <cfRule type="colorScale" priority="12564">
      <colorScale>
        <cfvo type="min"/>
        <cfvo type="percentile" val="50"/>
        <cfvo type="max"/>
        <color rgb="FF63BE7B"/>
        <color rgb="FFFFEB84"/>
        <color rgb="FFF8696B"/>
      </colorScale>
    </cfRule>
    <cfRule type="colorScale" priority="12563">
      <colorScale>
        <cfvo type="min"/>
        <cfvo type="percentile" val="50"/>
        <cfvo type="max"/>
        <color rgb="FF63BE7B"/>
        <color rgb="FFFFEB84"/>
        <color rgb="FFF8696B"/>
      </colorScale>
    </cfRule>
    <cfRule type="colorScale" priority="12562">
      <colorScale>
        <cfvo type="min"/>
        <cfvo type="percentile" val="50"/>
        <cfvo type="max"/>
        <color rgb="FF63BE7B"/>
        <color rgb="FFFFEB84"/>
        <color rgb="FFF8696B"/>
      </colorScale>
    </cfRule>
  </conditionalFormatting>
  <conditionalFormatting sqref="K65:K80">
    <cfRule type="colorScale" priority="12598">
      <colorScale>
        <cfvo type="min"/>
        <cfvo type="percentile" val="50"/>
        <cfvo type="max"/>
        <color rgb="FF63BE7B"/>
        <color rgb="FFFFEB84"/>
        <color rgb="FFF8696B"/>
      </colorScale>
    </cfRule>
  </conditionalFormatting>
  <conditionalFormatting sqref="K65:K91">
    <cfRule type="colorScale" priority="12619">
      <colorScale>
        <cfvo type="min"/>
        <cfvo type="percentile" val="50"/>
        <cfvo type="max"/>
        <color rgb="FF63BE7B"/>
        <color rgb="FFFFEB84"/>
        <color rgb="FFF8696B"/>
      </colorScale>
    </cfRule>
  </conditionalFormatting>
  <conditionalFormatting sqref="K66:K71">
    <cfRule type="colorScale" priority="12565">
      <colorScale>
        <cfvo type="min"/>
        <cfvo type="percentile" val="50"/>
        <cfvo type="max"/>
        <color rgb="FF63BE7B"/>
        <color rgb="FFFFEB84"/>
        <color rgb="FFF8696B"/>
      </colorScale>
    </cfRule>
  </conditionalFormatting>
  <conditionalFormatting sqref="K81:K82">
    <cfRule type="colorScale" priority="12314">
      <colorScale>
        <cfvo type="min"/>
        <cfvo type="percentile" val="50"/>
        <cfvo type="max"/>
        <color rgb="FF63BE7B"/>
        <color rgb="FFFFEB84"/>
        <color rgb="FFF8696B"/>
      </colorScale>
    </cfRule>
    <cfRule type="colorScale" priority="12313">
      <colorScale>
        <cfvo type="min"/>
        <cfvo type="percentile" val="50"/>
        <cfvo type="max"/>
        <color rgb="FF63BE7B"/>
        <color rgb="FFFFEB84"/>
        <color rgb="FFF8696B"/>
      </colorScale>
    </cfRule>
  </conditionalFormatting>
  <conditionalFormatting sqref="K85:K91">
    <cfRule type="colorScale" priority="12205">
      <colorScale>
        <cfvo type="min"/>
        <cfvo type="percentile" val="50"/>
        <cfvo type="max"/>
        <color rgb="FF63BE7B"/>
        <color rgb="FFFFEB84"/>
        <color rgb="FFF8696B"/>
      </colorScale>
    </cfRule>
    <cfRule type="colorScale" priority="12202">
      <colorScale>
        <cfvo type="min"/>
        <cfvo type="percentile" val="50"/>
        <cfvo type="max"/>
        <color rgb="FF63BE7B"/>
        <color rgb="FFFFEB84"/>
        <color rgb="FFF8696B"/>
      </colorScale>
    </cfRule>
    <cfRule type="colorScale" priority="12204">
      <colorScale>
        <cfvo type="min"/>
        <cfvo type="percentile" val="50"/>
        <cfvo type="max"/>
        <color rgb="FF63BE7B"/>
        <color rgb="FFFFEB84"/>
        <color rgb="FFF8696B"/>
      </colorScale>
    </cfRule>
  </conditionalFormatting>
  <conditionalFormatting sqref="K87">
    <cfRule type="colorScale" priority="12203">
      <colorScale>
        <cfvo type="min"/>
        <cfvo type="percentile" val="50"/>
        <cfvo type="max"/>
        <color rgb="FF63BE7B"/>
        <color rgb="FFFFEB84"/>
        <color rgb="FFF8696B"/>
      </colorScale>
    </cfRule>
  </conditionalFormatting>
  <conditionalFormatting sqref="K96:K102">
    <cfRule type="colorScale" priority="11958">
      <colorScale>
        <cfvo type="min"/>
        <cfvo type="percentile" val="50"/>
        <cfvo type="max"/>
        <color rgb="FF63BE7B"/>
        <color rgb="FFFFEB84"/>
        <color rgb="FFF8696B"/>
      </colorScale>
    </cfRule>
    <cfRule type="colorScale" priority="11957">
      <colorScale>
        <cfvo type="min"/>
        <cfvo type="percentile" val="50"/>
        <cfvo type="max"/>
        <color rgb="FF63BE7B"/>
        <color rgb="FFFFEB84"/>
        <color rgb="FFF8696B"/>
      </colorScale>
    </cfRule>
    <cfRule type="colorScale" priority="11956">
      <colorScale>
        <cfvo type="min"/>
        <cfvo type="percentile" val="50"/>
        <cfvo type="max"/>
        <color rgb="FF63BE7B"/>
        <color rgb="FFFFEB84"/>
        <color rgb="FFF8696B"/>
      </colorScale>
    </cfRule>
  </conditionalFormatting>
  <conditionalFormatting sqref="K96:K111">
    <cfRule type="colorScale" priority="11992">
      <colorScale>
        <cfvo type="min"/>
        <cfvo type="percentile" val="50"/>
        <cfvo type="max"/>
        <color rgb="FF63BE7B"/>
        <color rgb="FFFFEB84"/>
        <color rgb="FFF8696B"/>
      </colorScale>
    </cfRule>
  </conditionalFormatting>
  <conditionalFormatting sqref="K96:K122">
    <cfRule type="colorScale" priority="12012">
      <colorScale>
        <cfvo type="min"/>
        <cfvo type="percentile" val="50"/>
        <cfvo type="max"/>
        <color rgb="FF63BE7B"/>
        <color rgb="FFFFEB84"/>
        <color rgb="FFF8696B"/>
      </colorScale>
    </cfRule>
  </conditionalFormatting>
  <conditionalFormatting sqref="K97:K102">
    <cfRule type="colorScale" priority="11959">
      <colorScale>
        <cfvo type="min"/>
        <cfvo type="percentile" val="50"/>
        <cfvo type="max"/>
        <color rgb="FF63BE7B"/>
        <color rgb="FFFFEB84"/>
        <color rgb="FFF8696B"/>
      </colorScale>
    </cfRule>
  </conditionalFormatting>
  <conditionalFormatting sqref="K112:K113">
    <cfRule type="colorScale" priority="11710">
      <colorScale>
        <cfvo type="min"/>
        <cfvo type="percentile" val="50"/>
        <cfvo type="max"/>
        <color rgb="FF63BE7B"/>
        <color rgb="FFFFEB84"/>
        <color rgb="FFF8696B"/>
      </colorScale>
    </cfRule>
    <cfRule type="colorScale" priority="11711">
      <colorScale>
        <cfvo type="min"/>
        <cfvo type="percentile" val="50"/>
        <cfvo type="max"/>
        <color rgb="FF63BE7B"/>
        <color rgb="FFFFEB84"/>
        <color rgb="FFF8696B"/>
      </colorScale>
    </cfRule>
  </conditionalFormatting>
  <conditionalFormatting sqref="K116:K122">
    <cfRule type="colorScale" priority="11601">
      <colorScale>
        <cfvo type="min"/>
        <cfvo type="percentile" val="50"/>
        <cfvo type="max"/>
        <color rgb="FF63BE7B"/>
        <color rgb="FFFFEB84"/>
        <color rgb="FFF8696B"/>
      </colorScale>
    </cfRule>
    <cfRule type="colorScale" priority="11602">
      <colorScale>
        <cfvo type="min"/>
        <cfvo type="percentile" val="50"/>
        <cfvo type="max"/>
        <color rgb="FF63BE7B"/>
        <color rgb="FFFFEB84"/>
        <color rgb="FFF8696B"/>
      </colorScale>
    </cfRule>
    <cfRule type="colorScale" priority="11599">
      <colorScale>
        <cfvo type="min"/>
        <cfvo type="percentile" val="50"/>
        <cfvo type="max"/>
        <color rgb="FF63BE7B"/>
        <color rgb="FFFFEB84"/>
        <color rgb="FFF8696B"/>
      </colorScale>
    </cfRule>
  </conditionalFormatting>
  <conditionalFormatting sqref="K118">
    <cfRule type="colorScale" priority="11600">
      <colorScale>
        <cfvo type="min"/>
        <cfvo type="percentile" val="50"/>
        <cfvo type="max"/>
        <color rgb="FF63BE7B"/>
        <color rgb="FFFFEB84"/>
        <color rgb="FFF8696B"/>
      </colorScale>
    </cfRule>
  </conditionalFormatting>
  <conditionalFormatting sqref="L35:L37">
    <cfRule type="colorScale" priority="11352">
      <colorScale>
        <cfvo type="min"/>
        <cfvo type="percentile" val="50"/>
        <cfvo type="max"/>
        <color rgb="FF63BE7B"/>
        <color rgb="FFFFEB84"/>
        <color rgb="FFF8696B"/>
      </colorScale>
    </cfRule>
    <cfRule type="colorScale" priority="11226">
      <colorScale>
        <cfvo type="min"/>
        <cfvo type="percentile" val="50"/>
        <cfvo type="max"/>
        <color rgb="FF63BE7B"/>
        <color rgb="FFFFEB84"/>
        <color rgb="FFF8696B"/>
      </colorScale>
    </cfRule>
    <cfRule type="colorScale" priority="11351">
      <colorScale>
        <cfvo type="min"/>
        <cfvo type="percentile" val="50"/>
        <cfvo type="max"/>
        <color rgb="FF63BE7B"/>
        <color rgb="FFFFEB84"/>
        <color rgb="FFF8696B"/>
      </colorScale>
    </cfRule>
    <cfRule type="colorScale" priority="11357">
      <colorScale>
        <cfvo type="min"/>
        <cfvo type="percentile" val="50"/>
        <cfvo type="max"/>
        <color rgb="FF63BE7B"/>
        <color rgb="FFFFEB84"/>
        <color rgb="FFF8696B"/>
      </colorScale>
    </cfRule>
    <cfRule type="colorScale" priority="11356">
      <colorScale>
        <cfvo type="min"/>
        <cfvo type="percentile" val="50"/>
        <cfvo type="max"/>
        <color rgb="FF63BE7B"/>
        <color rgb="FFFFEB84"/>
        <color rgb="FFF8696B"/>
      </colorScale>
    </cfRule>
    <cfRule type="colorScale" priority="11354">
      <colorScale>
        <cfvo type="min"/>
        <cfvo type="percentile" val="50"/>
        <cfvo type="max"/>
        <color rgb="FF63BE7B"/>
        <color rgb="FFFFEB84"/>
        <color rgb="FFF8696B"/>
      </colorScale>
    </cfRule>
    <cfRule type="colorScale" priority="11353">
      <colorScale>
        <cfvo type="min"/>
        <cfvo type="percentile" val="50"/>
        <cfvo type="max"/>
        <color rgb="FF63BE7B"/>
        <color rgb="FFFFEB84"/>
        <color rgb="FFF8696B"/>
      </colorScale>
    </cfRule>
  </conditionalFormatting>
  <conditionalFormatting sqref="L35:L41">
    <cfRule type="colorScale" priority="11225">
      <colorScale>
        <cfvo type="min"/>
        <cfvo type="percentile" val="50"/>
        <cfvo type="max"/>
        <color rgb="FF63BE7B"/>
        <color rgb="FFFFEB84"/>
        <color rgb="FFF8696B"/>
      </colorScale>
    </cfRule>
    <cfRule type="colorScale" priority="11227">
      <colorScale>
        <cfvo type="min"/>
        <cfvo type="percentile" val="50"/>
        <cfvo type="max"/>
        <color rgb="FF63BE7B"/>
        <color rgb="FFFFEB84"/>
        <color rgb="FFF8696B"/>
      </colorScale>
    </cfRule>
    <cfRule type="colorScale" priority="11228">
      <colorScale>
        <cfvo type="min"/>
        <cfvo type="percentile" val="50"/>
        <cfvo type="max"/>
        <color rgb="FF63BE7B"/>
        <color rgb="FFFFEB84"/>
        <color rgb="FFF8696B"/>
      </colorScale>
    </cfRule>
    <cfRule type="colorScale" priority="13177">
      <colorScale>
        <cfvo type="min"/>
        <cfvo type="percentile" val="50"/>
        <cfvo type="max"/>
        <color rgb="FF63BE7B"/>
        <color rgb="FFFFEB84"/>
        <color rgb="FFF8696B"/>
      </colorScale>
    </cfRule>
    <cfRule type="colorScale" priority="11229">
      <colorScale>
        <cfvo type="min"/>
        <cfvo type="percentile" val="50"/>
        <cfvo type="max"/>
        <color rgb="FF63BE7B"/>
        <color rgb="FFFFEB84"/>
        <color rgb="FFF8696B"/>
      </colorScale>
    </cfRule>
    <cfRule type="colorScale" priority="11230">
      <colorScale>
        <cfvo type="min"/>
        <cfvo type="percentile" val="50"/>
        <cfvo type="max"/>
        <color rgb="FF63BE7B"/>
        <color rgb="FFFFEB84"/>
        <color rgb="FFF8696B"/>
      </colorScale>
    </cfRule>
    <cfRule type="colorScale" priority="11231">
      <colorScale>
        <cfvo type="min"/>
        <cfvo type="percentile" val="50"/>
        <cfvo type="max"/>
        <color rgb="FF63BE7B"/>
        <color rgb="FFFFEB84"/>
        <color rgb="FFF8696B"/>
      </colorScale>
    </cfRule>
    <cfRule type="colorScale" priority="10452">
      <colorScale>
        <cfvo type="min"/>
        <cfvo type="percentile" val="50"/>
        <cfvo type="max"/>
        <color rgb="FF63BE7B"/>
        <color rgb="FFFFEB84"/>
        <color rgb="FFF8696B"/>
      </colorScale>
    </cfRule>
    <cfRule type="colorScale" priority="13175">
      <colorScale>
        <cfvo type="min"/>
        <cfvo type="percentile" val="50"/>
        <cfvo type="max"/>
        <color rgb="FF63BE7B"/>
        <color rgb="FFFFEB84"/>
        <color rgb="FFF8696B"/>
      </colorScale>
    </cfRule>
    <cfRule type="colorScale" priority="11232">
      <colorScale>
        <cfvo type="min"/>
        <cfvo type="percentile" val="50"/>
        <cfvo type="max"/>
        <color rgb="FF63BE7B"/>
        <color rgb="FFFFEB84"/>
        <color rgb="FFF8696B"/>
      </colorScale>
    </cfRule>
    <cfRule type="colorScale" priority="11233">
      <colorScale>
        <cfvo type="min"/>
        <cfvo type="percentile" val="50"/>
        <cfvo type="max"/>
        <color rgb="FF63BE7B"/>
        <color rgb="FFFFEB84"/>
        <color rgb="FFF8696B"/>
      </colorScale>
    </cfRule>
    <cfRule type="colorScale" priority="13176">
      <colorScale>
        <cfvo type="min"/>
        <cfvo type="percentile" val="50"/>
        <cfvo type="max"/>
        <color rgb="FF63BE7B"/>
        <color rgb="FFFFEB84"/>
        <color rgb="FFF8696B"/>
      </colorScale>
    </cfRule>
  </conditionalFormatting>
  <conditionalFormatting sqref="L36:L37">
    <cfRule type="colorScale" priority="11355">
      <colorScale>
        <cfvo type="min"/>
        <cfvo type="percentile" val="50"/>
        <cfvo type="max"/>
        <color rgb="FF63BE7B"/>
        <color rgb="FFFFEB84"/>
        <color rgb="FFF8696B"/>
      </colorScale>
    </cfRule>
  </conditionalFormatting>
  <conditionalFormatting sqref="L36:L41">
    <cfRule type="colorScale" priority="13178">
      <colorScale>
        <cfvo type="min"/>
        <cfvo type="percentile" val="50"/>
        <cfvo type="max"/>
        <color rgb="FF63BE7B"/>
        <color rgb="FFFFEB84"/>
        <color rgb="FFF8696B"/>
      </colorScale>
    </cfRule>
  </conditionalFormatting>
  <conditionalFormatting sqref="L42:L50">
    <cfRule type="colorScale" priority="7464">
      <colorScale>
        <cfvo type="min"/>
        <cfvo type="percentile" val="50"/>
        <cfvo type="max"/>
        <color rgb="FF63BE7B"/>
        <color rgb="FFFFEB84"/>
        <color rgb="FFF8696B"/>
      </colorScale>
    </cfRule>
  </conditionalFormatting>
  <conditionalFormatting sqref="L51:L53">
    <cfRule type="colorScale" priority="12927">
      <colorScale>
        <cfvo type="min"/>
        <cfvo type="percentile" val="50"/>
        <cfvo type="max"/>
        <color rgb="FF63BE7B"/>
        <color rgb="FFFFEB84"/>
        <color rgb="FFF8696B"/>
      </colorScale>
    </cfRule>
    <cfRule type="colorScale" priority="12926">
      <colorScale>
        <cfvo type="min"/>
        <cfvo type="percentile" val="50"/>
        <cfvo type="max"/>
        <color rgb="FF63BE7B"/>
        <color rgb="FFFFEB84"/>
        <color rgb="FFF8696B"/>
      </colorScale>
    </cfRule>
    <cfRule type="colorScale" priority="4614">
      <colorScale>
        <cfvo type="min"/>
        <cfvo type="percentile" val="50"/>
        <cfvo type="max"/>
        <color rgb="FF63BE7B"/>
        <color rgb="FFFFEB84"/>
        <color rgb="FFF8696B"/>
      </colorScale>
    </cfRule>
    <cfRule type="colorScale" priority="4615">
      <colorScale>
        <cfvo type="min"/>
        <cfvo type="percentile" val="50"/>
        <cfvo type="max"/>
        <color rgb="FF63BE7B"/>
        <color rgb="FFFFEB84"/>
        <color rgb="FFF8696B"/>
      </colorScale>
    </cfRule>
    <cfRule type="colorScale" priority="4587">
      <colorScale>
        <cfvo type="min"/>
        <cfvo type="percentile" val="50"/>
        <cfvo type="max"/>
        <color rgb="FF63BE7B"/>
        <color rgb="FFFFEB84"/>
        <color rgb="FFF8696B"/>
      </colorScale>
    </cfRule>
  </conditionalFormatting>
  <conditionalFormatting sqref="L52:L53">
    <cfRule type="colorScale" priority="4593">
      <colorScale>
        <cfvo type="min"/>
        <cfvo type="percentile" val="50"/>
        <cfvo type="max"/>
        <color rgb="FF63BE7B"/>
        <color rgb="FFFFEB84"/>
        <color rgb="FFF8696B"/>
      </colorScale>
    </cfRule>
    <cfRule type="colorScale" priority="7018">
      <colorScale>
        <cfvo type="min"/>
        <cfvo type="percentile" val="50"/>
        <cfvo type="max"/>
        <color rgb="FF63BE7B"/>
        <color rgb="FFFFEB84"/>
        <color rgb="FFF8696B"/>
      </colorScale>
    </cfRule>
    <cfRule type="colorScale" priority="4597">
      <colorScale>
        <cfvo type="min"/>
        <cfvo type="percentile" val="50"/>
        <cfvo type="max"/>
        <color rgb="FF63BE7B"/>
        <color rgb="FFFFEB84"/>
        <color rgb="FFF8696B"/>
      </colorScale>
    </cfRule>
    <cfRule type="colorScale" priority="4598">
      <colorScale>
        <cfvo type="min"/>
        <cfvo type="percentile" val="50"/>
        <cfvo type="max"/>
        <color rgb="FF63BE7B"/>
        <color rgb="FFFFEB84"/>
        <color rgb="FFF8696B"/>
      </colorScale>
    </cfRule>
    <cfRule type="colorScale" priority="4599">
      <colorScale>
        <cfvo type="min"/>
        <cfvo type="percentile" val="50"/>
        <cfvo type="max"/>
        <color rgb="FF63BE7B"/>
        <color rgb="FFFFEB84"/>
        <color rgb="FFF8696B"/>
      </colorScale>
    </cfRule>
    <cfRule type="colorScale" priority="4596">
      <colorScale>
        <cfvo type="min"/>
        <cfvo type="percentile" val="50"/>
        <cfvo type="max"/>
        <color rgb="FF63BE7B"/>
        <color rgb="FFFFEB84"/>
        <color rgb="FFF8696B"/>
      </colorScale>
    </cfRule>
    <cfRule type="colorScale" priority="4595">
      <colorScale>
        <cfvo type="min"/>
        <cfvo type="percentile" val="50"/>
        <cfvo type="max"/>
        <color rgb="FF63BE7B"/>
        <color rgb="FFFFEB84"/>
        <color rgb="FFF8696B"/>
      </colorScale>
    </cfRule>
    <cfRule type="colorScale" priority="4594">
      <colorScale>
        <cfvo type="min"/>
        <cfvo type="percentile" val="50"/>
        <cfvo type="max"/>
        <color rgb="FF63BE7B"/>
        <color rgb="FFFFEB84"/>
        <color rgb="FFF8696B"/>
      </colorScale>
    </cfRule>
    <cfRule type="colorScale" priority="4592">
      <colorScale>
        <cfvo type="min"/>
        <cfvo type="percentile" val="50"/>
        <cfvo type="max"/>
        <color rgb="FF63BE7B"/>
        <color rgb="FFFFEB84"/>
        <color rgb="FFF8696B"/>
      </colorScale>
    </cfRule>
    <cfRule type="colorScale" priority="4591">
      <colorScale>
        <cfvo type="min"/>
        <cfvo type="percentile" val="50"/>
        <cfvo type="max"/>
        <color rgb="FF63BE7B"/>
        <color rgb="FFFFEB84"/>
        <color rgb="FFF8696B"/>
      </colorScale>
    </cfRule>
    <cfRule type="colorScale" priority="7017">
      <colorScale>
        <cfvo type="min"/>
        <cfvo type="percentile" val="50"/>
        <cfvo type="max"/>
        <color rgb="FF63BE7B"/>
        <color rgb="FFFFEB84"/>
        <color rgb="FFF8696B"/>
      </colorScale>
    </cfRule>
    <cfRule type="colorScale" priority="7016">
      <colorScale>
        <cfvo type="min"/>
        <cfvo type="percentile" val="50"/>
        <cfvo type="max"/>
        <color rgb="FF63BE7B"/>
        <color rgb="FFFFEB84"/>
        <color rgb="FFF8696B"/>
      </colorScale>
    </cfRule>
    <cfRule type="colorScale" priority="7015">
      <colorScale>
        <cfvo type="min"/>
        <cfvo type="percentile" val="50"/>
        <cfvo type="max"/>
        <color rgb="FF63BE7B"/>
        <color rgb="FFFFEB84"/>
        <color rgb="FFF8696B"/>
      </colorScale>
    </cfRule>
    <cfRule type="colorScale" priority="4602">
      <colorScale>
        <cfvo type="min"/>
        <cfvo type="percentile" val="50"/>
        <cfvo type="max"/>
        <color rgb="FF63BE7B"/>
        <color rgb="FFFFEB84"/>
        <color rgb="FFF8696B"/>
      </colorScale>
    </cfRule>
    <cfRule type="colorScale" priority="6463">
      <colorScale>
        <cfvo type="min"/>
        <cfvo type="percentile" val="50"/>
        <cfvo type="max"/>
        <color rgb="FF63BE7B"/>
        <color rgb="FFFFEB84"/>
        <color rgb="FFF8696B"/>
      </colorScale>
    </cfRule>
    <cfRule type="colorScale" priority="7233">
      <colorScale>
        <cfvo type="min"/>
        <cfvo type="percentile" val="50"/>
        <cfvo type="max"/>
        <color rgb="FF63BE7B"/>
        <color rgb="FFFFEB84"/>
        <color rgb="FFF8696B"/>
      </colorScale>
    </cfRule>
    <cfRule type="colorScale" priority="7019">
      <colorScale>
        <cfvo type="min"/>
        <cfvo type="percentile" val="50"/>
        <cfvo type="max"/>
        <color rgb="FF63BE7B"/>
        <color rgb="FFFFEB84"/>
        <color rgb="FFF8696B"/>
      </colorScale>
    </cfRule>
    <cfRule type="colorScale" priority="7232">
      <colorScale>
        <cfvo type="min"/>
        <cfvo type="percentile" val="50"/>
        <cfvo type="max"/>
        <color rgb="FF63BE7B"/>
        <color rgb="FFFFEB84"/>
        <color rgb="FFF8696B"/>
      </colorScale>
    </cfRule>
    <cfRule type="colorScale" priority="7020">
      <colorScale>
        <cfvo type="min"/>
        <cfvo type="percentile" val="50"/>
        <cfvo type="max"/>
        <color rgb="FF63BE7B"/>
        <color rgb="FFFFEB84"/>
        <color rgb="FFF8696B"/>
      </colorScale>
    </cfRule>
    <cfRule type="colorScale" priority="7235">
      <colorScale>
        <cfvo type="min"/>
        <cfvo type="percentile" val="50"/>
        <cfvo type="max"/>
        <color rgb="FF63BE7B"/>
        <color rgb="FFFFEB84"/>
        <color rgb="FFF8696B"/>
      </colorScale>
    </cfRule>
    <cfRule type="colorScale" priority="7022">
      <colorScale>
        <cfvo type="min"/>
        <cfvo type="percentile" val="50"/>
        <cfvo type="max"/>
        <color rgb="FF63BE7B"/>
        <color rgb="FFFFEB84"/>
        <color rgb="FFF8696B"/>
      </colorScale>
    </cfRule>
    <cfRule type="colorScale" priority="4588">
      <colorScale>
        <cfvo type="min"/>
        <cfvo type="percentile" val="50"/>
        <cfvo type="max"/>
        <color rgb="FF63BE7B"/>
        <color rgb="FFFFEB84"/>
        <color rgb="FFF8696B"/>
      </colorScale>
    </cfRule>
    <cfRule type="colorScale" priority="7021">
      <colorScale>
        <cfvo type="min"/>
        <cfvo type="percentile" val="50"/>
        <cfvo type="max"/>
        <color rgb="FF63BE7B"/>
        <color rgb="FFFFEB84"/>
        <color rgb="FFF8696B"/>
      </colorScale>
    </cfRule>
    <cfRule type="colorScale" priority="7234">
      <colorScale>
        <cfvo type="min"/>
        <cfvo type="percentile" val="50"/>
        <cfvo type="max"/>
        <color rgb="FF63BE7B"/>
        <color rgb="FFFFEB84"/>
        <color rgb="FFF8696B"/>
      </colorScale>
    </cfRule>
    <cfRule type="colorScale" priority="4600">
      <colorScale>
        <cfvo type="min"/>
        <cfvo type="percentile" val="50"/>
        <cfvo type="max"/>
        <color rgb="FF63BE7B"/>
        <color rgb="FFFFEB84"/>
        <color rgb="FFF8696B"/>
      </colorScale>
    </cfRule>
    <cfRule type="colorScale" priority="4601">
      <colorScale>
        <cfvo type="min"/>
        <cfvo type="percentile" val="50"/>
        <cfvo type="max"/>
        <color rgb="FF63BE7B"/>
        <color rgb="FFFFEB84"/>
        <color rgb="FFF8696B"/>
      </colorScale>
    </cfRule>
    <cfRule type="colorScale" priority="4589">
      <colorScale>
        <cfvo type="min"/>
        <cfvo type="percentile" val="50"/>
        <cfvo type="max"/>
        <color rgb="FF63BE7B"/>
        <color rgb="FFFFEB84"/>
        <color rgb="FFF8696B"/>
      </colorScale>
    </cfRule>
    <cfRule type="colorScale" priority="4603">
      <colorScale>
        <cfvo type="min"/>
        <cfvo type="percentile" val="50"/>
        <cfvo type="max"/>
        <color rgb="FF63BE7B"/>
        <color rgb="FFFFEB84"/>
        <color rgb="FFF8696B"/>
      </colorScale>
    </cfRule>
    <cfRule type="colorScale" priority="4604">
      <colorScale>
        <cfvo type="min"/>
        <cfvo type="percentile" val="50"/>
        <cfvo type="max"/>
        <color rgb="FF63BE7B"/>
        <color rgb="FFFFEB84"/>
        <color rgb="FFF8696B"/>
      </colorScale>
    </cfRule>
    <cfRule type="colorScale" priority="4605">
      <colorScale>
        <cfvo type="min"/>
        <cfvo type="percentile" val="50"/>
        <cfvo type="max"/>
        <color rgb="FF63BE7B"/>
        <color rgb="FFFFEB84"/>
        <color rgb="FFF8696B"/>
      </colorScale>
    </cfRule>
    <cfRule type="colorScale" priority="4590">
      <colorScale>
        <cfvo type="min"/>
        <cfvo type="percentile" val="50"/>
        <cfvo type="max"/>
        <color rgb="FF63BE7B"/>
        <color rgb="FFFFEB84"/>
        <color rgb="FFF8696B"/>
      </colorScale>
    </cfRule>
    <cfRule type="colorScale" priority="4606">
      <colorScale>
        <cfvo type="min"/>
        <cfvo type="percentile" val="50"/>
        <cfvo type="max"/>
        <color rgb="FF63BE7B"/>
        <color rgb="FFFFEB84"/>
        <color rgb="FFF8696B"/>
      </colorScale>
    </cfRule>
    <cfRule type="colorScale" priority="4607">
      <colorScale>
        <cfvo type="min"/>
        <cfvo type="percentile" val="50"/>
        <cfvo type="max"/>
        <color rgb="FF63BE7B"/>
        <color rgb="FFFFEB84"/>
        <color rgb="FFF8696B"/>
      </colorScale>
    </cfRule>
    <cfRule type="colorScale" priority="4608">
      <colorScale>
        <cfvo type="min"/>
        <cfvo type="percentile" val="50"/>
        <cfvo type="max"/>
        <color rgb="FF63BE7B"/>
        <color rgb="FFFFEB84"/>
        <color rgb="FFF8696B"/>
      </colorScale>
    </cfRule>
    <cfRule type="colorScale" priority="4609">
      <colorScale>
        <cfvo type="min"/>
        <cfvo type="percentile" val="50"/>
        <cfvo type="max"/>
        <color rgb="FF63BE7B"/>
        <color rgb="FFFFEB84"/>
        <color rgb="FFF8696B"/>
      </colorScale>
    </cfRule>
    <cfRule type="colorScale" priority="4610">
      <colorScale>
        <cfvo type="min"/>
        <cfvo type="percentile" val="50"/>
        <cfvo type="max"/>
        <color rgb="FF63BE7B"/>
        <color rgb="FFFFEB84"/>
        <color rgb="FFF8696B"/>
      </colorScale>
    </cfRule>
    <cfRule type="colorScale" priority="4611">
      <colorScale>
        <cfvo type="min"/>
        <cfvo type="percentile" val="50"/>
        <cfvo type="max"/>
        <color rgb="FF63BE7B"/>
        <color rgb="FFFFEB84"/>
        <color rgb="FFF8696B"/>
      </colorScale>
    </cfRule>
    <cfRule type="colorScale" priority="4612">
      <colorScale>
        <cfvo type="min"/>
        <cfvo type="percentile" val="50"/>
        <cfvo type="max"/>
        <color rgb="FF63BE7B"/>
        <color rgb="FFFFEB84"/>
        <color rgb="FFF8696B"/>
      </colorScale>
    </cfRule>
    <cfRule type="colorScale" priority="4613">
      <colorScale>
        <cfvo type="min"/>
        <cfvo type="percentile" val="50"/>
        <cfvo type="max"/>
        <color rgb="FF63BE7B"/>
        <color rgb="FFFFEB84"/>
        <color rgb="FFF8696B"/>
      </colorScale>
    </cfRule>
  </conditionalFormatting>
  <conditionalFormatting sqref="L54:L61">
    <cfRule type="colorScale" priority="47">
      <colorScale>
        <cfvo type="min"/>
        <cfvo type="percentile" val="50"/>
        <cfvo type="max"/>
        <color rgb="FF63BE7B"/>
        <color rgb="FFFFEB84"/>
        <color rgb="FFF8696B"/>
      </colorScale>
    </cfRule>
    <cfRule type="colorScale" priority="64">
      <colorScale>
        <cfvo type="min"/>
        <cfvo type="percentile" val="50"/>
        <cfvo type="max"/>
        <color rgb="FF63BE7B"/>
        <color rgb="FFFFEB84"/>
        <color rgb="FFF8696B"/>
      </colorScale>
    </cfRule>
  </conditionalFormatting>
  <conditionalFormatting sqref="L65:L71">
    <cfRule type="colorScale" priority="12560">
      <colorScale>
        <cfvo type="min"/>
        <cfvo type="percentile" val="50"/>
        <cfvo type="max"/>
        <color rgb="FF63BE7B"/>
        <color rgb="FFFFEB84"/>
        <color rgb="FFF8696B"/>
      </colorScale>
    </cfRule>
    <cfRule type="colorScale" priority="12558">
      <colorScale>
        <cfvo type="min"/>
        <cfvo type="percentile" val="50"/>
        <cfvo type="max"/>
        <color rgb="FF63BE7B"/>
        <color rgb="FFFFEB84"/>
        <color rgb="FFF8696B"/>
      </colorScale>
    </cfRule>
    <cfRule type="colorScale" priority="12559">
      <colorScale>
        <cfvo type="min"/>
        <cfvo type="percentile" val="50"/>
        <cfvo type="max"/>
        <color rgb="FF63BE7B"/>
        <color rgb="FFFFEB84"/>
        <color rgb="FFF8696B"/>
      </colorScale>
    </cfRule>
  </conditionalFormatting>
  <conditionalFormatting sqref="L65:L80">
    <cfRule type="colorScale" priority="12597">
      <colorScale>
        <cfvo type="min"/>
        <cfvo type="percentile" val="50"/>
        <cfvo type="max"/>
        <color rgb="FF63BE7B"/>
        <color rgb="FFFFEB84"/>
        <color rgb="FFF8696B"/>
      </colorScale>
    </cfRule>
  </conditionalFormatting>
  <conditionalFormatting sqref="L65:L91">
    <cfRule type="colorScale" priority="12618">
      <colorScale>
        <cfvo type="min"/>
        <cfvo type="percentile" val="50"/>
        <cfvo type="max"/>
        <color rgb="FF63BE7B"/>
        <color rgb="FFFFEB84"/>
        <color rgb="FFF8696B"/>
      </colorScale>
    </cfRule>
  </conditionalFormatting>
  <conditionalFormatting sqref="L66:L71">
    <cfRule type="colorScale" priority="12561">
      <colorScale>
        <cfvo type="min"/>
        <cfvo type="percentile" val="50"/>
        <cfvo type="max"/>
        <color rgb="FF63BE7B"/>
        <color rgb="FFFFEB84"/>
        <color rgb="FFF8696B"/>
      </colorScale>
    </cfRule>
  </conditionalFormatting>
  <conditionalFormatting sqref="L72:L80">
    <cfRule type="colorScale" priority="12434">
      <colorScale>
        <cfvo type="min"/>
        <cfvo type="percentile" val="50"/>
        <cfvo type="max"/>
        <color rgb="FF63BE7B"/>
        <color rgb="FFFFEB84"/>
        <color rgb="FFF8696B"/>
      </colorScale>
    </cfRule>
    <cfRule type="colorScale" priority="12435">
      <colorScale>
        <cfvo type="min"/>
        <cfvo type="percentile" val="50"/>
        <cfvo type="max"/>
        <color rgb="FF63BE7B"/>
        <color rgb="FFFFEB84"/>
        <color rgb="FFF8696B"/>
      </colorScale>
    </cfRule>
    <cfRule type="colorScale" priority="12436">
      <colorScale>
        <cfvo type="min"/>
        <cfvo type="percentile" val="50"/>
        <cfvo type="max"/>
        <color rgb="FF63BE7B"/>
        <color rgb="FFFFEB84"/>
        <color rgb="FFF8696B"/>
      </colorScale>
    </cfRule>
    <cfRule type="colorScale" priority="12437">
      <colorScale>
        <cfvo type="min"/>
        <cfvo type="percentile" val="50"/>
        <cfvo type="max"/>
        <color rgb="FF63BE7B"/>
        <color rgb="FFFFEB84"/>
        <color rgb="FFF8696B"/>
      </colorScale>
    </cfRule>
  </conditionalFormatting>
  <conditionalFormatting sqref="L81:L83">
    <cfRule type="colorScale" priority="12312">
      <colorScale>
        <cfvo type="min"/>
        <cfvo type="percentile" val="50"/>
        <cfvo type="max"/>
        <color rgb="FF63BE7B"/>
        <color rgb="FFFFEB84"/>
        <color rgb="FFF8696B"/>
      </colorScale>
    </cfRule>
    <cfRule type="colorScale" priority="12311">
      <colorScale>
        <cfvo type="min"/>
        <cfvo type="percentile" val="50"/>
        <cfvo type="max"/>
        <color rgb="FF63BE7B"/>
        <color rgb="FFFFEB84"/>
        <color rgb="FFF8696B"/>
      </colorScale>
    </cfRule>
  </conditionalFormatting>
  <conditionalFormatting sqref="L84:L91">
    <cfRule type="colorScale" priority="12206">
      <colorScale>
        <cfvo type="min"/>
        <cfvo type="percentile" val="50"/>
        <cfvo type="max"/>
        <color rgb="FF63BE7B"/>
        <color rgb="FFFFEB84"/>
        <color rgb="FFF8696B"/>
      </colorScale>
    </cfRule>
    <cfRule type="colorScale" priority="12208">
      <colorScale>
        <cfvo type="min"/>
        <cfvo type="percentile" val="50"/>
        <cfvo type="max"/>
        <color rgb="FF63BE7B"/>
        <color rgb="FFFFEB84"/>
        <color rgb="FFF8696B"/>
      </colorScale>
    </cfRule>
    <cfRule type="colorScale" priority="12209">
      <colorScale>
        <cfvo type="min"/>
        <cfvo type="percentile" val="50"/>
        <cfvo type="max"/>
        <color rgb="FF63BE7B"/>
        <color rgb="FFFFEB84"/>
        <color rgb="FFF8696B"/>
      </colorScale>
    </cfRule>
    <cfRule type="colorScale" priority="12166">
      <colorScale>
        <cfvo type="min"/>
        <cfvo type="percentile" val="50"/>
        <cfvo type="max"/>
        <color rgb="FF63BE7B"/>
        <color rgb="FFFFEB84"/>
        <color rgb="FFF8696B"/>
      </colorScale>
    </cfRule>
    <cfRule type="colorScale" priority="12163">
      <colorScale>
        <cfvo type="min"/>
        <cfvo type="percentile" val="50"/>
        <cfvo type="max"/>
        <color rgb="FF63BE7B"/>
        <color rgb="FFFFEB84"/>
        <color rgb="FFF8696B"/>
      </colorScale>
    </cfRule>
    <cfRule type="colorScale" priority="12165">
      <colorScale>
        <cfvo type="min"/>
        <cfvo type="percentile" val="50"/>
        <cfvo type="max"/>
        <color rgb="FF63BE7B"/>
        <color rgb="FFFFEB84"/>
        <color rgb="FFF8696B"/>
      </colorScale>
    </cfRule>
  </conditionalFormatting>
  <conditionalFormatting sqref="L86">
    <cfRule type="colorScale" priority="12207">
      <colorScale>
        <cfvo type="min"/>
        <cfvo type="percentile" val="50"/>
        <cfvo type="max"/>
        <color rgb="FF63BE7B"/>
        <color rgb="FFFFEB84"/>
        <color rgb="FFF8696B"/>
      </colorScale>
    </cfRule>
    <cfRule type="colorScale" priority="12164">
      <colorScale>
        <cfvo type="min"/>
        <cfvo type="percentile" val="50"/>
        <cfvo type="max"/>
        <color rgb="FF63BE7B"/>
        <color rgb="FFFFEB84"/>
        <color rgb="FFF8696B"/>
      </colorScale>
    </cfRule>
  </conditionalFormatting>
  <conditionalFormatting sqref="L96:L102">
    <cfRule type="colorScale" priority="11952">
      <colorScale>
        <cfvo type="min"/>
        <cfvo type="percentile" val="50"/>
        <cfvo type="max"/>
        <color rgb="FF63BE7B"/>
        <color rgb="FFFFEB84"/>
        <color rgb="FFF8696B"/>
      </colorScale>
    </cfRule>
    <cfRule type="colorScale" priority="11953">
      <colorScale>
        <cfvo type="min"/>
        <cfvo type="percentile" val="50"/>
        <cfvo type="max"/>
        <color rgb="FF63BE7B"/>
        <color rgb="FFFFEB84"/>
        <color rgb="FFF8696B"/>
      </colorScale>
    </cfRule>
    <cfRule type="colorScale" priority="11954">
      <colorScale>
        <cfvo type="min"/>
        <cfvo type="percentile" val="50"/>
        <cfvo type="max"/>
        <color rgb="FF63BE7B"/>
        <color rgb="FFFFEB84"/>
        <color rgb="FFF8696B"/>
      </colorScale>
    </cfRule>
  </conditionalFormatting>
  <conditionalFormatting sqref="L96:L111">
    <cfRule type="colorScale" priority="11991">
      <colorScale>
        <cfvo type="min"/>
        <cfvo type="percentile" val="50"/>
        <cfvo type="max"/>
        <color rgb="FF63BE7B"/>
        <color rgb="FFFFEB84"/>
        <color rgb="FFF8696B"/>
      </colorScale>
    </cfRule>
  </conditionalFormatting>
  <conditionalFormatting sqref="L96:L122">
    <cfRule type="colorScale" priority="12011">
      <colorScale>
        <cfvo type="min"/>
        <cfvo type="percentile" val="50"/>
        <cfvo type="max"/>
        <color rgb="FF63BE7B"/>
        <color rgb="FFFFEB84"/>
        <color rgb="FFF8696B"/>
      </colorScale>
    </cfRule>
  </conditionalFormatting>
  <conditionalFormatting sqref="L97:L102">
    <cfRule type="colorScale" priority="11955">
      <colorScale>
        <cfvo type="min"/>
        <cfvo type="percentile" val="50"/>
        <cfvo type="max"/>
        <color rgb="FF63BE7B"/>
        <color rgb="FFFFEB84"/>
        <color rgb="FFF8696B"/>
      </colorScale>
    </cfRule>
  </conditionalFormatting>
  <conditionalFormatting sqref="L103:L111">
    <cfRule type="colorScale" priority="11831">
      <colorScale>
        <cfvo type="min"/>
        <cfvo type="percentile" val="50"/>
        <cfvo type="max"/>
        <color rgb="FF63BE7B"/>
        <color rgb="FFFFEB84"/>
        <color rgb="FFF8696B"/>
      </colorScale>
    </cfRule>
    <cfRule type="colorScale" priority="11828">
      <colorScale>
        <cfvo type="min"/>
        <cfvo type="percentile" val="50"/>
        <cfvo type="max"/>
        <color rgb="FF63BE7B"/>
        <color rgb="FFFFEB84"/>
        <color rgb="FFF8696B"/>
      </colorScale>
    </cfRule>
    <cfRule type="colorScale" priority="11830">
      <colorScale>
        <cfvo type="min"/>
        <cfvo type="percentile" val="50"/>
        <cfvo type="max"/>
        <color rgb="FF63BE7B"/>
        <color rgb="FFFFEB84"/>
        <color rgb="FFF8696B"/>
      </colorScale>
    </cfRule>
    <cfRule type="colorScale" priority="11829">
      <colorScale>
        <cfvo type="min"/>
        <cfvo type="percentile" val="50"/>
        <cfvo type="max"/>
        <color rgb="FF63BE7B"/>
        <color rgb="FFFFEB84"/>
        <color rgb="FFF8696B"/>
      </colorScale>
    </cfRule>
  </conditionalFormatting>
  <conditionalFormatting sqref="L112:L114">
    <cfRule type="colorScale" priority="11708">
      <colorScale>
        <cfvo type="min"/>
        <cfvo type="percentile" val="50"/>
        <cfvo type="max"/>
        <color rgb="FF63BE7B"/>
        <color rgb="FFFFEB84"/>
        <color rgb="FFF8696B"/>
      </colorScale>
    </cfRule>
    <cfRule type="colorScale" priority="11709">
      <colorScale>
        <cfvo type="min"/>
        <cfvo type="percentile" val="50"/>
        <cfvo type="max"/>
        <color rgb="FF63BE7B"/>
        <color rgb="FFFFEB84"/>
        <color rgb="FFF8696B"/>
      </colorScale>
    </cfRule>
  </conditionalFormatting>
  <conditionalFormatting sqref="L115:L122">
    <cfRule type="colorScale" priority="11605">
      <colorScale>
        <cfvo type="min"/>
        <cfvo type="percentile" val="50"/>
        <cfvo type="max"/>
        <color rgb="FF63BE7B"/>
        <color rgb="FFFFEB84"/>
        <color rgb="FFF8696B"/>
      </colorScale>
    </cfRule>
    <cfRule type="colorScale" priority="11606">
      <colorScale>
        <cfvo type="min"/>
        <cfvo type="percentile" val="50"/>
        <cfvo type="max"/>
        <color rgb="FF63BE7B"/>
        <color rgb="FFFFEB84"/>
        <color rgb="FFF8696B"/>
      </colorScale>
    </cfRule>
    <cfRule type="colorScale" priority="11603">
      <colorScale>
        <cfvo type="min"/>
        <cfvo type="percentile" val="50"/>
        <cfvo type="max"/>
        <color rgb="FF63BE7B"/>
        <color rgb="FFFFEB84"/>
        <color rgb="FFF8696B"/>
      </colorScale>
    </cfRule>
    <cfRule type="colorScale" priority="11563">
      <colorScale>
        <cfvo type="min"/>
        <cfvo type="percentile" val="50"/>
        <cfvo type="max"/>
        <color rgb="FF63BE7B"/>
        <color rgb="FFFFEB84"/>
        <color rgb="FFF8696B"/>
      </colorScale>
    </cfRule>
    <cfRule type="colorScale" priority="11562">
      <colorScale>
        <cfvo type="min"/>
        <cfvo type="percentile" val="50"/>
        <cfvo type="max"/>
        <color rgb="FF63BE7B"/>
        <color rgb="FFFFEB84"/>
        <color rgb="FFF8696B"/>
      </colorScale>
    </cfRule>
    <cfRule type="colorScale" priority="11560">
      <colorScale>
        <cfvo type="min"/>
        <cfvo type="percentile" val="50"/>
        <cfvo type="max"/>
        <color rgb="FF63BE7B"/>
        <color rgb="FFFFEB84"/>
        <color rgb="FFF8696B"/>
      </colorScale>
    </cfRule>
  </conditionalFormatting>
  <conditionalFormatting sqref="L117">
    <cfRule type="colorScale" priority="11604">
      <colorScale>
        <cfvo type="min"/>
        <cfvo type="percentile" val="50"/>
        <cfvo type="max"/>
        <color rgb="FF63BE7B"/>
        <color rgb="FFFFEB84"/>
        <color rgb="FFF8696B"/>
      </colorScale>
    </cfRule>
    <cfRule type="colorScale" priority="11561">
      <colorScale>
        <cfvo type="min"/>
        <cfvo type="percentile" val="50"/>
        <cfvo type="max"/>
        <color rgb="FF63BE7B"/>
        <color rgb="FFFFEB84"/>
        <color rgb="FFF8696B"/>
      </colorScale>
    </cfRule>
  </conditionalFormatting>
  <conditionalFormatting sqref="M35:M37">
    <cfRule type="colorScale" priority="8165">
      <colorScale>
        <cfvo type="min"/>
        <cfvo type="percentile" val="50"/>
        <cfvo type="max"/>
        <color rgb="FF63BE7B"/>
        <color rgb="FFFFEB84"/>
        <color rgb="FFF8696B"/>
      </colorScale>
    </cfRule>
    <cfRule type="colorScale" priority="10411">
      <colorScale>
        <cfvo type="min"/>
        <cfvo type="percentile" val="50"/>
        <cfvo type="max"/>
        <color rgb="FF63BE7B"/>
        <color rgb="FFFFEB84"/>
        <color rgb="FFF8696B"/>
      </colorScale>
    </cfRule>
    <cfRule type="colorScale" priority="8164">
      <colorScale>
        <cfvo type="min"/>
        <cfvo type="percentile" val="50"/>
        <cfvo type="max"/>
        <color rgb="FF63BE7B"/>
        <color rgb="FFFFEB84"/>
        <color rgb="FFF8696B"/>
      </colorScale>
    </cfRule>
    <cfRule type="colorScale" priority="8163">
      <colorScale>
        <cfvo type="min"/>
        <cfvo type="percentile" val="50"/>
        <cfvo type="max"/>
        <color rgb="FF63BE7B"/>
        <color rgb="FFFFEB84"/>
        <color rgb="FFF8696B"/>
      </colorScale>
    </cfRule>
    <cfRule type="colorScale" priority="8162">
      <colorScale>
        <cfvo type="min"/>
        <cfvo type="percentile" val="50"/>
        <cfvo type="max"/>
        <color rgb="FF63BE7B"/>
        <color rgb="FFFFEB84"/>
        <color rgb="FFF8696B"/>
      </colorScale>
    </cfRule>
    <cfRule type="colorScale" priority="11344">
      <colorScale>
        <cfvo type="min"/>
        <cfvo type="percentile" val="50"/>
        <cfvo type="max"/>
        <color rgb="FF63BE7B"/>
        <color rgb="FFFFEB84"/>
        <color rgb="FFF8696B"/>
      </colorScale>
    </cfRule>
    <cfRule type="colorScale" priority="8141">
      <colorScale>
        <cfvo type="min"/>
        <cfvo type="percentile" val="50"/>
        <cfvo type="max"/>
        <color rgb="FF63BE7B"/>
        <color rgb="FFFFEB84"/>
        <color rgb="FFF8696B"/>
      </colorScale>
    </cfRule>
    <cfRule type="colorScale" priority="8140">
      <colorScale>
        <cfvo type="min"/>
        <cfvo type="percentile" val="50"/>
        <cfvo type="max"/>
        <color rgb="FF63BE7B"/>
        <color rgb="FFFFEB84"/>
        <color rgb="FFF8696B"/>
      </colorScale>
    </cfRule>
    <cfRule type="colorScale" priority="8138">
      <colorScale>
        <cfvo type="min"/>
        <cfvo type="percentile" val="50"/>
        <cfvo type="max"/>
        <color rgb="FF63BE7B"/>
        <color rgb="FFFFEB84"/>
        <color rgb="FFF8696B"/>
      </colorScale>
    </cfRule>
    <cfRule type="colorScale" priority="8137">
      <colorScale>
        <cfvo type="min"/>
        <cfvo type="percentile" val="50"/>
        <cfvo type="max"/>
        <color rgb="FF63BE7B"/>
        <color rgb="FFFFEB84"/>
        <color rgb="FFF8696B"/>
      </colorScale>
    </cfRule>
    <cfRule type="colorScale" priority="11345">
      <colorScale>
        <cfvo type="min"/>
        <cfvo type="percentile" val="50"/>
        <cfvo type="max"/>
        <color rgb="FF63BE7B"/>
        <color rgb="FFFFEB84"/>
        <color rgb="FFF8696B"/>
      </colorScale>
    </cfRule>
    <cfRule type="colorScale" priority="8135">
      <colorScale>
        <cfvo type="min"/>
        <cfvo type="percentile" val="50"/>
        <cfvo type="max"/>
        <color rgb="FF63BE7B"/>
        <color rgb="FFFFEB84"/>
        <color rgb="FFF8696B"/>
      </colorScale>
    </cfRule>
    <cfRule type="colorScale" priority="11346">
      <colorScale>
        <cfvo type="min"/>
        <cfvo type="percentile" val="50"/>
        <cfvo type="max"/>
        <color rgb="FF63BE7B"/>
        <color rgb="FFFFEB84"/>
        <color rgb="FFF8696B"/>
      </colorScale>
    </cfRule>
    <cfRule type="colorScale" priority="11350">
      <colorScale>
        <cfvo type="min"/>
        <cfvo type="percentile" val="50"/>
        <cfvo type="max"/>
        <color rgb="FF63BE7B"/>
        <color rgb="FFFFEB84"/>
        <color rgb="FFF8696B"/>
      </colorScale>
    </cfRule>
    <cfRule type="colorScale" priority="8154">
      <colorScale>
        <cfvo type="min"/>
        <cfvo type="percentile" val="50"/>
        <cfvo type="max"/>
        <color rgb="FF63BE7B"/>
        <color rgb="FFFFEB84"/>
        <color rgb="FFF8696B"/>
      </colorScale>
    </cfRule>
    <cfRule type="colorScale" priority="10400">
      <colorScale>
        <cfvo type="min"/>
        <cfvo type="percentile" val="50"/>
        <cfvo type="max"/>
        <color rgb="FF63BE7B"/>
        <color rgb="FFFFEB84"/>
        <color rgb="FFF8696B"/>
      </colorScale>
    </cfRule>
    <cfRule type="colorScale" priority="10408">
      <colorScale>
        <cfvo type="min"/>
        <cfvo type="percentile" val="50"/>
        <cfvo type="max"/>
        <color rgb="FF63BE7B"/>
        <color rgb="FFFFEB84"/>
        <color rgb="FFF8696B"/>
      </colorScale>
    </cfRule>
    <cfRule type="colorScale" priority="10413">
      <colorScale>
        <cfvo type="min"/>
        <cfvo type="percentile" val="50"/>
        <cfvo type="max"/>
        <color rgb="FF63BE7B"/>
        <color rgb="FFFFEB84"/>
        <color rgb="FFF8696B"/>
      </colorScale>
    </cfRule>
    <cfRule type="colorScale" priority="10409">
      <colorScale>
        <cfvo type="min"/>
        <cfvo type="percentile" val="50"/>
        <cfvo type="max"/>
        <color rgb="FF63BE7B"/>
        <color rgb="FFFFEB84"/>
        <color rgb="FFF8696B"/>
      </colorScale>
    </cfRule>
    <cfRule type="colorScale" priority="8127">
      <colorScale>
        <cfvo type="min"/>
        <cfvo type="percentile" val="50"/>
        <cfvo type="max"/>
        <color rgb="FF63BE7B"/>
        <color rgb="FFFFEB84"/>
        <color rgb="FFF8696B"/>
      </colorScale>
    </cfRule>
    <cfRule type="colorScale" priority="11347">
      <colorScale>
        <cfvo type="min"/>
        <cfvo type="percentile" val="50"/>
        <cfvo type="max"/>
        <color rgb="FF63BE7B"/>
        <color rgb="FFFFEB84"/>
        <color rgb="FFF8696B"/>
      </colorScale>
    </cfRule>
    <cfRule type="colorScale" priority="11349">
      <colorScale>
        <cfvo type="min"/>
        <cfvo type="percentile" val="50"/>
        <cfvo type="max"/>
        <color rgb="FF63BE7B"/>
        <color rgb="FFFFEB84"/>
        <color rgb="FFF8696B"/>
      </colorScale>
    </cfRule>
    <cfRule type="colorScale" priority="10414">
      <colorScale>
        <cfvo type="min"/>
        <cfvo type="percentile" val="50"/>
        <cfvo type="max"/>
        <color rgb="FF63BE7B"/>
        <color rgb="FFFFEB84"/>
        <color rgb="FFF8696B"/>
      </colorScale>
    </cfRule>
    <cfRule type="colorScale" priority="8167">
      <colorScale>
        <cfvo type="min"/>
        <cfvo type="percentile" val="50"/>
        <cfvo type="max"/>
        <color rgb="FF63BE7B"/>
        <color rgb="FFFFEB84"/>
        <color rgb="FFF8696B"/>
      </colorScale>
    </cfRule>
    <cfRule type="colorScale" priority="8168">
      <colorScale>
        <cfvo type="min"/>
        <cfvo type="percentile" val="50"/>
        <cfvo type="max"/>
        <color rgb="FF63BE7B"/>
        <color rgb="FFFFEB84"/>
        <color rgb="FFF8696B"/>
      </colorScale>
    </cfRule>
    <cfRule type="colorScale" priority="10410">
      <colorScale>
        <cfvo type="min"/>
        <cfvo type="percentile" val="50"/>
        <cfvo type="max"/>
        <color rgb="FF63BE7B"/>
        <color rgb="FFFFEB84"/>
        <color rgb="FFF8696B"/>
      </colorScale>
    </cfRule>
    <cfRule type="colorScale" priority="11216">
      <colorScale>
        <cfvo type="min"/>
        <cfvo type="percentile" val="50"/>
        <cfvo type="max"/>
        <color rgb="FF63BE7B"/>
        <color rgb="FFFFEB84"/>
        <color rgb="FFF8696B"/>
      </colorScale>
    </cfRule>
    <cfRule type="colorScale" priority="8136">
      <colorScale>
        <cfvo type="min"/>
        <cfvo type="percentile" val="50"/>
        <cfvo type="max"/>
        <color rgb="FF63BE7B"/>
        <color rgb="FFFFEB84"/>
        <color rgb="FFF8696B"/>
      </colorScale>
    </cfRule>
  </conditionalFormatting>
  <conditionalFormatting sqref="M35:M41">
    <cfRule type="colorScale" priority="8158">
      <colorScale>
        <cfvo type="min"/>
        <cfvo type="percentile" val="50"/>
        <cfvo type="max"/>
        <color rgb="FF63BE7B"/>
        <color rgb="FFFFEB84"/>
        <color rgb="FFF8696B"/>
      </colorScale>
    </cfRule>
    <cfRule type="colorScale" priority="8157">
      <colorScale>
        <cfvo type="min"/>
        <cfvo type="percentile" val="50"/>
        <cfvo type="max"/>
        <color rgb="FF63BE7B"/>
        <color rgb="FFFFEB84"/>
        <color rgb="FFF8696B"/>
      </colorScale>
    </cfRule>
    <cfRule type="colorScale" priority="8156">
      <colorScale>
        <cfvo type="min"/>
        <cfvo type="percentile" val="50"/>
        <cfvo type="max"/>
        <color rgb="FF63BE7B"/>
        <color rgb="FFFFEB84"/>
        <color rgb="FFF8696B"/>
      </colorScale>
    </cfRule>
    <cfRule type="colorScale" priority="10403">
      <colorScale>
        <cfvo type="min"/>
        <cfvo type="percentile" val="50"/>
        <cfvo type="max"/>
        <color rgb="FF63BE7B"/>
        <color rgb="FFFFEB84"/>
        <color rgb="FFF8696B"/>
      </colorScale>
    </cfRule>
    <cfRule type="colorScale" priority="10402">
      <colorScale>
        <cfvo type="min"/>
        <cfvo type="percentile" val="50"/>
        <cfvo type="max"/>
        <color rgb="FF63BE7B"/>
        <color rgb="FFFFEB84"/>
        <color rgb="FFF8696B"/>
      </colorScale>
    </cfRule>
    <cfRule type="colorScale" priority="10401">
      <colorScale>
        <cfvo type="min"/>
        <cfvo type="percentile" val="50"/>
        <cfvo type="max"/>
        <color rgb="FF63BE7B"/>
        <color rgb="FFFFEB84"/>
        <color rgb="FFF8696B"/>
      </colorScale>
    </cfRule>
    <cfRule type="colorScale" priority="10399">
      <colorScale>
        <cfvo type="min"/>
        <cfvo type="percentile" val="50"/>
        <cfvo type="max"/>
        <color rgb="FF63BE7B"/>
        <color rgb="FFFFEB84"/>
        <color rgb="FFF8696B"/>
      </colorScale>
    </cfRule>
    <cfRule type="colorScale" priority="11214">
      <colorScale>
        <cfvo type="min"/>
        <cfvo type="percentile" val="50"/>
        <cfvo type="max"/>
        <color rgb="FF63BE7B"/>
        <color rgb="FFFFEB84"/>
        <color rgb="FFF8696B"/>
      </colorScale>
    </cfRule>
    <cfRule type="colorScale" priority="11215">
      <colorScale>
        <cfvo type="min"/>
        <cfvo type="percentile" val="50"/>
        <cfvo type="max"/>
        <color rgb="FF63BE7B"/>
        <color rgb="FFFFEB84"/>
        <color rgb="FFF8696B"/>
      </colorScale>
    </cfRule>
    <cfRule type="colorScale" priority="11218">
      <colorScale>
        <cfvo type="min"/>
        <cfvo type="percentile" val="50"/>
        <cfvo type="max"/>
        <color rgb="FF63BE7B"/>
        <color rgb="FFFFEB84"/>
        <color rgb="FFF8696B"/>
      </colorScale>
    </cfRule>
    <cfRule type="colorScale" priority="11219">
      <colorScale>
        <cfvo type="min"/>
        <cfvo type="percentile" val="50"/>
        <cfvo type="max"/>
        <color rgb="FF63BE7B"/>
        <color rgb="FFFFEB84"/>
        <color rgb="FFF8696B"/>
      </colorScale>
    </cfRule>
    <cfRule type="colorScale" priority="11220">
      <colorScale>
        <cfvo type="min"/>
        <cfvo type="percentile" val="50"/>
        <cfvo type="max"/>
        <color rgb="FF63BE7B"/>
        <color rgb="FFFFEB84"/>
        <color rgb="FFF8696B"/>
      </colorScale>
    </cfRule>
    <cfRule type="colorScale" priority="11221">
      <colorScale>
        <cfvo type="min"/>
        <cfvo type="percentile" val="50"/>
        <cfvo type="max"/>
        <color rgb="FF63BE7B"/>
        <color rgb="FFFFEB84"/>
        <color rgb="FFF8696B"/>
      </colorScale>
    </cfRule>
    <cfRule type="colorScale" priority="11222">
      <colorScale>
        <cfvo type="min"/>
        <cfvo type="percentile" val="50"/>
        <cfvo type="max"/>
        <color rgb="FF63BE7B"/>
        <color rgb="FFFFEB84"/>
        <color rgb="FFF8696B"/>
      </colorScale>
    </cfRule>
    <cfRule type="colorScale" priority="11223">
      <colorScale>
        <cfvo type="min"/>
        <cfvo type="percentile" val="50"/>
        <cfvo type="max"/>
        <color rgb="FF63BE7B"/>
        <color rgb="FFFFEB84"/>
        <color rgb="FFF8696B"/>
      </colorScale>
    </cfRule>
    <cfRule type="colorScale" priority="8171">
      <colorScale>
        <cfvo type="min"/>
        <cfvo type="percentile" val="50"/>
        <cfvo type="max"/>
        <color rgb="FF63BE7B"/>
        <color rgb="FFFFEB84"/>
        <color rgb="FFF8696B"/>
      </colorScale>
    </cfRule>
    <cfRule type="colorScale" priority="10424">
      <colorScale>
        <cfvo type="min"/>
        <cfvo type="percentile" val="50"/>
        <cfvo type="max"/>
        <color rgb="FF63BE7B"/>
        <color rgb="FFFFEB84"/>
        <color rgb="FFF8696B"/>
      </colorScale>
    </cfRule>
    <cfRule type="colorScale" priority="8155">
      <colorScale>
        <cfvo type="min"/>
        <cfvo type="percentile" val="50"/>
        <cfvo type="max"/>
        <color rgb="FF63BE7B"/>
        <color rgb="FFFFEB84"/>
        <color rgb="FFF8696B"/>
      </colorScale>
    </cfRule>
    <cfRule type="colorScale" priority="10423">
      <colorScale>
        <cfvo type="min"/>
        <cfvo type="percentile" val="50"/>
        <cfvo type="max"/>
        <color rgb="FF63BE7B"/>
        <color rgb="FFFFEB84"/>
        <color rgb="FFF8696B"/>
      </colorScale>
    </cfRule>
    <cfRule type="colorScale" priority="8153">
      <colorScale>
        <cfvo type="min"/>
        <cfvo type="percentile" val="50"/>
        <cfvo type="max"/>
        <color rgb="FF63BE7B"/>
        <color rgb="FFFFEB84"/>
        <color rgb="FFF8696B"/>
      </colorScale>
    </cfRule>
    <cfRule type="colorScale" priority="8152">
      <colorScale>
        <cfvo type="min"/>
        <cfvo type="percentile" val="50"/>
        <cfvo type="max"/>
        <color rgb="FF63BE7B"/>
        <color rgb="FFFFEB84"/>
        <color rgb="FFF8696B"/>
      </colorScale>
    </cfRule>
    <cfRule type="colorScale" priority="8151">
      <colorScale>
        <cfvo type="min"/>
        <cfvo type="percentile" val="50"/>
        <cfvo type="max"/>
        <color rgb="FF63BE7B"/>
        <color rgb="FFFFEB84"/>
        <color rgb="FFF8696B"/>
      </colorScale>
    </cfRule>
    <cfRule type="colorScale" priority="8150">
      <colorScale>
        <cfvo type="min"/>
        <cfvo type="percentile" val="50"/>
        <cfvo type="max"/>
        <color rgb="FF63BE7B"/>
        <color rgb="FFFFEB84"/>
        <color rgb="FFF8696B"/>
      </colorScale>
    </cfRule>
    <cfRule type="colorScale" priority="8172">
      <colorScale>
        <cfvo type="min"/>
        <cfvo type="percentile" val="50"/>
        <cfvo type="max"/>
        <color rgb="FF63BE7B"/>
        <color rgb="FFFFEB84"/>
        <color rgb="FFF8696B"/>
      </colorScale>
    </cfRule>
    <cfRule type="colorScale" priority="8173">
      <colorScale>
        <cfvo type="min"/>
        <cfvo type="percentile" val="50"/>
        <cfvo type="max"/>
        <color rgb="FF63BE7B"/>
        <color rgb="FFFFEB84"/>
        <color rgb="FFF8696B"/>
      </colorScale>
    </cfRule>
    <cfRule type="colorScale" priority="8174">
      <colorScale>
        <cfvo type="min"/>
        <cfvo type="percentile" val="50"/>
        <cfvo type="max"/>
        <color rgb="FF63BE7B"/>
        <color rgb="FFFFEB84"/>
        <color rgb="FFF8696B"/>
      </colorScale>
    </cfRule>
    <cfRule type="colorScale" priority="8148">
      <colorScale>
        <cfvo type="min"/>
        <cfvo type="percentile" val="50"/>
        <cfvo type="max"/>
        <color rgb="FF63BE7B"/>
        <color rgb="FFFFEB84"/>
        <color rgb="FFF8696B"/>
      </colorScale>
    </cfRule>
    <cfRule type="colorScale" priority="8175">
      <colorScale>
        <cfvo type="min"/>
        <cfvo type="percentile" val="50"/>
        <cfvo type="max"/>
        <color rgb="FF63BE7B"/>
        <color rgb="FFFFEB84"/>
        <color rgb="FFF8696B"/>
      </colorScale>
    </cfRule>
    <cfRule type="colorScale" priority="8147">
      <colorScale>
        <cfvo type="min"/>
        <cfvo type="percentile" val="50"/>
        <cfvo type="max"/>
        <color rgb="FF63BE7B"/>
        <color rgb="FFFFEB84"/>
        <color rgb="FFF8696B"/>
      </colorScale>
    </cfRule>
    <cfRule type="colorScale" priority="8146">
      <colorScale>
        <cfvo type="min"/>
        <cfvo type="percentile" val="50"/>
        <cfvo type="max"/>
        <color rgb="FF63BE7B"/>
        <color rgb="FFFFEB84"/>
        <color rgb="FFF8696B"/>
      </colorScale>
    </cfRule>
    <cfRule type="colorScale" priority="8145">
      <colorScale>
        <cfvo type="min"/>
        <cfvo type="percentile" val="50"/>
        <cfvo type="max"/>
        <color rgb="FF63BE7B"/>
        <color rgb="FFFFEB84"/>
        <color rgb="FFF8696B"/>
      </colorScale>
    </cfRule>
    <cfRule type="colorScale" priority="8144">
      <colorScale>
        <cfvo type="min"/>
        <cfvo type="percentile" val="50"/>
        <cfvo type="max"/>
        <color rgb="FF63BE7B"/>
        <color rgb="FFFFEB84"/>
        <color rgb="FFF8696B"/>
      </colorScale>
    </cfRule>
    <cfRule type="colorScale" priority="8143">
      <colorScale>
        <cfvo type="min"/>
        <cfvo type="percentile" val="50"/>
        <cfvo type="max"/>
        <color rgb="FF63BE7B"/>
        <color rgb="FFFFEB84"/>
        <color rgb="FFF8696B"/>
      </colorScale>
    </cfRule>
    <cfRule type="colorScale" priority="8142">
      <colorScale>
        <cfvo type="min"/>
        <cfvo type="percentile" val="50"/>
        <cfvo type="max"/>
        <color rgb="FF63BE7B"/>
        <color rgb="FFFFEB84"/>
        <color rgb="FFF8696B"/>
      </colorScale>
    </cfRule>
    <cfRule type="colorScale" priority="8177">
      <colorScale>
        <cfvo type="min"/>
        <cfvo type="percentile" val="50"/>
        <cfvo type="max"/>
        <color rgb="FF63BE7B"/>
        <color rgb="FFFFEB84"/>
        <color rgb="FFF8696B"/>
      </colorScale>
    </cfRule>
    <cfRule type="colorScale" priority="8178">
      <colorScale>
        <cfvo type="min"/>
        <cfvo type="percentile" val="50"/>
        <cfvo type="max"/>
        <color rgb="FF63BE7B"/>
        <color rgb="FFFFEB84"/>
        <color rgb="FFF8696B"/>
      </colorScale>
    </cfRule>
    <cfRule type="colorScale" priority="11217">
      <colorScale>
        <cfvo type="min"/>
        <cfvo type="percentile" val="50"/>
        <cfvo type="max"/>
        <color rgb="FF63BE7B"/>
        <color rgb="FFFFEB84"/>
        <color rgb="FFF8696B"/>
      </colorScale>
    </cfRule>
    <cfRule type="colorScale" priority="8169">
      <colorScale>
        <cfvo type="min"/>
        <cfvo type="percentile" val="50"/>
        <cfvo type="max"/>
        <color rgb="FF63BE7B"/>
        <color rgb="FFFFEB84"/>
        <color rgb="FFF8696B"/>
      </colorScale>
    </cfRule>
    <cfRule type="colorScale" priority="10421">
      <colorScale>
        <cfvo type="min"/>
        <cfvo type="percentile" val="50"/>
        <cfvo type="max"/>
        <color rgb="FF63BE7B"/>
        <color rgb="FFFFEB84"/>
        <color rgb="FFF8696B"/>
      </colorScale>
    </cfRule>
    <cfRule type="colorScale" priority="10420">
      <colorScale>
        <cfvo type="min"/>
        <cfvo type="percentile" val="50"/>
        <cfvo type="max"/>
        <color rgb="FF63BE7B"/>
        <color rgb="FFFFEB84"/>
        <color rgb="FFF8696B"/>
      </colorScale>
    </cfRule>
    <cfRule type="colorScale" priority="8134">
      <colorScale>
        <cfvo type="min"/>
        <cfvo type="percentile" val="50"/>
        <cfvo type="max"/>
        <color rgb="FF63BE7B"/>
        <color rgb="FFFFEB84"/>
        <color rgb="FFF8696B"/>
      </colorScale>
    </cfRule>
    <cfRule type="colorScale" priority="8133">
      <colorScale>
        <cfvo type="min"/>
        <cfvo type="percentile" val="50"/>
        <cfvo type="max"/>
        <color rgb="FF63BE7B"/>
        <color rgb="FFFFEB84"/>
        <color rgb="FFF8696B"/>
      </colorScale>
    </cfRule>
    <cfRule type="colorScale" priority="8132">
      <colorScale>
        <cfvo type="min"/>
        <cfvo type="percentile" val="50"/>
        <cfvo type="max"/>
        <color rgb="FF63BE7B"/>
        <color rgb="FFFFEB84"/>
        <color rgb="FFF8696B"/>
      </colorScale>
    </cfRule>
    <cfRule type="colorScale" priority="10418">
      <colorScale>
        <cfvo type="min"/>
        <cfvo type="percentile" val="50"/>
        <cfvo type="max"/>
        <color rgb="FF63BE7B"/>
        <color rgb="FFFFEB84"/>
        <color rgb="FFF8696B"/>
      </colorScale>
    </cfRule>
    <cfRule type="colorScale" priority="8131">
      <colorScale>
        <cfvo type="min"/>
        <cfvo type="percentile" val="50"/>
        <cfvo type="max"/>
        <color rgb="FF63BE7B"/>
        <color rgb="FFFFEB84"/>
        <color rgb="FFF8696B"/>
      </colorScale>
    </cfRule>
    <cfRule type="colorScale" priority="8130">
      <colorScale>
        <cfvo type="min"/>
        <cfvo type="percentile" val="50"/>
        <cfvo type="max"/>
        <color rgb="FF63BE7B"/>
        <color rgb="FFFFEB84"/>
        <color rgb="FFF8696B"/>
      </colorScale>
    </cfRule>
    <cfRule type="colorScale" priority="8129">
      <colorScale>
        <cfvo type="min"/>
        <cfvo type="percentile" val="50"/>
        <cfvo type="max"/>
        <color rgb="FF63BE7B"/>
        <color rgb="FFFFEB84"/>
        <color rgb="FFF8696B"/>
      </colorScale>
    </cfRule>
    <cfRule type="colorScale" priority="8128">
      <colorScale>
        <cfvo type="min"/>
        <cfvo type="percentile" val="50"/>
        <cfvo type="max"/>
        <color rgb="FF63BE7B"/>
        <color rgb="FFFFEB84"/>
        <color rgb="FFF8696B"/>
      </colorScale>
    </cfRule>
    <cfRule type="colorScale" priority="10417">
      <colorScale>
        <cfvo type="min"/>
        <cfvo type="percentile" val="50"/>
        <cfvo type="max"/>
        <color rgb="FF63BE7B"/>
        <color rgb="FFFFEB84"/>
        <color rgb="FFF8696B"/>
      </colorScale>
    </cfRule>
    <cfRule type="colorScale" priority="13173">
      <colorScale>
        <cfvo type="min"/>
        <cfvo type="percentile" val="50"/>
        <cfvo type="max"/>
        <color rgb="FF63BE7B"/>
        <color rgb="FFFFEB84"/>
        <color rgb="FFF8696B"/>
      </colorScale>
    </cfRule>
    <cfRule type="colorScale" priority="13172">
      <colorScale>
        <cfvo type="min"/>
        <cfvo type="percentile" val="50"/>
        <cfvo type="max"/>
        <color rgb="FF63BE7B"/>
        <color rgb="FFFFEB84"/>
        <color rgb="FFF8696B"/>
      </colorScale>
    </cfRule>
    <cfRule type="colorScale" priority="13171">
      <colorScale>
        <cfvo type="min"/>
        <cfvo type="percentile" val="50"/>
        <cfvo type="max"/>
        <color rgb="FF63BE7B"/>
        <color rgb="FFFFEB84"/>
        <color rgb="FFF8696B"/>
      </colorScale>
    </cfRule>
    <cfRule type="colorScale" priority="10416">
      <colorScale>
        <cfvo type="min"/>
        <cfvo type="percentile" val="50"/>
        <cfvo type="max"/>
        <color rgb="FF63BE7B"/>
        <color rgb="FFFFEB84"/>
        <color rgb="FFF8696B"/>
      </colorScale>
    </cfRule>
    <cfRule type="colorScale" priority="10415">
      <colorScale>
        <cfvo type="min"/>
        <cfvo type="percentile" val="50"/>
        <cfvo type="max"/>
        <color rgb="FF63BE7B"/>
        <color rgb="FFFFEB84"/>
        <color rgb="FFF8696B"/>
      </colorScale>
    </cfRule>
    <cfRule type="colorScale" priority="10405">
      <colorScale>
        <cfvo type="min"/>
        <cfvo type="percentile" val="50"/>
        <cfvo type="max"/>
        <color rgb="FF63BE7B"/>
        <color rgb="FFFFEB84"/>
        <color rgb="FFF8696B"/>
      </colorScale>
    </cfRule>
    <cfRule type="colorScale" priority="8126">
      <colorScale>
        <cfvo type="min"/>
        <cfvo type="percentile" val="50"/>
        <cfvo type="max"/>
        <color rgb="FF63BE7B"/>
        <color rgb="FFFFEB84"/>
        <color rgb="FFF8696B"/>
      </colorScale>
    </cfRule>
    <cfRule type="colorScale" priority="8125">
      <colorScale>
        <cfvo type="min"/>
        <cfvo type="percentile" val="50"/>
        <cfvo type="max"/>
        <color rgb="FF63BE7B"/>
        <color rgb="FFFFEB84"/>
        <color rgb="FFF8696B"/>
      </colorScale>
    </cfRule>
    <cfRule type="colorScale" priority="8170">
      <colorScale>
        <cfvo type="min"/>
        <cfvo type="percentile" val="50"/>
        <cfvo type="max"/>
        <color rgb="FF63BE7B"/>
        <color rgb="FFFFEB84"/>
        <color rgb="FFF8696B"/>
      </colorScale>
    </cfRule>
    <cfRule type="colorScale" priority="10419">
      <colorScale>
        <cfvo type="min"/>
        <cfvo type="percentile" val="50"/>
        <cfvo type="max"/>
        <color rgb="FF63BE7B"/>
        <color rgb="FFFFEB84"/>
        <color rgb="FFF8696B"/>
      </colorScale>
    </cfRule>
    <cfRule type="colorScale" priority="10407">
      <colorScale>
        <cfvo type="min"/>
        <cfvo type="percentile" val="50"/>
        <cfvo type="max"/>
        <color rgb="FF63BE7B"/>
        <color rgb="FFFFEB84"/>
        <color rgb="FFF8696B"/>
      </colorScale>
    </cfRule>
    <cfRule type="colorScale" priority="10406">
      <colorScale>
        <cfvo type="min"/>
        <cfvo type="percentile" val="50"/>
        <cfvo type="max"/>
        <color rgb="FF63BE7B"/>
        <color rgb="FFFFEB84"/>
        <color rgb="FFF8696B"/>
      </colorScale>
    </cfRule>
    <cfRule type="colorScale" priority="10404">
      <colorScale>
        <cfvo type="min"/>
        <cfvo type="percentile" val="50"/>
        <cfvo type="max"/>
        <color rgb="FF63BE7B"/>
        <color rgb="FFFFEB84"/>
        <color rgb="FFF8696B"/>
      </colorScale>
    </cfRule>
    <cfRule type="colorScale" priority="8161">
      <colorScale>
        <cfvo type="min"/>
        <cfvo type="percentile" val="50"/>
        <cfvo type="max"/>
        <color rgb="FF63BE7B"/>
        <color rgb="FFFFEB84"/>
        <color rgb="FFF8696B"/>
      </colorScale>
    </cfRule>
    <cfRule type="colorScale" priority="8160">
      <colorScale>
        <cfvo type="min"/>
        <cfvo type="percentile" val="50"/>
        <cfvo type="max"/>
        <color rgb="FF63BE7B"/>
        <color rgb="FFFFEB84"/>
        <color rgb="FFF8696B"/>
      </colorScale>
    </cfRule>
    <cfRule type="colorScale" priority="8159">
      <colorScale>
        <cfvo type="min"/>
        <cfvo type="percentile" val="50"/>
        <cfvo type="max"/>
        <color rgb="FF63BE7B"/>
        <color rgb="FFFFEB84"/>
        <color rgb="FFF8696B"/>
      </colorScale>
    </cfRule>
    <cfRule type="colorScale" priority="10398">
      <colorScale>
        <cfvo type="min"/>
        <cfvo type="percentile" val="50"/>
        <cfvo type="max"/>
        <color rgb="FF63BE7B"/>
        <color rgb="FFFFEB84"/>
        <color rgb="FFF8696B"/>
      </colorScale>
    </cfRule>
  </conditionalFormatting>
  <conditionalFormatting sqref="M36:M37">
    <cfRule type="colorScale" priority="11348">
      <colorScale>
        <cfvo type="min"/>
        <cfvo type="percentile" val="50"/>
        <cfvo type="max"/>
        <color rgb="FF63BE7B"/>
        <color rgb="FFFFEB84"/>
        <color rgb="FFF8696B"/>
      </colorScale>
    </cfRule>
    <cfRule type="colorScale" priority="8139">
      <colorScale>
        <cfvo type="min"/>
        <cfvo type="percentile" val="50"/>
        <cfvo type="max"/>
        <color rgb="FF63BE7B"/>
        <color rgb="FFFFEB84"/>
        <color rgb="FFF8696B"/>
      </colorScale>
    </cfRule>
    <cfRule type="colorScale" priority="8166">
      <colorScale>
        <cfvo type="min"/>
        <cfvo type="percentile" val="50"/>
        <cfvo type="max"/>
        <color rgb="FF63BE7B"/>
        <color rgb="FFFFEB84"/>
        <color rgb="FFF8696B"/>
      </colorScale>
    </cfRule>
    <cfRule type="colorScale" priority="10412">
      <colorScale>
        <cfvo type="min"/>
        <cfvo type="percentile" val="50"/>
        <cfvo type="max"/>
        <color rgb="FF63BE7B"/>
        <color rgb="FFFFEB84"/>
        <color rgb="FFF8696B"/>
      </colorScale>
    </cfRule>
  </conditionalFormatting>
  <conditionalFormatting sqref="M36:M41">
    <cfRule type="colorScale" priority="13174">
      <colorScale>
        <cfvo type="min"/>
        <cfvo type="percentile" val="50"/>
        <cfvo type="max"/>
        <color rgb="FF63BE7B"/>
        <color rgb="FFFFEB84"/>
        <color rgb="FFF8696B"/>
      </colorScale>
    </cfRule>
    <cfRule type="colorScale" priority="8149">
      <colorScale>
        <cfvo type="min"/>
        <cfvo type="percentile" val="50"/>
        <cfvo type="max"/>
        <color rgb="FF63BE7B"/>
        <color rgb="FFFFEB84"/>
        <color rgb="FFF8696B"/>
      </colorScale>
    </cfRule>
    <cfRule type="colorScale" priority="10422">
      <colorScale>
        <cfvo type="min"/>
        <cfvo type="percentile" val="50"/>
        <cfvo type="max"/>
        <color rgb="FF63BE7B"/>
        <color rgb="FFFFEB84"/>
        <color rgb="FFF8696B"/>
      </colorScale>
    </cfRule>
    <cfRule type="colorScale" priority="8176">
      <colorScale>
        <cfvo type="min"/>
        <cfvo type="percentile" val="50"/>
        <cfvo type="max"/>
        <color rgb="FF63BE7B"/>
        <color rgb="FFFFEB84"/>
        <color rgb="FFF8696B"/>
      </colorScale>
    </cfRule>
  </conditionalFormatting>
  <conditionalFormatting sqref="M42:M50">
    <cfRule type="colorScale" priority="7463">
      <colorScale>
        <cfvo type="min"/>
        <cfvo type="percentile" val="50"/>
        <cfvo type="max"/>
        <color rgb="FF63BE7B"/>
        <color rgb="FFFFEB84"/>
        <color rgb="FFF8696B"/>
      </colorScale>
    </cfRule>
  </conditionalFormatting>
  <conditionalFormatting sqref="M51:M53">
    <cfRule type="colorScale" priority="4558">
      <colorScale>
        <cfvo type="min"/>
        <cfvo type="percentile" val="50"/>
        <cfvo type="max"/>
        <color rgb="FF63BE7B"/>
        <color rgb="FFFFEB84"/>
        <color rgb="FFF8696B"/>
      </colorScale>
    </cfRule>
    <cfRule type="colorScale" priority="4585">
      <colorScale>
        <cfvo type="min"/>
        <cfvo type="percentile" val="50"/>
        <cfvo type="max"/>
        <color rgb="FF63BE7B"/>
        <color rgb="FFFFEB84"/>
        <color rgb="FFF8696B"/>
      </colorScale>
    </cfRule>
    <cfRule type="colorScale" priority="4586">
      <colorScale>
        <cfvo type="min"/>
        <cfvo type="percentile" val="50"/>
        <cfvo type="max"/>
        <color rgb="FF63BE7B"/>
        <color rgb="FFFFEB84"/>
        <color rgb="FFF8696B"/>
      </colorScale>
    </cfRule>
    <cfRule type="colorScale" priority="12924">
      <colorScale>
        <cfvo type="min"/>
        <cfvo type="percentile" val="50"/>
        <cfvo type="max"/>
        <color rgb="FF63BE7B"/>
        <color rgb="FFFFEB84"/>
        <color rgb="FFF8696B"/>
      </colorScale>
    </cfRule>
    <cfRule type="colorScale" priority="12925">
      <colorScale>
        <cfvo type="min"/>
        <cfvo type="percentile" val="50"/>
        <cfvo type="max"/>
        <color rgb="FF63BE7B"/>
        <color rgb="FFFFEB84"/>
        <color rgb="FFF8696B"/>
      </colorScale>
    </cfRule>
  </conditionalFormatting>
  <conditionalFormatting sqref="M52:M53">
    <cfRule type="colorScale" priority="6434">
      <colorScale>
        <cfvo type="min"/>
        <cfvo type="percentile" val="50"/>
        <cfvo type="max"/>
        <color rgb="FF63BE7B"/>
        <color rgb="FFFFEB84"/>
        <color rgb="FFF8696B"/>
      </colorScale>
    </cfRule>
    <cfRule type="colorScale" priority="6433">
      <colorScale>
        <cfvo type="min"/>
        <cfvo type="percentile" val="50"/>
        <cfvo type="max"/>
        <color rgb="FF63BE7B"/>
        <color rgb="FFFFEB84"/>
        <color rgb="FFF8696B"/>
      </colorScale>
    </cfRule>
    <cfRule type="colorScale" priority="4584">
      <colorScale>
        <cfvo type="min"/>
        <cfvo type="percentile" val="50"/>
        <cfvo type="max"/>
        <color rgb="FF63BE7B"/>
        <color rgb="FFFFEB84"/>
        <color rgb="FFF8696B"/>
      </colorScale>
    </cfRule>
    <cfRule type="colorScale" priority="5114">
      <colorScale>
        <cfvo type="min"/>
        <cfvo type="percentile" val="50"/>
        <cfvo type="max"/>
        <color rgb="FF63BE7B"/>
        <color rgb="FFFFEB84"/>
        <color rgb="FFF8696B"/>
      </colorScale>
    </cfRule>
    <cfRule type="colorScale" priority="6432">
      <colorScale>
        <cfvo type="min"/>
        <cfvo type="percentile" val="50"/>
        <cfvo type="max"/>
        <color rgb="FF63BE7B"/>
        <color rgb="FFFFEB84"/>
        <color rgb="FFF8696B"/>
      </colorScale>
    </cfRule>
    <cfRule type="colorScale" priority="6431">
      <colorScale>
        <cfvo type="min"/>
        <cfvo type="percentile" val="50"/>
        <cfvo type="max"/>
        <color rgb="FF63BE7B"/>
        <color rgb="FFFFEB84"/>
        <color rgb="FFF8696B"/>
      </colorScale>
    </cfRule>
    <cfRule type="colorScale" priority="6430">
      <colorScale>
        <cfvo type="min"/>
        <cfvo type="percentile" val="50"/>
        <cfvo type="max"/>
        <color rgb="FF63BE7B"/>
        <color rgb="FFFFEB84"/>
        <color rgb="FFF8696B"/>
      </colorScale>
    </cfRule>
    <cfRule type="colorScale" priority="6429">
      <colorScale>
        <cfvo type="min"/>
        <cfvo type="percentile" val="50"/>
        <cfvo type="max"/>
        <color rgb="FF63BE7B"/>
        <color rgb="FFFFEB84"/>
        <color rgb="FFF8696B"/>
      </colorScale>
    </cfRule>
    <cfRule type="colorScale" priority="6428">
      <colorScale>
        <cfvo type="min"/>
        <cfvo type="percentile" val="50"/>
        <cfvo type="max"/>
        <color rgb="FF63BE7B"/>
        <color rgb="FFFFEB84"/>
        <color rgb="FFF8696B"/>
      </colorScale>
    </cfRule>
    <cfRule type="colorScale" priority="6427">
      <colorScale>
        <cfvo type="min"/>
        <cfvo type="percentile" val="50"/>
        <cfvo type="max"/>
        <color rgb="FF63BE7B"/>
        <color rgb="FFFFEB84"/>
        <color rgb="FFF8696B"/>
      </colorScale>
    </cfRule>
    <cfRule type="colorScale" priority="6426">
      <colorScale>
        <cfvo type="min"/>
        <cfvo type="percentile" val="50"/>
        <cfvo type="max"/>
        <color rgb="FF63BE7B"/>
        <color rgb="FFFFEB84"/>
        <color rgb="FFF8696B"/>
      </colorScale>
    </cfRule>
    <cfRule type="colorScale" priority="6425">
      <colorScale>
        <cfvo type="min"/>
        <cfvo type="percentile" val="50"/>
        <cfvo type="max"/>
        <color rgb="FF63BE7B"/>
        <color rgb="FFFFEB84"/>
        <color rgb="FFF8696B"/>
      </colorScale>
    </cfRule>
    <cfRule type="colorScale" priority="5115">
      <colorScale>
        <cfvo type="min"/>
        <cfvo type="percentile" val="50"/>
        <cfvo type="max"/>
        <color rgb="FF63BE7B"/>
        <color rgb="FFFFEB84"/>
        <color rgb="FFF8696B"/>
      </colorScale>
    </cfRule>
    <cfRule type="colorScale" priority="5116">
      <colorScale>
        <cfvo type="min"/>
        <cfvo type="percentile" val="50"/>
        <cfvo type="max"/>
        <color rgb="FF63BE7B"/>
        <color rgb="FFFFEB84"/>
        <color rgb="FFF8696B"/>
      </colorScale>
    </cfRule>
    <cfRule type="colorScale" priority="5117">
      <colorScale>
        <cfvo type="min"/>
        <cfvo type="percentile" val="50"/>
        <cfvo type="max"/>
        <color rgb="FF63BE7B"/>
        <color rgb="FFFFEB84"/>
        <color rgb="FFF8696B"/>
      </colorScale>
    </cfRule>
    <cfRule type="colorScale" priority="5118">
      <colorScale>
        <cfvo type="min"/>
        <cfvo type="percentile" val="50"/>
        <cfvo type="max"/>
        <color rgb="FF63BE7B"/>
        <color rgb="FFFFEB84"/>
        <color rgb="FFF8696B"/>
      </colorScale>
    </cfRule>
    <cfRule type="colorScale" priority="5119">
      <colorScale>
        <cfvo type="min"/>
        <cfvo type="percentile" val="50"/>
        <cfvo type="max"/>
        <color rgb="FF63BE7B"/>
        <color rgb="FFFFEB84"/>
        <color rgb="FFF8696B"/>
      </colorScale>
    </cfRule>
    <cfRule type="colorScale" priority="5120">
      <colorScale>
        <cfvo type="min"/>
        <cfvo type="percentile" val="50"/>
        <cfvo type="max"/>
        <color rgb="FF63BE7B"/>
        <color rgb="FFFFEB84"/>
        <color rgb="FFF8696B"/>
      </colorScale>
    </cfRule>
    <cfRule type="colorScale" priority="5121">
      <colorScale>
        <cfvo type="min"/>
        <cfvo type="percentile" val="50"/>
        <cfvo type="max"/>
        <color rgb="FF63BE7B"/>
        <color rgb="FFFFEB84"/>
        <color rgb="FFF8696B"/>
      </colorScale>
    </cfRule>
    <cfRule type="colorScale" priority="5122">
      <colorScale>
        <cfvo type="min"/>
        <cfvo type="percentile" val="50"/>
        <cfvo type="max"/>
        <color rgb="FF63BE7B"/>
        <color rgb="FFFFEB84"/>
        <color rgb="FFF8696B"/>
      </colorScale>
    </cfRule>
    <cfRule type="colorScale" priority="5123">
      <colorScale>
        <cfvo type="min"/>
        <cfvo type="percentile" val="50"/>
        <cfvo type="max"/>
        <color rgb="FF63BE7B"/>
        <color rgb="FFFFEB84"/>
        <color rgb="FFF8696B"/>
      </colorScale>
    </cfRule>
    <cfRule type="colorScale" priority="5124">
      <colorScale>
        <cfvo type="min"/>
        <cfvo type="percentile" val="50"/>
        <cfvo type="max"/>
        <color rgb="FF63BE7B"/>
        <color rgb="FFFFEB84"/>
        <color rgb="FFF8696B"/>
      </colorScale>
    </cfRule>
    <cfRule type="colorScale" priority="5125">
      <colorScale>
        <cfvo type="min"/>
        <cfvo type="percentile" val="50"/>
        <cfvo type="max"/>
        <color rgb="FF63BE7B"/>
        <color rgb="FFFFEB84"/>
        <color rgb="FFF8696B"/>
      </colorScale>
    </cfRule>
    <cfRule type="colorScale" priority="5126">
      <colorScale>
        <cfvo type="min"/>
        <cfvo type="percentile" val="50"/>
        <cfvo type="max"/>
        <color rgb="FF63BE7B"/>
        <color rgb="FFFFEB84"/>
        <color rgb="FFF8696B"/>
      </colorScale>
    </cfRule>
    <cfRule type="colorScale" priority="5127">
      <colorScale>
        <cfvo type="min"/>
        <cfvo type="percentile" val="50"/>
        <cfvo type="max"/>
        <color rgb="FF63BE7B"/>
        <color rgb="FFFFEB84"/>
        <color rgb="FFF8696B"/>
      </colorScale>
    </cfRule>
    <cfRule type="colorScale" priority="5128">
      <colorScale>
        <cfvo type="min"/>
        <cfvo type="percentile" val="50"/>
        <cfvo type="max"/>
        <color rgb="FF63BE7B"/>
        <color rgb="FFFFEB84"/>
        <color rgb="FFF8696B"/>
      </colorScale>
    </cfRule>
    <cfRule type="colorScale" priority="5129">
      <colorScale>
        <cfvo type="min"/>
        <cfvo type="percentile" val="50"/>
        <cfvo type="max"/>
        <color rgb="FF63BE7B"/>
        <color rgb="FFFFEB84"/>
        <color rgb="FFF8696B"/>
      </colorScale>
    </cfRule>
    <cfRule type="colorScale" priority="5130">
      <colorScale>
        <cfvo type="min"/>
        <cfvo type="percentile" val="50"/>
        <cfvo type="max"/>
        <color rgb="FF63BE7B"/>
        <color rgb="FFFFEB84"/>
        <color rgb="FFF8696B"/>
      </colorScale>
    </cfRule>
    <cfRule type="colorScale" priority="5131">
      <colorScale>
        <cfvo type="min"/>
        <cfvo type="percentile" val="50"/>
        <cfvo type="max"/>
        <color rgb="FF63BE7B"/>
        <color rgb="FFFFEB84"/>
        <color rgb="FFF8696B"/>
      </colorScale>
    </cfRule>
    <cfRule type="colorScale" priority="5132">
      <colorScale>
        <cfvo type="min"/>
        <cfvo type="percentile" val="50"/>
        <cfvo type="max"/>
        <color rgb="FF63BE7B"/>
        <color rgb="FFFFEB84"/>
        <color rgb="FFF8696B"/>
      </colorScale>
    </cfRule>
    <cfRule type="colorScale" priority="5133">
      <colorScale>
        <cfvo type="min"/>
        <cfvo type="percentile" val="50"/>
        <cfvo type="max"/>
        <color rgb="FF63BE7B"/>
        <color rgb="FFFFEB84"/>
        <color rgb="FFF8696B"/>
      </colorScale>
    </cfRule>
    <cfRule type="colorScale" priority="5134">
      <colorScale>
        <cfvo type="min"/>
        <cfvo type="percentile" val="50"/>
        <cfvo type="max"/>
        <color rgb="FF63BE7B"/>
        <color rgb="FFFFEB84"/>
        <color rgb="FFF8696B"/>
      </colorScale>
    </cfRule>
    <cfRule type="colorScale" priority="5135">
      <colorScale>
        <cfvo type="min"/>
        <cfvo type="percentile" val="50"/>
        <cfvo type="max"/>
        <color rgb="FF63BE7B"/>
        <color rgb="FFFFEB84"/>
        <color rgb="FFF8696B"/>
      </colorScale>
    </cfRule>
    <cfRule type="colorScale" priority="5136">
      <colorScale>
        <cfvo type="min"/>
        <cfvo type="percentile" val="50"/>
        <cfvo type="max"/>
        <color rgb="FF63BE7B"/>
        <color rgb="FFFFEB84"/>
        <color rgb="FFF8696B"/>
      </colorScale>
    </cfRule>
    <cfRule type="colorScale" priority="5137">
      <colorScale>
        <cfvo type="min"/>
        <cfvo type="percentile" val="50"/>
        <cfvo type="max"/>
        <color rgb="FF63BE7B"/>
        <color rgb="FFFFEB84"/>
        <color rgb="FFF8696B"/>
      </colorScale>
    </cfRule>
    <cfRule type="colorScale" priority="5138">
      <colorScale>
        <cfvo type="min"/>
        <cfvo type="percentile" val="50"/>
        <cfvo type="max"/>
        <color rgb="FF63BE7B"/>
        <color rgb="FFFFEB84"/>
        <color rgb="FFF8696B"/>
      </colorScale>
    </cfRule>
    <cfRule type="colorScale" priority="5139">
      <colorScale>
        <cfvo type="min"/>
        <cfvo type="percentile" val="50"/>
        <cfvo type="max"/>
        <color rgb="FF63BE7B"/>
        <color rgb="FFFFEB84"/>
        <color rgb="FFF8696B"/>
      </colorScale>
    </cfRule>
    <cfRule type="colorScale" priority="5140">
      <colorScale>
        <cfvo type="min"/>
        <cfvo type="percentile" val="50"/>
        <cfvo type="max"/>
        <color rgb="FF63BE7B"/>
        <color rgb="FFFFEB84"/>
        <color rgb="FFF8696B"/>
      </colorScale>
    </cfRule>
    <cfRule type="colorScale" priority="5141">
      <colorScale>
        <cfvo type="min"/>
        <cfvo type="percentile" val="50"/>
        <cfvo type="max"/>
        <color rgb="FF63BE7B"/>
        <color rgb="FFFFEB84"/>
        <color rgb="FFF8696B"/>
      </colorScale>
    </cfRule>
    <cfRule type="colorScale" priority="7006">
      <colorScale>
        <cfvo type="min"/>
        <cfvo type="percentile" val="50"/>
        <cfvo type="max"/>
        <color rgb="FF63BE7B"/>
        <color rgb="FFFFEB84"/>
        <color rgb="FFF8696B"/>
      </colorScale>
    </cfRule>
    <cfRule type="colorScale" priority="7007">
      <colorScale>
        <cfvo type="min"/>
        <cfvo type="percentile" val="50"/>
        <cfvo type="max"/>
        <color rgb="FF63BE7B"/>
        <color rgb="FFFFEB84"/>
        <color rgb="FFF8696B"/>
      </colorScale>
    </cfRule>
    <cfRule type="colorScale" priority="7008">
      <colorScale>
        <cfvo type="min"/>
        <cfvo type="percentile" val="50"/>
        <cfvo type="max"/>
        <color rgb="FF63BE7B"/>
        <color rgb="FFFFEB84"/>
        <color rgb="FFF8696B"/>
      </colorScale>
    </cfRule>
    <cfRule type="colorScale" priority="7009">
      <colorScale>
        <cfvo type="min"/>
        <cfvo type="percentile" val="50"/>
        <cfvo type="max"/>
        <color rgb="FF63BE7B"/>
        <color rgb="FFFFEB84"/>
        <color rgb="FFF8696B"/>
      </colorScale>
    </cfRule>
    <cfRule type="colorScale" priority="7010">
      <colorScale>
        <cfvo type="min"/>
        <cfvo type="percentile" val="50"/>
        <cfvo type="max"/>
        <color rgb="FF63BE7B"/>
        <color rgb="FFFFEB84"/>
        <color rgb="FFF8696B"/>
      </colorScale>
    </cfRule>
    <cfRule type="colorScale" priority="7011">
      <colorScale>
        <cfvo type="min"/>
        <cfvo type="percentile" val="50"/>
        <cfvo type="max"/>
        <color rgb="FF63BE7B"/>
        <color rgb="FFFFEB84"/>
        <color rgb="FFF8696B"/>
      </colorScale>
    </cfRule>
    <cfRule type="colorScale" priority="7012">
      <colorScale>
        <cfvo type="min"/>
        <cfvo type="percentile" val="50"/>
        <cfvo type="max"/>
        <color rgb="FF63BE7B"/>
        <color rgb="FFFFEB84"/>
        <color rgb="FFF8696B"/>
      </colorScale>
    </cfRule>
    <cfRule type="colorScale" priority="7013">
      <colorScale>
        <cfvo type="min"/>
        <cfvo type="percentile" val="50"/>
        <cfvo type="max"/>
        <color rgb="FF63BE7B"/>
        <color rgb="FFFFEB84"/>
        <color rgb="FFF8696B"/>
      </colorScale>
    </cfRule>
    <cfRule type="colorScale" priority="7014">
      <colorScale>
        <cfvo type="min"/>
        <cfvo type="percentile" val="50"/>
        <cfvo type="max"/>
        <color rgb="FF63BE7B"/>
        <color rgb="FFFFEB84"/>
        <color rgb="FFF8696B"/>
      </colorScale>
    </cfRule>
    <cfRule type="colorScale" priority="5142">
      <colorScale>
        <cfvo type="min"/>
        <cfvo type="percentile" val="50"/>
        <cfvo type="max"/>
        <color rgb="FF63BE7B"/>
        <color rgb="FFFFEB84"/>
        <color rgb="FFF8696B"/>
      </colorScale>
    </cfRule>
    <cfRule type="colorScale" priority="5143">
      <colorScale>
        <cfvo type="min"/>
        <cfvo type="percentile" val="50"/>
        <cfvo type="max"/>
        <color rgb="FF63BE7B"/>
        <color rgb="FFFFEB84"/>
        <color rgb="FFF8696B"/>
      </colorScale>
    </cfRule>
    <cfRule type="colorScale" priority="5144">
      <colorScale>
        <cfvo type="min"/>
        <cfvo type="percentile" val="50"/>
        <cfvo type="max"/>
        <color rgb="FF63BE7B"/>
        <color rgb="FFFFEB84"/>
        <color rgb="FFF8696B"/>
      </colorScale>
    </cfRule>
    <cfRule type="colorScale" priority="5145">
      <colorScale>
        <cfvo type="min"/>
        <cfvo type="percentile" val="50"/>
        <cfvo type="max"/>
        <color rgb="FF63BE7B"/>
        <color rgb="FFFFEB84"/>
        <color rgb="FFF8696B"/>
      </colorScale>
    </cfRule>
    <cfRule type="colorScale" priority="5146">
      <colorScale>
        <cfvo type="min"/>
        <cfvo type="percentile" val="50"/>
        <cfvo type="max"/>
        <color rgb="FF63BE7B"/>
        <color rgb="FFFFEB84"/>
        <color rgb="FFF8696B"/>
      </colorScale>
    </cfRule>
    <cfRule type="colorScale" priority="5147">
      <colorScale>
        <cfvo type="min"/>
        <cfvo type="percentile" val="50"/>
        <cfvo type="max"/>
        <color rgb="FF63BE7B"/>
        <color rgb="FFFFEB84"/>
        <color rgb="FFF8696B"/>
      </colorScale>
    </cfRule>
    <cfRule type="colorScale" priority="5148">
      <colorScale>
        <cfvo type="min"/>
        <cfvo type="percentile" val="50"/>
        <cfvo type="max"/>
        <color rgb="FF63BE7B"/>
        <color rgb="FFFFEB84"/>
        <color rgb="FFF8696B"/>
      </colorScale>
    </cfRule>
    <cfRule type="colorScale" priority="5149">
      <colorScale>
        <cfvo type="min"/>
        <cfvo type="percentile" val="50"/>
        <cfvo type="max"/>
        <color rgb="FF63BE7B"/>
        <color rgb="FFFFEB84"/>
        <color rgb="FFF8696B"/>
      </colorScale>
    </cfRule>
    <cfRule type="colorScale" priority="7228">
      <colorScale>
        <cfvo type="min"/>
        <cfvo type="percentile" val="50"/>
        <cfvo type="max"/>
        <color rgb="FF63BE7B"/>
        <color rgb="FFFFEB84"/>
        <color rgb="FFF8696B"/>
      </colorScale>
    </cfRule>
    <cfRule type="colorScale" priority="7229">
      <colorScale>
        <cfvo type="min"/>
        <cfvo type="percentile" val="50"/>
        <cfvo type="max"/>
        <color rgb="FF63BE7B"/>
        <color rgb="FFFFEB84"/>
        <color rgb="FFF8696B"/>
      </colorScale>
    </cfRule>
    <cfRule type="colorScale" priority="7230">
      <colorScale>
        <cfvo type="min"/>
        <cfvo type="percentile" val="50"/>
        <cfvo type="max"/>
        <color rgb="FF63BE7B"/>
        <color rgb="FFFFEB84"/>
        <color rgb="FFF8696B"/>
      </colorScale>
    </cfRule>
    <cfRule type="colorScale" priority="7231">
      <colorScale>
        <cfvo type="min"/>
        <cfvo type="percentile" val="50"/>
        <cfvo type="max"/>
        <color rgb="FF63BE7B"/>
        <color rgb="FFFFEB84"/>
        <color rgb="FFF8696B"/>
      </colorScale>
    </cfRule>
    <cfRule type="colorScale" priority="5150">
      <colorScale>
        <cfvo type="min"/>
        <cfvo type="percentile" val="50"/>
        <cfvo type="max"/>
        <color rgb="FF63BE7B"/>
        <color rgb="FFFFEB84"/>
        <color rgb="FFF8696B"/>
      </colorScale>
    </cfRule>
    <cfRule type="colorScale" priority="5151">
      <colorScale>
        <cfvo type="min"/>
        <cfvo type="percentile" val="50"/>
        <cfvo type="max"/>
        <color rgb="FF63BE7B"/>
        <color rgb="FFFFEB84"/>
        <color rgb="FFF8696B"/>
      </colorScale>
    </cfRule>
    <cfRule type="colorScale" priority="6443">
      <colorScale>
        <cfvo type="min"/>
        <cfvo type="percentile" val="50"/>
        <cfvo type="max"/>
        <color rgb="FF63BE7B"/>
        <color rgb="FFFFEB84"/>
        <color rgb="FFF8696B"/>
      </colorScale>
    </cfRule>
    <cfRule type="colorScale" priority="6442">
      <colorScale>
        <cfvo type="min"/>
        <cfvo type="percentile" val="50"/>
        <cfvo type="max"/>
        <color rgb="FF63BE7B"/>
        <color rgb="FFFFEB84"/>
        <color rgb="FFF8696B"/>
      </colorScale>
    </cfRule>
    <cfRule type="colorScale" priority="6441">
      <colorScale>
        <cfvo type="min"/>
        <cfvo type="percentile" val="50"/>
        <cfvo type="max"/>
        <color rgb="FF63BE7B"/>
        <color rgb="FFFFEB84"/>
        <color rgb="FFF8696B"/>
      </colorScale>
    </cfRule>
    <cfRule type="colorScale" priority="6440">
      <colorScale>
        <cfvo type="min"/>
        <cfvo type="percentile" val="50"/>
        <cfvo type="max"/>
        <color rgb="FF63BE7B"/>
        <color rgb="FFFFEB84"/>
        <color rgb="FFF8696B"/>
      </colorScale>
    </cfRule>
    <cfRule type="colorScale" priority="6439">
      <colorScale>
        <cfvo type="min"/>
        <cfvo type="percentile" val="50"/>
        <cfvo type="max"/>
        <color rgb="FF63BE7B"/>
        <color rgb="FFFFEB84"/>
        <color rgb="FFF8696B"/>
      </colorScale>
    </cfRule>
    <cfRule type="colorScale" priority="6438">
      <colorScale>
        <cfvo type="min"/>
        <cfvo type="percentile" val="50"/>
        <cfvo type="max"/>
        <color rgb="FF63BE7B"/>
        <color rgb="FFFFEB84"/>
        <color rgb="FFF8696B"/>
      </colorScale>
    </cfRule>
    <cfRule type="colorScale" priority="6437">
      <colorScale>
        <cfvo type="min"/>
        <cfvo type="percentile" val="50"/>
        <cfvo type="max"/>
        <color rgb="FF63BE7B"/>
        <color rgb="FFFFEB84"/>
        <color rgb="FFF8696B"/>
      </colorScale>
    </cfRule>
    <cfRule type="colorScale" priority="6436">
      <colorScale>
        <cfvo type="min"/>
        <cfvo type="percentile" val="50"/>
        <cfvo type="max"/>
        <color rgb="FF63BE7B"/>
        <color rgb="FFFFEB84"/>
        <color rgb="FFF8696B"/>
      </colorScale>
    </cfRule>
    <cfRule type="colorScale" priority="6435">
      <colorScale>
        <cfvo type="min"/>
        <cfvo type="percentile" val="50"/>
        <cfvo type="max"/>
        <color rgb="FF63BE7B"/>
        <color rgb="FFFFEB84"/>
        <color rgb="FFF8696B"/>
      </colorScale>
    </cfRule>
    <cfRule type="colorScale" priority="4559">
      <colorScale>
        <cfvo type="min"/>
        <cfvo type="percentile" val="50"/>
        <cfvo type="max"/>
        <color rgb="FF63BE7B"/>
        <color rgb="FFFFEB84"/>
        <color rgb="FFF8696B"/>
      </colorScale>
    </cfRule>
    <cfRule type="colorScale" priority="4560">
      <colorScale>
        <cfvo type="min"/>
        <cfvo type="percentile" val="50"/>
        <cfvo type="max"/>
        <color rgb="FF63BE7B"/>
        <color rgb="FFFFEB84"/>
        <color rgb="FFF8696B"/>
      </colorScale>
    </cfRule>
    <cfRule type="colorScale" priority="4561">
      <colorScale>
        <cfvo type="min"/>
        <cfvo type="percentile" val="50"/>
        <cfvo type="max"/>
        <color rgb="FF63BE7B"/>
        <color rgb="FFFFEB84"/>
        <color rgb="FFF8696B"/>
      </colorScale>
    </cfRule>
    <cfRule type="colorScale" priority="4562">
      <colorScale>
        <cfvo type="min"/>
        <cfvo type="percentile" val="50"/>
        <cfvo type="max"/>
        <color rgb="FF63BE7B"/>
        <color rgb="FFFFEB84"/>
        <color rgb="FFF8696B"/>
      </colorScale>
    </cfRule>
    <cfRule type="colorScale" priority="4563">
      <colorScale>
        <cfvo type="min"/>
        <cfvo type="percentile" val="50"/>
        <cfvo type="max"/>
        <color rgb="FF63BE7B"/>
        <color rgb="FFFFEB84"/>
        <color rgb="FFF8696B"/>
      </colorScale>
    </cfRule>
    <cfRule type="colorScale" priority="4564">
      <colorScale>
        <cfvo type="min"/>
        <cfvo type="percentile" val="50"/>
        <cfvo type="max"/>
        <color rgb="FF63BE7B"/>
        <color rgb="FFFFEB84"/>
        <color rgb="FFF8696B"/>
      </colorScale>
    </cfRule>
    <cfRule type="colorScale" priority="4565">
      <colorScale>
        <cfvo type="min"/>
        <cfvo type="percentile" val="50"/>
        <cfvo type="max"/>
        <color rgb="FF63BE7B"/>
        <color rgb="FFFFEB84"/>
        <color rgb="FFF8696B"/>
      </colorScale>
    </cfRule>
    <cfRule type="colorScale" priority="4566">
      <colorScale>
        <cfvo type="min"/>
        <cfvo type="percentile" val="50"/>
        <cfvo type="max"/>
        <color rgb="FF63BE7B"/>
        <color rgb="FFFFEB84"/>
        <color rgb="FFF8696B"/>
      </colorScale>
    </cfRule>
    <cfRule type="colorScale" priority="4567">
      <colorScale>
        <cfvo type="min"/>
        <cfvo type="percentile" val="50"/>
        <cfvo type="max"/>
        <color rgb="FF63BE7B"/>
        <color rgb="FFFFEB84"/>
        <color rgb="FFF8696B"/>
      </colorScale>
    </cfRule>
    <cfRule type="colorScale" priority="4568">
      <colorScale>
        <cfvo type="min"/>
        <cfvo type="percentile" val="50"/>
        <cfvo type="max"/>
        <color rgb="FF63BE7B"/>
        <color rgb="FFFFEB84"/>
        <color rgb="FFF8696B"/>
      </colorScale>
    </cfRule>
    <cfRule type="colorScale" priority="4569">
      <colorScale>
        <cfvo type="min"/>
        <cfvo type="percentile" val="50"/>
        <cfvo type="max"/>
        <color rgb="FF63BE7B"/>
        <color rgb="FFFFEB84"/>
        <color rgb="FFF8696B"/>
      </colorScale>
    </cfRule>
    <cfRule type="colorScale" priority="4570">
      <colorScale>
        <cfvo type="min"/>
        <cfvo type="percentile" val="50"/>
        <cfvo type="max"/>
        <color rgb="FF63BE7B"/>
        <color rgb="FFFFEB84"/>
        <color rgb="FFF8696B"/>
      </colorScale>
    </cfRule>
    <cfRule type="colorScale" priority="4571">
      <colorScale>
        <cfvo type="min"/>
        <cfvo type="percentile" val="50"/>
        <cfvo type="max"/>
        <color rgb="FF63BE7B"/>
        <color rgb="FFFFEB84"/>
        <color rgb="FFF8696B"/>
      </colorScale>
    </cfRule>
    <cfRule type="colorScale" priority="4572">
      <colorScale>
        <cfvo type="min"/>
        <cfvo type="percentile" val="50"/>
        <cfvo type="max"/>
        <color rgb="FF63BE7B"/>
        <color rgb="FFFFEB84"/>
        <color rgb="FFF8696B"/>
      </colorScale>
    </cfRule>
    <cfRule type="colorScale" priority="4573">
      <colorScale>
        <cfvo type="min"/>
        <cfvo type="percentile" val="50"/>
        <cfvo type="max"/>
        <color rgb="FF63BE7B"/>
        <color rgb="FFFFEB84"/>
        <color rgb="FFF8696B"/>
      </colorScale>
    </cfRule>
    <cfRule type="colorScale" priority="4574">
      <colorScale>
        <cfvo type="min"/>
        <cfvo type="percentile" val="50"/>
        <cfvo type="max"/>
        <color rgb="FF63BE7B"/>
        <color rgb="FFFFEB84"/>
        <color rgb="FFF8696B"/>
      </colorScale>
    </cfRule>
    <cfRule type="colorScale" priority="4575">
      <colorScale>
        <cfvo type="min"/>
        <cfvo type="percentile" val="50"/>
        <cfvo type="max"/>
        <color rgb="FF63BE7B"/>
        <color rgb="FFFFEB84"/>
        <color rgb="FFF8696B"/>
      </colorScale>
    </cfRule>
    <cfRule type="colorScale" priority="4576">
      <colorScale>
        <cfvo type="min"/>
        <cfvo type="percentile" val="50"/>
        <cfvo type="max"/>
        <color rgb="FF63BE7B"/>
        <color rgb="FFFFEB84"/>
        <color rgb="FFF8696B"/>
      </colorScale>
    </cfRule>
    <cfRule type="colorScale" priority="4577">
      <colorScale>
        <cfvo type="min"/>
        <cfvo type="percentile" val="50"/>
        <cfvo type="max"/>
        <color rgb="FF63BE7B"/>
        <color rgb="FFFFEB84"/>
        <color rgb="FFF8696B"/>
      </colorScale>
    </cfRule>
    <cfRule type="colorScale" priority="4578">
      <colorScale>
        <cfvo type="min"/>
        <cfvo type="percentile" val="50"/>
        <cfvo type="max"/>
        <color rgb="FF63BE7B"/>
        <color rgb="FFFFEB84"/>
        <color rgb="FFF8696B"/>
      </colorScale>
    </cfRule>
    <cfRule type="colorScale" priority="4579">
      <colorScale>
        <cfvo type="min"/>
        <cfvo type="percentile" val="50"/>
        <cfvo type="max"/>
        <color rgb="FF63BE7B"/>
        <color rgb="FFFFEB84"/>
        <color rgb="FFF8696B"/>
      </colorScale>
    </cfRule>
    <cfRule type="colorScale" priority="4580">
      <colorScale>
        <cfvo type="min"/>
        <cfvo type="percentile" val="50"/>
        <cfvo type="max"/>
        <color rgb="FF63BE7B"/>
        <color rgb="FFFFEB84"/>
        <color rgb="FFF8696B"/>
      </colorScale>
    </cfRule>
    <cfRule type="colorScale" priority="4581">
      <colorScale>
        <cfvo type="min"/>
        <cfvo type="percentile" val="50"/>
        <cfvo type="max"/>
        <color rgb="FF63BE7B"/>
        <color rgb="FFFFEB84"/>
        <color rgb="FFF8696B"/>
      </colorScale>
    </cfRule>
    <cfRule type="colorScale" priority="4582">
      <colorScale>
        <cfvo type="min"/>
        <cfvo type="percentile" val="50"/>
        <cfvo type="max"/>
        <color rgb="FF63BE7B"/>
        <color rgb="FFFFEB84"/>
        <color rgb="FFF8696B"/>
      </colorScale>
    </cfRule>
    <cfRule type="colorScale" priority="4583">
      <colorScale>
        <cfvo type="min"/>
        <cfvo type="percentile" val="50"/>
        <cfvo type="max"/>
        <color rgb="FF63BE7B"/>
        <color rgb="FFFFEB84"/>
        <color rgb="FFF8696B"/>
      </colorScale>
    </cfRule>
  </conditionalFormatting>
  <conditionalFormatting sqref="M54:M61">
    <cfRule type="colorScale" priority="46">
      <colorScale>
        <cfvo type="min"/>
        <cfvo type="percentile" val="50"/>
        <cfvo type="max"/>
        <color rgb="FF63BE7B"/>
        <color rgb="FFFFEB84"/>
        <color rgb="FFF8696B"/>
      </colorScale>
    </cfRule>
    <cfRule type="colorScale" priority="63">
      <colorScale>
        <cfvo type="min"/>
        <cfvo type="percentile" val="50"/>
        <cfvo type="max"/>
        <color rgb="FF63BE7B"/>
        <color rgb="FFFFEB84"/>
        <color rgb="FFF8696B"/>
      </colorScale>
    </cfRule>
  </conditionalFormatting>
  <conditionalFormatting sqref="M65:M71">
    <cfRule type="colorScale" priority="12556">
      <colorScale>
        <cfvo type="min"/>
        <cfvo type="percentile" val="50"/>
        <cfvo type="max"/>
        <color rgb="FF63BE7B"/>
        <color rgb="FFFFEB84"/>
        <color rgb="FFF8696B"/>
      </colorScale>
    </cfRule>
    <cfRule type="colorScale" priority="12555">
      <colorScale>
        <cfvo type="min"/>
        <cfvo type="percentile" val="50"/>
        <cfvo type="max"/>
        <color rgb="FF63BE7B"/>
        <color rgb="FFFFEB84"/>
        <color rgb="FFF8696B"/>
      </colorScale>
    </cfRule>
    <cfRule type="colorScale" priority="12554">
      <colorScale>
        <cfvo type="min"/>
        <cfvo type="percentile" val="50"/>
        <cfvo type="max"/>
        <color rgb="FF63BE7B"/>
        <color rgb="FFFFEB84"/>
        <color rgb="FFF8696B"/>
      </colorScale>
    </cfRule>
  </conditionalFormatting>
  <conditionalFormatting sqref="M65:M80">
    <cfRule type="colorScale" priority="12596">
      <colorScale>
        <cfvo type="min"/>
        <cfvo type="percentile" val="50"/>
        <cfvo type="max"/>
        <color rgb="FF63BE7B"/>
        <color rgb="FFFFEB84"/>
        <color rgb="FFF8696B"/>
      </colorScale>
    </cfRule>
  </conditionalFormatting>
  <conditionalFormatting sqref="M65:M91">
    <cfRule type="colorScale" priority="12617">
      <colorScale>
        <cfvo type="min"/>
        <cfvo type="percentile" val="50"/>
        <cfvo type="max"/>
        <color rgb="FF63BE7B"/>
        <color rgb="FFFFEB84"/>
        <color rgb="FFF8696B"/>
      </colorScale>
    </cfRule>
  </conditionalFormatting>
  <conditionalFormatting sqref="M66:M71">
    <cfRule type="colorScale" priority="12557">
      <colorScale>
        <cfvo type="min"/>
        <cfvo type="percentile" val="50"/>
        <cfvo type="max"/>
        <color rgb="FF63BE7B"/>
        <color rgb="FFFFEB84"/>
        <color rgb="FFF8696B"/>
      </colorScale>
    </cfRule>
  </conditionalFormatting>
  <conditionalFormatting sqref="M72:M80">
    <cfRule type="colorScale" priority="12432">
      <colorScale>
        <cfvo type="min"/>
        <cfvo type="percentile" val="50"/>
        <cfvo type="max"/>
        <color rgb="FF63BE7B"/>
        <color rgb="FFFFEB84"/>
        <color rgb="FFF8696B"/>
      </colorScale>
    </cfRule>
    <cfRule type="colorScale" priority="12433">
      <colorScale>
        <cfvo type="min"/>
        <cfvo type="percentile" val="50"/>
        <cfvo type="max"/>
        <color rgb="FF63BE7B"/>
        <color rgb="FFFFEB84"/>
        <color rgb="FFF8696B"/>
      </colorScale>
    </cfRule>
    <cfRule type="colorScale" priority="12430">
      <colorScale>
        <cfvo type="min"/>
        <cfvo type="percentile" val="50"/>
        <cfvo type="max"/>
        <color rgb="FF63BE7B"/>
        <color rgb="FFFFEB84"/>
        <color rgb="FFF8696B"/>
      </colorScale>
    </cfRule>
    <cfRule type="colorScale" priority="12431">
      <colorScale>
        <cfvo type="min"/>
        <cfvo type="percentile" val="50"/>
        <cfvo type="max"/>
        <color rgb="FF63BE7B"/>
        <color rgb="FFFFEB84"/>
        <color rgb="FFF8696B"/>
      </colorScale>
    </cfRule>
  </conditionalFormatting>
  <conditionalFormatting sqref="M81:M83">
    <cfRule type="colorScale" priority="12310">
      <colorScale>
        <cfvo type="min"/>
        <cfvo type="percentile" val="50"/>
        <cfvo type="max"/>
        <color rgb="FF63BE7B"/>
        <color rgb="FFFFEB84"/>
        <color rgb="FFF8696B"/>
      </colorScale>
    </cfRule>
    <cfRule type="colorScale" priority="12309">
      <colorScale>
        <cfvo type="min"/>
        <cfvo type="percentile" val="50"/>
        <cfvo type="max"/>
        <color rgb="FF63BE7B"/>
        <color rgb="FFFFEB84"/>
        <color rgb="FFF8696B"/>
      </colorScale>
    </cfRule>
  </conditionalFormatting>
  <conditionalFormatting sqref="M84:M91">
    <cfRule type="colorScale" priority="12162">
      <colorScale>
        <cfvo type="min"/>
        <cfvo type="percentile" val="50"/>
        <cfvo type="max"/>
        <color rgb="FF63BE7B"/>
        <color rgb="FFFFEB84"/>
        <color rgb="FFF8696B"/>
      </colorScale>
    </cfRule>
    <cfRule type="colorScale" priority="12161">
      <colorScale>
        <cfvo type="min"/>
        <cfvo type="percentile" val="50"/>
        <cfvo type="max"/>
        <color rgb="FF63BE7B"/>
        <color rgb="FFFFEB84"/>
        <color rgb="FFF8696B"/>
      </colorScale>
    </cfRule>
    <cfRule type="colorScale" priority="12159">
      <colorScale>
        <cfvo type="min"/>
        <cfvo type="percentile" val="50"/>
        <cfvo type="max"/>
        <color rgb="FF63BE7B"/>
        <color rgb="FFFFEB84"/>
        <color rgb="FFF8696B"/>
      </colorScale>
    </cfRule>
    <cfRule type="colorScale" priority="12198">
      <colorScale>
        <cfvo type="min"/>
        <cfvo type="percentile" val="50"/>
        <cfvo type="max"/>
        <color rgb="FF63BE7B"/>
        <color rgb="FFFFEB84"/>
        <color rgb="FFF8696B"/>
      </colorScale>
    </cfRule>
    <cfRule type="colorScale" priority="12201">
      <colorScale>
        <cfvo type="min"/>
        <cfvo type="percentile" val="50"/>
        <cfvo type="max"/>
        <color rgb="FF63BE7B"/>
        <color rgb="FFFFEB84"/>
        <color rgb="FFF8696B"/>
      </colorScale>
    </cfRule>
    <cfRule type="colorScale" priority="12200">
      <colorScale>
        <cfvo type="min"/>
        <cfvo type="percentile" val="50"/>
        <cfvo type="max"/>
        <color rgb="FF63BE7B"/>
        <color rgb="FFFFEB84"/>
        <color rgb="FFF8696B"/>
      </colorScale>
    </cfRule>
  </conditionalFormatting>
  <conditionalFormatting sqref="M86">
    <cfRule type="colorScale" priority="12160">
      <colorScale>
        <cfvo type="min"/>
        <cfvo type="percentile" val="50"/>
        <cfvo type="max"/>
        <color rgb="FF63BE7B"/>
        <color rgb="FFFFEB84"/>
        <color rgb="FFF8696B"/>
      </colorScale>
    </cfRule>
    <cfRule type="colorScale" priority="12199">
      <colorScale>
        <cfvo type="min"/>
        <cfvo type="percentile" val="50"/>
        <cfvo type="max"/>
        <color rgb="FF63BE7B"/>
        <color rgb="FFFFEB84"/>
        <color rgb="FFF8696B"/>
      </colorScale>
    </cfRule>
  </conditionalFormatting>
  <conditionalFormatting sqref="M96:M102">
    <cfRule type="colorScale" priority="11949">
      <colorScale>
        <cfvo type="min"/>
        <cfvo type="percentile" val="50"/>
        <cfvo type="max"/>
        <color rgb="FF63BE7B"/>
        <color rgb="FFFFEB84"/>
        <color rgb="FFF8696B"/>
      </colorScale>
    </cfRule>
    <cfRule type="colorScale" priority="11950">
      <colorScale>
        <cfvo type="min"/>
        <cfvo type="percentile" val="50"/>
        <cfvo type="max"/>
        <color rgb="FF63BE7B"/>
        <color rgb="FFFFEB84"/>
        <color rgb="FFF8696B"/>
      </colorScale>
    </cfRule>
    <cfRule type="colorScale" priority="11948">
      <colorScale>
        <cfvo type="min"/>
        <cfvo type="percentile" val="50"/>
        <cfvo type="max"/>
        <color rgb="FF63BE7B"/>
        <color rgb="FFFFEB84"/>
        <color rgb="FFF8696B"/>
      </colorScale>
    </cfRule>
  </conditionalFormatting>
  <conditionalFormatting sqref="M96:M111">
    <cfRule type="colorScale" priority="11990">
      <colorScale>
        <cfvo type="min"/>
        <cfvo type="percentile" val="50"/>
        <cfvo type="max"/>
        <color rgb="FF63BE7B"/>
        <color rgb="FFFFEB84"/>
        <color rgb="FFF8696B"/>
      </colorScale>
    </cfRule>
  </conditionalFormatting>
  <conditionalFormatting sqref="M96:M122">
    <cfRule type="colorScale" priority="12010">
      <colorScale>
        <cfvo type="min"/>
        <cfvo type="percentile" val="50"/>
        <cfvo type="max"/>
        <color rgb="FF63BE7B"/>
        <color rgb="FFFFEB84"/>
        <color rgb="FFF8696B"/>
      </colorScale>
    </cfRule>
  </conditionalFormatting>
  <conditionalFormatting sqref="M97:M102">
    <cfRule type="colorScale" priority="11951">
      <colorScale>
        <cfvo type="min"/>
        <cfvo type="percentile" val="50"/>
        <cfvo type="max"/>
        <color rgb="FF63BE7B"/>
        <color rgb="FFFFEB84"/>
        <color rgb="FFF8696B"/>
      </colorScale>
    </cfRule>
  </conditionalFormatting>
  <conditionalFormatting sqref="M103:M111">
    <cfRule type="colorScale" priority="11827">
      <colorScale>
        <cfvo type="min"/>
        <cfvo type="percentile" val="50"/>
        <cfvo type="max"/>
        <color rgb="FF63BE7B"/>
        <color rgb="FFFFEB84"/>
        <color rgb="FFF8696B"/>
      </colorScale>
    </cfRule>
    <cfRule type="colorScale" priority="11826">
      <colorScale>
        <cfvo type="min"/>
        <cfvo type="percentile" val="50"/>
        <cfvo type="max"/>
        <color rgb="FF63BE7B"/>
        <color rgb="FFFFEB84"/>
        <color rgb="FFF8696B"/>
      </colorScale>
    </cfRule>
    <cfRule type="colorScale" priority="11825">
      <colorScale>
        <cfvo type="min"/>
        <cfvo type="percentile" val="50"/>
        <cfvo type="max"/>
        <color rgb="FF63BE7B"/>
        <color rgb="FFFFEB84"/>
        <color rgb="FFF8696B"/>
      </colorScale>
    </cfRule>
    <cfRule type="colorScale" priority="11824">
      <colorScale>
        <cfvo type="min"/>
        <cfvo type="percentile" val="50"/>
        <cfvo type="max"/>
        <color rgb="FF63BE7B"/>
        <color rgb="FFFFEB84"/>
        <color rgb="FFF8696B"/>
      </colorScale>
    </cfRule>
  </conditionalFormatting>
  <conditionalFormatting sqref="M112:M114">
    <cfRule type="colorScale" priority="11706">
      <colorScale>
        <cfvo type="min"/>
        <cfvo type="percentile" val="50"/>
        <cfvo type="max"/>
        <color rgb="FF63BE7B"/>
        <color rgb="FFFFEB84"/>
        <color rgb="FFF8696B"/>
      </colorScale>
    </cfRule>
    <cfRule type="colorScale" priority="11707">
      <colorScale>
        <cfvo type="min"/>
        <cfvo type="percentile" val="50"/>
        <cfvo type="max"/>
        <color rgb="FF63BE7B"/>
        <color rgb="FFFFEB84"/>
        <color rgb="FFF8696B"/>
      </colorScale>
    </cfRule>
  </conditionalFormatting>
  <conditionalFormatting sqref="M115:M122">
    <cfRule type="colorScale" priority="11597">
      <colorScale>
        <cfvo type="min"/>
        <cfvo type="percentile" val="50"/>
        <cfvo type="max"/>
        <color rgb="FF63BE7B"/>
        <color rgb="FFFFEB84"/>
        <color rgb="FFF8696B"/>
      </colorScale>
    </cfRule>
    <cfRule type="colorScale" priority="11558">
      <colorScale>
        <cfvo type="min"/>
        <cfvo type="percentile" val="50"/>
        <cfvo type="max"/>
        <color rgb="FF63BE7B"/>
        <color rgb="FFFFEB84"/>
        <color rgb="FFF8696B"/>
      </colorScale>
    </cfRule>
    <cfRule type="colorScale" priority="11598">
      <colorScale>
        <cfvo type="min"/>
        <cfvo type="percentile" val="50"/>
        <cfvo type="max"/>
        <color rgb="FF63BE7B"/>
        <color rgb="FFFFEB84"/>
        <color rgb="FFF8696B"/>
      </colorScale>
    </cfRule>
    <cfRule type="colorScale" priority="11556">
      <colorScale>
        <cfvo type="min"/>
        <cfvo type="percentile" val="50"/>
        <cfvo type="max"/>
        <color rgb="FF63BE7B"/>
        <color rgb="FFFFEB84"/>
        <color rgb="FFF8696B"/>
      </colorScale>
    </cfRule>
    <cfRule type="colorScale" priority="11595">
      <colorScale>
        <cfvo type="min"/>
        <cfvo type="percentile" val="50"/>
        <cfvo type="max"/>
        <color rgb="FF63BE7B"/>
        <color rgb="FFFFEB84"/>
        <color rgb="FFF8696B"/>
      </colorScale>
    </cfRule>
    <cfRule type="colorScale" priority="11559">
      <colorScale>
        <cfvo type="min"/>
        <cfvo type="percentile" val="50"/>
        <cfvo type="max"/>
        <color rgb="FF63BE7B"/>
        <color rgb="FFFFEB84"/>
        <color rgb="FFF8696B"/>
      </colorScale>
    </cfRule>
  </conditionalFormatting>
  <conditionalFormatting sqref="M117">
    <cfRule type="colorScale" priority="11557">
      <colorScale>
        <cfvo type="min"/>
        <cfvo type="percentile" val="50"/>
        <cfvo type="max"/>
        <color rgb="FF63BE7B"/>
        <color rgb="FFFFEB84"/>
        <color rgb="FFF8696B"/>
      </colorScale>
    </cfRule>
    <cfRule type="colorScale" priority="11596">
      <colorScale>
        <cfvo type="min"/>
        <cfvo type="percentile" val="50"/>
        <cfvo type="max"/>
        <color rgb="FF63BE7B"/>
        <color rgb="FFFFEB84"/>
        <color rgb="FFF8696B"/>
      </colorScale>
    </cfRule>
  </conditionalFormatting>
  <conditionalFormatting sqref="N35:N37">
    <cfRule type="colorScale" priority="11343">
      <colorScale>
        <cfvo type="min"/>
        <cfvo type="percentile" val="50"/>
        <cfvo type="max"/>
        <color rgb="FF63BE7B"/>
        <color rgb="FFFFEB84"/>
        <color rgb="FFF8696B"/>
      </colorScale>
    </cfRule>
    <cfRule type="colorScale" priority="8216">
      <colorScale>
        <cfvo type="min"/>
        <cfvo type="percentile" val="50"/>
        <cfvo type="max"/>
        <color rgb="FF63BE7B"/>
        <color rgb="FFFFEB84"/>
        <color rgb="FFF8696B"/>
      </colorScale>
    </cfRule>
    <cfRule type="colorScale" priority="11338">
      <colorScale>
        <cfvo type="min"/>
        <cfvo type="percentile" val="50"/>
        <cfvo type="max"/>
        <color rgb="FF63BE7B"/>
        <color rgb="FFFFEB84"/>
        <color rgb="FFF8696B"/>
      </colorScale>
    </cfRule>
    <cfRule type="colorScale" priority="8218">
      <colorScale>
        <cfvo type="min"/>
        <cfvo type="percentile" val="50"/>
        <cfvo type="max"/>
        <color rgb="FF63BE7B"/>
        <color rgb="FFFFEB84"/>
        <color rgb="FFF8696B"/>
      </colorScale>
    </cfRule>
    <cfRule type="colorScale" priority="8219">
      <colorScale>
        <cfvo type="min"/>
        <cfvo type="percentile" val="50"/>
        <cfvo type="max"/>
        <color rgb="FF63BE7B"/>
        <color rgb="FFFFEB84"/>
        <color rgb="FFF8696B"/>
      </colorScale>
    </cfRule>
    <cfRule type="colorScale" priority="8217">
      <colorScale>
        <cfvo type="min"/>
        <cfvo type="percentile" val="50"/>
        <cfvo type="max"/>
        <color rgb="FF63BE7B"/>
        <color rgb="FFFFEB84"/>
        <color rgb="FFF8696B"/>
      </colorScale>
    </cfRule>
    <cfRule type="colorScale" priority="9174">
      <colorScale>
        <cfvo type="min"/>
        <cfvo type="percentile" val="50"/>
        <cfvo type="max"/>
        <color rgb="FF63BE7B"/>
        <color rgb="FFFFEB84"/>
        <color rgb="FFF8696B"/>
      </colorScale>
    </cfRule>
    <cfRule type="colorScale" priority="9147">
      <colorScale>
        <cfvo type="min"/>
        <cfvo type="percentile" val="50"/>
        <cfvo type="max"/>
        <color rgb="FF63BE7B"/>
        <color rgb="FFFFEB84"/>
        <color rgb="FFF8696B"/>
      </colorScale>
    </cfRule>
    <cfRule type="colorScale" priority="8222">
      <colorScale>
        <cfvo type="min"/>
        <cfvo type="percentile" val="50"/>
        <cfvo type="max"/>
        <color rgb="FF63BE7B"/>
        <color rgb="FFFFEB84"/>
        <color rgb="FFF8696B"/>
      </colorScale>
    </cfRule>
    <cfRule type="colorScale" priority="9188">
      <colorScale>
        <cfvo type="min"/>
        <cfvo type="percentile" val="50"/>
        <cfvo type="max"/>
        <color rgb="FF63BE7B"/>
        <color rgb="FFFFEB84"/>
        <color rgb="FFF8696B"/>
      </colorScale>
    </cfRule>
    <cfRule type="colorScale" priority="9161">
      <colorScale>
        <cfvo type="min"/>
        <cfvo type="percentile" val="50"/>
        <cfvo type="max"/>
        <color rgb="FF63BE7B"/>
        <color rgb="FFFFEB84"/>
        <color rgb="FFF8696B"/>
      </colorScale>
    </cfRule>
    <cfRule type="colorScale" priority="11337">
      <colorScale>
        <cfvo type="min"/>
        <cfvo type="percentile" val="50"/>
        <cfvo type="max"/>
        <color rgb="FF63BE7B"/>
        <color rgb="FFFFEB84"/>
        <color rgb="FFF8696B"/>
      </colorScale>
    </cfRule>
    <cfRule type="colorScale" priority="9160">
      <colorScale>
        <cfvo type="min"/>
        <cfvo type="percentile" val="50"/>
        <cfvo type="max"/>
        <color rgb="FF63BE7B"/>
        <color rgb="FFFFEB84"/>
        <color rgb="FFF8696B"/>
      </colorScale>
    </cfRule>
    <cfRule type="colorScale" priority="9158">
      <colorScale>
        <cfvo type="min"/>
        <cfvo type="percentile" val="50"/>
        <cfvo type="max"/>
        <color rgb="FF63BE7B"/>
        <color rgb="FFFFEB84"/>
        <color rgb="FFF8696B"/>
      </colorScale>
    </cfRule>
    <cfRule type="colorScale" priority="9157">
      <colorScale>
        <cfvo type="min"/>
        <cfvo type="percentile" val="50"/>
        <cfvo type="max"/>
        <color rgb="FF63BE7B"/>
        <color rgb="FFFFEB84"/>
        <color rgb="FFF8696B"/>
      </colorScale>
    </cfRule>
    <cfRule type="colorScale" priority="9156">
      <colorScale>
        <cfvo type="min"/>
        <cfvo type="percentile" val="50"/>
        <cfvo type="max"/>
        <color rgb="FF63BE7B"/>
        <color rgb="FFFFEB84"/>
        <color rgb="FFF8696B"/>
      </colorScale>
    </cfRule>
    <cfRule type="colorScale" priority="9155">
      <colorScale>
        <cfvo type="min"/>
        <cfvo type="percentile" val="50"/>
        <cfvo type="max"/>
        <color rgb="FF63BE7B"/>
        <color rgb="FFFFEB84"/>
        <color rgb="FFF8696B"/>
      </colorScale>
    </cfRule>
    <cfRule type="colorScale" priority="10373">
      <colorScale>
        <cfvo type="min"/>
        <cfvo type="percentile" val="50"/>
        <cfvo type="max"/>
        <color rgb="FF63BE7B"/>
        <color rgb="FFFFEB84"/>
        <color rgb="FFF8696B"/>
      </colorScale>
    </cfRule>
    <cfRule type="colorScale" priority="11340">
      <colorScale>
        <cfvo type="min"/>
        <cfvo type="percentile" val="50"/>
        <cfvo type="max"/>
        <color rgb="FF63BE7B"/>
        <color rgb="FFFFEB84"/>
        <color rgb="FFF8696B"/>
      </colorScale>
    </cfRule>
    <cfRule type="colorScale" priority="9187">
      <colorScale>
        <cfvo type="min"/>
        <cfvo type="percentile" val="50"/>
        <cfvo type="max"/>
        <color rgb="FF63BE7B"/>
        <color rgb="FFFFEB84"/>
        <color rgb="FFF8696B"/>
      </colorScale>
    </cfRule>
    <cfRule type="colorScale" priority="8208">
      <colorScale>
        <cfvo type="min"/>
        <cfvo type="percentile" val="50"/>
        <cfvo type="max"/>
        <color rgb="FF63BE7B"/>
        <color rgb="FFFFEB84"/>
        <color rgb="FFF8696B"/>
      </colorScale>
    </cfRule>
    <cfRule type="colorScale" priority="11342">
      <colorScale>
        <cfvo type="min"/>
        <cfvo type="percentile" val="50"/>
        <cfvo type="max"/>
        <color rgb="FF63BE7B"/>
        <color rgb="FFFFEB84"/>
        <color rgb="FFF8696B"/>
      </colorScale>
    </cfRule>
    <cfRule type="colorScale" priority="9185">
      <colorScale>
        <cfvo type="min"/>
        <cfvo type="percentile" val="50"/>
        <cfvo type="max"/>
        <color rgb="FF63BE7B"/>
        <color rgb="FFFFEB84"/>
        <color rgb="FFF8696B"/>
      </colorScale>
    </cfRule>
    <cfRule type="colorScale" priority="11206">
      <colorScale>
        <cfvo type="min"/>
        <cfvo type="percentile" val="50"/>
        <cfvo type="max"/>
        <color rgb="FF63BE7B"/>
        <color rgb="FFFFEB84"/>
        <color rgb="FFF8696B"/>
      </colorScale>
    </cfRule>
    <cfRule type="colorScale" priority="9184">
      <colorScale>
        <cfvo type="min"/>
        <cfvo type="percentile" val="50"/>
        <cfvo type="max"/>
        <color rgb="FF63BE7B"/>
        <color rgb="FFFFEB84"/>
        <color rgb="FFF8696B"/>
      </colorScale>
    </cfRule>
    <cfRule type="colorScale" priority="9183">
      <colorScale>
        <cfvo type="min"/>
        <cfvo type="percentile" val="50"/>
        <cfvo type="max"/>
        <color rgb="FF63BE7B"/>
        <color rgb="FFFFEB84"/>
        <color rgb="FFF8696B"/>
      </colorScale>
    </cfRule>
    <cfRule type="colorScale" priority="10381">
      <colorScale>
        <cfvo type="min"/>
        <cfvo type="percentile" val="50"/>
        <cfvo type="max"/>
        <color rgb="FF63BE7B"/>
        <color rgb="FFFFEB84"/>
        <color rgb="FFF8696B"/>
      </colorScale>
    </cfRule>
    <cfRule type="colorScale" priority="10382">
      <colorScale>
        <cfvo type="min"/>
        <cfvo type="percentile" val="50"/>
        <cfvo type="max"/>
        <color rgb="FF63BE7B"/>
        <color rgb="FFFFEB84"/>
        <color rgb="FFF8696B"/>
      </colorScale>
    </cfRule>
    <cfRule type="colorScale" priority="10383">
      <colorScale>
        <cfvo type="min"/>
        <cfvo type="percentile" val="50"/>
        <cfvo type="max"/>
        <color rgb="FF63BE7B"/>
        <color rgb="FFFFEB84"/>
        <color rgb="FFF8696B"/>
      </colorScale>
    </cfRule>
    <cfRule type="colorScale" priority="10384">
      <colorScale>
        <cfvo type="min"/>
        <cfvo type="percentile" val="50"/>
        <cfvo type="max"/>
        <color rgb="FF63BE7B"/>
        <color rgb="FFFFEB84"/>
        <color rgb="FFF8696B"/>
      </colorScale>
    </cfRule>
    <cfRule type="colorScale" priority="10386">
      <colorScale>
        <cfvo type="min"/>
        <cfvo type="percentile" val="50"/>
        <cfvo type="max"/>
        <color rgb="FF63BE7B"/>
        <color rgb="FFFFEB84"/>
        <color rgb="FFF8696B"/>
      </colorScale>
    </cfRule>
    <cfRule type="colorScale" priority="10387">
      <colorScale>
        <cfvo type="min"/>
        <cfvo type="percentile" val="50"/>
        <cfvo type="max"/>
        <color rgb="FF63BE7B"/>
        <color rgb="FFFFEB84"/>
        <color rgb="FFF8696B"/>
      </colorScale>
    </cfRule>
    <cfRule type="colorScale" priority="8195">
      <colorScale>
        <cfvo type="min"/>
        <cfvo type="percentile" val="50"/>
        <cfvo type="max"/>
        <color rgb="FF63BE7B"/>
        <color rgb="FFFFEB84"/>
        <color rgb="FFF8696B"/>
      </colorScale>
    </cfRule>
    <cfRule type="colorScale" priority="9182">
      <colorScale>
        <cfvo type="min"/>
        <cfvo type="percentile" val="50"/>
        <cfvo type="max"/>
        <color rgb="FF63BE7B"/>
        <color rgb="FFFFEB84"/>
        <color rgb="FFF8696B"/>
      </colorScale>
    </cfRule>
    <cfRule type="colorScale" priority="11339">
      <colorScale>
        <cfvo type="min"/>
        <cfvo type="percentile" val="50"/>
        <cfvo type="max"/>
        <color rgb="FF63BE7B"/>
        <color rgb="FFFFEB84"/>
        <color rgb="FFF8696B"/>
      </colorScale>
    </cfRule>
    <cfRule type="colorScale" priority="8194">
      <colorScale>
        <cfvo type="min"/>
        <cfvo type="percentile" val="50"/>
        <cfvo type="max"/>
        <color rgb="FF63BE7B"/>
        <color rgb="FFFFEB84"/>
        <color rgb="FFF8696B"/>
      </colorScale>
    </cfRule>
    <cfRule type="colorScale" priority="8192">
      <colorScale>
        <cfvo type="min"/>
        <cfvo type="percentile" val="50"/>
        <cfvo type="max"/>
        <color rgb="FF63BE7B"/>
        <color rgb="FFFFEB84"/>
        <color rgb="FFF8696B"/>
      </colorScale>
    </cfRule>
    <cfRule type="colorScale" priority="8191">
      <colorScale>
        <cfvo type="min"/>
        <cfvo type="percentile" val="50"/>
        <cfvo type="max"/>
        <color rgb="FF63BE7B"/>
        <color rgb="FFFFEB84"/>
        <color rgb="FFF8696B"/>
      </colorScale>
    </cfRule>
    <cfRule type="colorScale" priority="8190">
      <colorScale>
        <cfvo type="min"/>
        <cfvo type="percentile" val="50"/>
        <cfvo type="max"/>
        <color rgb="FF63BE7B"/>
        <color rgb="FFFFEB84"/>
        <color rgb="FFF8696B"/>
      </colorScale>
    </cfRule>
    <cfRule type="colorScale" priority="8189">
      <colorScale>
        <cfvo type="min"/>
        <cfvo type="percentile" val="50"/>
        <cfvo type="max"/>
        <color rgb="FF63BE7B"/>
        <color rgb="FFFFEB84"/>
        <color rgb="FFF8696B"/>
      </colorScale>
    </cfRule>
    <cfRule type="colorScale" priority="8181">
      <colorScale>
        <cfvo type="min"/>
        <cfvo type="percentile" val="50"/>
        <cfvo type="max"/>
        <color rgb="FF63BE7B"/>
        <color rgb="FFFFEB84"/>
        <color rgb="FFF8696B"/>
      </colorScale>
    </cfRule>
    <cfRule type="colorScale" priority="8221">
      <colorScale>
        <cfvo type="min"/>
        <cfvo type="percentile" val="50"/>
        <cfvo type="max"/>
        <color rgb="FF63BE7B"/>
        <color rgb="FFFFEB84"/>
        <color rgb="FFF8696B"/>
      </colorScale>
    </cfRule>
  </conditionalFormatting>
  <conditionalFormatting sqref="N35:N41">
    <cfRule type="colorScale" priority="9189">
      <colorScale>
        <cfvo type="min"/>
        <cfvo type="percentile" val="50"/>
        <cfvo type="max"/>
        <color rgb="FF63BE7B"/>
        <color rgb="FFFFEB84"/>
        <color rgb="FFF8696B"/>
      </colorScale>
    </cfRule>
    <cfRule type="colorScale" priority="9146">
      <colorScale>
        <cfvo type="min"/>
        <cfvo type="percentile" val="50"/>
        <cfvo type="max"/>
        <color rgb="FF63BE7B"/>
        <color rgb="FFFFEB84"/>
        <color rgb="FFF8696B"/>
      </colorScale>
    </cfRule>
    <cfRule type="colorScale" priority="9145">
      <colorScale>
        <cfvo type="min"/>
        <cfvo type="percentile" val="50"/>
        <cfvo type="max"/>
        <color rgb="FF63BE7B"/>
        <color rgb="FFFFEB84"/>
        <color rgb="FFF8696B"/>
      </colorScale>
    </cfRule>
    <cfRule type="colorScale" priority="8224">
      <colorScale>
        <cfvo type="min"/>
        <cfvo type="percentile" val="50"/>
        <cfvo type="max"/>
        <color rgb="FF63BE7B"/>
        <color rgb="FFFFEB84"/>
        <color rgb="FFF8696B"/>
      </colorScale>
    </cfRule>
    <cfRule type="colorScale" priority="8225">
      <colorScale>
        <cfvo type="min"/>
        <cfvo type="percentile" val="50"/>
        <cfvo type="max"/>
        <color rgb="FF63BE7B"/>
        <color rgb="FFFFEB84"/>
        <color rgb="FFF8696B"/>
      </colorScale>
    </cfRule>
    <cfRule type="colorScale" priority="8226">
      <colorScale>
        <cfvo type="min"/>
        <cfvo type="percentile" val="50"/>
        <cfvo type="max"/>
        <color rgb="FF63BE7B"/>
        <color rgb="FFFFEB84"/>
        <color rgb="FFF8696B"/>
      </colorScale>
    </cfRule>
    <cfRule type="colorScale" priority="8227">
      <colorScale>
        <cfvo type="min"/>
        <cfvo type="percentile" val="50"/>
        <cfvo type="max"/>
        <color rgb="FF63BE7B"/>
        <color rgb="FFFFEB84"/>
        <color rgb="FFF8696B"/>
      </colorScale>
    </cfRule>
    <cfRule type="colorScale" priority="8228">
      <colorScale>
        <cfvo type="min"/>
        <cfvo type="percentile" val="50"/>
        <cfvo type="max"/>
        <color rgb="FF63BE7B"/>
        <color rgb="FFFFEB84"/>
        <color rgb="FFF8696B"/>
      </colorScale>
    </cfRule>
    <cfRule type="colorScale" priority="8229">
      <colorScale>
        <cfvo type="min"/>
        <cfvo type="percentile" val="50"/>
        <cfvo type="max"/>
        <color rgb="FF63BE7B"/>
        <color rgb="FFFFEB84"/>
        <color rgb="FFF8696B"/>
      </colorScale>
    </cfRule>
    <cfRule type="colorScale" priority="8231">
      <colorScale>
        <cfvo type="min"/>
        <cfvo type="percentile" val="50"/>
        <cfvo type="max"/>
        <color rgb="FF63BE7B"/>
        <color rgb="FFFFEB84"/>
        <color rgb="FFF8696B"/>
      </colorScale>
    </cfRule>
    <cfRule type="colorScale" priority="8232">
      <colorScale>
        <cfvo type="min"/>
        <cfvo type="percentile" val="50"/>
        <cfvo type="max"/>
        <color rgb="FF63BE7B"/>
        <color rgb="FFFFEB84"/>
        <color rgb="FFF8696B"/>
      </colorScale>
    </cfRule>
    <cfRule type="colorScale" priority="9173">
      <colorScale>
        <cfvo type="min"/>
        <cfvo type="percentile" val="50"/>
        <cfvo type="max"/>
        <color rgb="FF63BE7B"/>
        <color rgb="FFFFEB84"/>
        <color rgb="FFF8696B"/>
      </colorScale>
    </cfRule>
    <cfRule type="colorScale" priority="9170">
      <colorScale>
        <cfvo type="min"/>
        <cfvo type="percentile" val="50"/>
        <cfvo type="max"/>
        <color rgb="FF63BE7B"/>
        <color rgb="FFFFEB84"/>
        <color rgb="FFF8696B"/>
      </colorScale>
    </cfRule>
    <cfRule type="colorScale" priority="9168">
      <colorScale>
        <cfvo type="min"/>
        <cfvo type="percentile" val="50"/>
        <cfvo type="max"/>
        <color rgb="FF63BE7B"/>
        <color rgb="FFFFEB84"/>
        <color rgb="FFF8696B"/>
      </colorScale>
    </cfRule>
    <cfRule type="colorScale" priority="9167">
      <colorScale>
        <cfvo type="min"/>
        <cfvo type="percentile" val="50"/>
        <cfvo type="max"/>
        <color rgb="FF63BE7B"/>
        <color rgb="FFFFEB84"/>
        <color rgb="FFF8696B"/>
      </colorScale>
    </cfRule>
    <cfRule type="colorScale" priority="9166">
      <colorScale>
        <cfvo type="min"/>
        <cfvo type="percentile" val="50"/>
        <cfvo type="max"/>
        <color rgb="FF63BE7B"/>
        <color rgb="FFFFEB84"/>
        <color rgb="FFF8696B"/>
      </colorScale>
    </cfRule>
    <cfRule type="colorScale" priority="9165">
      <colorScale>
        <cfvo type="min"/>
        <cfvo type="percentile" val="50"/>
        <cfvo type="max"/>
        <color rgb="FF63BE7B"/>
        <color rgb="FFFFEB84"/>
        <color rgb="FFF8696B"/>
      </colorScale>
    </cfRule>
    <cfRule type="colorScale" priority="9164">
      <colorScale>
        <cfvo type="min"/>
        <cfvo type="percentile" val="50"/>
        <cfvo type="max"/>
        <color rgb="FF63BE7B"/>
        <color rgb="FFFFEB84"/>
        <color rgb="FFF8696B"/>
      </colorScale>
    </cfRule>
    <cfRule type="colorScale" priority="8206">
      <colorScale>
        <cfvo type="min"/>
        <cfvo type="percentile" val="50"/>
        <cfvo type="max"/>
        <color rgb="FF63BE7B"/>
        <color rgb="FFFFEB84"/>
        <color rgb="FFF8696B"/>
      </colorScale>
    </cfRule>
    <cfRule type="colorScale" priority="9163">
      <colorScale>
        <cfvo type="min"/>
        <cfvo type="percentile" val="50"/>
        <cfvo type="max"/>
        <color rgb="FF63BE7B"/>
        <color rgb="FFFFEB84"/>
        <color rgb="FFF8696B"/>
      </colorScale>
    </cfRule>
    <cfRule type="colorScale" priority="9175">
      <colorScale>
        <cfvo type="min"/>
        <cfvo type="percentile" val="50"/>
        <cfvo type="max"/>
        <color rgb="FF63BE7B"/>
        <color rgb="FFFFEB84"/>
        <color rgb="FFF8696B"/>
      </colorScale>
    </cfRule>
    <cfRule type="colorScale" priority="9176">
      <colorScale>
        <cfvo type="min"/>
        <cfvo type="percentile" val="50"/>
        <cfvo type="max"/>
        <color rgb="FF63BE7B"/>
        <color rgb="FFFFEB84"/>
        <color rgb="FFF8696B"/>
      </colorScale>
    </cfRule>
    <cfRule type="colorScale" priority="9177">
      <colorScale>
        <cfvo type="min"/>
        <cfvo type="percentile" val="50"/>
        <cfvo type="max"/>
        <color rgb="FF63BE7B"/>
        <color rgb="FFFFEB84"/>
        <color rgb="FFF8696B"/>
      </colorScale>
    </cfRule>
    <cfRule type="colorScale" priority="9178">
      <colorScale>
        <cfvo type="min"/>
        <cfvo type="percentile" val="50"/>
        <cfvo type="max"/>
        <color rgb="FF63BE7B"/>
        <color rgb="FFFFEB84"/>
        <color rgb="FFF8696B"/>
      </colorScale>
    </cfRule>
    <cfRule type="colorScale" priority="9153">
      <colorScale>
        <cfvo type="min"/>
        <cfvo type="percentile" val="50"/>
        <cfvo type="max"/>
        <color rgb="FF63BE7B"/>
        <color rgb="FFFFEB84"/>
        <color rgb="FFF8696B"/>
      </colorScale>
    </cfRule>
    <cfRule type="colorScale" priority="9179">
      <colorScale>
        <cfvo type="min"/>
        <cfvo type="percentile" val="50"/>
        <cfvo type="max"/>
        <color rgb="FF63BE7B"/>
        <color rgb="FFFFEB84"/>
        <color rgb="FFF8696B"/>
      </colorScale>
    </cfRule>
    <cfRule type="colorScale" priority="9180">
      <colorScale>
        <cfvo type="min"/>
        <cfvo type="percentile" val="50"/>
        <cfvo type="max"/>
        <color rgb="FF63BE7B"/>
        <color rgb="FFFFEB84"/>
        <color rgb="FFF8696B"/>
      </colorScale>
    </cfRule>
    <cfRule type="colorScale" priority="11207">
      <colorScale>
        <cfvo type="min"/>
        <cfvo type="percentile" val="50"/>
        <cfvo type="max"/>
        <color rgb="FF63BE7B"/>
        <color rgb="FFFFEB84"/>
        <color rgb="FFF8696B"/>
      </colorScale>
    </cfRule>
    <cfRule type="colorScale" priority="9162">
      <colorScale>
        <cfvo type="min"/>
        <cfvo type="percentile" val="50"/>
        <cfvo type="max"/>
        <color rgb="FF63BE7B"/>
        <color rgb="FFFFEB84"/>
        <color rgb="FFF8696B"/>
      </colorScale>
    </cfRule>
    <cfRule type="colorScale" priority="9152">
      <colorScale>
        <cfvo type="min"/>
        <cfvo type="percentile" val="50"/>
        <cfvo type="max"/>
        <color rgb="FF63BE7B"/>
        <color rgb="FFFFEB84"/>
        <color rgb="FFF8696B"/>
      </colorScale>
    </cfRule>
    <cfRule type="colorScale" priority="9198">
      <colorScale>
        <cfvo type="min"/>
        <cfvo type="percentile" val="50"/>
        <cfvo type="max"/>
        <color rgb="FF63BE7B"/>
        <color rgb="FFFFEB84"/>
        <color rgb="FFF8696B"/>
      </colorScale>
    </cfRule>
    <cfRule type="colorScale" priority="9151">
      <colorScale>
        <cfvo type="min"/>
        <cfvo type="percentile" val="50"/>
        <cfvo type="max"/>
        <color rgb="FF63BE7B"/>
        <color rgb="FFFFEB84"/>
        <color rgb="FFF8696B"/>
      </colorScale>
    </cfRule>
    <cfRule type="colorScale" priority="9150">
      <colorScale>
        <cfvo type="min"/>
        <cfvo type="percentile" val="50"/>
        <cfvo type="max"/>
        <color rgb="FF63BE7B"/>
        <color rgb="FFFFEB84"/>
        <color rgb="FFF8696B"/>
      </colorScale>
    </cfRule>
    <cfRule type="colorScale" priority="9149">
      <colorScale>
        <cfvo type="min"/>
        <cfvo type="percentile" val="50"/>
        <cfvo type="max"/>
        <color rgb="FF63BE7B"/>
        <color rgb="FFFFEB84"/>
        <color rgb="FFF8696B"/>
      </colorScale>
    </cfRule>
    <cfRule type="colorScale" priority="9148">
      <colorScale>
        <cfvo type="min"/>
        <cfvo type="percentile" val="50"/>
        <cfvo type="max"/>
        <color rgb="FF63BE7B"/>
        <color rgb="FFFFEB84"/>
        <color rgb="FFF8696B"/>
      </colorScale>
    </cfRule>
    <cfRule type="colorScale" priority="11210">
      <colorScale>
        <cfvo type="min"/>
        <cfvo type="percentile" val="50"/>
        <cfvo type="max"/>
        <color rgb="FF63BE7B"/>
        <color rgb="FFFFEB84"/>
        <color rgb="FFF8696B"/>
      </colorScale>
    </cfRule>
    <cfRule type="colorScale" priority="11211">
      <colorScale>
        <cfvo type="min"/>
        <cfvo type="percentile" val="50"/>
        <cfvo type="max"/>
        <color rgb="FF63BE7B"/>
        <color rgb="FFFFEB84"/>
        <color rgb="FFF8696B"/>
      </colorScale>
    </cfRule>
    <cfRule type="colorScale" priority="11212">
      <colorScale>
        <cfvo type="min"/>
        <cfvo type="percentile" val="50"/>
        <cfvo type="max"/>
        <color rgb="FF63BE7B"/>
        <color rgb="FFFFEB84"/>
        <color rgb="FFF8696B"/>
      </colorScale>
    </cfRule>
    <cfRule type="colorScale" priority="11213">
      <colorScale>
        <cfvo type="min"/>
        <cfvo type="percentile" val="50"/>
        <cfvo type="max"/>
        <color rgb="FF63BE7B"/>
        <color rgb="FFFFEB84"/>
        <color rgb="FFF8696B"/>
      </colorScale>
    </cfRule>
    <cfRule type="colorScale" priority="8202">
      <colorScale>
        <cfvo type="min"/>
        <cfvo type="percentile" val="50"/>
        <cfvo type="max"/>
        <color rgb="FF63BE7B"/>
        <color rgb="FFFFEB84"/>
        <color rgb="FFF8696B"/>
      </colorScale>
    </cfRule>
    <cfRule type="colorScale" priority="11208">
      <colorScale>
        <cfvo type="min"/>
        <cfvo type="percentile" val="50"/>
        <cfvo type="max"/>
        <color rgb="FF63BE7B"/>
        <color rgb="FFFFEB84"/>
        <color rgb="FFF8696B"/>
      </colorScale>
    </cfRule>
    <cfRule type="colorScale" priority="8204">
      <colorScale>
        <cfvo type="min"/>
        <cfvo type="percentile" val="50"/>
        <cfvo type="max"/>
        <color rgb="FF63BE7B"/>
        <color rgb="FFFFEB84"/>
        <color rgb="FFF8696B"/>
      </colorScale>
    </cfRule>
    <cfRule type="colorScale" priority="8205">
      <colorScale>
        <cfvo type="min"/>
        <cfvo type="percentile" val="50"/>
        <cfvo type="max"/>
        <color rgb="FF63BE7B"/>
        <color rgb="FFFFEB84"/>
        <color rgb="FFF8696B"/>
      </colorScale>
    </cfRule>
    <cfRule type="colorScale" priority="9154">
      <colorScale>
        <cfvo type="min"/>
        <cfvo type="percentile" val="50"/>
        <cfvo type="max"/>
        <color rgb="FF63BE7B"/>
        <color rgb="FFFFEB84"/>
        <color rgb="FFF8696B"/>
      </colorScale>
    </cfRule>
    <cfRule type="colorScale" priority="8207">
      <colorScale>
        <cfvo type="min"/>
        <cfvo type="percentile" val="50"/>
        <cfvo type="max"/>
        <color rgb="FF63BE7B"/>
        <color rgb="FFFFEB84"/>
        <color rgb="FFF8696B"/>
      </colorScale>
    </cfRule>
    <cfRule type="colorScale" priority="11205">
      <colorScale>
        <cfvo type="min"/>
        <cfvo type="percentile" val="50"/>
        <cfvo type="max"/>
        <color rgb="FF63BE7B"/>
        <color rgb="FFFFEB84"/>
        <color rgb="FFF8696B"/>
      </colorScale>
    </cfRule>
    <cfRule type="colorScale" priority="11204">
      <colorScale>
        <cfvo type="min"/>
        <cfvo type="percentile" val="50"/>
        <cfvo type="max"/>
        <color rgb="FF63BE7B"/>
        <color rgb="FFFFEB84"/>
        <color rgb="FFF8696B"/>
      </colorScale>
    </cfRule>
    <cfRule type="colorScale" priority="11209">
      <colorScale>
        <cfvo type="min"/>
        <cfvo type="percentile" val="50"/>
        <cfvo type="max"/>
        <color rgb="FF63BE7B"/>
        <color rgb="FFFFEB84"/>
        <color rgb="FFF8696B"/>
      </colorScale>
    </cfRule>
    <cfRule type="colorScale" priority="8179">
      <colorScale>
        <cfvo type="min"/>
        <cfvo type="percentile" val="50"/>
        <cfvo type="max"/>
        <color rgb="FF63BE7B"/>
        <color rgb="FFFFEB84"/>
        <color rgb="FFF8696B"/>
      </colorScale>
    </cfRule>
    <cfRule type="colorScale" priority="10371">
      <colorScale>
        <cfvo type="min"/>
        <cfvo type="percentile" val="50"/>
        <cfvo type="max"/>
        <color rgb="FF63BE7B"/>
        <color rgb="FFFFEB84"/>
        <color rgb="FFF8696B"/>
      </colorScale>
    </cfRule>
    <cfRule type="colorScale" priority="10372">
      <colorScale>
        <cfvo type="min"/>
        <cfvo type="percentile" val="50"/>
        <cfvo type="max"/>
        <color rgb="FF63BE7B"/>
        <color rgb="FFFFEB84"/>
        <color rgb="FFF8696B"/>
      </colorScale>
    </cfRule>
    <cfRule type="colorScale" priority="8209">
      <colorScale>
        <cfvo type="min"/>
        <cfvo type="percentile" val="50"/>
        <cfvo type="max"/>
        <color rgb="FF63BE7B"/>
        <color rgb="FFFFEB84"/>
        <color rgb="FFF8696B"/>
      </colorScale>
    </cfRule>
    <cfRule type="colorScale" priority="10374">
      <colorScale>
        <cfvo type="min"/>
        <cfvo type="percentile" val="50"/>
        <cfvo type="max"/>
        <color rgb="FF63BE7B"/>
        <color rgb="FFFFEB84"/>
        <color rgb="FFF8696B"/>
      </colorScale>
    </cfRule>
    <cfRule type="colorScale" priority="10375">
      <colorScale>
        <cfvo type="min"/>
        <cfvo type="percentile" val="50"/>
        <cfvo type="max"/>
        <color rgb="FF63BE7B"/>
        <color rgb="FFFFEB84"/>
        <color rgb="FFF8696B"/>
      </colorScale>
    </cfRule>
    <cfRule type="colorScale" priority="10376">
      <colorScale>
        <cfvo type="min"/>
        <cfvo type="percentile" val="50"/>
        <cfvo type="max"/>
        <color rgb="FF63BE7B"/>
        <color rgb="FFFFEB84"/>
        <color rgb="FFF8696B"/>
      </colorScale>
    </cfRule>
    <cfRule type="colorScale" priority="10377">
      <colorScale>
        <cfvo type="min"/>
        <cfvo type="percentile" val="50"/>
        <cfvo type="max"/>
        <color rgb="FF63BE7B"/>
        <color rgb="FFFFEB84"/>
        <color rgb="FFF8696B"/>
      </colorScale>
    </cfRule>
    <cfRule type="colorScale" priority="10378">
      <colorScale>
        <cfvo type="min"/>
        <cfvo type="percentile" val="50"/>
        <cfvo type="max"/>
        <color rgb="FF63BE7B"/>
        <color rgb="FFFFEB84"/>
        <color rgb="FFF8696B"/>
      </colorScale>
    </cfRule>
    <cfRule type="colorScale" priority="10379">
      <colorScale>
        <cfvo type="min"/>
        <cfvo type="percentile" val="50"/>
        <cfvo type="max"/>
        <color rgb="FF63BE7B"/>
        <color rgb="FFFFEB84"/>
        <color rgb="FFF8696B"/>
      </colorScale>
    </cfRule>
    <cfRule type="colorScale" priority="10380">
      <colorScale>
        <cfvo type="min"/>
        <cfvo type="percentile" val="50"/>
        <cfvo type="max"/>
        <color rgb="FF63BE7B"/>
        <color rgb="FFFFEB84"/>
        <color rgb="FFF8696B"/>
      </colorScale>
    </cfRule>
    <cfRule type="colorScale" priority="8210">
      <colorScale>
        <cfvo type="min"/>
        <cfvo type="percentile" val="50"/>
        <cfvo type="max"/>
        <color rgb="FF63BE7B"/>
        <color rgb="FFFFEB84"/>
        <color rgb="FFF8696B"/>
      </colorScale>
    </cfRule>
    <cfRule type="colorScale" priority="8211">
      <colorScale>
        <cfvo type="min"/>
        <cfvo type="percentile" val="50"/>
        <cfvo type="max"/>
        <color rgb="FF63BE7B"/>
        <color rgb="FFFFEB84"/>
        <color rgb="FFF8696B"/>
      </colorScale>
    </cfRule>
    <cfRule type="colorScale" priority="8212">
      <colorScale>
        <cfvo type="min"/>
        <cfvo type="percentile" val="50"/>
        <cfvo type="max"/>
        <color rgb="FF63BE7B"/>
        <color rgb="FFFFEB84"/>
        <color rgb="FFF8696B"/>
      </colorScale>
    </cfRule>
    <cfRule type="colorScale" priority="8213">
      <colorScale>
        <cfvo type="min"/>
        <cfvo type="percentile" val="50"/>
        <cfvo type="max"/>
        <color rgb="FF63BE7B"/>
        <color rgb="FFFFEB84"/>
        <color rgb="FFF8696B"/>
      </colorScale>
    </cfRule>
    <cfRule type="colorScale" priority="8214">
      <colorScale>
        <cfvo type="min"/>
        <cfvo type="percentile" val="50"/>
        <cfvo type="max"/>
        <color rgb="FF63BE7B"/>
        <color rgb="FFFFEB84"/>
        <color rgb="FFF8696B"/>
      </colorScale>
    </cfRule>
    <cfRule type="colorScale" priority="8215">
      <colorScale>
        <cfvo type="min"/>
        <cfvo type="percentile" val="50"/>
        <cfvo type="max"/>
        <color rgb="FF63BE7B"/>
        <color rgb="FFFFEB84"/>
        <color rgb="FFF8696B"/>
      </colorScale>
    </cfRule>
    <cfRule type="colorScale" priority="10388">
      <colorScale>
        <cfvo type="min"/>
        <cfvo type="percentile" val="50"/>
        <cfvo type="max"/>
        <color rgb="FF63BE7B"/>
        <color rgb="FFFFEB84"/>
        <color rgb="FFF8696B"/>
      </colorScale>
    </cfRule>
    <cfRule type="colorScale" priority="10389">
      <colorScale>
        <cfvo type="min"/>
        <cfvo type="percentile" val="50"/>
        <cfvo type="max"/>
        <color rgb="FF63BE7B"/>
        <color rgb="FFFFEB84"/>
        <color rgb="FFF8696B"/>
      </colorScale>
    </cfRule>
    <cfRule type="colorScale" priority="10390">
      <colorScale>
        <cfvo type="min"/>
        <cfvo type="percentile" val="50"/>
        <cfvo type="max"/>
        <color rgb="FF63BE7B"/>
        <color rgb="FFFFEB84"/>
        <color rgb="FFF8696B"/>
      </colorScale>
    </cfRule>
    <cfRule type="colorScale" priority="10391">
      <colorScale>
        <cfvo type="min"/>
        <cfvo type="percentile" val="50"/>
        <cfvo type="max"/>
        <color rgb="FF63BE7B"/>
        <color rgb="FFFFEB84"/>
        <color rgb="FFF8696B"/>
      </colorScale>
    </cfRule>
    <cfRule type="colorScale" priority="10392">
      <colorScale>
        <cfvo type="min"/>
        <cfvo type="percentile" val="50"/>
        <cfvo type="max"/>
        <color rgb="FF63BE7B"/>
        <color rgb="FFFFEB84"/>
        <color rgb="FFF8696B"/>
      </colorScale>
    </cfRule>
    <cfRule type="colorScale" priority="10393">
      <colorScale>
        <cfvo type="min"/>
        <cfvo type="percentile" val="50"/>
        <cfvo type="max"/>
        <color rgb="FF63BE7B"/>
        <color rgb="FFFFEB84"/>
        <color rgb="FFF8696B"/>
      </colorScale>
    </cfRule>
    <cfRule type="colorScale" priority="10394">
      <colorScale>
        <cfvo type="min"/>
        <cfvo type="percentile" val="50"/>
        <cfvo type="max"/>
        <color rgb="FF63BE7B"/>
        <color rgb="FFFFEB84"/>
        <color rgb="FFF8696B"/>
      </colorScale>
    </cfRule>
    <cfRule type="colorScale" priority="10396">
      <colorScale>
        <cfvo type="min"/>
        <cfvo type="percentile" val="50"/>
        <cfvo type="max"/>
        <color rgb="FF63BE7B"/>
        <color rgb="FFFFEB84"/>
        <color rgb="FFF8696B"/>
      </colorScale>
    </cfRule>
    <cfRule type="colorScale" priority="10397">
      <colorScale>
        <cfvo type="min"/>
        <cfvo type="percentile" val="50"/>
        <cfvo type="max"/>
        <color rgb="FF63BE7B"/>
        <color rgb="FFFFEB84"/>
        <color rgb="FFF8696B"/>
      </colorScale>
    </cfRule>
    <cfRule type="colorScale" priority="9181">
      <colorScale>
        <cfvo type="min"/>
        <cfvo type="percentile" val="50"/>
        <cfvo type="max"/>
        <color rgb="FF63BE7B"/>
        <color rgb="FFFFEB84"/>
        <color rgb="FFF8696B"/>
      </colorScale>
    </cfRule>
    <cfRule type="colorScale" priority="8201">
      <colorScale>
        <cfvo type="min"/>
        <cfvo type="percentile" val="50"/>
        <cfvo type="max"/>
        <color rgb="FF63BE7B"/>
        <color rgb="FFFFEB84"/>
        <color rgb="FFF8696B"/>
      </colorScale>
    </cfRule>
    <cfRule type="colorScale" priority="8200">
      <colorScale>
        <cfvo type="min"/>
        <cfvo type="percentile" val="50"/>
        <cfvo type="max"/>
        <color rgb="FF63BE7B"/>
        <color rgb="FFFFEB84"/>
        <color rgb="FFF8696B"/>
      </colorScale>
    </cfRule>
    <cfRule type="colorScale" priority="8199">
      <colorScale>
        <cfvo type="min"/>
        <cfvo type="percentile" val="50"/>
        <cfvo type="max"/>
        <color rgb="FF63BE7B"/>
        <color rgb="FFFFEB84"/>
        <color rgb="FFF8696B"/>
      </colorScale>
    </cfRule>
    <cfRule type="colorScale" priority="8198">
      <colorScale>
        <cfvo type="min"/>
        <cfvo type="percentile" val="50"/>
        <cfvo type="max"/>
        <color rgb="FF63BE7B"/>
        <color rgb="FFFFEB84"/>
        <color rgb="FFF8696B"/>
      </colorScale>
    </cfRule>
    <cfRule type="colorScale" priority="8197">
      <colorScale>
        <cfvo type="min"/>
        <cfvo type="percentile" val="50"/>
        <cfvo type="max"/>
        <color rgb="FF63BE7B"/>
        <color rgb="FFFFEB84"/>
        <color rgb="FFF8696B"/>
      </colorScale>
    </cfRule>
    <cfRule type="colorScale" priority="8196">
      <colorScale>
        <cfvo type="min"/>
        <cfvo type="percentile" val="50"/>
        <cfvo type="max"/>
        <color rgb="FF63BE7B"/>
        <color rgb="FFFFEB84"/>
        <color rgb="FFF8696B"/>
      </colorScale>
    </cfRule>
    <cfRule type="colorScale" priority="9171">
      <colorScale>
        <cfvo type="min"/>
        <cfvo type="percentile" val="50"/>
        <cfvo type="max"/>
        <color rgb="FF63BE7B"/>
        <color rgb="FFFFEB84"/>
        <color rgb="FFF8696B"/>
      </colorScale>
    </cfRule>
    <cfRule type="colorScale" priority="9172">
      <colorScale>
        <cfvo type="min"/>
        <cfvo type="percentile" val="50"/>
        <cfvo type="max"/>
        <color rgb="FF63BE7B"/>
        <color rgb="FFFFEB84"/>
        <color rgb="FFF8696B"/>
      </colorScale>
    </cfRule>
    <cfRule type="colorScale" priority="9195">
      <colorScale>
        <cfvo type="min"/>
        <cfvo type="percentile" val="50"/>
        <cfvo type="max"/>
        <color rgb="FF63BE7B"/>
        <color rgb="FFFFEB84"/>
        <color rgb="FFF8696B"/>
      </colorScale>
    </cfRule>
    <cfRule type="colorScale" priority="9194">
      <colorScale>
        <cfvo type="min"/>
        <cfvo type="percentile" val="50"/>
        <cfvo type="max"/>
        <color rgb="FF63BE7B"/>
        <color rgb="FFFFEB84"/>
        <color rgb="FFF8696B"/>
      </colorScale>
    </cfRule>
    <cfRule type="colorScale" priority="9193">
      <colorScale>
        <cfvo type="min"/>
        <cfvo type="percentile" val="50"/>
        <cfvo type="max"/>
        <color rgb="FF63BE7B"/>
        <color rgb="FFFFEB84"/>
        <color rgb="FFF8696B"/>
      </colorScale>
    </cfRule>
    <cfRule type="colorScale" priority="9192">
      <colorScale>
        <cfvo type="min"/>
        <cfvo type="percentile" val="50"/>
        <cfvo type="max"/>
        <color rgb="FF63BE7B"/>
        <color rgb="FFFFEB84"/>
        <color rgb="FFF8696B"/>
      </colorScale>
    </cfRule>
    <cfRule type="colorScale" priority="9191">
      <colorScale>
        <cfvo type="min"/>
        <cfvo type="percentile" val="50"/>
        <cfvo type="max"/>
        <color rgb="FF63BE7B"/>
        <color rgb="FFFFEB84"/>
        <color rgb="FFF8696B"/>
      </colorScale>
    </cfRule>
    <cfRule type="colorScale" priority="9190">
      <colorScale>
        <cfvo type="min"/>
        <cfvo type="percentile" val="50"/>
        <cfvo type="max"/>
        <color rgb="FF63BE7B"/>
        <color rgb="FFFFEB84"/>
        <color rgb="FFF8696B"/>
      </colorScale>
    </cfRule>
    <cfRule type="colorScale" priority="8188">
      <colorScale>
        <cfvo type="min"/>
        <cfvo type="percentile" val="50"/>
        <cfvo type="max"/>
        <color rgb="FF63BE7B"/>
        <color rgb="FFFFEB84"/>
        <color rgb="FFF8696B"/>
      </colorScale>
    </cfRule>
    <cfRule type="colorScale" priority="8187">
      <colorScale>
        <cfvo type="min"/>
        <cfvo type="percentile" val="50"/>
        <cfvo type="max"/>
        <color rgb="FF63BE7B"/>
        <color rgb="FFFFEB84"/>
        <color rgb="FFF8696B"/>
      </colorScale>
    </cfRule>
    <cfRule type="colorScale" priority="8186">
      <colorScale>
        <cfvo type="min"/>
        <cfvo type="percentile" val="50"/>
        <cfvo type="max"/>
        <color rgb="FF63BE7B"/>
        <color rgb="FFFFEB84"/>
        <color rgb="FFF8696B"/>
      </colorScale>
    </cfRule>
    <cfRule type="colorScale" priority="8185">
      <colorScale>
        <cfvo type="min"/>
        <cfvo type="percentile" val="50"/>
        <cfvo type="max"/>
        <color rgb="FF63BE7B"/>
        <color rgb="FFFFEB84"/>
        <color rgb="FFF8696B"/>
      </colorScale>
    </cfRule>
    <cfRule type="colorScale" priority="8184">
      <colorScale>
        <cfvo type="min"/>
        <cfvo type="percentile" val="50"/>
        <cfvo type="max"/>
        <color rgb="FF63BE7B"/>
        <color rgb="FFFFEB84"/>
        <color rgb="FFF8696B"/>
      </colorScale>
    </cfRule>
    <cfRule type="colorScale" priority="8183">
      <colorScale>
        <cfvo type="min"/>
        <cfvo type="percentile" val="50"/>
        <cfvo type="max"/>
        <color rgb="FF63BE7B"/>
        <color rgb="FFFFEB84"/>
        <color rgb="FFF8696B"/>
      </colorScale>
    </cfRule>
    <cfRule type="colorScale" priority="8182">
      <colorScale>
        <cfvo type="min"/>
        <cfvo type="percentile" val="50"/>
        <cfvo type="max"/>
        <color rgb="FF63BE7B"/>
        <color rgb="FFFFEB84"/>
        <color rgb="FFF8696B"/>
      </colorScale>
    </cfRule>
    <cfRule type="colorScale" priority="9197">
      <colorScale>
        <cfvo type="min"/>
        <cfvo type="percentile" val="50"/>
        <cfvo type="max"/>
        <color rgb="FF63BE7B"/>
        <color rgb="FFFFEB84"/>
        <color rgb="FFF8696B"/>
      </colorScale>
    </cfRule>
    <cfRule type="colorScale" priority="8180">
      <colorScale>
        <cfvo type="min"/>
        <cfvo type="percentile" val="50"/>
        <cfvo type="max"/>
        <color rgb="FF63BE7B"/>
        <color rgb="FFFFEB84"/>
        <color rgb="FFF8696B"/>
      </colorScale>
    </cfRule>
    <cfRule type="colorScale" priority="8223">
      <colorScale>
        <cfvo type="min"/>
        <cfvo type="percentile" val="50"/>
        <cfvo type="max"/>
        <color rgb="FF63BE7B"/>
        <color rgb="FFFFEB84"/>
        <color rgb="FFF8696B"/>
      </colorScale>
    </cfRule>
  </conditionalFormatting>
  <conditionalFormatting sqref="N36:N37">
    <cfRule type="colorScale" priority="10385">
      <colorScale>
        <cfvo type="min"/>
        <cfvo type="percentile" val="50"/>
        <cfvo type="max"/>
        <color rgb="FF63BE7B"/>
        <color rgb="FFFFEB84"/>
        <color rgb="FFF8696B"/>
      </colorScale>
    </cfRule>
    <cfRule type="colorScale" priority="8220">
      <colorScale>
        <cfvo type="min"/>
        <cfvo type="percentile" val="50"/>
        <cfvo type="max"/>
        <color rgb="FF63BE7B"/>
        <color rgb="FFFFEB84"/>
        <color rgb="FFF8696B"/>
      </colorScale>
    </cfRule>
    <cfRule type="colorScale" priority="8193">
      <colorScale>
        <cfvo type="min"/>
        <cfvo type="percentile" val="50"/>
        <cfvo type="max"/>
        <color rgb="FF63BE7B"/>
        <color rgb="FFFFEB84"/>
        <color rgb="FFF8696B"/>
      </colorScale>
    </cfRule>
    <cfRule type="colorScale" priority="11341">
      <colorScale>
        <cfvo type="min"/>
        <cfvo type="percentile" val="50"/>
        <cfvo type="max"/>
        <color rgb="FF63BE7B"/>
        <color rgb="FFFFEB84"/>
        <color rgb="FFF8696B"/>
      </colorScale>
    </cfRule>
    <cfRule type="colorScale" priority="9159">
      <colorScale>
        <cfvo type="min"/>
        <cfvo type="percentile" val="50"/>
        <cfvo type="max"/>
        <color rgb="FF63BE7B"/>
        <color rgb="FFFFEB84"/>
        <color rgb="FFF8696B"/>
      </colorScale>
    </cfRule>
    <cfRule type="colorScale" priority="9186">
      <colorScale>
        <cfvo type="min"/>
        <cfvo type="percentile" val="50"/>
        <cfvo type="max"/>
        <color rgb="FF63BE7B"/>
        <color rgb="FFFFEB84"/>
        <color rgb="FFF8696B"/>
      </colorScale>
    </cfRule>
  </conditionalFormatting>
  <conditionalFormatting sqref="N36:N41">
    <cfRule type="colorScale" priority="9196">
      <colorScale>
        <cfvo type="min"/>
        <cfvo type="percentile" val="50"/>
        <cfvo type="max"/>
        <color rgb="FF63BE7B"/>
        <color rgb="FFFFEB84"/>
        <color rgb="FFF8696B"/>
      </colorScale>
    </cfRule>
    <cfRule type="colorScale" priority="8203">
      <colorScale>
        <cfvo type="min"/>
        <cfvo type="percentile" val="50"/>
        <cfvo type="max"/>
        <color rgb="FF63BE7B"/>
        <color rgb="FFFFEB84"/>
        <color rgb="FFF8696B"/>
      </colorScale>
    </cfRule>
    <cfRule type="colorScale" priority="9169">
      <colorScale>
        <cfvo type="min"/>
        <cfvo type="percentile" val="50"/>
        <cfvo type="max"/>
        <color rgb="FF63BE7B"/>
        <color rgb="FFFFEB84"/>
        <color rgb="FFF8696B"/>
      </colorScale>
    </cfRule>
    <cfRule type="colorScale" priority="8230">
      <colorScale>
        <cfvo type="min"/>
        <cfvo type="percentile" val="50"/>
        <cfvo type="max"/>
        <color rgb="FF63BE7B"/>
        <color rgb="FFFFEB84"/>
        <color rgb="FFF8696B"/>
      </colorScale>
    </cfRule>
    <cfRule type="colorScale" priority="10395">
      <colorScale>
        <cfvo type="min"/>
        <cfvo type="percentile" val="50"/>
        <cfvo type="max"/>
        <color rgb="FF63BE7B"/>
        <color rgb="FFFFEB84"/>
        <color rgb="FFF8696B"/>
      </colorScale>
    </cfRule>
  </conditionalFormatting>
  <conditionalFormatting sqref="N42:N50">
    <cfRule type="colorScale" priority="7462">
      <colorScale>
        <cfvo type="min"/>
        <cfvo type="percentile" val="50"/>
        <cfvo type="max"/>
        <color rgb="FF63BE7B"/>
        <color rgb="FFFFEB84"/>
        <color rgb="FFF8696B"/>
      </colorScale>
    </cfRule>
  </conditionalFormatting>
  <conditionalFormatting sqref="N43:N47">
    <cfRule type="colorScale" priority="13045">
      <colorScale>
        <cfvo type="min"/>
        <cfvo type="percentile" val="50"/>
        <cfvo type="max"/>
        <color rgb="FF63BE7B"/>
        <color rgb="FFFFEB84"/>
        <color rgb="FFF8696B"/>
      </colorScale>
    </cfRule>
    <cfRule type="colorScale" priority="13044">
      <colorScale>
        <cfvo type="min"/>
        <cfvo type="percentile" val="50"/>
        <cfvo type="max"/>
        <color rgb="FF63BE7B"/>
        <color rgb="FFFFEB84"/>
        <color rgb="FFF8696B"/>
      </colorScale>
    </cfRule>
    <cfRule type="colorScale" priority="13043">
      <colorScale>
        <cfvo type="min"/>
        <cfvo type="percentile" val="50"/>
        <cfvo type="max"/>
        <color rgb="FF63BE7B"/>
        <color rgb="FFFFEB84"/>
        <color rgb="FFF8696B"/>
      </colorScale>
    </cfRule>
    <cfRule type="colorScale" priority="13042">
      <colorScale>
        <cfvo type="min"/>
        <cfvo type="percentile" val="50"/>
        <cfvo type="max"/>
        <color rgb="FF63BE7B"/>
        <color rgb="FFFFEB84"/>
        <color rgb="FFF8696B"/>
      </colorScale>
    </cfRule>
  </conditionalFormatting>
  <conditionalFormatting sqref="N51:N53">
    <cfRule type="colorScale" priority="4556">
      <colorScale>
        <cfvo type="min"/>
        <cfvo type="percentile" val="50"/>
        <cfvo type="max"/>
        <color rgb="FF63BE7B"/>
        <color rgb="FFFFEB84"/>
        <color rgb="FFF8696B"/>
      </colorScale>
    </cfRule>
    <cfRule type="colorScale" priority="477">
      <colorScale>
        <cfvo type="min"/>
        <cfvo type="percentile" val="50"/>
        <cfvo type="max"/>
        <color rgb="FF63BE7B"/>
        <color rgb="FFFFEB84"/>
        <color rgb="FFF8696B"/>
      </colorScale>
    </cfRule>
    <cfRule type="colorScale" priority="476">
      <colorScale>
        <cfvo type="min"/>
        <cfvo type="percentile" val="50"/>
        <cfvo type="max"/>
        <color rgb="FF63BE7B"/>
        <color rgb="FFFFEB84"/>
        <color rgb="FFF8696B"/>
      </colorScale>
    </cfRule>
    <cfRule type="colorScale" priority="448">
      <colorScale>
        <cfvo type="min"/>
        <cfvo type="percentile" val="50"/>
        <cfvo type="max"/>
        <color rgb="FFF8696B"/>
        <color rgb="FFFFEB84"/>
        <color rgb="FF63BE7B"/>
      </colorScale>
    </cfRule>
    <cfRule type="colorScale" priority="4529">
      <colorScale>
        <cfvo type="min"/>
        <cfvo type="percentile" val="50"/>
        <cfvo type="max"/>
        <color rgb="FF63BE7B"/>
        <color rgb="FFFFEB84"/>
        <color rgb="FFF8696B"/>
      </colorScale>
    </cfRule>
    <cfRule type="colorScale" priority="4557">
      <colorScale>
        <cfvo type="min"/>
        <cfvo type="percentile" val="50"/>
        <cfvo type="max"/>
        <color rgb="FF63BE7B"/>
        <color rgb="FFFFEB84"/>
        <color rgb="FFF8696B"/>
      </colorScale>
    </cfRule>
  </conditionalFormatting>
  <conditionalFormatting sqref="N52:N53">
    <cfRule type="colorScale" priority="486">
      <colorScale>
        <cfvo type="min"/>
        <cfvo type="percentile" val="50"/>
        <cfvo type="max"/>
        <color rgb="FF63BE7B"/>
        <color rgb="FFFFEB84"/>
        <color rgb="FFF8696B"/>
      </colorScale>
    </cfRule>
    <cfRule type="colorScale" priority="487">
      <colorScale>
        <cfvo type="min"/>
        <cfvo type="percentile" val="50"/>
        <cfvo type="max"/>
        <color rgb="FF63BE7B"/>
        <color rgb="FFFFEB84"/>
        <color rgb="FFF8696B"/>
      </colorScale>
    </cfRule>
    <cfRule type="colorScale" priority="488">
      <colorScale>
        <cfvo type="min"/>
        <cfvo type="percentile" val="50"/>
        <cfvo type="max"/>
        <color rgb="FF63BE7B"/>
        <color rgb="FFFFEB84"/>
        <color rgb="FFF8696B"/>
      </colorScale>
    </cfRule>
    <cfRule type="colorScale" priority="489">
      <colorScale>
        <cfvo type="min"/>
        <cfvo type="percentile" val="50"/>
        <cfvo type="max"/>
        <color rgb="FF63BE7B"/>
        <color rgb="FFFFEB84"/>
        <color rgb="FFF8696B"/>
      </colorScale>
    </cfRule>
    <cfRule type="colorScale" priority="490">
      <colorScale>
        <cfvo type="min"/>
        <cfvo type="percentile" val="50"/>
        <cfvo type="max"/>
        <color rgb="FF63BE7B"/>
        <color rgb="FFFFEB84"/>
        <color rgb="FFF8696B"/>
      </colorScale>
    </cfRule>
    <cfRule type="colorScale" priority="491">
      <colorScale>
        <cfvo type="min"/>
        <cfvo type="percentile" val="50"/>
        <cfvo type="max"/>
        <color rgb="FF63BE7B"/>
        <color rgb="FFFFEB84"/>
        <color rgb="FFF8696B"/>
      </colorScale>
    </cfRule>
    <cfRule type="colorScale" priority="492">
      <colorScale>
        <cfvo type="min"/>
        <cfvo type="percentile" val="50"/>
        <cfvo type="max"/>
        <color rgb="FF63BE7B"/>
        <color rgb="FFFFEB84"/>
        <color rgb="FFF8696B"/>
      </colorScale>
    </cfRule>
    <cfRule type="colorScale" priority="494">
      <colorScale>
        <cfvo type="min"/>
        <cfvo type="percentile" val="50"/>
        <cfvo type="max"/>
        <color rgb="FF63BE7B"/>
        <color rgb="FFFFEB84"/>
        <color rgb="FFF8696B"/>
      </colorScale>
    </cfRule>
    <cfRule type="colorScale" priority="495">
      <colorScale>
        <cfvo type="min"/>
        <cfvo type="percentile" val="50"/>
        <cfvo type="max"/>
        <color rgb="FF63BE7B"/>
        <color rgb="FFFFEB84"/>
        <color rgb="FFF8696B"/>
      </colorScale>
    </cfRule>
    <cfRule type="colorScale" priority="496">
      <colorScale>
        <cfvo type="min"/>
        <cfvo type="percentile" val="50"/>
        <cfvo type="max"/>
        <color rgb="FF63BE7B"/>
        <color rgb="FFFFEB84"/>
        <color rgb="FFF8696B"/>
      </colorScale>
    </cfRule>
    <cfRule type="colorScale" priority="497">
      <colorScale>
        <cfvo type="min"/>
        <cfvo type="percentile" val="50"/>
        <cfvo type="max"/>
        <color rgb="FF63BE7B"/>
        <color rgb="FFFFEB84"/>
        <color rgb="FFF8696B"/>
      </colorScale>
    </cfRule>
    <cfRule type="colorScale" priority="498">
      <colorScale>
        <cfvo type="min"/>
        <cfvo type="percentile" val="50"/>
        <cfvo type="max"/>
        <color rgb="FF63BE7B"/>
        <color rgb="FFFFEB84"/>
        <color rgb="FFF8696B"/>
      </colorScale>
    </cfRule>
    <cfRule type="colorScale" priority="499">
      <colorScale>
        <cfvo type="min"/>
        <cfvo type="percentile" val="50"/>
        <cfvo type="max"/>
        <color rgb="FF63BE7B"/>
        <color rgb="FFFFEB84"/>
        <color rgb="FFF8696B"/>
      </colorScale>
    </cfRule>
    <cfRule type="colorScale" priority="500">
      <colorScale>
        <cfvo type="min"/>
        <cfvo type="percentile" val="50"/>
        <cfvo type="max"/>
        <color rgb="FF63BE7B"/>
        <color rgb="FFFFEB84"/>
        <color rgb="FFF8696B"/>
      </colorScale>
    </cfRule>
    <cfRule type="colorScale" priority="501">
      <colorScale>
        <cfvo type="min"/>
        <cfvo type="percentile" val="50"/>
        <cfvo type="max"/>
        <color rgb="FF63BE7B"/>
        <color rgb="FFFFEB84"/>
        <color rgb="FFF8696B"/>
      </colorScale>
    </cfRule>
    <cfRule type="colorScale" priority="502">
      <colorScale>
        <cfvo type="min"/>
        <cfvo type="percentile" val="50"/>
        <cfvo type="max"/>
        <color rgb="FF63BE7B"/>
        <color rgb="FFFFEB84"/>
        <color rgb="FFF8696B"/>
      </colorScale>
    </cfRule>
    <cfRule type="colorScale" priority="503">
      <colorScale>
        <cfvo type="min"/>
        <cfvo type="percentile" val="50"/>
        <cfvo type="max"/>
        <color rgb="FF63BE7B"/>
        <color rgb="FFFFEB84"/>
        <color rgb="FFF8696B"/>
      </colorScale>
    </cfRule>
    <cfRule type="colorScale" priority="504">
      <colorScale>
        <cfvo type="min"/>
        <cfvo type="percentile" val="50"/>
        <cfvo type="max"/>
        <color rgb="FF63BE7B"/>
        <color rgb="FFFFEB84"/>
        <color rgb="FFF8696B"/>
      </colorScale>
    </cfRule>
    <cfRule type="colorScale" priority="505">
      <colorScale>
        <cfvo type="min"/>
        <cfvo type="percentile" val="50"/>
        <cfvo type="max"/>
        <color rgb="FF63BE7B"/>
        <color rgb="FFFFEB84"/>
        <color rgb="FFF8696B"/>
      </colorScale>
    </cfRule>
    <cfRule type="colorScale" priority="506">
      <colorScale>
        <cfvo type="min"/>
        <cfvo type="percentile" val="50"/>
        <cfvo type="max"/>
        <color rgb="FF63BE7B"/>
        <color rgb="FFFFEB84"/>
        <color rgb="FFF8696B"/>
      </colorScale>
    </cfRule>
    <cfRule type="colorScale" priority="507">
      <colorScale>
        <cfvo type="min"/>
        <cfvo type="percentile" val="50"/>
        <cfvo type="max"/>
        <color rgb="FF63BE7B"/>
        <color rgb="FFFFEB84"/>
        <color rgb="FFF8696B"/>
      </colorScale>
    </cfRule>
    <cfRule type="colorScale" priority="508">
      <colorScale>
        <cfvo type="min"/>
        <cfvo type="percentile" val="50"/>
        <cfvo type="max"/>
        <color rgb="FF63BE7B"/>
        <color rgb="FFFFEB84"/>
        <color rgb="FFF8696B"/>
      </colorScale>
    </cfRule>
    <cfRule type="colorScale" priority="509">
      <colorScale>
        <cfvo type="min"/>
        <cfvo type="percentile" val="50"/>
        <cfvo type="max"/>
        <color rgb="FF63BE7B"/>
        <color rgb="FFFFEB84"/>
        <color rgb="FFF8696B"/>
      </colorScale>
    </cfRule>
    <cfRule type="colorScale" priority="510">
      <colorScale>
        <cfvo type="min"/>
        <cfvo type="percentile" val="50"/>
        <cfvo type="max"/>
        <color rgb="FF63BE7B"/>
        <color rgb="FFFFEB84"/>
        <color rgb="FFF8696B"/>
      </colorScale>
    </cfRule>
    <cfRule type="colorScale" priority="511">
      <colorScale>
        <cfvo type="min"/>
        <cfvo type="percentile" val="50"/>
        <cfvo type="max"/>
        <color rgb="FF63BE7B"/>
        <color rgb="FFFFEB84"/>
        <color rgb="FFF8696B"/>
      </colorScale>
    </cfRule>
    <cfRule type="colorScale" priority="512">
      <colorScale>
        <cfvo type="min"/>
        <cfvo type="percentile" val="50"/>
        <cfvo type="max"/>
        <color rgb="FF63BE7B"/>
        <color rgb="FFFFEB84"/>
        <color rgb="FFF8696B"/>
      </colorScale>
    </cfRule>
    <cfRule type="colorScale" priority="513">
      <colorScale>
        <cfvo type="min"/>
        <cfvo type="percentile" val="50"/>
        <cfvo type="max"/>
        <color rgb="FF63BE7B"/>
        <color rgb="FFFFEB84"/>
        <color rgb="FFF8696B"/>
      </colorScale>
    </cfRule>
    <cfRule type="colorScale" priority="514">
      <colorScale>
        <cfvo type="min"/>
        <cfvo type="percentile" val="50"/>
        <cfvo type="max"/>
        <color rgb="FF63BE7B"/>
        <color rgb="FFFFEB84"/>
        <color rgb="FFF8696B"/>
      </colorScale>
    </cfRule>
    <cfRule type="colorScale" priority="515">
      <colorScale>
        <cfvo type="min"/>
        <cfvo type="percentile" val="50"/>
        <cfvo type="max"/>
        <color rgb="FF63BE7B"/>
        <color rgb="FFFFEB84"/>
        <color rgb="FFF8696B"/>
      </colorScale>
    </cfRule>
    <cfRule type="colorScale" priority="516">
      <colorScale>
        <cfvo type="min"/>
        <cfvo type="percentile" val="50"/>
        <cfvo type="max"/>
        <color rgb="FF63BE7B"/>
        <color rgb="FFFFEB84"/>
        <color rgb="FFF8696B"/>
      </colorScale>
    </cfRule>
    <cfRule type="colorScale" priority="517">
      <colorScale>
        <cfvo type="min"/>
        <cfvo type="percentile" val="50"/>
        <cfvo type="max"/>
        <color rgb="FFF8696B"/>
        <color rgb="FFFFEB84"/>
        <color rgb="FF63BE7B"/>
      </colorScale>
    </cfRule>
    <cfRule type="colorScale" priority="518">
      <colorScale>
        <cfvo type="min"/>
        <cfvo type="percentile" val="50"/>
        <cfvo type="max"/>
        <color rgb="FF63BE7B"/>
        <color rgb="FFFFEB84"/>
        <color rgb="FFF8696B"/>
      </colorScale>
    </cfRule>
    <cfRule type="colorScale" priority="519">
      <colorScale>
        <cfvo type="min"/>
        <cfvo type="percentile" val="50"/>
        <cfvo type="max"/>
        <color rgb="FF63BE7B"/>
        <color rgb="FFFFEB84"/>
        <color rgb="FFF8696B"/>
      </colorScale>
    </cfRule>
    <cfRule type="colorScale" priority="520">
      <colorScale>
        <cfvo type="min"/>
        <cfvo type="percentile" val="50"/>
        <cfvo type="max"/>
        <color rgb="FF63BE7B"/>
        <color rgb="FFFFEB84"/>
        <color rgb="FFF8696B"/>
      </colorScale>
    </cfRule>
    <cfRule type="colorScale" priority="521">
      <colorScale>
        <cfvo type="min"/>
        <cfvo type="percentile" val="50"/>
        <cfvo type="max"/>
        <color rgb="FF63BE7B"/>
        <color rgb="FFFFEB84"/>
        <color rgb="FFF8696B"/>
      </colorScale>
    </cfRule>
    <cfRule type="colorScale" priority="522">
      <colorScale>
        <cfvo type="min"/>
        <cfvo type="percentile" val="50"/>
        <cfvo type="max"/>
        <color rgb="FF63BE7B"/>
        <color rgb="FFFFEB84"/>
        <color rgb="FFF8696B"/>
      </colorScale>
    </cfRule>
    <cfRule type="colorScale" priority="523">
      <colorScale>
        <cfvo type="min"/>
        <cfvo type="percentile" val="50"/>
        <cfvo type="max"/>
        <color rgb="FF63BE7B"/>
        <color rgb="FFFFEB84"/>
        <color rgb="FFF8696B"/>
      </colorScale>
    </cfRule>
    <cfRule type="colorScale" priority="524">
      <colorScale>
        <cfvo type="min"/>
        <cfvo type="percentile" val="50"/>
        <cfvo type="max"/>
        <color rgb="FF63BE7B"/>
        <color rgb="FFFFEB84"/>
        <color rgb="FFF8696B"/>
      </colorScale>
    </cfRule>
    <cfRule type="colorScale" priority="525">
      <colorScale>
        <cfvo type="min"/>
        <cfvo type="percentile" val="50"/>
        <cfvo type="max"/>
        <color rgb="FF63BE7B"/>
        <color rgb="FFFFEB84"/>
        <color rgb="FFF8696B"/>
      </colorScale>
    </cfRule>
    <cfRule type="colorScale" priority="526">
      <colorScale>
        <cfvo type="min"/>
        <cfvo type="percentile" val="50"/>
        <cfvo type="max"/>
        <color rgb="FF63BE7B"/>
        <color rgb="FFFFEB84"/>
        <color rgb="FFF8696B"/>
      </colorScale>
    </cfRule>
    <cfRule type="colorScale" priority="527">
      <colorScale>
        <cfvo type="min"/>
        <cfvo type="percentile" val="50"/>
        <cfvo type="max"/>
        <color rgb="FF63BE7B"/>
        <color rgb="FFFFEB84"/>
        <color rgb="FFF8696B"/>
      </colorScale>
    </cfRule>
    <cfRule type="colorScale" priority="528">
      <colorScale>
        <cfvo type="min"/>
        <cfvo type="percentile" val="50"/>
        <cfvo type="max"/>
        <color rgb="FF63BE7B"/>
        <color rgb="FFFFEB84"/>
        <color rgb="FFF8696B"/>
      </colorScale>
    </cfRule>
    <cfRule type="colorScale" priority="529">
      <colorScale>
        <cfvo type="min"/>
        <cfvo type="percentile" val="50"/>
        <cfvo type="max"/>
        <color rgb="FF63BE7B"/>
        <color rgb="FFFFEB84"/>
        <color rgb="FFF8696B"/>
      </colorScale>
    </cfRule>
    <cfRule type="colorScale" priority="530">
      <colorScale>
        <cfvo type="min"/>
        <cfvo type="percentile" val="50"/>
        <cfvo type="max"/>
        <color rgb="FF63BE7B"/>
        <color rgb="FFFFEB84"/>
        <color rgb="FFF8696B"/>
      </colorScale>
    </cfRule>
    <cfRule type="colorScale" priority="531">
      <colorScale>
        <cfvo type="min"/>
        <cfvo type="percentile" val="50"/>
        <cfvo type="max"/>
        <color rgb="FF63BE7B"/>
        <color rgb="FFFFEB84"/>
        <color rgb="FFF8696B"/>
      </colorScale>
    </cfRule>
    <cfRule type="colorScale" priority="532">
      <colorScale>
        <cfvo type="min"/>
        <cfvo type="percentile" val="50"/>
        <cfvo type="max"/>
        <color rgb="FF63BE7B"/>
        <color rgb="FFFFEB84"/>
        <color rgb="FFF8696B"/>
      </colorScale>
    </cfRule>
    <cfRule type="colorScale" priority="533">
      <colorScale>
        <cfvo type="min"/>
        <cfvo type="percentile" val="50"/>
        <cfvo type="max"/>
        <color rgb="FF63BE7B"/>
        <color rgb="FFFFEB84"/>
        <color rgb="FFF8696B"/>
      </colorScale>
    </cfRule>
    <cfRule type="colorScale" priority="534">
      <colorScale>
        <cfvo type="min"/>
        <cfvo type="percentile" val="50"/>
        <cfvo type="max"/>
        <color rgb="FF63BE7B"/>
        <color rgb="FFFFEB84"/>
        <color rgb="FFF8696B"/>
      </colorScale>
    </cfRule>
    <cfRule type="colorScale" priority="535">
      <colorScale>
        <cfvo type="min"/>
        <cfvo type="percentile" val="50"/>
        <cfvo type="max"/>
        <color rgb="FF63BE7B"/>
        <color rgb="FFFFEB84"/>
        <color rgb="FFF8696B"/>
      </colorScale>
    </cfRule>
    <cfRule type="colorScale" priority="536">
      <colorScale>
        <cfvo type="min"/>
        <cfvo type="percentile" val="50"/>
        <cfvo type="max"/>
        <color rgb="FF63BE7B"/>
        <color rgb="FFFFEB84"/>
        <color rgb="FFF8696B"/>
      </colorScale>
    </cfRule>
    <cfRule type="colorScale" priority="537">
      <colorScale>
        <cfvo type="min"/>
        <cfvo type="percentile" val="50"/>
        <cfvo type="max"/>
        <color rgb="FF63BE7B"/>
        <color rgb="FFFFEB84"/>
        <color rgb="FFF8696B"/>
      </colorScale>
    </cfRule>
    <cfRule type="colorScale" priority="538">
      <colorScale>
        <cfvo type="min"/>
        <cfvo type="percentile" val="50"/>
        <cfvo type="max"/>
        <color rgb="FF63BE7B"/>
        <color rgb="FFFFEB84"/>
        <color rgb="FFF8696B"/>
      </colorScale>
    </cfRule>
    <cfRule type="colorScale" priority="539">
      <colorScale>
        <cfvo type="min"/>
        <cfvo type="percentile" val="50"/>
        <cfvo type="max"/>
        <color rgb="FF63BE7B"/>
        <color rgb="FFFFEB84"/>
        <color rgb="FFF8696B"/>
      </colorScale>
    </cfRule>
    <cfRule type="colorScale" priority="540">
      <colorScale>
        <cfvo type="min"/>
        <cfvo type="percentile" val="50"/>
        <cfvo type="max"/>
        <color rgb="FF63BE7B"/>
        <color rgb="FFFFEB84"/>
        <color rgb="FFF8696B"/>
      </colorScale>
    </cfRule>
    <cfRule type="colorScale" priority="541">
      <colorScale>
        <cfvo type="min"/>
        <cfvo type="percentile" val="50"/>
        <cfvo type="max"/>
        <color rgb="FF63BE7B"/>
        <color rgb="FFFFEB84"/>
        <color rgb="FFF8696B"/>
      </colorScale>
    </cfRule>
    <cfRule type="colorScale" priority="542">
      <colorScale>
        <cfvo type="min"/>
        <cfvo type="percentile" val="50"/>
        <cfvo type="max"/>
        <color rgb="FF63BE7B"/>
        <color rgb="FFFFEB84"/>
        <color rgb="FFF8696B"/>
      </colorScale>
    </cfRule>
    <cfRule type="colorScale" priority="543">
      <colorScale>
        <cfvo type="min"/>
        <cfvo type="percentile" val="50"/>
        <cfvo type="max"/>
        <color rgb="FF63BE7B"/>
        <color rgb="FFFFEB84"/>
        <color rgb="FFF8696B"/>
      </colorScale>
    </cfRule>
    <cfRule type="colorScale" priority="544">
      <colorScale>
        <cfvo type="min"/>
        <cfvo type="percentile" val="50"/>
        <cfvo type="max"/>
        <color rgb="FF63BE7B"/>
        <color rgb="FFFFEB84"/>
        <color rgb="FFF8696B"/>
      </colorScale>
    </cfRule>
    <cfRule type="colorScale" priority="545">
      <colorScale>
        <cfvo type="min"/>
        <cfvo type="percentile" val="50"/>
        <cfvo type="max"/>
        <color rgb="FF63BE7B"/>
        <color rgb="FFFFEB84"/>
        <color rgb="FFF8696B"/>
      </colorScale>
    </cfRule>
    <cfRule type="colorScale" priority="546">
      <colorScale>
        <cfvo type="min"/>
        <cfvo type="percentile" val="50"/>
        <cfvo type="max"/>
        <color rgb="FF63BE7B"/>
        <color rgb="FFFFEB84"/>
        <color rgb="FFF8696B"/>
      </colorScale>
    </cfRule>
    <cfRule type="colorScale" priority="547">
      <colorScale>
        <cfvo type="min"/>
        <cfvo type="percentile" val="50"/>
        <cfvo type="max"/>
        <color rgb="FF63BE7B"/>
        <color rgb="FFFFEB84"/>
        <color rgb="FFF8696B"/>
      </colorScale>
    </cfRule>
    <cfRule type="colorScale" priority="548">
      <colorScale>
        <cfvo type="min"/>
        <cfvo type="percentile" val="50"/>
        <cfvo type="max"/>
        <color rgb="FF63BE7B"/>
        <color rgb="FFFFEB84"/>
        <color rgb="FFF8696B"/>
      </colorScale>
    </cfRule>
    <cfRule type="colorScale" priority="549">
      <colorScale>
        <cfvo type="min"/>
        <cfvo type="percentile" val="50"/>
        <cfvo type="max"/>
        <color rgb="FF63BE7B"/>
        <color rgb="FFFFEB84"/>
        <color rgb="FFF8696B"/>
      </colorScale>
    </cfRule>
    <cfRule type="colorScale" priority="550">
      <colorScale>
        <cfvo type="min"/>
        <cfvo type="percentile" val="50"/>
        <cfvo type="max"/>
        <color rgb="FF63BE7B"/>
        <color rgb="FFFFEB84"/>
        <color rgb="FFF8696B"/>
      </colorScale>
    </cfRule>
    <cfRule type="colorScale" priority="551">
      <colorScale>
        <cfvo type="min"/>
        <cfvo type="percentile" val="50"/>
        <cfvo type="max"/>
        <color rgb="FF63BE7B"/>
        <color rgb="FFFFEB84"/>
        <color rgb="FFF8696B"/>
      </colorScale>
    </cfRule>
    <cfRule type="colorScale" priority="552">
      <colorScale>
        <cfvo type="min"/>
        <cfvo type="percentile" val="50"/>
        <cfvo type="max"/>
        <color rgb="FF63BE7B"/>
        <color rgb="FFFFEB84"/>
        <color rgb="FFF8696B"/>
      </colorScale>
    </cfRule>
    <cfRule type="colorScale" priority="553">
      <colorScale>
        <cfvo type="min"/>
        <cfvo type="percentile" val="50"/>
        <cfvo type="max"/>
        <color rgb="FF63BE7B"/>
        <color rgb="FFFFEB84"/>
        <color rgb="FFF8696B"/>
      </colorScale>
    </cfRule>
    <cfRule type="colorScale" priority="554">
      <colorScale>
        <cfvo type="min"/>
        <cfvo type="percentile" val="50"/>
        <cfvo type="max"/>
        <color rgb="FF63BE7B"/>
        <color rgb="FFFFEB84"/>
        <color rgb="FFF8696B"/>
      </colorScale>
    </cfRule>
    <cfRule type="colorScale" priority="555">
      <colorScale>
        <cfvo type="min"/>
        <cfvo type="percentile" val="50"/>
        <cfvo type="max"/>
        <color rgb="FF63BE7B"/>
        <color rgb="FFFFEB84"/>
        <color rgb="FFF8696B"/>
      </colorScale>
    </cfRule>
    <cfRule type="colorScale" priority="556">
      <colorScale>
        <cfvo type="min"/>
        <cfvo type="percentile" val="50"/>
        <cfvo type="max"/>
        <color rgb="FF63BE7B"/>
        <color rgb="FFFFEB84"/>
        <color rgb="FFF8696B"/>
      </colorScale>
    </cfRule>
    <cfRule type="colorScale" priority="557">
      <colorScale>
        <cfvo type="min"/>
        <cfvo type="percentile" val="50"/>
        <cfvo type="max"/>
        <color rgb="FF63BE7B"/>
        <color rgb="FFFFEB84"/>
        <color rgb="FFF8696B"/>
      </colorScale>
    </cfRule>
    <cfRule type="colorScale" priority="558">
      <colorScale>
        <cfvo type="min"/>
        <cfvo type="percentile" val="50"/>
        <cfvo type="max"/>
        <color rgb="FF63BE7B"/>
        <color rgb="FFFFEB84"/>
        <color rgb="FFF8696B"/>
      </colorScale>
    </cfRule>
    <cfRule type="colorScale" priority="559">
      <colorScale>
        <cfvo type="min"/>
        <cfvo type="percentile" val="50"/>
        <cfvo type="max"/>
        <color rgb="FF63BE7B"/>
        <color rgb="FFFFEB84"/>
        <color rgb="FFF8696B"/>
      </colorScale>
    </cfRule>
    <cfRule type="colorScale" priority="560">
      <colorScale>
        <cfvo type="min"/>
        <cfvo type="percentile" val="50"/>
        <cfvo type="max"/>
        <color rgb="FF63BE7B"/>
        <color rgb="FFFFEB84"/>
        <color rgb="FFF8696B"/>
      </colorScale>
    </cfRule>
    <cfRule type="colorScale" priority="561">
      <colorScale>
        <cfvo type="min"/>
        <cfvo type="percentile" val="50"/>
        <cfvo type="max"/>
        <color rgb="FF63BE7B"/>
        <color rgb="FFFFEB84"/>
        <color rgb="FFF8696B"/>
      </colorScale>
    </cfRule>
    <cfRule type="colorScale" priority="562">
      <colorScale>
        <cfvo type="min"/>
        <cfvo type="percentile" val="50"/>
        <cfvo type="max"/>
        <color rgb="FF63BE7B"/>
        <color rgb="FFFFEB84"/>
        <color rgb="FFF8696B"/>
      </colorScale>
    </cfRule>
    <cfRule type="colorScale" priority="564">
      <colorScale>
        <cfvo type="min"/>
        <cfvo type="percentile" val="50"/>
        <cfvo type="max"/>
        <color rgb="FF63BE7B"/>
        <color rgb="FFFFEB84"/>
        <color rgb="FFF8696B"/>
      </colorScale>
    </cfRule>
    <cfRule type="colorScale" priority="565">
      <colorScale>
        <cfvo type="min"/>
        <cfvo type="percentile" val="50"/>
        <cfvo type="max"/>
        <color rgb="FFF8696B"/>
        <color rgb="FFFFEB84"/>
        <color rgb="FF63BE7B"/>
      </colorScale>
    </cfRule>
    <cfRule type="colorScale" priority="566">
      <colorScale>
        <cfvo type="min"/>
        <cfvo type="percentile" val="50"/>
        <cfvo type="max"/>
        <color rgb="FF63BE7B"/>
        <color rgb="FFFFEB84"/>
        <color rgb="FFF8696B"/>
      </colorScale>
    </cfRule>
    <cfRule type="colorScale" priority="567">
      <colorScale>
        <cfvo type="min"/>
        <cfvo type="percentile" val="50"/>
        <cfvo type="max"/>
        <color rgb="FF63BE7B"/>
        <color rgb="FFFFEB84"/>
        <color rgb="FFF8696B"/>
      </colorScale>
    </cfRule>
    <cfRule type="colorScale" priority="568">
      <colorScale>
        <cfvo type="min"/>
        <cfvo type="percentile" val="50"/>
        <cfvo type="max"/>
        <color rgb="FF63BE7B"/>
        <color rgb="FFFFEB84"/>
        <color rgb="FFF8696B"/>
      </colorScale>
    </cfRule>
    <cfRule type="colorScale" priority="569">
      <colorScale>
        <cfvo type="min"/>
        <cfvo type="percentile" val="50"/>
        <cfvo type="max"/>
        <color rgb="FF63BE7B"/>
        <color rgb="FFFFEB84"/>
        <color rgb="FFF8696B"/>
      </colorScale>
    </cfRule>
    <cfRule type="colorScale" priority="570">
      <colorScale>
        <cfvo type="min"/>
        <cfvo type="percentile" val="50"/>
        <cfvo type="max"/>
        <color rgb="FF63BE7B"/>
        <color rgb="FFFFEB84"/>
        <color rgb="FFF8696B"/>
      </colorScale>
    </cfRule>
    <cfRule type="colorScale" priority="571">
      <colorScale>
        <cfvo type="min"/>
        <cfvo type="percentile" val="50"/>
        <cfvo type="max"/>
        <color rgb="FF63BE7B"/>
        <color rgb="FFFFEB84"/>
        <color rgb="FFF8696B"/>
      </colorScale>
    </cfRule>
    <cfRule type="colorScale" priority="572">
      <colorScale>
        <cfvo type="min"/>
        <cfvo type="percentile" val="50"/>
        <cfvo type="max"/>
        <color rgb="FF63BE7B"/>
        <color rgb="FFFFEB84"/>
        <color rgb="FFF8696B"/>
      </colorScale>
    </cfRule>
    <cfRule type="colorScale" priority="573">
      <colorScale>
        <cfvo type="min"/>
        <cfvo type="percentile" val="50"/>
        <cfvo type="max"/>
        <color rgb="FF63BE7B"/>
        <color rgb="FFFFEB84"/>
        <color rgb="FFF8696B"/>
      </colorScale>
    </cfRule>
    <cfRule type="colorScale" priority="574">
      <colorScale>
        <cfvo type="min"/>
        <cfvo type="percentile" val="50"/>
        <cfvo type="max"/>
        <color rgb="FF63BE7B"/>
        <color rgb="FFFFEB84"/>
        <color rgb="FFF8696B"/>
      </colorScale>
    </cfRule>
    <cfRule type="colorScale" priority="575">
      <colorScale>
        <cfvo type="min"/>
        <cfvo type="percentile" val="50"/>
        <cfvo type="max"/>
        <color rgb="FF63BE7B"/>
        <color rgb="FFFFEB84"/>
        <color rgb="FFF8696B"/>
      </colorScale>
    </cfRule>
    <cfRule type="colorScale" priority="576">
      <colorScale>
        <cfvo type="min"/>
        <cfvo type="percentile" val="50"/>
        <cfvo type="max"/>
        <color rgb="FF63BE7B"/>
        <color rgb="FFFFEB84"/>
        <color rgb="FFF8696B"/>
      </colorScale>
    </cfRule>
    <cfRule type="colorScale" priority="577">
      <colorScale>
        <cfvo type="min"/>
        <cfvo type="percentile" val="50"/>
        <cfvo type="max"/>
        <color rgb="FF63BE7B"/>
        <color rgb="FFFFEB84"/>
        <color rgb="FFF8696B"/>
      </colorScale>
    </cfRule>
    <cfRule type="colorScale" priority="578">
      <colorScale>
        <cfvo type="min"/>
        <cfvo type="percentile" val="50"/>
        <cfvo type="max"/>
        <color rgb="FF63BE7B"/>
        <color rgb="FFFFEB84"/>
        <color rgb="FFF8696B"/>
      </colorScale>
    </cfRule>
    <cfRule type="colorScale" priority="579">
      <colorScale>
        <cfvo type="min"/>
        <cfvo type="percentile" val="50"/>
        <cfvo type="max"/>
        <color rgb="FF63BE7B"/>
        <color rgb="FFFFEB84"/>
        <color rgb="FFF8696B"/>
      </colorScale>
    </cfRule>
    <cfRule type="colorScale" priority="580">
      <colorScale>
        <cfvo type="min"/>
        <cfvo type="percentile" val="50"/>
        <cfvo type="max"/>
        <color rgb="FF63BE7B"/>
        <color rgb="FFFFEB84"/>
        <color rgb="FFF8696B"/>
      </colorScale>
    </cfRule>
    <cfRule type="colorScale" priority="581">
      <colorScale>
        <cfvo type="min"/>
        <cfvo type="percentile" val="50"/>
        <cfvo type="max"/>
        <color rgb="FF63BE7B"/>
        <color rgb="FFFFEB84"/>
        <color rgb="FFF8696B"/>
      </colorScale>
    </cfRule>
    <cfRule type="colorScale" priority="582">
      <colorScale>
        <cfvo type="min"/>
        <cfvo type="percentile" val="50"/>
        <cfvo type="max"/>
        <color rgb="FF63BE7B"/>
        <color rgb="FFFFEB84"/>
        <color rgb="FFF8696B"/>
      </colorScale>
    </cfRule>
    <cfRule type="colorScale" priority="583">
      <colorScale>
        <cfvo type="min"/>
        <cfvo type="percentile" val="50"/>
        <cfvo type="max"/>
        <color rgb="FF63BE7B"/>
        <color rgb="FFFFEB84"/>
        <color rgb="FFF8696B"/>
      </colorScale>
    </cfRule>
    <cfRule type="colorScale" priority="584">
      <colorScale>
        <cfvo type="min"/>
        <cfvo type="percentile" val="50"/>
        <cfvo type="max"/>
        <color rgb="FF63BE7B"/>
        <color rgb="FFFFEB84"/>
        <color rgb="FFF8696B"/>
      </colorScale>
    </cfRule>
    <cfRule type="colorScale" priority="585">
      <colorScale>
        <cfvo type="min"/>
        <cfvo type="percentile" val="50"/>
        <cfvo type="max"/>
        <color rgb="FF63BE7B"/>
        <color rgb="FFFFEB84"/>
        <color rgb="FFF8696B"/>
      </colorScale>
    </cfRule>
    <cfRule type="colorScale" priority="586">
      <colorScale>
        <cfvo type="min"/>
        <cfvo type="percentile" val="50"/>
        <cfvo type="max"/>
        <color rgb="FF63BE7B"/>
        <color rgb="FFFFEB84"/>
        <color rgb="FFF8696B"/>
      </colorScale>
    </cfRule>
    <cfRule type="colorScale" priority="587">
      <colorScale>
        <cfvo type="min"/>
        <cfvo type="percentile" val="50"/>
        <cfvo type="max"/>
        <color rgb="FF63BE7B"/>
        <color rgb="FFFFEB84"/>
        <color rgb="FFF8696B"/>
      </colorScale>
    </cfRule>
    <cfRule type="colorScale" priority="588">
      <colorScale>
        <cfvo type="min"/>
        <cfvo type="percentile" val="50"/>
        <cfvo type="max"/>
        <color rgb="FF63BE7B"/>
        <color rgb="FFFFEB84"/>
        <color rgb="FFF8696B"/>
      </colorScale>
    </cfRule>
    <cfRule type="colorScale" priority="589">
      <colorScale>
        <cfvo type="min"/>
        <cfvo type="percentile" val="50"/>
        <cfvo type="max"/>
        <color rgb="FF63BE7B"/>
        <color rgb="FFFFEB84"/>
        <color rgb="FFF8696B"/>
      </colorScale>
    </cfRule>
    <cfRule type="colorScale" priority="590">
      <colorScale>
        <cfvo type="min"/>
        <cfvo type="percentile" val="50"/>
        <cfvo type="max"/>
        <color rgb="FF63BE7B"/>
        <color rgb="FFFFEB84"/>
        <color rgb="FFF8696B"/>
      </colorScale>
    </cfRule>
    <cfRule type="colorScale" priority="591">
      <colorScale>
        <cfvo type="min"/>
        <cfvo type="percentile" val="50"/>
        <cfvo type="max"/>
        <color rgb="FF63BE7B"/>
        <color rgb="FFFFEB84"/>
        <color rgb="FFF8696B"/>
      </colorScale>
    </cfRule>
    <cfRule type="colorScale" priority="592">
      <colorScale>
        <cfvo type="min"/>
        <cfvo type="percentile" val="50"/>
        <cfvo type="max"/>
        <color rgb="FF63BE7B"/>
        <color rgb="FFFFEB84"/>
        <color rgb="FFF8696B"/>
      </colorScale>
    </cfRule>
    <cfRule type="colorScale" priority="593">
      <colorScale>
        <cfvo type="min"/>
        <cfvo type="percentile" val="50"/>
        <cfvo type="max"/>
        <color rgb="FF63BE7B"/>
        <color rgb="FFFFEB84"/>
        <color rgb="FFF8696B"/>
      </colorScale>
    </cfRule>
    <cfRule type="colorScale" priority="594">
      <colorScale>
        <cfvo type="min"/>
        <cfvo type="percentile" val="50"/>
        <cfvo type="max"/>
        <color rgb="FF63BE7B"/>
        <color rgb="FFFFEB84"/>
        <color rgb="FFF8696B"/>
      </colorScale>
    </cfRule>
    <cfRule type="colorScale" priority="595">
      <colorScale>
        <cfvo type="min"/>
        <cfvo type="percentile" val="50"/>
        <cfvo type="max"/>
        <color rgb="FF63BE7B"/>
        <color rgb="FFFFEB84"/>
        <color rgb="FFF8696B"/>
      </colorScale>
    </cfRule>
    <cfRule type="colorScale" priority="596">
      <colorScale>
        <cfvo type="min"/>
        <cfvo type="percentile" val="50"/>
        <cfvo type="max"/>
        <color rgb="FF63BE7B"/>
        <color rgb="FFFFEB84"/>
        <color rgb="FFF8696B"/>
      </colorScale>
    </cfRule>
    <cfRule type="colorScale" priority="597">
      <colorScale>
        <cfvo type="min"/>
        <cfvo type="percentile" val="50"/>
        <cfvo type="max"/>
        <color rgb="FF63BE7B"/>
        <color rgb="FFFFEB84"/>
        <color rgb="FFF8696B"/>
      </colorScale>
    </cfRule>
    <cfRule type="colorScale" priority="598">
      <colorScale>
        <cfvo type="min"/>
        <cfvo type="percentile" val="50"/>
        <cfvo type="max"/>
        <color rgb="FF63BE7B"/>
        <color rgb="FFFFEB84"/>
        <color rgb="FFF8696B"/>
      </colorScale>
    </cfRule>
    <cfRule type="colorScale" priority="599">
      <colorScale>
        <cfvo type="min"/>
        <cfvo type="percentile" val="50"/>
        <cfvo type="max"/>
        <color rgb="FF63BE7B"/>
        <color rgb="FFFFEB84"/>
        <color rgb="FFF8696B"/>
      </colorScale>
    </cfRule>
    <cfRule type="colorScale" priority="600">
      <colorScale>
        <cfvo type="min"/>
        <cfvo type="percentile" val="50"/>
        <cfvo type="max"/>
        <color rgb="FF63BE7B"/>
        <color rgb="FFFFEB84"/>
        <color rgb="FFF8696B"/>
      </colorScale>
    </cfRule>
    <cfRule type="colorScale" priority="601">
      <colorScale>
        <cfvo type="min"/>
        <cfvo type="percentile" val="50"/>
        <cfvo type="max"/>
        <color rgb="FF63BE7B"/>
        <color rgb="FFFFEB84"/>
        <color rgb="FFF8696B"/>
      </colorScale>
    </cfRule>
    <cfRule type="colorScale" priority="602">
      <colorScale>
        <cfvo type="min"/>
        <cfvo type="percentile" val="50"/>
        <cfvo type="max"/>
        <color rgb="FF63BE7B"/>
        <color rgb="FFFFEB84"/>
        <color rgb="FFF8696B"/>
      </colorScale>
    </cfRule>
    <cfRule type="colorScale" priority="603">
      <colorScale>
        <cfvo type="min"/>
        <cfvo type="percentile" val="50"/>
        <cfvo type="max"/>
        <color rgb="FF63BE7B"/>
        <color rgb="FFFFEB84"/>
        <color rgb="FFF8696B"/>
      </colorScale>
    </cfRule>
    <cfRule type="colorScale" priority="604">
      <colorScale>
        <cfvo type="min"/>
        <cfvo type="percentile" val="50"/>
        <cfvo type="max"/>
        <color rgb="FF63BE7B"/>
        <color rgb="FFFFEB84"/>
        <color rgb="FFF8696B"/>
      </colorScale>
    </cfRule>
    <cfRule type="colorScale" priority="605">
      <colorScale>
        <cfvo type="min"/>
        <cfvo type="percentile" val="50"/>
        <cfvo type="max"/>
        <color rgb="FF63BE7B"/>
        <color rgb="FFFFEB84"/>
        <color rgb="FFF8696B"/>
      </colorScale>
    </cfRule>
    <cfRule type="colorScale" priority="606">
      <colorScale>
        <cfvo type="min"/>
        <cfvo type="percentile" val="50"/>
        <cfvo type="max"/>
        <color rgb="FF63BE7B"/>
        <color rgb="FFFFEB84"/>
        <color rgb="FFF8696B"/>
      </colorScale>
    </cfRule>
    <cfRule type="colorScale" priority="607">
      <colorScale>
        <cfvo type="min"/>
        <cfvo type="percentile" val="50"/>
        <cfvo type="max"/>
        <color rgb="FF63BE7B"/>
        <color rgb="FFFFEB84"/>
        <color rgb="FFF8696B"/>
      </colorScale>
    </cfRule>
    <cfRule type="colorScale" priority="608">
      <colorScale>
        <cfvo type="min"/>
        <cfvo type="percentile" val="50"/>
        <cfvo type="max"/>
        <color rgb="FF63BE7B"/>
        <color rgb="FFFFEB84"/>
        <color rgb="FFF8696B"/>
      </colorScale>
    </cfRule>
    <cfRule type="colorScale" priority="609">
      <colorScale>
        <cfvo type="min"/>
        <cfvo type="percentile" val="50"/>
        <cfvo type="max"/>
        <color rgb="FF63BE7B"/>
        <color rgb="FFFFEB84"/>
        <color rgb="FFF8696B"/>
      </colorScale>
    </cfRule>
    <cfRule type="colorScale" priority="610">
      <colorScale>
        <cfvo type="min"/>
        <cfvo type="percentile" val="50"/>
        <cfvo type="max"/>
        <color rgb="FF63BE7B"/>
        <color rgb="FFFFEB84"/>
        <color rgb="FFF8696B"/>
      </colorScale>
    </cfRule>
    <cfRule type="colorScale" priority="611">
      <colorScale>
        <cfvo type="min"/>
        <cfvo type="percentile" val="50"/>
        <cfvo type="max"/>
        <color rgb="FF63BE7B"/>
        <color rgb="FFFFEB84"/>
        <color rgb="FFF8696B"/>
      </colorScale>
    </cfRule>
    <cfRule type="colorScale" priority="612">
      <colorScale>
        <cfvo type="min"/>
        <cfvo type="percentile" val="50"/>
        <cfvo type="max"/>
        <color rgb="FF63BE7B"/>
        <color rgb="FFFFEB84"/>
        <color rgb="FFF8696B"/>
      </colorScale>
    </cfRule>
    <cfRule type="colorScale" priority="613">
      <colorScale>
        <cfvo type="min"/>
        <cfvo type="percentile" val="50"/>
        <cfvo type="max"/>
        <color rgb="FF63BE7B"/>
        <color rgb="FFFFEB84"/>
        <color rgb="FFF8696B"/>
      </colorScale>
    </cfRule>
    <cfRule type="colorScale" priority="614">
      <colorScale>
        <cfvo type="min"/>
        <cfvo type="percentile" val="50"/>
        <cfvo type="max"/>
        <color rgb="FF63BE7B"/>
        <color rgb="FFFFEB84"/>
        <color rgb="FFF8696B"/>
      </colorScale>
    </cfRule>
    <cfRule type="colorScale" priority="615">
      <colorScale>
        <cfvo type="min"/>
        <cfvo type="percentile" val="50"/>
        <cfvo type="max"/>
        <color rgb="FF63BE7B"/>
        <color rgb="FFFFEB84"/>
        <color rgb="FFF8696B"/>
      </colorScale>
    </cfRule>
    <cfRule type="colorScale" priority="616">
      <colorScale>
        <cfvo type="min"/>
        <cfvo type="percentile" val="50"/>
        <cfvo type="max"/>
        <color rgb="FF63BE7B"/>
        <color rgb="FFFFEB84"/>
        <color rgb="FFF8696B"/>
      </colorScale>
    </cfRule>
    <cfRule type="colorScale" priority="617">
      <colorScale>
        <cfvo type="min"/>
        <cfvo type="percentile" val="50"/>
        <cfvo type="max"/>
        <color rgb="FF63BE7B"/>
        <color rgb="FFFFEB84"/>
        <color rgb="FFF8696B"/>
      </colorScale>
    </cfRule>
    <cfRule type="colorScale" priority="618">
      <colorScale>
        <cfvo type="min"/>
        <cfvo type="percentile" val="50"/>
        <cfvo type="max"/>
        <color rgb="FF63BE7B"/>
        <color rgb="FFFFEB84"/>
        <color rgb="FFF8696B"/>
      </colorScale>
    </cfRule>
    <cfRule type="colorScale" priority="619">
      <colorScale>
        <cfvo type="min"/>
        <cfvo type="percentile" val="50"/>
        <cfvo type="max"/>
        <color rgb="FF63BE7B"/>
        <color rgb="FFFFEB84"/>
        <color rgb="FFF8696B"/>
      </colorScale>
    </cfRule>
    <cfRule type="colorScale" priority="620">
      <colorScale>
        <cfvo type="min"/>
        <cfvo type="percentile" val="50"/>
        <cfvo type="max"/>
        <color rgb="FF63BE7B"/>
        <color rgb="FFFFEB84"/>
        <color rgb="FFF8696B"/>
      </colorScale>
    </cfRule>
    <cfRule type="colorScale" priority="621">
      <colorScale>
        <cfvo type="min"/>
        <cfvo type="percentile" val="50"/>
        <cfvo type="max"/>
        <color rgb="FF63BE7B"/>
        <color rgb="FFFFEB84"/>
        <color rgb="FFF8696B"/>
      </colorScale>
    </cfRule>
    <cfRule type="colorScale" priority="622">
      <colorScale>
        <cfvo type="min"/>
        <cfvo type="percentile" val="50"/>
        <cfvo type="max"/>
        <color rgb="FF63BE7B"/>
        <color rgb="FFFFEB84"/>
        <color rgb="FFF8696B"/>
      </colorScale>
    </cfRule>
    <cfRule type="colorScale" priority="623">
      <colorScale>
        <cfvo type="min"/>
        <cfvo type="percentile" val="50"/>
        <cfvo type="max"/>
        <color rgb="FF63BE7B"/>
        <color rgb="FFFFEB84"/>
        <color rgb="FFF8696B"/>
      </colorScale>
    </cfRule>
    <cfRule type="colorScale" priority="624">
      <colorScale>
        <cfvo type="min"/>
        <cfvo type="percentile" val="50"/>
        <cfvo type="max"/>
        <color rgb="FF63BE7B"/>
        <color rgb="FFFFEB84"/>
        <color rgb="FFF8696B"/>
      </colorScale>
    </cfRule>
    <cfRule type="colorScale" priority="625">
      <colorScale>
        <cfvo type="min"/>
        <cfvo type="percentile" val="50"/>
        <cfvo type="max"/>
        <color rgb="FF63BE7B"/>
        <color rgb="FFFFEB84"/>
        <color rgb="FFF8696B"/>
      </colorScale>
    </cfRule>
    <cfRule type="colorScale" priority="626">
      <colorScale>
        <cfvo type="min"/>
        <cfvo type="percentile" val="50"/>
        <cfvo type="max"/>
        <color rgb="FF63BE7B"/>
        <color rgb="FFFFEB84"/>
        <color rgb="FFF8696B"/>
      </colorScale>
    </cfRule>
    <cfRule type="colorScale" priority="627">
      <colorScale>
        <cfvo type="min"/>
        <cfvo type="percentile" val="50"/>
        <cfvo type="max"/>
        <color rgb="FF63BE7B"/>
        <color rgb="FFFFEB84"/>
        <color rgb="FFF8696B"/>
      </colorScale>
    </cfRule>
    <cfRule type="colorScale" priority="628">
      <colorScale>
        <cfvo type="min"/>
        <cfvo type="percentile" val="50"/>
        <cfvo type="max"/>
        <color rgb="FF63BE7B"/>
        <color rgb="FFFFEB84"/>
        <color rgb="FFF8696B"/>
      </colorScale>
    </cfRule>
    <cfRule type="colorScale" priority="629">
      <colorScale>
        <cfvo type="min"/>
        <cfvo type="percentile" val="50"/>
        <cfvo type="max"/>
        <color rgb="FF63BE7B"/>
        <color rgb="FFFFEB84"/>
        <color rgb="FFF8696B"/>
      </colorScale>
    </cfRule>
    <cfRule type="colorScale" priority="631">
      <colorScale>
        <cfvo type="min"/>
        <cfvo type="percentile" val="50"/>
        <cfvo type="max"/>
        <color rgb="FF63BE7B"/>
        <color rgb="FFFFEB84"/>
        <color rgb="FFF8696B"/>
      </colorScale>
    </cfRule>
    <cfRule type="colorScale" priority="632">
      <colorScale>
        <cfvo type="min"/>
        <cfvo type="percentile" val="50"/>
        <cfvo type="max"/>
        <color rgb="FF63BE7B"/>
        <color rgb="FFFFEB84"/>
        <color rgb="FFF8696B"/>
      </colorScale>
    </cfRule>
    <cfRule type="colorScale" priority="633">
      <colorScale>
        <cfvo type="min"/>
        <cfvo type="percentile" val="50"/>
        <cfvo type="max"/>
        <color rgb="FF63BE7B"/>
        <color rgb="FFFFEB84"/>
        <color rgb="FFF8696B"/>
      </colorScale>
    </cfRule>
    <cfRule type="colorScale" priority="634">
      <colorScale>
        <cfvo type="min"/>
        <cfvo type="percentile" val="50"/>
        <cfvo type="max"/>
        <color rgb="FF63BE7B"/>
        <color rgb="FFFFEB84"/>
        <color rgb="FFF8696B"/>
      </colorScale>
    </cfRule>
    <cfRule type="colorScale" priority="635">
      <colorScale>
        <cfvo type="min"/>
        <cfvo type="percentile" val="50"/>
        <cfvo type="max"/>
        <color rgb="FF63BE7B"/>
        <color rgb="FFFFEB84"/>
        <color rgb="FFF8696B"/>
      </colorScale>
    </cfRule>
    <cfRule type="colorScale" priority="636">
      <colorScale>
        <cfvo type="min"/>
        <cfvo type="percentile" val="50"/>
        <cfvo type="max"/>
        <color rgb="FF63BE7B"/>
        <color rgb="FFFFEB84"/>
        <color rgb="FFF8696B"/>
      </colorScale>
    </cfRule>
    <cfRule type="colorScale" priority="637">
      <colorScale>
        <cfvo type="min"/>
        <cfvo type="percentile" val="50"/>
        <cfvo type="max"/>
        <color rgb="FF63BE7B"/>
        <color rgb="FFFFEB84"/>
        <color rgb="FFF8696B"/>
      </colorScale>
    </cfRule>
    <cfRule type="colorScale" priority="638">
      <colorScale>
        <cfvo type="min"/>
        <cfvo type="percentile" val="50"/>
        <cfvo type="max"/>
        <color rgb="FF63BE7B"/>
        <color rgb="FFFFEB84"/>
        <color rgb="FFF8696B"/>
      </colorScale>
    </cfRule>
    <cfRule type="colorScale" priority="639">
      <colorScale>
        <cfvo type="min"/>
        <cfvo type="percentile" val="50"/>
        <cfvo type="max"/>
        <color rgb="FF63BE7B"/>
        <color rgb="FFFFEB84"/>
        <color rgb="FFF8696B"/>
      </colorScale>
    </cfRule>
    <cfRule type="colorScale" priority="640">
      <colorScale>
        <cfvo type="min"/>
        <cfvo type="percentile" val="50"/>
        <cfvo type="max"/>
        <color rgb="FF63BE7B"/>
        <color rgb="FFFFEB84"/>
        <color rgb="FFF8696B"/>
      </colorScale>
    </cfRule>
    <cfRule type="colorScale" priority="641">
      <colorScale>
        <cfvo type="min"/>
        <cfvo type="percentile" val="50"/>
        <cfvo type="max"/>
        <color rgb="FF63BE7B"/>
        <color rgb="FFFFEB84"/>
        <color rgb="FFF8696B"/>
      </colorScale>
    </cfRule>
    <cfRule type="colorScale" priority="642">
      <colorScale>
        <cfvo type="min"/>
        <cfvo type="percentile" val="50"/>
        <cfvo type="max"/>
        <color rgb="FF63BE7B"/>
        <color rgb="FFFFEB84"/>
        <color rgb="FFF8696B"/>
      </colorScale>
    </cfRule>
    <cfRule type="colorScale" priority="643">
      <colorScale>
        <cfvo type="min"/>
        <cfvo type="percentile" val="50"/>
        <cfvo type="max"/>
        <color rgb="FF63BE7B"/>
        <color rgb="FFFFEB84"/>
        <color rgb="FFF8696B"/>
      </colorScale>
    </cfRule>
    <cfRule type="colorScale" priority="644">
      <colorScale>
        <cfvo type="min"/>
        <cfvo type="percentile" val="50"/>
        <cfvo type="max"/>
        <color rgb="FF63BE7B"/>
        <color rgb="FFFFEB84"/>
        <color rgb="FFF8696B"/>
      </colorScale>
    </cfRule>
    <cfRule type="colorScale" priority="645">
      <colorScale>
        <cfvo type="min"/>
        <cfvo type="percentile" val="50"/>
        <cfvo type="max"/>
        <color rgb="FF63BE7B"/>
        <color rgb="FFFFEB84"/>
        <color rgb="FFF8696B"/>
      </colorScale>
    </cfRule>
    <cfRule type="colorScale" priority="646">
      <colorScale>
        <cfvo type="min"/>
        <cfvo type="percentile" val="50"/>
        <cfvo type="max"/>
        <color rgb="FFF8696B"/>
        <color rgb="FFFFEB84"/>
        <color rgb="FF63BE7B"/>
      </colorScale>
    </cfRule>
    <cfRule type="colorScale" priority="647">
      <colorScale>
        <cfvo type="min"/>
        <cfvo type="percentile" val="50"/>
        <cfvo type="max"/>
        <color rgb="FF63BE7B"/>
        <color rgb="FFFFEB84"/>
        <color rgb="FFF8696B"/>
      </colorScale>
    </cfRule>
    <cfRule type="colorScale" priority="648">
      <colorScale>
        <cfvo type="min"/>
        <cfvo type="percentile" val="50"/>
        <cfvo type="max"/>
        <color rgb="FF63BE7B"/>
        <color rgb="FFFFEB84"/>
        <color rgb="FFF8696B"/>
      </colorScale>
    </cfRule>
    <cfRule type="colorScale" priority="649">
      <colorScale>
        <cfvo type="min"/>
        <cfvo type="percentile" val="50"/>
        <cfvo type="max"/>
        <color rgb="FF63BE7B"/>
        <color rgb="FFFFEB84"/>
        <color rgb="FFF8696B"/>
      </colorScale>
    </cfRule>
    <cfRule type="colorScale" priority="650">
      <colorScale>
        <cfvo type="min"/>
        <cfvo type="percentile" val="50"/>
        <cfvo type="max"/>
        <color rgb="FF63BE7B"/>
        <color rgb="FFFFEB84"/>
        <color rgb="FFF8696B"/>
      </colorScale>
    </cfRule>
    <cfRule type="colorScale" priority="651">
      <colorScale>
        <cfvo type="min"/>
        <cfvo type="percentile" val="50"/>
        <cfvo type="max"/>
        <color rgb="FF63BE7B"/>
        <color rgb="FFFFEB84"/>
        <color rgb="FFF8696B"/>
      </colorScale>
    </cfRule>
    <cfRule type="colorScale" priority="652">
      <colorScale>
        <cfvo type="min"/>
        <cfvo type="percentile" val="50"/>
        <cfvo type="max"/>
        <color rgb="FF63BE7B"/>
        <color rgb="FFFFEB84"/>
        <color rgb="FFF8696B"/>
      </colorScale>
    </cfRule>
    <cfRule type="colorScale" priority="653">
      <colorScale>
        <cfvo type="min"/>
        <cfvo type="percentile" val="50"/>
        <cfvo type="max"/>
        <color rgb="FF63BE7B"/>
        <color rgb="FFFFEB84"/>
        <color rgb="FFF8696B"/>
      </colorScale>
    </cfRule>
    <cfRule type="colorScale" priority="654">
      <colorScale>
        <cfvo type="min"/>
        <cfvo type="percentile" val="50"/>
        <cfvo type="max"/>
        <color rgb="FF63BE7B"/>
        <color rgb="FFFFEB84"/>
        <color rgb="FFF8696B"/>
      </colorScale>
    </cfRule>
    <cfRule type="colorScale" priority="655">
      <colorScale>
        <cfvo type="min"/>
        <cfvo type="percentile" val="50"/>
        <cfvo type="max"/>
        <color rgb="FF63BE7B"/>
        <color rgb="FFFFEB84"/>
        <color rgb="FFF8696B"/>
      </colorScale>
    </cfRule>
    <cfRule type="colorScale" priority="656">
      <colorScale>
        <cfvo type="min"/>
        <cfvo type="percentile" val="50"/>
        <cfvo type="max"/>
        <color rgb="FF63BE7B"/>
        <color rgb="FFFFEB84"/>
        <color rgb="FFF8696B"/>
      </colorScale>
    </cfRule>
    <cfRule type="colorScale" priority="657">
      <colorScale>
        <cfvo type="min"/>
        <cfvo type="percentile" val="50"/>
        <cfvo type="max"/>
        <color rgb="FF63BE7B"/>
        <color rgb="FFFFEB84"/>
        <color rgb="FFF8696B"/>
      </colorScale>
    </cfRule>
    <cfRule type="colorScale" priority="658">
      <colorScale>
        <cfvo type="min"/>
        <cfvo type="percentile" val="50"/>
        <cfvo type="max"/>
        <color rgb="FF63BE7B"/>
        <color rgb="FFFFEB84"/>
        <color rgb="FFF8696B"/>
      </colorScale>
    </cfRule>
    <cfRule type="colorScale" priority="659">
      <colorScale>
        <cfvo type="min"/>
        <cfvo type="percentile" val="50"/>
        <cfvo type="max"/>
        <color rgb="FF63BE7B"/>
        <color rgb="FFFFEB84"/>
        <color rgb="FFF8696B"/>
      </colorScale>
    </cfRule>
    <cfRule type="colorScale" priority="660">
      <colorScale>
        <cfvo type="min"/>
        <cfvo type="percentile" val="50"/>
        <cfvo type="max"/>
        <color rgb="FF63BE7B"/>
        <color rgb="FFFFEB84"/>
        <color rgb="FFF8696B"/>
      </colorScale>
    </cfRule>
    <cfRule type="colorScale" priority="661">
      <colorScale>
        <cfvo type="min"/>
        <cfvo type="percentile" val="50"/>
        <cfvo type="max"/>
        <color rgb="FF63BE7B"/>
        <color rgb="FFFFEB84"/>
        <color rgb="FFF8696B"/>
      </colorScale>
    </cfRule>
    <cfRule type="colorScale" priority="662">
      <colorScale>
        <cfvo type="min"/>
        <cfvo type="percentile" val="50"/>
        <cfvo type="max"/>
        <color rgb="FF63BE7B"/>
        <color rgb="FFFFEB84"/>
        <color rgb="FFF8696B"/>
      </colorScale>
    </cfRule>
    <cfRule type="colorScale" priority="663">
      <colorScale>
        <cfvo type="min"/>
        <cfvo type="percentile" val="50"/>
        <cfvo type="max"/>
        <color rgb="FF63BE7B"/>
        <color rgb="FFFFEB84"/>
        <color rgb="FFF8696B"/>
      </colorScale>
    </cfRule>
    <cfRule type="colorScale" priority="664">
      <colorScale>
        <cfvo type="min"/>
        <cfvo type="percentile" val="50"/>
        <cfvo type="max"/>
        <color rgb="FF63BE7B"/>
        <color rgb="FFFFEB84"/>
        <color rgb="FFF8696B"/>
      </colorScale>
    </cfRule>
    <cfRule type="colorScale" priority="665">
      <colorScale>
        <cfvo type="min"/>
        <cfvo type="percentile" val="50"/>
        <cfvo type="max"/>
        <color rgb="FF63BE7B"/>
        <color rgb="FFFFEB84"/>
        <color rgb="FFF8696B"/>
      </colorScale>
    </cfRule>
    <cfRule type="colorScale" priority="666">
      <colorScale>
        <cfvo type="min"/>
        <cfvo type="percentile" val="50"/>
        <cfvo type="max"/>
        <color rgb="FF63BE7B"/>
        <color rgb="FFFFEB84"/>
        <color rgb="FFF8696B"/>
      </colorScale>
    </cfRule>
    <cfRule type="colorScale" priority="667">
      <colorScale>
        <cfvo type="min"/>
        <cfvo type="percentile" val="50"/>
        <cfvo type="max"/>
        <color rgb="FF63BE7B"/>
        <color rgb="FFFFEB84"/>
        <color rgb="FFF8696B"/>
      </colorScale>
    </cfRule>
    <cfRule type="colorScale" priority="668">
      <colorScale>
        <cfvo type="min"/>
        <cfvo type="percentile" val="50"/>
        <cfvo type="max"/>
        <color rgb="FF63BE7B"/>
        <color rgb="FFFFEB84"/>
        <color rgb="FFF8696B"/>
      </colorScale>
    </cfRule>
    <cfRule type="colorScale" priority="669">
      <colorScale>
        <cfvo type="min"/>
        <cfvo type="percentile" val="50"/>
        <cfvo type="max"/>
        <color rgb="FF63BE7B"/>
        <color rgb="FFFFEB84"/>
        <color rgb="FFF8696B"/>
      </colorScale>
    </cfRule>
    <cfRule type="colorScale" priority="670">
      <colorScale>
        <cfvo type="min"/>
        <cfvo type="percentile" val="50"/>
        <cfvo type="max"/>
        <color rgb="FF63BE7B"/>
        <color rgb="FFFFEB84"/>
        <color rgb="FFF8696B"/>
      </colorScale>
    </cfRule>
    <cfRule type="colorScale" priority="671">
      <colorScale>
        <cfvo type="min"/>
        <cfvo type="percentile" val="50"/>
        <cfvo type="max"/>
        <color rgb="FF63BE7B"/>
        <color rgb="FFFFEB84"/>
        <color rgb="FFF8696B"/>
      </colorScale>
    </cfRule>
    <cfRule type="colorScale" priority="672">
      <colorScale>
        <cfvo type="min"/>
        <cfvo type="percentile" val="50"/>
        <cfvo type="max"/>
        <color rgb="FF63BE7B"/>
        <color rgb="FFFFEB84"/>
        <color rgb="FFF8696B"/>
      </colorScale>
    </cfRule>
    <cfRule type="colorScale" priority="673">
      <colorScale>
        <cfvo type="min"/>
        <cfvo type="percentile" val="50"/>
        <cfvo type="max"/>
        <color rgb="FF63BE7B"/>
        <color rgb="FFFFEB84"/>
        <color rgb="FFF8696B"/>
      </colorScale>
    </cfRule>
    <cfRule type="colorScale" priority="674">
      <colorScale>
        <cfvo type="min"/>
        <cfvo type="percentile" val="50"/>
        <cfvo type="max"/>
        <color rgb="FF63BE7B"/>
        <color rgb="FFFFEB84"/>
        <color rgb="FFF8696B"/>
      </colorScale>
    </cfRule>
    <cfRule type="colorScale" priority="675">
      <colorScale>
        <cfvo type="min"/>
        <cfvo type="percentile" val="50"/>
        <cfvo type="max"/>
        <color rgb="FF63BE7B"/>
        <color rgb="FFFFEB84"/>
        <color rgb="FFF8696B"/>
      </colorScale>
    </cfRule>
    <cfRule type="colorScale" priority="676">
      <colorScale>
        <cfvo type="min"/>
        <cfvo type="percentile" val="50"/>
        <cfvo type="max"/>
        <color rgb="FF63BE7B"/>
        <color rgb="FFFFEB84"/>
        <color rgb="FFF8696B"/>
      </colorScale>
    </cfRule>
    <cfRule type="colorScale" priority="677">
      <colorScale>
        <cfvo type="min"/>
        <cfvo type="percentile" val="50"/>
        <cfvo type="max"/>
        <color rgb="FF63BE7B"/>
        <color rgb="FFFFEB84"/>
        <color rgb="FFF8696B"/>
      </colorScale>
    </cfRule>
    <cfRule type="colorScale" priority="678">
      <colorScale>
        <cfvo type="min"/>
        <cfvo type="percentile" val="50"/>
        <cfvo type="max"/>
        <color rgb="FF63BE7B"/>
        <color rgb="FFFFEB84"/>
        <color rgb="FFF8696B"/>
      </colorScale>
    </cfRule>
    <cfRule type="colorScale" priority="679">
      <colorScale>
        <cfvo type="min"/>
        <cfvo type="percentile" val="50"/>
        <cfvo type="max"/>
        <color rgb="FF63BE7B"/>
        <color rgb="FFFFEB84"/>
        <color rgb="FFF8696B"/>
      </colorScale>
    </cfRule>
    <cfRule type="colorScale" priority="680">
      <colorScale>
        <cfvo type="min"/>
        <cfvo type="percentile" val="50"/>
        <cfvo type="max"/>
        <color rgb="FF63BE7B"/>
        <color rgb="FFFFEB84"/>
        <color rgb="FFF8696B"/>
      </colorScale>
    </cfRule>
    <cfRule type="colorScale" priority="681">
      <colorScale>
        <cfvo type="min"/>
        <cfvo type="percentile" val="50"/>
        <cfvo type="max"/>
        <color rgb="FF63BE7B"/>
        <color rgb="FFFFEB84"/>
        <color rgb="FFF8696B"/>
      </colorScale>
    </cfRule>
    <cfRule type="colorScale" priority="682">
      <colorScale>
        <cfvo type="min"/>
        <cfvo type="percentile" val="50"/>
        <cfvo type="max"/>
        <color rgb="FF63BE7B"/>
        <color rgb="FFFFEB84"/>
        <color rgb="FFF8696B"/>
      </colorScale>
    </cfRule>
    <cfRule type="colorScale" priority="683">
      <colorScale>
        <cfvo type="min"/>
        <cfvo type="percentile" val="50"/>
        <cfvo type="max"/>
        <color rgb="FF63BE7B"/>
        <color rgb="FFFFEB84"/>
        <color rgb="FFF8696B"/>
      </colorScale>
    </cfRule>
    <cfRule type="colorScale" priority="684">
      <colorScale>
        <cfvo type="min"/>
        <cfvo type="percentile" val="50"/>
        <cfvo type="max"/>
        <color rgb="FF63BE7B"/>
        <color rgb="FFFFEB84"/>
        <color rgb="FFF8696B"/>
      </colorScale>
    </cfRule>
    <cfRule type="colorScale" priority="685">
      <colorScale>
        <cfvo type="min"/>
        <cfvo type="percentile" val="50"/>
        <cfvo type="max"/>
        <color rgb="FF63BE7B"/>
        <color rgb="FFFFEB84"/>
        <color rgb="FFF8696B"/>
      </colorScale>
    </cfRule>
    <cfRule type="colorScale" priority="686">
      <colorScale>
        <cfvo type="min"/>
        <cfvo type="percentile" val="50"/>
        <cfvo type="max"/>
        <color rgb="FF63BE7B"/>
        <color rgb="FFFFEB84"/>
        <color rgb="FFF8696B"/>
      </colorScale>
    </cfRule>
    <cfRule type="colorScale" priority="687">
      <colorScale>
        <cfvo type="min"/>
        <cfvo type="percentile" val="50"/>
        <cfvo type="max"/>
        <color rgb="FF63BE7B"/>
        <color rgb="FFFFEB84"/>
        <color rgb="FFF8696B"/>
      </colorScale>
    </cfRule>
    <cfRule type="colorScale" priority="688">
      <colorScale>
        <cfvo type="min"/>
        <cfvo type="percentile" val="50"/>
        <cfvo type="max"/>
        <color rgb="FF63BE7B"/>
        <color rgb="FFFFEB84"/>
        <color rgb="FFF8696B"/>
      </colorScale>
    </cfRule>
    <cfRule type="colorScale" priority="689">
      <colorScale>
        <cfvo type="min"/>
        <cfvo type="percentile" val="50"/>
        <cfvo type="max"/>
        <color rgb="FF63BE7B"/>
        <color rgb="FFFFEB84"/>
        <color rgb="FFF8696B"/>
      </colorScale>
    </cfRule>
    <cfRule type="colorScale" priority="690">
      <colorScale>
        <cfvo type="min"/>
        <cfvo type="percentile" val="50"/>
        <cfvo type="max"/>
        <color rgb="FF63BE7B"/>
        <color rgb="FFFFEB84"/>
        <color rgb="FFF8696B"/>
      </colorScale>
    </cfRule>
    <cfRule type="colorScale" priority="691">
      <colorScale>
        <cfvo type="min"/>
        <cfvo type="percentile" val="50"/>
        <cfvo type="max"/>
        <color rgb="FF63BE7B"/>
        <color rgb="FFFFEB84"/>
        <color rgb="FFF8696B"/>
      </colorScale>
    </cfRule>
    <cfRule type="colorScale" priority="692">
      <colorScale>
        <cfvo type="min"/>
        <cfvo type="percentile" val="50"/>
        <cfvo type="max"/>
        <color rgb="FF63BE7B"/>
        <color rgb="FFFFEB84"/>
        <color rgb="FFF8696B"/>
      </colorScale>
    </cfRule>
    <cfRule type="colorScale" priority="693">
      <colorScale>
        <cfvo type="min"/>
        <cfvo type="percentile" val="50"/>
        <cfvo type="max"/>
        <color rgb="FF63BE7B"/>
        <color rgb="FFFFEB84"/>
        <color rgb="FFF8696B"/>
      </colorScale>
    </cfRule>
    <cfRule type="colorScale" priority="694">
      <colorScale>
        <cfvo type="min"/>
        <cfvo type="percentile" val="50"/>
        <cfvo type="max"/>
        <color rgb="FF63BE7B"/>
        <color rgb="FFFFEB84"/>
        <color rgb="FFF8696B"/>
      </colorScale>
    </cfRule>
    <cfRule type="colorScale" priority="695">
      <colorScale>
        <cfvo type="min"/>
        <cfvo type="percentile" val="50"/>
        <cfvo type="max"/>
        <color rgb="FF63BE7B"/>
        <color rgb="FFFFEB84"/>
        <color rgb="FFF8696B"/>
      </colorScale>
    </cfRule>
    <cfRule type="colorScale" priority="696">
      <colorScale>
        <cfvo type="min"/>
        <cfvo type="percentile" val="50"/>
        <cfvo type="max"/>
        <color rgb="FF63BE7B"/>
        <color rgb="FFFFEB84"/>
        <color rgb="FFF8696B"/>
      </colorScale>
    </cfRule>
    <cfRule type="colorScale" priority="697">
      <colorScale>
        <cfvo type="min"/>
        <cfvo type="percentile" val="50"/>
        <cfvo type="max"/>
        <color rgb="FF63BE7B"/>
        <color rgb="FFFFEB84"/>
        <color rgb="FFF8696B"/>
      </colorScale>
    </cfRule>
    <cfRule type="colorScale" priority="698">
      <colorScale>
        <cfvo type="min"/>
        <cfvo type="percentile" val="50"/>
        <cfvo type="max"/>
        <color rgb="FF63BE7B"/>
        <color rgb="FFFFEB84"/>
        <color rgb="FFF8696B"/>
      </colorScale>
    </cfRule>
    <cfRule type="colorScale" priority="699">
      <colorScale>
        <cfvo type="min"/>
        <cfvo type="percentile" val="50"/>
        <cfvo type="max"/>
        <color rgb="FF63BE7B"/>
        <color rgb="FFFFEB84"/>
        <color rgb="FFF8696B"/>
      </colorScale>
    </cfRule>
    <cfRule type="colorScale" priority="700">
      <colorScale>
        <cfvo type="min"/>
        <cfvo type="percentile" val="50"/>
        <cfvo type="max"/>
        <color rgb="FF63BE7B"/>
        <color rgb="FFFFEB84"/>
        <color rgb="FFF8696B"/>
      </colorScale>
    </cfRule>
    <cfRule type="colorScale" priority="701">
      <colorScale>
        <cfvo type="min"/>
        <cfvo type="percentile" val="50"/>
        <cfvo type="max"/>
        <color rgb="FF63BE7B"/>
        <color rgb="FFFFEB84"/>
        <color rgb="FFF8696B"/>
      </colorScale>
    </cfRule>
    <cfRule type="colorScale" priority="6406">
      <colorScale>
        <cfvo type="min"/>
        <cfvo type="percentile" val="50"/>
        <cfvo type="max"/>
        <color rgb="FF63BE7B"/>
        <color rgb="FFFFEB84"/>
        <color rgb="FFF8696B"/>
      </colorScale>
    </cfRule>
    <cfRule type="colorScale" priority="6407">
      <colorScale>
        <cfvo type="min"/>
        <cfvo type="percentile" val="50"/>
        <cfvo type="max"/>
        <color rgb="FF63BE7B"/>
        <color rgb="FFFFEB84"/>
        <color rgb="FFF8696B"/>
      </colorScale>
    </cfRule>
    <cfRule type="colorScale" priority="6408">
      <colorScale>
        <cfvo type="min"/>
        <cfvo type="percentile" val="50"/>
        <cfvo type="max"/>
        <color rgb="FF63BE7B"/>
        <color rgb="FFFFEB84"/>
        <color rgb="FFF8696B"/>
      </colorScale>
    </cfRule>
    <cfRule type="colorScale" priority="6409">
      <colorScale>
        <cfvo type="min"/>
        <cfvo type="percentile" val="50"/>
        <cfvo type="max"/>
        <color rgb="FF63BE7B"/>
        <color rgb="FFFFEB84"/>
        <color rgb="FFF8696B"/>
      </colorScale>
    </cfRule>
    <cfRule type="colorScale" priority="6410">
      <colorScale>
        <cfvo type="min"/>
        <cfvo type="percentile" val="50"/>
        <cfvo type="max"/>
        <color rgb="FF63BE7B"/>
        <color rgb="FFFFEB84"/>
        <color rgb="FFF8696B"/>
      </colorScale>
    </cfRule>
    <cfRule type="colorScale" priority="6411">
      <colorScale>
        <cfvo type="min"/>
        <cfvo type="percentile" val="50"/>
        <cfvo type="max"/>
        <color rgb="FF63BE7B"/>
        <color rgb="FFFFEB84"/>
        <color rgb="FFF8696B"/>
      </colorScale>
    </cfRule>
    <cfRule type="colorScale" priority="4555">
      <colorScale>
        <cfvo type="min"/>
        <cfvo type="percentile" val="50"/>
        <cfvo type="max"/>
        <color rgb="FF63BE7B"/>
        <color rgb="FFFFEB84"/>
        <color rgb="FFF8696B"/>
      </colorScale>
    </cfRule>
    <cfRule type="colorScale" priority="4554">
      <colorScale>
        <cfvo type="min"/>
        <cfvo type="percentile" val="50"/>
        <cfvo type="max"/>
        <color rgb="FF63BE7B"/>
        <color rgb="FFFFEB84"/>
        <color rgb="FFF8696B"/>
      </colorScale>
    </cfRule>
    <cfRule type="colorScale" priority="4553">
      <colorScale>
        <cfvo type="min"/>
        <cfvo type="percentile" val="50"/>
        <cfvo type="max"/>
        <color rgb="FF63BE7B"/>
        <color rgb="FFFFEB84"/>
        <color rgb="FFF8696B"/>
      </colorScale>
    </cfRule>
    <cfRule type="colorScale" priority="4552">
      <colorScale>
        <cfvo type="min"/>
        <cfvo type="percentile" val="50"/>
        <cfvo type="max"/>
        <color rgb="FF63BE7B"/>
        <color rgb="FFFFEB84"/>
        <color rgb="FFF8696B"/>
      </colorScale>
    </cfRule>
    <cfRule type="colorScale" priority="4551">
      <colorScale>
        <cfvo type="min"/>
        <cfvo type="percentile" val="50"/>
        <cfvo type="max"/>
        <color rgb="FF63BE7B"/>
        <color rgb="FFFFEB84"/>
        <color rgb="FFF8696B"/>
      </colorScale>
    </cfRule>
    <cfRule type="colorScale" priority="4550">
      <colorScale>
        <cfvo type="min"/>
        <cfvo type="percentile" val="50"/>
        <cfvo type="max"/>
        <color rgb="FF63BE7B"/>
        <color rgb="FFFFEB84"/>
        <color rgb="FFF8696B"/>
      </colorScale>
    </cfRule>
    <cfRule type="colorScale" priority="4549">
      <colorScale>
        <cfvo type="min"/>
        <cfvo type="percentile" val="50"/>
        <cfvo type="max"/>
        <color rgb="FF63BE7B"/>
        <color rgb="FFFFEB84"/>
        <color rgb="FFF8696B"/>
      </colorScale>
    </cfRule>
    <cfRule type="colorScale" priority="4548">
      <colorScale>
        <cfvo type="min"/>
        <cfvo type="percentile" val="50"/>
        <cfvo type="max"/>
        <color rgb="FF63BE7B"/>
        <color rgb="FFFFEB84"/>
        <color rgb="FFF8696B"/>
      </colorScale>
    </cfRule>
    <cfRule type="colorScale" priority="4547">
      <colorScale>
        <cfvo type="min"/>
        <cfvo type="percentile" val="50"/>
        <cfvo type="max"/>
        <color rgb="FF63BE7B"/>
        <color rgb="FFFFEB84"/>
        <color rgb="FFF8696B"/>
      </colorScale>
    </cfRule>
    <cfRule type="colorScale" priority="4546">
      <colorScale>
        <cfvo type="min"/>
        <cfvo type="percentile" val="50"/>
        <cfvo type="max"/>
        <color rgb="FF63BE7B"/>
        <color rgb="FFFFEB84"/>
        <color rgb="FFF8696B"/>
      </colorScale>
    </cfRule>
    <cfRule type="colorScale" priority="4545">
      <colorScale>
        <cfvo type="min"/>
        <cfvo type="percentile" val="50"/>
        <cfvo type="max"/>
        <color rgb="FF63BE7B"/>
        <color rgb="FFFFEB84"/>
        <color rgb="FFF8696B"/>
      </colorScale>
    </cfRule>
    <cfRule type="colorScale" priority="4544">
      <colorScale>
        <cfvo type="min"/>
        <cfvo type="percentile" val="50"/>
        <cfvo type="max"/>
        <color rgb="FF63BE7B"/>
        <color rgb="FFFFEB84"/>
        <color rgb="FFF8696B"/>
      </colorScale>
    </cfRule>
    <cfRule type="colorScale" priority="4543">
      <colorScale>
        <cfvo type="min"/>
        <cfvo type="percentile" val="50"/>
        <cfvo type="max"/>
        <color rgb="FF63BE7B"/>
        <color rgb="FFFFEB84"/>
        <color rgb="FFF8696B"/>
      </colorScale>
    </cfRule>
    <cfRule type="colorScale" priority="4542">
      <colorScale>
        <cfvo type="min"/>
        <cfvo type="percentile" val="50"/>
        <cfvo type="max"/>
        <color rgb="FF63BE7B"/>
        <color rgb="FFFFEB84"/>
        <color rgb="FFF8696B"/>
      </colorScale>
    </cfRule>
    <cfRule type="colorScale" priority="4541">
      <colorScale>
        <cfvo type="min"/>
        <cfvo type="percentile" val="50"/>
        <cfvo type="max"/>
        <color rgb="FF63BE7B"/>
        <color rgb="FFFFEB84"/>
        <color rgb="FFF8696B"/>
      </colorScale>
    </cfRule>
    <cfRule type="colorScale" priority="4540">
      <colorScale>
        <cfvo type="min"/>
        <cfvo type="percentile" val="50"/>
        <cfvo type="max"/>
        <color rgb="FF63BE7B"/>
        <color rgb="FFFFEB84"/>
        <color rgb="FFF8696B"/>
      </colorScale>
    </cfRule>
    <cfRule type="colorScale" priority="4539">
      <colorScale>
        <cfvo type="min"/>
        <cfvo type="percentile" val="50"/>
        <cfvo type="max"/>
        <color rgb="FF63BE7B"/>
        <color rgb="FFFFEB84"/>
        <color rgb="FFF8696B"/>
      </colorScale>
    </cfRule>
    <cfRule type="colorScale" priority="4533">
      <colorScale>
        <cfvo type="min"/>
        <cfvo type="percentile" val="50"/>
        <cfvo type="max"/>
        <color rgb="FF63BE7B"/>
        <color rgb="FFFFEB84"/>
        <color rgb="FFF8696B"/>
      </colorScale>
    </cfRule>
    <cfRule type="colorScale" priority="4538">
      <colorScale>
        <cfvo type="min"/>
        <cfvo type="percentile" val="50"/>
        <cfvo type="max"/>
        <color rgb="FF63BE7B"/>
        <color rgb="FFFFEB84"/>
        <color rgb="FFF8696B"/>
      </colorScale>
    </cfRule>
    <cfRule type="colorScale" priority="4537">
      <colorScale>
        <cfvo type="min"/>
        <cfvo type="percentile" val="50"/>
        <cfvo type="max"/>
        <color rgb="FF63BE7B"/>
        <color rgb="FFFFEB84"/>
        <color rgb="FFF8696B"/>
      </colorScale>
    </cfRule>
    <cfRule type="colorScale" priority="4536">
      <colorScale>
        <cfvo type="min"/>
        <cfvo type="percentile" val="50"/>
        <cfvo type="max"/>
        <color rgb="FF63BE7B"/>
        <color rgb="FFFFEB84"/>
        <color rgb="FFF8696B"/>
      </colorScale>
    </cfRule>
    <cfRule type="colorScale" priority="4535">
      <colorScale>
        <cfvo type="min"/>
        <cfvo type="percentile" val="50"/>
        <cfvo type="max"/>
        <color rgb="FF63BE7B"/>
        <color rgb="FFFFEB84"/>
        <color rgb="FFF8696B"/>
      </colorScale>
    </cfRule>
    <cfRule type="colorScale" priority="4534">
      <colorScale>
        <cfvo type="min"/>
        <cfvo type="percentile" val="50"/>
        <cfvo type="max"/>
        <color rgb="FF63BE7B"/>
        <color rgb="FFFFEB84"/>
        <color rgb="FFF8696B"/>
      </colorScale>
    </cfRule>
    <cfRule type="colorScale" priority="4532">
      <colorScale>
        <cfvo type="min"/>
        <cfvo type="percentile" val="50"/>
        <cfvo type="max"/>
        <color rgb="FF63BE7B"/>
        <color rgb="FFFFEB84"/>
        <color rgb="FFF8696B"/>
      </colorScale>
    </cfRule>
    <cfRule type="colorScale" priority="4531">
      <colorScale>
        <cfvo type="min"/>
        <cfvo type="percentile" val="50"/>
        <cfvo type="max"/>
        <color rgb="FF63BE7B"/>
        <color rgb="FFFFEB84"/>
        <color rgb="FFF8696B"/>
      </colorScale>
    </cfRule>
    <cfRule type="colorScale" priority="4530">
      <colorScale>
        <cfvo type="min"/>
        <cfvo type="percentile" val="50"/>
        <cfvo type="max"/>
        <color rgb="FF63BE7B"/>
        <color rgb="FFFFEB84"/>
        <color rgb="FFF8696B"/>
      </colorScale>
    </cfRule>
    <cfRule type="colorScale" priority="630">
      <colorScale>
        <cfvo type="min"/>
        <cfvo type="percentile" val="50"/>
        <cfvo type="max"/>
        <color rgb="FF63BE7B"/>
        <color rgb="FFFFEB84"/>
        <color rgb="FFF8696B"/>
      </colorScale>
    </cfRule>
    <cfRule type="colorScale" priority="493">
      <colorScale>
        <cfvo type="min"/>
        <cfvo type="percentile" val="50"/>
        <cfvo type="max"/>
        <color rgb="FF63BE7B"/>
        <color rgb="FFFFEB84"/>
        <color rgb="FFF8696B"/>
      </colorScale>
    </cfRule>
    <cfRule type="colorScale" priority="563">
      <colorScale>
        <cfvo type="min"/>
        <cfvo type="percentile" val="50"/>
        <cfvo type="max"/>
        <color rgb="FF63BE7B"/>
        <color rgb="FFFFEB84"/>
        <color rgb="FFF8696B"/>
      </colorScale>
    </cfRule>
    <cfRule type="colorScale" priority="6424">
      <colorScale>
        <cfvo type="min"/>
        <cfvo type="percentile" val="50"/>
        <cfvo type="max"/>
        <color rgb="FF63BE7B"/>
        <color rgb="FFFFEB84"/>
        <color rgb="FFF8696B"/>
      </colorScale>
    </cfRule>
    <cfRule type="colorScale" priority="6423">
      <colorScale>
        <cfvo type="min"/>
        <cfvo type="percentile" val="50"/>
        <cfvo type="max"/>
        <color rgb="FF63BE7B"/>
        <color rgb="FFFFEB84"/>
        <color rgb="FFF8696B"/>
      </colorScale>
    </cfRule>
    <cfRule type="colorScale" priority="6422">
      <colorScale>
        <cfvo type="min"/>
        <cfvo type="percentile" val="50"/>
        <cfvo type="max"/>
        <color rgb="FF63BE7B"/>
        <color rgb="FFFFEB84"/>
        <color rgb="FFF8696B"/>
      </colorScale>
    </cfRule>
    <cfRule type="colorScale" priority="6421">
      <colorScale>
        <cfvo type="min"/>
        <cfvo type="percentile" val="50"/>
        <cfvo type="max"/>
        <color rgb="FF63BE7B"/>
        <color rgb="FFFFEB84"/>
        <color rgb="FFF8696B"/>
      </colorScale>
    </cfRule>
    <cfRule type="colorScale" priority="6420">
      <colorScale>
        <cfvo type="min"/>
        <cfvo type="percentile" val="50"/>
        <cfvo type="max"/>
        <color rgb="FF63BE7B"/>
        <color rgb="FFFFEB84"/>
        <color rgb="FFF8696B"/>
      </colorScale>
    </cfRule>
    <cfRule type="colorScale" priority="6419">
      <colorScale>
        <cfvo type="min"/>
        <cfvo type="percentile" val="50"/>
        <cfvo type="max"/>
        <color rgb="FF63BE7B"/>
        <color rgb="FFFFEB84"/>
        <color rgb="FFF8696B"/>
      </colorScale>
    </cfRule>
    <cfRule type="colorScale" priority="6418">
      <colorScale>
        <cfvo type="min"/>
        <cfvo type="percentile" val="50"/>
        <cfvo type="max"/>
        <color rgb="FF63BE7B"/>
        <color rgb="FFFFEB84"/>
        <color rgb="FFF8696B"/>
      </colorScale>
    </cfRule>
    <cfRule type="colorScale" priority="6417">
      <colorScale>
        <cfvo type="min"/>
        <cfvo type="percentile" val="50"/>
        <cfvo type="max"/>
        <color rgb="FF63BE7B"/>
        <color rgb="FFFFEB84"/>
        <color rgb="FFF8696B"/>
      </colorScale>
    </cfRule>
    <cfRule type="colorScale" priority="6416">
      <colorScale>
        <cfvo type="min"/>
        <cfvo type="percentile" val="50"/>
        <cfvo type="max"/>
        <color rgb="FF63BE7B"/>
        <color rgb="FFFFEB84"/>
        <color rgb="FFF8696B"/>
      </colorScale>
    </cfRule>
    <cfRule type="colorScale" priority="6415">
      <colorScale>
        <cfvo type="min"/>
        <cfvo type="percentile" val="50"/>
        <cfvo type="max"/>
        <color rgb="FF63BE7B"/>
        <color rgb="FFFFEB84"/>
        <color rgb="FFF8696B"/>
      </colorScale>
    </cfRule>
    <cfRule type="colorScale" priority="6414">
      <colorScale>
        <cfvo type="min"/>
        <cfvo type="percentile" val="50"/>
        <cfvo type="max"/>
        <color rgb="FF63BE7B"/>
        <color rgb="FFFFEB84"/>
        <color rgb="FFF8696B"/>
      </colorScale>
    </cfRule>
    <cfRule type="colorScale" priority="6413">
      <colorScale>
        <cfvo type="min"/>
        <cfvo type="percentile" val="50"/>
        <cfvo type="max"/>
        <color rgb="FF63BE7B"/>
        <color rgb="FFFFEB84"/>
        <color rgb="FFF8696B"/>
      </colorScale>
    </cfRule>
    <cfRule type="colorScale" priority="6412">
      <colorScale>
        <cfvo type="min"/>
        <cfvo type="percentile" val="50"/>
        <cfvo type="max"/>
        <color rgb="FF63BE7B"/>
        <color rgb="FFFFEB84"/>
        <color rgb="FFF8696B"/>
      </colorScale>
    </cfRule>
    <cfRule type="colorScale" priority="6997">
      <colorScale>
        <cfvo type="min"/>
        <cfvo type="percentile" val="50"/>
        <cfvo type="max"/>
        <color rgb="FF63BE7B"/>
        <color rgb="FFFFEB84"/>
        <color rgb="FFF8696B"/>
      </colorScale>
    </cfRule>
    <cfRule type="colorScale" priority="6998">
      <colorScale>
        <cfvo type="min"/>
        <cfvo type="percentile" val="50"/>
        <cfvo type="max"/>
        <color rgb="FF63BE7B"/>
        <color rgb="FFFFEB84"/>
        <color rgb="FFF8696B"/>
      </colorScale>
    </cfRule>
    <cfRule type="colorScale" priority="6999">
      <colorScale>
        <cfvo type="min"/>
        <cfvo type="percentile" val="50"/>
        <cfvo type="max"/>
        <color rgb="FF63BE7B"/>
        <color rgb="FFFFEB84"/>
        <color rgb="FFF8696B"/>
      </colorScale>
    </cfRule>
    <cfRule type="colorScale" priority="7000">
      <colorScale>
        <cfvo type="min"/>
        <cfvo type="percentile" val="50"/>
        <cfvo type="max"/>
        <color rgb="FF63BE7B"/>
        <color rgb="FFFFEB84"/>
        <color rgb="FFF8696B"/>
      </colorScale>
    </cfRule>
    <cfRule type="colorScale" priority="7001">
      <colorScale>
        <cfvo type="min"/>
        <cfvo type="percentile" val="50"/>
        <cfvo type="max"/>
        <color rgb="FF63BE7B"/>
        <color rgb="FFFFEB84"/>
        <color rgb="FFF8696B"/>
      </colorScale>
    </cfRule>
    <cfRule type="colorScale" priority="7002">
      <colorScale>
        <cfvo type="min"/>
        <cfvo type="percentile" val="50"/>
        <cfvo type="max"/>
        <color rgb="FF63BE7B"/>
        <color rgb="FFFFEB84"/>
        <color rgb="FFF8696B"/>
      </colorScale>
    </cfRule>
    <cfRule type="colorScale" priority="7003">
      <colorScale>
        <cfvo type="min"/>
        <cfvo type="percentile" val="50"/>
        <cfvo type="max"/>
        <color rgb="FF63BE7B"/>
        <color rgb="FFFFEB84"/>
        <color rgb="FFF8696B"/>
      </colorScale>
    </cfRule>
    <cfRule type="colorScale" priority="7004">
      <colorScale>
        <cfvo type="min"/>
        <cfvo type="percentile" val="50"/>
        <cfvo type="max"/>
        <color rgb="FF63BE7B"/>
        <color rgb="FFFFEB84"/>
        <color rgb="FFF8696B"/>
      </colorScale>
    </cfRule>
    <cfRule type="colorScale" priority="7005">
      <colorScale>
        <cfvo type="min"/>
        <cfvo type="percentile" val="50"/>
        <cfvo type="max"/>
        <color rgb="FF63BE7B"/>
        <color rgb="FFFFEB84"/>
        <color rgb="FFF8696B"/>
      </colorScale>
    </cfRule>
    <cfRule type="colorScale" priority="449">
      <colorScale>
        <cfvo type="min"/>
        <cfvo type="percentile" val="50"/>
        <cfvo type="max"/>
        <color rgb="FF63BE7B"/>
        <color rgb="FFFFEB84"/>
        <color rgb="FFF8696B"/>
      </colorScale>
    </cfRule>
    <cfRule type="colorScale" priority="450">
      <colorScale>
        <cfvo type="min"/>
        <cfvo type="percentile" val="50"/>
        <cfvo type="max"/>
        <color rgb="FF63BE7B"/>
        <color rgb="FFFFEB84"/>
        <color rgb="FFF8696B"/>
      </colorScale>
    </cfRule>
    <cfRule type="colorScale" priority="451">
      <colorScale>
        <cfvo type="min"/>
        <cfvo type="percentile" val="50"/>
        <cfvo type="max"/>
        <color rgb="FF63BE7B"/>
        <color rgb="FFFFEB84"/>
        <color rgb="FFF8696B"/>
      </colorScale>
    </cfRule>
    <cfRule type="colorScale" priority="452">
      <colorScale>
        <cfvo type="min"/>
        <cfvo type="percentile" val="50"/>
        <cfvo type="max"/>
        <color rgb="FF63BE7B"/>
        <color rgb="FFFFEB84"/>
        <color rgb="FFF8696B"/>
      </colorScale>
    </cfRule>
    <cfRule type="colorScale" priority="453">
      <colorScale>
        <cfvo type="min"/>
        <cfvo type="percentile" val="50"/>
        <cfvo type="max"/>
        <color rgb="FF63BE7B"/>
        <color rgb="FFFFEB84"/>
        <color rgb="FFF8696B"/>
      </colorScale>
    </cfRule>
    <cfRule type="colorScale" priority="454">
      <colorScale>
        <cfvo type="min"/>
        <cfvo type="percentile" val="50"/>
        <cfvo type="max"/>
        <color rgb="FF63BE7B"/>
        <color rgb="FFFFEB84"/>
        <color rgb="FFF8696B"/>
      </colorScale>
    </cfRule>
    <cfRule type="colorScale" priority="455">
      <colorScale>
        <cfvo type="min"/>
        <cfvo type="percentile" val="50"/>
        <cfvo type="max"/>
        <color rgb="FF63BE7B"/>
        <color rgb="FFFFEB84"/>
        <color rgb="FFF8696B"/>
      </colorScale>
    </cfRule>
    <cfRule type="colorScale" priority="456">
      <colorScale>
        <cfvo type="min"/>
        <cfvo type="percentile" val="50"/>
        <cfvo type="max"/>
        <color rgb="FF63BE7B"/>
        <color rgb="FFFFEB84"/>
        <color rgb="FFF8696B"/>
      </colorScale>
    </cfRule>
    <cfRule type="colorScale" priority="457">
      <colorScale>
        <cfvo type="min"/>
        <cfvo type="percentile" val="50"/>
        <cfvo type="max"/>
        <color rgb="FF63BE7B"/>
        <color rgb="FFFFEB84"/>
        <color rgb="FFF8696B"/>
      </colorScale>
    </cfRule>
    <cfRule type="colorScale" priority="458">
      <colorScale>
        <cfvo type="min"/>
        <cfvo type="percentile" val="50"/>
        <cfvo type="max"/>
        <color rgb="FF63BE7B"/>
        <color rgb="FFFFEB84"/>
        <color rgb="FFF8696B"/>
      </colorScale>
    </cfRule>
    <cfRule type="colorScale" priority="459">
      <colorScale>
        <cfvo type="min"/>
        <cfvo type="percentile" val="50"/>
        <cfvo type="max"/>
        <color rgb="FF63BE7B"/>
        <color rgb="FFFFEB84"/>
        <color rgb="FFF8696B"/>
      </colorScale>
    </cfRule>
    <cfRule type="colorScale" priority="460">
      <colorScale>
        <cfvo type="min"/>
        <cfvo type="percentile" val="50"/>
        <cfvo type="max"/>
        <color rgb="FF63BE7B"/>
        <color rgb="FFFFEB84"/>
        <color rgb="FFF8696B"/>
      </colorScale>
    </cfRule>
    <cfRule type="colorScale" priority="461">
      <colorScale>
        <cfvo type="min"/>
        <cfvo type="percentile" val="50"/>
        <cfvo type="max"/>
        <color rgb="FF63BE7B"/>
        <color rgb="FFFFEB84"/>
        <color rgb="FFF8696B"/>
      </colorScale>
    </cfRule>
    <cfRule type="colorScale" priority="462">
      <colorScale>
        <cfvo type="min"/>
        <cfvo type="percentile" val="50"/>
        <cfvo type="max"/>
        <color rgb="FF63BE7B"/>
        <color rgb="FFFFEB84"/>
        <color rgb="FFF8696B"/>
      </colorScale>
    </cfRule>
    <cfRule type="colorScale" priority="463">
      <colorScale>
        <cfvo type="min"/>
        <cfvo type="percentile" val="50"/>
        <cfvo type="max"/>
        <color rgb="FF63BE7B"/>
        <color rgb="FFFFEB84"/>
        <color rgb="FFF8696B"/>
      </colorScale>
    </cfRule>
    <cfRule type="colorScale" priority="464">
      <colorScale>
        <cfvo type="min"/>
        <cfvo type="percentile" val="50"/>
        <cfvo type="max"/>
        <color rgb="FF63BE7B"/>
        <color rgb="FFFFEB84"/>
        <color rgb="FFF8696B"/>
      </colorScale>
    </cfRule>
    <cfRule type="colorScale" priority="5152">
      <colorScale>
        <cfvo type="min"/>
        <cfvo type="percentile" val="50"/>
        <cfvo type="max"/>
        <color rgb="FF63BE7B"/>
        <color rgb="FFFFEB84"/>
        <color rgb="FFF8696B"/>
      </colorScale>
    </cfRule>
    <cfRule type="colorScale" priority="5153">
      <colorScale>
        <cfvo type="min"/>
        <cfvo type="percentile" val="50"/>
        <cfvo type="max"/>
        <color rgb="FF63BE7B"/>
        <color rgb="FFFFEB84"/>
        <color rgb="FFF8696B"/>
      </colorScale>
    </cfRule>
    <cfRule type="colorScale" priority="5154">
      <colorScale>
        <cfvo type="min"/>
        <cfvo type="percentile" val="50"/>
        <cfvo type="max"/>
        <color rgb="FF63BE7B"/>
        <color rgb="FFFFEB84"/>
        <color rgb="FFF8696B"/>
      </colorScale>
    </cfRule>
    <cfRule type="colorScale" priority="5155">
      <colorScale>
        <cfvo type="min"/>
        <cfvo type="percentile" val="50"/>
        <cfvo type="max"/>
        <color rgb="FF63BE7B"/>
        <color rgb="FFFFEB84"/>
        <color rgb="FFF8696B"/>
      </colorScale>
    </cfRule>
    <cfRule type="colorScale" priority="5156">
      <colorScale>
        <cfvo type="min"/>
        <cfvo type="percentile" val="50"/>
        <cfvo type="max"/>
        <color rgb="FF63BE7B"/>
        <color rgb="FFFFEB84"/>
        <color rgb="FFF8696B"/>
      </colorScale>
    </cfRule>
    <cfRule type="colorScale" priority="5157">
      <colorScale>
        <cfvo type="min"/>
        <cfvo type="percentile" val="50"/>
        <cfvo type="max"/>
        <color rgb="FF63BE7B"/>
        <color rgb="FFFFEB84"/>
        <color rgb="FFF8696B"/>
      </colorScale>
    </cfRule>
    <cfRule type="colorScale" priority="5158">
      <colorScale>
        <cfvo type="min"/>
        <cfvo type="percentile" val="50"/>
        <cfvo type="max"/>
        <color rgb="FF63BE7B"/>
        <color rgb="FFFFEB84"/>
        <color rgb="FFF8696B"/>
      </colorScale>
    </cfRule>
    <cfRule type="colorScale" priority="5159">
      <colorScale>
        <cfvo type="min"/>
        <cfvo type="percentile" val="50"/>
        <cfvo type="max"/>
        <color rgb="FF63BE7B"/>
        <color rgb="FFFFEB84"/>
        <color rgb="FFF8696B"/>
      </colorScale>
    </cfRule>
    <cfRule type="colorScale" priority="5160">
      <colorScale>
        <cfvo type="min"/>
        <cfvo type="percentile" val="50"/>
        <cfvo type="max"/>
        <color rgb="FF63BE7B"/>
        <color rgb="FFFFEB84"/>
        <color rgb="FFF8696B"/>
      </colorScale>
    </cfRule>
    <cfRule type="colorScale" priority="5161">
      <colorScale>
        <cfvo type="min"/>
        <cfvo type="percentile" val="50"/>
        <cfvo type="max"/>
        <color rgb="FF63BE7B"/>
        <color rgb="FFFFEB84"/>
        <color rgb="FFF8696B"/>
      </colorScale>
    </cfRule>
    <cfRule type="colorScale" priority="5162">
      <colorScale>
        <cfvo type="min"/>
        <cfvo type="percentile" val="50"/>
        <cfvo type="max"/>
        <color rgb="FF63BE7B"/>
        <color rgb="FFFFEB84"/>
        <color rgb="FFF8696B"/>
      </colorScale>
    </cfRule>
    <cfRule type="colorScale" priority="5163">
      <colorScale>
        <cfvo type="min"/>
        <cfvo type="percentile" val="50"/>
        <cfvo type="max"/>
        <color rgb="FF63BE7B"/>
        <color rgb="FFFFEB84"/>
        <color rgb="FFF8696B"/>
      </colorScale>
    </cfRule>
    <cfRule type="colorScale" priority="5164">
      <colorScale>
        <cfvo type="min"/>
        <cfvo type="percentile" val="50"/>
        <cfvo type="max"/>
        <color rgb="FF63BE7B"/>
        <color rgb="FFFFEB84"/>
        <color rgb="FFF8696B"/>
      </colorScale>
    </cfRule>
    <cfRule type="colorScale" priority="5165">
      <colorScale>
        <cfvo type="min"/>
        <cfvo type="percentile" val="50"/>
        <cfvo type="max"/>
        <color rgb="FF63BE7B"/>
        <color rgb="FFFFEB84"/>
        <color rgb="FFF8696B"/>
      </colorScale>
    </cfRule>
    <cfRule type="colorScale" priority="465">
      <colorScale>
        <cfvo type="min"/>
        <cfvo type="percentile" val="50"/>
        <cfvo type="max"/>
        <color rgb="FF63BE7B"/>
        <color rgb="FFFFEB84"/>
        <color rgb="FFF8696B"/>
      </colorScale>
    </cfRule>
    <cfRule type="colorScale" priority="5166">
      <colorScale>
        <cfvo type="min"/>
        <cfvo type="percentile" val="50"/>
        <cfvo type="max"/>
        <color rgb="FF63BE7B"/>
        <color rgb="FFFFEB84"/>
        <color rgb="FFF8696B"/>
      </colorScale>
    </cfRule>
    <cfRule type="colorScale" priority="5167">
      <colorScale>
        <cfvo type="min"/>
        <cfvo type="percentile" val="50"/>
        <cfvo type="max"/>
        <color rgb="FF63BE7B"/>
        <color rgb="FFFFEB84"/>
        <color rgb="FFF8696B"/>
      </colorScale>
    </cfRule>
    <cfRule type="colorScale" priority="5168">
      <colorScale>
        <cfvo type="min"/>
        <cfvo type="percentile" val="50"/>
        <cfvo type="max"/>
        <color rgb="FF63BE7B"/>
        <color rgb="FFFFEB84"/>
        <color rgb="FFF8696B"/>
      </colorScale>
    </cfRule>
    <cfRule type="colorScale" priority="5169">
      <colorScale>
        <cfvo type="min"/>
        <cfvo type="percentile" val="50"/>
        <cfvo type="max"/>
        <color rgb="FF63BE7B"/>
        <color rgb="FFFFEB84"/>
        <color rgb="FFF8696B"/>
      </colorScale>
    </cfRule>
    <cfRule type="colorScale" priority="5170">
      <colorScale>
        <cfvo type="min"/>
        <cfvo type="percentile" val="50"/>
        <cfvo type="max"/>
        <color rgb="FF63BE7B"/>
        <color rgb="FFFFEB84"/>
        <color rgb="FFF8696B"/>
      </colorScale>
    </cfRule>
    <cfRule type="colorScale" priority="5171">
      <colorScale>
        <cfvo type="min"/>
        <cfvo type="percentile" val="50"/>
        <cfvo type="max"/>
        <color rgb="FF63BE7B"/>
        <color rgb="FFFFEB84"/>
        <color rgb="FFF8696B"/>
      </colorScale>
    </cfRule>
    <cfRule type="colorScale" priority="5172">
      <colorScale>
        <cfvo type="min"/>
        <cfvo type="percentile" val="50"/>
        <cfvo type="max"/>
        <color rgb="FF63BE7B"/>
        <color rgb="FFFFEB84"/>
        <color rgb="FFF8696B"/>
      </colorScale>
    </cfRule>
    <cfRule type="colorScale" priority="5173">
      <colorScale>
        <cfvo type="min"/>
        <cfvo type="percentile" val="50"/>
        <cfvo type="max"/>
        <color rgb="FF63BE7B"/>
        <color rgb="FFFFEB84"/>
        <color rgb="FFF8696B"/>
      </colorScale>
    </cfRule>
    <cfRule type="colorScale" priority="5174">
      <colorScale>
        <cfvo type="min"/>
        <cfvo type="percentile" val="50"/>
        <cfvo type="max"/>
        <color rgb="FF63BE7B"/>
        <color rgb="FFFFEB84"/>
        <color rgb="FFF8696B"/>
      </colorScale>
    </cfRule>
    <cfRule type="colorScale" priority="5175">
      <colorScale>
        <cfvo type="min"/>
        <cfvo type="percentile" val="50"/>
        <cfvo type="max"/>
        <color rgb="FF63BE7B"/>
        <color rgb="FFFFEB84"/>
        <color rgb="FFF8696B"/>
      </colorScale>
    </cfRule>
    <cfRule type="colorScale" priority="5176">
      <colorScale>
        <cfvo type="min"/>
        <cfvo type="percentile" val="50"/>
        <cfvo type="max"/>
        <color rgb="FF63BE7B"/>
        <color rgb="FFFFEB84"/>
        <color rgb="FFF8696B"/>
      </colorScale>
    </cfRule>
    <cfRule type="colorScale" priority="5177">
      <colorScale>
        <cfvo type="min"/>
        <cfvo type="percentile" val="50"/>
        <cfvo type="max"/>
        <color rgb="FF63BE7B"/>
        <color rgb="FFFFEB84"/>
        <color rgb="FFF8696B"/>
      </colorScale>
    </cfRule>
    <cfRule type="colorScale" priority="5178">
      <colorScale>
        <cfvo type="min"/>
        <cfvo type="percentile" val="50"/>
        <cfvo type="max"/>
        <color rgb="FF63BE7B"/>
        <color rgb="FFFFEB84"/>
        <color rgb="FFF8696B"/>
      </colorScale>
    </cfRule>
    <cfRule type="colorScale" priority="5179">
      <colorScale>
        <cfvo type="min"/>
        <cfvo type="percentile" val="50"/>
        <cfvo type="max"/>
        <color rgb="FF63BE7B"/>
        <color rgb="FFFFEB84"/>
        <color rgb="FFF8696B"/>
      </colorScale>
    </cfRule>
    <cfRule type="colorScale" priority="5180">
      <colorScale>
        <cfvo type="min"/>
        <cfvo type="percentile" val="50"/>
        <cfvo type="max"/>
        <color rgb="FF63BE7B"/>
        <color rgb="FFFFEB84"/>
        <color rgb="FFF8696B"/>
      </colorScale>
    </cfRule>
    <cfRule type="colorScale" priority="5181">
      <colorScale>
        <cfvo type="min"/>
        <cfvo type="percentile" val="50"/>
        <cfvo type="max"/>
        <color rgb="FF63BE7B"/>
        <color rgb="FFFFEB84"/>
        <color rgb="FFF8696B"/>
      </colorScale>
    </cfRule>
    <cfRule type="colorScale" priority="5182">
      <colorScale>
        <cfvo type="min"/>
        <cfvo type="percentile" val="50"/>
        <cfvo type="max"/>
        <color rgb="FF63BE7B"/>
        <color rgb="FFFFEB84"/>
        <color rgb="FFF8696B"/>
      </colorScale>
    </cfRule>
    <cfRule type="colorScale" priority="5183">
      <colorScale>
        <cfvo type="min"/>
        <cfvo type="percentile" val="50"/>
        <cfvo type="max"/>
        <color rgb="FF63BE7B"/>
        <color rgb="FFFFEB84"/>
        <color rgb="FFF8696B"/>
      </colorScale>
    </cfRule>
    <cfRule type="colorScale" priority="5184">
      <colorScale>
        <cfvo type="min"/>
        <cfvo type="percentile" val="50"/>
        <cfvo type="max"/>
        <color rgb="FF63BE7B"/>
        <color rgb="FFFFEB84"/>
        <color rgb="FFF8696B"/>
      </colorScale>
    </cfRule>
    <cfRule type="colorScale" priority="466">
      <colorScale>
        <cfvo type="min"/>
        <cfvo type="percentile" val="50"/>
        <cfvo type="max"/>
        <color rgb="FF63BE7B"/>
        <color rgb="FFFFEB84"/>
        <color rgb="FFF8696B"/>
      </colorScale>
    </cfRule>
    <cfRule type="colorScale" priority="467">
      <colorScale>
        <cfvo type="min"/>
        <cfvo type="percentile" val="50"/>
        <cfvo type="max"/>
        <color rgb="FF63BE7B"/>
        <color rgb="FFFFEB84"/>
        <color rgb="FFF8696B"/>
      </colorScale>
    </cfRule>
    <cfRule type="colorScale" priority="5185">
      <colorScale>
        <cfvo type="min"/>
        <cfvo type="percentile" val="50"/>
        <cfvo type="max"/>
        <color rgb="FF63BE7B"/>
        <color rgb="FFFFEB84"/>
        <color rgb="FFF8696B"/>
      </colorScale>
    </cfRule>
    <cfRule type="colorScale" priority="5186">
      <colorScale>
        <cfvo type="min"/>
        <cfvo type="percentile" val="50"/>
        <cfvo type="max"/>
        <color rgb="FF63BE7B"/>
        <color rgb="FFFFEB84"/>
        <color rgb="FFF8696B"/>
      </colorScale>
    </cfRule>
    <cfRule type="colorScale" priority="5187">
      <colorScale>
        <cfvo type="min"/>
        <cfvo type="percentile" val="50"/>
        <cfvo type="max"/>
        <color rgb="FF63BE7B"/>
        <color rgb="FFFFEB84"/>
        <color rgb="FFF8696B"/>
      </colorScale>
    </cfRule>
    <cfRule type="colorScale" priority="5188">
      <colorScale>
        <cfvo type="min"/>
        <cfvo type="percentile" val="50"/>
        <cfvo type="max"/>
        <color rgb="FF63BE7B"/>
        <color rgb="FFFFEB84"/>
        <color rgb="FFF8696B"/>
      </colorScale>
    </cfRule>
    <cfRule type="colorScale" priority="5189">
      <colorScale>
        <cfvo type="min"/>
        <cfvo type="percentile" val="50"/>
        <cfvo type="max"/>
        <color rgb="FF63BE7B"/>
        <color rgb="FFFFEB84"/>
        <color rgb="FFF8696B"/>
      </colorScale>
    </cfRule>
    <cfRule type="colorScale" priority="468">
      <colorScale>
        <cfvo type="min"/>
        <cfvo type="percentile" val="50"/>
        <cfvo type="max"/>
        <color rgb="FF63BE7B"/>
        <color rgb="FFFFEB84"/>
        <color rgb="FFF8696B"/>
      </colorScale>
    </cfRule>
    <cfRule type="colorScale" priority="469">
      <colorScale>
        <cfvo type="min"/>
        <cfvo type="percentile" val="50"/>
        <cfvo type="max"/>
        <color rgb="FF63BE7B"/>
        <color rgb="FFFFEB84"/>
        <color rgb="FFF8696B"/>
      </colorScale>
    </cfRule>
    <cfRule type="colorScale" priority="470">
      <colorScale>
        <cfvo type="min"/>
        <cfvo type="percentile" val="50"/>
        <cfvo type="max"/>
        <color rgb="FF63BE7B"/>
        <color rgb="FFFFEB84"/>
        <color rgb="FFF8696B"/>
      </colorScale>
    </cfRule>
    <cfRule type="colorScale" priority="471">
      <colorScale>
        <cfvo type="min"/>
        <cfvo type="percentile" val="50"/>
        <cfvo type="max"/>
        <color rgb="FF63BE7B"/>
        <color rgb="FFFFEB84"/>
        <color rgb="FFF8696B"/>
      </colorScale>
    </cfRule>
    <cfRule type="colorScale" priority="472">
      <colorScale>
        <cfvo type="min"/>
        <cfvo type="percentile" val="50"/>
        <cfvo type="max"/>
        <color rgb="FF63BE7B"/>
        <color rgb="FFFFEB84"/>
        <color rgb="FFF8696B"/>
      </colorScale>
    </cfRule>
    <cfRule type="colorScale" priority="473">
      <colorScale>
        <cfvo type="min"/>
        <cfvo type="percentile" val="50"/>
        <cfvo type="max"/>
        <color rgb="FF63BE7B"/>
        <color rgb="FFFFEB84"/>
        <color rgb="FFF8696B"/>
      </colorScale>
    </cfRule>
    <cfRule type="colorScale" priority="474">
      <colorScale>
        <cfvo type="min"/>
        <cfvo type="percentile" val="50"/>
        <cfvo type="max"/>
        <color rgb="FF63BE7B"/>
        <color rgb="FFFFEB84"/>
        <color rgb="FFF8696B"/>
      </colorScale>
    </cfRule>
    <cfRule type="colorScale" priority="475">
      <colorScale>
        <cfvo type="min"/>
        <cfvo type="percentile" val="50"/>
        <cfvo type="max"/>
        <color rgb="FF63BE7B"/>
        <color rgb="FFFFEB84"/>
        <color rgb="FFF8696B"/>
      </colorScale>
    </cfRule>
    <cfRule type="colorScale" priority="478">
      <colorScale>
        <cfvo type="min"/>
        <cfvo type="percentile" val="50"/>
        <cfvo type="max"/>
        <color rgb="FFF8696B"/>
        <color rgb="FFFFEB84"/>
        <color rgb="FF63BE7B"/>
      </colorScale>
    </cfRule>
    <cfRule type="colorScale" priority="479">
      <colorScale>
        <cfvo type="min"/>
        <cfvo type="percentile" val="50"/>
        <cfvo type="max"/>
        <color rgb="FF63BE7B"/>
        <color rgb="FFFFEB84"/>
        <color rgb="FFF8696B"/>
      </colorScale>
    </cfRule>
    <cfRule type="colorScale" priority="480">
      <colorScale>
        <cfvo type="min"/>
        <cfvo type="percentile" val="50"/>
        <cfvo type="max"/>
        <color rgb="FF63BE7B"/>
        <color rgb="FFFFEB84"/>
        <color rgb="FFF8696B"/>
      </colorScale>
    </cfRule>
    <cfRule type="colorScale" priority="481">
      <colorScale>
        <cfvo type="min"/>
        <cfvo type="percentile" val="50"/>
        <cfvo type="max"/>
        <color rgb="FF63BE7B"/>
        <color rgb="FFFFEB84"/>
        <color rgb="FFF8696B"/>
      </colorScale>
    </cfRule>
    <cfRule type="colorScale" priority="482">
      <colorScale>
        <cfvo type="min"/>
        <cfvo type="percentile" val="50"/>
        <cfvo type="max"/>
        <color rgb="FF63BE7B"/>
        <color rgb="FFFFEB84"/>
        <color rgb="FFF8696B"/>
      </colorScale>
    </cfRule>
    <cfRule type="colorScale" priority="483">
      <colorScale>
        <cfvo type="min"/>
        <cfvo type="percentile" val="50"/>
        <cfvo type="max"/>
        <color rgb="FF63BE7B"/>
        <color rgb="FFFFEB84"/>
        <color rgb="FFF8696B"/>
      </colorScale>
    </cfRule>
    <cfRule type="colorScale" priority="484">
      <colorScale>
        <cfvo type="min"/>
        <cfvo type="percentile" val="50"/>
        <cfvo type="max"/>
        <color rgb="FF63BE7B"/>
        <color rgb="FFFFEB84"/>
        <color rgb="FFF8696B"/>
      </colorScale>
    </cfRule>
    <cfRule type="colorScale" priority="5830">
      <colorScale>
        <cfvo type="min"/>
        <cfvo type="percentile" val="50"/>
        <cfvo type="max"/>
        <color rgb="FF63BE7B"/>
        <color rgb="FFFFEB84"/>
        <color rgb="FFF8696B"/>
      </colorScale>
    </cfRule>
    <cfRule type="colorScale" priority="5831">
      <colorScale>
        <cfvo type="min"/>
        <cfvo type="percentile" val="50"/>
        <cfvo type="max"/>
        <color rgb="FF63BE7B"/>
        <color rgb="FFFFEB84"/>
        <color rgb="FFF8696B"/>
      </colorScale>
    </cfRule>
    <cfRule type="colorScale" priority="5832">
      <colorScale>
        <cfvo type="min"/>
        <cfvo type="percentile" val="50"/>
        <cfvo type="max"/>
        <color rgb="FF63BE7B"/>
        <color rgb="FFFFEB84"/>
        <color rgb="FFF8696B"/>
      </colorScale>
    </cfRule>
    <cfRule type="colorScale" priority="5833">
      <colorScale>
        <cfvo type="min"/>
        <cfvo type="percentile" val="50"/>
        <cfvo type="max"/>
        <color rgb="FF63BE7B"/>
        <color rgb="FFFFEB84"/>
        <color rgb="FFF8696B"/>
      </colorScale>
    </cfRule>
    <cfRule type="colorScale" priority="5834">
      <colorScale>
        <cfvo type="min"/>
        <cfvo type="percentile" val="50"/>
        <cfvo type="max"/>
        <color rgb="FF63BE7B"/>
        <color rgb="FFFFEB84"/>
        <color rgb="FFF8696B"/>
      </colorScale>
    </cfRule>
    <cfRule type="colorScale" priority="5835">
      <colorScale>
        <cfvo type="min"/>
        <cfvo type="percentile" val="50"/>
        <cfvo type="max"/>
        <color rgb="FF63BE7B"/>
        <color rgb="FFFFEB84"/>
        <color rgb="FFF8696B"/>
      </colorScale>
    </cfRule>
    <cfRule type="colorScale" priority="5836">
      <colorScale>
        <cfvo type="min"/>
        <cfvo type="percentile" val="50"/>
        <cfvo type="max"/>
        <color rgb="FF63BE7B"/>
        <color rgb="FFFFEB84"/>
        <color rgb="FFF8696B"/>
      </colorScale>
    </cfRule>
    <cfRule type="colorScale" priority="5837">
      <colorScale>
        <cfvo type="min"/>
        <cfvo type="percentile" val="50"/>
        <cfvo type="max"/>
        <color rgb="FF63BE7B"/>
        <color rgb="FFFFEB84"/>
        <color rgb="FFF8696B"/>
      </colorScale>
    </cfRule>
    <cfRule type="colorScale" priority="5838">
      <colorScale>
        <cfvo type="min"/>
        <cfvo type="percentile" val="50"/>
        <cfvo type="max"/>
        <color rgb="FF63BE7B"/>
        <color rgb="FFFFEB84"/>
        <color rgb="FFF8696B"/>
      </colorScale>
    </cfRule>
    <cfRule type="colorScale" priority="5839">
      <colorScale>
        <cfvo type="min"/>
        <cfvo type="percentile" val="50"/>
        <cfvo type="max"/>
        <color rgb="FF63BE7B"/>
        <color rgb="FFFFEB84"/>
        <color rgb="FFF8696B"/>
      </colorScale>
    </cfRule>
    <cfRule type="colorScale" priority="5840">
      <colorScale>
        <cfvo type="min"/>
        <cfvo type="percentile" val="50"/>
        <cfvo type="max"/>
        <color rgb="FF63BE7B"/>
        <color rgb="FFFFEB84"/>
        <color rgb="FFF8696B"/>
      </colorScale>
    </cfRule>
    <cfRule type="colorScale" priority="5841">
      <colorScale>
        <cfvo type="min"/>
        <cfvo type="percentile" val="50"/>
        <cfvo type="max"/>
        <color rgb="FF63BE7B"/>
        <color rgb="FFFFEB84"/>
        <color rgb="FFF8696B"/>
      </colorScale>
    </cfRule>
    <cfRule type="colorScale" priority="5842">
      <colorScale>
        <cfvo type="min"/>
        <cfvo type="percentile" val="50"/>
        <cfvo type="max"/>
        <color rgb="FF63BE7B"/>
        <color rgb="FFFFEB84"/>
        <color rgb="FFF8696B"/>
      </colorScale>
    </cfRule>
    <cfRule type="colorScale" priority="5843">
      <colorScale>
        <cfvo type="min"/>
        <cfvo type="percentile" val="50"/>
        <cfvo type="max"/>
        <color rgb="FF63BE7B"/>
        <color rgb="FFFFEB84"/>
        <color rgb="FFF8696B"/>
      </colorScale>
    </cfRule>
    <cfRule type="colorScale" priority="5844">
      <colorScale>
        <cfvo type="min"/>
        <cfvo type="percentile" val="50"/>
        <cfvo type="max"/>
        <color rgb="FF63BE7B"/>
        <color rgb="FFFFEB84"/>
        <color rgb="FFF8696B"/>
      </colorScale>
    </cfRule>
    <cfRule type="colorScale" priority="5845">
      <colorScale>
        <cfvo type="min"/>
        <cfvo type="percentile" val="50"/>
        <cfvo type="max"/>
        <color rgb="FF63BE7B"/>
        <color rgb="FFFFEB84"/>
        <color rgb="FFF8696B"/>
      </colorScale>
    </cfRule>
    <cfRule type="colorScale" priority="5846">
      <colorScale>
        <cfvo type="min"/>
        <cfvo type="percentile" val="50"/>
        <cfvo type="max"/>
        <color rgb="FF63BE7B"/>
        <color rgb="FFFFEB84"/>
        <color rgb="FFF8696B"/>
      </colorScale>
    </cfRule>
    <cfRule type="colorScale" priority="5847">
      <colorScale>
        <cfvo type="min"/>
        <cfvo type="percentile" val="50"/>
        <cfvo type="max"/>
        <color rgb="FF63BE7B"/>
        <color rgb="FFFFEB84"/>
        <color rgb="FFF8696B"/>
      </colorScale>
    </cfRule>
    <cfRule type="colorScale" priority="5848">
      <colorScale>
        <cfvo type="min"/>
        <cfvo type="percentile" val="50"/>
        <cfvo type="max"/>
        <color rgb="FF63BE7B"/>
        <color rgb="FFFFEB84"/>
        <color rgb="FFF8696B"/>
      </colorScale>
    </cfRule>
    <cfRule type="colorScale" priority="5849">
      <colorScale>
        <cfvo type="min"/>
        <cfvo type="percentile" val="50"/>
        <cfvo type="max"/>
        <color rgb="FF63BE7B"/>
        <color rgb="FFFFEB84"/>
        <color rgb="FFF8696B"/>
      </colorScale>
    </cfRule>
    <cfRule type="colorScale" priority="5850">
      <colorScale>
        <cfvo type="min"/>
        <cfvo type="percentile" val="50"/>
        <cfvo type="max"/>
        <color rgb="FF63BE7B"/>
        <color rgb="FFFFEB84"/>
        <color rgb="FFF8696B"/>
      </colorScale>
    </cfRule>
    <cfRule type="colorScale" priority="5851">
      <colorScale>
        <cfvo type="min"/>
        <cfvo type="percentile" val="50"/>
        <cfvo type="max"/>
        <color rgb="FF63BE7B"/>
        <color rgb="FFFFEB84"/>
        <color rgb="FFF8696B"/>
      </colorScale>
    </cfRule>
    <cfRule type="colorScale" priority="5852">
      <colorScale>
        <cfvo type="min"/>
        <cfvo type="percentile" val="50"/>
        <cfvo type="max"/>
        <color rgb="FF63BE7B"/>
        <color rgb="FFFFEB84"/>
        <color rgb="FFF8696B"/>
      </colorScale>
    </cfRule>
    <cfRule type="colorScale" priority="5853">
      <colorScale>
        <cfvo type="min"/>
        <cfvo type="percentile" val="50"/>
        <cfvo type="max"/>
        <color rgb="FF63BE7B"/>
        <color rgb="FFFFEB84"/>
        <color rgb="FFF8696B"/>
      </colorScale>
    </cfRule>
    <cfRule type="colorScale" priority="5854">
      <colorScale>
        <cfvo type="min"/>
        <cfvo type="percentile" val="50"/>
        <cfvo type="max"/>
        <color rgb="FF63BE7B"/>
        <color rgb="FFFFEB84"/>
        <color rgb="FFF8696B"/>
      </colorScale>
    </cfRule>
    <cfRule type="colorScale" priority="5855">
      <colorScale>
        <cfvo type="min"/>
        <cfvo type="percentile" val="50"/>
        <cfvo type="max"/>
        <color rgb="FF63BE7B"/>
        <color rgb="FFFFEB84"/>
        <color rgb="FFF8696B"/>
      </colorScale>
    </cfRule>
    <cfRule type="colorScale" priority="5856">
      <colorScale>
        <cfvo type="min"/>
        <cfvo type="percentile" val="50"/>
        <cfvo type="max"/>
        <color rgb="FF63BE7B"/>
        <color rgb="FFFFEB84"/>
        <color rgb="FFF8696B"/>
      </colorScale>
    </cfRule>
    <cfRule type="colorScale" priority="5857">
      <colorScale>
        <cfvo type="min"/>
        <cfvo type="percentile" val="50"/>
        <cfvo type="max"/>
        <color rgb="FF63BE7B"/>
        <color rgb="FFFFEB84"/>
        <color rgb="FFF8696B"/>
      </colorScale>
    </cfRule>
    <cfRule type="colorScale" priority="5858">
      <colorScale>
        <cfvo type="min"/>
        <cfvo type="percentile" val="50"/>
        <cfvo type="max"/>
        <color rgb="FF63BE7B"/>
        <color rgb="FFFFEB84"/>
        <color rgb="FFF8696B"/>
      </colorScale>
    </cfRule>
    <cfRule type="colorScale" priority="5859">
      <colorScale>
        <cfvo type="min"/>
        <cfvo type="percentile" val="50"/>
        <cfvo type="max"/>
        <color rgb="FF63BE7B"/>
        <color rgb="FFFFEB84"/>
        <color rgb="FFF8696B"/>
      </colorScale>
    </cfRule>
    <cfRule type="colorScale" priority="5860">
      <colorScale>
        <cfvo type="min"/>
        <cfvo type="percentile" val="50"/>
        <cfvo type="max"/>
        <color rgb="FF63BE7B"/>
        <color rgb="FFFFEB84"/>
        <color rgb="FFF8696B"/>
      </colorScale>
    </cfRule>
    <cfRule type="colorScale" priority="5861">
      <colorScale>
        <cfvo type="min"/>
        <cfvo type="percentile" val="50"/>
        <cfvo type="max"/>
        <color rgb="FF63BE7B"/>
        <color rgb="FFFFEB84"/>
        <color rgb="FFF8696B"/>
      </colorScale>
    </cfRule>
    <cfRule type="colorScale" priority="5862">
      <colorScale>
        <cfvo type="min"/>
        <cfvo type="percentile" val="50"/>
        <cfvo type="max"/>
        <color rgb="FF63BE7B"/>
        <color rgb="FFFFEB84"/>
        <color rgb="FFF8696B"/>
      </colorScale>
    </cfRule>
    <cfRule type="colorScale" priority="5863">
      <colorScale>
        <cfvo type="min"/>
        <cfvo type="percentile" val="50"/>
        <cfvo type="max"/>
        <color rgb="FF63BE7B"/>
        <color rgb="FFFFEB84"/>
        <color rgb="FFF8696B"/>
      </colorScale>
    </cfRule>
    <cfRule type="colorScale" priority="5864">
      <colorScale>
        <cfvo type="min"/>
        <cfvo type="percentile" val="50"/>
        <cfvo type="max"/>
        <color rgb="FF63BE7B"/>
        <color rgb="FFFFEB84"/>
        <color rgb="FFF8696B"/>
      </colorScale>
    </cfRule>
    <cfRule type="colorScale" priority="5865">
      <colorScale>
        <cfvo type="min"/>
        <cfvo type="percentile" val="50"/>
        <cfvo type="max"/>
        <color rgb="FF63BE7B"/>
        <color rgb="FFFFEB84"/>
        <color rgb="FFF8696B"/>
      </colorScale>
    </cfRule>
    <cfRule type="colorScale" priority="5866">
      <colorScale>
        <cfvo type="min"/>
        <cfvo type="percentile" val="50"/>
        <cfvo type="max"/>
        <color rgb="FF63BE7B"/>
        <color rgb="FFFFEB84"/>
        <color rgb="FFF8696B"/>
      </colorScale>
    </cfRule>
    <cfRule type="colorScale" priority="5867">
      <colorScale>
        <cfvo type="min"/>
        <cfvo type="percentile" val="50"/>
        <cfvo type="max"/>
        <color rgb="FF63BE7B"/>
        <color rgb="FFFFEB84"/>
        <color rgb="FFF8696B"/>
      </colorScale>
    </cfRule>
    <cfRule type="colorScale" priority="485">
      <colorScale>
        <cfvo type="min"/>
        <cfvo type="percentile" val="50"/>
        <cfvo type="max"/>
        <color rgb="FF63BE7B"/>
        <color rgb="FFFFEB84"/>
        <color rgb="FFF8696B"/>
      </colorScale>
    </cfRule>
  </conditionalFormatting>
  <conditionalFormatting sqref="N54:N61">
    <cfRule type="colorScale" priority="62">
      <colorScale>
        <cfvo type="min"/>
        <cfvo type="percentile" val="50"/>
        <cfvo type="max"/>
        <color rgb="FF63BE7B"/>
        <color rgb="FFFFEB84"/>
        <color rgb="FFF8696B"/>
      </colorScale>
    </cfRule>
    <cfRule type="colorScale" priority="7">
      <colorScale>
        <cfvo type="min"/>
        <cfvo type="percentile" val="50"/>
        <cfvo type="max"/>
        <color rgb="FFF8696B"/>
        <color rgb="FFFFEB84"/>
        <color rgb="FF63BE7B"/>
      </colorScale>
    </cfRule>
  </conditionalFormatting>
  <conditionalFormatting sqref="N65:N91">
    <cfRule type="colorScale" priority="12616">
      <colorScale>
        <cfvo type="min"/>
        <cfvo type="percentile" val="50"/>
        <cfvo type="max"/>
        <color rgb="FF63BE7B"/>
        <color rgb="FFFFEB84"/>
        <color rgb="FFF8696B"/>
      </colorScale>
    </cfRule>
  </conditionalFormatting>
  <conditionalFormatting sqref="N73:N77">
    <cfRule type="colorScale" priority="12427">
      <colorScale>
        <cfvo type="min"/>
        <cfvo type="percentile" val="50"/>
        <cfvo type="max"/>
        <color rgb="FF63BE7B"/>
        <color rgb="FFFFEB84"/>
        <color rgb="FFF8696B"/>
      </colorScale>
    </cfRule>
    <cfRule type="colorScale" priority="12428">
      <colorScale>
        <cfvo type="min"/>
        <cfvo type="percentile" val="50"/>
        <cfvo type="max"/>
        <color rgb="FF63BE7B"/>
        <color rgb="FFFFEB84"/>
        <color rgb="FFF8696B"/>
      </colorScale>
    </cfRule>
    <cfRule type="colorScale" priority="12429">
      <colorScale>
        <cfvo type="min"/>
        <cfvo type="percentile" val="50"/>
        <cfvo type="max"/>
        <color rgb="FF63BE7B"/>
        <color rgb="FFFFEB84"/>
        <color rgb="FFF8696B"/>
      </colorScale>
    </cfRule>
    <cfRule type="colorScale" priority="12426">
      <colorScale>
        <cfvo type="min"/>
        <cfvo type="percentile" val="50"/>
        <cfvo type="max"/>
        <color rgb="FF63BE7B"/>
        <color rgb="FFFFEB84"/>
        <color rgb="FFF8696B"/>
      </colorScale>
    </cfRule>
  </conditionalFormatting>
  <conditionalFormatting sqref="N96:N122">
    <cfRule type="colorScale" priority="12009">
      <colorScale>
        <cfvo type="min"/>
        <cfvo type="percentile" val="50"/>
        <cfvo type="max"/>
        <color rgb="FF63BE7B"/>
        <color rgb="FFFFEB84"/>
        <color rgb="FFF8696B"/>
      </colorScale>
    </cfRule>
  </conditionalFormatting>
  <conditionalFormatting sqref="N104:N108">
    <cfRule type="colorScale" priority="11823">
      <colorScale>
        <cfvo type="min"/>
        <cfvo type="percentile" val="50"/>
        <cfvo type="max"/>
        <color rgb="FF63BE7B"/>
        <color rgb="FFFFEB84"/>
        <color rgb="FFF8696B"/>
      </colorScale>
    </cfRule>
    <cfRule type="colorScale" priority="11822">
      <colorScale>
        <cfvo type="min"/>
        <cfvo type="percentile" val="50"/>
        <cfvo type="max"/>
        <color rgb="FF63BE7B"/>
        <color rgb="FFFFEB84"/>
        <color rgb="FFF8696B"/>
      </colorScale>
    </cfRule>
    <cfRule type="colorScale" priority="11821">
      <colorScale>
        <cfvo type="min"/>
        <cfvo type="percentile" val="50"/>
        <cfvo type="max"/>
        <color rgb="FF63BE7B"/>
        <color rgb="FFFFEB84"/>
        <color rgb="FFF8696B"/>
      </colorScale>
    </cfRule>
    <cfRule type="colorScale" priority="11820">
      <colorScale>
        <cfvo type="min"/>
        <cfvo type="percentile" val="50"/>
        <cfvo type="max"/>
        <color rgb="FF63BE7B"/>
        <color rgb="FFFFEB84"/>
        <color rgb="FFF8696B"/>
      </colorScale>
    </cfRule>
  </conditionalFormatting>
  <conditionalFormatting sqref="N35:O37">
    <cfRule type="colorScale" priority="9266">
      <colorScale>
        <cfvo type="min"/>
        <cfvo type="percentile" val="50"/>
        <cfvo type="max"/>
        <color rgb="FF63BE7B"/>
        <color rgb="FFFFEB84"/>
        <color rgb="FFF8696B"/>
      </colorScale>
    </cfRule>
    <cfRule type="colorScale" priority="9265">
      <colorScale>
        <cfvo type="min"/>
        <cfvo type="percentile" val="50"/>
        <cfvo type="max"/>
        <color rgb="FF63BE7B"/>
        <color rgb="FFFFEB84"/>
        <color rgb="FFF8696B"/>
      </colorScale>
    </cfRule>
    <cfRule type="colorScale" priority="9296">
      <colorScale>
        <cfvo type="min"/>
        <cfvo type="percentile" val="50"/>
        <cfvo type="max"/>
        <color rgb="FF63BE7B"/>
        <color rgb="FFFFEB84"/>
        <color rgb="FFF8696B"/>
      </colorScale>
    </cfRule>
    <cfRule type="colorScale" priority="9270">
      <colorScale>
        <cfvo type="min"/>
        <cfvo type="percentile" val="50"/>
        <cfvo type="max"/>
        <color rgb="FF63BE7B"/>
        <color rgb="FFFFEB84"/>
        <color rgb="FFF8696B"/>
      </colorScale>
    </cfRule>
    <cfRule type="colorScale" priority="9267">
      <colorScale>
        <cfvo type="min"/>
        <cfvo type="percentile" val="50"/>
        <cfvo type="max"/>
        <color rgb="FF63BE7B"/>
        <color rgb="FFFFEB84"/>
        <color rgb="FFF8696B"/>
      </colorScale>
    </cfRule>
    <cfRule type="colorScale" priority="9292">
      <colorScale>
        <cfvo type="min"/>
        <cfvo type="percentile" val="50"/>
        <cfvo type="max"/>
        <color rgb="FF63BE7B"/>
        <color rgb="FFFFEB84"/>
        <color rgb="FFF8696B"/>
      </colorScale>
    </cfRule>
    <cfRule type="colorScale" priority="9291">
      <colorScale>
        <cfvo type="min"/>
        <cfvo type="percentile" val="50"/>
        <cfvo type="max"/>
        <color rgb="FF63BE7B"/>
        <color rgb="FFFFEB84"/>
        <color rgb="FFF8696B"/>
      </colorScale>
    </cfRule>
    <cfRule type="colorScale" priority="9269">
      <colorScale>
        <cfvo type="min"/>
        <cfvo type="percentile" val="50"/>
        <cfvo type="max"/>
        <color rgb="FF63BE7B"/>
        <color rgb="FFFFEB84"/>
        <color rgb="FFF8696B"/>
      </colorScale>
    </cfRule>
    <cfRule type="colorScale" priority="9293">
      <colorScale>
        <cfvo type="min"/>
        <cfvo type="percentile" val="50"/>
        <cfvo type="max"/>
        <color rgb="FF63BE7B"/>
        <color rgb="FFFFEB84"/>
        <color rgb="FFF8696B"/>
      </colorScale>
    </cfRule>
    <cfRule type="colorScale" priority="9294">
      <colorScale>
        <cfvo type="min"/>
        <cfvo type="percentile" val="50"/>
        <cfvo type="max"/>
        <color rgb="FF63BE7B"/>
        <color rgb="FFFFEB84"/>
        <color rgb="FFF8696B"/>
      </colorScale>
    </cfRule>
    <cfRule type="colorScale" priority="9264">
      <colorScale>
        <cfvo type="min"/>
        <cfvo type="percentile" val="50"/>
        <cfvo type="max"/>
        <color rgb="FF63BE7B"/>
        <color rgb="FFFFEB84"/>
        <color rgb="FFF8696B"/>
      </colorScale>
    </cfRule>
    <cfRule type="colorScale" priority="9297">
      <colorScale>
        <cfvo type="min"/>
        <cfvo type="percentile" val="50"/>
        <cfvo type="max"/>
        <color rgb="FF63BE7B"/>
        <color rgb="FFFFEB84"/>
        <color rgb="FFF8696B"/>
      </colorScale>
    </cfRule>
    <cfRule type="colorScale" priority="9283">
      <colorScale>
        <cfvo type="min"/>
        <cfvo type="percentile" val="50"/>
        <cfvo type="max"/>
        <color rgb="FF63BE7B"/>
        <color rgb="FFFFEB84"/>
        <color rgb="FFF8696B"/>
      </colorScale>
    </cfRule>
    <cfRule type="colorScale" priority="9256">
      <colorScale>
        <cfvo type="min"/>
        <cfvo type="percentile" val="50"/>
        <cfvo type="max"/>
        <color rgb="FF63BE7B"/>
        <color rgb="FFFFEB84"/>
        <color rgb="FFF8696B"/>
      </colorScale>
    </cfRule>
  </conditionalFormatting>
  <conditionalFormatting sqref="N35:O41">
    <cfRule type="colorScale" priority="9272">
      <colorScale>
        <cfvo type="min"/>
        <cfvo type="percentile" val="50"/>
        <cfvo type="max"/>
        <color rgb="FF63BE7B"/>
        <color rgb="FFFFEB84"/>
        <color rgb="FFF8696B"/>
      </colorScale>
    </cfRule>
    <cfRule type="colorScale" priority="9271">
      <colorScale>
        <cfvo type="min"/>
        <cfvo type="percentile" val="50"/>
        <cfvo type="max"/>
        <color rgb="FF63BE7B"/>
        <color rgb="FFFFEB84"/>
        <color rgb="FFF8696B"/>
      </colorScale>
    </cfRule>
    <cfRule type="colorScale" priority="9286">
      <colorScale>
        <cfvo type="min"/>
        <cfvo type="percentile" val="50"/>
        <cfvo type="max"/>
        <color rgb="FF63BE7B"/>
        <color rgb="FFFFEB84"/>
        <color rgb="FFF8696B"/>
      </colorScale>
    </cfRule>
    <cfRule type="colorScale" priority="9287">
      <colorScale>
        <cfvo type="min"/>
        <cfvo type="percentile" val="50"/>
        <cfvo type="max"/>
        <color rgb="FF63BE7B"/>
        <color rgb="FFFFEB84"/>
        <color rgb="FFF8696B"/>
      </colorScale>
    </cfRule>
    <cfRule type="colorScale" priority="9288">
      <colorScale>
        <cfvo type="min"/>
        <cfvo type="percentile" val="50"/>
        <cfvo type="max"/>
        <color rgb="FF63BE7B"/>
        <color rgb="FFFFEB84"/>
        <color rgb="FFF8696B"/>
      </colorScale>
    </cfRule>
    <cfRule type="colorScale" priority="9289">
      <colorScale>
        <cfvo type="min"/>
        <cfvo type="percentile" val="50"/>
        <cfvo type="max"/>
        <color rgb="FF63BE7B"/>
        <color rgb="FFFFEB84"/>
        <color rgb="FFF8696B"/>
      </colorScale>
    </cfRule>
    <cfRule type="colorScale" priority="9290">
      <colorScale>
        <cfvo type="min"/>
        <cfvo type="percentile" val="50"/>
        <cfvo type="max"/>
        <color rgb="FF63BE7B"/>
        <color rgb="FFFFEB84"/>
        <color rgb="FFF8696B"/>
      </colorScale>
    </cfRule>
    <cfRule type="colorScale" priority="9275">
      <colorScale>
        <cfvo type="min"/>
        <cfvo type="percentile" val="50"/>
        <cfvo type="max"/>
        <color rgb="FF63BE7B"/>
        <color rgb="FFFFEB84"/>
        <color rgb="FFF8696B"/>
      </colorScale>
    </cfRule>
    <cfRule type="colorScale" priority="9304">
      <colorScale>
        <cfvo type="min"/>
        <cfvo type="percentile" val="50"/>
        <cfvo type="max"/>
        <color rgb="FF63BE7B"/>
        <color rgb="FFFFEB84"/>
        <color rgb="FFF8696B"/>
      </colorScale>
    </cfRule>
    <cfRule type="colorScale" priority="9263">
      <colorScale>
        <cfvo type="min"/>
        <cfvo type="percentile" val="50"/>
        <cfvo type="max"/>
        <color rgb="FF63BE7B"/>
        <color rgb="FFFFEB84"/>
        <color rgb="FFF8696B"/>
      </colorScale>
    </cfRule>
    <cfRule type="colorScale" priority="9262">
      <colorScale>
        <cfvo type="min"/>
        <cfvo type="percentile" val="50"/>
        <cfvo type="max"/>
        <color rgb="FF63BE7B"/>
        <color rgb="FFFFEB84"/>
        <color rgb="FFF8696B"/>
      </colorScale>
    </cfRule>
    <cfRule type="colorScale" priority="9306">
      <colorScale>
        <cfvo type="min"/>
        <cfvo type="percentile" val="50"/>
        <cfvo type="max"/>
        <color rgb="FF63BE7B"/>
        <color rgb="FFFFEB84"/>
        <color rgb="FFF8696B"/>
      </colorScale>
    </cfRule>
    <cfRule type="colorScale" priority="9307">
      <colorScale>
        <cfvo type="min"/>
        <cfvo type="percentile" val="50"/>
        <cfvo type="max"/>
        <color rgb="FF63BE7B"/>
        <color rgb="FFFFEB84"/>
        <color rgb="FFF8696B"/>
      </colorScale>
    </cfRule>
    <cfRule type="colorScale" priority="9261">
      <colorScale>
        <cfvo type="min"/>
        <cfvo type="percentile" val="50"/>
        <cfvo type="max"/>
        <color rgb="FF63BE7B"/>
        <color rgb="FFFFEB84"/>
        <color rgb="FFF8696B"/>
      </colorScale>
    </cfRule>
    <cfRule type="colorScale" priority="9260">
      <colorScale>
        <cfvo type="min"/>
        <cfvo type="percentile" val="50"/>
        <cfvo type="max"/>
        <color rgb="FF63BE7B"/>
        <color rgb="FFFFEB84"/>
        <color rgb="FFF8696B"/>
      </colorScale>
    </cfRule>
    <cfRule type="colorScale" priority="9259">
      <colorScale>
        <cfvo type="min"/>
        <cfvo type="percentile" val="50"/>
        <cfvo type="max"/>
        <color rgb="FF63BE7B"/>
        <color rgb="FFFFEB84"/>
        <color rgb="FFF8696B"/>
      </colorScale>
    </cfRule>
    <cfRule type="colorScale" priority="9258">
      <colorScale>
        <cfvo type="min"/>
        <cfvo type="percentile" val="50"/>
        <cfvo type="max"/>
        <color rgb="FF63BE7B"/>
        <color rgb="FFFFEB84"/>
        <color rgb="FFF8696B"/>
      </colorScale>
    </cfRule>
    <cfRule type="colorScale" priority="9257">
      <colorScale>
        <cfvo type="min"/>
        <cfvo type="percentile" val="50"/>
        <cfvo type="max"/>
        <color rgb="FF63BE7B"/>
        <color rgb="FFFFEB84"/>
        <color rgb="FFF8696B"/>
      </colorScale>
    </cfRule>
    <cfRule type="colorScale" priority="9254">
      <colorScale>
        <cfvo type="min"/>
        <cfvo type="percentile" val="50"/>
        <cfvo type="max"/>
        <color rgb="FF63BE7B"/>
        <color rgb="FFFFEB84"/>
        <color rgb="FFF8696B"/>
      </colorScale>
    </cfRule>
    <cfRule type="colorScale" priority="9300">
      <colorScale>
        <cfvo type="min"/>
        <cfvo type="percentile" val="50"/>
        <cfvo type="max"/>
        <color rgb="FF63BE7B"/>
        <color rgb="FFFFEB84"/>
        <color rgb="FFF8696B"/>
      </colorScale>
    </cfRule>
    <cfRule type="colorScale" priority="9255">
      <colorScale>
        <cfvo type="min"/>
        <cfvo type="percentile" val="50"/>
        <cfvo type="max"/>
        <color rgb="FF63BE7B"/>
        <color rgb="FFFFEB84"/>
        <color rgb="FFF8696B"/>
      </colorScale>
    </cfRule>
    <cfRule type="colorScale" priority="9299">
      <colorScale>
        <cfvo type="min"/>
        <cfvo type="percentile" val="50"/>
        <cfvo type="max"/>
        <color rgb="FF63BE7B"/>
        <color rgb="FFFFEB84"/>
        <color rgb="FFF8696B"/>
      </colorScale>
    </cfRule>
    <cfRule type="colorScale" priority="9298">
      <colorScale>
        <cfvo type="min"/>
        <cfvo type="percentile" val="50"/>
        <cfvo type="max"/>
        <color rgb="FF63BE7B"/>
        <color rgb="FFFFEB84"/>
        <color rgb="FFF8696B"/>
      </colorScale>
    </cfRule>
    <cfRule type="colorScale" priority="9276">
      <colorScale>
        <cfvo type="min"/>
        <cfvo type="percentile" val="50"/>
        <cfvo type="max"/>
        <color rgb="FF63BE7B"/>
        <color rgb="FFFFEB84"/>
        <color rgb="FFF8696B"/>
      </colorScale>
    </cfRule>
    <cfRule type="colorScale" priority="9303">
      <colorScale>
        <cfvo type="min"/>
        <cfvo type="percentile" val="50"/>
        <cfvo type="max"/>
        <color rgb="FF63BE7B"/>
        <color rgb="FFFFEB84"/>
        <color rgb="FFF8696B"/>
      </colorScale>
    </cfRule>
    <cfRule type="colorScale" priority="9302">
      <colorScale>
        <cfvo type="min"/>
        <cfvo type="percentile" val="50"/>
        <cfvo type="max"/>
        <color rgb="FF63BE7B"/>
        <color rgb="FFFFEB84"/>
        <color rgb="FFF8696B"/>
      </colorScale>
    </cfRule>
    <cfRule type="colorScale" priority="9301">
      <colorScale>
        <cfvo type="min"/>
        <cfvo type="percentile" val="50"/>
        <cfvo type="max"/>
        <color rgb="FF63BE7B"/>
        <color rgb="FFFFEB84"/>
        <color rgb="FFF8696B"/>
      </colorScale>
    </cfRule>
    <cfRule type="colorScale" priority="9285">
      <colorScale>
        <cfvo type="min"/>
        <cfvo type="percentile" val="50"/>
        <cfvo type="max"/>
        <color rgb="FF63BE7B"/>
        <color rgb="FFFFEB84"/>
        <color rgb="FFF8696B"/>
      </colorScale>
    </cfRule>
    <cfRule type="colorScale" priority="9284">
      <colorScale>
        <cfvo type="min"/>
        <cfvo type="percentile" val="50"/>
        <cfvo type="max"/>
        <color rgb="FF63BE7B"/>
        <color rgb="FFFFEB84"/>
        <color rgb="FFF8696B"/>
      </colorScale>
    </cfRule>
    <cfRule type="colorScale" priority="9274">
      <colorScale>
        <cfvo type="min"/>
        <cfvo type="percentile" val="50"/>
        <cfvo type="max"/>
        <color rgb="FF63BE7B"/>
        <color rgb="FFFFEB84"/>
        <color rgb="FFF8696B"/>
      </colorScale>
    </cfRule>
    <cfRule type="colorScale" priority="9282">
      <colorScale>
        <cfvo type="min"/>
        <cfvo type="percentile" val="50"/>
        <cfvo type="max"/>
        <color rgb="FF63BE7B"/>
        <color rgb="FFFFEB84"/>
        <color rgb="FFF8696B"/>
      </colorScale>
    </cfRule>
    <cfRule type="colorScale" priority="9281">
      <colorScale>
        <cfvo type="min"/>
        <cfvo type="percentile" val="50"/>
        <cfvo type="max"/>
        <color rgb="FF63BE7B"/>
        <color rgb="FFFFEB84"/>
        <color rgb="FFF8696B"/>
      </colorScale>
    </cfRule>
    <cfRule type="colorScale" priority="9273">
      <colorScale>
        <cfvo type="min"/>
        <cfvo type="percentile" val="50"/>
        <cfvo type="max"/>
        <color rgb="FF63BE7B"/>
        <color rgb="FFFFEB84"/>
        <color rgb="FFF8696B"/>
      </colorScale>
    </cfRule>
    <cfRule type="colorScale" priority="9280">
      <colorScale>
        <cfvo type="min"/>
        <cfvo type="percentile" val="50"/>
        <cfvo type="max"/>
        <color rgb="FF63BE7B"/>
        <color rgb="FFFFEB84"/>
        <color rgb="FFF8696B"/>
      </colorScale>
    </cfRule>
    <cfRule type="colorScale" priority="9279">
      <colorScale>
        <cfvo type="min"/>
        <cfvo type="percentile" val="50"/>
        <cfvo type="max"/>
        <color rgb="FF63BE7B"/>
        <color rgb="FFFFEB84"/>
        <color rgb="FFF8696B"/>
      </colorScale>
    </cfRule>
    <cfRule type="colorScale" priority="9277">
      <colorScale>
        <cfvo type="min"/>
        <cfvo type="percentile" val="50"/>
        <cfvo type="max"/>
        <color rgb="FF63BE7B"/>
        <color rgb="FFFFEB84"/>
        <color rgb="FFF8696B"/>
      </colorScale>
    </cfRule>
  </conditionalFormatting>
  <conditionalFormatting sqref="N36:O37">
    <cfRule type="colorScale" priority="9295">
      <colorScale>
        <cfvo type="min"/>
        <cfvo type="percentile" val="50"/>
        <cfvo type="max"/>
        <color rgb="FF63BE7B"/>
        <color rgb="FFFFEB84"/>
        <color rgb="FFF8696B"/>
      </colorScale>
    </cfRule>
    <cfRule type="colorScale" priority="9268">
      <colorScale>
        <cfvo type="min"/>
        <cfvo type="percentile" val="50"/>
        <cfvo type="max"/>
        <color rgb="FF63BE7B"/>
        <color rgb="FFFFEB84"/>
        <color rgb="FFF8696B"/>
      </colorScale>
    </cfRule>
  </conditionalFormatting>
  <conditionalFormatting sqref="N36:O41">
    <cfRule type="colorScale" priority="9305">
      <colorScale>
        <cfvo type="min"/>
        <cfvo type="percentile" val="50"/>
        <cfvo type="max"/>
        <color rgb="FF63BE7B"/>
        <color rgb="FFFFEB84"/>
        <color rgb="FFF8696B"/>
      </colorScale>
    </cfRule>
    <cfRule type="colorScale" priority="9278">
      <colorScale>
        <cfvo type="min"/>
        <cfvo type="percentile" val="50"/>
        <cfvo type="max"/>
        <color rgb="FF63BE7B"/>
        <color rgb="FFFFEB84"/>
        <color rgb="FFF8696B"/>
      </colorScale>
    </cfRule>
  </conditionalFormatting>
  <conditionalFormatting sqref="N52:O53">
    <cfRule type="colorScale" priority="5872">
      <colorScale>
        <cfvo type="min"/>
        <cfvo type="percentile" val="50"/>
        <cfvo type="max"/>
        <color rgb="FF63BE7B"/>
        <color rgb="FFFFEB84"/>
        <color rgb="FFF8696B"/>
      </colorScale>
    </cfRule>
    <cfRule type="colorScale" priority="5874">
      <colorScale>
        <cfvo type="min"/>
        <cfvo type="percentile" val="50"/>
        <cfvo type="max"/>
        <color rgb="FF63BE7B"/>
        <color rgb="FFFFEB84"/>
        <color rgb="FFF8696B"/>
      </colorScale>
    </cfRule>
    <cfRule type="colorScale" priority="5875">
      <colorScale>
        <cfvo type="min"/>
        <cfvo type="percentile" val="50"/>
        <cfvo type="max"/>
        <color rgb="FF63BE7B"/>
        <color rgb="FFFFEB84"/>
        <color rgb="FFF8696B"/>
      </colorScale>
    </cfRule>
    <cfRule type="colorScale" priority="5876">
      <colorScale>
        <cfvo type="min"/>
        <cfvo type="percentile" val="50"/>
        <cfvo type="max"/>
        <color rgb="FF63BE7B"/>
        <color rgb="FFFFEB84"/>
        <color rgb="FFF8696B"/>
      </colorScale>
    </cfRule>
    <cfRule type="colorScale" priority="5877">
      <colorScale>
        <cfvo type="min"/>
        <cfvo type="percentile" val="50"/>
        <cfvo type="max"/>
        <color rgb="FF63BE7B"/>
        <color rgb="FFFFEB84"/>
        <color rgb="FFF8696B"/>
      </colorScale>
    </cfRule>
    <cfRule type="colorScale" priority="5878">
      <colorScale>
        <cfvo type="min"/>
        <cfvo type="percentile" val="50"/>
        <cfvo type="max"/>
        <color rgb="FF63BE7B"/>
        <color rgb="FFFFEB84"/>
        <color rgb="FFF8696B"/>
      </colorScale>
    </cfRule>
    <cfRule type="colorScale" priority="5879">
      <colorScale>
        <cfvo type="min"/>
        <cfvo type="percentile" val="50"/>
        <cfvo type="max"/>
        <color rgb="FF63BE7B"/>
        <color rgb="FFFFEB84"/>
        <color rgb="FFF8696B"/>
      </colorScale>
    </cfRule>
    <cfRule type="colorScale" priority="5880">
      <colorScale>
        <cfvo type="min"/>
        <cfvo type="percentile" val="50"/>
        <cfvo type="max"/>
        <color rgb="FF63BE7B"/>
        <color rgb="FFFFEB84"/>
        <color rgb="FFF8696B"/>
      </colorScale>
    </cfRule>
    <cfRule type="colorScale" priority="5881">
      <colorScale>
        <cfvo type="min"/>
        <cfvo type="percentile" val="50"/>
        <cfvo type="max"/>
        <color rgb="FF63BE7B"/>
        <color rgb="FFFFEB84"/>
        <color rgb="FFF8696B"/>
      </colorScale>
    </cfRule>
    <cfRule type="colorScale" priority="5882">
      <colorScale>
        <cfvo type="min"/>
        <cfvo type="percentile" val="50"/>
        <cfvo type="max"/>
        <color rgb="FF63BE7B"/>
        <color rgb="FFFFEB84"/>
        <color rgb="FFF8696B"/>
      </colorScale>
    </cfRule>
    <cfRule type="colorScale" priority="5883">
      <colorScale>
        <cfvo type="min"/>
        <cfvo type="percentile" val="50"/>
        <cfvo type="max"/>
        <color rgb="FF63BE7B"/>
        <color rgb="FFFFEB84"/>
        <color rgb="FFF8696B"/>
      </colorScale>
    </cfRule>
    <cfRule type="colorScale" priority="5884">
      <colorScale>
        <cfvo type="min"/>
        <cfvo type="percentile" val="50"/>
        <cfvo type="max"/>
        <color rgb="FF63BE7B"/>
        <color rgb="FFFFEB84"/>
        <color rgb="FFF8696B"/>
      </colorScale>
    </cfRule>
    <cfRule type="colorScale" priority="5885">
      <colorScale>
        <cfvo type="min"/>
        <cfvo type="percentile" val="50"/>
        <cfvo type="max"/>
        <color rgb="FF63BE7B"/>
        <color rgb="FFFFEB84"/>
        <color rgb="FFF8696B"/>
      </colorScale>
    </cfRule>
    <cfRule type="colorScale" priority="5886">
      <colorScale>
        <cfvo type="min"/>
        <cfvo type="percentile" val="50"/>
        <cfvo type="max"/>
        <color rgb="FF63BE7B"/>
        <color rgb="FFFFEB84"/>
        <color rgb="FFF8696B"/>
      </colorScale>
    </cfRule>
    <cfRule type="colorScale" priority="5887">
      <colorScale>
        <cfvo type="min"/>
        <cfvo type="percentile" val="50"/>
        <cfvo type="max"/>
        <color rgb="FF63BE7B"/>
        <color rgb="FFFFEB84"/>
        <color rgb="FFF8696B"/>
      </colorScale>
    </cfRule>
    <cfRule type="colorScale" priority="5888">
      <colorScale>
        <cfvo type="min"/>
        <cfvo type="percentile" val="50"/>
        <cfvo type="max"/>
        <color rgb="FF63BE7B"/>
        <color rgb="FFFFEB84"/>
        <color rgb="FFF8696B"/>
      </colorScale>
    </cfRule>
    <cfRule type="colorScale" priority="5889">
      <colorScale>
        <cfvo type="min"/>
        <cfvo type="percentile" val="50"/>
        <cfvo type="max"/>
        <color rgb="FF63BE7B"/>
        <color rgb="FFFFEB84"/>
        <color rgb="FFF8696B"/>
      </colorScale>
    </cfRule>
    <cfRule type="colorScale" priority="5890">
      <colorScale>
        <cfvo type="min"/>
        <cfvo type="percentile" val="50"/>
        <cfvo type="max"/>
        <color rgb="FF63BE7B"/>
        <color rgb="FFFFEB84"/>
        <color rgb="FFF8696B"/>
      </colorScale>
    </cfRule>
    <cfRule type="colorScale" priority="5891">
      <colorScale>
        <cfvo type="min"/>
        <cfvo type="percentile" val="50"/>
        <cfvo type="max"/>
        <color rgb="FF63BE7B"/>
        <color rgb="FFFFEB84"/>
        <color rgb="FFF8696B"/>
      </colorScale>
    </cfRule>
    <cfRule type="colorScale" priority="5892">
      <colorScale>
        <cfvo type="min"/>
        <cfvo type="percentile" val="50"/>
        <cfvo type="max"/>
        <color rgb="FF63BE7B"/>
        <color rgb="FFFFEB84"/>
        <color rgb="FFF8696B"/>
      </colorScale>
    </cfRule>
    <cfRule type="colorScale" priority="5893">
      <colorScale>
        <cfvo type="min"/>
        <cfvo type="percentile" val="50"/>
        <cfvo type="max"/>
        <color rgb="FF63BE7B"/>
        <color rgb="FFFFEB84"/>
        <color rgb="FFF8696B"/>
      </colorScale>
    </cfRule>
    <cfRule type="colorScale" priority="5894">
      <colorScale>
        <cfvo type="min"/>
        <cfvo type="percentile" val="50"/>
        <cfvo type="max"/>
        <color rgb="FF63BE7B"/>
        <color rgb="FFFFEB84"/>
        <color rgb="FFF8696B"/>
      </colorScale>
    </cfRule>
    <cfRule type="colorScale" priority="5895">
      <colorScale>
        <cfvo type="min"/>
        <cfvo type="percentile" val="50"/>
        <cfvo type="max"/>
        <color rgb="FF63BE7B"/>
        <color rgb="FFFFEB84"/>
        <color rgb="FFF8696B"/>
      </colorScale>
    </cfRule>
    <cfRule type="colorScale" priority="5896">
      <colorScale>
        <cfvo type="min"/>
        <cfvo type="percentile" val="50"/>
        <cfvo type="max"/>
        <color rgb="FF63BE7B"/>
        <color rgb="FFFFEB84"/>
        <color rgb="FFF8696B"/>
      </colorScale>
    </cfRule>
    <cfRule type="colorScale" priority="5897">
      <colorScale>
        <cfvo type="min"/>
        <cfvo type="percentile" val="50"/>
        <cfvo type="max"/>
        <color rgb="FF63BE7B"/>
        <color rgb="FFFFEB84"/>
        <color rgb="FFF8696B"/>
      </colorScale>
    </cfRule>
    <cfRule type="colorScale" priority="5898">
      <colorScale>
        <cfvo type="min"/>
        <cfvo type="percentile" val="50"/>
        <cfvo type="max"/>
        <color rgb="FF63BE7B"/>
        <color rgb="FFFFEB84"/>
        <color rgb="FFF8696B"/>
      </colorScale>
    </cfRule>
    <cfRule type="colorScale" priority="5899">
      <colorScale>
        <cfvo type="min"/>
        <cfvo type="percentile" val="50"/>
        <cfvo type="max"/>
        <color rgb="FF63BE7B"/>
        <color rgb="FFFFEB84"/>
        <color rgb="FFF8696B"/>
      </colorScale>
    </cfRule>
    <cfRule type="colorScale" priority="5900">
      <colorScale>
        <cfvo type="min"/>
        <cfvo type="percentile" val="50"/>
        <cfvo type="max"/>
        <color rgb="FF63BE7B"/>
        <color rgb="FFFFEB84"/>
        <color rgb="FFF8696B"/>
      </colorScale>
    </cfRule>
    <cfRule type="colorScale" priority="5901">
      <colorScale>
        <cfvo type="min"/>
        <cfvo type="percentile" val="50"/>
        <cfvo type="max"/>
        <color rgb="FF63BE7B"/>
        <color rgb="FFFFEB84"/>
        <color rgb="FFF8696B"/>
      </colorScale>
    </cfRule>
    <cfRule type="colorScale" priority="5902">
      <colorScale>
        <cfvo type="min"/>
        <cfvo type="percentile" val="50"/>
        <cfvo type="max"/>
        <color rgb="FF63BE7B"/>
        <color rgb="FFFFEB84"/>
        <color rgb="FFF8696B"/>
      </colorScale>
    </cfRule>
    <cfRule type="colorScale" priority="5903">
      <colorScale>
        <cfvo type="min"/>
        <cfvo type="percentile" val="50"/>
        <cfvo type="max"/>
        <color rgb="FF63BE7B"/>
        <color rgb="FFFFEB84"/>
        <color rgb="FFF8696B"/>
      </colorScale>
    </cfRule>
    <cfRule type="colorScale" priority="5904">
      <colorScale>
        <cfvo type="min"/>
        <cfvo type="percentile" val="50"/>
        <cfvo type="max"/>
        <color rgb="FF63BE7B"/>
        <color rgb="FFFFEB84"/>
        <color rgb="FFF8696B"/>
      </colorScale>
    </cfRule>
    <cfRule type="colorScale" priority="5905">
      <colorScale>
        <cfvo type="min"/>
        <cfvo type="percentile" val="50"/>
        <cfvo type="max"/>
        <color rgb="FF63BE7B"/>
        <color rgb="FFFFEB84"/>
        <color rgb="FFF8696B"/>
      </colorScale>
    </cfRule>
    <cfRule type="colorScale" priority="5873">
      <colorScale>
        <cfvo type="min"/>
        <cfvo type="percentile" val="50"/>
        <cfvo type="max"/>
        <color rgb="FF63BE7B"/>
        <color rgb="FFFFEB84"/>
        <color rgb="FFF8696B"/>
      </colorScale>
    </cfRule>
    <cfRule type="colorScale" priority="5868">
      <colorScale>
        <cfvo type="min"/>
        <cfvo type="percentile" val="50"/>
        <cfvo type="max"/>
        <color rgb="FF63BE7B"/>
        <color rgb="FFFFEB84"/>
        <color rgb="FFF8696B"/>
      </colorScale>
    </cfRule>
    <cfRule type="colorScale" priority="5869">
      <colorScale>
        <cfvo type="min"/>
        <cfvo type="percentile" val="50"/>
        <cfvo type="max"/>
        <color rgb="FF63BE7B"/>
        <color rgb="FFFFEB84"/>
        <color rgb="FFF8696B"/>
      </colorScale>
    </cfRule>
    <cfRule type="colorScale" priority="5870">
      <colorScale>
        <cfvo type="min"/>
        <cfvo type="percentile" val="50"/>
        <cfvo type="max"/>
        <color rgb="FF63BE7B"/>
        <color rgb="FFFFEB84"/>
        <color rgb="FFF8696B"/>
      </colorScale>
    </cfRule>
    <cfRule type="colorScale" priority="5871">
      <colorScale>
        <cfvo type="min"/>
        <cfvo type="percentile" val="50"/>
        <cfvo type="max"/>
        <color rgb="FF63BE7B"/>
        <color rgb="FFFFEB84"/>
        <color rgb="FFF8696B"/>
      </colorScale>
    </cfRule>
  </conditionalFormatting>
  <conditionalFormatting sqref="O35:O37">
    <cfRule type="colorScale" priority="10346">
      <colorScale>
        <cfvo type="min"/>
        <cfvo type="percentile" val="50"/>
        <cfvo type="max"/>
        <color rgb="FF63BE7B"/>
        <color rgb="FFFFEB84"/>
        <color rgb="FFF8696B"/>
      </colorScale>
    </cfRule>
    <cfRule type="colorScale" priority="9093">
      <colorScale>
        <cfvo type="min"/>
        <cfvo type="percentile" val="50"/>
        <cfvo type="max"/>
        <color rgb="FF63BE7B"/>
        <color rgb="FFFFEB84"/>
        <color rgb="FFF8696B"/>
      </colorScale>
    </cfRule>
    <cfRule type="colorScale" priority="9134">
      <colorScale>
        <cfvo type="min"/>
        <cfvo type="percentile" val="50"/>
        <cfvo type="max"/>
        <color rgb="FF63BE7B"/>
        <color rgb="FFFFEB84"/>
        <color rgb="FFF8696B"/>
      </colorScale>
    </cfRule>
    <cfRule type="colorScale" priority="9120">
      <colorScale>
        <cfvo type="min"/>
        <cfvo type="percentile" val="50"/>
        <cfvo type="max"/>
        <color rgb="FF63BE7B"/>
        <color rgb="FFFFEB84"/>
        <color rgb="FFF8696B"/>
      </colorScale>
    </cfRule>
    <cfRule type="colorScale" priority="9107">
      <colorScale>
        <cfvo type="min"/>
        <cfvo type="percentile" val="50"/>
        <cfvo type="max"/>
        <color rgb="FF63BE7B"/>
        <color rgb="FFFFEB84"/>
        <color rgb="FFF8696B"/>
      </colorScale>
    </cfRule>
    <cfRule type="colorScale" priority="9106">
      <colorScale>
        <cfvo type="min"/>
        <cfvo type="percentile" val="50"/>
        <cfvo type="max"/>
        <color rgb="FF63BE7B"/>
        <color rgb="FFFFEB84"/>
        <color rgb="FFF8696B"/>
      </colorScale>
    </cfRule>
    <cfRule type="colorScale" priority="9128">
      <colorScale>
        <cfvo type="min"/>
        <cfvo type="percentile" val="50"/>
        <cfvo type="max"/>
        <color rgb="FF63BE7B"/>
        <color rgb="FFFFEB84"/>
        <color rgb="FFF8696B"/>
      </colorScale>
    </cfRule>
    <cfRule type="colorScale" priority="9129">
      <colorScale>
        <cfvo type="min"/>
        <cfvo type="percentile" val="50"/>
        <cfvo type="max"/>
        <color rgb="FF63BE7B"/>
        <color rgb="FFFFEB84"/>
        <color rgb="FFF8696B"/>
      </colorScale>
    </cfRule>
    <cfRule type="colorScale" priority="9130">
      <colorScale>
        <cfvo type="min"/>
        <cfvo type="percentile" val="50"/>
        <cfvo type="max"/>
        <color rgb="FF63BE7B"/>
        <color rgb="FFFFEB84"/>
        <color rgb="FFF8696B"/>
      </colorScale>
    </cfRule>
    <cfRule type="colorScale" priority="9101">
      <colorScale>
        <cfvo type="min"/>
        <cfvo type="percentile" val="50"/>
        <cfvo type="max"/>
        <color rgb="FF63BE7B"/>
        <color rgb="FFFFEB84"/>
        <color rgb="FFF8696B"/>
      </colorScale>
    </cfRule>
    <cfRule type="colorScale" priority="9102">
      <colorScale>
        <cfvo type="min"/>
        <cfvo type="percentile" val="50"/>
        <cfvo type="max"/>
        <color rgb="FF63BE7B"/>
        <color rgb="FFFFEB84"/>
        <color rgb="FFF8696B"/>
      </colorScale>
    </cfRule>
    <cfRule type="colorScale" priority="10354">
      <colorScale>
        <cfvo type="min"/>
        <cfvo type="percentile" val="50"/>
        <cfvo type="max"/>
        <color rgb="FF63BE7B"/>
        <color rgb="FFFFEB84"/>
        <color rgb="FFF8696B"/>
      </colorScale>
    </cfRule>
    <cfRule type="colorScale" priority="10355">
      <colorScale>
        <cfvo type="min"/>
        <cfvo type="percentile" val="50"/>
        <cfvo type="max"/>
        <color rgb="FF63BE7B"/>
        <color rgb="FFFFEB84"/>
        <color rgb="FFF8696B"/>
      </colorScale>
    </cfRule>
    <cfRule type="colorScale" priority="10356">
      <colorScale>
        <cfvo type="min"/>
        <cfvo type="percentile" val="50"/>
        <cfvo type="max"/>
        <color rgb="FF63BE7B"/>
        <color rgb="FFFFEB84"/>
        <color rgb="FFF8696B"/>
      </colorScale>
    </cfRule>
    <cfRule type="colorScale" priority="10357">
      <colorScale>
        <cfvo type="min"/>
        <cfvo type="percentile" val="50"/>
        <cfvo type="max"/>
        <color rgb="FF63BE7B"/>
        <color rgb="FFFFEB84"/>
        <color rgb="FFF8696B"/>
      </colorScale>
    </cfRule>
    <cfRule type="colorScale" priority="9103">
      <colorScale>
        <cfvo type="min"/>
        <cfvo type="percentile" val="50"/>
        <cfvo type="max"/>
        <color rgb="FF63BE7B"/>
        <color rgb="FFFFEB84"/>
        <color rgb="FFF8696B"/>
      </colorScale>
    </cfRule>
    <cfRule type="colorScale" priority="11196">
      <colorScale>
        <cfvo type="min"/>
        <cfvo type="percentile" val="50"/>
        <cfvo type="max"/>
        <color rgb="FF63BE7B"/>
        <color rgb="FFFFEB84"/>
        <color rgb="FFF8696B"/>
      </colorScale>
    </cfRule>
    <cfRule type="colorScale" priority="10359">
      <colorScale>
        <cfvo type="min"/>
        <cfvo type="percentile" val="50"/>
        <cfvo type="max"/>
        <color rgb="FF63BE7B"/>
        <color rgb="FFFFEB84"/>
        <color rgb="FFF8696B"/>
      </colorScale>
    </cfRule>
    <cfRule type="colorScale" priority="10360">
      <colorScale>
        <cfvo type="min"/>
        <cfvo type="percentile" val="50"/>
        <cfvo type="max"/>
        <color rgb="FF63BE7B"/>
        <color rgb="FFFFEB84"/>
        <color rgb="FFF8696B"/>
      </colorScale>
    </cfRule>
    <cfRule type="colorScale" priority="9104">
      <colorScale>
        <cfvo type="min"/>
        <cfvo type="percentile" val="50"/>
        <cfvo type="max"/>
        <color rgb="FF63BE7B"/>
        <color rgb="FFFFEB84"/>
        <color rgb="FFF8696B"/>
      </colorScale>
    </cfRule>
    <cfRule type="colorScale" priority="9131">
      <colorScale>
        <cfvo type="min"/>
        <cfvo type="percentile" val="50"/>
        <cfvo type="max"/>
        <color rgb="FF63BE7B"/>
        <color rgb="FFFFEB84"/>
        <color rgb="FFF8696B"/>
      </colorScale>
    </cfRule>
    <cfRule type="colorScale" priority="9133">
      <colorScale>
        <cfvo type="min"/>
        <cfvo type="percentile" val="50"/>
        <cfvo type="max"/>
        <color rgb="FF63BE7B"/>
        <color rgb="FFFFEB84"/>
        <color rgb="FFF8696B"/>
      </colorScale>
    </cfRule>
  </conditionalFormatting>
  <conditionalFormatting sqref="O35:O41">
    <cfRule type="colorScale" priority="9094">
      <colorScale>
        <cfvo type="min"/>
        <cfvo type="percentile" val="50"/>
        <cfvo type="max"/>
        <color rgb="FF63BE7B"/>
        <color rgb="FFFFEB84"/>
        <color rgb="FFF8696B"/>
      </colorScale>
    </cfRule>
    <cfRule type="colorScale" priority="9092">
      <colorScale>
        <cfvo type="min"/>
        <cfvo type="percentile" val="50"/>
        <cfvo type="max"/>
        <color rgb="FF63BE7B"/>
        <color rgb="FFFFEB84"/>
        <color rgb="FFF8696B"/>
      </colorScale>
    </cfRule>
    <cfRule type="colorScale" priority="9091">
      <colorScale>
        <cfvo type="min"/>
        <cfvo type="percentile" val="50"/>
        <cfvo type="max"/>
        <color rgb="FF63BE7B"/>
        <color rgb="FFFFEB84"/>
        <color rgb="FFF8696B"/>
      </colorScale>
    </cfRule>
    <cfRule type="colorScale" priority="9127">
      <colorScale>
        <cfvo type="min"/>
        <cfvo type="percentile" val="50"/>
        <cfvo type="max"/>
        <color rgb="FF63BE7B"/>
        <color rgb="FFFFEB84"/>
        <color rgb="FFF8696B"/>
      </colorScale>
    </cfRule>
    <cfRule type="colorScale" priority="9126">
      <colorScale>
        <cfvo type="min"/>
        <cfvo type="percentile" val="50"/>
        <cfvo type="max"/>
        <color rgb="FF63BE7B"/>
        <color rgb="FFFFEB84"/>
        <color rgb="FFF8696B"/>
      </colorScale>
    </cfRule>
    <cfRule type="colorScale" priority="9125">
      <colorScale>
        <cfvo type="min"/>
        <cfvo type="percentile" val="50"/>
        <cfvo type="max"/>
        <color rgb="FF63BE7B"/>
        <color rgb="FFFFEB84"/>
        <color rgb="FFF8696B"/>
      </colorScale>
    </cfRule>
    <cfRule type="colorScale" priority="9124">
      <colorScale>
        <cfvo type="min"/>
        <cfvo type="percentile" val="50"/>
        <cfvo type="max"/>
        <color rgb="FF63BE7B"/>
        <color rgb="FFFFEB84"/>
        <color rgb="FFF8696B"/>
      </colorScale>
    </cfRule>
    <cfRule type="colorScale" priority="9123">
      <colorScale>
        <cfvo type="min"/>
        <cfvo type="percentile" val="50"/>
        <cfvo type="max"/>
        <color rgb="FF63BE7B"/>
        <color rgb="FFFFEB84"/>
        <color rgb="FFF8696B"/>
      </colorScale>
    </cfRule>
    <cfRule type="colorScale" priority="9122">
      <colorScale>
        <cfvo type="min"/>
        <cfvo type="percentile" val="50"/>
        <cfvo type="max"/>
        <color rgb="FF63BE7B"/>
        <color rgb="FFFFEB84"/>
        <color rgb="FFF8696B"/>
      </colorScale>
    </cfRule>
    <cfRule type="colorScale" priority="9121">
      <colorScale>
        <cfvo type="min"/>
        <cfvo type="percentile" val="50"/>
        <cfvo type="max"/>
        <color rgb="FF63BE7B"/>
        <color rgb="FFFFEB84"/>
        <color rgb="FFF8696B"/>
      </colorScale>
    </cfRule>
    <cfRule type="colorScale" priority="9138">
      <colorScale>
        <cfvo type="min"/>
        <cfvo type="percentile" val="50"/>
        <cfvo type="max"/>
        <color rgb="FF63BE7B"/>
        <color rgb="FFFFEB84"/>
        <color rgb="FFF8696B"/>
      </colorScale>
    </cfRule>
    <cfRule type="colorScale" priority="9119">
      <colorScale>
        <cfvo type="min"/>
        <cfvo type="percentile" val="50"/>
        <cfvo type="max"/>
        <color rgb="FF63BE7B"/>
        <color rgb="FFFFEB84"/>
        <color rgb="FFF8696B"/>
      </colorScale>
    </cfRule>
    <cfRule type="colorScale" priority="9118">
      <colorScale>
        <cfvo type="min"/>
        <cfvo type="percentile" val="50"/>
        <cfvo type="max"/>
        <color rgb="FF63BE7B"/>
        <color rgb="FFFFEB84"/>
        <color rgb="FFF8696B"/>
      </colorScale>
    </cfRule>
    <cfRule type="colorScale" priority="9117">
      <colorScale>
        <cfvo type="min"/>
        <cfvo type="percentile" val="50"/>
        <cfvo type="max"/>
        <color rgb="FF63BE7B"/>
        <color rgb="FFFFEB84"/>
        <color rgb="FFF8696B"/>
      </colorScale>
    </cfRule>
    <cfRule type="colorScale" priority="9116">
      <colorScale>
        <cfvo type="min"/>
        <cfvo type="percentile" val="50"/>
        <cfvo type="max"/>
        <color rgb="FF63BE7B"/>
        <color rgb="FFFFEB84"/>
        <color rgb="FFF8696B"/>
      </colorScale>
    </cfRule>
    <cfRule type="colorScale" priority="9114">
      <colorScale>
        <cfvo type="min"/>
        <cfvo type="percentile" val="50"/>
        <cfvo type="max"/>
        <color rgb="FF63BE7B"/>
        <color rgb="FFFFEB84"/>
        <color rgb="FFF8696B"/>
      </colorScale>
    </cfRule>
    <cfRule type="colorScale" priority="9113">
      <colorScale>
        <cfvo type="min"/>
        <cfvo type="percentile" val="50"/>
        <cfvo type="max"/>
        <color rgb="FF63BE7B"/>
        <color rgb="FFFFEB84"/>
        <color rgb="FFF8696B"/>
      </colorScale>
    </cfRule>
    <cfRule type="colorScale" priority="9112">
      <colorScale>
        <cfvo type="min"/>
        <cfvo type="percentile" val="50"/>
        <cfvo type="max"/>
        <color rgb="FF63BE7B"/>
        <color rgb="FFFFEB84"/>
        <color rgb="FFF8696B"/>
      </colorScale>
    </cfRule>
    <cfRule type="colorScale" priority="9111">
      <colorScale>
        <cfvo type="min"/>
        <cfvo type="percentile" val="50"/>
        <cfvo type="max"/>
        <color rgb="FF63BE7B"/>
        <color rgb="FFFFEB84"/>
        <color rgb="FFF8696B"/>
      </colorScale>
    </cfRule>
    <cfRule type="colorScale" priority="9110">
      <colorScale>
        <cfvo type="min"/>
        <cfvo type="percentile" val="50"/>
        <cfvo type="max"/>
        <color rgb="FF63BE7B"/>
        <color rgb="FFFFEB84"/>
        <color rgb="FFF8696B"/>
      </colorScale>
    </cfRule>
    <cfRule type="colorScale" priority="9109">
      <colorScale>
        <cfvo type="min"/>
        <cfvo type="percentile" val="50"/>
        <cfvo type="max"/>
        <color rgb="FF63BE7B"/>
        <color rgb="FFFFEB84"/>
        <color rgb="FFF8696B"/>
      </colorScale>
    </cfRule>
    <cfRule type="colorScale" priority="9137">
      <colorScale>
        <cfvo type="min"/>
        <cfvo type="percentile" val="50"/>
        <cfvo type="max"/>
        <color rgb="FF63BE7B"/>
        <color rgb="FFFFEB84"/>
        <color rgb="FFF8696B"/>
      </colorScale>
    </cfRule>
    <cfRule type="colorScale" priority="9136">
      <colorScale>
        <cfvo type="min"/>
        <cfvo type="percentile" val="50"/>
        <cfvo type="max"/>
        <color rgb="FF63BE7B"/>
        <color rgb="FFFFEB84"/>
        <color rgb="FFF8696B"/>
      </colorScale>
    </cfRule>
    <cfRule type="colorScale" priority="9108">
      <colorScale>
        <cfvo type="min"/>
        <cfvo type="percentile" val="50"/>
        <cfvo type="max"/>
        <color rgb="FF63BE7B"/>
        <color rgb="FFFFEB84"/>
        <color rgb="FFF8696B"/>
      </colorScale>
    </cfRule>
    <cfRule type="colorScale" priority="9135">
      <colorScale>
        <cfvo type="min"/>
        <cfvo type="percentile" val="50"/>
        <cfvo type="max"/>
        <color rgb="FF63BE7B"/>
        <color rgb="FFFFEB84"/>
        <color rgb="FFF8696B"/>
      </colorScale>
    </cfRule>
    <cfRule type="colorScale" priority="13167">
      <colorScale>
        <cfvo type="min"/>
        <cfvo type="percentile" val="50"/>
        <cfvo type="max"/>
        <color rgb="FF63BE7B"/>
        <color rgb="FFFFEB84"/>
        <color rgb="FFF8696B"/>
      </colorScale>
    </cfRule>
    <cfRule type="colorScale" priority="9144">
      <colorScale>
        <cfvo type="min"/>
        <cfvo type="percentile" val="50"/>
        <cfvo type="max"/>
        <color rgb="FF63BE7B"/>
        <color rgb="FFFFEB84"/>
        <color rgb="FFF8696B"/>
      </colorScale>
    </cfRule>
    <cfRule type="colorScale" priority="11203">
      <colorScale>
        <cfvo type="min"/>
        <cfvo type="percentile" val="50"/>
        <cfvo type="max"/>
        <color rgb="FF63BE7B"/>
        <color rgb="FFFFEB84"/>
        <color rgb="FFF8696B"/>
      </colorScale>
    </cfRule>
    <cfRule type="colorScale" priority="11202">
      <colorScale>
        <cfvo type="min"/>
        <cfvo type="percentile" val="50"/>
        <cfvo type="max"/>
        <color rgb="FF63BE7B"/>
        <color rgb="FFFFEB84"/>
        <color rgb="FFF8696B"/>
      </colorScale>
    </cfRule>
    <cfRule type="colorScale" priority="11201">
      <colorScale>
        <cfvo type="min"/>
        <cfvo type="percentile" val="50"/>
        <cfvo type="max"/>
        <color rgb="FF63BE7B"/>
        <color rgb="FFFFEB84"/>
        <color rgb="FFF8696B"/>
      </colorScale>
    </cfRule>
    <cfRule type="colorScale" priority="11200">
      <colorScale>
        <cfvo type="min"/>
        <cfvo type="percentile" val="50"/>
        <cfvo type="max"/>
        <color rgb="FF63BE7B"/>
        <color rgb="FFFFEB84"/>
        <color rgb="FFF8696B"/>
      </colorScale>
    </cfRule>
    <cfRule type="colorScale" priority="11199">
      <colorScale>
        <cfvo type="min"/>
        <cfvo type="percentile" val="50"/>
        <cfvo type="max"/>
        <color rgb="FF63BE7B"/>
        <color rgb="FFFFEB84"/>
        <color rgb="FFF8696B"/>
      </colorScale>
    </cfRule>
    <cfRule type="colorScale" priority="9143">
      <colorScale>
        <cfvo type="min"/>
        <cfvo type="percentile" val="50"/>
        <cfvo type="max"/>
        <color rgb="FF63BE7B"/>
        <color rgb="FFFFEB84"/>
        <color rgb="FFF8696B"/>
      </colorScale>
    </cfRule>
    <cfRule type="colorScale" priority="11197">
      <colorScale>
        <cfvo type="min"/>
        <cfvo type="percentile" val="50"/>
        <cfvo type="max"/>
        <color rgb="FF63BE7B"/>
        <color rgb="FFFFEB84"/>
        <color rgb="FFF8696B"/>
      </colorScale>
    </cfRule>
    <cfRule type="colorScale" priority="11195">
      <colorScale>
        <cfvo type="min"/>
        <cfvo type="percentile" val="50"/>
        <cfvo type="max"/>
        <color rgb="FF63BE7B"/>
        <color rgb="FFFFEB84"/>
        <color rgb="FFF8696B"/>
      </colorScale>
    </cfRule>
    <cfRule type="colorScale" priority="11194">
      <colorScale>
        <cfvo type="min"/>
        <cfvo type="percentile" val="50"/>
        <cfvo type="max"/>
        <color rgb="FF63BE7B"/>
        <color rgb="FFFFEB84"/>
        <color rgb="FFF8696B"/>
      </colorScale>
    </cfRule>
    <cfRule type="colorScale" priority="13168">
      <colorScale>
        <cfvo type="min"/>
        <cfvo type="percentile" val="50"/>
        <cfvo type="max"/>
        <color rgb="FF63BE7B"/>
        <color rgb="FFFFEB84"/>
        <color rgb="FFF8696B"/>
      </colorScale>
    </cfRule>
    <cfRule type="colorScale" priority="10344">
      <colorScale>
        <cfvo type="min"/>
        <cfvo type="percentile" val="50"/>
        <cfvo type="max"/>
        <color rgb="FF63BE7B"/>
        <color rgb="FFFFEB84"/>
        <color rgb="FFF8696B"/>
      </colorScale>
    </cfRule>
    <cfRule type="colorScale" priority="10345">
      <colorScale>
        <cfvo type="min"/>
        <cfvo type="percentile" val="50"/>
        <cfvo type="max"/>
        <color rgb="FF63BE7B"/>
        <color rgb="FFFFEB84"/>
        <color rgb="FFF8696B"/>
      </colorScale>
    </cfRule>
    <cfRule type="colorScale" priority="13169">
      <colorScale>
        <cfvo type="min"/>
        <cfvo type="percentile" val="50"/>
        <cfvo type="max"/>
        <color rgb="FF63BE7B"/>
        <color rgb="FFFFEB84"/>
        <color rgb="FFF8696B"/>
      </colorScale>
    </cfRule>
    <cfRule type="colorScale" priority="10348">
      <colorScale>
        <cfvo type="min"/>
        <cfvo type="percentile" val="50"/>
        <cfvo type="max"/>
        <color rgb="FF63BE7B"/>
        <color rgb="FFFFEB84"/>
        <color rgb="FFF8696B"/>
      </colorScale>
    </cfRule>
    <cfRule type="colorScale" priority="10349">
      <colorScale>
        <cfvo type="min"/>
        <cfvo type="percentile" val="50"/>
        <cfvo type="max"/>
        <color rgb="FF63BE7B"/>
        <color rgb="FFFFEB84"/>
        <color rgb="FFF8696B"/>
      </colorScale>
    </cfRule>
    <cfRule type="colorScale" priority="10350">
      <colorScale>
        <cfvo type="min"/>
        <cfvo type="percentile" val="50"/>
        <cfvo type="max"/>
        <color rgb="FF63BE7B"/>
        <color rgb="FFFFEB84"/>
        <color rgb="FFF8696B"/>
      </colorScale>
    </cfRule>
    <cfRule type="colorScale" priority="10351">
      <colorScale>
        <cfvo type="min"/>
        <cfvo type="percentile" val="50"/>
        <cfvo type="max"/>
        <color rgb="FF63BE7B"/>
        <color rgb="FFFFEB84"/>
        <color rgb="FFF8696B"/>
      </colorScale>
    </cfRule>
    <cfRule type="colorScale" priority="10352">
      <colorScale>
        <cfvo type="min"/>
        <cfvo type="percentile" val="50"/>
        <cfvo type="max"/>
        <color rgb="FF63BE7B"/>
        <color rgb="FFFFEB84"/>
        <color rgb="FFF8696B"/>
      </colorScale>
    </cfRule>
    <cfRule type="colorScale" priority="10353">
      <colorScale>
        <cfvo type="min"/>
        <cfvo type="percentile" val="50"/>
        <cfvo type="max"/>
        <color rgb="FF63BE7B"/>
        <color rgb="FFFFEB84"/>
        <color rgb="FFF8696B"/>
      </colorScale>
    </cfRule>
    <cfRule type="colorScale" priority="9100">
      <colorScale>
        <cfvo type="min"/>
        <cfvo type="percentile" val="50"/>
        <cfvo type="max"/>
        <color rgb="FF63BE7B"/>
        <color rgb="FFFFEB84"/>
        <color rgb="FFF8696B"/>
      </colorScale>
    </cfRule>
    <cfRule type="colorScale" priority="10361">
      <colorScale>
        <cfvo type="min"/>
        <cfvo type="percentile" val="50"/>
        <cfvo type="max"/>
        <color rgb="FF63BE7B"/>
        <color rgb="FFFFEB84"/>
        <color rgb="FFF8696B"/>
      </colorScale>
    </cfRule>
    <cfRule type="colorScale" priority="10362">
      <colorScale>
        <cfvo type="min"/>
        <cfvo type="percentile" val="50"/>
        <cfvo type="max"/>
        <color rgb="FF63BE7B"/>
        <color rgb="FFFFEB84"/>
        <color rgb="FFF8696B"/>
      </colorScale>
    </cfRule>
    <cfRule type="colorScale" priority="10363">
      <colorScale>
        <cfvo type="min"/>
        <cfvo type="percentile" val="50"/>
        <cfvo type="max"/>
        <color rgb="FF63BE7B"/>
        <color rgb="FFFFEB84"/>
        <color rgb="FFF8696B"/>
      </colorScale>
    </cfRule>
    <cfRule type="colorScale" priority="10364">
      <colorScale>
        <cfvo type="min"/>
        <cfvo type="percentile" val="50"/>
        <cfvo type="max"/>
        <color rgb="FF63BE7B"/>
        <color rgb="FFFFEB84"/>
        <color rgb="FFF8696B"/>
      </colorScale>
    </cfRule>
    <cfRule type="colorScale" priority="10365">
      <colorScale>
        <cfvo type="min"/>
        <cfvo type="percentile" val="50"/>
        <cfvo type="max"/>
        <color rgb="FF63BE7B"/>
        <color rgb="FFFFEB84"/>
        <color rgb="FFF8696B"/>
      </colorScale>
    </cfRule>
    <cfRule type="colorScale" priority="10366">
      <colorScale>
        <cfvo type="min"/>
        <cfvo type="percentile" val="50"/>
        <cfvo type="max"/>
        <color rgb="FF63BE7B"/>
        <color rgb="FFFFEB84"/>
        <color rgb="FFF8696B"/>
      </colorScale>
    </cfRule>
    <cfRule type="colorScale" priority="10367">
      <colorScale>
        <cfvo type="min"/>
        <cfvo type="percentile" val="50"/>
        <cfvo type="max"/>
        <color rgb="FF63BE7B"/>
        <color rgb="FFFFEB84"/>
        <color rgb="FFF8696B"/>
      </colorScale>
    </cfRule>
    <cfRule type="colorScale" priority="9099">
      <colorScale>
        <cfvo type="min"/>
        <cfvo type="percentile" val="50"/>
        <cfvo type="max"/>
        <color rgb="FF63BE7B"/>
        <color rgb="FFFFEB84"/>
        <color rgb="FFF8696B"/>
      </colorScale>
    </cfRule>
    <cfRule type="colorScale" priority="10369">
      <colorScale>
        <cfvo type="min"/>
        <cfvo type="percentile" val="50"/>
        <cfvo type="max"/>
        <color rgb="FF63BE7B"/>
        <color rgb="FFFFEB84"/>
        <color rgb="FFF8696B"/>
      </colorScale>
    </cfRule>
    <cfRule type="colorScale" priority="10370">
      <colorScale>
        <cfvo type="min"/>
        <cfvo type="percentile" val="50"/>
        <cfvo type="max"/>
        <color rgb="FF63BE7B"/>
        <color rgb="FFFFEB84"/>
        <color rgb="FFF8696B"/>
      </colorScale>
    </cfRule>
    <cfRule type="colorScale" priority="9141">
      <colorScale>
        <cfvo type="min"/>
        <cfvo type="percentile" val="50"/>
        <cfvo type="max"/>
        <color rgb="FF63BE7B"/>
        <color rgb="FFFFEB84"/>
        <color rgb="FFF8696B"/>
      </colorScale>
    </cfRule>
    <cfRule type="colorScale" priority="9098">
      <colorScale>
        <cfvo type="min"/>
        <cfvo type="percentile" val="50"/>
        <cfvo type="max"/>
        <color rgb="FF63BE7B"/>
        <color rgb="FFFFEB84"/>
        <color rgb="FFF8696B"/>
      </colorScale>
    </cfRule>
    <cfRule type="colorScale" priority="9097">
      <colorScale>
        <cfvo type="min"/>
        <cfvo type="percentile" val="50"/>
        <cfvo type="max"/>
        <color rgb="FF63BE7B"/>
        <color rgb="FFFFEB84"/>
        <color rgb="FFF8696B"/>
      </colorScale>
    </cfRule>
    <cfRule type="colorScale" priority="9096">
      <colorScale>
        <cfvo type="min"/>
        <cfvo type="percentile" val="50"/>
        <cfvo type="max"/>
        <color rgb="FF63BE7B"/>
        <color rgb="FFFFEB84"/>
        <color rgb="FFF8696B"/>
      </colorScale>
    </cfRule>
    <cfRule type="colorScale" priority="9095">
      <colorScale>
        <cfvo type="min"/>
        <cfvo type="percentile" val="50"/>
        <cfvo type="max"/>
        <color rgb="FF63BE7B"/>
        <color rgb="FFFFEB84"/>
        <color rgb="FFF8696B"/>
      </colorScale>
    </cfRule>
    <cfRule type="colorScale" priority="10347">
      <colorScale>
        <cfvo type="min"/>
        <cfvo type="percentile" val="50"/>
        <cfvo type="max"/>
        <color rgb="FF63BE7B"/>
        <color rgb="FFFFEB84"/>
        <color rgb="FFF8696B"/>
      </colorScale>
    </cfRule>
    <cfRule type="colorScale" priority="11198">
      <colorScale>
        <cfvo type="min"/>
        <cfvo type="percentile" val="50"/>
        <cfvo type="max"/>
        <color rgb="FF63BE7B"/>
        <color rgb="FFFFEB84"/>
        <color rgb="FFF8696B"/>
      </colorScale>
    </cfRule>
    <cfRule type="colorScale" priority="9140">
      <colorScale>
        <cfvo type="min"/>
        <cfvo type="percentile" val="50"/>
        <cfvo type="max"/>
        <color rgb="FF63BE7B"/>
        <color rgb="FFFFEB84"/>
        <color rgb="FFF8696B"/>
      </colorScale>
    </cfRule>
    <cfRule type="colorScale" priority="9139">
      <colorScale>
        <cfvo type="min"/>
        <cfvo type="percentile" val="50"/>
        <cfvo type="max"/>
        <color rgb="FF63BE7B"/>
        <color rgb="FFFFEB84"/>
        <color rgb="FFF8696B"/>
      </colorScale>
    </cfRule>
  </conditionalFormatting>
  <conditionalFormatting sqref="O36:O37">
    <cfRule type="colorScale" priority="9105">
      <colorScale>
        <cfvo type="min"/>
        <cfvo type="percentile" val="50"/>
        <cfvo type="max"/>
        <color rgb="FF63BE7B"/>
        <color rgb="FFFFEB84"/>
        <color rgb="FFF8696B"/>
      </colorScale>
    </cfRule>
    <cfRule type="colorScale" priority="10358">
      <colorScale>
        <cfvo type="min"/>
        <cfvo type="percentile" val="50"/>
        <cfvo type="max"/>
        <color rgb="FF63BE7B"/>
        <color rgb="FFFFEB84"/>
        <color rgb="FFF8696B"/>
      </colorScale>
    </cfRule>
    <cfRule type="colorScale" priority="9132">
      <colorScale>
        <cfvo type="min"/>
        <cfvo type="percentile" val="50"/>
        <cfvo type="max"/>
        <color rgb="FF63BE7B"/>
        <color rgb="FFFFEB84"/>
        <color rgb="FFF8696B"/>
      </colorScale>
    </cfRule>
  </conditionalFormatting>
  <conditionalFormatting sqref="O36:O41">
    <cfRule type="colorScale" priority="9142">
      <colorScale>
        <cfvo type="min"/>
        <cfvo type="percentile" val="50"/>
        <cfvo type="max"/>
        <color rgb="FF63BE7B"/>
        <color rgb="FFFFEB84"/>
        <color rgb="FFF8696B"/>
      </colorScale>
    </cfRule>
    <cfRule type="colorScale" priority="9115">
      <colorScale>
        <cfvo type="min"/>
        <cfvo type="percentile" val="50"/>
        <cfvo type="max"/>
        <color rgb="FF63BE7B"/>
        <color rgb="FFFFEB84"/>
        <color rgb="FFF8696B"/>
      </colorScale>
    </cfRule>
    <cfRule type="colorScale" priority="10368">
      <colorScale>
        <cfvo type="min"/>
        <cfvo type="percentile" val="50"/>
        <cfvo type="max"/>
        <color rgb="FF63BE7B"/>
        <color rgb="FFFFEB84"/>
        <color rgb="FFF8696B"/>
      </colorScale>
    </cfRule>
    <cfRule type="colorScale" priority="13170">
      <colorScale>
        <cfvo type="min"/>
        <cfvo type="percentile" val="50"/>
        <cfvo type="max"/>
        <color rgb="FF63BE7B"/>
        <color rgb="FFFFEB84"/>
        <color rgb="FFF8696B"/>
      </colorScale>
    </cfRule>
  </conditionalFormatting>
  <conditionalFormatting sqref="O41:O43">
    <cfRule type="colorScale" priority="9239">
      <colorScale>
        <cfvo type="min"/>
        <cfvo type="percentile" val="50"/>
        <cfvo type="max"/>
        <color rgb="FF63BE7B"/>
        <color rgb="FFFFEB84"/>
        <color rgb="FFF8696B"/>
      </colorScale>
    </cfRule>
    <cfRule type="colorScale" priority="9209">
      <colorScale>
        <cfvo type="min"/>
        <cfvo type="percentile" val="50"/>
        <cfvo type="max"/>
        <color rgb="FF63BE7B"/>
        <color rgb="FFFFEB84"/>
        <color rgb="FFF8696B"/>
      </colorScale>
    </cfRule>
    <cfRule type="colorScale" priority="9212">
      <colorScale>
        <cfvo type="min"/>
        <cfvo type="percentile" val="50"/>
        <cfvo type="max"/>
        <color rgb="FF63BE7B"/>
        <color rgb="FFFFEB84"/>
        <color rgb="FFF8696B"/>
      </colorScale>
    </cfRule>
    <cfRule type="colorScale" priority="9201">
      <colorScale>
        <cfvo type="min"/>
        <cfvo type="percentile" val="50"/>
        <cfvo type="max"/>
        <color rgb="FF63BE7B"/>
        <color rgb="FFFFEB84"/>
        <color rgb="FFF8696B"/>
      </colorScale>
    </cfRule>
    <cfRule type="colorScale" priority="9215">
      <colorScale>
        <cfvo type="min"/>
        <cfvo type="percentile" val="50"/>
        <cfvo type="max"/>
        <color rgb="FF63BE7B"/>
        <color rgb="FFFFEB84"/>
        <color rgb="FFF8696B"/>
      </colorScale>
    </cfRule>
    <cfRule type="colorScale" priority="9241">
      <colorScale>
        <cfvo type="min"/>
        <cfvo type="percentile" val="50"/>
        <cfvo type="max"/>
        <color rgb="FF63BE7B"/>
        <color rgb="FFFFEB84"/>
        <color rgb="FFF8696B"/>
      </colorScale>
    </cfRule>
    <cfRule type="colorScale" priority="9236">
      <colorScale>
        <cfvo type="min"/>
        <cfvo type="percentile" val="50"/>
        <cfvo type="max"/>
        <color rgb="FF63BE7B"/>
        <color rgb="FFFFEB84"/>
        <color rgb="FFF8696B"/>
      </colorScale>
    </cfRule>
    <cfRule type="colorScale" priority="9210">
      <colorScale>
        <cfvo type="min"/>
        <cfvo type="percentile" val="50"/>
        <cfvo type="max"/>
        <color rgb="FF63BE7B"/>
        <color rgb="FFFFEB84"/>
        <color rgb="FFF8696B"/>
      </colorScale>
    </cfRule>
    <cfRule type="colorScale" priority="9237">
      <colorScale>
        <cfvo type="min"/>
        <cfvo type="percentile" val="50"/>
        <cfvo type="max"/>
        <color rgb="FF63BE7B"/>
        <color rgb="FFFFEB84"/>
        <color rgb="FFF8696B"/>
      </colorScale>
    </cfRule>
    <cfRule type="colorScale" priority="9238">
      <colorScale>
        <cfvo type="min"/>
        <cfvo type="percentile" val="50"/>
        <cfvo type="max"/>
        <color rgb="FF63BE7B"/>
        <color rgb="FFFFEB84"/>
        <color rgb="FFF8696B"/>
      </colorScale>
    </cfRule>
    <cfRule type="colorScale" priority="9242">
      <colorScale>
        <cfvo type="min"/>
        <cfvo type="percentile" val="50"/>
        <cfvo type="max"/>
        <color rgb="FF63BE7B"/>
        <color rgb="FFFFEB84"/>
        <color rgb="FFF8696B"/>
      </colorScale>
    </cfRule>
    <cfRule type="colorScale" priority="9228">
      <colorScale>
        <cfvo type="min"/>
        <cfvo type="percentile" val="50"/>
        <cfvo type="max"/>
        <color rgb="FF63BE7B"/>
        <color rgb="FFFFEB84"/>
        <color rgb="FFF8696B"/>
      </colorScale>
    </cfRule>
    <cfRule type="colorScale" priority="9211">
      <colorScale>
        <cfvo type="min"/>
        <cfvo type="percentile" val="50"/>
        <cfvo type="max"/>
        <color rgb="FF63BE7B"/>
        <color rgb="FFFFEB84"/>
        <color rgb="FFF8696B"/>
      </colorScale>
    </cfRule>
    <cfRule type="colorScale" priority="9214">
      <colorScale>
        <cfvo type="min"/>
        <cfvo type="percentile" val="50"/>
        <cfvo type="max"/>
        <color rgb="FF63BE7B"/>
        <color rgb="FFFFEB84"/>
        <color rgb="FFF8696B"/>
      </colorScale>
    </cfRule>
  </conditionalFormatting>
  <conditionalFormatting sqref="O41:O47 B35:AV41">
    <cfRule type="colorScale" priority="15630">
      <colorScale>
        <cfvo type="min"/>
        <cfvo type="percentile" val="50"/>
        <cfvo type="max"/>
        <color rgb="FF63BE7B"/>
        <color rgb="FFFFEB84"/>
        <color rgb="FFF8696B"/>
      </colorScale>
    </cfRule>
    <cfRule type="colorScale" priority="15627">
      <colorScale>
        <cfvo type="min"/>
        <cfvo type="percentile" val="50"/>
        <cfvo type="max"/>
        <color rgb="FFF8696B"/>
        <color rgb="FFFFEB84"/>
        <color rgb="FF63BE7B"/>
      </colorScale>
    </cfRule>
    <cfRule type="colorScale" priority="10495">
      <colorScale>
        <cfvo type="min"/>
        <cfvo type="percentile" val="50"/>
        <cfvo type="max"/>
        <color rgb="FFF8696B"/>
        <color rgb="FFFFEB84"/>
        <color rgb="FF63BE7B"/>
      </colorScale>
    </cfRule>
    <cfRule type="colorScale" priority="15629">
      <colorScale>
        <cfvo type="min"/>
        <cfvo type="percentile" val="50"/>
        <cfvo type="max"/>
        <color rgb="FF63BE7B"/>
        <color rgb="FFFFEB84"/>
        <color rgb="FFF8696B"/>
      </colorScale>
    </cfRule>
    <cfRule type="colorScale" priority="15628">
      <colorScale>
        <cfvo type="min"/>
        <cfvo type="percentile" val="50"/>
        <cfvo type="max"/>
        <color rgb="FFF8696B"/>
        <color rgb="FFFFEB84"/>
        <color rgb="FF63BE7B"/>
      </colorScale>
    </cfRule>
  </conditionalFormatting>
  <conditionalFormatting sqref="O41:O47">
    <cfRule type="colorScale" priority="9234">
      <colorScale>
        <cfvo type="min"/>
        <cfvo type="percentile" val="50"/>
        <cfvo type="max"/>
        <color rgb="FF63BE7B"/>
        <color rgb="FFFFEB84"/>
        <color rgb="FFF8696B"/>
      </colorScale>
    </cfRule>
    <cfRule type="colorScale" priority="9203">
      <colorScale>
        <cfvo type="min"/>
        <cfvo type="percentile" val="50"/>
        <cfvo type="max"/>
        <color rgb="FF63BE7B"/>
        <color rgb="FFFFEB84"/>
        <color rgb="FFF8696B"/>
      </colorScale>
    </cfRule>
    <cfRule type="colorScale" priority="9244">
      <colorScale>
        <cfvo type="min"/>
        <cfvo type="percentile" val="50"/>
        <cfvo type="max"/>
        <color rgb="FF63BE7B"/>
        <color rgb="FFFFEB84"/>
        <color rgb="FFF8696B"/>
      </colorScale>
    </cfRule>
    <cfRule type="colorScale" priority="9200">
      <colorScale>
        <cfvo type="min"/>
        <cfvo type="percentile" val="50"/>
        <cfvo type="max"/>
        <color rgb="FF63BE7B"/>
        <color rgb="FFFFEB84"/>
        <color rgb="FFF8696B"/>
      </colorScale>
    </cfRule>
    <cfRule type="colorScale" priority="9199">
      <colorScale>
        <cfvo type="min"/>
        <cfvo type="percentile" val="50"/>
        <cfvo type="max"/>
        <color rgb="FF63BE7B"/>
        <color rgb="FFFFEB84"/>
        <color rgb="FFF8696B"/>
      </colorScale>
    </cfRule>
    <cfRule type="colorScale" priority="9235">
      <colorScale>
        <cfvo type="min"/>
        <cfvo type="percentile" val="50"/>
        <cfvo type="max"/>
        <color rgb="FF63BE7B"/>
        <color rgb="FFFFEB84"/>
        <color rgb="FFF8696B"/>
      </colorScale>
    </cfRule>
    <cfRule type="colorScale" priority="9202">
      <colorScale>
        <cfvo type="min"/>
        <cfvo type="percentile" val="50"/>
        <cfvo type="max"/>
        <color rgb="FF63BE7B"/>
        <color rgb="FFFFEB84"/>
        <color rgb="FFF8696B"/>
      </colorScale>
    </cfRule>
    <cfRule type="colorScale" priority="9227">
      <colorScale>
        <cfvo type="min"/>
        <cfvo type="percentile" val="50"/>
        <cfvo type="max"/>
        <color rgb="FF63BE7B"/>
        <color rgb="FFFFEB84"/>
        <color rgb="FFF8696B"/>
      </colorScale>
    </cfRule>
    <cfRule type="colorScale" priority="9226">
      <colorScale>
        <cfvo type="min"/>
        <cfvo type="percentile" val="50"/>
        <cfvo type="max"/>
        <color rgb="FF63BE7B"/>
        <color rgb="FFFFEB84"/>
        <color rgb="FFF8696B"/>
      </colorScale>
    </cfRule>
    <cfRule type="colorScale" priority="9229">
      <colorScale>
        <cfvo type="min"/>
        <cfvo type="percentile" val="50"/>
        <cfvo type="max"/>
        <color rgb="FF63BE7B"/>
        <color rgb="FFFFEB84"/>
        <color rgb="FFF8696B"/>
      </colorScale>
    </cfRule>
    <cfRule type="colorScale" priority="9225">
      <colorScale>
        <cfvo type="min"/>
        <cfvo type="percentile" val="50"/>
        <cfvo type="max"/>
        <color rgb="FF63BE7B"/>
        <color rgb="FFFFEB84"/>
        <color rgb="FFF8696B"/>
      </colorScale>
    </cfRule>
    <cfRule type="colorScale" priority="9231">
      <colorScale>
        <cfvo type="min"/>
        <cfvo type="percentile" val="50"/>
        <cfvo type="max"/>
        <color rgb="FF63BE7B"/>
        <color rgb="FFFFEB84"/>
        <color rgb="FFF8696B"/>
      </colorScale>
    </cfRule>
    <cfRule type="colorScale" priority="9232">
      <colorScale>
        <cfvo type="min"/>
        <cfvo type="percentile" val="50"/>
        <cfvo type="max"/>
        <color rgb="FF63BE7B"/>
        <color rgb="FFFFEB84"/>
        <color rgb="FFF8696B"/>
      </colorScale>
    </cfRule>
    <cfRule type="colorScale" priority="9224">
      <colorScale>
        <cfvo type="min"/>
        <cfvo type="percentile" val="50"/>
        <cfvo type="max"/>
        <color rgb="FF63BE7B"/>
        <color rgb="FFFFEB84"/>
        <color rgb="FFF8696B"/>
      </colorScale>
    </cfRule>
    <cfRule type="colorScale" priority="9222">
      <colorScale>
        <cfvo type="min"/>
        <cfvo type="percentile" val="50"/>
        <cfvo type="max"/>
        <color rgb="FF63BE7B"/>
        <color rgb="FFFFEB84"/>
        <color rgb="FFF8696B"/>
      </colorScale>
    </cfRule>
    <cfRule type="colorScale" priority="9243">
      <colorScale>
        <cfvo type="min"/>
        <cfvo type="percentile" val="50"/>
        <cfvo type="max"/>
        <color rgb="FF63BE7B"/>
        <color rgb="FFFFEB84"/>
        <color rgb="FFF8696B"/>
      </colorScale>
    </cfRule>
    <cfRule type="colorScale" priority="9252">
      <colorScale>
        <cfvo type="min"/>
        <cfvo type="percentile" val="50"/>
        <cfvo type="max"/>
        <color rgb="FF63BE7B"/>
        <color rgb="FFFFEB84"/>
        <color rgb="FFF8696B"/>
      </colorScale>
    </cfRule>
    <cfRule type="colorScale" priority="9251">
      <colorScale>
        <cfvo type="min"/>
        <cfvo type="percentile" val="50"/>
        <cfvo type="max"/>
        <color rgb="FF63BE7B"/>
        <color rgb="FFFFEB84"/>
        <color rgb="FFF8696B"/>
      </colorScale>
    </cfRule>
    <cfRule type="colorScale" priority="9233">
      <colorScale>
        <cfvo type="min"/>
        <cfvo type="percentile" val="50"/>
        <cfvo type="max"/>
        <color rgb="FF63BE7B"/>
        <color rgb="FFFFEB84"/>
        <color rgb="FFF8696B"/>
      </colorScale>
    </cfRule>
    <cfRule type="colorScale" priority="9216">
      <colorScale>
        <cfvo type="min"/>
        <cfvo type="percentile" val="50"/>
        <cfvo type="max"/>
        <color rgb="FF63BE7B"/>
        <color rgb="FFFFEB84"/>
        <color rgb="FFF8696B"/>
      </colorScale>
    </cfRule>
    <cfRule type="colorScale" priority="9217">
      <colorScale>
        <cfvo type="min"/>
        <cfvo type="percentile" val="50"/>
        <cfvo type="max"/>
        <color rgb="FF63BE7B"/>
        <color rgb="FFFFEB84"/>
        <color rgb="FFF8696B"/>
      </colorScale>
    </cfRule>
    <cfRule type="colorScale" priority="9249">
      <colorScale>
        <cfvo type="min"/>
        <cfvo type="percentile" val="50"/>
        <cfvo type="max"/>
        <color rgb="FF63BE7B"/>
        <color rgb="FFFFEB84"/>
        <color rgb="FFF8696B"/>
      </colorScale>
    </cfRule>
    <cfRule type="colorScale" priority="9248">
      <colorScale>
        <cfvo type="min"/>
        <cfvo type="percentile" val="50"/>
        <cfvo type="max"/>
        <color rgb="FF63BE7B"/>
        <color rgb="FFFFEB84"/>
        <color rgb="FFF8696B"/>
      </colorScale>
    </cfRule>
    <cfRule type="colorScale" priority="9247">
      <colorScale>
        <cfvo type="min"/>
        <cfvo type="percentile" val="50"/>
        <cfvo type="max"/>
        <color rgb="FF63BE7B"/>
        <color rgb="FFFFEB84"/>
        <color rgb="FFF8696B"/>
      </colorScale>
    </cfRule>
    <cfRule type="colorScale" priority="9246">
      <colorScale>
        <cfvo type="min"/>
        <cfvo type="percentile" val="50"/>
        <cfvo type="max"/>
        <color rgb="FF63BE7B"/>
        <color rgb="FFFFEB84"/>
        <color rgb="FFF8696B"/>
      </colorScale>
    </cfRule>
    <cfRule type="colorScale" priority="9245">
      <colorScale>
        <cfvo type="min"/>
        <cfvo type="percentile" val="50"/>
        <cfvo type="max"/>
        <color rgb="FF63BE7B"/>
        <color rgb="FFFFEB84"/>
        <color rgb="FFF8696B"/>
      </colorScale>
    </cfRule>
    <cfRule type="colorScale" priority="9208">
      <colorScale>
        <cfvo type="min"/>
        <cfvo type="percentile" val="50"/>
        <cfvo type="max"/>
        <color rgb="FF63BE7B"/>
        <color rgb="FFFFEB84"/>
        <color rgb="FFF8696B"/>
      </colorScale>
    </cfRule>
    <cfRule type="colorScale" priority="9207">
      <colorScale>
        <cfvo type="min"/>
        <cfvo type="percentile" val="50"/>
        <cfvo type="max"/>
        <color rgb="FF63BE7B"/>
        <color rgb="FFFFEB84"/>
        <color rgb="FFF8696B"/>
      </colorScale>
    </cfRule>
    <cfRule type="colorScale" priority="9206">
      <colorScale>
        <cfvo type="min"/>
        <cfvo type="percentile" val="50"/>
        <cfvo type="max"/>
        <color rgb="FF63BE7B"/>
        <color rgb="FFFFEB84"/>
        <color rgb="FFF8696B"/>
      </colorScale>
    </cfRule>
    <cfRule type="colorScale" priority="9205">
      <colorScale>
        <cfvo type="min"/>
        <cfvo type="percentile" val="50"/>
        <cfvo type="max"/>
        <color rgb="FF63BE7B"/>
        <color rgb="FFFFEB84"/>
        <color rgb="FFF8696B"/>
      </colorScale>
    </cfRule>
    <cfRule type="colorScale" priority="9204">
      <colorScale>
        <cfvo type="min"/>
        <cfvo type="percentile" val="50"/>
        <cfvo type="max"/>
        <color rgb="FF63BE7B"/>
        <color rgb="FFFFEB84"/>
        <color rgb="FFF8696B"/>
      </colorScale>
    </cfRule>
    <cfRule type="colorScale" priority="9218">
      <colorScale>
        <cfvo type="min"/>
        <cfvo type="percentile" val="50"/>
        <cfvo type="max"/>
        <color rgb="FF63BE7B"/>
        <color rgb="FFFFEB84"/>
        <color rgb="FFF8696B"/>
      </colorScale>
    </cfRule>
    <cfRule type="colorScale" priority="9230">
      <colorScale>
        <cfvo type="min"/>
        <cfvo type="percentile" val="50"/>
        <cfvo type="max"/>
        <color rgb="FF63BE7B"/>
        <color rgb="FFFFEB84"/>
        <color rgb="FFF8696B"/>
      </colorScale>
    </cfRule>
    <cfRule type="colorScale" priority="9219">
      <colorScale>
        <cfvo type="min"/>
        <cfvo type="percentile" val="50"/>
        <cfvo type="max"/>
        <color rgb="FF63BE7B"/>
        <color rgb="FFFFEB84"/>
        <color rgb="FFF8696B"/>
      </colorScale>
    </cfRule>
    <cfRule type="colorScale" priority="9220">
      <colorScale>
        <cfvo type="min"/>
        <cfvo type="percentile" val="50"/>
        <cfvo type="max"/>
        <color rgb="FF63BE7B"/>
        <color rgb="FFFFEB84"/>
        <color rgb="FFF8696B"/>
      </colorScale>
    </cfRule>
    <cfRule type="colorScale" priority="9221">
      <colorScale>
        <cfvo type="min"/>
        <cfvo type="percentile" val="50"/>
        <cfvo type="max"/>
        <color rgb="FF63BE7B"/>
        <color rgb="FFFFEB84"/>
        <color rgb="FFF8696B"/>
      </colorScale>
    </cfRule>
  </conditionalFormatting>
  <conditionalFormatting sqref="O42">
    <cfRule type="colorScale" priority="7401">
      <colorScale>
        <cfvo type="min"/>
        <cfvo type="percentile" val="50"/>
        <cfvo type="max"/>
        <color rgb="FFF8696B"/>
        <color rgb="FFFFEB84"/>
        <color rgb="FF63BE7B"/>
      </colorScale>
    </cfRule>
    <cfRule type="colorScale" priority="7403">
      <colorScale>
        <cfvo type="min"/>
        <cfvo type="percentile" val="50"/>
        <cfvo type="max"/>
        <color rgb="FF63BE7B"/>
        <color rgb="FFFFEB84"/>
        <color rgb="FFF8696B"/>
      </colorScale>
    </cfRule>
    <cfRule type="colorScale" priority="7400">
      <colorScale>
        <cfvo type="min"/>
        <cfvo type="percentile" val="50"/>
        <cfvo type="max"/>
        <color rgb="FFF8696B"/>
        <color rgb="FFFFEB84"/>
        <color rgb="FF63BE7B"/>
      </colorScale>
    </cfRule>
    <cfRule type="colorScale" priority="7402">
      <colorScale>
        <cfvo type="min"/>
        <cfvo type="percentile" val="50"/>
        <cfvo type="max"/>
        <color rgb="FF63BE7B"/>
        <color rgb="FFFFEB84"/>
        <color rgb="FFF8696B"/>
      </colorScale>
    </cfRule>
  </conditionalFormatting>
  <conditionalFormatting sqref="O42:O43">
    <cfRule type="colorScale" priority="9240">
      <colorScale>
        <cfvo type="min"/>
        <cfvo type="percentile" val="50"/>
        <cfvo type="max"/>
        <color rgb="FF63BE7B"/>
        <color rgb="FFFFEB84"/>
        <color rgb="FFF8696B"/>
      </colorScale>
    </cfRule>
    <cfRule type="colorScale" priority="9213">
      <colorScale>
        <cfvo type="min"/>
        <cfvo type="percentile" val="50"/>
        <cfvo type="max"/>
        <color rgb="FF63BE7B"/>
        <color rgb="FFFFEB84"/>
        <color rgb="FFF8696B"/>
      </colorScale>
    </cfRule>
    <cfRule type="colorScale" priority="9253">
      <colorScale>
        <cfvo type="min"/>
        <cfvo type="percentile" val="50"/>
        <cfvo type="max"/>
        <color rgb="FF63BE7B"/>
        <color rgb="FFFFEB84"/>
        <color rgb="FFF8696B"/>
      </colorScale>
    </cfRule>
  </conditionalFormatting>
  <conditionalFormatting sqref="O42:O47">
    <cfRule type="colorScale" priority="9223">
      <colorScale>
        <cfvo type="min"/>
        <cfvo type="percentile" val="50"/>
        <cfvo type="max"/>
        <color rgb="FF63BE7B"/>
        <color rgb="FFFFEB84"/>
        <color rgb="FFF8696B"/>
      </colorScale>
    </cfRule>
    <cfRule type="colorScale" priority="9250">
      <colorScale>
        <cfvo type="min"/>
        <cfvo type="percentile" val="50"/>
        <cfvo type="max"/>
        <color rgb="FF63BE7B"/>
        <color rgb="FFFFEB84"/>
        <color rgb="FFF8696B"/>
      </colorScale>
    </cfRule>
  </conditionalFormatting>
  <conditionalFormatting sqref="O42:O50">
    <cfRule type="colorScale" priority="7461">
      <colorScale>
        <cfvo type="min"/>
        <cfvo type="percentile" val="50"/>
        <cfvo type="max"/>
        <color rgb="FF63BE7B"/>
        <color rgb="FFFFEB84"/>
        <color rgb="FFF8696B"/>
      </colorScale>
    </cfRule>
    <cfRule type="colorScale" priority="7399">
      <colorScale>
        <cfvo type="min"/>
        <cfvo type="percentile" val="50"/>
        <cfvo type="max"/>
        <color rgb="FFF8696B"/>
        <color rgb="FFFFEB84"/>
        <color rgb="FF63BE7B"/>
      </colorScale>
    </cfRule>
    <cfRule type="colorScale" priority="7404">
      <colorScale>
        <cfvo type="min"/>
        <cfvo type="percentile" val="50"/>
        <cfvo type="max"/>
        <color rgb="FF63BE7B"/>
        <color rgb="FFFFEB84"/>
        <color rgb="FFF8696B"/>
      </colorScale>
    </cfRule>
  </conditionalFormatting>
  <conditionalFormatting sqref="O51:O53">
    <cfRule type="colorScale" priority="12922">
      <colorScale>
        <cfvo type="min"/>
        <cfvo type="percentile" val="50"/>
        <cfvo type="max"/>
        <color rgb="FF63BE7B"/>
        <color rgb="FFFFEB84"/>
        <color rgb="FFF8696B"/>
      </colorScale>
    </cfRule>
    <cfRule type="colorScale" priority="12923">
      <colorScale>
        <cfvo type="min"/>
        <cfvo type="percentile" val="50"/>
        <cfvo type="max"/>
        <color rgb="FF63BE7B"/>
        <color rgb="FFFFEB84"/>
        <color rgb="FFF8696B"/>
      </colorScale>
    </cfRule>
    <cfRule type="colorScale" priority="12808">
      <colorScale>
        <cfvo type="min"/>
        <cfvo type="percentile" val="50"/>
        <cfvo type="max"/>
        <color rgb="FF63BE7B"/>
        <color rgb="FFFFEB84"/>
        <color rgb="FFF8696B"/>
      </colorScale>
    </cfRule>
    <cfRule type="colorScale" priority="4500">
      <colorScale>
        <cfvo type="min"/>
        <cfvo type="percentile" val="50"/>
        <cfvo type="max"/>
        <color rgb="FF63BE7B"/>
        <color rgb="FFFFEB84"/>
        <color rgb="FFF8696B"/>
      </colorScale>
    </cfRule>
    <cfRule type="colorScale" priority="4527">
      <colorScale>
        <cfvo type="min"/>
        <cfvo type="percentile" val="50"/>
        <cfvo type="max"/>
        <color rgb="FF63BE7B"/>
        <color rgb="FFFFEB84"/>
        <color rgb="FFF8696B"/>
      </colorScale>
    </cfRule>
    <cfRule type="colorScale" priority="4528">
      <colorScale>
        <cfvo type="min"/>
        <cfvo type="percentile" val="50"/>
        <cfvo type="max"/>
        <color rgb="FF63BE7B"/>
        <color rgb="FFFFEB84"/>
        <color rgb="FFF8696B"/>
      </colorScale>
    </cfRule>
    <cfRule type="colorScale" priority="12811">
      <colorScale>
        <cfvo type="min"/>
        <cfvo type="percentile" val="50"/>
        <cfvo type="max"/>
        <color rgb="FF63BE7B"/>
        <color rgb="FFFFEB84"/>
        <color rgb="FFF8696B"/>
      </colorScale>
    </cfRule>
    <cfRule type="colorScale" priority="12810">
      <colorScale>
        <cfvo type="min"/>
        <cfvo type="percentile" val="50"/>
        <cfvo type="max"/>
        <color rgb="FF63BE7B"/>
        <color rgb="FFFFEB84"/>
        <color rgb="FFF8696B"/>
      </colorScale>
    </cfRule>
  </conditionalFormatting>
  <conditionalFormatting sqref="O52:O53">
    <cfRule type="colorScale" priority="5812">
      <colorScale>
        <cfvo type="min"/>
        <cfvo type="percentile" val="50"/>
        <cfvo type="max"/>
        <color rgb="FF63BE7B"/>
        <color rgb="FFFFEB84"/>
        <color rgb="FFF8696B"/>
      </colorScale>
    </cfRule>
    <cfRule type="colorScale" priority="5813">
      <colorScale>
        <cfvo type="min"/>
        <cfvo type="percentile" val="50"/>
        <cfvo type="max"/>
        <color rgb="FF63BE7B"/>
        <color rgb="FFFFEB84"/>
        <color rgb="FFF8696B"/>
      </colorScale>
    </cfRule>
    <cfRule type="colorScale" priority="5814">
      <colorScale>
        <cfvo type="min"/>
        <cfvo type="percentile" val="50"/>
        <cfvo type="max"/>
        <color rgb="FF63BE7B"/>
        <color rgb="FFFFEB84"/>
        <color rgb="FFF8696B"/>
      </colorScale>
    </cfRule>
    <cfRule type="colorScale" priority="5815">
      <colorScale>
        <cfvo type="min"/>
        <cfvo type="percentile" val="50"/>
        <cfvo type="max"/>
        <color rgb="FF63BE7B"/>
        <color rgb="FFFFEB84"/>
        <color rgb="FFF8696B"/>
      </colorScale>
    </cfRule>
    <cfRule type="colorScale" priority="5816">
      <colorScale>
        <cfvo type="min"/>
        <cfvo type="percentile" val="50"/>
        <cfvo type="max"/>
        <color rgb="FF63BE7B"/>
        <color rgb="FFFFEB84"/>
        <color rgb="FFF8696B"/>
      </colorScale>
    </cfRule>
    <cfRule type="colorScale" priority="5817">
      <colorScale>
        <cfvo type="min"/>
        <cfvo type="percentile" val="50"/>
        <cfvo type="max"/>
        <color rgb="FF63BE7B"/>
        <color rgb="FFFFEB84"/>
        <color rgb="FFF8696B"/>
      </colorScale>
    </cfRule>
    <cfRule type="colorScale" priority="5818">
      <colorScale>
        <cfvo type="min"/>
        <cfvo type="percentile" val="50"/>
        <cfvo type="max"/>
        <color rgb="FF63BE7B"/>
        <color rgb="FFFFEB84"/>
        <color rgb="FFF8696B"/>
      </colorScale>
    </cfRule>
    <cfRule type="colorScale" priority="5819">
      <colorScale>
        <cfvo type="min"/>
        <cfvo type="percentile" val="50"/>
        <cfvo type="max"/>
        <color rgb="FF63BE7B"/>
        <color rgb="FFFFEB84"/>
        <color rgb="FFF8696B"/>
      </colorScale>
    </cfRule>
    <cfRule type="colorScale" priority="5820">
      <colorScale>
        <cfvo type="min"/>
        <cfvo type="percentile" val="50"/>
        <cfvo type="max"/>
        <color rgb="FF63BE7B"/>
        <color rgb="FFFFEB84"/>
        <color rgb="FFF8696B"/>
      </colorScale>
    </cfRule>
    <cfRule type="colorScale" priority="5821">
      <colorScale>
        <cfvo type="min"/>
        <cfvo type="percentile" val="50"/>
        <cfvo type="max"/>
        <color rgb="FF63BE7B"/>
        <color rgb="FFFFEB84"/>
        <color rgb="FFF8696B"/>
      </colorScale>
    </cfRule>
    <cfRule type="colorScale" priority="5822">
      <colorScale>
        <cfvo type="min"/>
        <cfvo type="percentile" val="50"/>
        <cfvo type="max"/>
        <color rgb="FF63BE7B"/>
        <color rgb="FFFFEB84"/>
        <color rgb="FFF8696B"/>
      </colorScale>
    </cfRule>
    <cfRule type="colorScale" priority="5823">
      <colorScale>
        <cfvo type="min"/>
        <cfvo type="percentile" val="50"/>
        <cfvo type="max"/>
        <color rgb="FF63BE7B"/>
        <color rgb="FFFFEB84"/>
        <color rgb="FFF8696B"/>
      </colorScale>
    </cfRule>
    <cfRule type="colorScale" priority="5824">
      <colorScale>
        <cfvo type="min"/>
        <cfvo type="percentile" val="50"/>
        <cfvo type="max"/>
        <color rgb="FF63BE7B"/>
        <color rgb="FFFFEB84"/>
        <color rgb="FFF8696B"/>
      </colorScale>
    </cfRule>
    <cfRule type="colorScale" priority="5825">
      <colorScale>
        <cfvo type="min"/>
        <cfvo type="percentile" val="50"/>
        <cfvo type="max"/>
        <color rgb="FF63BE7B"/>
        <color rgb="FFFFEB84"/>
        <color rgb="FFF8696B"/>
      </colorScale>
    </cfRule>
    <cfRule type="colorScale" priority="5826">
      <colorScale>
        <cfvo type="min"/>
        <cfvo type="percentile" val="50"/>
        <cfvo type="max"/>
        <color rgb="FF63BE7B"/>
        <color rgb="FFFFEB84"/>
        <color rgb="FFF8696B"/>
      </colorScale>
    </cfRule>
    <cfRule type="colorScale" priority="5827">
      <colorScale>
        <cfvo type="min"/>
        <cfvo type="percentile" val="50"/>
        <cfvo type="max"/>
        <color rgb="FF63BE7B"/>
        <color rgb="FFFFEB84"/>
        <color rgb="FFF8696B"/>
      </colorScale>
    </cfRule>
    <cfRule type="colorScale" priority="5828">
      <colorScale>
        <cfvo type="min"/>
        <cfvo type="percentile" val="50"/>
        <cfvo type="max"/>
        <color rgb="FF63BE7B"/>
        <color rgb="FFFFEB84"/>
        <color rgb="FFF8696B"/>
      </colorScale>
    </cfRule>
    <cfRule type="colorScale" priority="5829">
      <colorScale>
        <cfvo type="min"/>
        <cfvo type="percentile" val="50"/>
        <cfvo type="max"/>
        <color rgb="FF63BE7B"/>
        <color rgb="FFFFEB84"/>
        <color rgb="FFF8696B"/>
      </colorScale>
    </cfRule>
    <cfRule type="colorScale" priority="6989">
      <colorScale>
        <cfvo type="min"/>
        <cfvo type="percentile" val="50"/>
        <cfvo type="max"/>
        <color rgb="FF63BE7B"/>
        <color rgb="FFFFEB84"/>
        <color rgb="FFF8696B"/>
      </colorScale>
    </cfRule>
    <cfRule type="colorScale" priority="6988">
      <colorScale>
        <cfvo type="min"/>
        <cfvo type="percentile" val="50"/>
        <cfvo type="max"/>
        <color rgb="FF63BE7B"/>
        <color rgb="FFFFEB84"/>
        <color rgb="FFF8696B"/>
      </colorScale>
    </cfRule>
    <cfRule type="colorScale" priority="6396">
      <colorScale>
        <cfvo type="min"/>
        <cfvo type="percentile" val="50"/>
        <cfvo type="max"/>
        <color rgb="FF63BE7B"/>
        <color rgb="FFFFEB84"/>
        <color rgb="FFF8696B"/>
      </colorScale>
    </cfRule>
    <cfRule type="colorScale" priority="6397">
      <colorScale>
        <cfvo type="min"/>
        <cfvo type="percentile" val="50"/>
        <cfvo type="max"/>
        <color rgb="FF63BE7B"/>
        <color rgb="FFFFEB84"/>
        <color rgb="FFF8696B"/>
      </colorScale>
    </cfRule>
    <cfRule type="colorScale" priority="6398">
      <colorScale>
        <cfvo type="min"/>
        <cfvo type="percentile" val="50"/>
        <cfvo type="max"/>
        <color rgb="FF63BE7B"/>
        <color rgb="FFFFEB84"/>
        <color rgb="FFF8696B"/>
      </colorScale>
    </cfRule>
    <cfRule type="colorScale" priority="6399">
      <colorScale>
        <cfvo type="min"/>
        <cfvo type="percentile" val="50"/>
        <cfvo type="max"/>
        <color rgb="FF63BE7B"/>
        <color rgb="FFFFEB84"/>
        <color rgb="FFF8696B"/>
      </colorScale>
    </cfRule>
    <cfRule type="colorScale" priority="6400">
      <colorScale>
        <cfvo type="min"/>
        <cfvo type="percentile" val="50"/>
        <cfvo type="max"/>
        <color rgb="FF63BE7B"/>
        <color rgb="FFFFEB84"/>
        <color rgb="FFF8696B"/>
      </colorScale>
    </cfRule>
    <cfRule type="colorScale" priority="6401">
      <colorScale>
        <cfvo type="min"/>
        <cfvo type="percentile" val="50"/>
        <cfvo type="max"/>
        <color rgb="FF63BE7B"/>
        <color rgb="FFFFEB84"/>
        <color rgb="FFF8696B"/>
      </colorScale>
    </cfRule>
    <cfRule type="colorScale" priority="6402">
      <colorScale>
        <cfvo type="min"/>
        <cfvo type="percentile" val="50"/>
        <cfvo type="max"/>
        <color rgb="FF63BE7B"/>
        <color rgb="FFFFEB84"/>
        <color rgb="FFF8696B"/>
      </colorScale>
    </cfRule>
    <cfRule type="colorScale" priority="6403">
      <colorScale>
        <cfvo type="min"/>
        <cfvo type="percentile" val="50"/>
        <cfvo type="max"/>
        <color rgb="FF63BE7B"/>
        <color rgb="FFFFEB84"/>
        <color rgb="FFF8696B"/>
      </colorScale>
    </cfRule>
    <cfRule type="colorScale" priority="6404">
      <colorScale>
        <cfvo type="min"/>
        <cfvo type="percentile" val="50"/>
        <cfvo type="max"/>
        <color rgb="FF63BE7B"/>
        <color rgb="FFFFEB84"/>
        <color rgb="FFF8696B"/>
      </colorScale>
    </cfRule>
    <cfRule type="colorScale" priority="6405">
      <colorScale>
        <cfvo type="min"/>
        <cfvo type="percentile" val="50"/>
        <cfvo type="max"/>
        <color rgb="FF63BE7B"/>
        <color rgb="FFFFEB84"/>
        <color rgb="FFF8696B"/>
      </colorScale>
    </cfRule>
    <cfRule type="colorScale" priority="4526">
      <colorScale>
        <cfvo type="min"/>
        <cfvo type="percentile" val="50"/>
        <cfvo type="max"/>
        <color rgb="FF63BE7B"/>
        <color rgb="FFFFEB84"/>
        <color rgb="FFF8696B"/>
      </colorScale>
    </cfRule>
    <cfRule type="colorScale" priority="6387">
      <colorScale>
        <cfvo type="min"/>
        <cfvo type="percentile" val="50"/>
        <cfvo type="max"/>
        <color rgb="FF63BE7B"/>
        <color rgb="FFFFEB84"/>
        <color rgb="FFF8696B"/>
      </colorScale>
    </cfRule>
    <cfRule type="colorScale" priority="4525">
      <colorScale>
        <cfvo type="min"/>
        <cfvo type="percentile" val="50"/>
        <cfvo type="max"/>
        <color rgb="FF63BE7B"/>
        <color rgb="FFFFEB84"/>
        <color rgb="FFF8696B"/>
      </colorScale>
    </cfRule>
    <cfRule type="colorScale" priority="4524">
      <colorScale>
        <cfvo type="min"/>
        <cfvo type="percentile" val="50"/>
        <cfvo type="max"/>
        <color rgb="FF63BE7B"/>
        <color rgb="FFFFEB84"/>
        <color rgb="FFF8696B"/>
      </colorScale>
    </cfRule>
    <cfRule type="colorScale" priority="4523">
      <colorScale>
        <cfvo type="min"/>
        <cfvo type="percentile" val="50"/>
        <cfvo type="max"/>
        <color rgb="FF63BE7B"/>
        <color rgb="FFFFEB84"/>
        <color rgb="FFF8696B"/>
      </colorScale>
    </cfRule>
    <cfRule type="colorScale" priority="4522">
      <colorScale>
        <cfvo type="min"/>
        <cfvo type="percentile" val="50"/>
        <cfvo type="max"/>
        <color rgb="FF63BE7B"/>
        <color rgb="FFFFEB84"/>
        <color rgb="FFF8696B"/>
      </colorScale>
    </cfRule>
    <cfRule type="colorScale" priority="4521">
      <colorScale>
        <cfvo type="min"/>
        <cfvo type="percentile" val="50"/>
        <cfvo type="max"/>
        <color rgb="FF63BE7B"/>
        <color rgb="FFFFEB84"/>
        <color rgb="FFF8696B"/>
      </colorScale>
    </cfRule>
    <cfRule type="colorScale" priority="4520">
      <colorScale>
        <cfvo type="min"/>
        <cfvo type="percentile" val="50"/>
        <cfvo type="max"/>
        <color rgb="FF63BE7B"/>
        <color rgb="FFFFEB84"/>
        <color rgb="FFF8696B"/>
      </colorScale>
    </cfRule>
    <cfRule type="colorScale" priority="4519">
      <colorScale>
        <cfvo type="min"/>
        <cfvo type="percentile" val="50"/>
        <cfvo type="max"/>
        <color rgb="FF63BE7B"/>
        <color rgb="FFFFEB84"/>
        <color rgb="FFF8696B"/>
      </colorScale>
    </cfRule>
    <cfRule type="colorScale" priority="6992">
      <colorScale>
        <cfvo type="min"/>
        <cfvo type="percentile" val="50"/>
        <cfvo type="max"/>
        <color rgb="FF63BE7B"/>
        <color rgb="FFFFEB84"/>
        <color rgb="FFF8696B"/>
      </colorScale>
    </cfRule>
    <cfRule type="colorScale" priority="4518">
      <colorScale>
        <cfvo type="min"/>
        <cfvo type="percentile" val="50"/>
        <cfvo type="max"/>
        <color rgb="FF63BE7B"/>
        <color rgb="FFFFEB84"/>
        <color rgb="FFF8696B"/>
      </colorScale>
    </cfRule>
    <cfRule type="colorScale" priority="4517">
      <colorScale>
        <cfvo type="min"/>
        <cfvo type="percentile" val="50"/>
        <cfvo type="max"/>
        <color rgb="FF63BE7B"/>
        <color rgb="FFFFEB84"/>
        <color rgb="FFF8696B"/>
      </colorScale>
    </cfRule>
    <cfRule type="colorScale" priority="4516">
      <colorScale>
        <cfvo type="min"/>
        <cfvo type="percentile" val="50"/>
        <cfvo type="max"/>
        <color rgb="FF63BE7B"/>
        <color rgb="FFFFEB84"/>
        <color rgb="FFF8696B"/>
      </colorScale>
    </cfRule>
    <cfRule type="colorScale" priority="4515">
      <colorScale>
        <cfvo type="min"/>
        <cfvo type="percentile" val="50"/>
        <cfvo type="max"/>
        <color rgb="FF63BE7B"/>
        <color rgb="FFFFEB84"/>
        <color rgb="FFF8696B"/>
      </colorScale>
    </cfRule>
    <cfRule type="colorScale" priority="4514">
      <colorScale>
        <cfvo type="min"/>
        <cfvo type="percentile" val="50"/>
        <cfvo type="max"/>
        <color rgb="FF63BE7B"/>
        <color rgb="FFFFEB84"/>
        <color rgb="FFF8696B"/>
      </colorScale>
    </cfRule>
    <cfRule type="colorScale" priority="4513">
      <colorScale>
        <cfvo type="min"/>
        <cfvo type="percentile" val="50"/>
        <cfvo type="max"/>
        <color rgb="FF63BE7B"/>
        <color rgb="FFFFEB84"/>
        <color rgb="FFF8696B"/>
      </colorScale>
    </cfRule>
    <cfRule type="colorScale" priority="4512">
      <colorScale>
        <cfvo type="min"/>
        <cfvo type="percentile" val="50"/>
        <cfvo type="max"/>
        <color rgb="FF63BE7B"/>
        <color rgb="FFFFEB84"/>
        <color rgb="FFF8696B"/>
      </colorScale>
    </cfRule>
    <cfRule type="colorScale" priority="4511">
      <colorScale>
        <cfvo type="min"/>
        <cfvo type="percentile" val="50"/>
        <cfvo type="max"/>
        <color rgb="FF63BE7B"/>
        <color rgb="FFFFEB84"/>
        <color rgb="FFF8696B"/>
      </colorScale>
    </cfRule>
    <cfRule type="colorScale" priority="6993">
      <colorScale>
        <cfvo type="min"/>
        <cfvo type="percentile" val="50"/>
        <cfvo type="max"/>
        <color rgb="FF63BE7B"/>
        <color rgb="FFFFEB84"/>
        <color rgb="FFF8696B"/>
      </colorScale>
    </cfRule>
    <cfRule type="colorScale" priority="6994">
      <colorScale>
        <cfvo type="min"/>
        <cfvo type="percentile" val="50"/>
        <cfvo type="max"/>
        <color rgb="FF63BE7B"/>
        <color rgb="FFFFEB84"/>
        <color rgb="FFF8696B"/>
      </colorScale>
    </cfRule>
    <cfRule type="colorScale" priority="6995">
      <colorScale>
        <cfvo type="min"/>
        <cfvo type="percentile" val="50"/>
        <cfvo type="max"/>
        <color rgb="FF63BE7B"/>
        <color rgb="FFFFEB84"/>
        <color rgb="FFF8696B"/>
      </colorScale>
    </cfRule>
    <cfRule type="colorScale" priority="6996">
      <colorScale>
        <cfvo type="min"/>
        <cfvo type="percentile" val="50"/>
        <cfvo type="max"/>
        <color rgb="FF63BE7B"/>
        <color rgb="FFFFEB84"/>
        <color rgb="FFF8696B"/>
      </colorScale>
    </cfRule>
    <cfRule type="colorScale" priority="4504">
      <colorScale>
        <cfvo type="min"/>
        <cfvo type="percentile" val="50"/>
        <cfvo type="max"/>
        <color rgb="FF63BE7B"/>
        <color rgb="FFFFEB84"/>
        <color rgb="FFF8696B"/>
      </colorScale>
    </cfRule>
    <cfRule type="colorScale" priority="4503">
      <colorScale>
        <cfvo type="min"/>
        <cfvo type="percentile" val="50"/>
        <cfvo type="max"/>
        <color rgb="FF63BE7B"/>
        <color rgb="FFFFEB84"/>
        <color rgb="FFF8696B"/>
      </colorScale>
    </cfRule>
    <cfRule type="colorScale" priority="4502">
      <colorScale>
        <cfvo type="min"/>
        <cfvo type="percentile" val="50"/>
        <cfvo type="max"/>
        <color rgb="FF63BE7B"/>
        <color rgb="FFFFEB84"/>
        <color rgb="FFF8696B"/>
      </colorScale>
    </cfRule>
    <cfRule type="colorScale" priority="4501">
      <colorScale>
        <cfvo type="min"/>
        <cfvo type="percentile" val="50"/>
        <cfvo type="max"/>
        <color rgb="FF63BE7B"/>
        <color rgb="FFFFEB84"/>
        <color rgb="FFF8696B"/>
      </colorScale>
    </cfRule>
    <cfRule type="colorScale" priority="7224">
      <colorScale>
        <cfvo type="min"/>
        <cfvo type="percentile" val="50"/>
        <cfvo type="max"/>
        <color rgb="FF63BE7B"/>
        <color rgb="FFFFEB84"/>
        <color rgb="FFF8696B"/>
      </colorScale>
    </cfRule>
    <cfRule type="colorScale" priority="7225">
      <colorScale>
        <cfvo type="min"/>
        <cfvo type="percentile" val="50"/>
        <cfvo type="max"/>
        <color rgb="FF63BE7B"/>
        <color rgb="FFFFEB84"/>
        <color rgb="FFF8696B"/>
      </colorScale>
    </cfRule>
    <cfRule type="colorScale" priority="7226">
      <colorScale>
        <cfvo type="min"/>
        <cfvo type="percentile" val="50"/>
        <cfvo type="max"/>
        <color rgb="FF63BE7B"/>
        <color rgb="FFFFEB84"/>
        <color rgb="FFF8696B"/>
      </colorScale>
    </cfRule>
    <cfRule type="colorScale" priority="7227">
      <colorScale>
        <cfvo type="min"/>
        <cfvo type="percentile" val="50"/>
        <cfvo type="max"/>
        <color rgb="FF63BE7B"/>
        <color rgb="FFFFEB84"/>
        <color rgb="FFF8696B"/>
      </colorScale>
    </cfRule>
    <cfRule type="colorScale" priority="6388">
      <colorScale>
        <cfvo type="min"/>
        <cfvo type="percentile" val="50"/>
        <cfvo type="max"/>
        <color rgb="FF63BE7B"/>
        <color rgb="FFFFEB84"/>
        <color rgb="FFF8696B"/>
      </colorScale>
    </cfRule>
    <cfRule type="colorScale" priority="6389">
      <colorScale>
        <cfvo type="min"/>
        <cfvo type="percentile" val="50"/>
        <cfvo type="max"/>
        <color rgb="FF63BE7B"/>
        <color rgb="FFFFEB84"/>
        <color rgb="FFF8696B"/>
      </colorScale>
    </cfRule>
    <cfRule type="colorScale" priority="4510">
      <colorScale>
        <cfvo type="min"/>
        <cfvo type="percentile" val="50"/>
        <cfvo type="max"/>
        <color rgb="FF63BE7B"/>
        <color rgb="FFFFEB84"/>
        <color rgb="FFF8696B"/>
      </colorScale>
    </cfRule>
    <cfRule type="colorScale" priority="4509">
      <colorScale>
        <cfvo type="min"/>
        <cfvo type="percentile" val="50"/>
        <cfvo type="max"/>
        <color rgb="FF63BE7B"/>
        <color rgb="FFFFEB84"/>
        <color rgb="FFF8696B"/>
      </colorScale>
    </cfRule>
    <cfRule type="colorScale" priority="4508">
      <colorScale>
        <cfvo type="min"/>
        <cfvo type="percentile" val="50"/>
        <cfvo type="max"/>
        <color rgb="FF63BE7B"/>
        <color rgb="FFFFEB84"/>
        <color rgb="FFF8696B"/>
      </colorScale>
    </cfRule>
    <cfRule type="colorScale" priority="4507">
      <colorScale>
        <cfvo type="min"/>
        <cfvo type="percentile" val="50"/>
        <cfvo type="max"/>
        <color rgb="FF63BE7B"/>
        <color rgb="FFFFEB84"/>
        <color rgb="FFF8696B"/>
      </colorScale>
    </cfRule>
    <cfRule type="colorScale" priority="4506">
      <colorScale>
        <cfvo type="min"/>
        <cfvo type="percentile" val="50"/>
        <cfvo type="max"/>
        <color rgb="FF63BE7B"/>
        <color rgb="FFFFEB84"/>
        <color rgb="FFF8696B"/>
      </colorScale>
    </cfRule>
    <cfRule type="colorScale" priority="4505">
      <colorScale>
        <cfvo type="min"/>
        <cfvo type="percentile" val="50"/>
        <cfvo type="max"/>
        <color rgb="FF63BE7B"/>
        <color rgb="FFFFEB84"/>
        <color rgb="FFF8696B"/>
      </colorScale>
    </cfRule>
    <cfRule type="colorScale" priority="6390">
      <colorScale>
        <cfvo type="min"/>
        <cfvo type="percentile" val="50"/>
        <cfvo type="max"/>
        <color rgb="FF63BE7B"/>
        <color rgb="FFFFEB84"/>
        <color rgb="FFF8696B"/>
      </colorScale>
    </cfRule>
    <cfRule type="colorScale" priority="6391">
      <colorScale>
        <cfvo type="min"/>
        <cfvo type="percentile" val="50"/>
        <cfvo type="max"/>
        <color rgb="FF63BE7B"/>
        <color rgb="FFFFEB84"/>
        <color rgb="FFF8696B"/>
      </colorScale>
    </cfRule>
    <cfRule type="colorScale" priority="6392">
      <colorScale>
        <cfvo type="min"/>
        <cfvo type="percentile" val="50"/>
        <cfvo type="max"/>
        <color rgb="FF63BE7B"/>
        <color rgb="FFFFEB84"/>
        <color rgb="FFF8696B"/>
      </colorScale>
    </cfRule>
    <cfRule type="colorScale" priority="6393">
      <colorScale>
        <cfvo type="min"/>
        <cfvo type="percentile" val="50"/>
        <cfvo type="max"/>
        <color rgb="FF63BE7B"/>
        <color rgb="FFFFEB84"/>
        <color rgb="FFF8696B"/>
      </colorScale>
    </cfRule>
    <cfRule type="colorScale" priority="6394">
      <colorScale>
        <cfvo type="min"/>
        <cfvo type="percentile" val="50"/>
        <cfvo type="max"/>
        <color rgb="FF63BE7B"/>
        <color rgb="FFFFEB84"/>
        <color rgb="FFF8696B"/>
      </colorScale>
    </cfRule>
    <cfRule type="colorScale" priority="6395">
      <colorScale>
        <cfvo type="min"/>
        <cfvo type="percentile" val="50"/>
        <cfvo type="max"/>
        <color rgb="FF63BE7B"/>
        <color rgb="FFFFEB84"/>
        <color rgb="FFF8696B"/>
      </colorScale>
    </cfRule>
    <cfRule type="colorScale" priority="6991">
      <colorScale>
        <cfvo type="min"/>
        <cfvo type="percentile" val="50"/>
        <cfvo type="max"/>
        <color rgb="FF63BE7B"/>
        <color rgb="FFFFEB84"/>
        <color rgb="FFF8696B"/>
      </colorScale>
    </cfRule>
    <cfRule type="colorScale" priority="6990">
      <colorScale>
        <cfvo type="min"/>
        <cfvo type="percentile" val="50"/>
        <cfvo type="max"/>
        <color rgb="FF63BE7B"/>
        <color rgb="FFFFEB84"/>
        <color rgb="FFF8696B"/>
      </colorScale>
    </cfRule>
    <cfRule type="colorScale" priority="5792">
      <colorScale>
        <cfvo type="min"/>
        <cfvo type="percentile" val="50"/>
        <cfvo type="max"/>
        <color rgb="FF63BE7B"/>
        <color rgb="FFFFEB84"/>
        <color rgb="FFF8696B"/>
      </colorScale>
    </cfRule>
    <cfRule type="colorScale" priority="5793">
      <colorScale>
        <cfvo type="min"/>
        <cfvo type="percentile" val="50"/>
        <cfvo type="max"/>
        <color rgb="FF63BE7B"/>
        <color rgb="FFFFEB84"/>
        <color rgb="FFF8696B"/>
      </colorScale>
    </cfRule>
    <cfRule type="colorScale" priority="5794">
      <colorScale>
        <cfvo type="min"/>
        <cfvo type="percentile" val="50"/>
        <cfvo type="max"/>
        <color rgb="FF63BE7B"/>
        <color rgb="FFFFEB84"/>
        <color rgb="FFF8696B"/>
      </colorScale>
    </cfRule>
    <cfRule type="colorScale" priority="5795">
      <colorScale>
        <cfvo type="min"/>
        <cfvo type="percentile" val="50"/>
        <cfvo type="max"/>
        <color rgb="FF63BE7B"/>
        <color rgb="FFFFEB84"/>
        <color rgb="FFF8696B"/>
      </colorScale>
    </cfRule>
    <cfRule type="colorScale" priority="5796">
      <colorScale>
        <cfvo type="min"/>
        <cfvo type="percentile" val="50"/>
        <cfvo type="max"/>
        <color rgb="FF63BE7B"/>
        <color rgb="FFFFEB84"/>
        <color rgb="FFF8696B"/>
      </colorScale>
    </cfRule>
    <cfRule type="colorScale" priority="5797">
      <colorScale>
        <cfvo type="min"/>
        <cfvo type="percentile" val="50"/>
        <cfvo type="max"/>
        <color rgb="FF63BE7B"/>
        <color rgb="FFFFEB84"/>
        <color rgb="FFF8696B"/>
      </colorScale>
    </cfRule>
    <cfRule type="colorScale" priority="5798">
      <colorScale>
        <cfvo type="min"/>
        <cfvo type="percentile" val="50"/>
        <cfvo type="max"/>
        <color rgb="FF63BE7B"/>
        <color rgb="FFFFEB84"/>
        <color rgb="FFF8696B"/>
      </colorScale>
    </cfRule>
    <cfRule type="colorScale" priority="5799">
      <colorScale>
        <cfvo type="min"/>
        <cfvo type="percentile" val="50"/>
        <cfvo type="max"/>
        <color rgb="FF63BE7B"/>
        <color rgb="FFFFEB84"/>
        <color rgb="FFF8696B"/>
      </colorScale>
    </cfRule>
    <cfRule type="colorScale" priority="5800">
      <colorScale>
        <cfvo type="min"/>
        <cfvo type="percentile" val="50"/>
        <cfvo type="max"/>
        <color rgb="FF63BE7B"/>
        <color rgb="FFFFEB84"/>
        <color rgb="FFF8696B"/>
      </colorScale>
    </cfRule>
    <cfRule type="colorScale" priority="5801">
      <colorScale>
        <cfvo type="min"/>
        <cfvo type="percentile" val="50"/>
        <cfvo type="max"/>
        <color rgb="FF63BE7B"/>
        <color rgb="FFFFEB84"/>
        <color rgb="FFF8696B"/>
      </colorScale>
    </cfRule>
    <cfRule type="colorScale" priority="5802">
      <colorScale>
        <cfvo type="min"/>
        <cfvo type="percentile" val="50"/>
        <cfvo type="max"/>
        <color rgb="FF63BE7B"/>
        <color rgb="FFFFEB84"/>
        <color rgb="FFF8696B"/>
      </colorScale>
    </cfRule>
    <cfRule type="colorScale" priority="5803">
      <colorScale>
        <cfvo type="min"/>
        <cfvo type="percentile" val="50"/>
        <cfvo type="max"/>
        <color rgb="FF63BE7B"/>
        <color rgb="FFFFEB84"/>
        <color rgb="FFF8696B"/>
      </colorScale>
    </cfRule>
    <cfRule type="colorScale" priority="5804">
      <colorScale>
        <cfvo type="min"/>
        <cfvo type="percentile" val="50"/>
        <cfvo type="max"/>
        <color rgb="FF63BE7B"/>
        <color rgb="FFFFEB84"/>
        <color rgb="FFF8696B"/>
      </colorScale>
    </cfRule>
    <cfRule type="colorScale" priority="5805">
      <colorScale>
        <cfvo type="min"/>
        <cfvo type="percentile" val="50"/>
        <cfvo type="max"/>
        <color rgb="FF63BE7B"/>
        <color rgb="FFFFEB84"/>
        <color rgb="FFF8696B"/>
      </colorScale>
    </cfRule>
    <cfRule type="colorScale" priority="5806">
      <colorScale>
        <cfvo type="min"/>
        <cfvo type="percentile" val="50"/>
        <cfvo type="max"/>
        <color rgb="FF63BE7B"/>
        <color rgb="FFFFEB84"/>
        <color rgb="FFF8696B"/>
      </colorScale>
    </cfRule>
    <cfRule type="colorScale" priority="5807">
      <colorScale>
        <cfvo type="min"/>
        <cfvo type="percentile" val="50"/>
        <cfvo type="max"/>
        <color rgb="FF63BE7B"/>
        <color rgb="FFFFEB84"/>
        <color rgb="FFF8696B"/>
      </colorScale>
    </cfRule>
    <cfRule type="colorScale" priority="5808">
      <colorScale>
        <cfvo type="min"/>
        <cfvo type="percentile" val="50"/>
        <cfvo type="max"/>
        <color rgb="FF63BE7B"/>
        <color rgb="FFFFEB84"/>
        <color rgb="FFF8696B"/>
      </colorScale>
    </cfRule>
    <cfRule type="colorScale" priority="5809">
      <colorScale>
        <cfvo type="min"/>
        <cfvo type="percentile" val="50"/>
        <cfvo type="max"/>
        <color rgb="FF63BE7B"/>
        <color rgb="FFFFEB84"/>
        <color rgb="FFF8696B"/>
      </colorScale>
    </cfRule>
    <cfRule type="colorScale" priority="5810">
      <colorScale>
        <cfvo type="min"/>
        <cfvo type="percentile" val="50"/>
        <cfvo type="max"/>
        <color rgb="FF63BE7B"/>
        <color rgb="FFFFEB84"/>
        <color rgb="FFF8696B"/>
      </colorScale>
    </cfRule>
    <cfRule type="colorScale" priority="5811">
      <colorScale>
        <cfvo type="min"/>
        <cfvo type="percentile" val="50"/>
        <cfvo type="max"/>
        <color rgb="FF63BE7B"/>
        <color rgb="FFFFEB84"/>
        <color rgb="FFF8696B"/>
      </colorScale>
    </cfRule>
  </conditionalFormatting>
  <conditionalFormatting sqref="O53">
    <cfRule type="colorScale" priority="12809">
      <colorScale>
        <cfvo type="min"/>
        <cfvo type="percentile" val="50"/>
        <cfvo type="max"/>
        <color rgb="FF63BE7B"/>
        <color rgb="FFFFEB84"/>
        <color rgb="FFF8696B"/>
      </colorScale>
    </cfRule>
  </conditionalFormatting>
  <conditionalFormatting sqref="O54:O61">
    <cfRule type="colorScale" priority="44">
      <colorScale>
        <cfvo type="min"/>
        <cfvo type="percentile" val="50"/>
        <cfvo type="max"/>
        <color rgb="FF63BE7B"/>
        <color rgb="FFFFEB84"/>
        <color rgb="FFF8696B"/>
      </colorScale>
    </cfRule>
    <cfRule type="colorScale" priority="61">
      <colorScale>
        <cfvo type="min"/>
        <cfvo type="percentile" val="50"/>
        <cfvo type="max"/>
        <color rgb="FF63BE7B"/>
        <color rgb="FFFFEB84"/>
        <color rgb="FFF8696B"/>
      </colorScale>
    </cfRule>
  </conditionalFormatting>
  <conditionalFormatting sqref="O65:O71">
    <cfRule type="colorScale" priority="12551">
      <colorScale>
        <cfvo type="min"/>
        <cfvo type="percentile" val="50"/>
        <cfvo type="max"/>
        <color rgb="FF63BE7B"/>
        <color rgb="FFFFEB84"/>
        <color rgb="FFF8696B"/>
      </colorScale>
    </cfRule>
    <cfRule type="colorScale" priority="12550">
      <colorScale>
        <cfvo type="min"/>
        <cfvo type="percentile" val="50"/>
        <cfvo type="max"/>
        <color rgb="FF63BE7B"/>
        <color rgb="FFFFEB84"/>
        <color rgb="FFF8696B"/>
      </colorScale>
    </cfRule>
    <cfRule type="colorScale" priority="12552">
      <colorScale>
        <cfvo type="min"/>
        <cfvo type="percentile" val="50"/>
        <cfvo type="max"/>
        <color rgb="FF63BE7B"/>
        <color rgb="FFFFEB84"/>
        <color rgb="FFF8696B"/>
      </colorScale>
    </cfRule>
  </conditionalFormatting>
  <conditionalFormatting sqref="O65:O81">
    <cfRule type="colorScale" priority="12595">
      <colorScale>
        <cfvo type="min"/>
        <cfvo type="percentile" val="50"/>
        <cfvo type="max"/>
        <color rgb="FF63BE7B"/>
        <color rgb="FFFFEB84"/>
        <color rgb="FFF8696B"/>
      </colorScale>
    </cfRule>
  </conditionalFormatting>
  <conditionalFormatting sqref="O65:O91">
    <cfRule type="colorScale" priority="12614">
      <colorScale>
        <cfvo type="min"/>
        <cfvo type="percentile" val="50"/>
        <cfvo type="max"/>
        <color rgb="FF63BE7B"/>
        <color rgb="FFFFEB84"/>
        <color rgb="FFF8696B"/>
      </colorScale>
    </cfRule>
  </conditionalFormatting>
  <conditionalFormatting sqref="O66:O71">
    <cfRule type="colorScale" priority="12553">
      <colorScale>
        <cfvo type="min"/>
        <cfvo type="percentile" val="50"/>
        <cfvo type="max"/>
        <color rgb="FF63BE7B"/>
        <color rgb="FFFFEB84"/>
        <color rgb="FFF8696B"/>
      </colorScale>
    </cfRule>
  </conditionalFormatting>
  <conditionalFormatting sqref="O81:O83">
    <cfRule type="colorScale" priority="12308">
      <colorScale>
        <cfvo type="min"/>
        <cfvo type="percentile" val="50"/>
        <cfvo type="max"/>
        <color rgb="FF63BE7B"/>
        <color rgb="FFFFEB84"/>
        <color rgb="FFF8696B"/>
      </colorScale>
    </cfRule>
    <cfRule type="colorScale" priority="12307">
      <colorScale>
        <cfvo type="min"/>
        <cfvo type="percentile" val="50"/>
        <cfvo type="max"/>
        <color rgb="FF63BE7B"/>
        <color rgb="FFFFEB84"/>
        <color rgb="FFF8696B"/>
      </colorScale>
    </cfRule>
  </conditionalFormatting>
  <conditionalFormatting sqref="O81:O91">
    <cfRule type="colorScale" priority="12197">
      <colorScale>
        <cfvo type="min"/>
        <cfvo type="percentile" val="50"/>
        <cfvo type="max"/>
        <color rgb="FF63BE7B"/>
        <color rgb="FFFFEB84"/>
        <color rgb="FFF8696B"/>
      </colorScale>
    </cfRule>
    <cfRule type="colorScale" priority="12196">
      <colorScale>
        <cfvo type="min"/>
        <cfvo type="percentile" val="50"/>
        <cfvo type="max"/>
        <color rgb="FF63BE7B"/>
        <color rgb="FFFFEB84"/>
        <color rgb="FFF8696B"/>
      </colorScale>
    </cfRule>
    <cfRule type="colorScale" priority="12194">
      <colorScale>
        <cfvo type="min"/>
        <cfvo type="percentile" val="50"/>
        <cfvo type="max"/>
        <color rgb="FF63BE7B"/>
        <color rgb="FFFFEB84"/>
        <color rgb="FFF8696B"/>
      </colorScale>
    </cfRule>
  </conditionalFormatting>
  <conditionalFormatting sqref="O84:O91">
    <cfRule type="colorScale" priority="12155">
      <colorScale>
        <cfvo type="min"/>
        <cfvo type="percentile" val="50"/>
        <cfvo type="max"/>
        <color rgb="FF63BE7B"/>
        <color rgb="FFFFEB84"/>
        <color rgb="FFF8696B"/>
      </colorScale>
    </cfRule>
    <cfRule type="colorScale" priority="12158">
      <colorScale>
        <cfvo type="min"/>
        <cfvo type="percentile" val="50"/>
        <cfvo type="max"/>
        <color rgb="FF63BE7B"/>
        <color rgb="FFFFEB84"/>
        <color rgb="FFF8696B"/>
      </colorScale>
    </cfRule>
    <cfRule type="colorScale" priority="12157">
      <colorScale>
        <cfvo type="min"/>
        <cfvo type="percentile" val="50"/>
        <cfvo type="max"/>
        <color rgb="FF63BE7B"/>
        <color rgb="FFFFEB84"/>
        <color rgb="FFF8696B"/>
      </colorScale>
    </cfRule>
  </conditionalFormatting>
  <conditionalFormatting sqref="O86">
    <cfRule type="colorScale" priority="12156">
      <colorScale>
        <cfvo type="min"/>
        <cfvo type="percentile" val="50"/>
        <cfvo type="max"/>
        <color rgb="FF63BE7B"/>
        <color rgb="FFFFEB84"/>
        <color rgb="FFF8696B"/>
      </colorScale>
    </cfRule>
  </conditionalFormatting>
  <conditionalFormatting sqref="O91 O83">
    <cfRule type="colorScale" priority="12195">
      <colorScale>
        <cfvo type="min"/>
        <cfvo type="percentile" val="50"/>
        <cfvo type="max"/>
        <color rgb="FF63BE7B"/>
        <color rgb="FFFFEB84"/>
        <color rgb="FFF8696B"/>
      </colorScale>
    </cfRule>
  </conditionalFormatting>
  <conditionalFormatting sqref="O96:O102">
    <cfRule type="colorScale" priority="11946">
      <colorScale>
        <cfvo type="min"/>
        <cfvo type="percentile" val="50"/>
        <cfvo type="max"/>
        <color rgb="FF63BE7B"/>
        <color rgb="FFFFEB84"/>
        <color rgb="FFF8696B"/>
      </colorScale>
    </cfRule>
    <cfRule type="colorScale" priority="11945">
      <colorScale>
        <cfvo type="min"/>
        <cfvo type="percentile" val="50"/>
        <cfvo type="max"/>
        <color rgb="FF63BE7B"/>
        <color rgb="FFFFEB84"/>
        <color rgb="FFF8696B"/>
      </colorScale>
    </cfRule>
    <cfRule type="colorScale" priority="11944">
      <colorScale>
        <cfvo type="min"/>
        <cfvo type="percentile" val="50"/>
        <cfvo type="max"/>
        <color rgb="FF63BE7B"/>
        <color rgb="FFFFEB84"/>
        <color rgb="FFF8696B"/>
      </colorScale>
    </cfRule>
  </conditionalFormatting>
  <conditionalFormatting sqref="O96:O112">
    <cfRule type="colorScale" priority="11989">
      <colorScale>
        <cfvo type="min"/>
        <cfvo type="percentile" val="50"/>
        <cfvo type="max"/>
        <color rgb="FF63BE7B"/>
        <color rgb="FFFFEB84"/>
        <color rgb="FFF8696B"/>
      </colorScale>
    </cfRule>
  </conditionalFormatting>
  <conditionalFormatting sqref="O96:O122">
    <cfRule type="colorScale" priority="12008">
      <colorScale>
        <cfvo type="min"/>
        <cfvo type="percentile" val="50"/>
        <cfvo type="max"/>
        <color rgb="FF63BE7B"/>
        <color rgb="FFFFEB84"/>
        <color rgb="FFF8696B"/>
      </colorScale>
    </cfRule>
  </conditionalFormatting>
  <conditionalFormatting sqref="O97:O102">
    <cfRule type="colorScale" priority="11947">
      <colorScale>
        <cfvo type="min"/>
        <cfvo type="percentile" val="50"/>
        <cfvo type="max"/>
        <color rgb="FF63BE7B"/>
        <color rgb="FFFFEB84"/>
        <color rgb="FFF8696B"/>
      </colorScale>
    </cfRule>
  </conditionalFormatting>
  <conditionalFormatting sqref="O112:O114">
    <cfRule type="colorScale" priority="11704">
      <colorScale>
        <cfvo type="min"/>
        <cfvo type="percentile" val="50"/>
        <cfvo type="max"/>
        <color rgb="FF63BE7B"/>
        <color rgb="FFFFEB84"/>
        <color rgb="FFF8696B"/>
      </colorScale>
    </cfRule>
    <cfRule type="colorScale" priority="11705">
      <colorScale>
        <cfvo type="min"/>
        <cfvo type="percentile" val="50"/>
        <cfvo type="max"/>
        <color rgb="FF63BE7B"/>
        <color rgb="FFFFEB84"/>
        <color rgb="FFF8696B"/>
      </colorScale>
    </cfRule>
  </conditionalFormatting>
  <conditionalFormatting sqref="O112:O122">
    <cfRule type="colorScale" priority="11594">
      <colorScale>
        <cfvo type="min"/>
        <cfvo type="percentile" val="50"/>
        <cfvo type="max"/>
        <color rgb="FF63BE7B"/>
        <color rgb="FFFFEB84"/>
        <color rgb="FFF8696B"/>
      </colorScale>
    </cfRule>
    <cfRule type="colorScale" priority="11591">
      <colorScale>
        <cfvo type="min"/>
        <cfvo type="percentile" val="50"/>
        <cfvo type="max"/>
        <color rgb="FF63BE7B"/>
        <color rgb="FFFFEB84"/>
        <color rgb="FFF8696B"/>
      </colorScale>
    </cfRule>
    <cfRule type="colorScale" priority="11593">
      <colorScale>
        <cfvo type="min"/>
        <cfvo type="percentile" val="50"/>
        <cfvo type="max"/>
        <color rgb="FF63BE7B"/>
        <color rgb="FFFFEB84"/>
        <color rgb="FFF8696B"/>
      </colorScale>
    </cfRule>
  </conditionalFormatting>
  <conditionalFormatting sqref="O115:O122">
    <cfRule type="colorScale" priority="11554">
      <colorScale>
        <cfvo type="min"/>
        <cfvo type="percentile" val="50"/>
        <cfvo type="max"/>
        <color rgb="FF63BE7B"/>
        <color rgb="FFFFEB84"/>
        <color rgb="FFF8696B"/>
      </colorScale>
    </cfRule>
    <cfRule type="colorScale" priority="11552">
      <colorScale>
        <cfvo type="min"/>
        <cfvo type="percentile" val="50"/>
        <cfvo type="max"/>
        <color rgb="FF63BE7B"/>
        <color rgb="FFFFEB84"/>
        <color rgb="FFF8696B"/>
      </colorScale>
    </cfRule>
    <cfRule type="colorScale" priority="11555">
      <colorScale>
        <cfvo type="min"/>
        <cfvo type="percentile" val="50"/>
        <cfvo type="max"/>
        <color rgb="FF63BE7B"/>
        <color rgb="FFFFEB84"/>
        <color rgb="FFF8696B"/>
      </colorScale>
    </cfRule>
  </conditionalFormatting>
  <conditionalFormatting sqref="O117">
    <cfRule type="colorScale" priority="11553">
      <colorScale>
        <cfvo type="min"/>
        <cfvo type="percentile" val="50"/>
        <cfvo type="max"/>
        <color rgb="FF63BE7B"/>
        <color rgb="FFFFEB84"/>
        <color rgb="FFF8696B"/>
      </colorScale>
    </cfRule>
  </conditionalFormatting>
  <conditionalFormatting sqref="O122 O114">
    <cfRule type="colorScale" priority="11592">
      <colorScale>
        <cfvo type="min"/>
        <cfvo type="percentile" val="50"/>
        <cfvo type="max"/>
        <color rgb="FF63BE7B"/>
        <color rgb="FFFFEB84"/>
        <color rgb="FFF8696B"/>
      </colorScale>
    </cfRule>
  </conditionalFormatting>
  <conditionalFormatting sqref="P35:P37">
    <cfRule type="colorScale" priority="10319">
      <colorScale>
        <cfvo type="min"/>
        <cfvo type="percentile" val="50"/>
        <cfvo type="max"/>
        <color rgb="FF63BE7B"/>
        <color rgb="FFFFEB84"/>
        <color rgb="FFF8696B"/>
      </colorScale>
    </cfRule>
    <cfRule type="colorScale" priority="10333">
      <colorScale>
        <cfvo type="min"/>
        <cfvo type="percentile" val="50"/>
        <cfvo type="max"/>
        <color rgb="FF63BE7B"/>
        <color rgb="FFFFEB84"/>
        <color rgb="FFF8696B"/>
      </colorScale>
    </cfRule>
    <cfRule type="colorScale" priority="10329">
      <colorScale>
        <cfvo type="min"/>
        <cfvo type="percentile" val="50"/>
        <cfvo type="max"/>
        <color rgb="FF63BE7B"/>
        <color rgb="FFFFEB84"/>
        <color rgb="FFF8696B"/>
      </colorScale>
    </cfRule>
    <cfRule type="colorScale" priority="10328">
      <colorScale>
        <cfvo type="min"/>
        <cfvo type="percentile" val="50"/>
        <cfvo type="max"/>
        <color rgb="FF63BE7B"/>
        <color rgb="FFFFEB84"/>
        <color rgb="FFF8696B"/>
      </colorScale>
    </cfRule>
    <cfRule type="colorScale" priority="10327">
      <colorScale>
        <cfvo type="min"/>
        <cfvo type="percentile" val="50"/>
        <cfvo type="max"/>
        <color rgb="FF63BE7B"/>
        <color rgb="FFFFEB84"/>
        <color rgb="FFF8696B"/>
      </colorScale>
    </cfRule>
    <cfRule type="colorScale" priority="10332">
      <colorScale>
        <cfvo type="min"/>
        <cfvo type="percentile" val="50"/>
        <cfvo type="max"/>
        <color rgb="FF63BE7B"/>
        <color rgb="FFFFEB84"/>
        <color rgb="FFF8696B"/>
      </colorScale>
    </cfRule>
    <cfRule type="colorScale" priority="11186">
      <colorScale>
        <cfvo type="min"/>
        <cfvo type="percentile" val="50"/>
        <cfvo type="max"/>
        <color rgb="FF63BE7B"/>
        <color rgb="FFFFEB84"/>
        <color rgb="FFF8696B"/>
      </colorScale>
    </cfRule>
    <cfRule type="colorScale" priority="10330">
      <colorScale>
        <cfvo type="min"/>
        <cfvo type="percentile" val="50"/>
        <cfvo type="max"/>
        <color rgb="FF63BE7B"/>
        <color rgb="FFFFEB84"/>
        <color rgb="FFF8696B"/>
      </colorScale>
    </cfRule>
  </conditionalFormatting>
  <conditionalFormatting sqref="P35:P41">
    <cfRule type="colorScale" priority="10322">
      <colorScale>
        <cfvo type="min"/>
        <cfvo type="percentile" val="50"/>
        <cfvo type="max"/>
        <color rgb="FF63BE7B"/>
        <color rgb="FFFFEB84"/>
        <color rgb="FFF8696B"/>
      </colorScale>
    </cfRule>
    <cfRule type="colorScale" priority="11187">
      <colorScale>
        <cfvo type="min"/>
        <cfvo type="percentile" val="50"/>
        <cfvo type="max"/>
        <color rgb="FF63BE7B"/>
        <color rgb="FFFFEB84"/>
        <color rgb="FFF8696B"/>
      </colorScale>
    </cfRule>
    <cfRule type="colorScale" priority="11193">
      <colorScale>
        <cfvo type="min"/>
        <cfvo type="percentile" val="50"/>
        <cfvo type="max"/>
        <color rgb="FF63BE7B"/>
        <color rgb="FFFFEB84"/>
        <color rgb="FFF8696B"/>
      </colorScale>
    </cfRule>
    <cfRule type="colorScale" priority="11192">
      <colorScale>
        <cfvo type="min"/>
        <cfvo type="percentile" val="50"/>
        <cfvo type="max"/>
        <color rgb="FF63BE7B"/>
        <color rgb="FFFFEB84"/>
        <color rgb="FFF8696B"/>
      </colorScale>
    </cfRule>
    <cfRule type="colorScale" priority="11191">
      <colorScale>
        <cfvo type="min"/>
        <cfvo type="percentile" val="50"/>
        <cfvo type="max"/>
        <color rgb="FF63BE7B"/>
        <color rgb="FFFFEB84"/>
        <color rgb="FFF8696B"/>
      </colorScale>
    </cfRule>
    <cfRule type="colorScale" priority="11190">
      <colorScale>
        <cfvo type="min"/>
        <cfvo type="percentile" val="50"/>
        <cfvo type="max"/>
        <color rgb="FF63BE7B"/>
        <color rgb="FFFFEB84"/>
        <color rgb="FFF8696B"/>
      </colorScale>
    </cfRule>
    <cfRule type="colorScale" priority="10342">
      <colorScale>
        <cfvo type="min"/>
        <cfvo type="percentile" val="50"/>
        <cfvo type="max"/>
        <color rgb="FF63BE7B"/>
        <color rgb="FFFFEB84"/>
        <color rgb="FFF8696B"/>
      </colorScale>
    </cfRule>
    <cfRule type="colorScale" priority="11189">
      <colorScale>
        <cfvo type="min"/>
        <cfvo type="percentile" val="50"/>
        <cfvo type="max"/>
        <color rgb="FF63BE7B"/>
        <color rgb="FFFFEB84"/>
        <color rgb="FFF8696B"/>
      </colorScale>
    </cfRule>
    <cfRule type="colorScale" priority="10340">
      <colorScale>
        <cfvo type="min"/>
        <cfvo type="percentile" val="50"/>
        <cfvo type="max"/>
        <color rgb="FF63BE7B"/>
        <color rgb="FFFFEB84"/>
        <color rgb="FFF8696B"/>
      </colorScale>
    </cfRule>
    <cfRule type="colorScale" priority="10339">
      <colorScale>
        <cfvo type="min"/>
        <cfvo type="percentile" val="50"/>
        <cfvo type="max"/>
        <color rgb="FF63BE7B"/>
        <color rgb="FFFFEB84"/>
        <color rgb="FFF8696B"/>
      </colorScale>
    </cfRule>
    <cfRule type="colorScale" priority="10338">
      <colorScale>
        <cfvo type="min"/>
        <cfvo type="percentile" val="50"/>
        <cfvo type="max"/>
        <color rgb="FF63BE7B"/>
        <color rgb="FFFFEB84"/>
        <color rgb="FFF8696B"/>
      </colorScale>
    </cfRule>
    <cfRule type="colorScale" priority="10337">
      <colorScale>
        <cfvo type="min"/>
        <cfvo type="percentile" val="50"/>
        <cfvo type="max"/>
        <color rgb="FF63BE7B"/>
        <color rgb="FFFFEB84"/>
        <color rgb="FFF8696B"/>
      </colorScale>
    </cfRule>
    <cfRule type="colorScale" priority="10336">
      <colorScale>
        <cfvo type="min"/>
        <cfvo type="percentile" val="50"/>
        <cfvo type="max"/>
        <color rgb="FF63BE7B"/>
        <color rgb="FFFFEB84"/>
        <color rgb="FFF8696B"/>
      </colorScale>
    </cfRule>
    <cfRule type="colorScale" priority="10335">
      <colorScale>
        <cfvo type="min"/>
        <cfvo type="percentile" val="50"/>
        <cfvo type="max"/>
        <color rgb="FF63BE7B"/>
        <color rgb="FFFFEB84"/>
        <color rgb="FFF8696B"/>
      </colorScale>
    </cfRule>
    <cfRule type="colorScale" priority="10334">
      <colorScale>
        <cfvo type="min"/>
        <cfvo type="percentile" val="50"/>
        <cfvo type="max"/>
        <color rgb="FF63BE7B"/>
        <color rgb="FFFFEB84"/>
        <color rgb="FFF8696B"/>
      </colorScale>
    </cfRule>
    <cfRule type="colorScale" priority="11188">
      <colorScale>
        <cfvo type="min"/>
        <cfvo type="percentile" val="50"/>
        <cfvo type="max"/>
        <color rgb="FF63BE7B"/>
        <color rgb="FFFFEB84"/>
        <color rgb="FFF8696B"/>
      </colorScale>
    </cfRule>
    <cfRule type="colorScale" priority="10320">
      <colorScale>
        <cfvo type="min"/>
        <cfvo type="percentile" val="50"/>
        <cfvo type="max"/>
        <color rgb="FF63BE7B"/>
        <color rgb="FFFFEB84"/>
        <color rgb="FFF8696B"/>
      </colorScale>
    </cfRule>
    <cfRule type="colorScale" priority="10318">
      <colorScale>
        <cfvo type="min"/>
        <cfvo type="percentile" val="50"/>
        <cfvo type="max"/>
        <color rgb="FF63BE7B"/>
        <color rgb="FFFFEB84"/>
        <color rgb="FFF8696B"/>
      </colorScale>
    </cfRule>
    <cfRule type="colorScale" priority="11184">
      <colorScale>
        <cfvo type="min"/>
        <cfvo type="percentile" val="50"/>
        <cfvo type="max"/>
        <color rgb="FF63BE7B"/>
        <color rgb="FFFFEB84"/>
        <color rgb="FFF8696B"/>
      </colorScale>
    </cfRule>
    <cfRule type="colorScale" priority="10326">
      <colorScale>
        <cfvo type="min"/>
        <cfvo type="percentile" val="50"/>
        <cfvo type="max"/>
        <color rgb="FF63BE7B"/>
        <color rgb="FFFFEB84"/>
        <color rgb="FFF8696B"/>
      </colorScale>
    </cfRule>
    <cfRule type="colorScale" priority="10325">
      <colorScale>
        <cfvo type="min"/>
        <cfvo type="percentile" val="50"/>
        <cfvo type="max"/>
        <color rgb="FF63BE7B"/>
        <color rgb="FFFFEB84"/>
        <color rgb="FFF8696B"/>
      </colorScale>
    </cfRule>
    <cfRule type="colorScale" priority="10324">
      <colorScale>
        <cfvo type="min"/>
        <cfvo type="percentile" val="50"/>
        <cfvo type="max"/>
        <color rgb="FF63BE7B"/>
        <color rgb="FFFFEB84"/>
        <color rgb="FFF8696B"/>
      </colorScale>
    </cfRule>
    <cfRule type="colorScale" priority="10323">
      <colorScale>
        <cfvo type="min"/>
        <cfvo type="percentile" val="50"/>
        <cfvo type="max"/>
        <color rgb="FF63BE7B"/>
        <color rgb="FFFFEB84"/>
        <color rgb="FFF8696B"/>
      </colorScale>
    </cfRule>
    <cfRule type="colorScale" priority="10343">
      <colorScale>
        <cfvo type="min"/>
        <cfvo type="percentile" val="50"/>
        <cfvo type="max"/>
        <color rgb="FF63BE7B"/>
        <color rgb="FFFFEB84"/>
        <color rgb="FFF8696B"/>
      </colorScale>
    </cfRule>
    <cfRule type="colorScale" priority="13165">
      <colorScale>
        <cfvo type="min"/>
        <cfvo type="percentile" val="50"/>
        <cfvo type="max"/>
        <color rgb="FF63BE7B"/>
        <color rgb="FFFFEB84"/>
        <color rgb="FFF8696B"/>
      </colorScale>
    </cfRule>
    <cfRule type="colorScale" priority="10317">
      <colorScale>
        <cfvo type="min"/>
        <cfvo type="percentile" val="50"/>
        <cfvo type="max"/>
        <color rgb="FF63BE7B"/>
        <color rgb="FFFFEB84"/>
        <color rgb="FFF8696B"/>
      </colorScale>
    </cfRule>
    <cfRule type="colorScale" priority="13164">
      <colorScale>
        <cfvo type="min"/>
        <cfvo type="percentile" val="50"/>
        <cfvo type="max"/>
        <color rgb="FF63BE7B"/>
        <color rgb="FFFFEB84"/>
        <color rgb="FFF8696B"/>
      </colorScale>
    </cfRule>
    <cfRule type="colorScale" priority="13163">
      <colorScale>
        <cfvo type="min"/>
        <cfvo type="percentile" val="50"/>
        <cfvo type="max"/>
        <color rgb="FF63BE7B"/>
        <color rgb="FFFFEB84"/>
        <color rgb="FFF8696B"/>
      </colorScale>
    </cfRule>
    <cfRule type="colorScale" priority="11185">
      <colorScale>
        <cfvo type="min"/>
        <cfvo type="percentile" val="50"/>
        <cfvo type="max"/>
        <color rgb="FF63BE7B"/>
        <color rgb="FFFFEB84"/>
        <color rgb="FFF8696B"/>
      </colorScale>
    </cfRule>
    <cfRule type="colorScale" priority="10321">
      <colorScale>
        <cfvo type="min"/>
        <cfvo type="percentile" val="50"/>
        <cfvo type="max"/>
        <color rgb="FF63BE7B"/>
        <color rgb="FFFFEB84"/>
        <color rgb="FFF8696B"/>
      </colorScale>
    </cfRule>
  </conditionalFormatting>
  <conditionalFormatting sqref="P36:P37">
    <cfRule type="colorScale" priority="10331">
      <colorScale>
        <cfvo type="min"/>
        <cfvo type="percentile" val="50"/>
        <cfvo type="max"/>
        <color rgb="FF63BE7B"/>
        <color rgb="FFFFEB84"/>
        <color rgb="FFF8696B"/>
      </colorScale>
    </cfRule>
  </conditionalFormatting>
  <conditionalFormatting sqref="P36:P41">
    <cfRule type="colorScale" priority="10341">
      <colorScale>
        <cfvo type="min"/>
        <cfvo type="percentile" val="50"/>
        <cfvo type="max"/>
        <color rgb="FF63BE7B"/>
        <color rgb="FFFFEB84"/>
        <color rgb="FFF8696B"/>
      </colorScale>
    </cfRule>
    <cfRule type="colorScale" priority="13166">
      <colorScale>
        <cfvo type="min"/>
        <cfvo type="percentile" val="50"/>
        <cfvo type="max"/>
        <color rgb="FF63BE7B"/>
        <color rgb="FFFFEB84"/>
        <color rgb="FFF8696B"/>
      </colorScale>
    </cfRule>
  </conditionalFormatting>
  <conditionalFormatting sqref="P42:P50">
    <cfRule type="colorScale" priority="7460">
      <colorScale>
        <cfvo type="min"/>
        <cfvo type="percentile" val="50"/>
        <cfvo type="max"/>
        <color rgb="FF63BE7B"/>
        <color rgb="FFFFEB84"/>
        <color rgb="FFF8696B"/>
      </colorScale>
    </cfRule>
  </conditionalFormatting>
  <conditionalFormatting sqref="P51:P53">
    <cfRule type="colorScale" priority="4498">
      <colorScale>
        <cfvo type="min"/>
        <cfvo type="percentile" val="50"/>
        <cfvo type="max"/>
        <color rgb="FF63BE7B"/>
        <color rgb="FFFFEB84"/>
        <color rgb="FFF8696B"/>
      </colorScale>
    </cfRule>
    <cfRule type="colorScale" priority="4499">
      <colorScale>
        <cfvo type="min"/>
        <cfvo type="percentile" val="50"/>
        <cfvo type="max"/>
        <color rgb="FF63BE7B"/>
        <color rgb="FFFFEB84"/>
        <color rgb="FFF8696B"/>
      </colorScale>
    </cfRule>
    <cfRule type="colorScale" priority="12920">
      <colorScale>
        <cfvo type="min"/>
        <cfvo type="percentile" val="50"/>
        <cfvo type="max"/>
        <color rgb="FF63BE7B"/>
        <color rgb="FFFFEB84"/>
        <color rgb="FFF8696B"/>
      </colorScale>
    </cfRule>
    <cfRule type="colorScale" priority="12921">
      <colorScale>
        <cfvo type="min"/>
        <cfvo type="percentile" val="50"/>
        <cfvo type="max"/>
        <color rgb="FF63BE7B"/>
        <color rgb="FFFFEB84"/>
        <color rgb="FFF8696B"/>
      </colorScale>
    </cfRule>
    <cfRule type="colorScale" priority="12807">
      <colorScale>
        <cfvo type="min"/>
        <cfvo type="percentile" val="50"/>
        <cfvo type="max"/>
        <color rgb="FF63BE7B"/>
        <color rgb="FFFFEB84"/>
        <color rgb="FFF8696B"/>
      </colorScale>
    </cfRule>
    <cfRule type="colorScale" priority="12806">
      <colorScale>
        <cfvo type="min"/>
        <cfvo type="percentile" val="50"/>
        <cfvo type="max"/>
        <color rgb="FF63BE7B"/>
        <color rgb="FFFFEB84"/>
        <color rgb="FFF8696B"/>
      </colorScale>
    </cfRule>
    <cfRule type="colorScale" priority="4471">
      <colorScale>
        <cfvo type="min"/>
        <cfvo type="percentile" val="50"/>
        <cfvo type="max"/>
        <color rgb="FF63BE7B"/>
        <color rgb="FFFFEB84"/>
        <color rgb="FFF8696B"/>
      </colorScale>
    </cfRule>
    <cfRule type="colorScale" priority="12804">
      <colorScale>
        <cfvo type="min"/>
        <cfvo type="percentile" val="50"/>
        <cfvo type="max"/>
        <color rgb="FF63BE7B"/>
        <color rgb="FFFFEB84"/>
        <color rgb="FFF8696B"/>
      </colorScale>
    </cfRule>
  </conditionalFormatting>
  <conditionalFormatting sqref="P52:P53">
    <cfRule type="colorScale" priority="4496">
      <colorScale>
        <cfvo type="min"/>
        <cfvo type="percentile" val="50"/>
        <cfvo type="max"/>
        <color rgb="FF63BE7B"/>
        <color rgb="FFFFEB84"/>
        <color rgb="FFF8696B"/>
      </colorScale>
    </cfRule>
    <cfRule type="colorScale" priority="4497">
      <colorScale>
        <cfvo type="min"/>
        <cfvo type="percentile" val="50"/>
        <cfvo type="max"/>
        <color rgb="FF63BE7B"/>
        <color rgb="FFFFEB84"/>
        <color rgb="FFF8696B"/>
      </colorScale>
    </cfRule>
    <cfRule type="colorScale" priority="6374">
      <colorScale>
        <cfvo type="min"/>
        <cfvo type="percentile" val="50"/>
        <cfvo type="max"/>
        <color rgb="FF63BE7B"/>
        <color rgb="FFFFEB84"/>
        <color rgb="FFF8696B"/>
      </colorScale>
    </cfRule>
    <cfRule type="colorScale" priority="6373">
      <colorScale>
        <cfvo type="min"/>
        <cfvo type="percentile" val="50"/>
        <cfvo type="max"/>
        <color rgb="FF63BE7B"/>
        <color rgb="FFFFEB84"/>
        <color rgb="FFF8696B"/>
      </colorScale>
    </cfRule>
    <cfRule type="colorScale" priority="6372">
      <colorScale>
        <cfvo type="min"/>
        <cfvo type="percentile" val="50"/>
        <cfvo type="max"/>
        <color rgb="FF63BE7B"/>
        <color rgb="FFFFEB84"/>
        <color rgb="FFF8696B"/>
      </colorScale>
    </cfRule>
    <cfRule type="colorScale" priority="6987">
      <colorScale>
        <cfvo type="min"/>
        <cfvo type="percentile" val="50"/>
        <cfvo type="max"/>
        <color rgb="FF63BE7B"/>
        <color rgb="FFFFEB84"/>
        <color rgb="FFF8696B"/>
      </colorScale>
    </cfRule>
    <cfRule type="colorScale" priority="6986">
      <colorScale>
        <cfvo type="min"/>
        <cfvo type="percentile" val="50"/>
        <cfvo type="max"/>
        <color rgb="FF63BE7B"/>
        <color rgb="FFFFEB84"/>
        <color rgb="FFF8696B"/>
      </colorScale>
    </cfRule>
    <cfRule type="colorScale" priority="6985">
      <colorScale>
        <cfvo type="min"/>
        <cfvo type="percentile" val="50"/>
        <cfvo type="max"/>
        <color rgb="FF63BE7B"/>
        <color rgb="FFFFEB84"/>
        <color rgb="FFF8696B"/>
      </colorScale>
    </cfRule>
    <cfRule type="colorScale" priority="6984">
      <colorScale>
        <cfvo type="min"/>
        <cfvo type="percentile" val="50"/>
        <cfvo type="max"/>
        <color rgb="FF63BE7B"/>
        <color rgb="FFFFEB84"/>
        <color rgb="FFF8696B"/>
      </colorScale>
    </cfRule>
    <cfRule type="colorScale" priority="6983">
      <colorScale>
        <cfvo type="min"/>
        <cfvo type="percentile" val="50"/>
        <cfvo type="max"/>
        <color rgb="FF63BE7B"/>
        <color rgb="FFFFEB84"/>
        <color rgb="FFF8696B"/>
      </colorScale>
    </cfRule>
    <cfRule type="colorScale" priority="6982">
      <colorScale>
        <cfvo type="min"/>
        <cfvo type="percentile" val="50"/>
        <cfvo type="max"/>
        <color rgb="FF63BE7B"/>
        <color rgb="FFFFEB84"/>
        <color rgb="FFF8696B"/>
      </colorScale>
    </cfRule>
    <cfRule type="colorScale" priority="6981">
      <colorScale>
        <cfvo type="min"/>
        <cfvo type="percentile" val="50"/>
        <cfvo type="max"/>
        <color rgb="FF63BE7B"/>
        <color rgb="FFFFEB84"/>
        <color rgb="FFF8696B"/>
      </colorScale>
    </cfRule>
    <cfRule type="colorScale" priority="6980">
      <colorScale>
        <cfvo type="min"/>
        <cfvo type="percentile" val="50"/>
        <cfvo type="max"/>
        <color rgb="FF63BE7B"/>
        <color rgb="FFFFEB84"/>
        <color rgb="FFF8696B"/>
      </colorScale>
    </cfRule>
    <cfRule type="colorScale" priority="6979">
      <colorScale>
        <cfvo type="min"/>
        <cfvo type="percentile" val="50"/>
        <cfvo type="max"/>
        <color rgb="FF63BE7B"/>
        <color rgb="FFFFEB84"/>
        <color rgb="FFF8696B"/>
      </colorScale>
    </cfRule>
    <cfRule type="colorScale" priority="4490">
      <colorScale>
        <cfvo type="min"/>
        <cfvo type="percentile" val="50"/>
        <cfvo type="max"/>
        <color rgb="FF63BE7B"/>
        <color rgb="FFFFEB84"/>
        <color rgb="FFF8696B"/>
      </colorScale>
    </cfRule>
    <cfRule type="colorScale" priority="4489">
      <colorScale>
        <cfvo type="min"/>
        <cfvo type="percentile" val="50"/>
        <cfvo type="max"/>
        <color rgb="FF63BE7B"/>
        <color rgb="FFFFEB84"/>
        <color rgb="FFF8696B"/>
      </colorScale>
    </cfRule>
    <cfRule type="colorScale" priority="4488">
      <colorScale>
        <cfvo type="min"/>
        <cfvo type="percentile" val="50"/>
        <cfvo type="max"/>
        <color rgb="FF63BE7B"/>
        <color rgb="FFFFEB84"/>
        <color rgb="FFF8696B"/>
      </colorScale>
    </cfRule>
    <cfRule type="colorScale" priority="4487">
      <colorScale>
        <cfvo type="min"/>
        <cfvo type="percentile" val="50"/>
        <cfvo type="max"/>
        <color rgb="FF63BE7B"/>
        <color rgb="FFFFEB84"/>
        <color rgb="FFF8696B"/>
      </colorScale>
    </cfRule>
    <cfRule type="colorScale" priority="4486">
      <colorScale>
        <cfvo type="min"/>
        <cfvo type="percentile" val="50"/>
        <cfvo type="max"/>
        <color rgb="FF63BE7B"/>
        <color rgb="FFFFEB84"/>
        <color rgb="FFF8696B"/>
      </colorScale>
    </cfRule>
    <cfRule type="colorScale" priority="4485">
      <colorScale>
        <cfvo type="min"/>
        <cfvo type="percentile" val="50"/>
        <cfvo type="max"/>
        <color rgb="FF63BE7B"/>
        <color rgb="FFFFEB84"/>
        <color rgb="FFF8696B"/>
      </colorScale>
    </cfRule>
    <cfRule type="colorScale" priority="4484">
      <colorScale>
        <cfvo type="min"/>
        <cfvo type="percentile" val="50"/>
        <cfvo type="max"/>
        <color rgb="FF63BE7B"/>
        <color rgb="FFFFEB84"/>
        <color rgb="FFF8696B"/>
      </colorScale>
    </cfRule>
    <cfRule type="colorScale" priority="4483">
      <colorScale>
        <cfvo type="min"/>
        <cfvo type="percentile" val="50"/>
        <cfvo type="max"/>
        <color rgb="FF63BE7B"/>
        <color rgb="FFFFEB84"/>
        <color rgb="FFF8696B"/>
      </colorScale>
    </cfRule>
    <cfRule type="colorScale" priority="4482">
      <colorScale>
        <cfvo type="min"/>
        <cfvo type="percentile" val="50"/>
        <cfvo type="max"/>
        <color rgb="FF63BE7B"/>
        <color rgb="FFFFEB84"/>
        <color rgb="FFF8696B"/>
      </colorScale>
    </cfRule>
    <cfRule type="colorScale" priority="4481">
      <colorScale>
        <cfvo type="min"/>
        <cfvo type="percentile" val="50"/>
        <cfvo type="max"/>
        <color rgb="FF63BE7B"/>
        <color rgb="FFFFEB84"/>
        <color rgb="FFF8696B"/>
      </colorScale>
    </cfRule>
    <cfRule type="colorScale" priority="6377">
      <colorScale>
        <cfvo type="min"/>
        <cfvo type="percentile" val="50"/>
        <cfvo type="max"/>
        <color rgb="FF63BE7B"/>
        <color rgb="FFFFEB84"/>
        <color rgb="FFF8696B"/>
      </colorScale>
    </cfRule>
    <cfRule type="colorScale" priority="6378">
      <colorScale>
        <cfvo type="min"/>
        <cfvo type="percentile" val="50"/>
        <cfvo type="max"/>
        <color rgb="FF63BE7B"/>
        <color rgb="FFFFEB84"/>
        <color rgb="FFF8696B"/>
      </colorScale>
    </cfRule>
    <cfRule type="colorScale" priority="6379">
      <colorScale>
        <cfvo type="min"/>
        <cfvo type="percentile" val="50"/>
        <cfvo type="max"/>
        <color rgb="FF63BE7B"/>
        <color rgb="FFFFEB84"/>
        <color rgb="FFF8696B"/>
      </colorScale>
    </cfRule>
    <cfRule type="colorScale" priority="6380">
      <colorScale>
        <cfvo type="min"/>
        <cfvo type="percentile" val="50"/>
        <cfvo type="max"/>
        <color rgb="FF63BE7B"/>
        <color rgb="FFFFEB84"/>
        <color rgb="FFF8696B"/>
      </colorScale>
    </cfRule>
    <cfRule type="colorScale" priority="6381">
      <colorScale>
        <cfvo type="min"/>
        <cfvo type="percentile" val="50"/>
        <cfvo type="max"/>
        <color rgb="FF63BE7B"/>
        <color rgb="FFFFEB84"/>
        <color rgb="FFF8696B"/>
      </colorScale>
    </cfRule>
    <cfRule type="colorScale" priority="6382">
      <colorScale>
        <cfvo type="min"/>
        <cfvo type="percentile" val="50"/>
        <cfvo type="max"/>
        <color rgb="FF63BE7B"/>
        <color rgb="FFFFEB84"/>
        <color rgb="FFF8696B"/>
      </colorScale>
    </cfRule>
    <cfRule type="colorScale" priority="6383">
      <colorScale>
        <cfvo type="min"/>
        <cfvo type="percentile" val="50"/>
        <cfvo type="max"/>
        <color rgb="FF63BE7B"/>
        <color rgb="FFFFEB84"/>
        <color rgb="FFF8696B"/>
      </colorScale>
    </cfRule>
    <cfRule type="colorScale" priority="6384">
      <colorScale>
        <cfvo type="min"/>
        <cfvo type="percentile" val="50"/>
        <cfvo type="max"/>
        <color rgb="FF63BE7B"/>
        <color rgb="FFFFEB84"/>
        <color rgb="FFF8696B"/>
      </colorScale>
    </cfRule>
    <cfRule type="colorScale" priority="4472">
      <colorScale>
        <cfvo type="min"/>
        <cfvo type="percentile" val="50"/>
        <cfvo type="max"/>
        <color rgb="FF63BE7B"/>
        <color rgb="FFFFEB84"/>
        <color rgb="FFF8696B"/>
      </colorScale>
    </cfRule>
    <cfRule type="colorScale" priority="4473">
      <colorScale>
        <cfvo type="min"/>
        <cfvo type="percentile" val="50"/>
        <cfvo type="max"/>
        <color rgb="FF63BE7B"/>
        <color rgb="FFFFEB84"/>
        <color rgb="FFF8696B"/>
      </colorScale>
    </cfRule>
    <cfRule type="colorScale" priority="7222">
      <colorScale>
        <cfvo type="min"/>
        <cfvo type="percentile" val="50"/>
        <cfvo type="max"/>
        <color rgb="FF63BE7B"/>
        <color rgb="FFFFEB84"/>
        <color rgb="FFF8696B"/>
      </colorScale>
    </cfRule>
    <cfRule type="colorScale" priority="4479">
      <colorScale>
        <cfvo type="min"/>
        <cfvo type="percentile" val="50"/>
        <cfvo type="max"/>
        <color rgb="FF63BE7B"/>
        <color rgb="FFFFEB84"/>
        <color rgb="FFF8696B"/>
      </colorScale>
    </cfRule>
    <cfRule type="colorScale" priority="4474">
      <colorScale>
        <cfvo type="min"/>
        <cfvo type="percentile" val="50"/>
        <cfvo type="max"/>
        <color rgb="FF63BE7B"/>
        <color rgb="FFFFEB84"/>
        <color rgb="FFF8696B"/>
      </colorScale>
    </cfRule>
    <cfRule type="colorScale" priority="4475">
      <colorScale>
        <cfvo type="min"/>
        <cfvo type="percentile" val="50"/>
        <cfvo type="max"/>
        <color rgb="FF63BE7B"/>
        <color rgb="FFFFEB84"/>
        <color rgb="FFF8696B"/>
      </colorScale>
    </cfRule>
    <cfRule type="colorScale" priority="4476">
      <colorScale>
        <cfvo type="min"/>
        <cfvo type="percentile" val="50"/>
        <cfvo type="max"/>
        <color rgb="FF63BE7B"/>
        <color rgb="FFFFEB84"/>
        <color rgb="FFF8696B"/>
      </colorScale>
    </cfRule>
    <cfRule type="colorScale" priority="4477">
      <colorScale>
        <cfvo type="min"/>
        <cfvo type="percentile" val="50"/>
        <cfvo type="max"/>
        <color rgb="FF63BE7B"/>
        <color rgb="FFFFEB84"/>
        <color rgb="FFF8696B"/>
      </colorScale>
    </cfRule>
    <cfRule type="colorScale" priority="4478">
      <colorScale>
        <cfvo type="min"/>
        <cfvo type="percentile" val="50"/>
        <cfvo type="max"/>
        <color rgb="FF63BE7B"/>
        <color rgb="FFFFEB84"/>
        <color rgb="FFF8696B"/>
      </colorScale>
    </cfRule>
    <cfRule type="colorScale" priority="7223">
      <colorScale>
        <cfvo type="min"/>
        <cfvo type="percentile" val="50"/>
        <cfvo type="max"/>
        <color rgb="FF63BE7B"/>
        <color rgb="FFFFEB84"/>
        <color rgb="FFF8696B"/>
      </colorScale>
    </cfRule>
    <cfRule type="colorScale" priority="7221">
      <colorScale>
        <cfvo type="min"/>
        <cfvo type="percentile" val="50"/>
        <cfvo type="max"/>
        <color rgb="FF63BE7B"/>
        <color rgb="FFFFEB84"/>
        <color rgb="FFF8696B"/>
      </colorScale>
    </cfRule>
    <cfRule type="colorScale" priority="7220">
      <colorScale>
        <cfvo type="min"/>
        <cfvo type="percentile" val="50"/>
        <cfvo type="max"/>
        <color rgb="FF63BE7B"/>
        <color rgb="FFFFEB84"/>
        <color rgb="FFF8696B"/>
      </colorScale>
    </cfRule>
    <cfRule type="colorScale" priority="6376">
      <colorScale>
        <cfvo type="min"/>
        <cfvo type="percentile" val="50"/>
        <cfvo type="max"/>
        <color rgb="FF63BE7B"/>
        <color rgb="FFFFEB84"/>
        <color rgb="FFF8696B"/>
      </colorScale>
    </cfRule>
    <cfRule type="colorScale" priority="6385">
      <colorScale>
        <cfvo type="min"/>
        <cfvo type="percentile" val="50"/>
        <cfvo type="max"/>
        <color rgb="FF63BE7B"/>
        <color rgb="FFFFEB84"/>
        <color rgb="FFF8696B"/>
      </colorScale>
    </cfRule>
    <cfRule type="colorScale" priority="6386">
      <colorScale>
        <cfvo type="min"/>
        <cfvo type="percentile" val="50"/>
        <cfvo type="max"/>
        <color rgb="FF63BE7B"/>
        <color rgb="FFFFEB84"/>
        <color rgb="FFF8696B"/>
      </colorScale>
    </cfRule>
    <cfRule type="colorScale" priority="6375">
      <colorScale>
        <cfvo type="min"/>
        <cfvo type="percentile" val="50"/>
        <cfvo type="max"/>
        <color rgb="FF63BE7B"/>
        <color rgb="FFFFEB84"/>
        <color rgb="FFF8696B"/>
      </colorScale>
    </cfRule>
    <cfRule type="colorScale" priority="4491">
      <colorScale>
        <cfvo type="min"/>
        <cfvo type="percentile" val="50"/>
        <cfvo type="max"/>
        <color rgb="FF63BE7B"/>
        <color rgb="FFFFEB84"/>
        <color rgb="FFF8696B"/>
      </colorScale>
    </cfRule>
    <cfRule type="colorScale" priority="4492">
      <colorScale>
        <cfvo type="min"/>
        <cfvo type="percentile" val="50"/>
        <cfvo type="max"/>
        <color rgb="FF63BE7B"/>
        <color rgb="FFFFEB84"/>
        <color rgb="FFF8696B"/>
      </colorScale>
    </cfRule>
    <cfRule type="colorScale" priority="4493">
      <colorScale>
        <cfvo type="min"/>
        <cfvo type="percentile" val="50"/>
        <cfvo type="max"/>
        <color rgb="FF63BE7B"/>
        <color rgb="FFFFEB84"/>
        <color rgb="FFF8696B"/>
      </colorScale>
    </cfRule>
    <cfRule type="colorScale" priority="4494">
      <colorScale>
        <cfvo type="min"/>
        <cfvo type="percentile" val="50"/>
        <cfvo type="max"/>
        <color rgb="FF63BE7B"/>
        <color rgb="FFFFEB84"/>
        <color rgb="FFF8696B"/>
      </colorScale>
    </cfRule>
    <cfRule type="colorScale" priority="4495">
      <colorScale>
        <cfvo type="min"/>
        <cfvo type="percentile" val="50"/>
        <cfvo type="max"/>
        <color rgb="FF63BE7B"/>
        <color rgb="FFFFEB84"/>
        <color rgb="FFF8696B"/>
      </colorScale>
    </cfRule>
    <cfRule type="colorScale" priority="6371">
      <colorScale>
        <cfvo type="min"/>
        <cfvo type="percentile" val="50"/>
        <cfvo type="max"/>
        <color rgb="FF63BE7B"/>
        <color rgb="FFFFEB84"/>
        <color rgb="FFF8696B"/>
      </colorScale>
    </cfRule>
    <cfRule type="colorScale" priority="6370">
      <colorScale>
        <cfvo type="min"/>
        <cfvo type="percentile" val="50"/>
        <cfvo type="max"/>
        <color rgb="FF63BE7B"/>
        <color rgb="FFFFEB84"/>
        <color rgb="FFF8696B"/>
      </colorScale>
    </cfRule>
    <cfRule type="colorScale" priority="6369">
      <colorScale>
        <cfvo type="min"/>
        <cfvo type="percentile" val="50"/>
        <cfvo type="max"/>
        <color rgb="FF63BE7B"/>
        <color rgb="FFFFEB84"/>
        <color rgb="FFF8696B"/>
      </colorScale>
    </cfRule>
    <cfRule type="colorScale" priority="6368">
      <colorScale>
        <cfvo type="min"/>
        <cfvo type="percentile" val="50"/>
        <cfvo type="max"/>
        <color rgb="FF63BE7B"/>
        <color rgb="FFFFEB84"/>
        <color rgb="FFF8696B"/>
      </colorScale>
    </cfRule>
    <cfRule type="colorScale" priority="4480">
      <colorScale>
        <cfvo type="min"/>
        <cfvo type="percentile" val="50"/>
        <cfvo type="max"/>
        <color rgb="FF63BE7B"/>
        <color rgb="FFFFEB84"/>
        <color rgb="FFF8696B"/>
      </colorScale>
    </cfRule>
  </conditionalFormatting>
  <conditionalFormatting sqref="P53">
    <cfRule type="colorScale" priority="12805">
      <colorScale>
        <cfvo type="min"/>
        <cfvo type="percentile" val="50"/>
        <cfvo type="max"/>
        <color rgb="FF63BE7B"/>
        <color rgb="FFFFEB84"/>
        <color rgb="FFF8696B"/>
      </colorScale>
    </cfRule>
  </conditionalFormatting>
  <conditionalFormatting sqref="P54:P61">
    <cfRule type="colorScale" priority="60">
      <colorScale>
        <cfvo type="min"/>
        <cfvo type="percentile" val="50"/>
        <cfvo type="max"/>
        <color rgb="FF63BE7B"/>
        <color rgb="FFFFEB84"/>
        <color rgb="FFF8696B"/>
      </colorScale>
    </cfRule>
    <cfRule type="colorScale" priority="43">
      <colorScale>
        <cfvo type="min"/>
        <cfvo type="percentile" val="50"/>
        <cfvo type="max"/>
        <color rgb="FF63BE7B"/>
        <color rgb="FFFFEB84"/>
        <color rgb="FFF8696B"/>
      </colorScale>
    </cfRule>
  </conditionalFormatting>
  <conditionalFormatting sqref="P65:P71">
    <cfRule type="colorScale" priority="12547">
      <colorScale>
        <cfvo type="min"/>
        <cfvo type="percentile" val="50"/>
        <cfvo type="max"/>
        <color rgb="FF63BE7B"/>
        <color rgb="FFFFEB84"/>
        <color rgb="FFF8696B"/>
      </colorScale>
    </cfRule>
    <cfRule type="colorScale" priority="12548">
      <colorScale>
        <cfvo type="min"/>
        <cfvo type="percentile" val="50"/>
        <cfvo type="max"/>
        <color rgb="FF63BE7B"/>
        <color rgb="FFFFEB84"/>
        <color rgb="FFF8696B"/>
      </colorScale>
    </cfRule>
    <cfRule type="colorScale" priority="12546">
      <colorScale>
        <cfvo type="min"/>
        <cfvo type="percentile" val="50"/>
        <cfvo type="max"/>
        <color rgb="FF63BE7B"/>
        <color rgb="FFFFEB84"/>
        <color rgb="FFF8696B"/>
      </colorScale>
    </cfRule>
  </conditionalFormatting>
  <conditionalFormatting sqref="P65:P80">
    <cfRule type="colorScale" priority="12594">
      <colorScale>
        <cfvo type="min"/>
        <cfvo type="percentile" val="50"/>
        <cfvo type="max"/>
        <color rgb="FF63BE7B"/>
        <color rgb="FFFFEB84"/>
        <color rgb="FFF8696B"/>
      </colorScale>
    </cfRule>
  </conditionalFormatting>
  <conditionalFormatting sqref="P65:P91">
    <cfRule type="colorScale" priority="12613">
      <colorScale>
        <cfvo type="min"/>
        <cfvo type="percentile" val="50"/>
        <cfvo type="max"/>
        <color rgb="FF63BE7B"/>
        <color rgb="FFFFEB84"/>
        <color rgb="FFF8696B"/>
      </colorScale>
    </cfRule>
  </conditionalFormatting>
  <conditionalFormatting sqref="P66:P71">
    <cfRule type="colorScale" priority="12549">
      <colorScale>
        <cfvo type="min"/>
        <cfvo type="percentile" val="50"/>
        <cfvo type="max"/>
        <color rgb="FF63BE7B"/>
        <color rgb="FFFFEB84"/>
        <color rgb="FFF8696B"/>
      </colorScale>
    </cfRule>
  </conditionalFormatting>
  <conditionalFormatting sqref="P72:P80">
    <cfRule type="colorScale" priority="12425">
      <colorScale>
        <cfvo type="min"/>
        <cfvo type="percentile" val="50"/>
        <cfvo type="max"/>
        <color rgb="FF63BE7B"/>
        <color rgb="FFFFEB84"/>
        <color rgb="FFF8696B"/>
      </colorScale>
    </cfRule>
    <cfRule type="colorScale" priority="12424">
      <colorScale>
        <cfvo type="min"/>
        <cfvo type="percentile" val="50"/>
        <cfvo type="max"/>
        <color rgb="FF63BE7B"/>
        <color rgb="FFFFEB84"/>
        <color rgb="FFF8696B"/>
      </colorScale>
    </cfRule>
    <cfRule type="colorScale" priority="12422">
      <colorScale>
        <cfvo type="min"/>
        <cfvo type="percentile" val="50"/>
        <cfvo type="max"/>
        <color rgb="FF63BE7B"/>
        <color rgb="FFFFEB84"/>
        <color rgb="FFF8696B"/>
      </colorScale>
    </cfRule>
    <cfRule type="colorScale" priority="12423">
      <colorScale>
        <cfvo type="min"/>
        <cfvo type="percentile" val="50"/>
        <cfvo type="max"/>
        <color rgb="FF63BE7B"/>
        <color rgb="FFFFEB84"/>
        <color rgb="FFF8696B"/>
      </colorScale>
    </cfRule>
  </conditionalFormatting>
  <conditionalFormatting sqref="P81:P83">
    <cfRule type="colorScale" priority="12305">
      <colorScale>
        <cfvo type="min"/>
        <cfvo type="percentile" val="50"/>
        <cfvo type="max"/>
        <color rgb="FF63BE7B"/>
        <color rgb="FFFFEB84"/>
        <color rgb="FFF8696B"/>
      </colorScale>
    </cfRule>
    <cfRule type="colorScale" priority="12306">
      <colorScale>
        <cfvo type="min"/>
        <cfvo type="percentile" val="50"/>
        <cfvo type="max"/>
        <color rgb="FF63BE7B"/>
        <color rgb="FFFFEB84"/>
        <color rgb="FFF8696B"/>
      </colorScale>
    </cfRule>
  </conditionalFormatting>
  <conditionalFormatting sqref="P81:P91">
    <cfRule type="colorScale" priority="12193">
      <colorScale>
        <cfvo type="min"/>
        <cfvo type="percentile" val="50"/>
        <cfvo type="max"/>
        <color rgb="FF63BE7B"/>
        <color rgb="FFFFEB84"/>
        <color rgb="FFF8696B"/>
      </colorScale>
    </cfRule>
    <cfRule type="colorScale" priority="12190">
      <colorScale>
        <cfvo type="min"/>
        <cfvo type="percentile" val="50"/>
        <cfvo type="max"/>
        <color rgb="FF63BE7B"/>
        <color rgb="FFFFEB84"/>
        <color rgb="FFF8696B"/>
      </colorScale>
    </cfRule>
    <cfRule type="colorScale" priority="12192">
      <colorScale>
        <cfvo type="min"/>
        <cfvo type="percentile" val="50"/>
        <cfvo type="max"/>
        <color rgb="FF63BE7B"/>
        <color rgb="FFFFEB84"/>
        <color rgb="FFF8696B"/>
      </colorScale>
    </cfRule>
  </conditionalFormatting>
  <conditionalFormatting sqref="P84:P91">
    <cfRule type="colorScale" priority="12153">
      <colorScale>
        <cfvo type="min"/>
        <cfvo type="percentile" val="50"/>
        <cfvo type="max"/>
        <color rgb="FF63BE7B"/>
        <color rgb="FFFFEB84"/>
        <color rgb="FFF8696B"/>
      </colorScale>
    </cfRule>
    <cfRule type="colorScale" priority="12154">
      <colorScale>
        <cfvo type="min"/>
        <cfvo type="percentile" val="50"/>
        <cfvo type="max"/>
        <color rgb="FF63BE7B"/>
        <color rgb="FFFFEB84"/>
        <color rgb="FFF8696B"/>
      </colorScale>
    </cfRule>
    <cfRule type="colorScale" priority="12151">
      <colorScale>
        <cfvo type="min"/>
        <cfvo type="percentile" val="50"/>
        <cfvo type="max"/>
        <color rgb="FF63BE7B"/>
        <color rgb="FFFFEB84"/>
        <color rgb="FFF8696B"/>
      </colorScale>
    </cfRule>
  </conditionalFormatting>
  <conditionalFormatting sqref="P86">
    <cfRule type="colorScale" priority="12152">
      <colorScale>
        <cfvo type="min"/>
        <cfvo type="percentile" val="50"/>
        <cfvo type="max"/>
        <color rgb="FF63BE7B"/>
        <color rgb="FFFFEB84"/>
        <color rgb="FFF8696B"/>
      </colorScale>
    </cfRule>
  </conditionalFormatting>
  <conditionalFormatting sqref="P91 P83">
    <cfRule type="colorScale" priority="12191">
      <colorScale>
        <cfvo type="min"/>
        <cfvo type="percentile" val="50"/>
        <cfvo type="max"/>
        <color rgb="FF63BE7B"/>
        <color rgb="FFFFEB84"/>
        <color rgb="FFF8696B"/>
      </colorScale>
    </cfRule>
  </conditionalFormatting>
  <conditionalFormatting sqref="P96:P102">
    <cfRule type="colorScale" priority="11940">
      <colorScale>
        <cfvo type="min"/>
        <cfvo type="percentile" val="50"/>
        <cfvo type="max"/>
        <color rgb="FF63BE7B"/>
        <color rgb="FFFFEB84"/>
        <color rgb="FFF8696B"/>
      </colorScale>
    </cfRule>
    <cfRule type="colorScale" priority="11941">
      <colorScale>
        <cfvo type="min"/>
        <cfvo type="percentile" val="50"/>
        <cfvo type="max"/>
        <color rgb="FF63BE7B"/>
        <color rgb="FFFFEB84"/>
        <color rgb="FFF8696B"/>
      </colorScale>
    </cfRule>
    <cfRule type="colorScale" priority="11942">
      <colorScale>
        <cfvo type="min"/>
        <cfvo type="percentile" val="50"/>
        <cfvo type="max"/>
        <color rgb="FF63BE7B"/>
        <color rgb="FFFFEB84"/>
        <color rgb="FFF8696B"/>
      </colorScale>
    </cfRule>
  </conditionalFormatting>
  <conditionalFormatting sqref="P96:P111">
    <cfRule type="colorScale" priority="11988">
      <colorScale>
        <cfvo type="min"/>
        <cfvo type="percentile" val="50"/>
        <cfvo type="max"/>
        <color rgb="FF63BE7B"/>
        <color rgb="FFFFEB84"/>
        <color rgb="FFF8696B"/>
      </colorScale>
    </cfRule>
  </conditionalFormatting>
  <conditionalFormatting sqref="P96:P122">
    <cfRule type="colorScale" priority="12007">
      <colorScale>
        <cfvo type="min"/>
        <cfvo type="percentile" val="50"/>
        <cfvo type="max"/>
        <color rgb="FF63BE7B"/>
        <color rgb="FFFFEB84"/>
        <color rgb="FFF8696B"/>
      </colorScale>
    </cfRule>
  </conditionalFormatting>
  <conditionalFormatting sqref="P97:P102">
    <cfRule type="colorScale" priority="11943">
      <colorScale>
        <cfvo type="min"/>
        <cfvo type="percentile" val="50"/>
        <cfvo type="max"/>
        <color rgb="FF63BE7B"/>
        <color rgb="FFFFEB84"/>
        <color rgb="FFF8696B"/>
      </colorScale>
    </cfRule>
  </conditionalFormatting>
  <conditionalFormatting sqref="P103:P111">
    <cfRule type="colorScale" priority="11817">
      <colorScale>
        <cfvo type="min"/>
        <cfvo type="percentile" val="50"/>
        <cfvo type="max"/>
        <color rgb="FF63BE7B"/>
        <color rgb="FFFFEB84"/>
        <color rgb="FFF8696B"/>
      </colorScale>
    </cfRule>
    <cfRule type="colorScale" priority="11816">
      <colorScale>
        <cfvo type="min"/>
        <cfvo type="percentile" val="50"/>
        <cfvo type="max"/>
        <color rgb="FF63BE7B"/>
        <color rgb="FFFFEB84"/>
        <color rgb="FFF8696B"/>
      </colorScale>
    </cfRule>
    <cfRule type="colorScale" priority="11819">
      <colorScale>
        <cfvo type="min"/>
        <cfvo type="percentile" val="50"/>
        <cfvo type="max"/>
        <color rgb="FF63BE7B"/>
        <color rgb="FFFFEB84"/>
        <color rgb="FFF8696B"/>
      </colorScale>
    </cfRule>
    <cfRule type="colorScale" priority="11818">
      <colorScale>
        <cfvo type="min"/>
        <cfvo type="percentile" val="50"/>
        <cfvo type="max"/>
        <color rgb="FF63BE7B"/>
        <color rgb="FFFFEB84"/>
        <color rgb="FFF8696B"/>
      </colorScale>
    </cfRule>
  </conditionalFormatting>
  <conditionalFormatting sqref="P112:P114">
    <cfRule type="colorScale" priority="11703">
      <colorScale>
        <cfvo type="min"/>
        <cfvo type="percentile" val="50"/>
        <cfvo type="max"/>
        <color rgb="FF63BE7B"/>
        <color rgb="FFFFEB84"/>
        <color rgb="FFF8696B"/>
      </colorScale>
    </cfRule>
    <cfRule type="colorScale" priority="11702">
      <colorScale>
        <cfvo type="min"/>
        <cfvo type="percentile" val="50"/>
        <cfvo type="max"/>
        <color rgb="FF63BE7B"/>
        <color rgb="FFFFEB84"/>
        <color rgb="FFF8696B"/>
      </colorScale>
    </cfRule>
  </conditionalFormatting>
  <conditionalFormatting sqref="P112:P122">
    <cfRule type="colorScale" priority="11589">
      <colorScale>
        <cfvo type="min"/>
        <cfvo type="percentile" val="50"/>
        <cfvo type="max"/>
        <color rgb="FF63BE7B"/>
        <color rgb="FFFFEB84"/>
        <color rgb="FFF8696B"/>
      </colorScale>
    </cfRule>
    <cfRule type="colorScale" priority="11590">
      <colorScale>
        <cfvo type="min"/>
        <cfvo type="percentile" val="50"/>
        <cfvo type="max"/>
        <color rgb="FF63BE7B"/>
        <color rgb="FFFFEB84"/>
        <color rgb="FFF8696B"/>
      </colorScale>
    </cfRule>
    <cfRule type="colorScale" priority="11587">
      <colorScale>
        <cfvo type="min"/>
        <cfvo type="percentile" val="50"/>
        <cfvo type="max"/>
        <color rgb="FF63BE7B"/>
        <color rgb="FFFFEB84"/>
        <color rgb="FFF8696B"/>
      </colorScale>
    </cfRule>
  </conditionalFormatting>
  <conditionalFormatting sqref="P115:P122">
    <cfRule type="colorScale" priority="11551">
      <colorScale>
        <cfvo type="min"/>
        <cfvo type="percentile" val="50"/>
        <cfvo type="max"/>
        <color rgb="FF63BE7B"/>
        <color rgb="FFFFEB84"/>
        <color rgb="FFF8696B"/>
      </colorScale>
    </cfRule>
    <cfRule type="colorScale" priority="11550">
      <colorScale>
        <cfvo type="min"/>
        <cfvo type="percentile" val="50"/>
        <cfvo type="max"/>
        <color rgb="FF63BE7B"/>
        <color rgb="FFFFEB84"/>
        <color rgb="FFF8696B"/>
      </colorScale>
    </cfRule>
    <cfRule type="colorScale" priority="11548">
      <colorScale>
        <cfvo type="min"/>
        <cfvo type="percentile" val="50"/>
        <cfvo type="max"/>
        <color rgb="FF63BE7B"/>
        <color rgb="FFFFEB84"/>
        <color rgb="FFF8696B"/>
      </colorScale>
    </cfRule>
  </conditionalFormatting>
  <conditionalFormatting sqref="P117">
    <cfRule type="colorScale" priority="11549">
      <colorScale>
        <cfvo type="min"/>
        <cfvo type="percentile" val="50"/>
        <cfvo type="max"/>
        <color rgb="FF63BE7B"/>
        <color rgb="FFFFEB84"/>
        <color rgb="FFF8696B"/>
      </colorScale>
    </cfRule>
  </conditionalFormatting>
  <conditionalFormatting sqref="P122 P114">
    <cfRule type="colorScale" priority="11588">
      <colorScale>
        <cfvo type="min"/>
        <cfvo type="percentile" val="50"/>
        <cfvo type="max"/>
        <color rgb="FF63BE7B"/>
        <color rgb="FFFFEB84"/>
        <color rgb="FFF8696B"/>
      </colorScale>
    </cfRule>
  </conditionalFormatting>
  <conditionalFormatting sqref="Q35:Q37">
    <cfRule type="colorScale" priority="10292">
      <colorScale>
        <cfvo type="min"/>
        <cfvo type="percentile" val="50"/>
        <cfvo type="max"/>
        <color rgb="FF63BE7B"/>
        <color rgb="FFFFEB84"/>
        <color rgb="FFF8696B"/>
      </colorScale>
    </cfRule>
    <cfRule type="colorScale" priority="10305">
      <colorScale>
        <cfvo type="min"/>
        <cfvo type="percentile" val="50"/>
        <cfvo type="max"/>
        <color rgb="FF63BE7B"/>
        <color rgb="FFFFEB84"/>
        <color rgb="FFF8696B"/>
      </colorScale>
    </cfRule>
    <cfRule type="colorScale" priority="11176">
      <colorScale>
        <cfvo type="min"/>
        <cfvo type="percentile" val="50"/>
        <cfvo type="max"/>
        <color rgb="FF63BE7B"/>
        <color rgb="FFFFEB84"/>
        <color rgb="FFF8696B"/>
      </colorScale>
    </cfRule>
    <cfRule type="colorScale" priority="10303">
      <colorScale>
        <cfvo type="min"/>
        <cfvo type="percentile" val="50"/>
        <cfvo type="max"/>
        <color rgb="FF63BE7B"/>
        <color rgb="FFFFEB84"/>
        <color rgb="FFF8696B"/>
      </colorScale>
    </cfRule>
    <cfRule type="colorScale" priority="10302">
      <colorScale>
        <cfvo type="min"/>
        <cfvo type="percentile" val="50"/>
        <cfvo type="max"/>
        <color rgb="FF63BE7B"/>
        <color rgb="FFFFEB84"/>
        <color rgb="FFF8696B"/>
      </colorScale>
    </cfRule>
    <cfRule type="colorScale" priority="10300">
      <colorScale>
        <cfvo type="min"/>
        <cfvo type="percentile" val="50"/>
        <cfvo type="max"/>
        <color rgb="FF63BE7B"/>
        <color rgb="FFFFEB84"/>
        <color rgb="FFF8696B"/>
      </colorScale>
    </cfRule>
    <cfRule type="colorScale" priority="10301">
      <colorScale>
        <cfvo type="min"/>
        <cfvo type="percentile" val="50"/>
        <cfvo type="max"/>
        <color rgb="FF63BE7B"/>
        <color rgb="FFFFEB84"/>
        <color rgb="FFF8696B"/>
      </colorScale>
    </cfRule>
    <cfRule type="colorScale" priority="10306">
      <colorScale>
        <cfvo type="min"/>
        <cfvo type="percentile" val="50"/>
        <cfvo type="max"/>
        <color rgb="FF63BE7B"/>
        <color rgb="FFFFEB84"/>
        <color rgb="FFF8696B"/>
      </colorScale>
    </cfRule>
  </conditionalFormatting>
  <conditionalFormatting sqref="Q35:Q41">
    <cfRule type="colorScale" priority="10315">
      <colorScale>
        <cfvo type="min"/>
        <cfvo type="percentile" val="50"/>
        <cfvo type="max"/>
        <color rgb="FF63BE7B"/>
        <color rgb="FFFFEB84"/>
        <color rgb="FFF8696B"/>
      </colorScale>
    </cfRule>
    <cfRule type="colorScale" priority="10316">
      <colorScale>
        <cfvo type="min"/>
        <cfvo type="percentile" val="50"/>
        <cfvo type="max"/>
        <color rgb="FF63BE7B"/>
        <color rgb="FFFFEB84"/>
        <color rgb="FFF8696B"/>
      </colorScale>
    </cfRule>
    <cfRule type="colorScale" priority="11175">
      <colorScale>
        <cfvo type="min"/>
        <cfvo type="percentile" val="50"/>
        <cfvo type="max"/>
        <color rgb="FF63BE7B"/>
        <color rgb="FFFFEB84"/>
        <color rgb="FFF8696B"/>
      </colorScale>
    </cfRule>
    <cfRule type="colorScale" priority="10299">
      <colorScale>
        <cfvo type="min"/>
        <cfvo type="percentile" val="50"/>
        <cfvo type="max"/>
        <color rgb="FF63BE7B"/>
        <color rgb="FFFFEB84"/>
        <color rgb="FFF8696B"/>
      </colorScale>
    </cfRule>
    <cfRule type="colorScale" priority="13159">
      <colorScale>
        <cfvo type="min"/>
        <cfvo type="percentile" val="50"/>
        <cfvo type="max"/>
        <color rgb="FF63BE7B"/>
        <color rgb="FFFFEB84"/>
        <color rgb="FFF8696B"/>
      </colorScale>
    </cfRule>
    <cfRule type="colorScale" priority="13160">
      <colorScale>
        <cfvo type="min"/>
        <cfvo type="percentile" val="50"/>
        <cfvo type="max"/>
        <color rgb="FF63BE7B"/>
        <color rgb="FFFFEB84"/>
        <color rgb="FFF8696B"/>
      </colorScale>
    </cfRule>
    <cfRule type="colorScale" priority="13161">
      <colorScale>
        <cfvo type="min"/>
        <cfvo type="percentile" val="50"/>
        <cfvo type="max"/>
        <color rgb="FF63BE7B"/>
        <color rgb="FFFFEB84"/>
        <color rgb="FFF8696B"/>
      </colorScale>
    </cfRule>
    <cfRule type="colorScale" priority="11308">
      <colorScale>
        <cfvo type="min"/>
        <cfvo type="percentile" val="50"/>
        <cfvo type="max"/>
        <color rgb="FF63BE7B"/>
        <color rgb="FFFFEB84"/>
        <color rgb="FFF8696B"/>
      </colorScale>
    </cfRule>
    <cfRule type="colorScale" priority="11307">
      <colorScale>
        <cfvo type="min"/>
        <cfvo type="percentile" val="50"/>
        <cfvo type="max"/>
        <color rgb="FF63BE7B"/>
        <color rgb="FFFFEB84"/>
        <color rgb="FFF8696B"/>
      </colorScale>
    </cfRule>
    <cfRule type="colorScale" priority="11306">
      <colorScale>
        <cfvo type="min"/>
        <cfvo type="percentile" val="50"/>
        <cfvo type="max"/>
        <color rgb="FFF8696B"/>
        <color rgb="FFFFEB84"/>
        <color rgb="FF63BE7B"/>
      </colorScale>
    </cfRule>
    <cfRule type="colorScale" priority="10291">
      <colorScale>
        <cfvo type="min"/>
        <cfvo type="percentile" val="50"/>
        <cfvo type="max"/>
        <color rgb="FF63BE7B"/>
        <color rgb="FFFFEB84"/>
        <color rgb="FFF8696B"/>
      </colorScale>
    </cfRule>
    <cfRule type="colorScale" priority="10290">
      <colorScale>
        <cfvo type="min"/>
        <cfvo type="percentile" val="50"/>
        <cfvo type="max"/>
        <color rgb="FF63BE7B"/>
        <color rgb="FFFFEB84"/>
        <color rgb="FFF8696B"/>
      </colorScale>
    </cfRule>
    <cfRule type="colorScale" priority="11178">
      <colorScale>
        <cfvo type="min"/>
        <cfvo type="percentile" val="50"/>
        <cfvo type="max"/>
        <color rgb="FF63BE7B"/>
        <color rgb="FFFFEB84"/>
        <color rgb="FFF8696B"/>
      </colorScale>
    </cfRule>
    <cfRule type="colorScale" priority="10293">
      <colorScale>
        <cfvo type="min"/>
        <cfvo type="percentile" val="50"/>
        <cfvo type="max"/>
        <color rgb="FF63BE7B"/>
        <color rgb="FFFFEB84"/>
        <color rgb="FFF8696B"/>
      </colorScale>
    </cfRule>
    <cfRule type="colorScale" priority="10294">
      <colorScale>
        <cfvo type="min"/>
        <cfvo type="percentile" val="50"/>
        <cfvo type="max"/>
        <color rgb="FF63BE7B"/>
        <color rgb="FFFFEB84"/>
        <color rgb="FFF8696B"/>
      </colorScale>
    </cfRule>
    <cfRule type="colorScale" priority="10295">
      <colorScale>
        <cfvo type="min"/>
        <cfvo type="percentile" val="50"/>
        <cfvo type="max"/>
        <color rgb="FF63BE7B"/>
        <color rgb="FFFFEB84"/>
        <color rgb="FFF8696B"/>
      </colorScale>
    </cfRule>
    <cfRule type="colorScale" priority="10296">
      <colorScale>
        <cfvo type="min"/>
        <cfvo type="percentile" val="50"/>
        <cfvo type="max"/>
        <color rgb="FF63BE7B"/>
        <color rgb="FFFFEB84"/>
        <color rgb="FFF8696B"/>
      </colorScale>
    </cfRule>
    <cfRule type="colorScale" priority="10311">
      <colorScale>
        <cfvo type="min"/>
        <cfvo type="percentile" val="50"/>
        <cfvo type="max"/>
        <color rgb="FF63BE7B"/>
        <color rgb="FFFFEB84"/>
        <color rgb="FFF8696B"/>
      </colorScale>
    </cfRule>
    <cfRule type="colorScale" priority="11177">
      <colorScale>
        <cfvo type="min"/>
        <cfvo type="percentile" val="50"/>
        <cfvo type="max"/>
        <color rgb="FF63BE7B"/>
        <color rgb="FFFFEB84"/>
        <color rgb="FFF8696B"/>
      </colorScale>
    </cfRule>
    <cfRule type="colorScale" priority="10297">
      <colorScale>
        <cfvo type="min"/>
        <cfvo type="percentile" val="50"/>
        <cfvo type="max"/>
        <color rgb="FF63BE7B"/>
        <color rgb="FFFFEB84"/>
        <color rgb="FFF8696B"/>
      </colorScale>
    </cfRule>
    <cfRule type="colorScale" priority="11179">
      <colorScale>
        <cfvo type="min"/>
        <cfvo type="percentile" val="50"/>
        <cfvo type="max"/>
        <color rgb="FF63BE7B"/>
        <color rgb="FFFFEB84"/>
        <color rgb="FFF8696B"/>
      </colorScale>
    </cfRule>
    <cfRule type="colorScale" priority="11180">
      <colorScale>
        <cfvo type="min"/>
        <cfvo type="percentile" val="50"/>
        <cfvo type="max"/>
        <color rgb="FF63BE7B"/>
        <color rgb="FFFFEB84"/>
        <color rgb="FFF8696B"/>
      </colorScale>
    </cfRule>
    <cfRule type="colorScale" priority="11174">
      <colorScale>
        <cfvo type="min"/>
        <cfvo type="percentile" val="50"/>
        <cfvo type="max"/>
        <color rgb="FF63BE7B"/>
        <color rgb="FFFFEB84"/>
        <color rgb="FFF8696B"/>
      </colorScale>
    </cfRule>
    <cfRule type="colorScale" priority="11181">
      <colorScale>
        <cfvo type="min"/>
        <cfvo type="percentile" val="50"/>
        <cfvo type="max"/>
        <color rgb="FF63BE7B"/>
        <color rgb="FFFFEB84"/>
        <color rgb="FFF8696B"/>
      </colorScale>
    </cfRule>
    <cfRule type="colorScale" priority="10312">
      <colorScale>
        <cfvo type="min"/>
        <cfvo type="percentile" val="50"/>
        <cfvo type="max"/>
        <color rgb="FF63BE7B"/>
        <color rgb="FFFFEB84"/>
        <color rgb="FFF8696B"/>
      </colorScale>
    </cfRule>
    <cfRule type="colorScale" priority="11182">
      <colorScale>
        <cfvo type="min"/>
        <cfvo type="percentile" val="50"/>
        <cfvo type="max"/>
        <color rgb="FF63BE7B"/>
        <color rgb="FFFFEB84"/>
        <color rgb="FFF8696B"/>
      </colorScale>
    </cfRule>
    <cfRule type="colorScale" priority="11183">
      <colorScale>
        <cfvo type="min"/>
        <cfvo type="percentile" val="50"/>
        <cfvo type="max"/>
        <color rgb="FF63BE7B"/>
        <color rgb="FFFFEB84"/>
        <color rgb="FFF8696B"/>
      </colorScale>
    </cfRule>
    <cfRule type="colorScale" priority="10298">
      <colorScale>
        <cfvo type="min"/>
        <cfvo type="percentile" val="50"/>
        <cfvo type="max"/>
        <color rgb="FF63BE7B"/>
        <color rgb="FFFFEB84"/>
        <color rgb="FFF8696B"/>
      </colorScale>
    </cfRule>
    <cfRule type="colorScale" priority="10313">
      <colorScale>
        <cfvo type="min"/>
        <cfvo type="percentile" val="50"/>
        <cfvo type="max"/>
        <color rgb="FF63BE7B"/>
        <color rgb="FFFFEB84"/>
        <color rgb="FFF8696B"/>
      </colorScale>
    </cfRule>
    <cfRule type="colorScale" priority="10307">
      <colorScale>
        <cfvo type="min"/>
        <cfvo type="percentile" val="50"/>
        <cfvo type="max"/>
        <color rgb="FF63BE7B"/>
        <color rgb="FFFFEB84"/>
        <color rgb="FFF8696B"/>
      </colorScale>
    </cfRule>
    <cfRule type="colorScale" priority="10308">
      <colorScale>
        <cfvo type="min"/>
        <cfvo type="percentile" val="50"/>
        <cfvo type="max"/>
        <color rgb="FF63BE7B"/>
        <color rgb="FFFFEB84"/>
        <color rgb="FFF8696B"/>
      </colorScale>
    </cfRule>
    <cfRule type="colorScale" priority="10309">
      <colorScale>
        <cfvo type="min"/>
        <cfvo type="percentile" val="50"/>
        <cfvo type="max"/>
        <color rgb="FF63BE7B"/>
        <color rgb="FFFFEB84"/>
        <color rgb="FFF8696B"/>
      </colorScale>
    </cfRule>
    <cfRule type="colorScale" priority="10310">
      <colorScale>
        <cfvo type="min"/>
        <cfvo type="percentile" val="50"/>
        <cfvo type="max"/>
        <color rgb="FF63BE7B"/>
        <color rgb="FFFFEB84"/>
        <color rgb="FFF8696B"/>
      </colorScale>
    </cfRule>
  </conditionalFormatting>
  <conditionalFormatting sqref="Q36:Q37">
    <cfRule type="colorScale" priority="10304">
      <colorScale>
        <cfvo type="min"/>
        <cfvo type="percentile" val="50"/>
        <cfvo type="max"/>
        <color rgb="FF63BE7B"/>
        <color rgb="FFFFEB84"/>
        <color rgb="FFF8696B"/>
      </colorScale>
    </cfRule>
  </conditionalFormatting>
  <conditionalFormatting sqref="Q36:Q41">
    <cfRule type="colorScale" priority="13162">
      <colorScale>
        <cfvo type="min"/>
        <cfvo type="percentile" val="50"/>
        <cfvo type="max"/>
        <color rgb="FF63BE7B"/>
        <color rgb="FFFFEB84"/>
        <color rgb="FFF8696B"/>
      </colorScale>
    </cfRule>
    <cfRule type="colorScale" priority="10314">
      <colorScale>
        <cfvo type="min"/>
        <cfvo type="percentile" val="50"/>
        <cfvo type="max"/>
        <color rgb="FF63BE7B"/>
        <color rgb="FFFFEB84"/>
        <color rgb="FFF8696B"/>
      </colorScale>
    </cfRule>
  </conditionalFormatting>
  <conditionalFormatting sqref="Q42:Q50">
    <cfRule type="colorScale" priority="7459">
      <colorScale>
        <cfvo type="min"/>
        <cfvo type="percentile" val="50"/>
        <cfvo type="max"/>
        <color rgb="FF63BE7B"/>
        <color rgb="FFFFEB84"/>
        <color rgb="FFF8696B"/>
      </colorScale>
    </cfRule>
  </conditionalFormatting>
  <conditionalFormatting sqref="Q51:Q53">
    <cfRule type="colorScale" priority="4442">
      <colorScale>
        <cfvo type="min"/>
        <cfvo type="percentile" val="50"/>
        <cfvo type="max"/>
        <color rgb="FF63BE7B"/>
        <color rgb="FFFFEB84"/>
        <color rgb="FFF8696B"/>
      </colorScale>
    </cfRule>
    <cfRule type="colorScale" priority="12919">
      <colorScale>
        <cfvo type="min"/>
        <cfvo type="percentile" val="50"/>
        <cfvo type="max"/>
        <color rgb="FF63BE7B"/>
        <color rgb="FFFFEB84"/>
        <color rgb="FFF8696B"/>
      </colorScale>
    </cfRule>
    <cfRule type="colorScale" priority="4469">
      <colorScale>
        <cfvo type="min"/>
        <cfvo type="percentile" val="50"/>
        <cfvo type="max"/>
        <color rgb="FF63BE7B"/>
        <color rgb="FFFFEB84"/>
        <color rgb="FFF8696B"/>
      </colorScale>
    </cfRule>
    <cfRule type="colorScale" priority="12803">
      <colorScale>
        <cfvo type="min"/>
        <cfvo type="percentile" val="50"/>
        <cfvo type="max"/>
        <color rgb="FF63BE7B"/>
        <color rgb="FFFFEB84"/>
        <color rgb="FFF8696B"/>
      </colorScale>
    </cfRule>
    <cfRule type="colorScale" priority="4470">
      <colorScale>
        <cfvo type="min"/>
        <cfvo type="percentile" val="50"/>
        <cfvo type="max"/>
        <color rgb="FF63BE7B"/>
        <color rgb="FFFFEB84"/>
        <color rgb="FFF8696B"/>
      </colorScale>
    </cfRule>
    <cfRule type="colorScale" priority="12918">
      <colorScale>
        <cfvo type="min"/>
        <cfvo type="percentile" val="50"/>
        <cfvo type="max"/>
        <color rgb="FF63BE7B"/>
        <color rgb="FFFFEB84"/>
        <color rgb="FFF8696B"/>
      </colorScale>
    </cfRule>
    <cfRule type="colorScale" priority="12800">
      <colorScale>
        <cfvo type="min"/>
        <cfvo type="percentile" val="50"/>
        <cfvo type="max"/>
        <color rgb="FF63BE7B"/>
        <color rgb="FFFFEB84"/>
        <color rgb="FFF8696B"/>
      </colorScale>
    </cfRule>
    <cfRule type="colorScale" priority="12802">
      <colorScale>
        <cfvo type="min"/>
        <cfvo type="percentile" val="50"/>
        <cfvo type="max"/>
        <color rgb="FF63BE7B"/>
        <color rgb="FFFFEB84"/>
        <color rgb="FFF8696B"/>
      </colorScale>
    </cfRule>
  </conditionalFormatting>
  <conditionalFormatting sqref="Q52:Q53">
    <cfRule type="colorScale" priority="4464">
      <colorScale>
        <cfvo type="min"/>
        <cfvo type="percentile" val="50"/>
        <cfvo type="max"/>
        <color rgb="FF63BE7B"/>
        <color rgb="FFFFEB84"/>
        <color rgb="FFF8696B"/>
      </colorScale>
    </cfRule>
    <cfRule type="colorScale" priority="4443">
      <colorScale>
        <cfvo type="min"/>
        <cfvo type="percentile" val="50"/>
        <cfvo type="max"/>
        <color rgb="FF63BE7B"/>
        <color rgb="FFFFEB84"/>
        <color rgb="FFF8696B"/>
      </colorScale>
    </cfRule>
    <cfRule type="colorScale" priority="4444">
      <colorScale>
        <cfvo type="min"/>
        <cfvo type="percentile" val="50"/>
        <cfvo type="max"/>
        <color rgb="FF63BE7B"/>
        <color rgb="FFFFEB84"/>
        <color rgb="FFF8696B"/>
      </colorScale>
    </cfRule>
    <cfRule type="colorScale" priority="4445">
      <colorScale>
        <cfvo type="min"/>
        <cfvo type="percentile" val="50"/>
        <cfvo type="max"/>
        <color rgb="FF63BE7B"/>
        <color rgb="FFFFEB84"/>
        <color rgb="FFF8696B"/>
      </colorScale>
    </cfRule>
    <cfRule type="colorScale" priority="4446">
      <colorScale>
        <cfvo type="min"/>
        <cfvo type="percentile" val="50"/>
        <cfvo type="max"/>
        <color rgb="FF63BE7B"/>
        <color rgb="FFFFEB84"/>
        <color rgb="FFF8696B"/>
      </colorScale>
    </cfRule>
    <cfRule type="colorScale" priority="4447">
      <colorScale>
        <cfvo type="min"/>
        <cfvo type="percentile" val="50"/>
        <cfvo type="max"/>
        <color rgb="FF63BE7B"/>
        <color rgb="FFFFEB84"/>
        <color rgb="FFF8696B"/>
      </colorScale>
    </cfRule>
    <cfRule type="colorScale" priority="4448">
      <colorScale>
        <cfvo type="min"/>
        <cfvo type="percentile" val="50"/>
        <cfvo type="max"/>
        <color rgb="FF63BE7B"/>
        <color rgb="FFFFEB84"/>
        <color rgb="FFF8696B"/>
      </colorScale>
    </cfRule>
    <cfRule type="colorScale" priority="4449">
      <colorScale>
        <cfvo type="min"/>
        <cfvo type="percentile" val="50"/>
        <cfvo type="max"/>
        <color rgb="FF63BE7B"/>
        <color rgb="FFFFEB84"/>
        <color rgb="FFF8696B"/>
      </colorScale>
    </cfRule>
    <cfRule type="colorScale" priority="4450">
      <colorScale>
        <cfvo type="min"/>
        <cfvo type="percentile" val="50"/>
        <cfvo type="max"/>
        <color rgb="FF63BE7B"/>
        <color rgb="FFFFEB84"/>
        <color rgb="FFF8696B"/>
      </colorScale>
    </cfRule>
    <cfRule type="colorScale" priority="4451">
      <colorScale>
        <cfvo type="min"/>
        <cfvo type="percentile" val="50"/>
        <cfvo type="max"/>
        <color rgb="FF63BE7B"/>
        <color rgb="FFFFEB84"/>
        <color rgb="FFF8696B"/>
      </colorScale>
    </cfRule>
    <cfRule type="colorScale" priority="4452">
      <colorScale>
        <cfvo type="min"/>
        <cfvo type="percentile" val="50"/>
        <cfvo type="max"/>
        <color rgb="FF63BE7B"/>
        <color rgb="FFFFEB84"/>
        <color rgb="FFF8696B"/>
      </colorScale>
    </cfRule>
    <cfRule type="colorScale" priority="4453">
      <colorScale>
        <cfvo type="min"/>
        <cfvo type="percentile" val="50"/>
        <cfvo type="max"/>
        <color rgb="FF63BE7B"/>
        <color rgb="FFFFEB84"/>
        <color rgb="FFF8696B"/>
      </colorScale>
    </cfRule>
    <cfRule type="colorScale" priority="4454">
      <colorScale>
        <cfvo type="min"/>
        <cfvo type="percentile" val="50"/>
        <cfvo type="max"/>
        <color rgb="FF63BE7B"/>
        <color rgb="FFFFEB84"/>
        <color rgb="FFF8696B"/>
      </colorScale>
    </cfRule>
    <cfRule type="colorScale" priority="4455">
      <colorScale>
        <cfvo type="min"/>
        <cfvo type="percentile" val="50"/>
        <cfvo type="max"/>
        <color rgb="FF63BE7B"/>
        <color rgb="FFFFEB84"/>
        <color rgb="FFF8696B"/>
      </colorScale>
    </cfRule>
    <cfRule type="colorScale" priority="4456">
      <colorScale>
        <cfvo type="min"/>
        <cfvo type="percentile" val="50"/>
        <cfvo type="max"/>
        <color rgb="FF63BE7B"/>
        <color rgb="FFFFEB84"/>
        <color rgb="FFF8696B"/>
      </colorScale>
    </cfRule>
    <cfRule type="colorScale" priority="4457">
      <colorScale>
        <cfvo type="min"/>
        <cfvo type="percentile" val="50"/>
        <cfvo type="max"/>
        <color rgb="FF63BE7B"/>
        <color rgb="FFFFEB84"/>
        <color rgb="FFF8696B"/>
      </colorScale>
    </cfRule>
    <cfRule type="colorScale" priority="4458">
      <colorScale>
        <cfvo type="min"/>
        <cfvo type="percentile" val="50"/>
        <cfvo type="max"/>
        <color rgb="FF63BE7B"/>
        <color rgb="FFFFEB84"/>
        <color rgb="FFF8696B"/>
      </colorScale>
    </cfRule>
    <cfRule type="colorScale" priority="4459">
      <colorScale>
        <cfvo type="min"/>
        <cfvo type="percentile" val="50"/>
        <cfvo type="max"/>
        <color rgb="FF63BE7B"/>
        <color rgb="FFFFEB84"/>
        <color rgb="FFF8696B"/>
      </colorScale>
    </cfRule>
    <cfRule type="colorScale" priority="4460">
      <colorScale>
        <cfvo type="min"/>
        <cfvo type="percentile" val="50"/>
        <cfvo type="max"/>
        <color rgb="FF63BE7B"/>
        <color rgb="FFFFEB84"/>
        <color rgb="FFF8696B"/>
      </colorScale>
    </cfRule>
    <cfRule type="colorScale" priority="4461">
      <colorScale>
        <cfvo type="min"/>
        <cfvo type="percentile" val="50"/>
        <cfvo type="max"/>
        <color rgb="FF63BE7B"/>
        <color rgb="FFFFEB84"/>
        <color rgb="FFF8696B"/>
      </colorScale>
    </cfRule>
    <cfRule type="colorScale" priority="4462">
      <colorScale>
        <cfvo type="min"/>
        <cfvo type="percentile" val="50"/>
        <cfvo type="max"/>
        <color rgb="FF63BE7B"/>
        <color rgb="FFFFEB84"/>
        <color rgb="FFF8696B"/>
      </colorScale>
    </cfRule>
    <cfRule type="colorScale" priority="4463">
      <colorScale>
        <cfvo type="min"/>
        <cfvo type="percentile" val="50"/>
        <cfvo type="max"/>
        <color rgb="FF63BE7B"/>
        <color rgb="FFFFEB84"/>
        <color rgb="FFF8696B"/>
      </colorScale>
    </cfRule>
    <cfRule type="colorScale" priority="4465">
      <colorScale>
        <cfvo type="min"/>
        <cfvo type="percentile" val="50"/>
        <cfvo type="max"/>
        <color rgb="FF63BE7B"/>
        <color rgb="FFFFEB84"/>
        <color rgb="FFF8696B"/>
      </colorScale>
    </cfRule>
    <cfRule type="colorScale" priority="4466">
      <colorScale>
        <cfvo type="min"/>
        <cfvo type="percentile" val="50"/>
        <cfvo type="max"/>
        <color rgb="FF63BE7B"/>
        <color rgb="FFFFEB84"/>
        <color rgb="FFF8696B"/>
      </colorScale>
    </cfRule>
    <cfRule type="colorScale" priority="4467">
      <colorScale>
        <cfvo type="min"/>
        <cfvo type="percentile" val="50"/>
        <cfvo type="max"/>
        <color rgb="FF63BE7B"/>
        <color rgb="FFFFEB84"/>
        <color rgb="FFF8696B"/>
      </colorScale>
    </cfRule>
    <cfRule type="colorScale" priority="4468">
      <colorScale>
        <cfvo type="min"/>
        <cfvo type="percentile" val="50"/>
        <cfvo type="max"/>
        <color rgb="FF63BE7B"/>
        <color rgb="FFFFEB84"/>
        <color rgb="FFF8696B"/>
      </colorScale>
    </cfRule>
    <cfRule type="colorScale" priority="7219">
      <colorScale>
        <cfvo type="min"/>
        <cfvo type="percentile" val="50"/>
        <cfvo type="max"/>
        <color rgb="FF63BE7B"/>
        <color rgb="FFFFEB84"/>
        <color rgb="FFF8696B"/>
      </colorScale>
    </cfRule>
    <cfRule type="colorScale" priority="7218">
      <colorScale>
        <cfvo type="min"/>
        <cfvo type="percentile" val="50"/>
        <cfvo type="max"/>
        <color rgb="FF63BE7B"/>
        <color rgb="FFFFEB84"/>
        <color rgb="FFF8696B"/>
      </colorScale>
    </cfRule>
    <cfRule type="colorScale" priority="7217">
      <colorScale>
        <cfvo type="min"/>
        <cfvo type="percentile" val="50"/>
        <cfvo type="max"/>
        <color rgb="FF63BE7B"/>
        <color rgb="FFFFEB84"/>
        <color rgb="FFF8696B"/>
      </colorScale>
    </cfRule>
    <cfRule type="colorScale" priority="7216">
      <colorScale>
        <cfvo type="min"/>
        <cfvo type="percentile" val="50"/>
        <cfvo type="max"/>
        <color rgb="FF63BE7B"/>
        <color rgb="FFFFEB84"/>
        <color rgb="FFF8696B"/>
      </colorScale>
    </cfRule>
    <cfRule type="colorScale" priority="7087">
      <colorScale>
        <cfvo type="min"/>
        <cfvo type="percentile" val="50"/>
        <cfvo type="max"/>
        <color rgb="FF63BE7B"/>
        <color rgb="FFFFEB84"/>
        <color rgb="FFF8696B"/>
      </colorScale>
    </cfRule>
    <cfRule type="colorScale" priority="7086">
      <colorScale>
        <cfvo type="min"/>
        <cfvo type="percentile" val="50"/>
        <cfvo type="max"/>
        <color rgb="FF63BE7B"/>
        <color rgb="FFFFEB84"/>
        <color rgb="FFF8696B"/>
      </colorScale>
    </cfRule>
    <cfRule type="colorScale" priority="7085">
      <colorScale>
        <cfvo type="min"/>
        <cfvo type="percentile" val="50"/>
        <cfvo type="max"/>
        <color rgb="FFF8696B"/>
        <color rgb="FFFFEB84"/>
        <color rgb="FF63BE7B"/>
      </colorScale>
    </cfRule>
    <cfRule type="colorScale" priority="6367">
      <colorScale>
        <cfvo type="min"/>
        <cfvo type="percentile" val="50"/>
        <cfvo type="max"/>
        <color rgb="FF63BE7B"/>
        <color rgb="FFFFEB84"/>
        <color rgb="FFF8696B"/>
      </colorScale>
    </cfRule>
    <cfRule type="colorScale" priority="6366">
      <colorScale>
        <cfvo type="min"/>
        <cfvo type="percentile" val="50"/>
        <cfvo type="max"/>
        <color rgb="FF63BE7B"/>
        <color rgb="FFFFEB84"/>
        <color rgb="FFF8696B"/>
      </colorScale>
    </cfRule>
    <cfRule type="colorScale" priority="6365">
      <colorScale>
        <cfvo type="min"/>
        <cfvo type="percentile" val="50"/>
        <cfvo type="max"/>
        <color rgb="FF63BE7B"/>
        <color rgb="FFFFEB84"/>
        <color rgb="FFF8696B"/>
      </colorScale>
    </cfRule>
    <cfRule type="colorScale" priority="6364">
      <colorScale>
        <cfvo type="min"/>
        <cfvo type="percentile" val="50"/>
        <cfvo type="max"/>
        <color rgb="FF63BE7B"/>
        <color rgb="FFFFEB84"/>
        <color rgb="FFF8696B"/>
      </colorScale>
    </cfRule>
    <cfRule type="colorScale" priority="6363">
      <colorScale>
        <cfvo type="min"/>
        <cfvo type="percentile" val="50"/>
        <cfvo type="max"/>
        <color rgb="FF63BE7B"/>
        <color rgb="FFFFEB84"/>
        <color rgb="FFF8696B"/>
      </colorScale>
    </cfRule>
    <cfRule type="colorScale" priority="6362">
      <colorScale>
        <cfvo type="min"/>
        <cfvo type="percentile" val="50"/>
        <cfvo type="max"/>
        <color rgb="FF63BE7B"/>
        <color rgb="FFFFEB84"/>
        <color rgb="FFF8696B"/>
      </colorScale>
    </cfRule>
    <cfRule type="colorScale" priority="6361">
      <colorScale>
        <cfvo type="min"/>
        <cfvo type="percentile" val="50"/>
        <cfvo type="max"/>
        <color rgb="FF63BE7B"/>
        <color rgb="FFFFEB84"/>
        <color rgb="FFF8696B"/>
      </colorScale>
    </cfRule>
    <cfRule type="colorScale" priority="6360">
      <colorScale>
        <cfvo type="min"/>
        <cfvo type="percentile" val="50"/>
        <cfvo type="max"/>
        <color rgb="FF63BE7B"/>
        <color rgb="FFFFEB84"/>
        <color rgb="FFF8696B"/>
      </colorScale>
    </cfRule>
    <cfRule type="colorScale" priority="6359">
      <colorScale>
        <cfvo type="min"/>
        <cfvo type="percentile" val="50"/>
        <cfvo type="max"/>
        <color rgb="FF63BE7B"/>
        <color rgb="FFFFEB84"/>
        <color rgb="FFF8696B"/>
      </colorScale>
    </cfRule>
    <cfRule type="colorScale" priority="6358">
      <colorScale>
        <cfvo type="min"/>
        <cfvo type="percentile" val="50"/>
        <cfvo type="max"/>
        <color rgb="FF63BE7B"/>
        <color rgb="FFFFEB84"/>
        <color rgb="FFF8696B"/>
      </colorScale>
    </cfRule>
    <cfRule type="colorScale" priority="6357">
      <colorScale>
        <cfvo type="min"/>
        <cfvo type="percentile" val="50"/>
        <cfvo type="max"/>
        <color rgb="FF63BE7B"/>
        <color rgb="FFFFEB84"/>
        <color rgb="FFF8696B"/>
      </colorScale>
    </cfRule>
    <cfRule type="colorScale" priority="6356">
      <colorScale>
        <cfvo type="min"/>
        <cfvo type="percentile" val="50"/>
        <cfvo type="max"/>
        <color rgb="FF63BE7B"/>
        <color rgb="FFFFEB84"/>
        <color rgb="FFF8696B"/>
      </colorScale>
    </cfRule>
    <cfRule type="colorScale" priority="6355">
      <colorScale>
        <cfvo type="min"/>
        <cfvo type="percentile" val="50"/>
        <cfvo type="max"/>
        <color rgb="FF63BE7B"/>
        <color rgb="FFFFEB84"/>
        <color rgb="FFF8696B"/>
      </colorScale>
    </cfRule>
    <cfRule type="colorScale" priority="6978">
      <colorScale>
        <cfvo type="min"/>
        <cfvo type="percentile" val="50"/>
        <cfvo type="max"/>
        <color rgb="FF63BE7B"/>
        <color rgb="FFFFEB84"/>
        <color rgb="FFF8696B"/>
      </colorScale>
    </cfRule>
    <cfRule type="colorScale" priority="6977">
      <colorScale>
        <cfvo type="min"/>
        <cfvo type="percentile" val="50"/>
        <cfvo type="max"/>
        <color rgb="FF63BE7B"/>
        <color rgb="FFFFEB84"/>
        <color rgb="FFF8696B"/>
      </colorScale>
    </cfRule>
    <cfRule type="colorScale" priority="6976">
      <colorScale>
        <cfvo type="min"/>
        <cfvo type="percentile" val="50"/>
        <cfvo type="max"/>
        <color rgb="FF63BE7B"/>
        <color rgb="FFFFEB84"/>
        <color rgb="FFF8696B"/>
      </colorScale>
    </cfRule>
    <cfRule type="colorScale" priority="6975">
      <colorScale>
        <cfvo type="min"/>
        <cfvo type="percentile" val="50"/>
        <cfvo type="max"/>
        <color rgb="FF63BE7B"/>
        <color rgb="FFFFEB84"/>
        <color rgb="FFF8696B"/>
      </colorScale>
    </cfRule>
    <cfRule type="colorScale" priority="6974">
      <colorScale>
        <cfvo type="min"/>
        <cfvo type="percentile" val="50"/>
        <cfvo type="max"/>
        <color rgb="FF63BE7B"/>
        <color rgb="FFFFEB84"/>
        <color rgb="FFF8696B"/>
      </colorScale>
    </cfRule>
    <cfRule type="colorScale" priority="6973">
      <colorScale>
        <cfvo type="min"/>
        <cfvo type="percentile" val="50"/>
        <cfvo type="max"/>
        <color rgb="FF63BE7B"/>
        <color rgb="FFFFEB84"/>
        <color rgb="FFF8696B"/>
      </colorScale>
    </cfRule>
    <cfRule type="colorScale" priority="6972">
      <colorScale>
        <cfvo type="min"/>
        <cfvo type="percentile" val="50"/>
        <cfvo type="max"/>
        <color rgb="FF63BE7B"/>
        <color rgb="FFFFEB84"/>
        <color rgb="FFF8696B"/>
      </colorScale>
    </cfRule>
    <cfRule type="colorScale" priority="6971">
      <colorScale>
        <cfvo type="min"/>
        <cfvo type="percentile" val="50"/>
        <cfvo type="max"/>
        <color rgb="FF63BE7B"/>
        <color rgb="FFFFEB84"/>
        <color rgb="FFF8696B"/>
      </colorScale>
    </cfRule>
    <cfRule type="colorScale" priority="6970">
      <colorScale>
        <cfvo type="min"/>
        <cfvo type="percentile" val="50"/>
        <cfvo type="max"/>
        <color rgb="FF63BE7B"/>
        <color rgb="FFFFEB84"/>
        <color rgb="FFF8696B"/>
      </colorScale>
    </cfRule>
    <cfRule type="colorScale" priority="6354">
      <colorScale>
        <cfvo type="min"/>
        <cfvo type="percentile" val="50"/>
        <cfvo type="max"/>
        <color rgb="FF63BE7B"/>
        <color rgb="FFFFEB84"/>
        <color rgb="FFF8696B"/>
      </colorScale>
    </cfRule>
    <cfRule type="colorScale" priority="6353">
      <colorScale>
        <cfvo type="min"/>
        <cfvo type="percentile" val="50"/>
        <cfvo type="max"/>
        <color rgb="FF63BE7B"/>
        <color rgb="FFFFEB84"/>
        <color rgb="FFF8696B"/>
      </colorScale>
    </cfRule>
    <cfRule type="colorScale" priority="6352">
      <colorScale>
        <cfvo type="min"/>
        <cfvo type="percentile" val="50"/>
        <cfvo type="max"/>
        <color rgb="FF63BE7B"/>
        <color rgb="FFFFEB84"/>
        <color rgb="FFF8696B"/>
      </colorScale>
    </cfRule>
    <cfRule type="colorScale" priority="6351">
      <colorScale>
        <cfvo type="min"/>
        <cfvo type="percentile" val="50"/>
        <cfvo type="max"/>
        <color rgb="FF63BE7B"/>
        <color rgb="FFFFEB84"/>
        <color rgb="FFF8696B"/>
      </colorScale>
    </cfRule>
    <cfRule type="colorScale" priority="6350">
      <colorScale>
        <cfvo type="min"/>
        <cfvo type="percentile" val="50"/>
        <cfvo type="max"/>
        <color rgb="FF63BE7B"/>
        <color rgb="FFFFEB84"/>
        <color rgb="FFF8696B"/>
      </colorScale>
    </cfRule>
    <cfRule type="colorScale" priority="6349">
      <colorScale>
        <cfvo type="min"/>
        <cfvo type="percentile" val="50"/>
        <cfvo type="max"/>
        <color rgb="FF63BE7B"/>
        <color rgb="FFFFEB84"/>
        <color rgb="FFF8696B"/>
      </colorScale>
    </cfRule>
  </conditionalFormatting>
  <conditionalFormatting sqref="Q53">
    <cfRule type="colorScale" priority="12801">
      <colorScale>
        <cfvo type="min"/>
        <cfvo type="percentile" val="50"/>
        <cfvo type="max"/>
        <color rgb="FF63BE7B"/>
        <color rgb="FFFFEB84"/>
        <color rgb="FFF8696B"/>
      </colorScale>
    </cfRule>
  </conditionalFormatting>
  <conditionalFormatting sqref="Q54:Q61">
    <cfRule type="colorScale" priority="59">
      <colorScale>
        <cfvo type="min"/>
        <cfvo type="percentile" val="50"/>
        <cfvo type="max"/>
        <color rgb="FF63BE7B"/>
        <color rgb="FFFFEB84"/>
        <color rgb="FFF8696B"/>
      </colorScale>
    </cfRule>
    <cfRule type="colorScale" priority="42">
      <colorScale>
        <cfvo type="min"/>
        <cfvo type="percentile" val="50"/>
        <cfvo type="max"/>
        <color rgb="FF63BE7B"/>
        <color rgb="FFFFEB84"/>
        <color rgb="FFF8696B"/>
      </colorScale>
    </cfRule>
  </conditionalFormatting>
  <conditionalFormatting sqref="Q65:Q90">
    <cfRule type="colorScale" priority="12612">
      <colorScale>
        <cfvo type="min"/>
        <cfvo type="percentile" val="50"/>
        <cfvo type="max"/>
        <color rgb="FFF8696B"/>
        <color rgb="FFFFEB84"/>
        <color rgb="FF63BE7B"/>
      </colorScale>
    </cfRule>
  </conditionalFormatting>
  <conditionalFormatting sqref="Q96:Q121">
    <cfRule type="colorScale" priority="12006">
      <colorScale>
        <cfvo type="min"/>
        <cfvo type="percentile" val="50"/>
        <cfvo type="max"/>
        <color rgb="FFF8696B"/>
        <color rgb="FFFFEB84"/>
        <color rgb="FF63BE7B"/>
      </colorScale>
    </cfRule>
  </conditionalFormatting>
  <conditionalFormatting sqref="R35:R37">
    <cfRule type="colorScale" priority="10279">
      <colorScale>
        <cfvo type="min"/>
        <cfvo type="percentile" val="50"/>
        <cfvo type="max"/>
        <color rgb="FF63BE7B"/>
        <color rgb="FFFFEB84"/>
        <color rgb="FFF8696B"/>
      </colorScale>
    </cfRule>
    <cfRule type="colorScale" priority="10278">
      <colorScale>
        <cfvo type="min"/>
        <cfvo type="percentile" val="50"/>
        <cfvo type="max"/>
        <color rgb="FF63BE7B"/>
        <color rgb="FFFFEB84"/>
        <color rgb="FFF8696B"/>
      </colorScale>
    </cfRule>
    <cfRule type="colorScale" priority="10276">
      <colorScale>
        <cfvo type="min"/>
        <cfvo type="percentile" val="50"/>
        <cfvo type="max"/>
        <color rgb="FF63BE7B"/>
        <color rgb="FFFFEB84"/>
        <color rgb="FFF8696B"/>
      </colorScale>
    </cfRule>
    <cfRule type="colorScale" priority="10275">
      <colorScale>
        <cfvo type="min"/>
        <cfvo type="percentile" val="50"/>
        <cfvo type="max"/>
        <color rgb="FF63BE7B"/>
        <color rgb="FFFFEB84"/>
        <color rgb="FFF8696B"/>
      </colorScale>
    </cfRule>
    <cfRule type="colorScale" priority="10274">
      <colorScale>
        <cfvo type="min"/>
        <cfvo type="percentile" val="50"/>
        <cfvo type="max"/>
        <color rgb="FF63BE7B"/>
        <color rgb="FFFFEB84"/>
        <color rgb="FFF8696B"/>
      </colorScale>
    </cfRule>
    <cfRule type="colorScale" priority="11166">
      <colorScale>
        <cfvo type="min"/>
        <cfvo type="percentile" val="50"/>
        <cfvo type="max"/>
        <color rgb="FF63BE7B"/>
        <color rgb="FFFFEB84"/>
        <color rgb="FFF8696B"/>
      </colorScale>
    </cfRule>
    <cfRule type="colorScale" priority="10273">
      <colorScale>
        <cfvo type="min"/>
        <cfvo type="percentile" val="50"/>
        <cfvo type="max"/>
        <color rgb="FF63BE7B"/>
        <color rgb="FFFFEB84"/>
        <color rgb="FFF8696B"/>
      </colorScale>
    </cfRule>
    <cfRule type="colorScale" priority="10265">
      <colorScale>
        <cfvo type="min"/>
        <cfvo type="percentile" val="50"/>
        <cfvo type="max"/>
        <color rgb="FF63BE7B"/>
        <color rgb="FFFFEB84"/>
        <color rgb="FFF8696B"/>
      </colorScale>
    </cfRule>
  </conditionalFormatting>
  <conditionalFormatting sqref="R35:R41">
    <cfRule type="colorScale" priority="11169">
      <colorScale>
        <cfvo type="min"/>
        <cfvo type="percentile" val="50"/>
        <cfvo type="max"/>
        <color rgb="FF63BE7B"/>
        <color rgb="FFFFEB84"/>
        <color rgb="FFF8696B"/>
      </colorScale>
    </cfRule>
    <cfRule type="colorScale" priority="13157">
      <colorScale>
        <cfvo type="min"/>
        <cfvo type="percentile" val="50"/>
        <cfvo type="max"/>
        <color rgb="FF63BE7B"/>
        <color rgb="FFFFEB84"/>
        <color rgb="FFF8696B"/>
      </colorScale>
    </cfRule>
    <cfRule type="colorScale" priority="13156">
      <colorScale>
        <cfvo type="min"/>
        <cfvo type="percentile" val="50"/>
        <cfvo type="max"/>
        <color rgb="FF63BE7B"/>
        <color rgb="FFFFEB84"/>
        <color rgb="FFF8696B"/>
      </colorScale>
    </cfRule>
    <cfRule type="colorScale" priority="13155">
      <colorScale>
        <cfvo type="min"/>
        <cfvo type="percentile" val="50"/>
        <cfvo type="max"/>
        <color rgb="FF63BE7B"/>
        <color rgb="FFFFEB84"/>
        <color rgb="FFF8696B"/>
      </colorScale>
    </cfRule>
    <cfRule type="colorScale" priority="10267">
      <colorScale>
        <cfvo type="min"/>
        <cfvo type="percentile" val="50"/>
        <cfvo type="max"/>
        <color rgb="FF63BE7B"/>
        <color rgb="FFFFEB84"/>
        <color rgb="FFF8696B"/>
      </colorScale>
    </cfRule>
    <cfRule type="colorScale" priority="11168">
      <colorScale>
        <cfvo type="min"/>
        <cfvo type="percentile" val="50"/>
        <cfvo type="max"/>
        <color rgb="FF63BE7B"/>
        <color rgb="FFFFEB84"/>
        <color rgb="FFF8696B"/>
      </colorScale>
    </cfRule>
    <cfRule type="colorScale" priority="11167">
      <colorScale>
        <cfvo type="min"/>
        <cfvo type="percentile" val="50"/>
        <cfvo type="max"/>
        <color rgb="FF63BE7B"/>
        <color rgb="FFFFEB84"/>
        <color rgb="FFF8696B"/>
      </colorScale>
    </cfRule>
    <cfRule type="colorScale" priority="11164">
      <colorScale>
        <cfvo type="min"/>
        <cfvo type="percentile" val="50"/>
        <cfvo type="max"/>
        <color rgb="FF63BE7B"/>
        <color rgb="FFFFEB84"/>
        <color rgb="FFF8696B"/>
      </colorScale>
    </cfRule>
    <cfRule type="colorScale" priority="10263">
      <colorScale>
        <cfvo type="min"/>
        <cfvo type="percentile" val="50"/>
        <cfvo type="max"/>
        <color rgb="FF63BE7B"/>
        <color rgb="FFFFEB84"/>
        <color rgb="FFF8696B"/>
      </colorScale>
    </cfRule>
    <cfRule type="colorScale" priority="10264">
      <colorScale>
        <cfvo type="min"/>
        <cfvo type="percentile" val="50"/>
        <cfvo type="max"/>
        <color rgb="FF63BE7B"/>
        <color rgb="FFFFEB84"/>
        <color rgb="FFF8696B"/>
      </colorScale>
    </cfRule>
    <cfRule type="colorScale" priority="10266">
      <colorScale>
        <cfvo type="min"/>
        <cfvo type="percentile" val="50"/>
        <cfvo type="max"/>
        <color rgb="FF63BE7B"/>
        <color rgb="FFFFEB84"/>
        <color rgb="FFF8696B"/>
      </colorScale>
    </cfRule>
    <cfRule type="colorScale" priority="10268">
      <colorScale>
        <cfvo type="min"/>
        <cfvo type="percentile" val="50"/>
        <cfvo type="max"/>
        <color rgb="FF63BE7B"/>
        <color rgb="FFFFEB84"/>
        <color rgb="FFF8696B"/>
      </colorScale>
    </cfRule>
    <cfRule type="colorScale" priority="10269">
      <colorScale>
        <cfvo type="min"/>
        <cfvo type="percentile" val="50"/>
        <cfvo type="max"/>
        <color rgb="FF63BE7B"/>
        <color rgb="FFFFEB84"/>
        <color rgb="FFF8696B"/>
      </colorScale>
    </cfRule>
    <cfRule type="colorScale" priority="10270">
      <colorScale>
        <cfvo type="min"/>
        <cfvo type="percentile" val="50"/>
        <cfvo type="max"/>
        <color rgb="FF63BE7B"/>
        <color rgb="FFFFEB84"/>
        <color rgb="FFF8696B"/>
      </colorScale>
    </cfRule>
    <cfRule type="colorScale" priority="10271">
      <colorScale>
        <cfvo type="min"/>
        <cfvo type="percentile" val="50"/>
        <cfvo type="max"/>
        <color rgb="FF63BE7B"/>
        <color rgb="FFFFEB84"/>
        <color rgb="FFF8696B"/>
      </colorScale>
    </cfRule>
    <cfRule type="colorScale" priority="10288">
      <colorScale>
        <cfvo type="min"/>
        <cfvo type="percentile" val="50"/>
        <cfvo type="max"/>
        <color rgb="FF63BE7B"/>
        <color rgb="FFFFEB84"/>
        <color rgb="FFF8696B"/>
      </colorScale>
    </cfRule>
    <cfRule type="colorScale" priority="10289">
      <colorScale>
        <cfvo type="min"/>
        <cfvo type="percentile" val="50"/>
        <cfvo type="max"/>
        <color rgb="FF63BE7B"/>
        <color rgb="FFFFEB84"/>
        <color rgb="FFF8696B"/>
      </colorScale>
    </cfRule>
    <cfRule type="colorScale" priority="11173">
      <colorScale>
        <cfvo type="min"/>
        <cfvo type="percentile" val="50"/>
        <cfvo type="max"/>
        <color rgb="FF63BE7B"/>
        <color rgb="FFFFEB84"/>
        <color rgb="FFF8696B"/>
      </colorScale>
    </cfRule>
    <cfRule type="colorScale" priority="11172">
      <colorScale>
        <cfvo type="min"/>
        <cfvo type="percentile" val="50"/>
        <cfvo type="max"/>
        <color rgb="FF63BE7B"/>
        <color rgb="FFFFEB84"/>
        <color rgb="FFF8696B"/>
      </colorScale>
    </cfRule>
    <cfRule type="colorScale" priority="11171">
      <colorScale>
        <cfvo type="min"/>
        <cfvo type="percentile" val="50"/>
        <cfvo type="max"/>
        <color rgb="FF63BE7B"/>
        <color rgb="FFFFEB84"/>
        <color rgb="FFF8696B"/>
      </colorScale>
    </cfRule>
    <cfRule type="colorScale" priority="11170">
      <colorScale>
        <cfvo type="min"/>
        <cfvo type="percentile" val="50"/>
        <cfvo type="max"/>
        <color rgb="FF63BE7B"/>
        <color rgb="FFFFEB84"/>
        <color rgb="FFF8696B"/>
      </colorScale>
    </cfRule>
    <cfRule type="colorScale" priority="11165">
      <colorScale>
        <cfvo type="min"/>
        <cfvo type="percentile" val="50"/>
        <cfvo type="max"/>
        <color rgb="FF63BE7B"/>
        <color rgb="FFFFEB84"/>
        <color rgb="FFF8696B"/>
      </colorScale>
    </cfRule>
    <cfRule type="colorScale" priority="10272">
      <colorScale>
        <cfvo type="min"/>
        <cfvo type="percentile" val="50"/>
        <cfvo type="max"/>
        <color rgb="FF63BE7B"/>
        <color rgb="FFFFEB84"/>
        <color rgb="FFF8696B"/>
      </colorScale>
    </cfRule>
    <cfRule type="colorScale" priority="10280">
      <colorScale>
        <cfvo type="min"/>
        <cfvo type="percentile" val="50"/>
        <cfvo type="max"/>
        <color rgb="FF63BE7B"/>
        <color rgb="FFFFEB84"/>
        <color rgb="FFF8696B"/>
      </colorScale>
    </cfRule>
    <cfRule type="colorScale" priority="10281">
      <colorScale>
        <cfvo type="min"/>
        <cfvo type="percentile" val="50"/>
        <cfvo type="max"/>
        <color rgb="FF63BE7B"/>
        <color rgb="FFFFEB84"/>
        <color rgb="FFF8696B"/>
      </colorScale>
    </cfRule>
    <cfRule type="colorScale" priority="10282">
      <colorScale>
        <cfvo type="min"/>
        <cfvo type="percentile" val="50"/>
        <cfvo type="max"/>
        <color rgb="FF63BE7B"/>
        <color rgb="FFFFEB84"/>
        <color rgb="FFF8696B"/>
      </colorScale>
    </cfRule>
    <cfRule type="colorScale" priority="10283">
      <colorScale>
        <cfvo type="min"/>
        <cfvo type="percentile" val="50"/>
        <cfvo type="max"/>
        <color rgb="FF63BE7B"/>
        <color rgb="FFFFEB84"/>
        <color rgb="FFF8696B"/>
      </colorScale>
    </cfRule>
    <cfRule type="colorScale" priority="10284">
      <colorScale>
        <cfvo type="min"/>
        <cfvo type="percentile" val="50"/>
        <cfvo type="max"/>
        <color rgb="FF63BE7B"/>
        <color rgb="FFFFEB84"/>
        <color rgb="FFF8696B"/>
      </colorScale>
    </cfRule>
    <cfRule type="colorScale" priority="10285">
      <colorScale>
        <cfvo type="min"/>
        <cfvo type="percentile" val="50"/>
        <cfvo type="max"/>
        <color rgb="FF63BE7B"/>
        <color rgb="FFFFEB84"/>
        <color rgb="FFF8696B"/>
      </colorScale>
    </cfRule>
    <cfRule type="colorScale" priority="10286">
      <colorScale>
        <cfvo type="min"/>
        <cfvo type="percentile" val="50"/>
        <cfvo type="max"/>
        <color rgb="FF63BE7B"/>
        <color rgb="FFFFEB84"/>
        <color rgb="FFF8696B"/>
      </colorScale>
    </cfRule>
  </conditionalFormatting>
  <conditionalFormatting sqref="R35:R50">
    <cfRule type="colorScale" priority="13210">
      <colorScale>
        <cfvo type="min"/>
        <cfvo type="percentile" val="50"/>
        <cfvo type="max"/>
        <color rgb="FF63BE7B"/>
        <color rgb="FFFFEB84"/>
        <color rgb="FFF8696B"/>
      </colorScale>
    </cfRule>
  </conditionalFormatting>
  <conditionalFormatting sqref="R35:R53">
    <cfRule type="colorScale" priority="13228">
      <colorScale>
        <cfvo type="min"/>
        <cfvo type="percentile" val="50"/>
        <cfvo type="max"/>
        <color rgb="FF63BE7B"/>
        <color rgb="FFFFEB84"/>
        <color rgb="FFF8696B"/>
      </colorScale>
    </cfRule>
  </conditionalFormatting>
  <conditionalFormatting sqref="R36:R37">
    <cfRule type="colorScale" priority="10277">
      <colorScale>
        <cfvo type="min"/>
        <cfvo type="percentile" val="50"/>
        <cfvo type="max"/>
        <color rgb="FF63BE7B"/>
        <color rgb="FFFFEB84"/>
        <color rgb="FFF8696B"/>
      </colorScale>
    </cfRule>
  </conditionalFormatting>
  <conditionalFormatting sqref="R36:R41">
    <cfRule type="colorScale" priority="13158">
      <colorScale>
        <cfvo type="min"/>
        <cfvo type="percentile" val="50"/>
        <cfvo type="max"/>
        <color rgb="FF63BE7B"/>
        <color rgb="FFFFEB84"/>
        <color rgb="FFF8696B"/>
      </colorScale>
    </cfRule>
    <cfRule type="colorScale" priority="10287">
      <colorScale>
        <cfvo type="min"/>
        <cfvo type="percentile" val="50"/>
        <cfvo type="max"/>
        <color rgb="FF63BE7B"/>
        <color rgb="FFFFEB84"/>
        <color rgb="FFF8696B"/>
      </colorScale>
    </cfRule>
  </conditionalFormatting>
  <conditionalFormatting sqref="R42">
    <cfRule type="colorScale" priority="7398">
      <colorScale>
        <cfvo type="min"/>
        <cfvo type="percentile" val="50"/>
        <cfvo type="max"/>
        <color rgb="FF63BE7B"/>
        <color rgb="FFFFEB84"/>
        <color rgb="FFF8696B"/>
      </colorScale>
    </cfRule>
    <cfRule type="colorScale" priority="7381">
      <colorScale>
        <cfvo type="min"/>
        <cfvo type="percentile" val="50"/>
        <cfvo type="max"/>
        <color rgb="FFF8696B"/>
        <color rgb="FFFFEB84"/>
        <color rgb="FF63BE7B"/>
      </colorScale>
    </cfRule>
    <cfRule type="colorScale" priority="7382">
      <colorScale>
        <cfvo type="min"/>
        <cfvo type="percentile" val="50"/>
        <cfvo type="max"/>
        <color rgb="FFF8696B"/>
        <color rgb="FFFFEB84"/>
        <color rgb="FF63BE7B"/>
      </colorScale>
    </cfRule>
    <cfRule type="colorScale" priority="7383">
      <colorScale>
        <cfvo type="min"/>
        <cfvo type="percentile" val="50"/>
        <cfvo type="max"/>
        <color rgb="FF63BE7B"/>
        <color rgb="FFFFEB84"/>
        <color rgb="FFF8696B"/>
      </colorScale>
    </cfRule>
    <cfRule type="colorScale" priority="7384">
      <colorScale>
        <cfvo type="min"/>
        <cfvo type="percentile" val="50"/>
        <cfvo type="max"/>
        <color rgb="FF63BE7B"/>
        <color rgb="FFFFEB84"/>
        <color rgb="FFF8696B"/>
      </colorScale>
    </cfRule>
    <cfRule type="colorScale" priority="7386">
      <colorScale>
        <cfvo type="min"/>
        <cfvo type="percentile" val="50"/>
        <cfvo type="max"/>
        <color rgb="FF63BE7B"/>
        <color rgb="FFFFEB84"/>
        <color rgb="FFF8696B"/>
      </colorScale>
    </cfRule>
    <cfRule type="colorScale" priority="7387">
      <colorScale>
        <cfvo type="min"/>
        <cfvo type="percentile" val="50"/>
        <cfvo type="max"/>
        <color rgb="FF63BE7B"/>
        <color rgb="FFFFEB84"/>
        <color rgb="FFF8696B"/>
      </colorScale>
    </cfRule>
    <cfRule type="colorScale" priority="7388">
      <colorScale>
        <cfvo type="min"/>
        <cfvo type="percentile" val="50"/>
        <cfvo type="max"/>
        <color rgb="FF63BE7B"/>
        <color rgb="FFFFEB84"/>
        <color rgb="FFF8696B"/>
      </colorScale>
    </cfRule>
    <cfRule type="colorScale" priority="7389">
      <colorScale>
        <cfvo type="min"/>
        <cfvo type="percentile" val="50"/>
        <cfvo type="max"/>
        <color rgb="FF63BE7B"/>
        <color rgb="FFFFEB84"/>
        <color rgb="FFF8696B"/>
      </colorScale>
    </cfRule>
    <cfRule type="colorScale" priority="7390">
      <colorScale>
        <cfvo type="min"/>
        <cfvo type="percentile" val="50"/>
        <cfvo type="max"/>
        <color rgb="FF63BE7B"/>
        <color rgb="FFFFEB84"/>
        <color rgb="FFF8696B"/>
      </colorScale>
    </cfRule>
    <cfRule type="colorScale" priority="7391">
      <colorScale>
        <cfvo type="min"/>
        <cfvo type="percentile" val="50"/>
        <cfvo type="max"/>
        <color rgb="FF63BE7B"/>
        <color rgb="FFFFEB84"/>
        <color rgb="FFF8696B"/>
      </colorScale>
    </cfRule>
    <cfRule type="colorScale" priority="7392">
      <colorScale>
        <cfvo type="min"/>
        <cfvo type="percentile" val="50"/>
        <cfvo type="max"/>
        <color rgb="FFF8696B"/>
        <color rgb="FFFFEB84"/>
        <color rgb="FF63BE7B"/>
      </colorScale>
    </cfRule>
    <cfRule type="colorScale" priority="7393">
      <colorScale>
        <cfvo type="min"/>
        <cfvo type="percentile" val="50"/>
        <cfvo type="max"/>
        <color rgb="FFF8696B"/>
        <color rgb="FFFFEB84"/>
        <color rgb="FF63BE7B"/>
      </colorScale>
    </cfRule>
    <cfRule type="colorScale" priority="7394">
      <colorScale>
        <cfvo type="min"/>
        <cfvo type="percentile" val="50"/>
        <cfvo type="max"/>
        <color rgb="FF63BE7B"/>
        <color rgb="FFFFEB84"/>
        <color rgb="FFF8696B"/>
      </colorScale>
    </cfRule>
    <cfRule type="colorScale" priority="7395">
      <colorScale>
        <cfvo type="min"/>
        <cfvo type="percentile" val="50"/>
        <cfvo type="max"/>
        <color rgb="FFF8696B"/>
        <color rgb="FFFFEB84"/>
        <color rgb="FF63BE7B"/>
      </colorScale>
    </cfRule>
    <cfRule type="colorScale" priority="7396">
      <colorScale>
        <cfvo type="min"/>
        <cfvo type="percentile" val="50"/>
        <cfvo type="max"/>
        <color rgb="FF63BE7B"/>
        <color rgb="FFFFEB84"/>
        <color rgb="FFF8696B"/>
      </colorScale>
    </cfRule>
    <cfRule type="colorScale" priority="7397">
      <colorScale>
        <cfvo type="min"/>
        <cfvo type="percentile" val="50"/>
        <cfvo type="max"/>
        <color rgb="FF63BE7B"/>
        <color rgb="FFFFEB84"/>
        <color rgb="FFF8696B"/>
      </colorScale>
    </cfRule>
  </conditionalFormatting>
  <conditionalFormatting sqref="R42:R50">
    <cfRule type="colorScale" priority="7380">
      <colorScale>
        <cfvo type="min"/>
        <cfvo type="percentile" val="50"/>
        <cfvo type="max"/>
        <color rgb="FFF8696B"/>
        <color rgb="FFFFEB84"/>
        <color rgb="FF63BE7B"/>
      </colorScale>
    </cfRule>
    <cfRule type="colorScale" priority="7458">
      <colorScale>
        <cfvo type="min"/>
        <cfvo type="percentile" val="50"/>
        <cfvo type="max"/>
        <color rgb="FF63BE7B"/>
        <color rgb="FFFFEB84"/>
        <color rgb="FFF8696B"/>
      </colorScale>
    </cfRule>
    <cfRule type="colorScale" priority="7385">
      <colorScale>
        <cfvo type="min"/>
        <cfvo type="percentile" val="50"/>
        <cfvo type="max"/>
        <color rgb="FF63BE7B"/>
        <color rgb="FFFFEB84"/>
        <color rgb="FFF8696B"/>
      </colorScale>
    </cfRule>
  </conditionalFormatting>
  <conditionalFormatting sqref="R51:R53">
    <cfRule type="colorScale" priority="4413">
      <colorScale>
        <cfvo type="min"/>
        <cfvo type="percentile" val="50"/>
        <cfvo type="max"/>
        <color rgb="FF63BE7B"/>
        <color rgb="FFFFEB84"/>
        <color rgb="FFF8696B"/>
      </colorScale>
    </cfRule>
    <cfRule type="colorScale" priority="4440">
      <colorScale>
        <cfvo type="min"/>
        <cfvo type="percentile" val="50"/>
        <cfvo type="max"/>
        <color rgb="FF63BE7B"/>
        <color rgb="FFFFEB84"/>
        <color rgb="FFF8696B"/>
      </colorScale>
    </cfRule>
    <cfRule type="colorScale" priority="4441">
      <colorScale>
        <cfvo type="min"/>
        <cfvo type="percentile" val="50"/>
        <cfvo type="max"/>
        <color rgb="FF63BE7B"/>
        <color rgb="FFFFEB84"/>
        <color rgb="FFF8696B"/>
      </colorScale>
    </cfRule>
  </conditionalFormatting>
  <conditionalFormatting sqref="R52:R53">
    <cfRule type="colorScale" priority="7213">
      <colorScale>
        <cfvo type="min"/>
        <cfvo type="percentile" val="50"/>
        <cfvo type="max"/>
        <color rgb="FF63BE7B"/>
        <color rgb="FFFFEB84"/>
        <color rgb="FFF8696B"/>
      </colorScale>
    </cfRule>
    <cfRule type="colorScale" priority="7214">
      <colorScale>
        <cfvo type="min"/>
        <cfvo type="percentile" val="50"/>
        <cfvo type="max"/>
        <color rgb="FF63BE7B"/>
        <color rgb="FFFFEB84"/>
        <color rgb="FFF8696B"/>
      </colorScale>
    </cfRule>
    <cfRule type="colorScale" priority="7215">
      <colorScale>
        <cfvo type="min"/>
        <cfvo type="percentile" val="50"/>
        <cfvo type="max"/>
        <color rgb="FF63BE7B"/>
        <color rgb="FFFFEB84"/>
        <color rgb="FFF8696B"/>
      </colorScale>
    </cfRule>
    <cfRule type="colorScale" priority="6339">
      <colorScale>
        <cfvo type="min"/>
        <cfvo type="percentile" val="50"/>
        <cfvo type="max"/>
        <color rgb="FF63BE7B"/>
        <color rgb="FFFFEB84"/>
        <color rgb="FFF8696B"/>
      </colorScale>
    </cfRule>
    <cfRule type="colorScale" priority="6330">
      <colorScale>
        <cfvo type="min"/>
        <cfvo type="percentile" val="50"/>
        <cfvo type="max"/>
        <color rgb="FF63BE7B"/>
        <color rgb="FFFFEB84"/>
        <color rgb="FFF8696B"/>
      </colorScale>
    </cfRule>
    <cfRule type="colorScale" priority="4434">
      <colorScale>
        <cfvo type="min"/>
        <cfvo type="percentile" val="50"/>
        <cfvo type="max"/>
        <color rgb="FF63BE7B"/>
        <color rgb="FFFFEB84"/>
        <color rgb="FFF8696B"/>
      </colorScale>
    </cfRule>
    <cfRule type="colorScale" priority="4435">
      <colorScale>
        <cfvo type="min"/>
        <cfvo type="percentile" val="50"/>
        <cfvo type="max"/>
        <color rgb="FF63BE7B"/>
        <color rgb="FFFFEB84"/>
        <color rgb="FFF8696B"/>
      </colorScale>
    </cfRule>
    <cfRule type="colorScale" priority="4436">
      <colorScale>
        <cfvo type="min"/>
        <cfvo type="percentile" val="50"/>
        <cfvo type="max"/>
        <color rgb="FF63BE7B"/>
        <color rgb="FFFFEB84"/>
        <color rgb="FFF8696B"/>
      </colorScale>
    </cfRule>
    <cfRule type="colorScale" priority="4437">
      <colorScale>
        <cfvo type="min"/>
        <cfvo type="percentile" val="50"/>
        <cfvo type="max"/>
        <color rgb="FF63BE7B"/>
        <color rgb="FFFFEB84"/>
        <color rgb="FFF8696B"/>
      </colorScale>
    </cfRule>
    <cfRule type="colorScale" priority="4438">
      <colorScale>
        <cfvo type="min"/>
        <cfvo type="percentile" val="50"/>
        <cfvo type="max"/>
        <color rgb="FF63BE7B"/>
        <color rgb="FFFFEB84"/>
        <color rgb="FFF8696B"/>
      </colorScale>
    </cfRule>
    <cfRule type="colorScale" priority="4439">
      <colorScale>
        <cfvo type="min"/>
        <cfvo type="percentile" val="50"/>
        <cfvo type="max"/>
        <color rgb="FF63BE7B"/>
        <color rgb="FFFFEB84"/>
        <color rgb="FFF8696B"/>
      </colorScale>
    </cfRule>
    <cfRule type="colorScale" priority="6343">
      <colorScale>
        <cfvo type="min"/>
        <cfvo type="percentile" val="50"/>
        <cfvo type="max"/>
        <color rgb="FF63BE7B"/>
        <color rgb="FFFFEB84"/>
        <color rgb="FFF8696B"/>
      </colorScale>
    </cfRule>
    <cfRule type="colorScale" priority="7212">
      <colorScale>
        <cfvo type="min"/>
        <cfvo type="percentile" val="50"/>
        <cfvo type="max"/>
        <color rgb="FF63BE7B"/>
        <color rgb="FFFFEB84"/>
        <color rgb="FFF8696B"/>
      </colorScale>
    </cfRule>
    <cfRule type="colorScale" priority="6331">
      <colorScale>
        <cfvo type="min"/>
        <cfvo type="percentile" val="50"/>
        <cfvo type="max"/>
        <color rgb="FF63BE7B"/>
        <color rgb="FFFFEB84"/>
        <color rgb="FFF8696B"/>
      </colorScale>
    </cfRule>
    <cfRule type="colorScale" priority="6332">
      <colorScale>
        <cfvo type="min"/>
        <cfvo type="percentile" val="50"/>
        <cfvo type="max"/>
        <color rgb="FF63BE7B"/>
        <color rgb="FFFFEB84"/>
        <color rgb="FFF8696B"/>
      </colorScale>
    </cfRule>
    <cfRule type="colorScale" priority="6333">
      <colorScale>
        <cfvo type="min"/>
        <cfvo type="percentile" val="50"/>
        <cfvo type="max"/>
        <color rgb="FF63BE7B"/>
        <color rgb="FFFFEB84"/>
        <color rgb="FFF8696B"/>
      </colorScale>
    </cfRule>
    <cfRule type="colorScale" priority="6334">
      <colorScale>
        <cfvo type="min"/>
        <cfvo type="percentile" val="50"/>
        <cfvo type="max"/>
        <color rgb="FF63BE7B"/>
        <color rgb="FFFFEB84"/>
        <color rgb="FFF8696B"/>
      </colorScale>
    </cfRule>
    <cfRule type="colorScale" priority="6335">
      <colorScale>
        <cfvo type="min"/>
        <cfvo type="percentile" val="50"/>
        <cfvo type="max"/>
        <color rgb="FF63BE7B"/>
        <color rgb="FFFFEB84"/>
        <color rgb="FFF8696B"/>
      </colorScale>
    </cfRule>
    <cfRule type="colorScale" priority="6344">
      <colorScale>
        <cfvo type="min"/>
        <cfvo type="percentile" val="50"/>
        <cfvo type="max"/>
        <color rgb="FF63BE7B"/>
        <color rgb="FFFFEB84"/>
        <color rgb="FFF8696B"/>
      </colorScale>
    </cfRule>
    <cfRule type="colorScale" priority="6336">
      <colorScale>
        <cfvo type="min"/>
        <cfvo type="percentile" val="50"/>
        <cfvo type="max"/>
        <color rgb="FF63BE7B"/>
        <color rgb="FFFFEB84"/>
        <color rgb="FFF8696B"/>
      </colorScale>
    </cfRule>
    <cfRule type="colorScale" priority="6345">
      <colorScale>
        <cfvo type="min"/>
        <cfvo type="percentile" val="50"/>
        <cfvo type="max"/>
        <color rgb="FF63BE7B"/>
        <color rgb="FFFFEB84"/>
        <color rgb="FFF8696B"/>
      </colorScale>
    </cfRule>
    <cfRule type="colorScale" priority="4428">
      <colorScale>
        <cfvo type="min"/>
        <cfvo type="percentile" val="50"/>
        <cfvo type="max"/>
        <color rgb="FF63BE7B"/>
        <color rgb="FFFFEB84"/>
        <color rgb="FFF8696B"/>
      </colorScale>
    </cfRule>
    <cfRule type="colorScale" priority="6961">
      <colorScale>
        <cfvo type="min"/>
        <cfvo type="percentile" val="50"/>
        <cfvo type="max"/>
        <color rgb="FF63BE7B"/>
        <color rgb="FFFFEB84"/>
        <color rgb="FFF8696B"/>
      </colorScale>
    </cfRule>
    <cfRule type="colorScale" priority="6962">
      <colorScale>
        <cfvo type="min"/>
        <cfvo type="percentile" val="50"/>
        <cfvo type="max"/>
        <color rgb="FF63BE7B"/>
        <color rgb="FFFFEB84"/>
        <color rgb="FFF8696B"/>
      </colorScale>
    </cfRule>
    <cfRule type="colorScale" priority="6963">
      <colorScale>
        <cfvo type="min"/>
        <cfvo type="percentile" val="50"/>
        <cfvo type="max"/>
        <color rgb="FF63BE7B"/>
        <color rgb="FFFFEB84"/>
        <color rgb="FFF8696B"/>
      </colorScale>
    </cfRule>
    <cfRule type="colorScale" priority="6964">
      <colorScale>
        <cfvo type="min"/>
        <cfvo type="percentile" val="50"/>
        <cfvo type="max"/>
        <color rgb="FF63BE7B"/>
        <color rgb="FFFFEB84"/>
        <color rgb="FFF8696B"/>
      </colorScale>
    </cfRule>
    <cfRule type="colorScale" priority="6965">
      <colorScale>
        <cfvo type="min"/>
        <cfvo type="percentile" val="50"/>
        <cfvo type="max"/>
        <color rgb="FF63BE7B"/>
        <color rgb="FFFFEB84"/>
        <color rgb="FFF8696B"/>
      </colorScale>
    </cfRule>
    <cfRule type="colorScale" priority="6966">
      <colorScale>
        <cfvo type="min"/>
        <cfvo type="percentile" val="50"/>
        <cfvo type="max"/>
        <color rgb="FF63BE7B"/>
        <color rgb="FFFFEB84"/>
        <color rgb="FFF8696B"/>
      </colorScale>
    </cfRule>
    <cfRule type="colorScale" priority="6337">
      <colorScale>
        <cfvo type="min"/>
        <cfvo type="percentile" val="50"/>
        <cfvo type="max"/>
        <color rgb="FF63BE7B"/>
        <color rgb="FFFFEB84"/>
        <color rgb="FFF8696B"/>
      </colorScale>
    </cfRule>
    <cfRule type="colorScale" priority="6967">
      <colorScale>
        <cfvo type="min"/>
        <cfvo type="percentile" val="50"/>
        <cfvo type="max"/>
        <color rgb="FF63BE7B"/>
        <color rgb="FFFFEB84"/>
        <color rgb="FFF8696B"/>
      </colorScale>
    </cfRule>
    <cfRule type="colorScale" priority="7261">
      <colorScale>
        <cfvo type="min"/>
        <cfvo type="percentile" val="50"/>
        <cfvo type="max"/>
        <color rgb="FF63BE7B"/>
        <color rgb="FFFFEB84"/>
        <color rgb="FFF8696B"/>
      </colorScale>
    </cfRule>
    <cfRule type="colorScale" priority="6968">
      <colorScale>
        <cfvo type="min"/>
        <cfvo type="percentile" val="50"/>
        <cfvo type="max"/>
        <color rgb="FF63BE7B"/>
        <color rgb="FFFFEB84"/>
        <color rgb="FFF8696B"/>
      </colorScale>
    </cfRule>
    <cfRule type="colorScale" priority="6969">
      <colorScale>
        <cfvo type="min"/>
        <cfvo type="percentile" val="50"/>
        <cfvo type="max"/>
        <color rgb="FF63BE7B"/>
        <color rgb="FFFFEB84"/>
        <color rgb="FFF8696B"/>
      </colorScale>
    </cfRule>
    <cfRule type="colorScale" priority="4429">
      <colorScale>
        <cfvo type="min"/>
        <cfvo type="percentile" val="50"/>
        <cfvo type="max"/>
        <color rgb="FF63BE7B"/>
        <color rgb="FFFFEB84"/>
        <color rgb="FFF8696B"/>
      </colorScale>
    </cfRule>
    <cfRule type="colorScale" priority="4430">
      <colorScale>
        <cfvo type="min"/>
        <cfvo type="percentile" val="50"/>
        <cfvo type="max"/>
        <color rgb="FF63BE7B"/>
        <color rgb="FFFFEB84"/>
        <color rgb="FFF8696B"/>
      </colorScale>
    </cfRule>
    <cfRule type="colorScale" priority="6346">
      <colorScale>
        <cfvo type="min"/>
        <cfvo type="percentile" val="50"/>
        <cfvo type="max"/>
        <color rgb="FF63BE7B"/>
        <color rgb="FFFFEB84"/>
        <color rgb="FFF8696B"/>
      </colorScale>
    </cfRule>
    <cfRule type="colorScale" priority="4431">
      <colorScale>
        <cfvo type="min"/>
        <cfvo type="percentile" val="50"/>
        <cfvo type="max"/>
        <color rgb="FF63BE7B"/>
        <color rgb="FFFFEB84"/>
        <color rgb="FFF8696B"/>
      </colorScale>
    </cfRule>
    <cfRule type="colorScale" priority="4432">
      <colorScale>
        <cfvo type="min"/>
        <cfvo type="percentile" val="50"/>
        <cfvo type="max"/>
        <color rgb="FF63BE7B"/>
        <color rgb="FFFFEB84"/>
        <color rgb="FFF8696B"/>
      </colorScale>
    </cfRule>
    <cfRule type="colorScale" priority="4433">
      <colorScale>
        <cfvo type="min"/>
        <cfvo type="percentile" val="50"/>
        <cfvo type="max"/>
        <color rgb="FF63BE7B"/>
        <color rgb="FFFFEB84"/>
        <color rgb="FFF8696B"/>
      </colorScale>
    </cfRule>
    <cfRule type="colorScale" priority="4414">
      <colorScale>
        <cfvo type="min"/>
        <cfvo type="percentile" val="50"/>
        <cfvo type="max"/>
        <color rgb="FF63BE7B"/>
        <color rgb="FFFFEB84"/>
        <color rgb="FFF8696B"/>
      </colorScale>
    </cfRule>
    <cfRule type="colorScale" priority="6338">
      <colorScale>
        <cfvo type="min"/>
        <cfvo type="percentile" val="50"/>
        <cfvo type="max"/>
        <color rgb="FF63BE7B"/>
        <color rgb="FFFFEB84"/>
        <color rgb="FFF8696B"/>
      </colorScale>
    </cfRule>
    <cfRule type="colorScale" priority="6342">
      <colorScale>
        <cfvo type="min"/>
        <cfvo type="percentile" val="50"/>
        <cfvo type="max"/>
        <color rgb="FF63BE7B"/>
        <color rgb="FFFFEB84"/>
        <color rgb="FFF8696B"/>
      </colorScale>
    </cfRule>
    <cfRule type="colorScale" priority="4415">
      <colorScale>
        <cfvo type="min"/>
        <cfvo type="percentile" val="50"/>
        <cfvo type="max"/>
        <color rgb="FF63BE7B"/>
        <color rgb="FFFFEB84"/>
        <color rgb="FFF8696B"/>
      </colorScale>
    </cfRule>
    <cfRule type="colorScale" priority="6341">
      <colorScale>
        <cfvo type="min"/>
        <cfvo type="percentile" val="50"/>
        <cfvo type="max"/>
        <color rgb="FF63BE7B"/>
        <color rgb="FFFFEB84"/>
        <color rgb="FFF8696B"/>
      </colorScale>
    </cfRule>
    <cfRule type="colorScale" priority="6340">
      <colorScale>
        <cfvo type="min"/>
        <cfvo type="percentile" val="50"/>
        <cfvo type="max"/>
        <color rgb="FF63BE7B"/>
        <color rgb="FFFFEB84"/>
        <color rgb="FFF8696B"/>
      </colorScale>
    </cfRule>
    <cfRule type="colorScale" priority="4416">
      <colorScale>
        <cfvo type="min"/>
        <cfvo type="percentile" val="50"/>
        <cfvo type="max"/>
        <color rgb="FF63BE7B"/>
        <color rgb="FFFFEB84"/>
        <color rgb="FFF8696B"/>
      </colorScale>
    </cfRule>
    <cfRule type="colorScale" priority="4417">
      <colorScale>
        <cfvo type="min"/>
        <cfvo type="percentile" val="50"/>
        <cfvo type="max"/>
        <color rgb="FF63BE7B"/>
        <color rgb="FFFFEB84"/>
        <color rgb="FFF8696B"/>
      </colorScale>
    </cfRule>
    <cfRule type="colorScale" priority="4418">
      <colorScale>
        <cfvo type="min"/>
        <cfvo type="percentile" val="50"/>
        <cfvo type="max"/>
        <color rgb="FF63BE7B"/>
        <color rgb="FFFFEB84"/>
        <color rgb="FFF8696B"/>
      </colorScale>
    </cfRule>
    <cfRule type="colorScale" priority="4419">
      <colorScale>
        <cfvo type="min"/>
        <cfvo type="percentile" val="50"/>
        <cfvo type="max"/>
        <color rgb="FF63BE7B"/>
        <color rgb="FFFFEB84"/>
        <color rgb="FFF8696B"/>
      </colorScale>
    </cfRule>
    <cfRule type="colorScale" priority="4420">
      <colorScale>
        <cfvo type="min"/>
        <cfvo type="percentile" val="50"/>
        <cfvo type="max"/>
        <color rgb="FF63BE7B"/>
        <color rgb="FFFFEB84"/>
        <color rgb="FFF8696B"/>
      </colorScale>
    </cfRule>
    <cfRule type="colorScale" priority="6348">
      <colorScale>
        <cfvo type="min"/>
        <cfvo type="percentile" val="50"/>
        <cfvo type="max"/>
        <color rgb="FF63BE7B"/>
        <color rgb="FFFFEB84"/>
        <color rgb="FFF8696B"/>
      </colorScale>
    </cfRule>
    <cfRule type="colorScale" priority="6347">
      <colorScale>
        <cfvo type="min"/>
        <cfvo type="percentile" val="50"/>
        <cfvo type="max"/>
        <color rgb="FF63BE7B"/>
        <color rgb="FFFFEB84"/>
        <color rgb="FFF8696B"/>
      </colorScale>
    </cfRule>
    <cfRule type="colorScale" priority="4421">
      <colorScale>
        <cfvo type="min"/>
        <cfvo type="percentile" val="50"/>
        <cfvo type="max"/>
        <color rgb="FF63BE7B"/>
        <color rgb="FFFFEB84"/>
        <color rgb="FFF8696B"/>
      </colorScale>
    </cfRule>
    <cfRule type="colorScale" priority="4422">
      <colorScale>
        <cfvo type="min"/>
        <cfvo type="percentile" val="50"/>
        <cfvo type="max"/>
        <color rgb="FF63BE7B"/>
        <color rgb="FFFFEB84"/>
        <color rgb="FFF8696B"/>
      </colorScale>
    </cfRule>
    <cfRule type="colorScale" priority="4423">
      <colorScale>
        <cfvo type="min"/>
        <cfvo type="percentile" val="50"/>
        <cfvo type="max"/>
        <color rgb="FF63BE7B"/>
        <color rgb="FFFFEB84"/>
        <color rgb="FFF8696B"/>
      </colorScale>
    </cfRule>
    <cfRule type="colorScale" priority="4424">
      <colorScale>
        <cfvo type="min"/>
        <cfvo type="percentile" val="50"/>
        <cfvo type="max"/>
        <color rgb="FF63BE7B"/>
        <color rgb="FFFFEB84"/>
        <color rgb="FFF8696B"/>
      </colorScale>
    </cfRule>
    <cfRule type="colorScale" priority="4425">
      <colorScale>
        <cfvo type="min"/>
        <cfvo type="percentile" val="50"/>
        <cfvo type="max"/>
        <color rgb="FF63BE7B"/>
        <color rgb="FFFFEB84"/>
        <color rgb="FFF8696B"/>
      </colorScale>
    </cfRule>
    <cfRule type="colorScale" priority="4426">
      <colorScale>
        <cfvo type="min"/>
        <cfvo type="percentile" val="50"/>
        <cfvo type="max"/>
        <color rgb="FF63BE7B"/>
        <color rgb="FFFFEB84"/>
        <color rgb="FFF8696B"/>
      </colorScale>
    </cfRule>
    <cfRule type="colorScale" priority="4427">
      <colorScale>
        <cfvo type="min"/>
        <cfvo type="percentile" val="50"/>
        <cfvo type="max"/>
        <color rgb="FF63BE7B"/>
        <color rgb="FFFFEB84"/>
        <color rgb="FFF8696B"/>
      </colorScale>
    </cfRule>
  </conditionalFormatting>
  <conditionalFormatting sqref="R54:R61">
    <cfRule type="colorScale" priority="1">
      <colorScale>
        <cfvo type="min"/>
        <cfvo type="percentile" val="50"/>
        <cfvo type="max"/>
        <color rgb="FFF8696B"/>
        <color rgb="FFFFEB84"/>
        <color rgb="FF63BE7B"/>
      </colorScale>
    </cfRule>
    <cfRule type="colorScale" priority="58">
      <colorScale>
        <cfvo type="min"/>
        <cfvo type="percentile" val="50"/>
        <cfvo type="max"/>
        <color rgb="FF63BE7B"/>
        <color rgb="FFFFEB84"/>
        <color rgb="FFF8696B"/>
      </colorScale>
    </cfRule>
    <cfRule type="colorScale" priority="41">
      <colorScale>
        <cfvo type="min"/>
        <cfvo type="percentile" val="50"/>
        <cfvo type="max"/>
        <color rgb="FF63BE7B"/>
        <color rgb="FFFFEB84"/>
        <color rgb="FFF8696B"/>
      </colorScale>
    </cfRule>
  </conditionalFormatting>
  <conditionalFormatting sqref="R65:R71">
    <cfRule type="colorScale" priority="12544">
      <colorScale>
        <cfvo type="min"/>
        <cfvo type="percentile" val="50"/>
        <cfvo type="max"/>
        <color rgb="FF63BE7B"/>
        <color rgb="FFFFEB84"/>
        <color rgb="FFF8696B"/>
      </colorScale>
    </cfRule>
    <cfRule type="colorScale" priority="12543">
      <colorScale>
        <cfvo type="min"/>
        <cfvo type="percentile" val="50"/>
        <cfvo type="max"/>
        <color rgb="FF63BE7B"/>
        <color rgb="FFFFEB84"/>
        <color rgb="FFF8696B"/>
      </colorScale>
    </cfRule>
    <cfRule type="colorScale" priority="12542">
      <colorScale>
        <cfvo type="min"/>
        <cfvo type="percentile" val="50"/>
        <cfvo type="max"/>
        <color rgb="FF63BE7B"/>
        <color rgb="FFFFEB84"/>
        <color rgb="FFF8696B"/>
      </colorScale>
    </cfRule>
  </conditionalFormatting>
  <conditionalFormatting sqref="R65:R80">
    <cfRule type="colorScale" priority="12593">
      <colorScale>
        <cfvo type="min"/>
        <cfvo type="percentile" val="50"/>
        <cfvo type="max"/>
        <color rgb="FF63BE7B"/>
        <color rgb="FFFFEB84"/>
        <color rgb="FFF8696B"/>
      </colorScale>
    </cfRule>
  </conditionalFormatting>
  <conditionalFormatting sqref="R65:R91">
    <cfRule type="colorScale" priority="12611">
      <colorScale>
        <cfvo type="min"/>
        <cfvo type="percentile" val="50"/>
        <cfvo type="max"/>
        <color rgb="FF63BE7B"/>
        <color rgb="FFFFEB84"/>
        <color rgb="FFF8696B"/>
      </colorScale>
    </cfRule>
  </conditionalFormatting>
  <conditionalFormatting sqref="R66:R71">
    <cfRule type="colorScale" priority="12545">
      <colorScale>
        <cfvo type="min"/>
        <cfvo type="percentile" val="50"/>
        <cfvo type="max"/>
        <color rgb="FF63BE7B"/>
        <color rgb="FFFFEB84"/>
        <color rgb="FFF8696B"/>
      </colorScale>
    </cfRule>
  </conditionalFormatting>
  <conditionalFormatting sqref="R72:R80">
    <cfRule type="colorScale" priority="12418">
      <colorScale>
        <cfvo type="min"/>
        <cfvo type="percentile" val="50"/>
        <cfvo type="max"/>
        <color rgb="FF63BE7B"/>
        <color rgb="FFFFEB84"/>
        <color rgb="FFF8696B"/>
      </colorScale>
    </cfRule>
    <cfRule type="colorScale" priority="12419">
      <colorScale>
        <cfvo type="min"/>
        <cfvo type="percentile" val="50"/>
        <cfvo type="max"/>
        <color rgb="FF63BE7B"/>
        <color rgb="FFFFEB84"/>
        <color rgb="FFF8696B"/>
      </colorScale>
    </cfRule>
    <cfRule type="colorScale" priority="12421">
      <colorScale>
        <cfvo type="min"/>
        <cfvo type="percentile" val="50"/>
        <cfvo type="max"/>
        <color rgb="FF63BE7B"/>
        <color rgb="FFFFEB84"/>
        <color rgb="FFF8696B"/>
      </colorScale>
    </cfRule>
    <cfRule type="colorScale" priority="12420">
      <colorScale>
        <cfvo type="min"/>
        <cfvo type="percentile" val="50"/>
        <cfvo type="max"/>
        <color rgb="FF63BE7B"/>
        <color rgb="FFFFEB84"/>
        <color rgb="FFF8696B"/>
      </colorScale>
    </cfRule>
  </conditionalFormatting>
  <conditionalFormatting sqref="R81:R83">
    <cfRule type="colorScale" priority="12303">
      <colorScale>
        <cfvo type="min"/>
        <cfvo type="percentile" val="50"/>
        <cfvo type="max"/>
        <color rgb="FF63BE7B"/>
        <color rgb="FFFFEB84"/>
        <color rgb="FFF8696B"/>
      </colorScale>
    </cfRule>
    <cfRule type="colorScale" priority="12304">
      <colorScale>
        <cfvo type="min"/>
        <cfvo type="percentile" val="50"/>
        <cfvo type="max"/>
        <color rgb="FF63BE7B"/>
        <color rgb="FFFFEB84"/>
        <color rgb="FFF8696B"/>
      </colorScale>
    </cfRule>
  </conditionalFormatting>
  <conditionalFormatting sqref="R81:R91">
    <cfRule type="colorScale" priority="12186">
      <colorScale>
        <cfvo type="min"/>
        <cfvo type="percentile" val="50"/>
        <cfvo type="max"/>
        <color rgb="FF63BE7B"/>
        <color rgb="FFFFEB84"/>
        <color rgb="FFF8696B"/>
      </colorScale>
    </cfRule>
    <cfRule type="colorScale" priority="12188">
      <colorScale>
        <cfvo type="min"/>
        <cfvo type="percentile" val="50"/>
        <cfvo type="max"/>
        <color rgb="FF63BE7B"/>
        <color rgb="FFFFEB84"/>
        <color rgb="FFF8696B"/>
      </colorScale>
    </cfRule>
    <cfRule type="colorScale" priority="12189">
      <colorScale>
        <cfvo type="min"/>
        <cfvo type="percentile" val="50"/>
        <cfvo type="max"/>
        <color rgb="FF63BE7B"/>
        <color rgb="FFFFEB84"/>
        <color rgb="FFF8696B"/>
      </colorScale>
    </cfRule>
  </conditionalFormatting>
  <conditionalFormatting sqref="R84:R91">
    <cfRule type="colorScale" priority="12149">
      <colorScale>
        <cfvo type="min"/>
        <cfvo type="percentile" val="50"/>
        <cfvo type="max"/>
        <color rgb="FF63BE7B"/>
        <color rgb="FFFFEB84"/>
        <color rgb="FFF8696B"/>
      </colorScale>
    </cfRule>
    <cfRule type="colorScale" priority="12150">
      <colorScale>
        <cfvo type="min"/>
        <cfvo type="percentile" val="50"/>
        <cfvo type="max"/>
        <color rgb="FF63BE7B"/>
        <color rgb="FFFFEB84"/>
        <color rgb="FFF8696B"/>
      </colorScale>
    </cfRule>
    <cfRule type="colorScale" priority="12147">
      <colorScale>
        <cfvo type="min"/>
        <cfvo type="percentile" val="50"/>
        <cfvo type="max"/>
        <color rgb="FF63BE7B"/>
        <color rgb="FFFFEB84"/>
        <color rgb="FFF8696B"/>
      </colorScale>
    </cfRule>
  </conditionalFormatting>
  <conditionalFormatting sqref="R86">
    <cfRule type="colorScale" priority="12148">
      <colorScale>
        <cfvo type="min"/>
        <cfvo type="percentile" val="50"/>
        <cfvo type="max"/>
        <color rgb="FF63BE7B"/>
        <color rgb="FFFFEB84"/>
        <color rgb="FFF8696B"/>
      </colorScale>
    </cfRule>
  </conditionalFormatting>
  <conditionalFormatting sqref="R91 R83">
    <cfRule type="colorScale" priority="12187">
      <colorScale>
        <cfvo type="min"/>
        <cfvo type="percentile" val="50"/>
        <cfvo type="max"/>
        <color rgb="FF63BE7B"/>
        <color rgb="FFFFEB84"/>
        <color rgb="FFF8696B"/>
      </colorScale>
    </cfRule>
  </conditionalFormatting>
  <conditionalFormatting sqref="R96:R102">
    <cfRule type="colorScale" priority="11936">
      <colorScale>
        <cfvo type="min"/>
        <cfvo type="percentile" val="50"/>
        <cfvo type="max"/>
        <color rgb="FF63BE7B"/>
        <color rgb="FFFFEB84"/>
        <color rgb="FFF8696B"/>
      </colorScale>
    </cfRule>
    <cfRule type="colorScale" priority="11937">
      <colorScale>
        <cfvo type="min"/>
        <cfvo type="percentile" val="50"/>
        <cfvo type="max"/>
        <color rgb="FF63BE7B"/>
        <color rgb="FFFFEB84"/>
        <color rgb="FFF8696B"/>
      </colorScale>
    </cfRule>
    <cfRule type="colorScale" priority="11938">
      <colorScale>
        <cfvo type="min"/>
        <cfvo type="percentile" val="50"/>
        <cfvo type="max"/>
        <color rgb="FF63BE7B"/>
        <color rgb="FFFFEB84"/>
        <color rgb="FFF8696B"/>
      </colorScale>
    </cfRule>
  </conditionalFormatting>
  <conditionalFormatting sqref="R96:R111">
    <cfRule type="colorScale" priority="11987">
      <colorScale>
        <cfvo type="min"/>
        <cfvo type="percentile" val="50"/>
        <cfvo type="max"/>
        <color rgb="FF63BE7B"/>
        <color rgb="FFFFEB84"/>
        <color rgb="FFF8696B"/>
      </colorScale>
    </cfRule>
  </conditionalFormatting>
  <conditionalFormatting sqref="R96:R122">
    <cfRule type="colorScale" priority="12005">
      <colorScale>
        <cfvo type="min"/>
        <cfvo type="percentile" val="50"/>
        <cfvo type="max"/>
        <color rgb="FF63BE7B"/>
        <color rgb="FFFFEB84"/>
        <color rgb="FFF8696B"/>
      </colorScale>
    </cfRule>
  </conditionalFormatting>
  <conditionalFormatting sqref="R97:R102">
    <cfRule type="colorScale" priority="11939">
      <colorScale>
        <cfvo type="min"/>
        <cfvo type="percentile" val="50"/>
        <cfvo type="max"/>
        <color rgb="FF63BE7B"/>
        <color rgb="FFFFEB84"/>
        <color rgb="FFF8696B"/>
      </colorScale>
    </cfRule>
  </conditionalFormatting>
  <conditionalFormatting sqref="R103:R111">
    <cfRule type="colorScale" priority="11814">
      <colorScale>
        <cfvo type="min"/>
        <cfvo type="percentile" val="50"/>
        <cfvo type="max"/>
        <color rgb="FF63BE7B"/>
        <color rgb="FFFFEB84"/>
        <color rgb="FFF8696B"/>
      </colorScale>
    </cfRule>
    <cfRule type="colorScale" priority="11813">
      <colorScale>
        <cfvo type="min"/>
        <cfvo type="percentile" val="50"/>
        <cfvo type="max"/>
        <color rgb="FF63BE7B"/>
        <color rgb="FFFFEB84"/>
        <color rgb="FFF8696B"/>
      </colorScale>
    </cfRule>
    <cfRule type="colorScale" priority="11812">
      <colorScale>
        <cfvo type="min"/>
        <cfvo type="percentile" val="50"/>
        <cfvo type="max"/>
        <color rgb="FF63BE7B"/>
        <color rgb="FFFFEB84"/>
        <color rgb="FFF8696B"/>
      </colorScale>
    </cfRule>
    <cfRule type="colorScale" priority="11815">
      <colorScale>
        <cfvo type="min"/>
        <cfvo type="percentile" val="50"/>
        <cfvo type="max"/>
        <color rgb="FF63BE7B"/>
        <color rgb="FFFFEB84"/>
        <color rgb="FFF8696B"/>
      </colorScale>
    </cfRule>
  </conditionalFormatting>
  <conditionalFormatting sqref="R112:R114">
    <cfRule type="colorScale" priority="11701">
      <colorScale>
        <cfvo type="min"/>
        <cfvo type="percentile" val="50"/>
        <cfvo type="max"/>
        <color rgb="FF63BE7B"/>
        <color rgb="FFFFEB84"/>
        <color rgb="FFF8696B"/>
      </colorScale>
    </cfRule>
    <cfRule type="colorScale" priority="11700">
      <colorScale>
        <cfvo type="min"/>
        <cfvo type="percentile" val="50"/>
        <cfvo type="max"/>
        <color rgb="FF63BE7B"/>
        <color rgb="FFFFEB84"/>
        <color rgb="FFF8696B"/>
      </colorScale>
    </cfRule>
  </conditionalFormatting>
  <conditionalFormatting sqref="R112:R122">
    <cfRule type="colorScale" priority="11586">
      <colorScale>
        <cfvo type="min"/>
        <cfvo type="percentile" val="50"/>
        <cfvo type="max"/>
        <color rgb="FF63BE7B"/>
        <color rgb="FFFFEB84"/>
        <color rgb="FFF8696B"/>
      </colorScale>
    </cfRule>
    <cfRule type="colorScale" priority="11585">
      <colorScale>
        <cfvo type="min"/>
        <cfvo type="percentile" val="50"/>
        <cfvo type="max"/>
        <color rgb="FF63BE7B"/>
        <color rgb="FFFFEB84"/>
        <color rgb="FFF8696B"/>
      </colorScale>
    </cfRule>
    <cfRule type="colorScale" priority="11583">
      <colorScale>
        <cfvo type="min"/>
        <cfvo type="percentile" val="50"/>
        <cfvo type="max"/>
        <color rgb="FF63BE7B"/>
        <color rgb="FFFFEB84"/>
        <color rgb="FFF8696B"/>
      </colorScale>
    </cfRule>
  </conditionalFormatting>
  <conditionalFormatting sqref="R115:R122">
    <cfRule type="colorScale" priority="11547">
      <colorScale>
        <cfvo type="min"/>
        <cfvo type="percentile" val="50"/>
        <cfvo type="max"/>
        <color rgb="FF63BE7B"/>
        <color rgb="FFFFEB84"/>
        <color rgb="FFF8696B"/>
      </colorScale>
    </cfRule>
    <cfRule type="colorScale" priority="11546">
      <colorScale>
        <cfvo type="min"/>
        <cfvo type="percentile" val="50"/>
        <cfvo type="max"/>
        <color rgb="FF63BE7B"/>
        <color rgb="FFFFEB84"/>
        <color rgb="FFF8696B"/>
      </colorScale>
    </cfRule>
    <cfRule type="colorScale" priority="11544">
      <colorScale>
        <cfvo type="min"/>
        <cfvo type="percentile" val="50"/>
        <cfvo type="max"/>
        <color rgb="FF63BE7B"/>
        <color rgb="FFFFEB84"/>
        <color rgb="FFF8696B"/>
      </colorScale>
    </cfRule>
  </conditionalFormatting>
  <conditionalFormatting sqref="R117">
    <cfRule type="colorScale" priority="11545">
      <colorScale>
        <cfvo type="min"/>
        <cfvo type="percentile" val="50"/>
        <cfvo type="max"/>
        <color rgb="FF63BE7B"/>
        <color rgb="FFFFEB84"/>
        <color rgb="FFF8696B"/>
      </colorScale>
    </cfRule>
  </conditionalFormatting>
  <conditionalFormatting sqref="R122 R114">
    <cfRule type="colorScale" priority="11584">
      <colorScale>
        <cfvo type="min"/>
        <cfvo type="percentile" val="50"/>
        <cfvo type="max"/>
        <color rgb="FF63BE7B"/>
        <color rgb="FFFFEB84"/>
        <color rgb="FFF8696B"/>
      </colorScale>
    </cfRule>
  </conditionalFormatting>
  <conditionalFormatting sqref="R51:S53">
    <cfRule type="colorScale" priority="702">
      <colorScale>
        <cfvo type="min"/>
        <cfvo type="percentile" val="50"/>
        <cfvo type="max"/>
        <color rgb="FFF8696B"/>
        <color rgb="FFFFEB84"/>
        <color rgb="FF63BE7B"/>
      </colorScale>
    </cfRule>
    <cfRule type="colorScale" priority="730">
      <colorScale>
        <cfvo type="min"/>
        <cfvo type="percentile" val="50"/>
        <cfvo type="max"/>
        <color rgb="FF63BE7B"/>
        <color rgb="FFFFEB84"/>
        <color rgb="FFF8696B"/>
      </colorScale>
    </cfRule>
    <cfRule type="colorScale" priority="731">
      <colorScale>
        <cfvo type="min"/>
        <cfvo type="percentile" val="50"/>
        <cfvo type="max"/>
        <color rgb="FF63BE7B"/>
        <color rgb="FFFFEB84"/>
        <color rgb="FFF8696B"/>
      </colorScale>
    </cfRule>
  </conditionalFormatting>
  <conditionalFormatting sqref="R52:S53">
    <cfRule type="colorScale" priority="841">
      <colorScale>
        <cfvo type="min"/>
        <cfvo type="percentile" val="50"/>
        <cfvo type="max"/>
        <color rgb="FF63BE7B"/>
        <color rgb="FFFFEB84"/>
        <color rgb="FFF8696B"/>
      </colorScale>
    </cfRule>
    <cfRule type="colorScale" priority="908">
      <colorScale>
        <cfvo type="min"/>
        <cfvo type="percentile" val="50"/>
        <cfvo type="max"/>
        <color rgb="FF63BE7B"/>
        <color rgb="FFFFEB84"/>
        <color rgb="FFF8696B"/>
      </colorScale>
    </cfRule>
    <cfRule type="colorScale" priority="797">
      <colorScale>
        <cfvo type="min"/>
        <cfvo type="percentile" val="50"/>
        <cfvo type="max"/>
        <color rgb="FF63BE7B"/>
        <color rgb="FFFFEB84"/>
        <color rgb="FFF8696B"/>
      </colorScale>
    </cfRule>
    <cfRule type="colorScale" priority="798">
      <colorScale>
        <cfvo type="min"/>
        <cfvo type="percentile" val="50"/>
        <cfvo type="max"/>
        <color rgb="FF63BE7B"/>
        <color rgb="FFFFEB84"/>
        <color rgb="FFF8696B"/>
      </colorScale>
    </cfRule>
    <cfRule type="colorScale" priority="799">
      <colorScale>
        <cfvo type="min"/>
        <cfvo type="percentile" val="50"/>
        <cfvo type="max"/>
        <color rgb="FF63BE7B"/>
        <color rgb="FFFFEB84"/>
        <color rgb="FFF8696B"/>
      </colorScale>
    </cfRule>
    <cfRule type="colorScale" priority="800">
      <colorScale>
        <cfvo type="min"/>
        <cfvo type="percentile" val="50"/>
        <cfvo type="max"/>
        <color rgb="FF63BE7B"/>
        <color rgb="FFFFEB84"/>
        <color rgb="FFF8696B"/>
      </colorScale>
    </cfRule>
    <cfRule type="colorScale" priority="801">
      <colorScale>
        <cfvo type="min"/>
        <cfvo type="percentile" val="50"/>
        <cfvo type="max"/>
        <color rgb="FF63BE7B"/>
        <color rgb="FFFFEB84"/>
        <color rgb="FFF8696B"/>
      </colorScale>
    </cfRule>
    <cfRule type="colorScale" priority="802">
      <colorScale>
        <cfvo type="min"/>
        <cfvo type="percentile" val="50"/>
        <cfvo type="max"/>
        <color rgb="FF63BE7B"/>
        <color rgb="FFFFEB84"/>
        <color rgb="FFF8696B"/>
      </colorScale>
    </cfRule>
    <cfRule type="colorScale" priority="803">
      <colorScale>
        <cfvo type="min"/>
        <cfvo type="percentile" val="50"/>
        <cfvo type="max"/>
        <color rgb="FF63BE7B"/>
        <color rgb="FFFFEB84"/>
        <color rgb="FFF8696B"/>
      </colorScale>
    </cfRule>
    <cfRule type="colorScale" priority="804">
      <colorScale>
        <cfvo type="min"/>
        <cfvo type="percentile" val="50"/>
        <cfvo type="max"/>
        <color rgb="FF63BE7B"/>
        <color rgb="FFFFEB84"/>
        <color rgb="FFF8696B"/>
      </colorScale>
    </cfRule>
    <cfRule type="colorScale" priority="805">
      <colorScale>
        <cfvo type="min"/>
        <cfvo type="percentile" val="50"/>
        <cfvo type="max"/>
        <color rgb="FF63BE7B"/>
        <color rgb="FFFFEB84"/>
        <color rgb="FFF8696B"/>
      </colorScale>
    </cfRule>
    <cfRule type="colorScale" priority="909">
      <colorScale>
        <cfvo type="min"/>
        <cfvo type="percentile" val="50"/>
        <cfvo type="max"/>
        <color rgb="FF63BE7B"/>
        <color rgb="FFFFEB84"/>
        <color rgb="FFF8696B"/>
      </colorScale>
    </cfRule>
    <cfRule type="colorScale" priority="910">
      <colorScale>
        <cfvo type="min"/>
        <cfvo type="percentile" val="50"/>
        <cfvo type="max"/>
        <color rgb="FF63BE7B"/>
        <color rgb="FFFFEB84"/>
        <color rgb="FFF8696B"/>
      </colorScale>
    </cfRule>
    <cfRule type="colorScale" priority="911">
      <colorScale>
        <cfvo type="min"/>
        <cfvo type="percentile" val="50"/>
        <cfvo type="max"/>
        <color rgb="FF63BE7B"/>
        <color rgb="FFFFEB84"/>
        <color rgb="FFF8696B"/>
      </colorScale>
    </cfRule>
    <cfRule type="colorScale" priority="912">
      <colorScale>
        <cfvo type="min"/>
        <cfvo type="percentile" val="50"/>
        <cfvo type="max"/>
        <color rgb="FF63BE7B"/>
        <color rgb="FFFFEB84"/>
        <color rgb="FFF8696B"/>
      </colorScale>
    </cfRule>
    <cfRule type="colorScale" priority="806">
      <colorScale>
        <cfvo type="min"/>
        <cfvo type="percentile" val="50"/>
        <cfvo type="max"/>
        <color rgb="FF63BE7B"/>
        <color rgb="FFFFEB84"/>
        <color rgb="FFF8696B"/>
      </colorScale>
    </cfRule>
    <cfRule type="colorScale" priority="807">
      <colorScale>
        <cfvo type="min"/>
        <cfvo type="percentile" val="50"/>
        <cfvo type="max"/>
        <color rgb="FF63BE7B"/>
        <color rgb="FFFFEB84"/>
        <color rgb="FFF8696B"/>
      </colorScale>
    </cfRule>
    <cfRule type="colorScale" priority="808">
      <colorScale>
        <cfvo type="min"/>
        <cfvo type="percentile" val="50"/>
        <cfvo type="max"/>
        <color rgb="FF63BE7B"/>
        <color rgb="FFFFEB84"/>
        <color rgb="FFF8696B"/>
      </colorScale>
    </cfRule>
    <cfRule type="colorScale" priority="809">
      <colorScale>
        <cfvo type="min"/>
        <cfvo type="percentile" val="50"/>
        <cfvo type="max"/>
        <color rgb="FF63BE7B"/>
        <color rgb="FFFFEB84"/>
        <color rgb="FFF8696B"/>
      </colorScale>
    </cfRule>
    <cfRule type="colorScale" priority="810">
      <colorScale>
        <cfvo type="min"/>
        <cfvo type="percentile" val="50"/>
        <cfvo type="max"/>
        <color rgb="FF63BE7B"/>
        <color rgb="FFFFEB84"/>
        <color rgb="FFF8696B"/>
      </colorScale>
    </cfRule>
    <cfRule type="colorScale" priority="811">
      <colorScale>
        <cfvo type="min"/>
        <cfvo type="percentile" val="50"/>
        <cfvo type="max"/>
        <color rgb="FF63BE7B"/>
        <color rgb="FFFFEB84"/>
        <color rgb="FFF8696B"/>
      </colorScale>
    </cfRule>
    <cfRule type="colorScale" priority="913">
      <colorScale>
        <cfvo type="min"/>
        <cfvo type="percentile" val="50"/>
        <cfvo type="max"/>
        <color rgb="FF63BE7B"/>
        <color rgb="FFFFEB84"/>
        <color rgb="FFF8696B"/>
      </colorScale>
    </cfRule>
    <cfRule type="colorScale" priority="914">
      <colorScale>
        <cfvo type="min"/>
        <cfvo type="percentile" val="50"/>
        <cfvo type="max"/>
        <color rgb="FF63BE7B"/>
        <color rgb="FFFFEB84"/>
        <color rgb="FFF8696B"/>
      </colorScale>
    </cfRule>
    <cfRule type="colorScale" priority="812">
      <colorScale>
        <cfvo type="min"/>
        <cfvo type="percentile" val="50"/>
        <cfvo type="max"/>
        <color rgb="FF63BE7B"/>
        <color rgb="FFFFEB84"/>
        <color rgb="FFF8696B"/>
      </colorScale>
    </cfRule>
    <cfRule type="colorScale" priority="915">
      <colorScale>
        <cfvo type="min"/>
        <cfvo type="percentile" val="50"/>
        <cfvo type="max"/>
        <color rgb="FF63BE7B"/>
        <color rgb="FFFFEB84"/>
        <color rgb="FFF8696B"/>
      </colorScale>
    </cfRule>
    <cfRule type="colorScale" priority="916">
      <colorScale>
        <cfvo type="min"/>
        <cfvo type="percentile" val="50"/>
        <cfvo type="max"/>
        <color rgb="FF63BE7B"/>
        <color rgb="FFFFEB84"/>
        <color rgb="FFF8696B"/>
      </colorScale>
    </cfRule>
    <cfRule type="colorScale" priority="813">
      <colorScale>
        <cfvo type="min"/>
        <cfvo type="percentile" val="50"/>
        <cfvo type="max"/>
        <color rgb="FF63BE7B"/>
        <color rgb="FFFFEB84"/>
        <color rgb="FFF8696B"/>
      </colorScale>
    </cfRule>
    <cfRule type="colorScale" priority="814">
      <colorScale>
        <cfvo type="min"/>
        <cfvo type="percentile" val="50"/>
        <cfvo type="max"/>
        <color rgb="FF63BE7B"/>
        <color rgb="FFFFEB84"/>
        <color rgb="FFF8696B"/>
      </colorScale>
    </cfRule>
    <cfRule type="colorScale" priority="815">
      <colorScale>
        <cfvo type="min"/>
        <cfvo type="percentile" val="50"/>
        <cfvo type="max"/>
        <color rgb="FF63BE7B"/>
        <color rgb="FFFFEB84"/>
        <color rgb="FFF8696B"/>
      </colorScale>
    </cfRule>
    <cfRule type="colorScale" priority="816">
      <colorScale>
        <cfvo type="min"/>
        <cfvo type="percentile" val="50"/>
        <cfvo type="max"/>
        <color rgb="FF63BE7B"/>
        <color rgb="FFFFEB84"/>
        <color rgb="FFF8696B"/>
      </colorScale>
    </cfRule>
    <cfRule type="colorScale" priority="817">
      <colorScale>
        <cfvo type="min"/>
        <cfvo type="percentile" val="50"/>
        <cfvo type="max"/>
        <color rgb="FF63BE7B"/>
        <color rgb="FFFFEB84"/>
        <color rgb="FFF8696B"/>
      </colorScale>
    </cfRule>
    <cfRule type="colorScale" priority="818">
      <colorScale>
        <cfvo type="min"/>
        <cfvo type="percentile" val="50"/>
        <cfvo type="max"/>
        <color rgb="FF63BE7B"/>
        <color rgb="FFFFEB84"/>
        <color rgb="FFF8696B"/>
      </colorScale>
    </cfRule>
    <cfRule type="colorScale" priority="819">
      <colorScale>
        <cfvo type="min"/>
        <cfvo type="percentile" val="50"/>
        <cfvo type="max"/>
        <color rgb="FFF8696B"/>
        <color rgb="FFFFEB84"/>
        <color rgb="FF63BE7B"/>
      </colorScale>
    </cfRule>
    <cfRule type="colorScale" priority="820">
      <colorScale>
        <cfvo type="min"/>
        <cfvo type="percentile" val="50"/>
        <cfvo type="max"/>
        <color rgb="FF63BE7B"/>
        <color rgb="FFFFEB84"/>
        <color rgb="FFF8696B"/>
      </colorScale>
    </cfRule>
    <cfRule type="colorScale" priority="821">
      <colorScale>
        <cfvo type="min"/>
        <cfvo type="percentile" val="50"/>
        <cfvo type="max"/>
        <color rgb="FF63BE7B"/>
        <color rgb="FFFFEB84"/>
        <color rgb="FFF8696B"/>
      </colorScale>
    </cfRule>
    <cfRule type="colorScale" priority="822">
      <colorScale>
        <cfvo type="min"/>
        <cfvo type="percentile" val="50"/>
        <cfvo type="max"/>
        <color rgb="FF63BE7B"/>
        <color rgb="FFFFEB84"/>
        <color rgb="FFF8696B"/>
      </colorScale>
    </cfRule>
    <cfRule type="colorScale" priority="823">
      <colorScale>
        <cfvo type="min"/>
        <cfvo type="percentile" val="50"/>
        <cfvo type="max"/>
        <color rgb="FF63BE7B"/>
        <color rgb="FFFFEB84"/>
        <color rgb="FFF8696B"/>
      </colorScale>
    </cfRule>
    <cfRule type="colorScale" priority="824">
      <colorScale>
        <cfvo type="min"/>
        <cfvo type="percentile" val="50"/>
        <cfvo type="max"/>
        <color rgb="FF63BE7B"/>
        <color rgb="FFFFEB84"/>
        <color rgb="FFF8696B"/>
      </colorScale>
    </cfRule>
    <cfRule type="colorScale" priority="917">
      <colorScale>
        <cfvo type="min"/>
        <cfvo type="percentile" val="50"/>
        <cfvo type="max"/>
        <color rgb="FF63BE7B"/>
        <color rgb="FFFFEB84"/>
        <color rgb="FFF8696B"/>
      </colorScale>
    </cfRule>
    <cfRule type="colorScale" priority="918">
      <colorScale>
        <cfvo type="min"/>
        <cfvo type="percentile" val="50"/>
        <cfvo type="max"/>
        <color rgb="FF63BE7B"/>
        <color rgb="FFFFEB84"/>
        <color rgb="FFF8696B"/>
      </colorScale>
    </cfRule>
    <cfRule type="colorScale" priority="919">
      <colorScale>
        <cfvo type="min"/>
        <cfvo type="percentile" val="50"/>
        <cfvo type="max"/>
        <color rgb="FF63BE7B"/>
        <color rgb="FFFFEB84"/>
        <color rgb="FFF8696B"/>
      </colorScale>
    </cfRule>
    <cfRule type="colorScale" priority="825">
      <colorScale>
        <cfvo type="min"/>
        <cfvo type="percentile" val="50"/>
        <cfvo type="max"/>
        <color rgb="FF63BE7B"/>
        <color rgb="FFFFEB84"/>
        <color rgb="FFF8696B"/>
      </colorScale>
    </cfRule>
    <cfRule type="colorScale" priority="826">
      <colorScale>
        <cfvo type="min"/>
        <cfvo type="percentile" val="50"/>
        <cfvo type="max"/>
        <color rgb="FF63BE7B"/>
        <color rgb="FFFFEB84"/>
        <color rgb="FFF8696B"/>
      </colorScale>
    </cfRule>
    <cfRule type="colorScale" priority="827">
      <colorScale>
        <cfvo type="min"/>
        <cfvo type="percentile" val="50"/>
        <cfvo type="max"/>
        <color rgb="FF63BE7B"/>
        <color rgb="FFFFEB84"/>
        <color rgb="FFF8696B"/>
      </colorScale>
    </cfRule>
    <cfRule type="colorScale" priority="828">
      <colorScale>
        <cfvo type="min"/>
        <cfvo type="percentile" val="50"/>
        <cfvo type="max"/>
        <color rgb="FF63BE7B"/>
        <color rgb="FFFFEB84"/>
        <color rgb="FFF8696B"/>
      </colorScale>
    </cfRule>
    <cfRule type="colorScale" priority="829">
      <colorScale>
        <cfvo type="min"/>
        <cfvo type="percentile" val="50"/>
        <cfvo type="max"/>
        <color rgb="FF63BE7B"/>
        <color rgb="FFFFEB84"/>
        <color rgb="FFF8696B"/>
      </colorScale>
    </cfRule>
    <cfRule type="colorScale" priority="830">
      <colorScale>
        <cfvo type="min"/>
        <cfvo type="percentile" val="50"/>
        <cfvo type="max"/>
        <color rgb="FF63BE7B"/>
        <color rgb="FFFFEB84"/>
        <color rgb="FFF8696B"/>
      </colorScale>
    </cfRule>
    <cfRule type="colorScale" priority="920">
      <colorScale>
        <cfvo type="min"/>
        <cfvo type="percentile" val="50"/>
        <cfvo type="max"/>
        <color rgb="FF63BE7B"/>
        <color rgb="FFFFEB84"/>
        <color rgb="FFF8696B"/>
      </colorScale>
    </cfRule>
    <cfRule type="colorScale" priority="921">
      <colorScale>
        <cfvo type="min"/>
        <cfvo type="percentile" val="50"/>
        <cfvo type="max"/>
        <color rgb="FF63BE7B"/>
        <color rgb="FFFFEB84"/>
        <color rgb="FFF8696B"/>
      </colorScale>
    </cfRule>
    <cfRule type="colorScale" priority="922">
      <colorScale>
        <cfvo type="min"/>
        <cfvo type="percentile" val="50"/>
        <cfvo type="max"/>
        <color rgb="FF63BE7B"/>
        <color rgb="FFFFEB84"/>
        <color rgb="FFF8696B"/>
      </colorScale>
    </cfRule>
    <cfRule type="colorScale" priority="923">
      <colorScale>
        <cfvo type="min"/>
        <cfvo type="percentile" val="50"/>
        <cfvo type="max"/>
        <color rgb="FF63BE7B"/>
        <color rgb="FFFFEB84"/>
        <color rgb="FFF8696B"/>
      </colorScale>
    </cfRule>
    <cfRule type="colorScale" priority="924">
      <colorScale>
        <cfvo type="min"/>
        <cfvo type="percentile" val="50"/>
        <cfvo type="max"/>
        <color rgb="FF63BE7B"/>
        <color rgb="FFFFEB84"/>
        <color rgb="FFF8696B"/>
      </colorScale>
    </cfRule>
    <cfRule type="colorScale" priority="925">
      <colorScale>
        <cfvo type="min"/>
        <cfvo type="percentile" val="50"/>
        <cfvo type="max"/>
        <color rgb="FF63BE7B"/>
        <color rgb="FFFFEB84"/>
        <color rgb="FFF8696B"/>
      </colorScale>
    </cfRule>
    <cfRule type="colorScale" priority="926">
      <colorScale>
        <cfvo type="min"/>
        <cfvo type="percentile" val="50"/>
        <cfvo type="max"/>
        <color rgb="FF63BE7B"/>
        <color rgb="FFFFEB84"/>
        <color rgb="FFF8696B"/>
      </colorScale>
    </cfRule>
    <cfRule type="colorScale" priority="927">
      <colorScale>
        <cfvo type="min"/>
        <cfvo type="percentile" val="50"/>
        <cfvo type="max"/>
        <color rgb="FF63BE7B"/>
        <color rgb="FFFFEB84"/>
        <color rgb="FFF8696B"/>
      </colorScale>
    </cfRule>
    <cfRule type="colorScale" priority="928">
      <colorScale>
        <cfvo type="min"/>
        <cfvo type="percentile" val="50"/>
        <cfvo type="max"/>
        <color rgb="FF63BE7B"/>
        <color rgb="FFFFEB84"/>
        <color rgb="FFF8696B"/>
      </colorScale>
    </cfRule>
    <cfRule type="colorScale" priority="929">
      <colorScale>
        <cfvo type="min"/>
        <cfvo type="percentile" val="50"/>
        <cfvo type="max"/>
        <color rgb="FF63BE7B"/>
        <color rgb="FFFFEB84"/>
        <color rgb="FFF8696B"/>
      </colorScale>
    </cfRule>
    <cfRule type="colorScale" priority="930">
      <colorScale>
        <cfvo type="min"/>
        <cfvo type="percentile" val="50"/>
        <cfvo type="max"/>
        <color rgb="FF63BE7B"/>
        <color rgb="FFFFEB84"/>
        <color rgb="FFF8696B"/>
      </colorScale>
    </cfRule>
    <cfRule type="colorScale" priority="931">
      <colorScale>
        <cfvo type="min"/>
        <cfvo type="percentile" val="50"/>
        <cfvo type="max"/>
        <color rgb="FF63BE7B"/>
        <color rgb="FFFFEB84"/>
        <color rgb="FFF8696B"/>
      </colorScale>
    </cfRule>
    <cfRule type="colorScale" priority="932">
      <colorScale>
        <cfvo type="min"/>
        <cfvo type="percentile" val="50"/>
        <cfvo type="max"/>
        <color rgb="FF63BE7B"/>
        <color rgb="FFFFEB84"/>
        <color rgb="FFF8696B"/>
      </colorScale>
    </cfRule>
    <cfRule type="colorScale" priority="933">
      <colorScale>
        <cfvo type="min"/>
        <cfvo type="percentile" val="50"/>
        <cfvo type="max"/>
        <color rgb="FF63BE7B"/>
        <color rgb="FFFFEB84"/>
        <color rgb="FFF8696B"/>
      </colorScale>
    </cfRule>
    <cfRule type="colorScale" priority="934">
      <colorScale>
        <cfvo type="min"/>
        <cfvo type="percentile" val="50"/>
        <cfvo type="max"/>
        <color rgb="FF63BE7B"/>
        <color rgb="FFFFEB84"/>
        <color rgb="FFF8696B"/>
      </colorScale>
    </cfRule>
    <cfRule type="colorScale" priority="935">
      <colorScale>
        <cfvo type="min"/>
        <cfvo type="percentile" val="50"/>
        <cfvo type="max"/>
        <color rgb="FF63BE7B"/>
        <color rgb="FFFFEB84"/>
        <color rgb="FFF8696B"/>
      </colorScale>
    </cfRule>
    <cfRule type="colorScale" priority="936">
      <colorScale>
        <cfvo type="min"/>
        <cfvo type="percentile" val="50"/>
        <cfvo type="max"/>
        <color rgb="FF63BE7B"/>
        <color rgb="FFFFEB84"/>
        <color rgb="FFF8696B"/>
      </colorScale>
    </cfRule>
    <cfRule type="colorScale" priority="937">
      <colorScale>
        <cfvo type="min"/>
        <cfvo type="percentile" val="50"/>
        <cfvo type="max"/>
        <color rgb="FF63BE7B"/>
        <color rgb="FFFFEB84"/>
        <color rgb="FFF8696B"/>
      </colorScale>
    </cfRule>
    <cfRule type="colorScale" priority="938">
      <colorScale>
        <cfvo type="min"/>
        <cfvo type="percentile" val="50"/>
        <cfvo type="max"/>
        <color rgb="FF63BE7B"/>
        <color rgb="FFFFEB84"/>
        <color rgb="FFF8696B"/>
      </colorScale>
    </cfRule>
    <cfRule type="colorScale" priority="939">
      <colorScale>
        <cfvo type="min"/>
        <cfvo type="percentile" val="50"/>
        <cfvo type="max"/>
        <color rgb="FF63BE7B"/>
        <color rgb="FFFFEB84"/>
        <color rgb="FFF8696B"/>
      </colorScale>
    </cfRule>
    <cfRule type="colorScale" priority="940">
      <colorScale>
        <cfvo type="min"/>
        <cfvo type="percentile" val="50"/>
        <cfvo type="max"/>
        <color rgb="FF63BE7B"/>
        <color rgb="FFFFEB84"/>
        <color rgb="FFF8696B"/>
      </colorScale>
    </cfRule>
    <cfRule type="colorScale" priority="941">
      <colorScale>
        <cfvo type="min"/>
        <cfvo type="percentile" val="50"/>
        <cfvo type="max"/>
        <color rgb="FF63BE7B"/>
        <color rgb="FFFFEB84"/>
        <color rgb="FFF8696B"/>
      </colorScale>
    </cfRule>
    <cfRule type="colorScale" priority="942">
      <colorScale>
        <cfvo type="min"/>
        <cfvo type="percentile" val="50"/>
        <cfvo type="max"/>
        <color rgb="FF63BE7B"/>
        <color rgb="FFFFEB84"/>
        <color rgb="FFF8696B"/>
      </colorScale>
    </cfRule>
    <cfRule type="colorScale" priority="837">
      <colorScale>
        <cfvo type="min"/>
        <cfvo type="percentile" val="50"/>
        <cfvo type="max"/>
        <color rgb="FF63BE7B"/>
        <color rgb="FFFFEB84"/>
        <color rgb="FFF8696B"/>
      </colorScale>
    </cfRule>
    <cfRule type="colorScale" priority="943">
      <colorScale>
        <cfvo type="min"/>
        <cfvo type="percentile" val="50"/>
        <cfvo type="max"/>
        <color rgb="FF63BE7B"/>
        <color rgb="FFFFEB84"/>
        <color rgb="FFF8696B"/>
      </colorScale>
    </cfRule>
    <cfRule type="colorScale" priority="944">
      <colorScale>
        <cfvo type="min"/>
        <cfvo type="percentile" val="50"/>
        <cfvo type="max"/>
        <color rgb="FF63BE7B"/>
        <color rgb="FFFFEB84"/>
        <color rgb="FFF8696B"/>
      </colorScale>
    </cfRule>
    <cfRule type="colorScale" priority="945">
      <colorScale>
        <cfvo type="min"/>
        <cfvo type="percentile" val="50"/>
        <cfvo type="max"/>
        <color rgb="FF63BE7B"/>
        <color rgb="FFFFEB84"/>
        <color rgb="FFF8696B"/>
      </colorScale>
    </cfRule>
    <cfRule type="colorScale" priority="946">
      <colorScale>
        <cfvo type="min"/>
        <cfvo type="percentile" val="50"/>
        <cfvo type="max"/>
        <color rgb="FF63BE7B"/>
        <color rgb="FFFFEB84"/>
        <color rgb="FFF8696B"/>
      </colorScale>
    </cfRule>
    <cfRule type="colorScale" priority="947">
      <colorScale>
        <cfvo type="min"/>
        <cfvo type="percentile" val="50"/>
        <cfvo type="max"/>
        <color rgb="FF63BE7B"/>
        <color rgb="FFFFEB84"/>
        <color rgb="FFF8696B"/>
      </colorScale>
    </cfRule>
    <cfRule type="colorScale" priority="948">
      <colorScale>
        <cfvo type="min"/>
        <cfvo type="percentile" val="50"/>
        <cfvo type="max"/>
        <color rgb="FF63BE7B"/>
        <color rgb="FFFFEB84"/>
        <color rgb="FFF8696B"/>
      </colorScale>
    </cfRule>
    <cfRule type="colorScale" priority="949">
      <colorScale>
        <cfvo type="min"/>
        <cfvo type="percentile" val="50"/>
        <cfvo type="max"/>
        <color rgb="FF63BE7B"/>
        <color rgb="FFFFEB84"/>
        <color rgb="FFF8696B"/>
      </colorScale>
    </cfRule>
    <cfRule type="colorScale" priority="950">
      <colorScale>
        <cfvo type="min"/>
        <cfvo type="percentile" val="50"/>
        <cfvo type="max"/>
        <color rgb="FF63BE7B"/>
        <color rgb="FFFFEB84"/>
        <color rgb="FFF8696B"/>
      </colorScale>
    </cfRule>
    <cfRule type="colorScale" priority="951">
      <colorScale>
        <cfvo type="min"/>
        <cfvo type="percentile" val="50"/>
        <cfvo type="max"/>
        <color rgb="FF63BE7B"/>
        <color rgb="FFFFEB84"/>
        <color rgb="FFF8696B"/>
      </colorScale>
    </cfRule>
    <cfRule type="colorScale" priority="952">
      <colorScale>
        <cfvo type="min"/>
        <cfvo type="percentile" val="50"/>
        <cfvo type="max"/>
        <color rgb="FF63BE7B"/>
        <color rgb="FFFFEB84"/>
        <color rgb="FFF8696B"/>
      </colorScale>
    </cfRule>
    <cfRule type="colorScale" priority="953">
      <colorScale>
        <cfvo type="min"/>
        <cfvo type="percentile" val="50"/>
        <cfvo type="max"/>
        <color rgb="FF63BE7B"/>
        <color rgb="FFFFEB84"/>
        <color rgb="FFF8696B"/>
      </colorScale>
    </cfRule>
    <cfRule type="colorScale" priority="954">
      <colorScale>
        <cfvo type="min"/>
        <cfvo type="percentile" val="50"/>
        <cfvo type="max"/>
        <color rgb="FF63BE7B"/>
        <color rgb="FFFFEB84"/>
        <color rgb="FFF8696B"/>
      </colorScale>
    </cfRule>
    <cfRule type="colorScale" priority="955">
      <colorScale>
        <cfvo type="min"/>
        <cfvo type="percentile" val="50"/>
        <cfvo type="max"/>
        <color rgb="FF63BE7B"/>
        <color rgb="FFFFEB84"/>
        <color rgb="FFF8696B"/>
      </colorScale>
    </cfRule>
    <cfRule type="colorScale" priority="833">
      <colorScale>
        <cfvo type="min"/>
        <cfvo type="percentile" val="50"/>
        <cfvo type="max"/>
        <color rgb="FF63BE7B"/>
        <color rgb="FFFFEB84"/>
        <color rgb="FFF8696B"/>
      </colorScale>
    </cfRule>
    <cfRule type="colorScale" priority="703">
      <colorScale>
        <cfvo type="min"/>
        <cfvo type="percentile" val="50"/>
        <cfvo type="max"/>
        <color rgb="FF63BE7B"/>
        <color rgb="FFFFEB84"/>
        <color rgb="FFF8696B"/>
      </colorScale>
    </cfRule>
    <cfRule type="colorScale" priority="704">
      <colorScale>
        <cfvo type="min"/>
        <cfvo type="percentile" val="50"/>
        <cfvo type="max"/>
        <color rgb="FF63BE7B"/>
        <color rgb="FFFFEB84"/>
        <color rgb="FFF8696B"/>
      </colorScale>
    </cfRule>
    <cfRule type="colorScale" priority="705">
      <colorScale>
        <cfvo type="min"/>
        <cfvo type="percentile" val="50"/>
        <cfvo type="max"/>
        <color rgb="FF63BE7B"/>
        <color rgb="FFFFEB84"/>
        <color rgb="FFF8696B"/>
      </colorScale>
    </cfRule>
    <cfRule type="colorScale" priority="706">
      <colorScale>
        <cfvo type="min"/>
        <cfvo type="percentile" val="50"/>
        <cfvo type="max"/>
        <color rgb="FF63BE7B"/>
        <color rgb="FFFFEB84"/>
        <color rgb="FFF8696B"/>
      </colorScale>
    </cfRule>
    <cfRule type="colorScale" priority="707">
      <colorScale>
        <cfvo type="min"/>
        <cfvo type="percentile" val="50"/>
        <cfvo type="max"/>
        <color rgb="FF63BE7B"/>
        <color rgb="FFFFEB84"/>
        <color rgb="FFF8696B"/>
      </colorScale>
    </cfRule>
    <cfRule type="colorScale" priority="708">
      <colorScale>
        <cfvo type="min"/>
        <cfvo type="percentile" val="50"/>
        <cfvo type="max"/>
        <color rgb="FF63BE7B"/>
        <color rgb="FFFFEB84"/>
        <color rgb="FFF8696B"/>
      </colorScale>
    </cfRule>
    <cfRule type="colorScale" priority="831">
      <colorScale>
        <cfvo type="min"/>
        <cfvo type="percentile" val="50"/>
        <cfvo type="max"/>
        <color rgb="FF63BE7B"/>
        <color rgb="FFFFEB84"/>
        <color rgb="FFF8696B"/>
      </colorScale>
    </cfRule>
    <cfRule type="colorScale" priority="832">
      <colorScale>
        <cfvo type="min"/>
        <cfvo type="percentile" val="50"/>
        <cfvo type="max"/>
        <color rgb="FF63BE7B"/>
        <color rgb="FFFFEB84"/>
        <color rgb="FFF8696B"/>
      </colorScale>
    </cfRule>
    <cfRule type="colorScale" priority="834">
      <colorScale>
        <cfvo type="min"/>
        <cfvo type="percentile" val="50"/>
        <cfvo type="max"/>
        <color rgb="FF63BE7B"/>
        <color rgb="FFFFEB84"/>
        <color rgb="FFF8696B"/>
      </colorScale>
    </cfRule>
    <cfRule type="colorScale" priority="835">
      <colorScale>
        <cfvo type="min"/>
        <cfvo type="percentile" val="50"/>
        <cfvo type="max"/>
        <color rgb="FF63BE7B"/>
        <color rgb="FFFFEB84"/>
        <color rgb="FFF8696B"/>
      </colorScale>
    </cfRule>
    <cfRule type="colorScale" priority="836">
      <colorScale>
        <cfvo type="min"/>
        <cfvo type="percentile" val="50"/>
        <cfvo type="max"/>
        <color rgb="FF63BE7B"/>
        <color rgb="FFFFEB84"/>
        <color rgb="FFF8696B"/>
      </colorScale>
    </cfRule>
    <cfRule type="colorScale" priority="838">
      <colorScale>
        <cfvo type="min"/>
        <cfvo type="percentile" val="50"/>
        <cfvo type="max"/>
        <color rgb="FF63BE7B"/>
        <color rgb="FFFFEB84"/>
        <color rgb="FFF8696B"/>
      </colorScale>
    </cfRule>
    <cfRule type="colorScale" priority="839">
      <colorScale>
        <cfvo type="min"/>
        <cfvo type="percentile" val="50"/>
        <cfvo type="max"/>
        <color rgb="FF63BE7B"/>
        <color rgb="FFFFEB84"/>
        <color rgb="FFF8696B"/>
      </colorScale>
    </cfRule>
    <cfRule type="colorScale" priority="840">
      <colorScale>
        <cfvo type="min"/>
        <cfvo type="percentile" val="50"/>
        <cfvo type="max"/>
        <color rgb="FF63BE7B"/>
        <color rgb="FFFFEB84"/>
        <color rgb="FFF8696B"/>
      </colorScale>
    </cfRule>
    <cfRule type="colorScale" priority="842">
      <colorScale>
        <cfvo type="min"/>
        <cfvo type="percentile" val="50"/>
        <cfvo type="max"/>
        <color rgb="FF63BE7B"/>
        <color rgb="FFFFEB84"/>
        <color rgb="FFF8696B"/>
      </colorScale>
    </cfRule>
    <cfRule type="colorScale" priority="843">
      <colorScale>
        <cfvo type="min"/>
        <cfvo type="percentile" val="50"/>
        <cfvo type="max"/>
        <color rgb="FF63BE7B"/>
        <color rgb="FFFFEB84"/>
        <color rgb="FFF8696B"/>
      </colorScale>
    </cfRule>
    <cfRule type="colorScale" priority="844">
      <colorScale>
        <cfvo type="min"/>
        <cfvo type="percentile" val="50"/>
        <cfvo type="max"/>
        <color rgb="FF63BE7B"/>
        <color rgb="FFFFEB84"/>
        <color rgb="FFF8696B"/>
      </colorScale>
    </cfRule>
    <cfRule type="colorScale" priority="845">
      <colorScale>
        <cfvo type="min"/>
        <cfvo type="percentile" val="50"/>
        <cfvo type="max"/>
        <color rgb="FF63BE7B"/>
        <color rgb="FFFFEB84"/>
        <color rgb="FFF8696B"/>
      </colorScale>
    </cfRule>
    <cfRule type="colorScale" priority="846">
      <colorScale>
        <cfvo type="min"/>
        <cfvo type="percentile" val="50"/>
        <cfvo type="max"/>
        <color rgb="FF63BE7B"/>
        <color rgb="FFFFEB84"/>
        <color rgb="FFF8696B"/>
      </colorScale>
    </cfRule>
    <cfRule type="colorScale" priority="847">
      <colorScale>
        <cfvo type="min"/>
        <cfvo type="percentile" val="50"/>
        <cfvo type="max"/>
        <color rgb="FF63BE7B"/>
        <color rgb="FFFFEB84"/>
        <color rgb="FFF8696B"/>
      </colorScale>
    </cfRule>
    <cfRule type="colorScale" priority="848">
      <colorScale>
        <cfvo type="min"/>
        <cfvo type="percentile" val="50"/>
        <cfvo type="max"/>
        <color rgb="FF63BE7B"/>
        <color rgb="FFFFEB84"/>
        <color rgb="FFF8696B"/>
      </colorScale>
    </cfRule>
    <cfRule type="colorScale" priority="849">
      <colorScale>
        <cfvo type="min"/>
        <cfvo type="percentile" val="50"/>
        <cfvo type="max"/>
        <color rgb="FF63BE7B"/>
        <color rgb="FFFFEB84"/>
        <color rgb="FFF8696B"/>
      </colorScale>
    </cfRule>
    <cfRule type="colorScale" priority="850">
      <colorScale>
        <cfvo type="min"/>
        <cfvo type="percentile" val="50"/>
        <cfvo type="max"/>
        <color rgb="FF63BE7B"/>
        <color rgb="FFFFEB84"/>
        <color rgb="FFF8696B"/>
      </colorScale>
    </cfRule>
    <cfRule type="colorScale" priority="851">
      <colorScale>
        <cfvo type="min"/>
        <cfvo type="percentile" val="50"/>
        <cfvo type="max"/>
        <color rgb="FF63BE7B"/>
        <color rgb="FFFFEB84"/>
        <color rgb="FFF8696B"/>
      </colorScale>
    </cfRule>
    <cfRule type="colorScale" priority="852">
      <colorScale>
        <cfvo type="min"/>
        <cfvo type="percentile" val="50"/>
        <cfvo type="max"/>
        <color rgb="FF63BE7B"/>
        <color rgb="FFFFEB84"/>
        <color rgb="FFF8696B"/>
      </colorScale>
    </cfRule>
    <cfRule type="colorScale" priority="853">
      <colorScale>
        <cfvo type="min"/>
        <cfvo type="percentile" val="50"/>
        <cfvo type="max"/>
        <color rgb="FF63BE7B"/>
        <color rgb="FFFFEB84"/>
        <color rgb="FFF8696B"/>
      </colorScale>
    </cfRule>
    <cfRule type="colorScale" priority="854">
      <colorScale>
        <cfvo type="min"/>
        <cfvo type="percentile" val="50"/>
        <cfvo type="max"/>
        <color rgb="FF63BE7B"/>
        <color rgb="FFFFEB84"/>
        <color rgb="FFF8696B"/>
      </colorScale>
    </cfRule>
    <cfRule type="colorScale" priority="855">
      <colorScale>
        <cfvo type="min"/>
        <cfvo type="percentile" val="50"/>
        <cfvo type="max"/>
        <color rgb="FF63BE7B"/>
        <color rgb="FFFFEB84"/>
        <color rgb="FFF8696B"/>
      </colorScale>
    </cfRule>
    <cfRule type="colorScale" priority="856">
      <colorScale>
        <cfvo type="min"/>
        <cfvo type="percentile" val="50"/>
        <cfvo type="max"/>
        <color rgb="FF63BE7B"/>
        <color rgb="FFFFEB84"/>
        <color rgb="FFF8696B"/>
      </colorScale>
    </cfRule>
    <cfRule type="colorScale" priority="857">
      <colorScale>
        <cfvo type="min"/>
        <cfvo type="percentile" val="50"/>
        <cfvo type="max"/>
        <color rgb="FF63BE7B"/>
        <color rgb="FFFFEB84"/>
        <color rgb="FFF8696B"/>
      </colorScale>
    </cfRule>
    <cfRule type="colorScale" priority="858">
      <colorScale>
        <cfvo type="min"/>
        <cfvo type="percentile" val="50"/>
        <cfvo type="max"/>
        <color rgb="FF63BE7B"/>
        <color rgb="FFFFEB84"/>
        <color rgb="FFF8696B"/>
      </colorScale>
    </cfRule>
    <cfRule type="colorScale" priority="859">
      <colorScale>
        <cfvo type="min"/>
        <cfvo type="percentile" val="50"/>
        <cfvo type="max"/>
        <color rgb="FF63BE7B"/>
        <color rgb="FFFFEB84"/>
        <color rgb="FFF8696B"/>
      </colorScale>
    </cfRule>
    <cfRule type="colorScale" priority="860">
      <colorScale>
        <cfvo type="min"/>
        <cfvo type="percentile" val="50"/>
        <cfvo type="max"/>
        <color rgb="FF63BE7B"/>
        <color rgb="FFFFEB84"/>
        <color rgb="FFF8696B"/>
      </colorScale>
    </cfRule>
    <cfRule type="colorScale" priority="861">
      <colorScale>
        <cfvo type="min"/>
        <cfvo type="percentile" val="50"/>
        <cfvo type="max"/>
        <color rgb="FF63BE7B"/>
        <color rgb="FFFFEB84"/>
        <color rgb="FFF8696B"/>
      </colorScale>
    </cfRule>
    <cfRule type="colorScale" priority="862">
      <colorScale>
        <cfvo type="min"/>
        <cfvo type="percentile" val="50"/>
        <cfvo type="max"/>
        <color rgb="FF63BE7B"/>
        <color rgb="FFFFEB84"/>
        <color rgb="FFF8696B"/>
      </colorScale>
    </cfRule>
    <cfRule type="colorScale" priority="863">
      <colorScale>
        <cfvo type="min"/>
        <cfvo type="percentile" val="50"/>
        <cfvo type="max"/>
        <color rgb="FF63BE7B"/>
        <color rgb="FFFFEB84"/>
        <color rgb="FFF8696B"/>
      </colorScale>
    </cfRule>
    <cfRule type="colorScale" priority="864">
      <colorScale>
        <cfvo type="min"/>
        <cfvo type="percentile" val="50"/>
        <cfvo type="max"/>
        <color rgb="FF63BE7B"/>
        <color rgb="FFFFEB84"/>
        <color rgb="FFF8696B"/>
      </colorScale>
    </cfRule>
    <cfRule type="colorScale" priority="865">
      <colorScale>
        <cfvo type="min"/>
        <cfvo type="percentile" val="50"/>
        <cfvo type="max"/>
        <color rgb="FF63BE7B"/>
        <color rgb="FFFFEB84"/>
        <color rgb="FFF8696B"/>
      </colorScale>
    </cfRule>
    <cfRule type="colorScale" priority="709">
      <colorScale>
        <cfvo type="min"/>
        <cfvo type="percentile" val="50"/>
        <cfvo type="max"/>
        <color rgb="FF63BE7B"/>
        <color rgb="FFFFEB84"/>
        <color rgb="FFF8696B"/>
      </colorScale>
    </cfRule>
    <cfRule type="colorScale" priority="710">
      <colorScale>
        <cfvo type="min"/>
        <cfvo type="percentile" val="50"/>
        <cfvo type="max"/>
        <color rgb="FF63BE7B"/>
        <color rgb="FFFFEB84"/>
        <color rgb="FFF8696B"/>
      </colorScale>
    </cfRule>
    <cfRule type="colorScale" priority="711">
      <colorScale>
        <cfvo type="min"/>
        <cfvo type="percentile" val="50"/>
        <cfvo type="max"/>
        <color rgb="FF63BE7B"/>
        <color rgb="FFFFEB84"/>
        <color rgb="FFF8696B"/>
      </colorScale>
    </cfRule>
    <cfRule type="colorScale" priority="712">
      <colorScale>
        <cfvo type="min"/>
        <cfvo type="percentile" val="50"/>
        <cfvo type="max"/>
        <color rgb="FF63BE7B"/>
        <color rgb="FFFFEB84"/>
        <color rgb="FFF8696B"/>
      </colorScale>
    </cfRule>
    <cfRule type="colorScale" priority="713">
      <colorScale>
        <cfvo type="min"/>
        <cfvo type="percentile" val="50"/>
        <cfvo type="max"/>
        <color rgb="FF63BE7B"/>
        <color rgb="FFFFEB84"/>
        <color rgb="FFF8696B"/>
      </colorScale>
    </cfRule>
    <cfRule type="colorScale" priority="714">
      <colorScale>
        <cfvo type="min"/>
        <cfvo type="percentile" val="50"/>
        <cfvo type="max"/>
        <color rgb="FF63BE7B"/>
        <color rgb="FFFFEB84"/>
        <color rgb="FFF8696B"/>
      </colorScale>
    </cfRule>
    <cfRule type="colorScale" priority="715">
      <colorScale>
        <cfvo type="min"/>
        <cfvo type="percentile" val="50"/>
        <cfvo type="max"/>
        <color rgb="FF63BE7B"/>
        <color rgb="FFFFEB84"/>
        <color rgb="FFF8696B"/>
      </colorScale>
    </cfRule>
    <cfRule type="colorScale" priority="716">
      <colorScale>
        <cfvo type="min"/>
        <cfvo type="percentile" val="50"/>
        <cfvo type="max"/>
        <color rgb="FF63BE7B"/>
        <color rgb="FFFFEB84"/>
        <color rgb="FFF8696B"/>
      </colorScale>
    </cfRule>
    <cfRule type="colorScale" priority="717">
      <colorScale>
        <cfvo type="min"/>
        <cfvo type="percentile" val="50"/>
        <cfvo type="max"/>
        <color rgb="FF63BE7B"/>
        <color rgb="FFFFEB84"/>
        <color rgb="FFF8696B"/>
      </colorScale>
    </cfRule>
    <cfRule type="colorScale" priority="718">
      <colorScale>
        <cfvo type="min"/>
        <cfvo type="percentile" val="50"/>
        <cfvo type="max"/>
        <color rgb="FF63BE7B"/>
        <color rgb="FFFFEB84"/>
        <color rgb="FFF8696B"/>
      </colorScale>
    </cfRule>
    <cfRule type="colorScale" priority="719">
      <colorScale>
        <cfvo type="min"/>
        <cfvo type="percentile" val="50"/>
        <cfvo type="max"/>
        <color rgb="FF63BE7B"/>
        <color rgb="FFFFEB84"/>
        <color rgb="FFF8696B"/>
      </colorScale>
    </cfRule>
    <cfRule type="colorScale" priority="720">
      <colorScale>
        <cfvo type="min"/>
        <cfvo type="percentile" val="50"/>
        <cfvo type="max"/>
        <color rgb="FF63BE7B"/>
        <color rgb="FFFFEB84"/>
        <color rgb="FFF8696B"/>
      </colorScale>
    </cfRule>
    <cfRule type="colorScale" priority="722">
      <colorScale>
        <cfvo type="min"/>
        <cfvo type="percentile" val="50"/>
        <cfvo type="max"/>
        <color rgb="FF63BE7B"/>
        <color rgb="FFFFEB84"/>
        <color rgb="FFF8696B"/>
      </colorScale>
    </cfRule>
    <cfRule type="colorScale" priority="723">
      <colorScale>
        <cfvo type="min"/>
        <cfvo type="percentile" val="50"/>
        <cfvo type="max"/>
        <color rgb="FF63BE7B"/>
        <color rgb="FFFFEB84"/>
        <color rgb="FFF8696B"/>
      </colorScale>
    </cfRule>
    <cfRule type="colorScale" priority="724">
      <colorScale>
        <cfvo type="min"/>
        <cfvo type="percentile" val="50"/>
        <cfvo type="max"/>
        <color rgb="FF63BE7B"/>
        <color rgb="FFFFEB84"/>
        <color rgb="FFF8696B"/>
      </colorScale>
    </cfRule>
    <cfRule type="colorScale" priority="725">
      <colorScale>
        <cfvo type="min"/>
        <cfvo type="percentile" val="50"/>
        <cfvo type="max"/>
        <color rgb="FF63BE7B"/>
        <color rgb="FFFFEB84"/>
        <color rgb="FFF8696B"/>
      </colorScale>
    </cfRule>
    <cfRule type="colorScale" priority="726">
      <colorScale>
        <cfvo type="min"/>
        <cfvo type="percentile" val="50"/>
        <cfvo type="max"/>
        <color rgb="FF63BE7B"/>
        <color rgb="FFFFEB84"/>
        <color rgb="FFF8696B"/>
      </colorScale>
    </cfRule>
    <cfRule type="colorScale" priority="727">
      <colorScale>
        <cfvo type="min"/>
        <cfvo type="percentile" val="50"/>
        <cfvo type="max"/>
        <color rgb="FF63BE7B"/>
        <color rgb="FFFFEB84"/>
        <color rgb="FFF8696B"/>
      </colorScale>
    </cfRule>
    <cfRule type="colorScale" priority="728">
      <colorScale>
        <cfvo type="min"/>
        <cfvo type="percentile" val="50"/>
        <cfvo type="max"/>
        <color rgb="FF63BE7B"/>
        <color rgb="FFFFEB84"/>
        <color rgb="FFF8696B"/>
      </colorScale>
    </cfRule>
    <cfRule type="colorScale" priority="729">
      <colorScale>
        <cfvo type="min"/>
        <cfvo type="percentile" val="50"/>
        <cfvo type="max"/>
        <color rgb="FF63BE7B"/>
        <color rgb="FFFFEB84"/>
        <color rgb="FFF8696B"/>
      </colorScale>
    </cfRule>
    <cfRule type="colorScale" priority="732">
      <colorScale>
        <cfvo type="min"/>
        <cfvo type="percentile" val="50"/>
        <cfvo type="max"/>
        <color rgb="FFF8696B"/>
        <color rgb="FFFFEB84"/>
        <color rgb="FF63BE7B"/>
      </colorScale>
    </cfRule>
    <cfRule type="colorScale" priority="733">
      <colorScale>
        <cfvo type="min"/>
        <cfvo type="percentile" val="50"/>
        <cfvo type="max"/>
        <color rgb="FF63BE7B"/>
        <color rgb="FFFFEB84"/>
        <color rgb="FFF8696B"/>
      </colorScale>
    </cfRule>
    <cfRule type="colorScale" priority="734">
      <colorScale>
        <cfvo type="min"/>
        <cfvo type="percentile" val="50"/>
        <cfvo type="max"/>
        <color rgb="FF63BE7B"/>
        <color rgb="FFFFEB84"/>
        <color rgb="FFF8696B"/>
      </colorScale>
    </cfRule>
    <cfRule type="colorScale" priority="735">
      <colorScale>
        <cfvo type="min"/>
        <cfvo type="percentile" val="50"/>
        <cfvo type="max"/>
        <color rgb="FF63BE7B"/>
        <color rgb="FFFFEB84"/>
        <color rgb="FFF8696B"/>
      </colorScale>
    </cfRule>
    <cfRule type="colorScale" priority="736">
      <colorScale>
        <cfvo type="min"/>
        <cfvo type="percentile" val="50"/>
        <cfvo type="max"/>
        <color rgb="FF63BE7B"/>
        <color rgb="FFFFEB84"/>
        <color rgb="FFF8696B"/>
      </colorScale>
    </cfRule>
    <cfRule type="colorScale" priority="737">
      <colorScale>
        <cfvo type="min"/>
        <cfvo type="percentile" val="50"/>
        <cfvo type="max"/>
        <color rgb="FF63BE7B"/>
        <color rgb="FFFFEB84"/>
        <color rgb="FFF8696B"/>
      </colorScale>
    </cfRule>
    <cfRule type="colorScale" priority="738">
      <colorScale>
        <cfvo type="min"/>
        <cfvo type="percentile" val="50"/>
        <cfvo type="max"/>
        <color rgb="FF63BE7B"/>
        <color rgb="FFFFEB84"/>
        <color rgb="FFF8696B"/>
      </colorScale>
    </cfRule>
    <cfRule type="colorScale" priority="739">
      <colorScale>
        <cfvo type="min"/>
        <cfvo type="percentile" val="50"/>
        <cfvo type="max"/>
        <color rgb="FF63BE7B"/>
        <color rgb="FFFFEB84"/>
        <color rgb="FFF8696B"/>
      </colorScale>
    </cfRule>
    <cfRule type="colorScale" priority="740">
      <colorScale>
        <cfvo type="min"/>
        <cfvo type="percentile" val="50"/>
        <cfvo type="max"/>
        <color rgb="FF63BE7B"/>
        <color rgb="FFFFEB84"/>
        <color rgb="FFF8696B"/>
      </colorScale>
    </cfRule>
    <cfRule type="colorScale" priority="741">
      <colorScale>
        <cfvo type="min"/>
        <cfvo type="percentile" val="50"/>
        <cfvo type="max"/>
        <color rgb="FF63BE7B"/>
        <color rgb="FFFFEB84"/>
        <color rgb="FFF8696B"/>
      </colorScale>
    </cfRule>
    <cfRule type="colorScale" priority="742">
      <colorScale>
        <cfvo type="min"/>
        <cfvo type="percentile" val="50"/>
        <cfvo type="max"/>
        <color rgb="FF63BE7B"/>
        <color rgb="FFFFEB84"/>
        <color rgb="FFF8696B"/>
      </colorScale>
    </cfRule>
    <cfRule type="colorScale" priority="743">
      <colorScale>
        <cfvo type="min"/>
        <cfvo type="percentile" val="50"/>
        <cfvo type="max"/>
        <color rgb="FF63BE7B"/>
        <color rgb="FFFFEB84"/>
        <color rgb="FFF8696B"/>
      </colorScale>
    </cfRule>
    <cfRule type="colorScale" priority="744">
      <colorScale>
        <cfvo type="min"/>
        <cfvo type="percentile" val="50"/>
        <cfvo type="max"/>
        <color rgb="FF63BE7B"/>
        <color rgb="FFFFEB84"/>
        <color rgb="FFF8696B"/>
      </colorScale>
    </cfRule>
    <cfRule type="colorScale" priority="745">
      <colorScale>
        <cfvo type="min"/>
        <cfvo type="percentile" val="50"/>
        <cfvo type="max"/>
        <color rgb="FF63BE7B"/>
        <color rgb="FFFFEB84"/>
        <color rgb="FFF8696B"/>
      </colorScale>
    </cfRule>
    <cfRule type="colorScale" priority="746">
      <colorScale>
        <cfvo type="min"/>
        <cfvo type="percentile" val="50"/>
        <cfvo type="max"/>
        <color rgb="FF63BE7B"/>
        <color rgb="FFFFEB84"/>
        <color rgb="FFF8696B"/>
      </colorScale>
    </cfRule>
    <cfRule type="colorScale" priority="747">
      <colorScale>
        <cfvo type="min"/>
        <cfvo type="percentile" val="50"/>
        <cfvo type="max"/>
        <color rgb="FF63BE7B"/>
        <color rgb="FFFFEB84"/>
        <color rgb="FFF8696B"/>
      </colorScale>
    </cfRule>
    <cfRule type="colorScale" priority="748">
      <colorScale>
        <cfvo type="min"/>
        <cfvo type="percentile" val="50"/>
        <cfvo type="max"/>
        <color rgb="FF63BE7B"/>
        <color rgb="FFFFEB84"/>
        <color rgb="FFF8696B"/>
      </colorScale>
    </cfRule>
    <cfRule type="colorScale" priority="749">
      <colorScale>
        <cfvo type="min"/>
        <cfvo type="percentile" val="50"/>
        <cfvo type="max"/>
        <color rgb="FF63BE7B"/>
        <color rgb="FFFFEB84"/>
        <color rgb="FFF8696B"/>
      </colorScale>
    </cfRule>
    <cfRule type="colorScale" priority="750">
      <colorScale>
        <cfvo type="min"/>
        <cfvo type="percentile" val="50"/>
        <cfvo type="max"/>
        <color rgb="FF63BE7B"/>
        <color rgb="FFFFEB84"/>
        <color rgb="FFF8696B"/>
      </colorScale>
    </cfRule>
    <cfRule type="colorScale" priority="751">
      <colorScale>
        <cfvo type="min"/>
        <cfvo type="percentile" val="50"/>
        <cfvo type="max"/>
        <color rgb="FF63BE7B"/>
        <color rgb="FFFFEB84"/>
        <color rgb="FFF8696B"/>
      </colorScale>
    </cfRule>
    <cfRule type="colorScale" priority="752">
      <colorScale>
        <cfvo type="min"/>
        <cfvo type="percentile" val="50"/>
        <cfvo type="max"/>
        <color rgb="FF63BE7B"/>
        <color rgb="FFFFEB84"/>
        <color rgb="FFF8696B"/>
      </colorScale>
    </cfRule>
    <cfRule type="colorScale" priority="753">
      <colorScale>
        <cfvo type="min"/>
        <cfvo type="percentile" val="50"/>
        <cfvo type="max"/>
        <color rgb="FF63BE7B"/>
        <color rgb="FFFFEB84"/>
        <color rgb="FFF8696B"/>
      </colorScale>
    </cfRule>
    <cfRule type="colorScale" priority="754">
      <colorScale>
        <cfvo type="min"/>
        <cfvo type="percentile" val="50"/>
        <cfvo type="max"/>
        <color rgb="FF63BE7B"/>
        <color rgb="FFFFEB84"/>
        <color rgb="FFF8696B"/>
      </colorScale>
    </cfRule>
    <cfRule type="colorScale" priority="755">
      <colorScale>
        <cfvo type="min"/>
        <cfvo type="percentile" val="50"/>
        <cfvo type="max"/>
        <color rgb="FF63BE7B"/>
        <color rgb="FFFFEB84"/>
        <color rgb="FFF8696B"/>
      </colorScale>
    </cfRule>
    <cfRule type="colorScale" priority="756">
      <colorScale>
        <cfvo type="min"/>
        <cfvo type="percentile" val="50"/>
        <cfvo type="max"/>
        <color rgb="FF63BE7B"/>
        <color rgb="FFFFEB84"/>
        <color rgb="FFF8696B"/>
      </colorScale>
    </cfRule>
    <cfRule type="colorScale" priority="757">
      <colorScale>
        <cfvo type="min"/>
        <cfvo type="percentile" val="50"/>
        <cfvo type="max"/>
        <color rgb="FF63BE7B"/>
        <color rgb="FFFFEB84"/>
        <color rgb="FFF8696B"/>
      </colorScale>
    </cfRule>
    <cfRule type="colorScale" priority="758">
      <colorScale>
        <cfvo type="min"/>
        <cfvo type="percentile" val="50"/>
        <cfvo type="max"/>
        <color rgb="FF63BE7B"/>
        <color rgb="FFFFEB84"/>
        <color rgb="FFF8696B"/>
      </colorScale>
    </cfRule>
    <cfRule type="colorScale" priority="759">
      <colorScale>
        <cfvo type="min"/>
        <cfvo type="percentile" val="50"/>
        <cfvo type="max"/>
        <color rgb="FF63BE7B"/>
        <color rgb="FFFFEB84"/>
        <color rgb="FFF8696B"/>
      </colorScale>
    </cfRule>
    <cfRule type="colorScale" priority="760">
      <colorScale>
        <cfvo type="min"/>
        <cfvo type="percentile" val="50"/>
        <cfvo type="max"/>
        <color rgb="FF63BE7B"/>
        <color rgb="FFFFEB84"/>
        <color rgb="FFF8696B"/>
      </colorScale>
    </cfRule>
    <cfRule type="colorScale" priority="761">
      <colorScale>
        <cfvo type="min"/>
        <cfvo type="percentile" val="50"/>
        <cfvo type="max"/>
        <color rgb="FF63BE7B"/>
        <color rgb="FFFFEB84"/>
        <color rgb="FFF8696B"/>
      </colorScale>
    </cfRule>
    <cfRule type="colorScale" priority="762">
      <colorScale>
        <cfvo type="min"/>
        <cfvo type="percentile" val="50"/>
        <cfvo type="max"/>
        <color rgb="FF63BE7B"/>
        <color rgb="FFFFEB84"/>
        <color rgb="FFF8696B"/>
      </colorScale>
    </cfRule>
    <cfRule type="colorScale" priority="763">
      <colorScale>
        <cfvo type="min"/>
        <cfvo type="percentile" val="50"/>
        <cfvo type="max"/>
        <color rgb="FF63BE7B"/>
        <color rgb="FFFFEB84"/>
        <color rgb="FFF8696B"/>
      </colorScale>
    </cfRule>
    <cfRule type="colorScale" priority="764">
      <colorScale>
        <cfvo type="min"/>
        <cfvo type="percentile" val="50"/>
        <cfvo type="max"/>
        <color rgb="FF63BE7B"/>
        <color rgb="FFFFEB84"/>
        <color rgb="FFF8696B"/>
      </colorScale>
    </cfRule>
    <cfRule type="colorScale" priority="765">
      <colorScale>
        <cfvo type="min"/>
        <cfvo type="percentile" val="50"/>
        <cfvo type="max"/>
        <color rgb="FF63BE7B"/>
        <color rgb="FFFFEB84"/>
        <color rgb="FFF8696B"/>
      </colorScale>
    </cfRule>
    <cfRule type="colorScale" priority="766">
      <colorScale>
        <cfvo type="min"/>
        <cfvo type="percentile" val="50"/>
        <cfvo type="max"/>
        <color rgb="FF63BE7B"/>
        <color rgb="FFFFEB84"/>
        <color rgb="FFF8696B"/>
      </colorScale>
    </cfRule>
    <cfRule type="colorScale" priority="767">
      <colorScale>
        <cfvo type="min"/>
        <cfvo type="percentile" val="50"/>
        <cfvo type="max"/>
        <color rgb="FF63BE7B"/>
        <color rgb="FFFFEB84"/>
        <color rgb="FFF8696B"/>
      </colorScale>
    </cfRule>
    <cfRule type="colorScale" priority="768">
      <colorScale>
        <cfvo type="min"/>
        <cfvo type="percentile" val="50"/>
        <cfvo type="max"/>
        <color rgb="FF63BE7B"/>
        <color rgb="FFFFEB84"/>
        <color rgb="FFF8696B"/>
      </colorScale>
    </cfRule>
    <cfRule type="colorScale" priority="769">
      <colorScale>
        <cfvo type="min"/>
        <cfvo type="percentile" val="50"/>
        <cfvo type="max"/>
        <color rgb="FF63BE7B"/>
        <color rgb="FFFFEB84"/>
        <color rgb="FFF8696B"/>
      </colorScale>
    </cfRule>
    <cfRule type="colorScale" priority="770">
      <colorScale>
        <cfvo type="min"/>
        <cfvo type="percentile" val="50"/>
        <cfvo type="max"/>
        <color rgb="FF63BE7B"/>
        <color rgb="FFFFEB84"/>
        <color rgb="FFF8696B"/>
      </colorScale>
    </cfRule>
    <cfRule type="colorScale" priority="771">
      <colorScale>
        <cfvo type="min"/>
        <cfvo type="percentile" val="50"/>
        <cfvo type="max"/>
        <color rgb="FFF8696B"/>
        <color rgb="FFFFEB84"/>
        <color rgb="FF63BE7B"/>
      </colorScale>
    </cfRule>
    <cfRule type="colorScale" priority="772">
      <colorScale>
        <cfvo type="min"/>
        <cfvo type="percentile" val="50"/>
        <cfvo type="max"/>
        <color rgb="FF63BE7B"/>
        <color rgb="FFFFEB84"/>
        <color rgb="FFF8696B"/>
      </colorScale>
    </cfRule>
    <cfRule type="colorScale" priority="773">
      <colorScale>
        <cfvo type="min"/>
        <cfvo type="percentile" val="50"/>
        <cfvo type="max"/>
        <color rgb="FF63BE7B"/>
        <color rgb="FFFFEB84"/>
        <color rgb="FFF8696B"/>
      </colorScale>
    </cfRule>
    <cfRule type="colorScale" priority="774">
      <colorScale>
        <cfvo type="min"/>
        <cfvo type="percentile" val="50"/>
        <cfvo type="max"/>
        <color rgb="FF63BE7B"/>
        <color rgb="FFFFEB84"/>
        <color rgb="FFF8696B"/>
      </colorScale>
    </cfRule>
    <cfRule type="colorScale" priority="775">
      <colorScale>
        <cfvo type="min"/>
        <cfvo type="percentile" val="50"/>
        <cfvo type="max"/>
        <color rgb="FF63BE7B"/>
        <color rgb="FFFFEB84"/>
        <color rgb="FFF8696B"/>
      </colorScale>
    </cfRule>
    <cfRule type="colorScale" priority="776">
      <colorScale>
        <cfvo type="min"/>
        <cfvo type="percentile" val="50"/>
        <cfvo type="max"/>
        <color rgb="FF63BE7B"/>
        <color rgb="FFFFEB84"/>
        <color rgb="FFF8696B"/>
      </colorScale>
    </cfRule>
    <cfRule type="colorScale" priority="777">
      <colorScale>
        <cfvo type="min"/>
        <cfvo type="percentile" val="50"/>
        <cfvo type="max"/>
        <color rgb="FF63BE7B"/>
        <color rgb="FFFFEB84"/>
        <color rgb="FFF8696B"/>
      </colorScale>
    </cfRule>
    <cfRule type="colorScale" priority="778">
      <colorScale>
        <cfvo type="min"/>
        <cfvo type="percentile" val="50"/>
        <cfvo type="max"/>
        <color rgb="FF63BE7B"/>
        <color rgb="FFFFEB84"/>
        <color rgb="FFF8696B"/>
      </colorScale>
    </cfRule>
    <cfRule type="colorScale" priority="779">
      <colorScale>
        <cfvo type="min"/>
        <cfvo type="percentile" val="50"/>
        <cfvo type="max"/>
        <color rgb="FF63BE7B"/>
        <color rgb="FFFFEB84"/>
        <color rgb="FFF8696B"/>
      </colorScale>
    </cfRule>
    <cfRule type="colorScale" priority="721">
      <colorScale>
        <cfvo type="min"/>
        <cfvo type="percentile" val="50"/>
        <cfvo type="max"/>
        <color rgb="FF63BE7B"/>
        <color rgb="FFFFEB84"/>
        <color rgb="FFF8696B"/>
      </colorScale>
    </cfRule>
    <cfRule type="colorScale" priority="780">
      <colorScale>
        <cfvo type="min"/>
        <cfvo type="percentile" val="50"/>
        <cfvo type="max"/>
        <color rgb="FF63BE7B"/>
        <color rgb="FFFFEB84"/>
        <color rgb="FFF8696B"/>
      </colorScale>
    </cfRule>
    <cfRule type="colorScale" priority="781">
      <colorScale>
        <cfvo type="min"/>
        <cfvo type="percentile" val="50"/>
        <cfvo type="max"/>
        <color rgb="FF63BE7B"/>
        <color rgb="FFFFEB84"/>
        <color rgb="FFF8696B"/>
      </colorScale>
    </cfRule>
    <cfRule type="colorScale" priority="782">
      <colorScale>
        <cfvo type="min"/>
        <cfvo type="percentile" val="50"/>
        <cfvo type="max"/>
        <color rgb="FF63BE7B"/>
        <color rgb="FFFFEB84"/>
        <color rgb="FFF8696B"/>
      </colorScale>
    </cfRule>
    <cfRule type="colorScale" priority="783">
      <colorScale>
        <cfvo type="min"/>
        <cfvo type="percentile" val="50"/>
        <cfvo type="max"/>
        <color rgb="FF63BE7B"/>
        <color rgb="FFFFEB84"/>
        <color rgb="FFF8696B"/>
      </colorScale>
    </cfRule>
    <cfRule type="colorScale" priority="784">
      <colorScale>
        <cfvo type="min"/>
        <cfvo type="percentile" val="50"/>
        <cfvo type="max"/>
        <color rgb="FF63BE7B"/>
        <color rgb="FFFFEB84"/>
        <color rgb="FFF8696B"/>
      </colorScale>
    </cfRule>
    <cfRule type="colorScale" priority="785">
      <colorScale>
        <cfvo type="min"/>
        <cfvo type="percentile" val="50"/>
        <cfvo type="max"/>
        <color rgb="FF63BE7B"/>
        <color rgb="FFFFEB84"/>
        <color rgb="FFF8696B"/>
      </colorScale>
    </cfRule>
    <cfRule type="colorScale" priority="786">
      <colorScale>
        <cfvo type="min"/>
        <cfvo type="percentile" val="50"/>
        <cfvo type="max"/>
        <color rgb="FF63BE7B"/>
        <color rgb="FFFFEB84"/>
        <color rgb="FFF8696B"/>
      </colorScale>
    </cfRule>
    <cfRule type="colorScale" priority="787">
      <colorScale>
        <cfvo type="min"/>
        <cfvo type="percentile" val="50"/>
        <cfvo type="max"/>
        <color rgb="FF63BE7B"/>
        <color rgb="FFFFEB84"/>
        <color rgb="FFF8696B"/>
      </colorScale>
    </cfRule>
    <cfRule type="colorScale" priority="788">
      <colorScale>
        <cfvo type="min"/>
        <cfvo type="percentile" val="50"/>
        <cfvo type="max"/>
        <color rgb="FF63BE7B"/>
        <color rgb="FFFFEB84"/>
        <color rgb="FFF8696B"/>
      </colorScale>
    </cfRule>
    <cfRule type="colorScale" priority="789">
      <colorScale>
        <cfvo type="min"/>
        <cfvo type="percentile" val="50"/>
        <cfvo type="max"/>
        <color rgb="FF63BE7B"/>
        <color rgb="FFFFEB84"/>
        <color rgb="FFF8696B"/>
      </colorScale>
    </cfRule>
    <cfRule type="colorScale" priority="790">
      <colorScale>
        <cfvo type="min"/>
        <cfvo type="percentile" val="50"/>
        <cfvo type="max"/>
        <color rgb="FF63BE7B"/>
        <color rgb="FFFFEB84"/>
        <color rgb="FFF8696B"/>
      </colorScale>
    </cfRule>
    <cfRule type="colorScale" priority="791">
      <colorScale>
        <cfvo type="min"/>
        <cfvo type="percentile" val="50"/>
        <cfvo type="max"/>
        <color rgb="FF63BE7B"/>
        <color rgb="FFFFEB84"/>
        <color rgb="FFF8696B"/>
      </colorScale>
    </cfRule>
    <cfRule type="colorScale" priority="792">
      <colorScale>
        <cfvo type="min"/>
        <cfvo type="percentile" val="50"/>
        <cfvo type="max"/>
        <color rgb="FF63BE7B"/>
        <color rgb="FFFFEB84"/>
        <color rgb="FFF8696B"/>
      </colorScale>
    </cfRule>
    <cfRule type="colorScale" priority="793">
      <colorScale>
        <cfvo type="min"/>
        <cfvo type="percentile" val="50"/>
        <cfvo type="max"/>
        <color rgb="FF63BE7B"/>
        <color rgb="FFFFEB84"/>
        <color rgb="FFF8696B"/>
      </colorScale>
    </cfRule>
    <cfRule type="colorScale" priority="905">
      <colorScale>
        <cfvo type="min"/>
        <cfvo type="percentile" val="50"/>
        <cfvo type="max"/>
        <color rgb="FF63BE7B"/>
        <color rgb="FFFFEB84"/>
        <color rgb="FFF8696B"/>
      </colorScale>
    </cfRule>
    <cfRule type="colorScale" priority="794">
      <colorScale>
        <cfvo type="min"/>
        <cfvo type="percentile" val="50"/>
        <cfvo type="max"/>
        <color rgb="FF63BE7B"/>
        <color rgb="FFFFEB84"/>
        <color rgb="FFF8696B"/>
      </colorScale>
    </cfRule>
    <cfRule type="colorScale" priority="795">
      <colorScale>
        <cfvo type="min"/>
        <cfvo type="percentile" val="50"/>
        <cfvo type="max"/>
        <color rgb="FF63BE7B"/>
        <color rgb="FFFFEB84"/>
        <color rgb="FFF8696B"/>
      </colorScale>
    </cfRule>
    <cfRule type="colorScale" priority="796">
      <colorScale>
        <cfvo type="min"/>
        <cfvo type="percentile" val="50"/>
        <cfvo type="max"/>
        <color rgb="FF63BE7B"/>
        <color rgb="FFFFEB84"/>
        <color rgb="FFF8696B"/>
      </colorScale>
    </cfRule>
    <cfRule type="colorScale" priority="866">
      <colorScale>
        <cfvo type="min"/>
        <cfvo type="percentile" val="50"/>
        <cfvo type="max"/>
        <color rgb="FF63BE7B"/>
        <color rgb="FFFFEB84"/>
        <color rgb="FFF8696B"/>
      </colorScale>
    </cfRule>
    <cfRule type="colorScale" priority="867">
      <colorScale>
        <cfvo type="min"/>
        <cfvo type="percentile" val="50"/>
        <cfvo type="max"/>
        <color rgb="FF63BE7B"/>
        <color rgb="FFFFEB84"/>
        <color rgb="FFF8696B"/>
      </colorScale>
    </cfRule>
    <cfRule type="colorScale" priority="868">
      <colorScale>
        <cfvo type="min"/>
        <cfvo type="percentile" val="50"/>
        <cfvo type="max"/>
        <color rgb="FF63BE7B"/>
        <color rgb="FFFFEB84"/>
        <color rgb="FFF8696B"/>
      </colorScale>
    </cfRule>
    <cfRule type="colorScale" priority="869">
      <colorScale>
        <cfvo type="min"/>
        <cfvo type="percentile" val="50"/>
        <cfvo type="max"/>
        <color rgb="FF63BE7B"/>
        <color rgb="FFFFEB84"/>
        <color rgb="FFF8696B"/>
      </colorScale>
    </cfRule>
    <cfRule type="colorScale" priority="870">
      <colorScale>
        <cfvo type="min"/>
        <cfvo type="percentile" val="50"/>
        <cfvo type="max"/>
        <color rgb="FF63BE7B"/>
        <color rgb="FFFFEB84"/>
        <color rgb="FFF8696B"/>
      </colorScale>
    </cfRule>
    <cfRule type="colorScale" priority="871">
      <colorScale>
        <cfvo type="min"/>
        <cfvo type="percentile" val="50"/>
        <cfvo type="max"/>
        <color rgb="FF63BE7B"/>
        <color rgb="FFFFEB84"/>
        <color rgb="FFF8696B"/>
      </colorScale>
    </cfRule>
    <cfRule type="colorScale" priority="872">
      <colorScale>
        <cfvo type="min"/>
        <cfvo type="percentile" val="50"/>
        <cfvo type="max"/>
        <color rgb="FF63BE7B"/>
        <color rgb="FFFFEB84"/>
        <color rgb="FFF8696B"/>
      </colorScale>
    </cfRule>
    <cfRule type="colorScale" priority="873">
      <colorScale>
        <cfvo type="min"/>
        <cfvo type="percentile" val="50"/>
        <cfvo type="max"/>
        <color rgb="FF63BE7B"/>
        <color rgb="FFFFEB84"/>
        <color rgb="FFF8696B"/>
      </colorScale>
    </cfRule>
    <cfRule type="colorScale" priority="874">
      <colorScale>
        <cfvo type="min"/>
        <cfvo type="percentile" val="50"/>
        <cfvo type="max"/>
        <color rgb="FF63BE7B"/>
        <color rgb="FFFFEB84"/>
        <color rgb="FFF8696B"/>
      </colorScale>
    </cfRule>
    <cfRule type="colorScale" priority="875">
      <colorScale>
        <cfvo type="min"/>
        <cfvo type="percentile" val="50"/>
        <cfvo type="max"/>
        <color rgb="FF63BE7B"/>
        <color rgb="FFFFEB84"/>
        <color rgb="FFF8696B"/>
      </colorScale>
    </cfRule>
    <cfRule type="colorScale" priority="876">
      <colorScale>
        <cfvo type="min"/>
        <cfvo type="percentile" val="50"/>
        <cfvo type="max"/>
        <color rgb="FF63BE7B"/>
        <color rgb="FFFFEB84"/>
        <color rgb="FFF8696B"/>
      </colorScale>
    </cfRule>
    <cfRule type="colorScale" priority="877">
      <colorScale>
        <cfvo type="min"/>
        <cfvo type="percentile" val="50"/>
        <cfvo type="max"/>
        <color rgb="FF63BE7B"/>
        <color rgb="FFFFEB84"/>
        <color rgb="FFF8696B"/>
      </colorScale>
    </cfRule>
    <cfRule type="colorScale" priority="878">
      <colorScale>
        <cfvo type="min"/>
        <cfvo type="percentile" val="50"/>
        <cfvo type="max"/>
        <color rgb="FF63BE7B"/>
        <color rgb="FFFFEB84"/>
        <color rgb="FFF8696B"/>
      </colorScale>
    </cfRule>
    <cfRule type="colorScale" priority="879">
      <colorScale>
        <cfvo type="min"/>
        <cfvo type="percentile" val="50"/>
        <cfvo type="max"/>
        <color rgb="FF63BE7B"/>
        <color rgb="FFFFEB84"/>
        <color rgb="FFF8696B"/>
      </colorScale>
    </cfRule>
    <cfRule type="colorScale" priority="880">
      <colorScale>
        <cfvo type="min"/>
        <cfvo type="percentile" val="50"/>
        <cfvo type="max"/>
        <color rgb="FF63BE7B"/>
        <color rgb="FFFFEB84"/>
        <color rgb="FFF8696B"/>
      </colorScale>
    </cfRule>
    <cfRule type="colorScale" priority="881">
      <colorScale>
        <cfvo type="min"/>
        <cfvo type="percentile" val="50"/>
        <cfvo type="max"/>
        <color rgb="FF63BE7B"/>
        <color rgb="FFFFEB84"/>
        <color rgb="FFF8696B"/>
      </colorScale>
    </cfRule>
    <cfRule type="colorScale" priority="882">
      <colorScale>
        <cfvo type="min"/>
        <cfvo type="percentile" val="50"/>
        <cfvo type="max"/>
        <color rgb="FF63BE7B"/>
        <color rgb="FFFFEB84"/>
        <color rgb="FFF8696B"/>
      </colorScale>
    </cfRule>
    <cfRule type="colorScale" priority="883">
      <colorScale>
        <cfvo type="min"/>
        <cfvo type="percentile" val="50"/>
        <cfvo type="max"/>
        <color rgb="FF63BE7B"/>
        <color rgb="FFFFEB84"/>
        <color rgb="FFF8696B"/>
      </colorScale>
    </cfRule>
    <cfRule type="colorScale" priority="884">
      <colorScale>
        <cfvo type="min"/>
        <cfvo type="percentile" val="50"/>
        <cfvo type="max"/>
        <color rgb="FF63BE7B"/>
        <color rgb="FFFFEB84"/>
        <color rgb="FFF8696B"/>
      </colorScale>
    </cfRule>
    <cfRule type="colorScale" priority="885">
      <colorScale>
        <cfvo type="min"/>
        <cfvo type="percentile" val="50"/>
        <cfvo type="max"/>
        <color rgb="FF63BE7B"/>
        <color rgb="FFFFEB84"/>
        <color rgb="FFF8696B"/>
      </colorScale>
    </cfRule>
    <cfRule type="colorScale" priority="886">
      <colorScale>
        <cfvo type="min"/>
        <cfvo type="percentile" val="50"/>
        <cfvo type="max"/>
        <color rgb="FF63BE7B"/>
        <color rgb="FFFFEB84"/>
        <color rgb="FFF8696B"/>
      </colorScale>
    </cfRule>
    <cfRule type="colorScale" priority="887">
      <colorScale>
        <cfvo type="min"/>
        <cfvo type="percentile" val="50"/>
        <cfvo type="max"/>
        <color rgb="FF63BE7B"/>
        <color rgb="FFFFEB84"/>
        <color rgb="FFF8696B"/>
      </colorScale>
    </cfRule>
    <cfRule type="colorScale" priority="888">
      <colorScale>
        <cfvo type="min"/>
        <cfvo type="percentile" val="50"/>
        <cfvo type="max"/>
        <color rgb="FF63BE7B"/>
        <color rgb="FFFFEB84"/>
        <color rgb="FFF8696B"/>
      </colorScale>
    </cfRule>
    <cfRule type="colorScale" priority="889">
      <colorScale>
        <cfvo type="min"/>
        <cfvo type="percentile" val="50"/>
        <cfvo type="max"/>
        <color rgb="FF63BE7B"/>
        <color rgb="FFFFEB84"/>
        <color rgb="FFF8696B"/>
      </colorScale>
    </cfRule>
    <cfRule type="colorScale" priority="890">
      <colorScale>
        <cfvo type="min"/>
        <cfvo type="percentile" val="50"/>
        <cfvo type="max"/>
        <color rgb="FF63BE7B"/>
        <color rgb="FFFFEB84"/>
        <color rgb="FFF8696B"/>
      </colorScale>
    </cfRule>
    <cfRule type="colorScale" priority="891">
      <colorScale>
        <cfvo type="min"/>
        <cfvo type="percentile" val="50"/>
        <cfvo type="max"/>
        <color rgb="FF63BE7B"/>
        <color rgb="FFFFEB84"/>
        <color rgb="FFF8696B"/>
      </colorScale>
    </cfRule>
    <cfRule type="colorScale" priority="892">
      <colorScale>
        <cfvo type="min"/>
        <cfvo type="percentile" val="50"/>
        <cfvo type="max"/>
        <color rgb="FF63BE7B"/>
        <color rgb="FFFFEB84"/>
        <color rgb="FFF8696B"/>
      </colorScale>
    </cfRule>
    <cfRule type="colorScale" priority="893">
      <colorScale>
        <cfvo type="min"/>
        <cfvo type="percentile" val="50"/>
        <cfvo type="max"/>
        <color rgb="FF63BE7B"/>
        <color rgb="FFFFEB84"/>
        <color rgb="FFF8696B"/>
      </colorScale>
    </cfRule>
    <cfRule type="colorScale" priority="894">
      <colorScale>
        <cfvo type="min"/>
        <cfvo type="percentile" val="50"/>
        <cfvo type="max"/>
        <color rgb="FF63BE7B"/>
        <color rgb="FFFFEB84"/>
        <color rgb="FFF8696B"/>
      </colorScale>
    </cfRule>
    <cfRule type="colorScale" priority="895">
      <colorScale>
        <cfvo type="min"/>
        <cfvo type="percentile" val="50"/>
        <cfvo type="max"/>
        <color rgb="FF63BE7B"/>
        <color rgb="FFFFEB84"/>
        <color rgb="FFF8696B"/>
      </colorScale>
    </cfRule>
    <cfRule type="colorScale" priority="896">
      <colorScale>
        <cfvo type="min"/>
        <cfvo type="percentile" val="50"/>
        <cfvo type="max"/>
        <color rgb="FF63BE7B"/>
        <color rgb="FFFFEB84"/>
        <color rgb="FFF8696B"/>
      </colorScale>
    </cfRule>
    <cfRule type="colorScale" priority="897">
      <colorScale>
        <cfvo type="min"/>
        <cfvo type="percentile" val="50"/>
        <cfvo type="max"/>
        <color rgb="FF63BE7B"/>
        <color rgb="FFFFEB84"/>
        <color rgb="FFF8696B"/>
      </colorScale>
    </cfRule>
    <cfRule type="colorScale" priority="898">
      <colorScale>
        <cfvo type="min"/>
        <cfvo type="percentile" val="50"/>
        <cfvo type="max"/>
        <color rgb="FF63BE7B"/>
        <color rgb="FFFFEB84"/>
        <color rgb="FFF8696B"/>
      </colorScale>
    </cfRule>
    <cfRule type="colorScale" priority="899">
      <colorScale>
        <cfvo type="min"/>
        <cfvo type="percentile" val="50"/>
        <cfvo type="max"/>
        <color rgb="FF63BE7B"/>
        <color rgb="FFFFEB84"/>
        <color rgb="FFF8696B"/>
      </colorScale>
    </cfRule>
    <cfRule type="colorScale" priority="900">
      <colorScale>
        <cfvo type="min"/>
        <cfvo type="percentile" val="50"/>
        <cfvo type="max"/>
        <color rgb="FFF8696B"/>
        <color rgb="FFFFEB84"/>
        <color rgb="FF63BE7B"/>
      </colorScale>
    </cfRule>
    <cfRule type="colorScale" priority="901">
      <colorScale>
        <cfvo type="min"/>
        <cfvo type="percentile" val="50"/>
        <cfvo type="max"/>
        <color rgb="FF63BE7B"/>
        <color rgb="FFFFEB84"/>
        <color rgb="FFF8696B"/>
      </colorScale>
    </cfRule>
    <cfRule type="colorScale" priority="902">
      <colorScale>
        <cfvo type="min"/>
        <cfvo type="percentile" val="50"/>
        <cfvo type="max"/>
        <color rgb="FF63BE7B"/>
        <color rgb="FFFFEB84"/>
        <color rgb="FFF8696B"/>
      </colorScale>
    </cfRule>
    <cfRule type="colorScale" priority="903">
      <colorScale>
        <cfvo type="min"/>
        <cfvo type="percentile" val="50"/>
        <cfvo type="max"/>
        <color rgb="FF63BE7B"/>
        <color rgb="FFFFEB84"/>
        <color rgb="FFF8696B"/>
      </colorScale>
    </cfRule>
    <cfRule type="colorScale" priority="904">
      <colorScale>
        <cfvo type="min"/>
        <cfvo type="percentile" val="50"/>
        <cfvo type="max"/>
        <color rgb="FF63BE7B"/>
        <color rgb="FFFFEB84"/>
        <color rgb="FFF8696B"/>
      </colorScale>
    </cfRule>
    <cfRule type="colorScale" priority="906">
      <colorScale>
        <cfvo type="min"/>
        <cfvo type="percentile" val="50"/>
        <cfvo type="max"/>
        <color rgb="FF63BE7B"/>
        <color rgb="FFFFEB84"/>
        <color rgb="FFF8696B"/>
      </colorScale>
    </cfRule>
    <cfRule type="colorScale" priority="907">
      <colorScale>
        <cfvo type="min"/>
        <cfvo type="percentile" val="50"/>
        <cfvo type="max"/>
        <color rgb="FF63BE7B"/>
        <color rgb="FFFFEB84"/>
        <color rgb="FFF8696B"/>
      </colorScale>
    </cfRule>
  </conditionalFormatting>
  <conditionalFormatting sqref="S35:S37">
    <cfRule type="colorScale" priority="10089">
      <colorScale>
        <cfvo type="min"/>
        <cfvo type="percentile" val="50"/>
        <cfvo type="max"/>
        <color rgb="FF63BE7B"/>
        <color rgb="FFFFEB84"/>
        <color rgb="FFF8696B"/>
      </colorScale>
    </cfRule>
    <cfRule type="colorScale" priority="11156">
      <colorScale>
        <cfvo type="min"/>
        <cfvo type="percentile" val="50"/>
        <cfvo type="max"/>
        <color rgb="FF63BE7B"/>
        <color rgb="FFFFEB84"/>
        <color rgb="FFF8696B"/>
      </colorScale>
    </cfRule>
    <cfRule type="colorScale" priority="10087">
      <colorScale>
        <cfvo type="min"/>
        <cfvo type="percentile" val="50"/>
        <cfvo type="max"/>
        <color rgb="FF63BE7B"/>
        <color rgb="FFFFEB84"/>
        <color rgb="FFF8696B"/>
      </colorScale>
    </cfRule>
    <cfRule type="colorScale" priority="10090">
      <colorScale>
        <cfvo type="min"/>
        <cfvo type="percentile" val="50"/>
        <cfvo type="max"/>
        <color rgb="FF63BE7B"/>
        <color rgb="FFFFEB84"/>
        <color rgb="FFF8696B"/>
      </colorScale>
    </cfRule>
    <cfRule type="colorScale" priority="10086">
      <colorScale>
        <cfvo type="min"/>
        <cfvo type="percentile" val="50"/>
        <cfvo type="max"/>
        <color rgb="FF63BE7B"/>
        <color rgb="FFFFEB84"/>
        <color rgb="FFF8696B"/>
      </colorScale>
    </cfRule>
    <cfRule type="colorScale" priority="10085">
      <colorScale>
        <cfvo type="min"/>
        <cfvo type="percentile" val="50"/>
        <cfvo type="max"/>
        <color rgb="FF63BE7B"/>
        <color rgb="FFFFEB84"/>
        <color rgb="FFF8696B"/>
      </colorScale>
    </cfRule>
    <cfRule type="colorScale" priority="10084">
      <colorScale>
        <cfvo type="min"/>
        <cfvo type="percentile" val="50"/>
        <cfvo type="max"/>
        <color rgb="FF63BE7B"/>
        <color rgb="FFFFEB84"/>
        <color rgb="FFF8696B"/>
      </colorScale>
    </cfRule>
    <cfRule type="colorScale" priority="10076">
      <colorScale>
        <cfvo type="min"/>
        <cfvo type="percentile" val="50"/>
        <cfvo type="max"/>
        <color rgb="FF63BE7B"/>
        <color rgb="FFFFEB84"/>
        <color rgb="FFF8696B"/>
      </colorScale>
    </cfRule>
  </conditionalFormatting>
  <conditionalFormatting sqref="S35:S41">
    <cfRule type="colorScale" priority="11155">
      <colorScale>
        <cfvo type="min"/>
        <cfvo type="percentile" val="50"/>
        <cfvo type="max"/>
        <color rgb="FF63BE7B"/>
        <color rgb="FFFFEB84"/>
        <color rgb="FFF8696B"/>
      </colorScale>
    </cfRule>
    <cfRule type="colorScale" priority="11163">
      <colorScale>
        <cfvo type="min"/>
        <cfvo type="percentile" val="50"/>
        <cfvo type="max"/>
        <color rgb="FF63BE7B"/>
        <color rgb="FFFFEB84"/>
        <color rgb="FFF8696B"/>
      </colorScale>
    </cfRule>
    <cfRule type="colorScale" priority="11154">
      <colorScale>
        <cfvo type="min"/>
        <cfvo type="percentile" val="50"/>
        <cfvo type="max"/>
        <color rgb="FF63BE7B"/>
        <color rgb="FFFFEB84"/>
        <color rgb="FFF8696B"/>
      </colorScale>
    </cfRule>
    <cfRule type="colorScale" priority="10494">
      <colorScale>
        <cfvo type="min"/>
        <cfvo type="percentile" val="50"/>
        <cfvo type="max"/>
        <color rgb="FFF8696B"/>
        <color rgb="FFFFEB84"/>
        <color rgb="FF63BE7B"/>
      </colorScale>
    </cfRule>
    <cfRule type="colorScale" priority="11162">
      <colorScale>
        <cfvo type="min"/>
        <cfvo type="percentile" val="50"/>
        <cfvo type="max"/>
        <color rgb="FF63BE7B"/>
        <color rgb="FFFFEB84"/>
        <color rgb="FFF8696B"/>
      </colorScale>
    </cfRule>
    <cfRule type="colorScale" priority="11161">
      <colorScale>
        <cfvo type="min"/>
        <cfvo type="percentile" val="50"/>
        <cfvo type="max"/>
        <color rgb="FF63BE7B"/>
        <color rgb="FFFFEB84"/>
        <color rgb="FFF8696B"/>
      </colorScale>
    </cfRule>
    <cfRule type="colorScale" priority="11160">
      <colorScale>
        <cfvo type="min"/>
        <cfvo type="percentile" val="50"/>
        <cfvo type="max"/>
        <color rgb="FF63BE7B"/>
        <color rgb="FFFFEB84"/>
        <color rgb="FFF8696B"/>
      </colorScale>
    </cfRule>
    <cfRule type="colorScale" priority="11159">
      <colorScale>
        <cfvo type="min"/>
        <cfvo type="percentile" val="50"/>
        <cfvo type="max"/>
        <color rgb="FF63BE7B"/>
        <color rgb="FFFFEB84"/>
        <color rgb="FFF8696B"/>
      </colorScale>
    </cfRule>
    <cfRule type="colorScale" priority="11158">
      <colorScale>
        <cfvo type="min"/>
        <cfvo type="percentile" val="50"/>
        <cfvo type="max"/>
        <color rgb="FF63BE7B"/>
        <color rgb="FFFFEB84"/>
        <color rgb="FFF8696B"/>
      </colorScale>
    </cfRule>
    <cfRule type="colorScale" priority="10100">
      <colorScale>
        <cfvo type="min"/>
        <cfvo type="percentile" val="50"/>
        <cfvo type="max"/>
        <color rgb="FF63BE7B"/>
        <color rgb="FFFFEB84"/>
        <color rgb="FFF8696B"/>
      </colorScale>
    </cfRule>
    <cfRule type="colorScale" priority="10099">
      <colorScale>
        <cfvo type="min"/>
        <cfvo type="percentile" val="50"/>
        <cfvo type="max"/>
        <color rgb="FF63BE7B"/>
        <color rgb="FFFFEB84"/>
        <color rgb="FFF8696B"/>
      </colorScale>
    </cfRule>
    <cfRule type="colorScale" priority="10078">
      <colorScale>
        <cfvo type="min"/>
        <cfvo type="percentile" val="50"/>
        <cfvo type="max"/>
        <color rgb="FF63BE7B"/>
        <color rgb="FFFFEB84"/>
        <color rgb="FFF8696B"/>
      </colorScale>
    </cfRule>
    <cfRule type="colorScale" priority="10097">
      <colorScale>
        <cfvo type="min"/>
        <cfvo type="percentile" val="50"/>
        <cfvo type="max"/>
        <color rgb="FF63BE7B"/>
        <color rgb="FFFFEB84"/>
        <color rgb="FFF8696B"/>
      </colorScale>
    </cfRule>
    <cfRule type="colorScale" priority="10096">
      <colorScale>
        <cfvo type="min"/>
        <cfvo type="percentile" val="50"/>
        <cfvo type="max"/>
        <color rgb="FF63BE7B"/>
        <color rgb="FFFFEB84"/>
        <color rgb="FFF8696B"/>
      </colorScale>
    </cfRule>
    <cfRule type="colorScale" priority="10095">
      <colorScale>
        <cfvo type="min"/>
        <cfvo type="percentile" val="50"/>
        <cfvo type="max"/>
        <color rgb="FF63BE7B"/>
        <color rgb="FFFFEB84"/>
        <color rgb="FFF8696B"/>
      </colorScale>
    </cfRule>
    <cfRule type="colorScale" priority="10094">
      <colorScale>
        <cfvo type="min"/>
        <cfvo type="percentile" val="50"/>
        <cfvo type="max"/>
        <color rgb="FF63BE7B"/>
        <color rgb="FFFFEB84"/>
        <color rgb="FFF8696B"/>
      </colorScale>
    </cfRule>
    <cfRule type="colorScale" priority="10093">
      <colorScale>
        <cfvo type="min"/>
        <cfvo type="percentile" val="50"/>
        <cfvo type="max"/>
        <color rgb="FF63BE7B"/>
        <color rgb="FFFFEB84"/>
        <color rgb="FFF8696B"/>
      </colorScale>
    </cfRule>
    <cfRule type="colorScale" priority="10092">
      <colorScale>
        <cfvo type="min"/>
        <cfvo type="percentile" val="50"/>
        <cfvo type="max"/>
        <color rgb="FF63BE7B"/>
        <color rgb="FFFFEB84"/>
        <color rgb="FFF8696B"/>
      </colorScale>
    </cfRule>
    <cfRule type="colorScale" priority="10091">
      <colorScale>
        <cfvo type="min"/>
        <cfvo type="percentile" val="50"/>
        <cfvo type="max"/>
        <color rgb="FF63BE7B"/>
        <color rgb="FFFFEB84"/>
        <color rgb="FFF8696B"/>
      </colorScale>
    </cfRule>
    <cfRule type="colorScale" priority="10074">
      <colorScale>
        <cfvo type="min"/>
        <cfvo type="percentile" val="50"/>
        <cfvo type="max"/>
        <color rgb="FF63BE7B"/>
        <color rgb="FFFFEB84"/>
        <color rgb="FFF8696B"/>
      </colorScale>
    </cfRule>
    <cfRule type="colorScale" priority="10082">
      <colorScale>
        <cfvo type="min"/>
        <cfvo type="percentile" val="50"/>
        <cfvo type="max"/>
        <color rgb="FF63BE7B"/>
        <color rgb="FFFFEB84"/>
        <color rgb="FFF8696B"/>
      </colorScale>
    </cfRule>
    <cfRule type="colorScale" priority="11157">
      <colorScale>
        <cfvo type="min"/>
        <cfvo type="percentile" val="50"/>
        <cfvo type="max"/>
        <color rgb="FF63BE7B"/>
        <color rgb="FFFFEB84"/>
        <color rgb="FFF8696B"/>
      </colorScale>
    </cfRule>
    <cfRule type="colorScale" priority="10083">
      <colorScale>
        <cfvo type="min"/>
        <cfvo type="percentile" val="50"/>
        <cfvo type="max"/>
        <color rgb="FF63BE7B"/>
        <color rgb="FFFFEB84"/>
        <color rgb="FFF8696B"/>
      </colorScale>
    </cfRule>
    <cfRule type="colorScale" priority="10081">
      <colorScale>
        <cfvo type="min"/>
        <cfvo type="percentile" val="50"/>
        <cfvo type="max"/>
        <color rgb="FF63BE7B"/>
        <color rgb="FFFFEB84"/>
        <color rgb="FFF8696B"/>
      </colorScale>
    </cfRule>
    <cfRule type="colorScale" priority="10080">
      <colorScale>
        <cfvo type="min"/>
        <cfvo type="percentile" val="50"/>
        <cfvo type="max"/>
        <color rgb="FF63BE7B"/>
        <color rgb="FFFFEB84"/>
        <color rgb="FFF8696B"/>
      </colorScale>
    </cfRule>
    <cfRule type="colorScale" priority="10079">
      <colorScale>
        <cfvo type="min"/>
        <cfvo type="percentile" val="50"/>
        <cfvo type="max"/>
        <color rgb="FF63BE7B"/>
        <color rgb="FFFFEB84"/>
        <color rgb="FFF8696B"/>
      </colorScale>
    </cfRule>
    <cfRule type="colorScale" priority="10077">
      <colorScale>
        <cfvo type="min"/>
        <cfvo type="percentile" val="50"/>
        <cfvo type="max"/>
        <color rgb="FF63BE7B"/>
        <color rgb="FFFFEB84"/>
        <color rgb="FFF8696B"/>
      </colorScale>
    </cfRule>
    <cfRule type="colorScale" priority="9316">
      <colorScale>
        <cfvo type="min"/>
        <cfvo type="percentile" val="50"/>
        <cfvo type="max"/>
        <color rgb="FFF8696B"/>
        <color rgb="FFFFEB84"/>
        <color rgb="FF63BE7B"/>
      </colorScale>
    </cfRule>
    <cfRule type="colorScale" priority="10075">
      <colorScale>
        <cfvo type="min"/>
        <cfvo type="percentile" val="50"/>
        <cfvo type="max"/>
        <color rgb="FF63BE7B"/>
        <color rgb="FFFFEB84"/>
        <color rgb="FFF8696B"/>
      </colorScale>
    </cfRule>
  </conditionalFormatting>
  <conditionalFormatting sqref="S35:S50">
    <cfRule type="colorScale" priority="13209">
      <colorScale>
        <cfvo type="min"/>
        <cfvo type="percentile" val="50"/>
        <cfvo type="max"/>
        <color rgb="FF63BE7B"/>
        <color rgb="FFFFEB84"/>
        <color rgb="FFF8696B"/>
      </colorScale>
    </cfRule>
  </conditionalFormatting>
  <conditionalFormatting sqref="S35:S53">
    <cfRule type="colorScale" priority="13227">
      <colorScale>
        <cfvo type="min"/>
        <cfvo type="percentile" val="50"/>
        <cfvo type="max"/>
        <color rgb="FF63BE7B"/>
        <color rgb="FFFFEB84"/>
        <color rgb="FFF8696B"/>
      </colorScale>
    </cfRule>
  </conditionalFormatting>
  <conditionalFormatting sqref="S36:S37">
    <cfRule type="colorScale" priority="10088">
      <colorScale>
        <cfvo type="min"/>
        <cfvo type="percentile" val="50"/>
        <cfvo type="max"/>
        <color rgb="FF63BE7B"/>
        <color rgb="FFFFEB84"/>
        <color rgb="FFF8696B"/>
      </colorScale>
    </cfRule>
  </conditionalFormatting>
  <conditionalFormatting sqref="S36:S41">
    <cfRule type="colorScale" priority="10098">
      <colorScale>
        <cfvo type="min"/>
        <cfvo type="percentile" val="50"/>
        <cfvo type="max"/>
        <color rgb="FF63BE7B"/>
        <color rgb="FFFFEB84"/>
        <color rgb="FFF8696B"/>
      </colorScale>
    </cfRule>
  </conditionalFormatting>
  <conditionalFormatting sqref="S42:S50">
    <cfRule type="colorScale" priority="7457">
      <colorScale>
        <cfvo type="min"/>
        <cfvo type="percentile" val="50"/>
        <cfvo type="max"/>
        <color rgb="FF63BE7B"/>
        <color rgb="FFFFEB84"/>
        <color rgb="FFF8696B"/>
      </colorScale>
    </cfRule>
  </conditionalFormatting>
  <conditionalFormatting sqref="S51:S53">
    <cfRule type="colorScale" priority="4384">
      <colorScale>
        <cfvo type="min"/>
        <cfvo type="percentile" val="50"/>
        <cfvo type="max"/>
        <color rgb="FF63BE7B"/>
        <color rgb="FFFFEB84"/>
        <color rgb="FFF8696B"/>
      </colorScale>
    </cfRule>
    <cfRule type="colorScale" priority="4411">
      <colorScale>
        <cfvo type="min"/>
        <cfvo type="percentile" val="50"/>
        <cfvo type="max"/>
        <color rgb="FF63BE7B"/>
        <color rgb="FFFFEB84"/>
        <color rgb="FFF8696B"/>
      </colorScale>
    </cfRule>
    <cfRule type="colorScale" priority="4412">
      <colorScale>
        <cfvo type="min"/>
        <cfvo type="percentile" val="50"/>
        <cfvo type="max"/>
        <color rgb="FF63BE7B"/>
        <color rgb="FFFFEB84"/>
        <color rgb="FFF8696B"/>
      </colorScale>
    </cfRule>
    <cfRule type="colorScale" priority="4383">
      <colorScale>
        <cfvo type="min"/>
        <cfvo type="percentile" val="50"/>
        <cfvo type="max"/>
        <color rgb="FF63BE7B"/>
        <color rgb="FFFFEB84"/>
        <color rgb="FFF8696B"/>
      </colorScale>
    </cfRule>
    <cfRule type="colorScale" priority="4382">
      <colorScale>
        <cfvo type="min"/>
        <cfvo type="percentile" val="50"/>
        <cfvo type="max"/>
        <color rgb="FF63BE7B"/>
        <color rgb="FFFFEB84"/>
        <color rgb="FFF8696B"/>
      </colorScale>
    </cfRule>
    <cfRule type="colorScale" priority="4355">
      <colorScale>
        <cfvo type="min"/>
        <cfvo type="percentile" val="50"/>
        <cfvo type="max"/>
        <color rgb="FF63BE7B"/>
        <color rgb="FFFFEB84"/>
        <color rgb="FFF8696B"/>
      </colorScale>
    </cfRule>
  </conditionalFormatting>
  <conditionalFormatting sqref="S52:S53">
    <cfRule type="colorScale" priority="4369">
      <colorScale>
        <cfvo type="min"/>
        <cfvo type="percentile" val="50"/>
        <cfvo type="max"/>
        <color rgb="FF63BE7B"/>
        <color rgb="FFFFEB84"/>
        <color rgb="FFF8696B"/>
      </colorScale>
    </cfRule>
    <cfRule type="colorScale" priority="4395">
      <colorScale>
        <cfvo type="min"/>
        <cfvo type="percentile" val="50"/>
        <cfvo type="max"/>
        <color rgb="FF63BE7B"/>
        <color rgb="FFFFEB84"/>
        <color rgb="FFF8696B"/>
      </colorScale>
    </cfRule>
    <cfRule type="colorScale" priority="4363">
      <colorScale>
        <cfvo type="min"/>
        <cfvo type="percentile" val="50"/>
        <cfvo type="max"/>
        <color rgb="FF63BE7B"/>
        <color rgb="FFFFEB84"/>
        <color rgb="FFF8696B"/>
      </colorScale>
    </cfRule>
    <cfRule type="colorScale" priority="4362">
      <colorScale>
        <cfvo type="min"/>
        <cfvo type="percentile" val="50"/>
        <cfvo type="max"/>
        <color rgb="FF63BE7B"/>
        <color rgb="FFFFEB84"/>
        <color rgb="FFF8696B"/>
      </colorScale>
    </cfRule>
    <cfRule type="colorScale" priority="4364">
      <colorScale>
        <cfvo type="min"/>
        <cfvo type="percentile" val="50"/>
        <cfvo type="max"/>
        <color rgb="FF63BE7B"/>
        <color rgb="FFFFEB84"/>
        <color rgb="FFF8696B"/>
      </colorScale>
    </cfRule>
    <cfRule type="colorScale" priority="4361">
      <colorScale>
        <cfvo type="min"/>
        <cfvo type="percentile" val="50"/>
        <cfvo type="max"/>
        <color rgb="FF63BE7B"/>
        <color rgb="FFFFEB84"/>
        <color rgb="FFF8696B"/>
      </colorScale>
    </cfRule>
    <cfRule type="colorScale" priority="4365">
      <colorScale>
        <cfvo type="min"/>
        <cfvo type="percentile" val="50"/>
        <cfvo type="max"/>
        <color rgb="FF63BE7B"/>
        <color rgb="FFFFEB84"/>
        <color rgb="FFF8696B"/>
      </colorScale>
    </cfRule>
    <cfRule type="colorScale" priority="4360">
      <colorScale>
        <cfvo type="min"/>
        <cfvo type="percentile" val="50"/>
        <cfvo type="max"/>
        <color rgb="FF63BE7B"/>
        <color rgb="FFFFEB84"/>
        <color rgb="FFF8696B"/>
      </colorScale>
    </cfRule>
    <cfRule type="colorScale" priority="4366">
      <colorScale>
        <cfvo type="min"/>
        <cfvo type="percentile" val="50"/>
        <cfvo type="max"/>
        <color rgb="FF63BE7B"/>
        <color rgb="FFFFEB84"/>
        <color rgb="FFF8696B"/>
      </colorScale>
    </cfRule>
    <cfRule type="colorScale" priority="7260">
      <colorScale>
        <cfvo type="min"/>
        <cfvo type="percentile" val="50"/>
        <cfvo type="max"/>
        <color rgb="FF63BE7B"/>
        <color rgb="FFFFEB84"/>
        <color rgb="FFF8696B"/>
      </colorScale>
    </cfRule>
    <cfRule type="colorScale" priority="4359">
      <colorScale>
        <cfvo type="min"/>
        <cfvo type="percentile" val="50"/>
        <cfvo type="max"/>
        <color rgb="FF63BE7B"/>
        <color rgb="FFFFEB84"/>
        <color rgb="FFF8696B"/>
      </colorScale>
    </cfRule>
    <cfRule type="colorScale" priority="4367">
      <colorScale>
        <cfvo type="min"/>
        <cfvo type="percentile" val="50"/>
        <cfvo type="max"/>
        <color rgb="FF63BE7B"/>
        <color rgb="FFFFEB84"/>
        <color rgb="FFF8696B"/>
      </colorScale>
    </cfRule>
    <cfRule type="colorScale" priority="4368">
      <colorScale>
        <cfvo type="min"/>
        <cfvo type="percentile" val="50"/>
        <cfvo type="max"/>
        <color rgb="FF63BE7B"/>
        <color rgb="FFFFEB84"/>
        <color rgb="FFF8696B"/>
      </colorScale>
    </cfRule>
    <cfRule type="colorScale" priority="4381">
      <colorScale>
        <cfvo type="min"/>
        <cfvo type="percentile" val="50"/>
        <cfvo type="max"/>
        <color rgb="FF63BE7B"/>
        <color rgb="FFFFEB84"/>
        <color rgb="FFF8696B"/>
      </colorScale>
    </cfRule>
    <cfRule type="colorScale" priority="4370">
      <colorScale>
        <cfvo type="min"/>
        <cfvo type="percentile" val="50"/>
        <cfvo type="max"/>
        <color rgb="FF63BE7B"/>
        <color rgb="FFFFEB84"/>
        <color rgb="FFF8696B"/>
      </colorScale>
    </cfRule>
    <cfRule type="colorScale" priority="4371">
      <colorScale>
        <cfvo type="min"/>
        <cfvo type="percentile" val="50"/>
        <cfvo type="max"/>
        <color rgb="FF63BE7B"/>
        <color rgb="FFFFEB84"/>
        <color rgb="FFF8696B"/>
      </colorScale>
    </cfRule>
    <cfRule type="colorScale" priority="4372">
      <colorScale>
        <cfvo type="min"/>
        <cfvo type="percentile" val="50"/>
        <cfvo type="max"/>
        <color rgb="FF63BE7B"/>
        <color rgb="FFFFEB84"/>
        <color rgb="FFF8696B"/>
      </colorScale>
    </cfRule>
    <cfRule type="colorScale" priority="4358">
      <colorScale>
        <cfvo type="min"/>
        <cfvo type="percentile" val="50"/>
        <cfvo type="max"/>
        <color rgb="FF63BE7B"/>
        <color rgb="FFFFEB84"/>
        <color rgb="FFF8696B"/>
      </colorScale>
    </cfRule>
    <cfRule type="colorScale" priority="4373">
      <colorScale>
        <cfvo type="min"/>
        <cfvo type="percentile" val="50"/>
        <cfvo type="max"/>
        <color rgb="FF63BE7B"/>
        <color rgb="FFFFEB84"/>
        <color rgb="FFF8696B"/>
      </colorScale>
    </cfRule>
    <cfRule type="colorScale" priority="4374">
      <colorScale>
        <cfvo type="min"/>
        <cfvo type="percentile" val="50"/>
        <cfvo type="max"/>
        <color rgb="FF63BE7B"/>
        <color rgb="FFFFEB84"/>
        <color rgb="FFF8696B"/>
      </colorScale>
    </cfRule>
    <cfRule type="colorScale" priority="4375">
      <colorScale>
        <cfvo type="min"/>
        <cfvo type="percentile" val="50"/>
        <cfvo type="max"/>
        <color rgb="FF63BE7B"/>
        <color rgb="FFFFEB84"/>
        <color rgb="FFF8696B"/>
      </colorScale>
    </cfRule>
    <cfRule type="colorScale" priority="4376">
      <colorScale>
        <cfvo type="min"/>
        <cfvo type="percentile" val="50"/>
        <cfvo type="max"/>
        <color rgb="FF63BE7B"/>
        <color rgb="FFFFEB84"/>
        <color rgb="FFF8696B"/>
      </colorScale>
    </cfRule>
    <cfRule type="colorScale" priority="4377">
      <colorScale>
        <cfvo type="min"/>
        <cfvo type="percentile" val="50"/>
        <cfvo type="max"/>
        <color rgb="FF63BE7B"/>
        <color rgb="FFFFEB84"/>
        <color rgb="FFF8696B"/>
      </colorScale>
    </cfRule>
    <cfRule type="colorScale" priority="4378">
      <colorScale>
        <cfvo type="min"/>
        <cfvo type="percentile" val="50"/>
        <cfvo type="max"/>
        <color rgb="FF63BE7B"/>
        <color rgb="FFFFEB84"/>
        <color rgb="FFF8696B"/>
      </colorScale>
    </cfRule>
    <cfRule type="colorScale" priority="4379">
      <colorScale>
        <cfvo type="min"/>
        <cfvo type="percentile" val="50"/>
        <cfvo type="max"/>
        <color rgb="FF63BE7B"/>
        <color rgb="FFFFEB84"/>
        <color rgb="FFF8696B"/>
      </colorScale>
    </cfRule>
    <cfRule type="colorScale" priority="4380">
      <colorScale>
        <cfvo type="min"/>
        <cfvo type="percentile" val="50"/>
        <cfvo type="max"/>
        <color rgb="FF63BE7B"/>
        <color rgb="FFFFEB84"/>
        <color rgb="FFF8696B"/>
      </colorScale>
    </cfRule>
    <cfRule type="colorScale" priority="4357">
      <colorScale>
        <cfvo type="min"/>
        <cfvo type="percentile" val="50"/>
        <cfvo type="max"/>
        <color rgb="FF63BE7B"/>
        <color rgb="FFFFEB84"/>
        <color rgb="FFF8696B"/>
      </colorScale>
    </cfRule>
    <cfRule type="colorScale" priority="4410">
      <colorScale>
        <cfvo type="min"/>
        <cfvo type="percentile" val="50"/>
        <cfvo type="max"/>
        <color rgb="FF63BE7B"/>
        <color rgb="FFFFEB84"/>
        <color rgb="FFF8696B"/>
      </colorScale>
    </cfRule>
    <cfRule type="colorScale" priority="4356">
      <colorScale>
        <cfvo type="min"/>
        <cfvo type="percentile" val="50"/>
        <cfvo type="max"/>
        <color rgb="FF63BE7B"/>
        <color rgb="FFFFEB84"/>
        <color rgb="FFF8696B"/>
      </colorScale>
    </cfRule>
    <cfRule type="colorScale" priority="4407">
      <colorScale>
        <cfvo type="min"/>
        <cfvo type="percentile" val="50"/>
        <cfvo type="max"/>
        <color rgb="FF63BE7B"/>
        <color rgb="FFFFEB84"/>
        <color rgb="FFF8696B"/>
      </colorScale>
    </cfRule>
    <cfRule type="colorScale" priority="6471">
      <colorScale>
        <cfvo type="min"/>
        <cfvo type="percentile" val="50"/>
        <cfvo type="max"/>
        <color rgb="FFF8696B"/>
        <color rgb="FFFFEB84"/>
        <color rgb="FF63BE7B"/>
      </colorScale>
    </cfRule>
    <cfRule type="colorScale" priority="6960">
      <colorScale>
        <cfvo type="min"/>
        <cfvo type="percentile" val="50"/>
        <cfvo type="max"/>
        <color rgb="FF63BE7B"/>
        <color rgb="FFFFEB84"/>
        <color rgb="FFF8696B"/>
      </colorScale>
    </cfRule>
    <cfRule type="colorScale" priority="6959">
      <colorScale>
        <cfvo type="min"/>
        <cfvo type="percentile" val="50"/>
        <cfvo type="max"/>
        <color rgb="FF63BE7B"/>
        <color rgb="FFFFEB84"/>
        <color rgb="FFF8696B"/>
      </colorScale>
    </cfRule>
    <cfRule type="colorScale" priority="4406">
      <colorScale>
        <cfvo type="min"/>
        <cfvo type="percentile" val="50"/>
        <cfvo type="max"/>
        <color rgb="FF63BE7B"/>
        <color rgb="FFFFEB84"/>
        <color rgb="FFF8696B"/>
      </colorScale>
    </cfRule>
    <cfRule type="colorScale" priority="5914">
      <colorScale>
        <cfvo type="min"/>
        <cfvo type="percentile" val="50"/>
        <cfvo type="max"/>
        <color rgb="FFF8696B"/>
        <color rgb="FFFFEB84"/>
        <color rgb="FF63BE7B"/>
      </colorScale>
    </cfRule>
    <cfRule type="colorScale" priority="4409">
      <colorScale>
        <cfvo type="min"/>
        <cfvo type="percentile" val="50"/>
        <cfvo type="max"/>
        <color rgb="FF63BE7B"/>
        <color rgb="FFFFEB84"/>
        <color rgb="FFF8696B"/>
      </colorScale>
    </cfRule>
    <cfRule type="colorScale" priority="6215">
      <colorScale>
        <cfvo type="min"/>
        <cfvo type="percentile" val="50"/>
        <cfvo type="max"/>
        <color rgb="FF63BE7B"/>
        <color rgb="FFFFEB84"/>
        <color rgb="FFF8696B"/>
      </colorScale>
    </cfRule>
    <cfRule type="colorScale" priority="6214">
      <colorScale>
        <cfvo type="min"/>
        <cfvo type="percentile" val="50"/>
        <cfvo type="max"/>
        <color rgb="FF63BE7B"/>
        <color rgb="FFFFEB84"/>
        <color rgb="FFF8696B"/>
      </colorScale>
    </cfRule>
    <cfRule type="colorScale" priority="6213">
      <colorScale>
        <cfvo type="min"/>
        <cfvo type="percentile" val="50"/>
        <cfvo type="max"/>
        <color rgb="FF63BE7B"/>
        <color rgb="FFFFEB84"/>
        <color rgb="FFF8696B"/>
      </colorScale>
    </cfRule>
    <cfRule type="colorScale" priority="4390">
      <colorScale>
        <cfvo type="min"/>
        <cfvo type="percentile" val="50"/>
        <cfvo type="max"/>
        <color rgb="FF63BE7B"/>
        <color rgb="FFFFEB84"/>
        <color rgb="FFF8696B"/>
      </colorScale>
    </cfRule>
    <cfRule type="colorScale" priority="4386">
      <colorScale>
        <cfvo type="min"/>
        <cfvo type="percentile" val="50"/>
        <cfvo type="max"/>
        <color rgb="FF63BE7B"/>
        <color rgb="FFFFEB84"/>
        <color rgb="FFF8696B"/>
      </colorScale>
    </cfRule>
    <cfRule type="colorScale" priority="4389">
      <colorScale>
        <cfvo type="min"/>
        <cfvo type="percentile" val="50"/>
        <cfvo type="max"/>
        <color rgb="FF63BE7B"/>
        <color rgb="FFFFEB84"/>
        <color rgb="FFF8696B"/>
      </colorScale>
    </cfRule>
    <cfRule type="colorScale" priority="6212">
      <colorScale>
        <cfvo type="min"/>
        <cfvo type="percentile" val="50"/>
        <cfvo type="max"/>
        <color rgb="FF63BE7B"/>
        <color rgb="FFFFEB84"/>
        <color rgb="FFF8696B"/>
      </colorScale>
    </cfRule>
    <cfRule type="colorScale" priority="4391">
      <colorScale>
        <cfvo type="min"/>
        <cfvo type="percentile" val="50"/>
        <cfvo type="max"/>
        <color rgb="FF63BE7B"/>
        <color rgb="FFFFEB84"/>
        <color rgb="FFF8696B"/>
      </colorScale>
    </cfRule>
    <cfRule type="colorScale" priority="6211">
      <colorScale>
        <cfvo type="min"/>
        <cfvo type="percentile" val="50"/>
        <cfvo type="max"/>
        <color rgb="FF63BE7B"/>
        <color rgb="FFFFEB84"/>
        <color rgb="FFF8696B"/>
      </colorScale>
    </cfRule>
    <cfRule type="colorScale" priority="6210">
      <colorScale>
        <cfvo type="min"/>
        <cfvo type="percentile" val="50"/>
        <cfvo type="max"/>
        <color rgb="FF63BE7B"/>
        <color rgb="FFFFEB84"/>
        <color rgb="FFF8696B"/>
      </colorScale>
    </cfRule>
    <cfRule type="colorScale" priority="4385">
      <colorScale>
        <cfvo type="min"/>
        <cfvo type="percentile" val="50"/>
        <cfvo type="max"/>
        <color rgb="FF63BE7B"/>
        <color rgb="FFFFEB84"/>
        <color rgb="FFF8696B"/>
      </colorScale>
    </cfRule>
    <cfRule type="colorScale" priority="6209">
      <colorScale>
        <cfvo type="min"/>
        <cfvo type="percentile" val="50"/>
        <cfvo type="max"/>
        <color rgb="FF63BE7B"/>
        <color rgb="FFFFEB84"/>
        <color rgb="FFF8696B"/>
      </colorScale>
    </cfRule>
    <cfRule type="colorScale" priority="6208">
      <colorScale>
        <cfvo type="min"/>
        <cfvo type="percentile" val="50"/>
        <cfvo type="max"/>
        <color rgb="FF63BE7B"/>
        <color rgb="FFFFEB84"/>
        <color rgb="FFF8696B"/>
      </colorScale>
    </cfRule>
    <cfRule type="colorScale" priority="6207">
      <colorScale>
        <cfvo type="min"/>
        <cfvo type="percentile" val="50"/>
        <cfvo type="max"/>
        <color rgb="FF63BE7B"/>
        <color rgb="FFFFEB84"/>
        <color rgb="FFF8696B"/>
      </colorScale>
    </cfRule>
    <cfRule type="colorScale" priority="4408">
      <colorScale>
        <cfvo type="min"/>
        <cfvo type="percentile" val="50"/>
        <cfvo type="max"/>
        <color rgb="FF63BE7B"/>
        <color rgb="FFFFEB84"/>
        <color rgb="FFF8696B"/>
      </colorScale>
    </cfRule>
    <cfRule type="colorScale" priority="6206">
      <colorScale>
        <cfvo type="min"/>
        <cfvo type="percentile" val="50"/>
        <cfvo type="max"/>
        <color rgb="FF63BE7B"/>
        <color rgb="FFFFEB84"/>
        <color rgb="FFF8696B"/>
      </colorScale>
    </cfRule>
    <cfRule type="colorScale" priority="6205">
      <colorScale>
        <cfvo type="min"/>
        <cfvo type="percentile" val="50"/>
        <cfvo type="max"/>
        <color rgb="FF63BE7B"/>
        <color rgb="FFFFEB84"/>
        <color rgb="FFF8696B"/>
      </colorScale>
    </cfRule>
    <cfRule type="colorScale" priority="4392">
      <colorScale>
        <cfvo type="min"/>
        <cfvo type="percentile" val="50"/>
        <cfvo type="max"/>
        <color rgb="FF63BE7B"/>
        <color rgb="FFFFEB84"/>
        <color rgb="FFF8696B"/>
      </colorScale>
    </cfRule>
    <cfRule type="colorScale" priority="6204">
      <colorScale>
        <cfvo type="min"/>
        <cfvo type="percentile" val="50"/>
        <cfvo type="max"/>
        <color rgb="FF63BE7B"/>
        <color rgb="FFFFEB84"/>
        <color rgb="FFF8696B"/>
      </colorScale>
    </cfRule>
    <cfRule type="colorScale" priority="6203">
      <colorScale>
        <cfvo type="min"/>
        <cfvo type="percentile" val="50"/>
        <cfvo type="max"/>
        <color rgb="FF63BE7B"/>
        <color rgb="FFFFEB84"/>
        <color rgb="FFF8696B"/>
      </colorScale>
    </cfRule>
    <cfRule type="colorScale" priority="6202">
      <colorScale>
        <cfvo type="min"/>
        <cfvo type="percentile" val="50"/>
        <cfvo type="max"/>
        <color rgb="FF63BE7B"/>
        <color rgb="FFFFEB84"/>
        <color rgb="FFF8696B"/>
      </colorScale>
    </cfRule>
    <cfRule type="colorScale" priority="6201">
      <colorScale>
        <cfvo type="min"/>
        <cfvo type="percentile" val="50"/>
        <cfvo type="max"/>
        <color rgb="FF63BE7B"/>
        <color rgb="FFFFEB84"/>
        <color rgb="FFF8696B"/>
      </colorScale>
    </cfRule>
    <cfRule type="colorScale" priority="6200">
      <colorScale>
        <cfvo type="min"/>
        <cfvo type="percentile" val="50"/>
        <cfvo type="max"/>
        <color rgb="FF63BE7B"/>
        <color rgb="FFFFEB84"/>
        <color rgb="FFF8696B"/>
      </colorScale>
    </cfRule>
    <cfRule type="colorScale" priority="6199">
      <colorScale>
        <cfvo type="min"/>
        <cfvo type="percentile" val="50"/>
        <cfvo type="max"/>
        <color rgb="FF63BE7B"/>
        <color rgb="FFFFEB84"/>
        <color rgb="FFF8696B"/>
      </colorScale>
    </cfRule>
    <cfRule type="colorScale" priority="6198">
      <colorScale>
        <cfvo type="min"/>
        <cfvo type="percentile" val="50"/>
        <cfvo type="max"/>
        <color rgb="FF63BE7B"/>
        <color rgb="FFFFEB84"/>
        <color rgb="FFF8696B"/>
      </colorScale>
    </cfRule>
    <cfRule type="colorScale" priority="6197">
      <colorScale>
        <cfvo type="min"/>
        <cfvo type="percentile" val="50"/>
        <cfvo type="max"/>
        <color rgb="FF63BE7B"/>
        <color rgb="FFFFEB84"/>
        <color rgb="FFF8696B"/>
      </colorScale>
    </cfRule>
    <cfRule type="colorScale" priority="4388">
      <colorScale>
        <cfvo type="min"/>
        <cfvo type="percentile" val="50"/>
        <cfvo type="max"/>
        <color rgb="FF63BE7B"/>
        <color rgb="FFFFEB84"/>
        <color rgb="FFF8696B"/>
      </colorScale>
    </cfRule>
    <cfRule type="colorScale" priority="4393">
      <colorScale>
        <cfvo type="min"/>
        <cfvo type="percentile" val="50"/>
        <cfvo type="max"/>
        <color rgb="FF63BE7B"/>
        <color rgb="FFFFEB84"/>
        <color rgb="FFF8696B"/>
      </colorScale>
    </cfRule>
    <cfRule type="colorScale" priority="6952">
      <colorScale>
        <cfvo type="min"/>
        <cfvo type="percentile" val="50"/>
        <cfvo type="max"/>
        <color rgb="FF63BE7B"/>
        <color rgb="FFFFEB84"/>
        <color rgb="FFF8696B"/>
      </colorScale>
    </cfRule>
    <cfRule type="colorScale" priority="6953">
      <colorScale>
        <cfvo type="min"/>
        <cfvo type="percentile" val="50"/>
        <cfvo type="max"/>
        <color rgb="FF63BE7B"/>
        <color rgb="FFFFEB84"/>
        <color rgb="FFF8696B"/>
      </colorScale>
    </cfRule>
    <cfRule type="colorScale" priority="6954">
      <colorScale>
        <cfvo type="min"/>
        <cfvo type="percentile" val="50"/>
        <cfvo type="max"/>
        <color rgb="FF63BE7B"/>
        <color rgb="FFFFEB84"/>
        <color rgb="FFF8696B"/>
      </colorScale>
    </cfRule>
    <cfRule type="colorScale" priority="6955">
      <colorScale>
        <cfvo type="min"/>
        <cfvo type="percentile" val="50"/>
        <cfvo type="max"/>
        <color rgb="FF63BE7B"/>
        <color rgb="FFFFEB84"/>
        <color rgb="FFF8696B"/>
      </colorScale>
    </cfRule>
    <cfRule type="colorScale" priority="6956">
      <colorScale>
        <cfvo type="min"/>
        <cfvo type="percentile" val="50"/>
        <cfvo type="max"/>
        <color rgb="FF63BE7B"/>
        <color rgb="FFFFEB84"/>
        <color rgb="FFF8696B"/>
      </colorScale>
    </cfRule>
    <cfRule type="colorScale" priority="4394">
      <colorScale>
        <cfvo type="min"/>
        <cfvo type="percentile" val="50"/>
        <cfvo type="max"/>
        <color rgb="FF63BE7B"/>
        <color rgb="FFFFEB84"/>
        <color rgb="FFF8696B"/>
      </colorScale>
    </cfRule>
    <cfRule type="colorScale" priority="6957">
      <colorScale>
        <cfvo type="min"/>
        <cfvo type="percentile" val="50"/>
        <cfvo type="max"/>
        <color rgb="FF63BE7B"/>
        <color rgb="FFFFEB84"/>
        <color rgb="FFF8696B"/>
      </colorScale>
    </cfRule>
    <cfRule type="colorScale" priority="6958">
      <colorScale>
        <cfvo type="min"/>
        <cfvo type="percentile" val="50"/>
        <cfvo type="max"/>
        <color rgb="FF63BE7B"/>
        <color rgb="FFFFEB84"/>
        <color rgb="FFF8696B"/>
      </colorScale>
    </cfRule>
    <cfRule type="colorScale" priority="4387">
      <colorScale>
        <cfvo type="min"/>
        <cfvo type="percentile" val="50"/>
        <cfvo type="max"/>
        <color rgb="FF63BE7B"/>
        <color rgb="FFFFEB84"/>
        <color rgb="FFF8696B"/>
      </colorScale>
    </cfRule>
    <cfRule type="colorScale" priority="4405">
      <colorScale>
        <cfvo type="min"/>
        <cfvo type="percentile" val="50"/>
        <cfvo type="max"/>
        <color rgb="FF63BE7B"/>
        <color rgb="FFFFEB84"/>
        <color rgb="FFF8696B"/>
      </colorScale>
    </cfRule>
    <cfRule type="colorScale" priority="4404">
      <colorScale>
        <cfvo type="min"/>
        <cfvo type="percentile" val="50"/>
        <cfvo type="max"/>
        <color rgb="FF63BE7B"/>
        <color rgb="FFFFEB84"/>
        <color rgb="FFF8696B"/>
      </colorScale>
    </cfRule>
    <cfRule type="colorScale" priority="4403">
      <colorScale>
        <cfvo type="min"/>
        <cfvo type="percentile" val="50"/>
        <cfvo type="max"/>
        <color rgb="FF63BE7B"/>
        <color rgb="FFFFEB84"/>
        <color rgb="FFF8696B"/>
      </colorScale>
    </cfRule>
    <cfRule type="colorScale" priority="4402">
      <colorScale>
        <cfvo type="min"/>
        <cfvo type="percentile" val="50"/>
        <cfvo type="max"/>
        <color rgb="FF63BE7B"/>
        <color rgb="FFFFEB84"/>
        <color rgb="FFF8696B"/>
      </colorScale>
    </cfRule>
    <cfRule type="colorScale" priority="4401">
      <colorScale>
        <cfvo type="min"/>
        <cfvo type="percentile" val="50"/>
        <cfvo type="max"/>
        <color rgb="FF63BE7B"/>
        <color rgb="FFFFEB84"/>
        <color rgb="FFF8696B"/>
      </colorScale>
    </cfRule>
    <cfRule type="colorScale" priority="4400">
      <colorScale>
        <cfvo type="min"/>
        <cfvo type="percentile" val="50"/>
        <cfvo type="max"/>
        <color rgb="FF63BE7B"/>
        <color rgb="FFFFEB84"/>
        <color rgb="FFF8696B"/>
      </colorScale>
    </cfRule>
    <cfRule type="colorScale" priority="4399">
      <colorScale>
        <cfvo type="min"/>
        <cfvo type="percentile" val="50"/>
        <cfvo type="max"/>
        <color rgb="FF63BE7B"/>
        <color rgb="FFFFEB84"/>
        <color rgb="FFF8696B"/>
      </colorScale>
    </cfRule>
    <cfRule type="colorScale" priority="4398">
      <colorScale>
        <cfvo type="min"/>
        <cfvo type="percentile" val="50"/>
        <cfvo type="max"/>
        <color rgb="FF63BE7B"/>
        <color rgb="FFFFEB84"/>
        <color rgb="FFF8696B"/>
      </colorScale>
    </cfRule>
    <cfRule type="colorScale" priority="4397">
      <colorScale>
        <cfvo type="min"/>
        <cfvo type="percentile" val="50"/>
        <cfvo type="max"/>
        <color rgb="FF63BE7B"/>
        <color rgb="FFFFEB84"/>
        <color rgb="FFF8696B"/>
      </colorScale>
    </cfRule>
    <cfRule type="colorScale" priority="4396">
      <colorScale>
        <cfvo type="min"/>
        <cfvo type="percentile" val="50"/>
        <cfvo type="max"/>
        <color rgb="FF63BE7B"/>
        <color rgb="FFFFEB84"/>
        <color rgb="FFF8696B"/>
      </colorScale>
    </cfRule>
  </conditionalFormatting>
  <conditionalFormatting sqref="S54:S61">
    <cfRule type="colorScale" priority="40">
      <colorScale>
        <cfvo type="min"/>
        <cfvo type="percentile" val="50"/>
        <cfvo type="max"/>
        <color rgb="FF63BE7B"/>
        <color rgb="FFFFEB84"/>
        <color rgb="FFF8696B"/>
      </colorScale>
    </cfRule>
  </conditionalFormatting>
  <conditionalFormatting sqref="S65:S71">
    <cfRule type="colorScale" priority="12540">
      <colorScale>
        <cfvo type="min"/>
        <cfvo type="percentile" val="50"/>
        <cfvo type="max"/>
        <color rgb="FF63BE7B"/>
        <color rgb="FFFFEB84"/>
        <color rgb="FFF8696B"/>
      </colorScale>
    </cfRule>
    <cfRule type="colorScale" priority="12539">
      <colorScale>
        <cfvo type="min"/>
        <cfvo type="percentile" val="50"/>
        <cfvo type="max"/>
        <color rgb="FF63BE7B"/>
        <color rgb="FFFFEB84"/>
        <color rgb="FFF8696B"/>
      </colorScale>
    </cfRule>
    <cfRule type="colorScale" priority="12538">
      <colorScale>
        <cfvo type="min"/>
        <cfvo type="percentile" val="50"/>
        <cfvo type="max"/>
        <color rgb="FF63BE7B"/>
        <color rgb="FFFFEB84"/>
        <color rgb="FFF8696B"/>
      </colorScale>
    </cfRule>
  </conditionalFormatting>
  <conditionalFormatting sqref="S65:S80">
    <cfRule type="colorScale" priority="12592">
      <colorScale>
        <cfvo type="min"/>
        <cfvo type="percentile" val="50"/>
        <cfvo type="max"/>
        <color rgb="FF63BE7B"/>
        <color rgb="FFFFEB84"/>
        <color rgb="FFF8696B"/>
      </colorScale>
    </cfRule>
  </conditionalFormatting>
  <conditionalFormatting sqref="S65:S91">
    <cfRule type="colorScale" priority="12610">
      <colorScale>
        <cfvo type="min"/>
        <cfvo type="percentile" val="50"/>
        <cfvo type="max"/>
        <color rgb="FF63BE7B"/>
        <color rgb="FFFFEB84"/>
        <color rgb="FFF8696B"/>
      </colorScale>
    </cfRule>
  </conditionalFormatting>
  <conditionalFormatting sqref="S66:S71">
    <cfRule type="colorScale" priority="12541">
      <colorScale>
        <cfvo type="min"/>
        <cfvo type="percentile" val="50"/>
        <cfvo type="max"/>
        <color rgb="FF63BE7B"/>
        <color rgb="FFFFEB84"/>
        <color rgb="FFF8696B"/>
      </colorScale>
    </cfRule>
  </conditionalFormatting>
  <conditionalFormatting sqref="S96:S102">
    <cfRule type="colorScale" priority="11933">
      <colorScale>
        <cfvo type="min"/>
        <cfvo type="percentile" val="50"/>
        <cfvo type="max"/>
        <color rgb="FF63BE7B"/>
        <color rgb="FFFFEB84"/>
        <color rgb="FFF8696B"/>
      </colorScale>
    </cfRule>
    <cfRule type="colorScale" priority="11934">
      <colorScale>
        <cfvo type="min"/>
        <cfvo type="percentile" val="50"/>
        <cfvo type="max"/>
        <color rgb="FF63BE7B"/>
        <color rgb="FFFFEB84"/>
        <color rgb="FFF8696B"/>
      </colorScale>
    </cfRule>
    <cfRule type="colorScale" priority="11932">
      <colorScale>
        <cfvo type="min"/>
        <cfvo type="percentile" val="50"/>
        <cfvo type="max"/>
        <color rgb="FF63BE7B"/>
        <color rgb="FFFFEB84"/>
        <color rgb="FFF8696B"/>
      </colorScale>
    </cfRule>
  </conditionalFormatting>
  <conditionalFormatting sqref="S96:S111">
    <cfRule type="colorScale" priority="11986">
      <colorScale>
        <cfvo type="min"/>
        <cfvo type="percentile" val="50"/>
        <cfvo type="max"/>
        <color rgb="FF63BE7B"/>
        <color rgb="FFFFEB84"/>
        <color rgb="FFF8696B"/>
      </colorScale>
    </cfRule>
  </conditionalFormatting>
  <conditionalFormatting sqref="S96:S122">
    <cfRule type="colorScale" priority="12004">
      <colorScale>
        <cfvo type="min"/>
        <cfvo type="percentile" val="50"/>
        <cfvo type="max"/>
        <color rgb="FF63BE7B"/>
        <color rgb="FFFFEB84"/>
        <color rgb="FFF8696B"/>
      </colorScale>
    </cfRule>
  </conditionalFormatting>
  <conditionalFormatting sqref="S97:S102">
    <cfRule type="colorScale" priority="11935">
      <colorScale>
        <cfvo type="min"/>
        <cfvo type="percentile" val="50"/>
        <cfvo type="max"/>
        <color rgb="FF63BE7B"/>
        <color rgb="FFFFEB84"/>
        <color rgb="FFF8696B"/>
      </colorScale>
    </cfRule>
  </conditionalFormatting>
  <conditionalFormatting sqref="T35:T37">
    <cfRule type="colorScale" priority="8411">
      <colorScale>
        <cfvo type="min"/>
        <cfvo type="percentile" val="50"/>
        <cfvo type="max"/>
        <color rgb="FF63BE7B"/>
        <color rgb="FFFFEB84"/>
        <color rgb="FFF8696B"/>
      </colorScale>
    </cfRule>
    <cfRule type="colorScale" priority="8424">
      <colorScale>
        <cfvo type="min"/>
        <cfvo type="percentile" val="50"/>
        <cfvo type="max"/>
        <color rgb="FF63BE7B"/>
        <color rgb="FFFFEB84"/>
        <color rgb="FFF8696B"/>
      </colorScale>
    </cfRule>
    <cfRule type="colorScale" priority="8438">
      <colorScale>
        <cfvo type="min"/>
        <cfvo type="percentile" val="50"/>
        <cfvo type="max"/>
        <color rgb="FF63BE7B"/>
        <color rgb="FFFFEB84"/>
        <color rgb="FFF8696B"/>
      </colorScale>
    </cfRule>
    <cfRule type="colorScale" priority="8432">
      <colorScale>
        <cfvo type="min"/>
        <cfvo type="percentile" val="50"/>
        <cfvo type="max"/>
        <color rgb="FF63BE7B"/>
        <color rgb="FFFFEB84"/>
        <color rgb="FFF8696B"/>
      </colorScale>
    </cfRule>
    <cfRule type="colorScale" priority="8407">
      <colorScale>
        <cfvo type="min"/>
        <cfvo type="percentile" val="50"/>
        <cfvo type="max"/>
        <color rgb="FF63BE7B"/>
        <color rgb="FFFFEB84"/>
        <color rgb="FFF8696B"/>
      </colorScale>
    </cfRule>
    <cfRule type="colorScale" priority="8405">
      <colorScale>
        <cfvo type="min"/>
        <cfvo type="percentile" val="50"/>
        <cfvo type="max"/>
        <color rgb="FF63BE7B"/>
        <color rgb="FFFFEB84"/>
        <color rgb="FFF8696B"/>
      </colorScale>
    </cfRule>
    <cfRule type="colorScale" priority="8406">
      <colorScale>
        <cfvo type="min"/>
        <cfvo type="percentile" val="50"/>
        <cfvo type="max"/>
        <color rgb="FF63BE7B"/>
        <color rgb="FFFFEB84"/>
        <color rgb="FFF8696B"/>
      </colorScale>
    </cfRule>
    <cfRule type="colorScale" priority="8437">
      <colorScale>
        <cfvo type="min"/>
        <cfvo type="percentile" val="50"/>
        <cfvo type="max"/>
        <color rgb="FF63BE7B"/>
        <color rgb="FFFFEB84"/>
        <color rgb="FFF8696B"/>
      </colorScale>
    </cfRule>
    <cfRule type="colorScale" priority="8397">
      <colorScale>
        <cfvo type="min"/>
        <cfvo type="percentile" val="50"/>
        <cfvo type="max"/>
        <color rgb="FF63BE7B"/>
        <color rgb="FFFFEB84"/>
        <color rgb="FFF8696B"/>
      </colorScale>
    </cfRule>
    <cfRule type="colorScale" priority="8408">
      <colorScale>
        <cfvo type="min"/>
        <cfvo type="percentile" val="50"/>
        <cfvo type="max"/>
        <color rgb="FF63BE7B"/>
        <color rgb="FFFFEB84"/>
        <color rgb="FFF8696B"/>
      </colorScale>
    </cfRule>
    <cfRule type="colorScale" priority="8435">
      <colorScale>
        <cfvo type="min"/>
        <cfvo type="percentile" val="50"/>
        <cfvo type="max"/>
        <color rgb="FF63BE7B"/>
        <color rgb="FFFFEB84"/>
        <color rgb="FFF8696B"/>
      </colorScale>
    </cfRule>
    <cfRule type="colorScale" priority="11146">
      <colorScale>
        <cfvo type="min"/>
        <cfvo type="percentile" val="50"/>
        <cfvo type="max"/>
        <color rgb="FF63BE7B"/>
        <color rgb="FFFFEB84"/>
        <color rgb="FFF8696B"/>
      </colorScale>
    </cfRule>
    <cfRule type="colorScale" priority="8434">
      <colorScale>
        <cfvo type="min"/>
        <cfvo type="percentile" val="50"/>
        <cfvo type="max"/>
        <color rgb="FF63BE7B"/>
        <color rgb="FFFFEB84"/>
        <color rgb="FFF8696B"/>
      </colorScale>
    </cfRule>
    <cfRule type="colorScale" priority="8433">
      <colorScale>
        <cfvo type="min"/>
        <cfvo type="percentile" val="50"/>
        <cfvo type="max"/>
        <color rgb="FF63BE7B"/>
        <color rgb="FFFFEB84"/>
        <color rgb="FFF8696B"/>
      </colorScale>
    </cfRule>
    <cfRule type="colorScale" priority="8410">
      <colorScale>
        <cfvo type="min"/>
        <cfvo type="percentile" val="50"/>
        <cfvo type="max"/>
        <color rgb="FF63BE7B"/>
        <color rgb="FFFFEB84"/>
        <color rgb="FFF8696B"/>
      </colorScale>
    </cfRule>
  </conditionalFormatting>
  <conditionalFormatting sqref="T35:T41">
    <cfRule type="colorScale" priority="8429">
      <colorScale>
        <cfvo type="min"/>
        <cfvo type="percentile" val="50"/>
        <cfvo type="max"/>
        <color rgb="FF63BE7B"/>
        <color rgb="FFFFEB84"/>
        <color rgb="FFF8696B"/>
      </colorScale>
    </cfRule>
    <cfRule type="colorScale" priority="8428">
      <colorScale>
        <cfvo type="min"/>
        <cfvo type="percentile" val="50"/>
        <cfvo type="max"/>
        <color rgb="FF63BE7B"/>
        <color rgb="FFFFEB84"/>
        <color rgb="FFF8696B"/>
      </colorScale>
    </cfRule>
    <cfRule type="colorScale" priority="8427">
      <colorScale>
        <cfvo type="min"/>
        <cfvo type="percentile" val="50"/>
        <cfvo type="max"/>
        <color rgb="FF63BE7B"/>
        <color rgb="FFFFEB84"/>
        <color rgb="FFF8696B"/>
      </colorScale>
    </cfRule>
    <cfRule type="colorScale" priority="8426">
      <colorScale>
        <cfvo type="min"/>
        <cfvo type="percentile" val="50"/>
        <cfvo type="max"/>
        <color rgb="FF63BE7B"/>
        <color rgb="FFFFEB84"/>
        <color rgb="FFF8696B"/>
      </colorScale>
    </cfRule>
    <cfRule type="colorScale" priority="8425">
      <colorScale>
        <cfvo type="min"/>
        <cfvo type="percentile" val="50"/>
        <cfvo type="max"/>
        <color rgb="FF63BE7B"/>
        <color rgb="FFFFEB84"/>
        <color rgb="FFF8696B"/>
      </colorScale>
    </cfRule>
    <cfRule type="colorScale" priority="8423">
      <colorScale>
        <cfvo type="min"/>
        <cfvo type="percentile" val="50"/>
        <cfvo type="max"/>
        <color rgb="FF63BE7B"/>
        <color rgb="FFFFEB84"/>
        <color rgb="FFF8696B"/>
      </colorScale>
    </cfRule>
    <cfRule type="colorScale" priority="8422">
      <colorScale>
        <cfvo type="min"/>
        <cfvo type="percentile" val="50"/>
        <cfvo type="max"/>
        <color rgb="FF63BE7B"/>
        <color rgb="FFFFEB84"/>
        <color rgb="FFF8696B"/>
      </colorScale>
    </cfRule>
    <cfRule type="colorScale" priority="8421">
      <colorScale>
        <cfvo type="min"/>
        <cfvo type="percentile" val="50"/>
        <cfvo type="max"/>
        <color rgb="FF63BE7B"/>
        <color rgb="FFFFEB84"/>
        <color rgb="FFF8696B"/>
      </colorScale>
    </cfRule>
    <cfRule type="colorScale" priority="8420">
      <colorScale>
        <cfvo type="min"/>
        <cfvo type="percentile" val="50"/>
        <cfvo type="max"/>
        <color rgb="FF63BE7B"/>
        <color rgb="FFFFEB84"/>
        <color rgb="FFF8696B"/>
      </colorScale>
    </cfRule>
    <cfRule type="colorScale" priority="8418">
      <colorScale>
        <cfvo type="min"/>
        <cfvo type="percentile" val="50"/>
        <cfvo type="max"/>
        <color rgb="FF63BE7B"/>
        <color rgb="FFFFEB84"/>
        <color rgb="FFF8696B"/>
      </colorScale>
    </cfRule>
    <cfRule type="colorScale" priority="8439">
      <colorScale>
        <cfvo type="min"/>
        <cfvo type="percentile" val="50"/>
        <cfvo type="max"/>
        <color rgb="FF63BE7B"/>
        <color rgb="FFFFEB84"/>
        <color rgb="FFF8696B"/>
      </colorScale>
    </cfRule>
    <cfRule type="colorScale" priority="8416">
      <colorScale>
        <cfvo type="min"/>
        <cfvo type="percentile" val="50"/>
        <cfvo type="max"/>
        <color rgb="FF63BE7B"/>
        <color rgb="FFFFEB84"/>
        <color rgb="FFF8696B"/>
      </colorScale>
    </cfRule>
    <cfRule type="colorScale" priority="8415">
      <colorScale>
        <cfvo type="min"/>
        <cfvo type="percentile" val="50"/>
        <cfvo type="max"/>
        <color rgb="FF63BE7B"/>
        <color rgb="FFFFEB84"/>
        <color rgb="FFF8696B"/>
      </colorScale>
    </cfRule>
    <cfRule type="colorScale" priority="8414">
      <colorScale>
        <cfvo type="min"/>
        <cfvo type="percentile" val="50"/>
        <cfvo type="max"/>
        <color rgb="FF63BE7B"/>
        <color rgb="FFFFEB84"/>
        <color rgb="FFF8696B"/>
      </colorScale>
    </cfRule>
    <cfRule type="colorScale" priority="8413">
      <colorScale>
        <cfvo type="min"/>
        <cfvo type="percentile" val="50"/>
        <cfvo type="max"/>
        <color rgb="FF63BE7B"/>
        <color rgb="FFFFEB84"/>
        <color rgb="FFF8696B"/>
      </colorScale>
    </cfRule>
    <cfRule type="colorScale" priority="8412">
      <colorScale>
        <cfvo type="min"/>
        <cfvo type="percentile" val="50"/>
        <cfvo type="max"/>
        <color rgb="FF63BE7B"/>
        <color rgb="FFFFEB84"/>
        <color rgb="FFF8696B"/>
      </colorScale>
    </cfRule>
    <cfRule type="colorScale" priority="8404">
      <colorScale>
        <cfvo type="min"/>
        <cfvo type="percentile" val="50"/>
        <cfvo type="max"/>
        <color rgb="FF63BE7B"/>
        <color rgb="FFFFEB84"/>
        <color rgb="FFF8696B"/>
      </colorScale>
    </cfRule>
    <cfRule type="colorScale" priority="8403">
      <colorScale>
        <cfvo type="min"/>
        <cfvo type="percentile" val="50"/>
        <cfvo type="max"/>
        <color rgb="FF63BE7B"/>
        <color rgb="FFFFEB84"/>
        <color rgb="FFF8696B"/>
      </colorScale>
    </cfRule>
    <cfRule type="colorScale" priority="8402">
      <colorScale>
        <cfvo type="min"/>
        <cfvo type="percentile" val="50"/>
        <cfvo type="max"/>
        <color rgb="FF63BE7B"/>
        <color rgb="FFFFEB84"/>
        <color rgb="FFF8696B"/>
      </colorScale>
    </cfRule>
    <cfRule type="colorScale" priority="8401">
      <colorScale>
        <cfvo type="min"/>
        <cfvo type="percentile" val="50"/>
        <cfvo type="max"/>
        <color rgb="FF63BE7B"/>
        <color rgb="FFFFEB84"/>
        <color rgb="FFF8696B"/>
      </colorScale>
    </cfRule>
    <cfRule type="colorScale" priority="8400">
      <colorScale>
        <cfvo type="min"/>
        <cfvo type="percentile" val="50"/>
        <cfvo type="max"/>
        <color rgb="FF63BE7B"/>
        <color rgb="FFFFEB84"/>
        <color rgb="FFF8696B"/>
      </colorScale>
    </cfRule>
    <cfRule type="colorScale" priority="8399">
      <colorScale>
        <cfvo type="min"/>
        <cfvo type="percentile" val="50"/>
        <cfvo type="max"/>
        <color rgb="FF63BE7B"/>
        <color rgb="FFFFEB84"/>
        <color rgb="FFF8696B"/>
      </colorScale>
    </cfRule>
    <cfRule type="colorScale" priority="8398">
      <colorScale>
        <cfvo type="min"/>
        <cfvo type="percentile" val="50"/>
        <cfvo type="max"/>
        <color rgb="FF63BE7B"/>
        <color rgb="FFFFEB84"/>
        <color rgb="FFF8696B"/>
      </colorScale>
    </cfRule>
    <cfRule type="colorScale" priority="8396">
      <colorScale>
        <cfvo type="min"/>
        <cfvo type="percentile" val="50"/>
        <cfvo type="max"/>
        <color rgb="FF63BE7B"/>
        <color rgb="FFFFEB84"/>
        <color rgb="FFF8696B"/>
      </colorScale>
    </cfRule>
    <cfRule type="colorScale" priority="8395">
      <colorScale>
        <cfvo type="min"/>
        <cfvo type="percentile" val="50"/>
        <cfvo type="max"/>
        <color rgb="FF63BE7B"/>
        <color rgb="FFFFEB84"/>
        <color rgb="FFF8696B"/>
      </colorScale>
    </cfRule>
    <cfRule type="colorScale" priority="8417">
      <colorScale>
        <cfvo type="min"/>
        <cfvo type="percentile" val="50"/>
        <cfvo type="max"/>
        <color rgb="FF63BE7B"/>
        <color rgb="FFFFEB84"/>
        <color rgb="FFF8696B"/>
      </colorScale>
    </cfRule>
    <cfRule type="colorScale" priority="13151">
      <colorScale>
        <cfvo type="min"/>
        <cfvo type="percentile" val="50"/>
        <cfvo type="max"/>
        <color rgb="FF63BE7B"/>
        <color rgb="FFFFEB84"/>
        <color rgb="FFF8696B"/>
      </colorScale>
    </cfRule>
    <cfRule type="colorScale" priority="13152">
      <colorScale>
        <cfvo type="min"/>
        <cfvo type="percentile" val="50"/>
        <cfvo type="max"/>
        <color rgb="FF63BE7B"/>
        <color rgb="FFFFEB84"/>
        <color rgb="FFF8696B"/>
      </colorScale>
    </cfRule>
    <cfRule type="colorScale" priority="13153">
      <colorScale>
        <cfvo type="min"/>
        <cfvo type="percentile" val="50"/>
        <cfvo type="max"/>
        <color rgb="FF63BE7B"/>
        <color rgb="FFFFEB84"/>
        <color rgb="FFF8696B"/>
      </colorScale>
    </cfRule>
    <cfRule type="colorScale" priority="8448">
      <colorScale>
        <cfvo type="min"/>
        <cfvo type="percentile" val="50"/>
        <cfvo type="max"/>
        <color rgb="FF63BE7B"/>
        <color rgb="FFFFEB84"/>
        <color rgb="FFF8696B"/>
      </colorScale>
    </cfRule>
    <cfRule type="colorScale" priority="8447">
      <colorScale>
        <cfvo type="min"/>
        <cfvo type="percentile" val="50"/>
        <cfvo type="max"/>
        <color rgb="FF63BE7B"/>
        <color rgb="FFFFEB84"/>
        <color rgb="FFF8696B"/>
      </colorScale>
    </cfRule>
    <cfRule type="colorScale" priority="8445">
      <colorScale>
        <cfvo type="min"/>
        <cfvo type="percentile" val="50"/>
        <cfvo type="max"/>
        <color rgb="FF63BE7B"/>
        <color rgb="FFFFEB84"/>
        <color rgb="FFF8696B"/>
      </colorScale>
    </cfRule>
    <cfRule type="colorScale" priority="8444">
      <colorScale>
        <cfvo type="min"/>
        <cfvo type="percentile" val="50"/>
        <cfvo type="max"/>
        <color rgb="FF63BE7B"/>
        <color rgb="FFFFEB84"/>
        <color rgb="FFF8696B"/>
      </colorScale>
    </cfRule>
    <cfRule type="colorScale" priority="8443">
      <colorScale>
        <cfvo type="min"/>
        <cfvo type="percentile" val="50"/>
        <cfvo type="max"/>
        <color rgb="FF63BE7B"/>
        <color rgb="FFFFEB84"/>
        <color rgb="FFF8696B"/>
      </colorScale>
    </cfRule>
    <cfRule type="colorScale" priority="8442">
      <colorScale>
        <cfvo type="min"/>
        <cfvo type="percentile" val="50"/>
        <cfvo type="max"/>
        <color rgb="FF63BE7B"/>
        <color rgb="FFFFEB84"/>
        <color rgb="FFF8696B"/>
      </colorScale>
    </cfRule>
    <cfRule type="colorScale" priority="11144">
      <colorScale>
        <cfvo type="min"/>
        <cfvo type="percentile" val="50"/>
        <cfvo type="max"/>
        <color rgb="FF63BE7B"/>
        <color rgb="FFFFEB84"/>
        <color rgb="FFF8696B"/>
      </colorScale>
    </cfRule>
    <cfRule type="colorScale" priority="11145">
      <colorScale>
        <cfvo type="min"/>
        <cfvo type="percentile" val="50"/>
        <cfvo type="max"/>
        <color rgb="FF63BE7B"/>
        <color rgb="FFFFEB84"/>
        <color rgb="FFF8696B"/>
      </colorScale>
    </cfRule>
    <cfRule type="colorScale" priority="8441">
      <colorScale>
        <cfvo type="min"/>
        <cfvo type="percentile" val="50"/>
        <cfvo type="max"/>
        <color rgb="FF63BE7B"/>
        <color rgb="FFFFEB84"/>
        <color rgb="FFF8696B"/>
      </colorScale>
    </cfRule>
    <cfRule type="colorScale" priority="11147">
      <colorScale>
        <cfvo type="min"/>
        <cfvo type="percentile" val="50"/>
        <cfvo type="max"/>
        <color rgb="FF63BE7B"/>
        <color rgb="FFFFEB84"/>
        <color rgb="FFF8696B"/>
      </colorScale>
    </cfRule>
    <cfRule type="colorScale" priority="11148">
      <colorScale>
        <cfvo type="min"/>
        <cfvo type="percentile" val="50"/>
        <cfvo type="max"/>
        <color rgb="FF63BE7B"/>
        <color rgb="FFFFEB84"/>
        <color rgb="FFF8696B"/>
      </colorScale>
    </cfRule>
    <cfRule type="colorScale" priority="11149">
      <colorScale>
        <cfvo type="min"/>
        <cfvo type="percentile" val="50"/>
        <cfvo type="max"/>
        <color rgb="FF63BE7B"/>
        <color rgb="FFFFEB84"/>
        <color rgb="FFF8696B"/>
      </colorScale>
    </cfRule>
    <cfRule type="colorScale" priority="11150">
      <colorScale>
        <cfvo type="min"/>
        <cfvo type="percentile" val="50"/>
        <cfvo type="max"/>
        <color rgb="FF63BE7B"/>
        <color rgb="FFFFEB84"/>
        <color rgb="FFF8696B"/>
      </colorScale>
    </cfRule>
    <cfRule type="colorScale" priority="11151">
      <colorScale>
        <cfvo type="min"/>
        <cfvo type="percentile" val="50"/>
        <cfvo type="max"/>
        <color rgb="FF63BE7B"/>
        <color rgb="FFFFEB84"/>
        <color rgb="FFF8696B"/>
      </colorScale>
    </cfRule>
    <cfRule type="colorScale" priority="11152">
      <colorScale>
        <cfvo type="min"/>
        <cfvo type="percentile" val="50"/>
        <cfvo type="max"/>
        <color rgb="FF63BE7B"/>
        <color rgb="FFFFEB84"/>
        <color rgb="FFF8696B"/>
      </colorScale>
    </cfRule>
    <cfRule type="colorScale" priority="11153">
      <colorScale>
        <cfvo type="min"/>
        <cfvo type="percentile" val="50"/>
        <cfvo type="max"/>
        <color rgb="FF63BE7B"/>
        <color rgb="FFFFEB84"/>
        <color rgb="FFF8696B"/>
      </colorScale>
    </cfRule>
    <cfRule type="colorScale" priority="8440">
      <colorScale>
        <cfvo type="min"/>
        <cfvo type="percentile" val="50"/>
        <cfvo type="max"/>
        <color rgb="FF63BE7B"/>
        <color rgb="FFFFEB84"/>
        <color rgb="FFF8696B"/>
      </colorScale>
    </cfRule>
    <cfRule type="colorScale" priority="8431">
      <colorScale>
        <cfvo type="min"/>
        <cfvo type="percentile" val="50"/>
        <cfvo type="max"/>
        <color rgb="FF63BE7B"/>
        <color rgb="FFFFEB84"/>
        <color rgb="FFF8696B"/>
      </colorScale>
    </cfRule>
    <cfRule type="colorScale" priority="8430">
      <colorScale>
        <cfvo type="min"/>
        <cfvo type="percentile" val="50"/>
        <cfvo type="max"/>
        <color rgb="FF63BE7B"/>
        <color rgb="FFFFEB84"/>
        <color rgb="FFF8696B"/>
      </colorScale>
    </cfRule>
  </conditionalFormatting>
  <conditionalFormatting sqref="T35:T50">
    <cfRule type="colorScale" priority="13208">
      <colorScale>
        <cfvo type="min"/>
        <cfvo type="percentile" val="50"/>
        <cfvo type="max"/>
        <color rgb="FF63BE7B"/>
        <color rgb="FFFFEB84"/>
        <color rgb="FFF8696B"/>
      </colorScale>
    </cfRule>
  </conditionalFormatting>
  <conditionalFormatting sqref="T35:T53">
    <cfRule type="colorScale" priority="13226">
      <colorScale>
        <cfvo type="min"/>
        <cfvo type="percentile" val="50"/>
        <cfvo type="max"/>
        <color rgb="FF63BE7B"/>
        <color rgb="FFFFEB84"/>
        <color rgb="FFF8696B"/>
      </colorScale>
    </cfRule>
  </conditionalFormatting>
  <conditionalFormatting sqref="T36:T37">
    <cfRule type="colorScale" priority="8436">
      <colorScale>
        <cfvo type="min"/>
        <cfvo type="percentile" val="50"/>
        <cfvo type="max"/>
        <color rgb="FF63BE7B"/>
        <color rgb="FFFFEB84"/>
        <color rgb="FFF8696B"/>
      </colorScale>
    </cfRule>
    <cfRule type="colorScale" priority="8409">
      <colorScale>
        <cfvo type="min"/>
        <cfvo type="percentile" val="50"/>
        <cfvo type="max"/>
        <color rgb="FF63BE7B"/>
        <color rgb="FFFFEB84"/>
        <color rgb="FFF8696B"/>
      </colorScale>
    </cfRule>
  </conditionalFormatting>
  <conditionalFormatting sqref="T36:T41">
    <cfRule type="colorScale" priority="13154">
      <colorScale>
        <cfvo type="min"/>
        <cfvo type="percentile" val="50"/>
        <cfvo type="max"/>
        <color rgb="FF63BE7B"/>
        <color rgb="FFFFEB84"/>
        <color rgb="FFF8696B"/>
      </colorScale>
    </cfRule>
    <cfRule type="colorScale" priority="8446">
      <colorScale>
        <cfvo type="min"/>
        <cfvo type="percentile" val="50"/>
        <cfvo type="max"/>
        <color rgb="FF63BE7B"/>
        <color rgb="FFFFEB84"/>
        <color rgb="FFF8696B"/>
      </colorScale>
    </cfRule>
    <cfRule type="colorScale" priority="8419">
      <colorScale>
        <cfvo type="min"/>
        <cfvo type="percentile" val="50"/>
        <cfvo type="max"/>
        <color rgb="FF63BE7B"/>
        <color rgb="FFFFEB84"/>
        <color rgb="FFF8696B"/>
      </colorScale>
    </cfRule>
  </conditionalFormatting>
  <conditionalFormatting sqref="T42:T50">
    <cfRule type="colorScale" priority="7456">
      <colorScale>
        <cfvo type="min"/>
        <cfvo type="percentile" val="50"/>
        <cfvo type="max"/>
        <color rgb="FF63BE7B"/>
        <color rgb="FFFFEB84"/>
        <color rgb="FFF8696B"/>
      </colorScale>
    </cfRule>
    <cfRule type="colorScale" priority="7454">
      <colorScale>
        <cfvo type="min"/>
        <cfvo type="percentile" val="50"/>
        <cfvo type="max"/>
        <color rgb="FF63BE7B"/>
        <color rgb="FFFFEB84"/>
        <color rgb="FFF8696B"/>
      </colorScale>
    </cfRule>
    <cfRule type="colorScale" priority="13030">
      <colorScale>
        <cfvo type="min"/>
        <cfvo type="percentile" val="50"/>
        <cfvo type="max"/>
        <color rgb="FF63BE7B"/>
        <color rgb="FFFFEB84"/>
        <color rgb="FFF8696B"/>
      </colorScale>
    </cfRule>
    <cfRule type="colorScale" priority="13031">
      <colorScale>
        <cfvo type="min"/>
        <cfvo type="percentile" val="50"/>
        <cfvo type="max"/>
        <color rgb="FF63BE7B"/>
        <color rgb="FFFFEB84"/>
        <color rgb="FFF8696B"/>
      </colorScale>
    </cfRule>
    <cfRule type="colorScale" priority="13032">
      <colorScale>
        <cfvo type="min"/>
        <cfvo type="percentile" val="50"/>
        <cfvo type="max"/>
        <color rgb="FF63BE7B"/>
        <color rgb="FFFFEB84"/>
        <color rgb="FFF8696B"/>
      </colorScale>
    </cfRule>
    <cfRule type="colorScale" priority="13033">
      <colorScale>
        <cfvo type="min"/>
        <cfvo type="percentile" val="50"/>
        <cfvo type="max"/>
        <color rgb="FF63BE7B"/>
        <color rgb="FFFFEB84"/>
        <color rgb="FFF8696B"/>
      </colorScale>
    </cfRule>
  </conditionalFormatting>
  <conditionalFormatting sqref="T51:T53">
    <cfRule type="colorScale" priority="4354">
      <colorScale>
        <cfvo type="min"/>
        <cfvo type="percentile" val="50"/>
        <cfvo type="max"/>
        <color rgb="FF63BE7B"/>
        <color rgb="FFFFEB84"/>
        <color rgb="FFF8696B"/>
      </colorScale>
    </cfRule>
    <cfRule type="colorScale" priority="12917">
      <colorScale>
        <cfvo type="min"/>
        <cfvo type="percentile" val="50"/>
        <cfvo type="max"/>
        <color rgb="FF63BE7B"/>
        <color rgb="FFFFEB84"/>
        <color rgb="FFF8696B"/>
      </colorScale>
    </cfRule>
    <cfRule type="colorScale" priority="12916">
      <colorScale>
        <cfvo type="min"/>
        <cfvo type="percentile" val="50"/>
        <cfvo type="max"/>
        <color rgb="FF63BE7B"/>
        <color rgb="FFFFEB84"/>
        <color rgb="FFF8696B"/>
      </colorScale>
    </cfRule>
    <cfRule type="colorScale" priority="4326">
      <colorScale>
        <cfvo type="min"/>
        <cfvo type="percentile" val="50"/>
        <cfvo type="max"/>
        <color rgb="FF63BE7B"/>
        <color rgb="FFFFEB84"/>
        <color rgb="FFF8696B"/>
      </colorScale>
    </cfRule>
    <cfRule type="colorScale" priority="4353">
      <colorScale>
        <cfvo type="min"/>
        <cfvo type="percentile" val="50"/>
        <cfvo type="max"/>
        <color rgb="FF63BE7B"/>
        <color rgb="FFFFEB84"/>
        <color rgb="FFF8696B"/>
      </colorScale>
    </cfRule>
  </conditionalFormatting>
  <conditionalFormatting sqref="T52:T53">
    <cfRule type="colorScale" priority="5309">
      <colorScale>
        <cfvo type="min"/>
        <cfvo type="percentile" val="50"/>
        <cfvo type="max"/>
        <color rgb="FF63BE7B"/>
        <color rgb="FFFFEB84"/>
        <color rgb="FFF8696B"/>
      </colorScale>
    </cfRule>
    <cfRule type="colorScale" priority="4329">
      <colorScale>
        <cfvo type="min"/>
        <cfvo type="percentile" val="50"/>
        <cfvo type="max"/>
        <color rgb="FF63BE7B"/>
        <color rgb="FFFFEB84"/>
        <color rgb="FFF8696B"/>
      </colorScale>
    </cfRule>
    <cfRule type="colorScale" priority="5333">
      <colorScale>
        <cfvo type="min"/>
        <cfvo type="percentile" val="50"/>
        <cfvo type="max"/>
        <color rgb="FF63BE7B"/>
        <color rgb="FFFFEB84"/>
        <color rgb="FFF8696B"/>
      </colorScale>
    </cfRule>
    <cfRule type="colorScale" priority="5332">
      <colorScale>
        <cfvo type="min"/>
        <cfvo type="percentile" val="50"/>
        <cfvo type="max"/>
        <color rgb="FF63BE7B"/>
        <color rgb="FFFFEB84"/>
        <color rgb="FFF8696B"/>
      </colorScale>
    </cfRule>
    <cfRule type="colorScale" priority="5331">
      <colorScale>
        <cfvo type="min"/>
        <cfvo type="percentile" val="50"/>
        <cfvo type="max"/>
        <color rgb="FF63BE7B"/>
        <color rgb="FFFFEB84"/>
        <color rgb="FFF8696B"/>
      </colorScale>
    </cfRule>
    <cfRule type="colorScale" priority="5330">
      <colorScale>
        <cfvo type="min"/>
        <cfvo type="percentile" val="50"/>
        <cfvo type="max"/>
        <color rgb="FF63BE7B"/>
        <color rgb="FFFFEB84"/>
        <color rgb="FFF8696B"/>
      </colorScale>
    </cfRule>
    <cfRule type="colorScale" priority="5329">
      <colorScale>
        <cfvo type="min"/>
        <cfvo type="percentile" val="50"/>
        <cfvo type="max"/>
        <color rgb="FF63BE7B"/>
        <color rgb="FFFFEB84"/>
        <color rgb="FFF8696B"/>
      </colorScale>
    </cfRule>
    <cfRule type="colorScale" priority="4330">
      <colorScale>
        <cfvo type="min"/>
        <cfvo type="percentile" val="50"/>
        <cfvo type="max"/>
        <color rgb="FF63BE7B"/>
        <color rgb="FFFFEB84"/>
        <color rgb="FFF8696B"/>
      </colorScale>
    </cfRule>
    <cfRule type="colorScale" priority="5328">
      <colorScale>
        <cfvo type="min"/>
        <cfvo type="percentile" val="50"/>
        <cfvo type="max"/>
        <color rgb="FF63BE7B"/>
        <color rgb="FFFFEB84"/>
        <color rgb="FFF8696B"/>
      </colorScale>
    </cfRule>
    <cfRule type="colorScale" priority="5327">
      <colorScale>
        <cfvo type="min"/>
        <cfvo type="percentile" val="50"/>
        <cfvo type="max"/>
        <color rgb="FF63BE7B"/>
        <color rgb="FFFFEB84"/>
        <color rgb="FFF8696B"/>
      </colorScale>
    </cfRule>
    <cfRule type="colorScale" priority="5326">
      <colorScale>
        <cfvo type="min"/>
        <cfvo type="percentile" val="50"/>
        <cfvo type="max"/>
        <color rgb="FF63BE7B"/>
        <color rgb="FFFFEB84"/>
        <color rgb="FFF8696B"/>
      </colorScale>
    </cfRule>
    <cfRule type="colorScale" priority="5312">
      <colorScale>
        <cfvo type="min"/>
        <cfvo type="percentile" val="50"/>
        <cfvo type="max"/>
        <color rgb="FF63BE7B"/>
        <color rgb="FFFFEB84"/>
        <color rgb="FFF8696B"/>
      </colorScale>
    </cfRule>
    <cfRule type="colorScale" priority="5311">
      <colorScale>
        <cfvo type="min"/>
        <cfvo type="percentile" val="50"/>
        <cfvo type="max"/>
        <color rgb="FF63BE7B"/>
        <color rgb="FFFFEB84"/>
        <color rgb="FFF8696B"/>
      </colorScale>
    </cfRule>
    <cfRule type="colorScale" priority="5310">
      <colorScale>
        <cfvo type="min"/>
        <cfvo type="percentile" val="50"/>
        <cfvo type="max"/>
        <color rgb="FF63BE7B"/>
        <color rgb="FFFFEB84"/>
        <color rgb="FFF8696B"/>
      </colorScale>
    </cfRule>
    <cfRule type="colorScale" priority="5338">
      <colorScale>
        <cfvo type="min"/>
        <cfvo type="percentile" val="50"/>
        <cfvo type="max"/>
        <color rgb="FF63BE7B"/>
        <color rgb="FFFFEB84"/>
        <color rgb="FFF8696B"/>
      </colorScale>
    </cfRule>
    <cfRule type="colorScale" priority="5308">
      <colorScale>
        <cfvo type="min"/>
        <cfvo type="percentile" val="50"/>
        <cfvo type="max"/>
        <color rgb="FF63BE7B"/>
        <color rgb="FFFFEB84"/>
        <color rgb="FFF8696B"/>
      </colorScale>
    </cfRule>
    <cfRule type="colorScale" priority="5307">
      <colorScale>
        <cfvo type="min"/>
        <cfvo type="percentile" val="50"/>
        <cfvo type="max"/>
        <color rgb="FF63BE7B"/>
        <color rgb="FFFFEB84"/>
        <color rgb="FFF8696B"/>
      </colorScale>
    </cfRule>
    <cfRule type="colorScale" priority="5306">
      <colorScale>
        <cfvo type="min"/>
        <cfvo type="percentile" val="50"/>
        <cfvo type="max"/>
        <color rgb="FF63BE7B"/>
        <color rgb="FFFFEB84"/>
        <color rgb="FFF8696B"/>
      </colorScale>
    </cfRule>
    <cfRule type="colorScale" priority="4331">
      <colorScale>
        <cfvo type="min"/>
        <cfvo type="percentile" val="50"/>
        <cfvo type="max"/>
        <color rgb="FF63BE7B"/>
        <color rgb="FFFFEB84"/>
        <color rgb="FFF8696B"/>
      </colorScale>
    </cfRule>
    <cfRule type="colorScale" priority="5305">
      <colorScale>
        <cfvo type="min"/>
        <cfvo type="percentile" val="50"/>
        <cfvo type="max"/>
        <color rgb="FF63BE7B"/>
        <color rgb="FFFFEB84"/>
        <color rgb="FFF8696B"/>
      </colorScale>
    </cfRule>
    <cfRule type="colorScale" priority="4332">
      <colorScale>
        <cfvo type="min"/>
        <cfvo type="percentile" val="50"/>
        <cfvo type="max"/>
        <color rgb="FF63BE7B"/>
        <color rgb="FFFFEB84"/>
        <color rgb="FFF8696B"/>
      </colorScale>
    </cfRule>
    <cfRule type="colorScale" priority="4333">
      <colorScale>
        <cfvo type="min"/>
        <cfvo type="percentile" val="50"/>
        <cfvo type="max"/>
        <color rgb="FF63BE7B"/>
        <color rgb="FFFFEB84"/>
        <color rgb="FFF8696B"/>
      </colorScale>
    </cfRule>
    <cfRule type="colorScale" priority="5304">
      <colorScale>
        <cfvo type="min"/>
        <cfvo type="percentile" val="50"/>
        <cfvo type="max"/>
        <color rgb="FF63BE7B"/>
        <color rgb="FFFFEB84"/>
        <color rgb="FFF8696B"/>
      </colorScale>
    </cfRule>
    <cfRule type="colorScale" priority="4334">
      <colorScale>
        <cfvo type="min"/>
        <cfvo type="percentile" val="50"/>
        <cfvo type="max"/>
        <color rgb="FF63BE7B"/>
        <color rgb="FFFFEB84"/>
        <color rgb="FFF8696B"/>
      </colorScale>
    </cfRule>
    <cfRule type="colorScale" priority="4335">
      <colorScale>
        <cfvo type="min"/>
        <cfvo type="percentile" val="50"/>
        <cfvo type="max"/>
        <color rgb="FF63BE7B"/>
        <color rgb="FFFFEB84"/>
        <color rgb="FFF8696B"/>
      </colorScale>
    </cfRule>
    <cfRule type="colorScale" priority="7210">
      <colorScale>
        <cfvo type="min"/>
        <cfvo type="percentile" val="50"/>
        <cfvo type="max"/>
        <color rgb="FF63BE7B"/>
        <color rgb="FFFFEB84"/>
        <color rgb="FFF8696B"/>
      </colorScale>
    </cfRule>
    <cfRule type="colorScale" priority="6950">
      <colorScale>
        <cfvo type="min"/>
        <cfvo type="percentile" val="50"/>
        <cfvo type="max"/>
        <color rgb="FF63BE7B"/>
        <color rgb="FFFFEB84"/>
        <color rgb="FFF8696B"/>
      </colorScale>
    </cfRule>
    <cfRule type="colorScale" priority="6949">
      <colorScale>
        <cfvo type="min"/>
        <cfvo type="percentile" val="50"/>
        <cfvo type="max"/>
        <color rgb="FF63BE7B"/>
        <color rgb="FFFFEB84"/>
        <color rgb="FFF8696B"/>
      </colorScale>
    </cfRule>
    <cfRule type="colorScale" priority="7209">
      <colorScale>
        <cfvo type="min"/>
        <cfvo type="percentile" val="50"/>
        <cfvo type="max"/>
        <color rgb="FF63BE7B"/>
        <color rgb="FFFFEB84"/>
        <color rgb="FFF8696B"/>
      </colorScale>
    </cfRule>
    <cfRule type="colorScale" priority="5325">
      <colorScale>
        <cfvo type="min"/>
        <cfvo type="percentile" val="50"/>
        <cfvo type="max"/>
        <color rgb="FF63BE7B"/>
        <color rgb="FFFFEB84"/>
        <color rgb="FFF8696B"/>
      </colorScale>
    </cfRule>
    <cfRule type="colorScale" priority="5324">
      <colorScale>
        <cfvo type="min"/>
        <cfvo type="percentile" val="50"/>
        <cfvo type="max"/>
        <color rgb="FF63BE7B"/>
        <color rgb="FFFFEB84"/>
        <color rgb="FFF8696B"/>
      </colorScale>
    </cfRule>
    <cfRule type="colorScale" priority="5341">
      <colorScale>
        <cfvo type="min"/>
        <cfvo type="percentile" val="50"/>
        <cfvo type="max"/>
        <color rgb="FF63BE7B"/>
        <color rgb="FFFFEB84"/>
        <color rgb="FFF8696B"/>
      </colorScale>
    </cfRule>
    <cfRule type="colorScale" priority="5340">
      <colorScale>
        <cfvo type="min"/>
        <cfvo type="percentile" val="50"/>
        <cfvo type="max"/>
        <color rgb="FF63BE7B"/>
        <color rgb="FFFFEB84"/>
        <color rgb="FFF8696B"/>
      </colorScale>
    </cfRule>
    <cfRule type="colorScale" priority="5339">
      <colorScale>
        <cfvo type="min"/>
        <cfvo type="percentile" val="50"/>
        <cfvo type="max"/>
        <color rgb="FF63BE7B"/>
        <color rgb="FFFFEB84"/>
        <color rgb="FFF8696B"/>
      </colorScale>
    </cfRule>
    <cfRule type="colorScale" priority="5337">
      <colorScale>
        <cfvo type="min"/>
        <cfvo type="percentile" val="50"/>
        <cfvo type="max"/>
        <color rgb="FF63BE7B"/>
        <color rgb="FFFFEB84"/>
        <color rgb="FFF8696B"/>
      </colorScale>
    </cfRule>
    <cfRule type="colorScale" priority="5336">
      <colorScale>
        <cfvo type="min"/>
        <cfvo type="percentile" val="50"/>
        <cfvo type="max"/>
        <color rgb="FF63BE7B"/>
        <color rgb="FFFFEB84"/>
        <color rgb="FFF8696B"/>
      </colorScale>
    </cfRule>
    <cfRule type="colorScale" priority="5323">
      <colorScale>
        <cfvo type="min"/>
        <cfvo type="percentile" val="50"/>
        <cfvo type="max"/>
        <color rgb="FF63BE7B"/>
        <color rgb="FFFFEB84"/>
        <color rgb="FFF8696B"/>
      </colorScale>
    </cfRule>
    <cfRule type="colorScale" priority="5335">
      <colorScale>
        <cfvo type="min"/>
        <cfvo type="percentile" val="50"/>
        <cfvo type="max"/>
        <color rgb="FF63BE7B"/>
        <color rgb="FFFFEB84"/>
        <color rgb="FFF8696B"/>
      </colorScale>
    </cfRule>
    <cfRule type="colorScale" priority="5334">
      <colorScale>
        <cfvo type="min"/>
        <cfvo type="percentile" val="50"/>
        <cfvo type="max"/>
        <color rgb="FF63BE7B"/>
        <color rgb="FFFFEB84"/>
        <color rgb="FFF8696B"/>
      </colorScale>
    </cfRule>
    <cfRule type="colorScale" priority="5322">
      <colorScale>
        <cfvo type="min"/>
        <cfvo type="percentile" val="50"/>
        <cfvo type="max"/>
        <color rgb="FF63BE7B"/>
        <color rgb="FFFFEB84"/>
        <color rgb="FFF8696B"/>
      </colorScale>
    </cfRule>
    <cfRule type="colorScale" priority="5321">
      <colorScale>
        <cfvo type="min"/>
        <cfvo type="percentile" val="50"/>
        <cfvo type="max"/>
        <color rgb="FF63BE7B"/>
        <color rgb="FFFFEB84"/>
        <color rgb="FFF8696B"/>
      </colorScale>
    </cfRule>
    <cfRule type="colorScale" priority="4336">
      <colorScale>
        <cfvo type="min"/>
        <cfvo type="percentile" val="50"/>
        <cfvo type="max"/>
        <color rgb="FF63BE7B"/>
        <color rgb="FFFFEB84"/>
        <color rgb="FFF8696B"/>
      </colorScale>
    </cfRule>
    <cfRule type="colorScale" priority="4337">
      <colorScale>
        <cfvo type="min"/>
        <cfvo type="percentile" val="50"/>
        <cfvo type="max"/>
        <color rgb="FF63BE7B"/>
        <color rgb="FFFFEB84"/>
        <color rgb="FFF8696B"/>
      </colorScale>
    </cfRule>
    <cfRule type="colorScale" priority="4338">
      <colorScale>
        <cfvo type="min"/>
        <cfvo type="percentile" val="50"/>
        <cfvo type="max"/>
        <color rgb="FF63BE7B"/>
        <color rgb="FFFFEB84"/>
        <color rgb="FFF8696B"/>
      </colorScale>
    </cfRule>
    <cfRule type="colorScale" priority="4339">
      <colorScale>
        <cfvo type="min"/>
        <cfvo type="percentile" val="50"/>
        <cfvo type="max"/>
        <color rgb="FF63BE7B"/>
        <color rgb="FFFFEB84"/>
        <color rgb="FFF8696B"/>
      </colorScale>
    </cfRule>
    <cfRule type="colorScale" priority="4340">
      <colorScale>
        <cfvo type="min"/>
        <cfvo type="percentile" val="50"/>
        <cfvo type="max"/>
        <color rgb="FF63BE7B"/>
        <color rgb="FFFFEB84"/>
        <color rgb="FFF8696B"/>
      </colorScale>
    </cfRule>
    <cfRule type="colorScale" priority="7259">
      <colorScale>
        <cfvo type="min"/>
        <cfvo type="percentile" val="50"/>
        <cfvo type="max"/>
        <color rgb="FF63BE7B"/>
        <color rgb="FFFFEB84"/>
        <color rgb="FFF8696B"/>
      </colorScale>
    </cfRule>
    <cfRule type="colorScale" priority="6948">
      <colorScale>
        <cfvo type="min"/>
        <cfvo type="percentile" val="50"/>
        <cfvo type="max"/>
        <color rgb="FF63BE7B"/>
        <color rgb="FFFFEB84"/>
        <color rgb="FFF8696B"/>
      </colorScale>
    </cfRule>
    <cfRule type="colorScale" priority="5319">
      <colorScale>
        <cfvo type="min"/>
        <cfvo type="percentile" val="50"/>
        <cfvo type="max"/>
        <color rgb="FF63BE7B"/>
        <color rgb="FFFFEB84"/>
        <color rgb="FFF8696B"/>
      </colorScale>
    </cfRule>
    <cfRule type="colorScale" priority="7208">
      <colorScale>
        <cfvo type="min"/>
        <cfvo type="percentile" val="50"/>
        <cfvo type="max"/>
        <color rgb="FF63BE7B"/>
        <color rgb="FFFFEB84"/>
        <color rgb="FFF8696B"/>
      </colorScale>
    </cfRule>
    <cfRule type="colorScale" priority="5318">
      <colorScale>
        <cfvo type="min"/>
        <cfvo type="percentile" val="50"/>
        <cfvo type="max"/>
        <color rgb="FF63BE7B"/>
        <color rgb="FFFFEB84"/>
        <color rgb="FFF8696B"/>
      </colorScale>
    </cfRule>
    <cfRule type="colorScale" priority="5317">
      <colorScale>
        <cfvo type="min"/>
        <cfvo type="percentile" val="50"/>
        <cfvo type="max"/>
        <color rgb="FF63BE7B"/>
        <color rgb="FFFFEB84"/>
        <color rgb="FFF8696B"/>
      </colorScale>
    </cfRule>
    <cfRule type="colorScale" priority="4352">
      <colorScale>
        <cfvo type="min"/>
        <cfvo type="percentile" val="50"/>
        <cfvo type="max"/>
        <color rgb="FF63BE7B"/>
        <color rgb="FFFFEB84"/>
        <color rgb="FFF8696B"/>
      </colorScale>
    </cfRule>
    <cfRule type="colorScale" priority="4351">
      <colorScale>
        <cfvo type="min"/>
        <cfvo type="percentile" val="50"/>
        <cfvo type="max"/>
        <color rgb="FF63BE7B"/>
        <color rgb="FFFFEB84"/>
        <color rgb="FFF8696B"/>
      </colorScale>
    </cfRule>
    <cfRule type="colorScale" priority="4350">
      <colorScale>
        <cfvo type="min"/>
        <cfvo type="percentile" val="50"/>
        <cfvo type="max"/>
        <color rgb="FF63BE7B"/>
        <color rgb="FFFFEB84"/>
        <color rgb="FFF8696B"/>
      </colorScale>
    </cfRule>
    <cfRule type="colorScale" priority="4349">
      <colorScale>
        <cfvo type="min"/>
        <cfvo type="percentile" val="50"/>
        <cfvo type="max"/>
        <color rgb="FF63BE7B"/>
        <color rgb="FFFFEB84"/>
        <color rgb="FFF8696B"/>
      </colorScale>
    </cfRule>
    <cfRule type="colorScale" priority="4348">
      <colorScale>
        <cfvo type="min"/>
        <cfvo type="percentile" val="50"/>
        <cfvo type="max"/>
        <color rgb="FF63BE7B"/>
        <color rgb="FFFFEB84"/>
        <color rgb="FFF8696B"/>
      </colorScale>
    </cfRule>
    <cfRule type="colorScale" priority="4347">
      <colorScale>
        <cfvo type="min"/>
        <cfvo type="percentile" val="50"/>
        <cfvo type="max"/>
        <color rgb="FF63BE7B"/>
        <color rgb="FFFFEB84"/>
        <color rgb="FFF8696B"/>
      </colorScale>
    </cfRule>
    <cfRule type="colorScale" priority="4346">
      <colorScale>
        <cfvo type="min"/>
        <cfvo type="percentile" val="50"/>
        <cfvo type="max"/>
        <color rgb="FF63BE7B"/>
        <color rgb="FFFFEB84"/>
        <color rgb="FFF8696B"/>
      </colorScale>
    </cfRule>
    <cfRule type="colorScale" priority="4345">
      <colorScale>
        <cfvo type="min"/>
        <cfvo type="percentile" val="50"/>
        <cfvo type="max"/>
        <color rgb="FF63BE7B"/>
        <color rgb="FFFFEB84"/>
        <color rgb="FFF8696B"/>
      </colorScale>
    </cfRule>
    <cfRule type="colorScale" priority="4344">
      <colorScale>
        <cfvo type="min"/>
        <cfvo type="percentile" val="50"/>
        <cfvo type="max"/>
        <color rgb="FF63BE7B"/>
        <color rgb="FFFFEB84"/>
        <color rgb="FFF8696B"/>
      </colorScale>
    </cfRule>
    <cfRule type="colorScale" priority="4343">
      <colorScale>
        <cfvo type="min"/>
        <cfvo type="percentile" val="50"/>
        <cfvo type="max"/>
        <color rgb="FF63BE7B"/>
        <color rgb="FFFFEB84"/>
        <color rgb="FFF8696B"/>
      </colorScale>
    </cfRule>
    <cfRule type="colorScale" priority="4342">
      <colorScale>
        <cfvo type="min"/>
        <cfvo type="percentile" val="50"/>
        <cfvo type="max"/>
        <color rgb="FF63BE7B"/>
        <color rgb="FFFFEB84"/>
        <color rgb="FFF8696B"/>
      </colorScale>
    </cfRule>
    <cfRule type="colorScale" priority="4341">
      <colorScale>
        <cfvo type="min"/>
        <cfvo type="percentile" val="50"/>
        <cfvo type="max"/>
        <color rgb="FF63BE7B"/>
        <color rgb="FFFFEB84"/>
        <color rgb="FFF8696B"/>
      </colorScale>
    </cfRule>
    <cfRule type="colorScale" priority="7211">
      <colorScale>
        <cfvo type="min"/>
        <cfvo type="percentile" val="50"/>
        <cfvo type="max"/>
        <color rgb="FF63BE7B"/>
        <color rgb="FFFFEB84"/>
        <color rgb="FFF8696B"/>
      </colorScale>
    </cfRule>
    <cfRule type="colorScale" priority="6947">
      <colorScale>
        <cfvo type="min"/>
        <cfvo type="percentile" val="50"/>
        <cfvo type="max"/>
        <color rgb="FF63BE7B"/>
        <color rgb="FFFFEB84"/>
        <color rgb="FFF8696B"/>
      </colorScale>
    </cfRule>
    <cfRule type="colorScale" priority="6946">
      <colorScale>
        <cfvo type="min"/>
        <cfvo type="percentile" val="50"/>
        <cfvo type="max"/>
        <color rgb="FF63BE7B"/>
        <color rgb="FFFFEB84"/>
        <color rgb="FFF8696B"/>
      </colorScale>
    </cfRule>
    <cfRule type="colorScale" priority="6945">
      <colorScale>
        <cfvo type="min"/>
        <cfvo type="percentile" val="50"/>
        <cfvo type="max"/>
        <color rgb="FF63BE7B"/>
        <color rgb="FFFFEB84"/>
        <color rgb="FFF8696B"/>
      </colorScale>
    </cfRule>
    <cfRule type="colorScale" priority="6944">
      <colorScale>
        <cfvo type="min"/>
        <cfvo type="percentile" val="50"/>
        <cfvo type="max"/>
        <color rgb="FF63BE7B"/>
        <color rgb="FFFFEB84"/>
        <color rgb="FFF8696B"/>
      </colorScale>
    </cfRule>
    <cfRule type="colorScale" priority="6943">
      <colorScale>
        <cfvo type="min"/>
        <cfvo type="percentile" val="50"/>
        <cfvo type="max"/>
        <color rgb="FF63BE7B"/>
        <color rgb="FFFFEB84"/>
        <color rgb="FFF8696B"/>
      </colorScale>
    </cfRule>
    <cfRule type="colorScale" priority="5316">
      <colorScale>
        <cfvo type="min"/>
        <cfvo type="percentile" val="50"/>
        <cfvo type="max"/>
        <color rgb="FF63BE7B"/>
        <color rgb="FFFFEB84"/>
        <color rgb="FFF8696B"/>
      </colorScale>
    </cfRule>
    <cfRule type="colorScale" priority="5315">
      <colorScale>
        <cfvo type="min"/>
        <cfvo type="percentile" val="50"/>
        <cfvo type="max"/>
        <color rgb="FF63BE7B"/>
        <color rgb="FFFFEB84"/>
        <color rgb="FFF8696B"/>
      </colorScale>
    </cfRule>
    <cfRule type="colorScale" priority="5314">
      <colorScale>
        <cfvo type="min"/>
        <cfvo type="percentile" val="50"/>
        <cfvo type="max"/>
        <color rgb="FF63BE7B"/>
        <color rgb="FFFFEB84"/>
        <color rgb="FFF8696B"/>
      </colorScale>
    </cfRule>
    <cfRule type="colorScale" priority="5313">
      <colorScale>
        <cfvo type="min"/>
        <cfvo type="percentile" val="50"/>
        <cfvo type="max"/>
        <color rgb="FF63BE7B"/>
        <color rgb="FFFFEB84"/>
        <color rgb="FFF8696B"/>
      </colorScale>
    </cfRule>
    <cfRule type="colorScale" priority="5320">
      <colorScale>
        <cfvo type="min"/>
        <cfvo type="percentile" val="50"/>
        <cfvo type="max"/>
        <color rgb="FF63BE7B"/>
        <color rgb="FFFFEB84"/>
        <color rgb="FFF8696B"/>
      </colorScale>
    </cfRule>
    <cfRule type="colorScale" priority="6951">
      <colorScale>
        <cfvo type="min"/>
        <cfvo type="percentile" val="50"/>
        <cfvo type="max"/>
        <color rgb="FF63BE7B"/>
        <color rgb="FFFFEB84"/>
        <color rgb="FFF8696B"/>
      </colorScale>
    </cfRule>
    <cfRule type="colorScale" priority="4327">
      <colorScale>
        <cfvo type="min"/>
        <cfvo type="percentile" val="50"/>
        <cfvo type="max"/>
        <color rgb="FF63BE7B"/>
        <color rgb="FFFFEB84"/>
        <color rgb="FFF8696B"/>
      </colorScale>
    </cfRule>
    <cfRule type="colorScale" priority="4328">
      <colorScale>
        <cfvo type="min"/>
        <cfvo type="percentile" val="50"/>
        <cfvo type="max"/>
        <color rgb="FF63BE7B"/>
        <color rgb="FFFFEB84"/>
        <color rgb="FFF8696B"/>
      </colorScale>
    </cfRule>
  </conditionalFormatting>
  <conditionalFormatting sqref="T54:T61">
    <cfRule type="colorScale" priority="39">
      <colorScale>
        <cfvo type="min"/>
        <cfvo type="percentile" val="50"/>
        <cfvo type="max"/>
        <color rgb="FF63BE7B"/>
        <color rgb="FFFFEB84"/>
        <color rgb="FFF8696B"/>
      </colorScale>
    </cfRule>
  </conditionalFormatting>
  <conditionalFormatting sqref="T65:T80">
    <cfRule type="colorScale" priority="12591">
      <colorScale>
        <cfvo type="min"/>
        <cfvo type="percentile" val="50"/>
        <cfvo type="max"/>
        <color rgb="FF63BE7B"/>
        <color rgb="FFFFEB84"/>
        <color rgb="FFF8696B"/>
      </colorScale>
    </cfRule>
  </conditionalFormatting>
  <conditionalFormatting sqref="T65:T91">
    <cfRule type="colorScale" priority="12609">
      <colorScale>
        <cfvo type="min"/>
        <cfvo type="percentile" val="50"/>
        <cfvo type="max"/>
        <color rgb="FF63BE7B"/>
        <color rgb="FFFFEB84"/>
        <color rgb="FFF8696B"/>
      </colorScale>
    </cfRule>
  </conditionalFormatting>
  <conditionalFormatting sqref="T84:T90">
    <cfRule type="colorScale" priority="12145">
      <colorScale>
        <cfvo type="min"/>
        <cfvo type="percentile" val="50"/>
        <cfvo type="max"/>
        <color rgb="FF63BE7B"/>
        <color rgb="FFFFEB84"/>
        <color rgb="FFF8696B"/>
      </colorScale>
    </cfRule>
    <cfRule type="colorScale" priority="12143">
      <colorScale>
        <cfvo type="min"/>
        <cfvo type="percentile" val="50"/>
        <cfvo type="max"/>
        <color rgb="FF63BE7B"/>
        <color rgb="FFFFEB84"/>
        <color rgb="FFF8696B"/>
      </colorScale>
    </cfRule>
    <cfRule type="colorScale" priority="12146">
      <colorScale>
        <cfvo type="min"/>
        <cfvo type="percentile" val="50"/>
        <cfvo type="max"/>
        <color rgb="FF63BE7B"/>
        <color rgb="FFFFEB84"/>
        <color rgb="FFF8696B"/>
      </colorScale>
    </cfRule>
  </conditionalFormatting>
  <conditionalFormatting sqref="T86">
    <cfRule type="colorScale" priority="12144">
      <colorScale>
        <cfvo type="min"/>
        <cfvo type="percentile" val="50"/>
        <cfvo type="max"/>
        <color rgb="FF63BE7B"/>
        <color rgb="FFFFEB84"/>
        <color rgb="FFF8696B"/>
      </colorScale>
    </cfRule>
  </conditionalFormatting>
  <conditionalFormatting sqref="T96:T111">
    <cfRule type="colorScale" priority="11985">
      <colorScale>
        <cfvo type="min"/>
        <cfvo type="percentile" val="50"/>
        <cfvo type="max"/>
        <color rgb="FF63BE7B"/>
        <color rgb="FFFFEB84"/>
        <color rgb="FFF8696B"/>
      </colorScale>
    </cfRule>
  </conditionalFormatting>
  <conditionalFormatting sqref="T96:T122">
    <cfRule type="colorScale" priority="12003">
      <colorScale>
        <cfvo type="min"/>
        <cfvo type="percentile" val="50"/>
        <cfvo type="max"/>
        <color rgb="FF63BE7B"/>
        <color rgb="FFFFEB84"/>
        <color rgb="FFF8696B"/>
      </colorScale>
    </cfRule>
  </conditionalFormatting>
  <conditionalFormatting sqref="T115:T121">
    <cfRule type="colorScale" priority="11542">
      <colorScale>
        <cfvo type="min"/>
        <cfvo type="percentile" val="50"/>
        <cfvo type="max"/>
        <color rgb="FF63BE7B"/>
        <color rgb="FFFFEB84"/>
        <color rgb="FFF8696B"/>
      </colorScale>
    </cfRule>
    <cfRule type="colorScale" priority="11543">
      <colorScale>
        <cfvo type="min"/>
        <cfvo type="percentile" val="50"/>
        <cfvo type="max"/>
        <color rgb="FF63BE7B"/>
        <color rgb="FFFFEB84"/>
        <color rgb="FFF8696B"/>
      </colorScale>
    </cfRule>
    <cfRule type="colorScale" priority="11540">
      <colorScale>
        <cfvo type="min"/>
        <cfvo type="percentile" val="50"/>
        <cfvo type="max"/>
        <color rgb="FF63BE7B"/>
        <color rgb="FFFFEB84"/>
        <color rgb="FFF8696B"/>
      </colorScale>
    </cfRule>
  </conditionalFormatting>
  <conditionalFormatting sqref="T117">
    <cfRule type="colorScale" priority="11541">
      <colorScale>
        <cfvo type="min"/>
        <cfvo type="percentile" val="50"/>
        <cfvo type="max"/>
        <color rgb="FF63BE7B"/>
        <color rgb="FFFFEB84"/>
        <color rgb="FFF8696B"/>
      </colorScale>
    </cfRule>
  </conditionalFormatting>
  <conditionalFormatting sqref="U35:U37">
    <cfRule type="colorScale" priority="8370">
      <colorScale>
        <cfvo type="min"/>
        <cfvo type="percentile" val="50"/>
        <cfvo type="max"/>
        <color rgb="FF63BE7B"/>
        <color rgb="FFFFEB84"/>
        <color rgb="FFF8696B"/>
      </colorScale>
    </cfRule>
    <cfRule type="colorScale" priority="8357">
      <colorScale>
        <cfvo type="min"/>
        <cfvo type="percentile" val="50"/>
        <cfvo type="max"/>
        <color rgb="FF63BE7B"/>
        <color rgb="FFFFEB84"/>
        <color rgb="FFF8696B"/>
      </colorScale>
    </cfRule>
    <cfRule type="colorScale" priority="8356">
      <colorScale>
        <cfvo type="min"/>
        <cfvo type="percentile" val="50"/>
        <cfvo type="max"/>
        <color rgb="FF63BE7B"/>
        <color rgb="FFFFEB84"/>
        <color rgb="FFF8696B"/>
      </colorScale>
    </cfRule>
    <cfRule type="colorScale" priority="8354">
      <colorScale>
        <cfvo type="min"/>
        <cfvo type="percentile" val="50"/>
        <cfvo type="max"/>
        <color rgb="FF63BE7B"/>
        <color rgb="FFFFEB84"/>
        <color rgb="FFF8696B"/>
      </colorScale>
    </cfRule>
    <cfRule type="colorScale" priority="8353">
      <colorScale>
        <cfvo type="min"/>
        <cfvo type="percentile" val="50"/>
        <cfvo type="max"/>
        <color rgb="FF63BE7B"/>
        <color rgb="FFFFEB84"/>
        <color rgb="FFF8696B"/>
      </colorScale>
    </cfRule>
    <cfRule type="colorScale" priority="11143">
      <colorScale>
        <cfvo type="min"/>
        <cfvo type="percentile" val="50"/>
        <cfvo type="max"/>
        <color rgb="FF63BE7B"/>
        <color rgb="FFFFEB84"/>
        <color rgb="FFF8696B"/>
      </colorScale>
    </cfRule>
    <cfRule type="colorScale" priority="8352">
      <colorScale>
        <cfvo type="min"/>
        <cfvo type="percentile" val="50"/>
        <cfvo type="max"/>
        <color rgb="FF63BE7B"/>
        <color rgb="FFFFEB84"/>
        <color rgb="FFF8696B"/>
      </colorScale>
    </cfRule>
    <cfRule type="colorScale" priority="10049">
      <colorScale>
        <cfvo type="min"/>
        <cfvo type="percentile" val="50"/>
        <cfvo type="max"/>
        <color rgb="FF63BE7B"/>
        <color rgb="FFFFEB84"/>
        <color rgb="FFF8696B"/>
      </colorScale>
    </cfRule>
    <cfRule type="colorScale" priority="8381">
      <colorScale>
        <cfvo type="min"/>
        <cfvo type="percentile" val="50"/>
        <cfvo type="max"/>
        <color rgb="FF63BE7B"/>
        <color rgb="FFFFEB84"/>
        <color rgb="FFF8696B"/>
      </colorScale>
    </cfRule>
    <cfRule type="colorScale" priority="8351">
      <colorScale>
        <cfvo type="min"/>
        <cfvo type="percentile" val="50"/>
        <cfvo type="max"/>
        <color rgb="FF63BE7B"/>
        <color rgb="FFFFEB84"/>
        <color rgb="FFF8696B"/>
      </colorScale>
    </cfRule>
    <cfRule type="colorScale" priority="10057">
      <colorScale>
        <cfvo type="min"/>
        <cfvo type="percentile" val="50"/>
        <cfvo type="max"/>
        <color rgb="FF63BE7B"/>
        <color rgb="FFFFEB84"/>
        <color rgb="FFF8696B"/>
      </colorScale>
    </cfRule>
    <cfRule type="colorScale" priority="10058">
      <colorScale>
        <cfvo type="min"/>
        <cfvo type="percentile" val="50"/>
        <cfvo type="max"/>
        <color rgb="FF63BE7B"/>
        <color rgb="FFFFEB84"/>
        <color rgb="FFF8696B"/>
      </colorScale>
    </cfRule>
    <cfRule type="colorScale" priority="10059">
      <colorScale>
        <cfvo type="min"/>
        <cfvo type="percentile" val="50"/>
        <cfvo type="max"/>
        <color rgb="FF63BE7B"/>
        <color rgb="FFFFEB84"/>
        <color rgb="FFF8696B"/>
      </colorScale>
    </cfRule>
    <cfRule type="colorScale" priority="10060">
      <colorScale>
        <cfvo type="min"/>
        <cfvo type="percentile" val="50"/>
        <cfvo type="max"/>
        <color rgb="FF63BE7B"/>
        <color rgb="FFFFEB84"/>
        <color rgb="FFF8696B"/>
      </colorScale>
    </cfRule>
    <cfRule type="colorScale" priority="8380">
      <colorScale>
        <cfvo type="min"/>
        <cfvo type="percentile" val="50"/>
        <cfvo type="max"/>
        <color rgb="FF63BE7B"/>
        <color rgb="FFFFEB84"/>
        <color rgb="FFF8696B"/>
      </colorScale>
    </cfRule>
    <cfRule type="colorScale" priority="10062">
      <colorScale>
        <cfvo type="min"/>
        <cfvo type="percentile" val="50"/>
        <cfvo type="max"/>
        <color rgb="FF63BE7B"/>
        <color rgb="FFFFEB84"/>
        <color rgb="FFF8696B"/>
      </colorScale>
    </cfRule>
    <cfRule type="colorScale" priority="10063">
      <colorScale>
        <cfvo type="min"/>
        <cfvo type="percentile" val="50"/>
        <cfvo type="max"/>
        <color rgb="FF63BE7B"/>
        <color rgb="FFFFEB84"/>
        <color rgb="FFF8696B"/>
      </colorScale>
    </cfRule>
    <cfRule type="colorScale" priority="8383">
      <colorScale>
        <cfvo type="min"/>
        <cfvo type="percentile" val="50"/>
        <cfvo type="max"/>
        <color rgb="FF63BE7B"/>
        <color rgb="FFFFEB84"/>
        <color rgb="FFF8696B"/>
      </colorScale>
    </cfRule>
    <cfRule type="colorScale" priority="8384">
      <colorScale>
        <cfvo type="min"/>
        <cfvo type="percentile" val="50"/>
        <cfvo type="max"/>
        <color rgb="FF63BE7B"/>
        <color rgb="FFFFEB84"/>
        <color rgb="FFF8696B"/>
      </colorScale>
    </cfRule>
    <cfRule type="colorScale" priority="8379">
      <colorScale>
        <cfvo type="min"/>
        <cfvo type="percentile" val="50"/>
        <cfvo type="max"/>
        <color rgb="FF63BE7B"/>
        <color rgb="FFFFEB84"/>
        <color rgb="FFF8696B"/>
      </colorScale>
    </cfRule>
    <cfRule type="colorScale" priority="8343">
      <colorScale>
        <cfvo type="min"/>
        <cfvo type="percentile" val="50"/>
        <cfvo type="max"/>
        <color rgb="FF63BE7B"/>
        <color rgb="FFFFEB84"/>
        <color rgb="FFF8696B"/>
      </colorScale>
    </cfRule>
    <cfRule type="colorScale" priority="8378">
      <colorScale>
        <cfvo type="min"/>
        <cfvo type="percentile" val="50"/>
        <cfvo type="max"/>
        <color rgb="FF63BE7B"/>
        <color rgb="FFFFEB84"/>
        <color rgb="FFF8696B"/>
      </colorScale>
    </cfRule>
  </conditionalFormatting>
  <conditionalFormatting sqref="U35:U41">
    <cfRule type="colorScale" priority="8362">
      <colorScale>
        <cfvo type="min"/>
        <cfvo type="percentile" val="50"/>
        <cfvo type="max"/>
        <color rgb="FF63BE7B"/>
        <color rgb="FFFFEB84"/>
        <color rgb="FFF8696B"/>
      </colorScale>
    </cfRule>
    <cfRule type="colorScale" priority="8361">
      <colorScale>
        <cfvo type="min"/>
        <cfvo type="percentile" val="50"/>
        <cfvo type="max"/>
        <color rgb="FF63BE7B"/>
        <color rgb="FFFFEB84"/>
        <color rgb="FFF8696B"/>
      </colorScale>
    </cfRule>
    <cfRule type="colorScale" priority="8360">
      <colorScale>
        <cfvo type="min"/>
        <cfvo type="percentile" val="50"/>
        <cfvo type="max"/>
        <color rgb="FF63BE7B"/>
        <color rgb="FFFFEB84"/>
        <color rgb="FFF8696B"/>
      </colorScale>
    </cfRule>
    <cfRule type="colorScale" priority="8359">
      <colorScale>
        <cfvo type="min"/>
        <cfvo type="percentile" val="50"/>
        <cfvo type="max"/>
        <color rgb="FF63BE7B"/>
        <color rgb="FFFFEB84"/>
        <color rgb="FFF8696B"/>
      </colorScale>
    </cfRule>
    <cfRule type="colorScale" priority="8358">
      <colorScale>
        <cfvo type="min"/>
        <cfvo type="percentile" val="50"/>
        <cfvo type="max"/>
        <color rgb="FF63BE7B"/>
        <color rgb="FFFFEB84"/>
        <color rgb="FFF8696B"/>
      </colorScale>
    </cfRule>
    <cfRule type="colorScale" priority="8350">
      <colorScale>
        <cfvo type="min"/>
        <cfvo type="percentile" val="50"/>
        <cfvo type="max"/>
        <color rgb="FF63BE7B"/>
        <color rgb="FFFFEB84"/>
        <color rgb="FFF8696B"/>
      </colorScale>
    </cfRule>
    <cfRule type="colorScale" priority="8348">
      <colorScale>
        <cfvo type="min"/>
        <cfvo type="percentile" val="50"/>
        <cfvo type="max"/>
        <color rgb="FF63BE7B"/>
        <color rgb="FFFFEB84"/>
        <color rgb="FFF8696B"/>
      </colorScale>
    </cfRule>
    <cfRule type="colorScale" priority="8347">
      <colorScale>
        <cfvo type="min"/>
        <cfvo type="percentile" val="50"/>
        <cfvo type="max"/>
        <color rgb="FF63BE7B"/>
        <color rgb="FFFFEB84"/>
        <color rgb="FFF8696B"/>
      </colorScale>
    </cfRule>
    <cfRule type="colorScale" priority="8346">
      <colorScale>
        <cfvo type="min"/>
        <cfvo type="percentile" val="50"/>
        <cfvo type="max"/>
        <color rgb="FF63BE7B"/>
        <color rgb="FFFFEB84"/>
        <color rgb="FFF8696B"/>
      </colorScale>
    </cfRule>
    <cfRule type="colorScale" priority="8345">
      <colorScale>
        <cfvo type="min"/>
        <cfvo type="percentile" val="50"/>
        <cfvo type="max"/>
        <color rgb="FF63BE7B"/>
        <color rgb="FFFFEB84"/>
        <color rgb="FFF8696B"/>
      </colorScale>
    </cfRule>
    <cfRule type="colorScale" priority="8344">
      <colorScale>
        <cfvo type="min"/>
        <cfvo type="percentile" val="50"/>
        <cfvo type="max"/>
        <color rgb="FF63BE7B"/>
        <color rgb="FFFFEB84"/>
        <color rgb="FFF8696B"/>
      </colorScale>
    </cfRule>
    <cfRule type="colorScale" priority="8342">
      <colorScale>
        <cfvo type="min"/>
        <cfvo type="percentile" val="50"/>
        <cfvo type="max"/>
        <color rgb="FF63BE7B"/>
        <color rgb="FFFFEB84"/>
        <color rgb="FFF8696B"/>
      </colorScale>
    </cfRule>
    <cfRule type="colorScale" priority="8341">
      <colorScale>
        <cfvo type="min"/>
        <cfvo type="percentile" val="50"/>
        <cfvo type="max"/>
        <color rgb="FF63BE7B"/>
        <color rgb="FFFFEB84"/>
        <color rgb="FFF8696B"/>
      </colorScale>
    </cfRule>
    <cfRule type="colorScale" priority="8349">
      <colorScale>
        <cfvo type="min"/>
        <cfvo type="percentile" val="50"/>
        <cfvo type="max"/>
        <color rgb="FF63BE7B"/>
        <color rgb="FFFFEB84"/>
        <color rgb="FFF8696B"/>
      </colorScale>
    </cfRule>
    <cfRule type="colorScale" priority="11141">
      <colorScale>
        <cfvo type="min"/>
        <cfvo type="percentile" val="50"/>
        <cfvo type="max"/>
        <color rgb="FF63BE7B"/>
        <color rgb="FFFFEB84"/>
        <color rgb="FFF8696B"/>
      </colorScale>
    </cfRule>
    <cfRule type="colorScale" priority="11142">
      <colorScale>
        <cfvo type="min"/>
        <cfvo type="percentile" val="50"/>
        <cfvo type="max"/>
        <color rgb="FF63BE7B"/>
        <color rgb="FFFFEB84"/>
        <color rgb="FFF8696B"/>
      </colorScale>
    </cfRule>
    <cfRule type="colorScale" priority="10073">
      <colorScale>
        <cfvo type="min"/>
        <cfvo type="percentile" val="50"/>
        <cfvo type="max"/>
        <color rgb="FF63BE7B"/>
        <color rgb="FFFFEB84"/>
        <color rgb="FFF8696B"/>
      </colorScale>
    </cfRule>
    <cfRule type="colorScale" priority="10072">
      <colorScale>
        <cfvo type="min"/>
        <cfvo type="percentile" val="50"/>
        <cfvo type="max"/>
        <color rgb="FF63BE7B"/>
        <color rgb="FFFFEB84"/>
        <color rgb="FFF8696B"/>
      </colorScale>
    </cfRule>
    <cfRule type="colorScale" priority="10070">
      <colorScale>
        <cfvo type="min"/>
        <cfvo type="percentile" val="50"/>
        <cfvo type="max"/>
        <color rgb="FF63BE7B"/>
        <color rgb="FFFFEB84"/>
        <color rgb="FFF8696B"/>
      </colorScale>
    </cfRule>
    <cfRule type="colorScale" priority="10069">
      <colorScale>
        <cfvo type="min"/>
        <cfvo type="percentile" val="50"/>
        <cfvo type="max"/>
        <color rgb="FF63BE7B"/>
        <color rgb="FFFFEB84"/>
        <color rgb="FFF8696B"/>
      </colorScale>
    </cfRule>
    <cfRule type="colorScale" priority="10068">
      <colorScale>
        <cfvo type="min"/>
        <cfvo type="percentile" val="50"/>
        <cfvo type="max"/>
        <color rgb="FF63BE7B"/>
        <color rgb="FFFFEB84"/>
        <color rgb="FFF8696B"/>
      </colorScale>
    </cfRule>
    <cfRule type="colorScale" priority="10067">
      <colorScale>
        <cfvo type="min"/>
        <cfvo type="percentile" val="50"/>
        <cfvo type="max"/>
        <color rgb="FF63BE7B"/>
        <color rgb="FFFFEB84"/>
        <color rgb="FFF8696B"/>
      </colorScale>
    </cfRule>
    <cfRule type="colorScale" priority="10066">
      <colorScale>
        <cfvo type="min"/>
        <cfvo type="percentile" val="50"/>
        <cfvo type="max"/>
        <color rgb="FF63BE7B"/>
        <color rgb="FFFFEB84"/>
        <color rgb="FFF8696B"/>
      </colorScale>
    </cfRule>
    <cfRule type="colorScale" priority="10065">
      <colorScale>
        <cfvo type="min"/>
        <cfvo type="percentile" val="50"/>
        <cfvo type="max"/>
        <color rgb="FF63BE7B"/>
        <color rgb="FFFFEB84"/>
        <color rgb="FFF8696B"/>
      </colorScale>
    </cfRule>
    <cfRule type="colorScale" priority="10064">
      <colorScale>
        <cfvo type="min"/>
        <cfvo type="percentile" val="50"/>
        <cfvo type="max"/>
        <color rgb="FF63BE7B"/>
        <color rgb="FFFFEB84"/>
        <color rgb="FFF8696B"/>
      </colorScale>
    </cfRule>
    <cfRule type="colorScale" priority="10056">
      <colorScale>
        <cfvo type="min"/>
        <cfvo type="percentile" val="50"/>
        <cfvo type="max"/>
        <color rgb="FF63BE7B"/>
        <color rgb="FFFFEB84"/>
        <color rgb="FFF8696B"/>
      </colorScale>
    </cfRule>
    <cfRule type="colorScale" priority="10055">
      <colorScale>
        <cfvo type="min"/>
        <cfvo type="percentile" val="50"/>
        <cfvo type="max"/>
        <color rgb="FF63BE7B"/>
        <color rgb="FFFFEB84"/>
        <color rgb="FFF8696B"/>
      </colorScale>
    </cfRule>
    <cfRule type="colorScale" priority="10054">
      <colorScale>
        <cfvo type="min"/>
        <cfvo type="percentile" val="50"/>
        <cfvo type="max"/>
        <color rgb="FF63BE7B"/>
        <color rgb="FFFFEB84"/>
        <color rgb="FFF8696B"/>
      </colorScale>
    </cfRule>
    <cfRule type="colorScale" priority="10053">
      <colorScale>
        <cfvo type="min"/>
        <cfvo type="percentile" val="50"/>
        <cfvo type="max"/>
        <color rgb="FF63BE7B"/>
        <color rgb="FFFFEB84"/>
        <color rgb="FFF8696B"/>
      </colorScale>
    </cfRule>
    <cfRule type="colorScale" priority="10052">
      <colorScale>
        <cfvo type="min"/>
        <cfvo type="percentile" val="50"/>
        <cfvo type="max"/>
        <color rgb="FF63BE7B"/>
        <color rgb="FFFFEB84"/>
        <color rgb="FFF8696B"/>
      </colorScale>
    </cfRule>
    <cfRule type="colorScale" priority="10051">
      <colorScale>
        <cfvo type="min"/>
        <cfvo type="percentile" val="50"/>
        <cfvo type="max"/>
        <color rgb="FF63BE7B"/>
        <color rgb="FFFFEB84"/>
        <color rgb="FFF8696B"/>
      </colorScale>
    </cfRule>
    <cfRule type="colorScale" priority="10050">
      <colorScale>
        <cfvo type="min"/>
        <cfvo type="percentile" val="50"/>
        <cfvo type="max"/>
        <color rgb="FF63BE7B"/>
        <color rgb="FFFFEB84"/>
        <color rgb="FFF8696B"/>
      </colorScale>
    </cfRule>
    <cfRule type="colorScale" priority="10048">
      <colorScale>
        <cfvo type="min"/>
        <cfvo type="percentile" val="50"/>
        <cfvo type="max"/>
        <color rgb="FF63BE7B"/>
        <color rgb="FFFFEB84"/>
        <color rgb="FFF8696B"/>
      </colorScale>
    </cfRule>
    <cfRule type="colorScale" priority="10047">
      <colorScale>
        <cfvo type="min"/>
        <cfvo type="percentile" val="50"/>
        <cfvo type="max"/>
        <color rgb="FF63BE7B"/>
        <color rgb="FFFFEB84"/>
        <color rgb="FFF8696B"/>
      </colorScale>
    </cfRule>
    <cfRule type="colorScale" priority="13147">
      <colorScale>
        <cfvo type="min"/>
        <cfvo type="percentile" val="50"/>
        <cfvo type="max"/>
        <color rgb="FF63BE7B"/>
        <color rgb="FFFFEB84"/>
        <color rgb="FFF8696B"/>
      </colorScale>
    </cfRule>
    <cfRule type="colorScale" priority="13148">
      <colorScale>
        <cfvo type="min"/>
        <cfvo type="percentile" val="50"/>
        <cfvo type="max"/>
        <color rgb="FF63BE7B"/>
        <color rgb="FFFFEB84"/>
        <color rgb="FFF8696B"/>
      </colorScale>
    </cfRule>
    <cfRule type="colorScale" priority="13149">
      <colorScale>
        <cfvo type="min"/>
        <cfvo type="percentile" val="50"/>
        <cfvo type="max"/>
        <color rgb="FF63BE7B"/>
        <color rgb="FFFFEB84"/>
        <color rgb="FFF8696B"/>
      </colorScale>
    </cfRule>
    <cfRule type="colorScale" priority="8394">
      <colorScale>
        <cfvo type="min"/>
        <cfvo type="percentile" val="50"/>
        <cfvo type="max"/>
        <color rgb="FF63BE7B"/>
        <color rgb="FFFFEB84"/>
        <color rgb="FFF8696B"/>
      </colorScale>
    </cfRule>
    <cfRule type="colorScale" priority="8393">
      <colorScale>
        <cfvo type="min"/>
        <cfvo type="percentile" val="50"/>
        <cfvo type="max"/>
        <color rgb="FF63BE7B"/>
        <color rgb="FFFFEB84"/>
        <color rgb="FFF8696B"/>
      </colorScale>
    </cfRule>
    <cfRule type="colorScale" priority="8391">
      <colorScale>
        <cfvo type="min"/>
        <cfvo type="percentile" val="50"/>
        <cfvo type="max"/>
        <color rgb="FF63BE7B"/>
        <color rgb="FFFFEB84"/>
        <color rgb="FFF8696B"/>
      </colorScale>
    </cfRule>
    <cfRule type="colorScale" priority="8390">
      <colorScale>
        <cfvo type="min"/>
        <cfvo type="percentile" val="50"/>
        <cfvo type="max"/>
        <color rgb="FF63BE7B"/>
        <color rgb="FFFFEB84"/>
        <color rgb="FFF8696B"/>
      </colorScale>
    </cfRule>
    <cfRule type="colorScale" priority="8389">
      <colorScale>
        <cfvo type="min"/>
        <cfvo type="percentile" val="50"/>
        <cfvo type="max"/>
        <color rgb="FF63BE7B"/>
        <color rgb="FFFFEB84"/>
        <color rgb="FFF8696B"/>
      </colorScale>
    </cfRule>
    <cfRule type="colorScale" priority="8388">
      <colorScale>
        <cfvo type="min"/>
        <cfvo type="percentile" val="50"/>
        <cfvo type="max"/>
        <color rgb="FF63BE7B"/>
        <color rgb="FFFFEB84"/>
        <color rgb="FFF8696B"/>
      </colorScale>
    </cfRule>
    <cfRule type="colorScale" priority="8387">
      <colorScale>
        <cfvo type="min"/>
        <cfvo type="percentile" val="50"/>
        <cfvo type="max"/>
        <color rgb="FF63BE7B"/>
        <color rgb="FFFFEB84"/>
        <color rgb="FFF8696B"/>
      </colorScale>
    </cfRule>
    <cfRule type="colorScale" priority="8386">
      <colorScale>
        <cfvo type="min"/>
        <cfvo type="percentile" val="50"/>
        <cfvo type="max"/>
        <color rgb="FF63BE7B"/>
        <color rgb="FFFFEB84"/>
        <color rgb="FFF8696B"/>
      </colorScale>
    </cfRule>
    <cfRule type="colorScale" priority="8385">
      <colorScale>
        <cfvo type="min"/>
        <cfvo type="percentile" val="50"/>
        <cfvo type="max"/>
        <color rgb="FF63BE7B"/>
        <color rgb="FFFFEB84"/>
        <color rgb="FFF8696B"/>
      </colorScale>
    </cfRule>
    <cfRule type="colorScale" priority="8377">
      <colorScale>
        <cfvo type="min"/>
        <cfvo type="percentile" val="50"/>
        <cfvo type="max"/>
        <color rgb="FF63BE7B"/>
        <color rgb="FFFFEB84"/>
        <color rgb="FFF8696B"/>
      </colorScale>
    </cfRule>
    <cfRule type="colorScale" priority="8376">
      <colorScale>
        <cfvo type="min"/>
        <cfvo type="percentile" val="50"/>
        <cfvo type="max"/>
        <color rgb="FF63BE7B"/>
        <color rgb="FFFFEB84"/>
        <color rgb="FFF8696B"/>
      </colorScale>
    </cfRule>
    <cfRule type="colorScale" priority="8375">
      <colorScale>
        <cfvo type="min"/>
        <cfvo type="percentile" val="50"/>
        <cfvo type="max"/>
        <color rgb="FF63BE7B"/>
        <color rgb="FFFFEB84"/>
        <color rgb="FFF8696B"/>
      </colorScale>
    </cfRule>
    <cfRule type="colorScale" priority="8374">
      <colorScale>
        <cfvo type="min"/>
        <cfvo type="percentile" val="50"/>
        <cfvo type="max"/>
        <color rgb="FF63BE7B"/>
        <color rgb="FFFFEB84"/>
        <color rgb="FFF8696B"/>
      </colorScale>
    </cfRule>
    <cfRule type="colorScale" priority="8373">
      <colorScale>
        <cfvo type="min"/>
        <cfvo type="percentile" val="50"/>
        <cfvo type="max"/>
        <color rgb="FF63BE7B"/>
        <color rgb="FFFFEB84"/>
        <color rgb="FFF8696B"/>
      </colorScale>
    </cfRule>
    <cfRule type="colorScale" priority="8372">
      <colorScale>
        <cfvo type="min"/>
        <cfvo type="percentile" val="50"/>
        <cfvo type="max"/>
        <color rgb="FF63BE7B"/>
        <color rgb="FFFFEB84"/>
        <color rgb="FFF8696B"/>
      </colorScale>
    </cfRule>
    <cfRule type="colorScale" priority="8371">
      <colorScale>
        <cfvo type="min"/>
        <cfvo type="percentile" val="50"/>
        <cfvo type="max"/>
        <color rgb="FF63BE7B"/>
        <color rgb="FFFFEB84"/>
        <color rgb="FFF8696B"/>
      </colorScale>
    </cfRule>
    <cfRule type="colorScale" priority="8369">
      <colorScale>
        <cfvo type="min"/>
        <cfvo type="percentile" val="50"/>
        <cfvo type="max"/>
        <color rgb="FF63BE7B"/>
        <color rgb="FFFFEB84"/>
        <color rgb="FFF8696B"/>
      </colorScale>
    </cfRule>
    <cfRule type="colorScale" priority="8368">
      <colorScale>
        <cfvo type="min"/>
        <cfvo type="percentile" val="50"/>
        <cfvo type="max"/>
        <color rgb="FF63BE7B"/>
        <color rgb="FFFFEB84"/>
        <color rgb="FFF8696B"/>
      </colorScale>
    </cfRule>
    <cfRule type="colorScale" priority="8367">
      <colorScale>
        <cfvo type="min"/>
        <cfvo type="percentile" val="50"/>
        <cfvo type="max"/>
        <color rgb="FF63BE7B"/>
        <color rgb="FFFFEB84"/>
        <color rgb="FFF8696B"/>
      </colorScale>
    </cfRule>
    <cfRule type="colorScale" priority="8366">
      <colorScale>
        <cfvo type="min"/>
        <cfvo type="percentile" val="50"/>
        <cfvo type="max"/>
        <color rgb="FF63BE7B"/>
        <color rgb="FFFFEB84"/>
        <color rgb="FFF8696B"/>
      </colorScale>
    </cfRule>
    <cfRule type="colorScale" priority="8364">
      <colorScale>
        <cfvo type="min"/>
        <cfvo type="percentile" val="50"/>
        <cfvo type="max"/>
        <color rgb="FF63BE7B"/>
        <color rgb="FFFFEB84"/>
        <color rgb="FFF8696B"/>
      </colorScale>
    </cfRule>
    <cfRule type="colorScale" priority="8363">
      <colorScale>
        <cfvo type="min"/>
        <cfvo type="percentile" val="50"/>
        <cfvo type="max"/>
        <color rgb="FF63BE7B"/>
        <color rgb="FFFFEB84"/>
        <color rgb="FFF8696B"/>
      </colorScale>
    </cfRule>
  </conditionalFormatting>
  <conditionalFormatting sqref="U35:U50">
    <cfRule type="colorScale" priority="13207">
      <colorScale>
        <cfvo type="min"/>
        <cfvo type="percentile" val="50"/>
        <cfvo type="max"/>
        <color rgb="FF63BE7B"/>
        <color rgb="FFFFEB84"/>
        <color rgb="FFF8696B"/>
      </colorScale>
    </cfRule>
  </conditionalFormatting>
  <conditionalFormatting sqref="U35:U53">
    <cfRule type="colorScale" priority="13225">
      <colorScale>
        <cfvo type="min"/>
        <cfvo type="percentile" val="50"/>
        <cfvo type="max"/>
        <color rgb="FF63BE7B"/>
        <color rgb="FFFFEB84"/>
        <color rgb="FFF8696B"/>
      </colorScale>
    </cfRule>
  </conditionalFormatting>
  <conditionalFormatting sqref="U36:U37">
    <cfRule type="colorScale" priority="8382">
      <colorScale>
        <cfvo type="min"/>
        <cfvo type="percentile" val="50"/>
        <cfvo type="max"/>
        <color rgb="FF63BE7B"/>
        <color rgb="FFFFEB84"/>
        <color rgb="FFF8696B"/>
      </colorScale>
    </cfRule>
    <cfRule type="colorScale" priority="10061">
      <colorScale>
        <cfvo type="min"/>
        <cfvo type="percentile" val="50"/>
        <cfvo type="max"/>
        <color rgb="FF63BE7B"/>
        <color rgb="FFFFEB84"/>
        <color rgb="FFF8696B"/>
      </colorScale>
    </cfRule>
    <cfRule type="colorScale" priority="8355">
      <colorScale>
        <cfvo type="min"/>
        <cfvo type="percentile" val="50"/>
        <cfvo type="max"/>
        <color rgb="FF63BE7B"/>
        <color rgb="FFFFEB84"/>
        <color rgb="FFF8696B"/>
      </colorScale>
    </cfRule>
  </conditionalFormatting>
  <conditionalFormatting sqref="U36:U41">
    <cfRule type="colorScale" priority="8365">
      <colorScale>
        <cfvo type="min"/>
        <cfvo type="percentile" val="50"/>
        <cfvo type="max"/>
        <color rgb="FF63BE7B"/>
        <color rgb="FFFFEB84"/>
        <color rgb="FFF8696B"/>
      </colorScale>
    </cfRule>
    <cfRule type="colorScale" priority="8392">
      <colorScale>
        <cfvo type="min"/>
        <cfvo type="percentile" val="50"/>
        <cfvo type="max"/>
        <color rgb="FF63BE7B"/>
        <color rgb="FFFFEB84"/>
        <color rgb="FFF8696B"/>
      </colorScale>
    </cfRule>
    <cfRule type="colorScale" priority="10071">
      <colorScale>
        <cfvo type="min"/>
        <cfvo type="percentile" val="50"/>
        <cfvo type="max"/>
        <color rgb="FF63BE7B"/>
        <color rgb="FFFFEB84"/>
        <color rgb="FFF8696B"/>
      </colorScale>
    </cfRule>
    <cfRule type="colorScale" priority="13150">
      <colorScale>
        <cfvo type="min"/>
        <cfvo type="percentile" val="50"/>
        <cfvo type="max"/>
        <color rgb="FF63BE7B"/>
        <color rgb="FFFFEB84"/>
        <color rgb="FFF8696B"/>
      </colorScale>
    </cfRule>
  </conditionalFormatting>
  <conditionalFormatting sqref="U42:U50">
    <cfRule type="colorScale" priority="7455">
      <colorScale>
        <cfvo type="min"/>
        <cfvo type="percentile" val="50"/>
        <cfvo type="max"/>
        <color rgb="FF63BE7B"/>
        <color rgb="FFFFEB84"/>
        <color rgb="FFF8696B"/>
      </colorScale>
    </cfRule>
    <cfRule type="colorScale" priority="13029">
      <colorScale>
        <cfvo type="min"/>
        <cfvo type="percentile" val="50"/>
        <cfvo type="max"/>
        <color rgb="FF63BE7B"/>
        <color rgb="FFFFEB84"/>
        <color rgb="FFF8696B"/>
      </colorScale>
    </cfRule>
    <cfRule type="colorScale" priority="13028">
      <colorScale>
        <cfvo type="min"/>
        <cfvo type="percentile" val="50"/>
        <cfvo type="max"/>
        <color rgb="FF63BE7B"/>
        <color rgb="FFFFEB84"/>
        <color rgb="FFF8696B"/>
      </colorScale>
    </cfRule>
    <cfRule type="colorScale" priority="13027">
      <colorScale>
        <cfvo type="min"/>
        <cfvo type="percentile" val="50"/>
        <cfvo type="max"/>
        <color rgb="FF63BE7B"/>
        <color rgb="FFFFEB84"/>
        <color rgb="FFF8696B"/>
      </colorScale>
    </cfRule>
    <cfRule type="colorScale" priority="13026">
      <colorScale>
        <cfvo type="min"/>
        <cfvo type="percentile" val="50"/>
        <cfvo type="max"/>
        <color rgb="FF63BE7B"/>
        <color rgb="FFFFEB84"/>
        <color rgb="FFF8696B"/>
      </colorScale>
    </cfRule>
  </conditionalFormatting>
  <conditionalFormatting sqref="U51:U53">
    <cfRule type="colorScale" priority="12914">
      <colorScale>
        <cfvo type="min"/>
        <cfvo type="percentile" val="50"/>
        <cfvo type="max"/>
        <color rgb="FF63BE7B"/>
        <color rgb="FFFFEB84"/>
        <color rgb="FFF8696B"/>
      </colorScale>
    </cfRule>
    <cfRule type="colorScale" priority="12913">
      <colorScale>
        <cfvo type="min"/>
        <cfvo type="percentile" val="50"/>
        <cfvo type="max"/>
        <color rgb="FF63BE7B"/>
        <color rgb="FFFFEB84"/>
        <color rgb="FFF8696B"/>
      </colorScale>
    </cfRule>
    <cfRule type="colorScale" priority="4304">
      <colorScale>
        <cfvo type="min"/>
        <cfvo type="percentile" val="50"/>
        <cfvo type="max"/>
        <color rgb="FF63BE7B"/>
        <color rgb="FFFFEB84"/>
        <color rgb="FFF8696B"/>
      </colorScale>
    </cfRule>
    <cfRule type="colorScale" priority="12915">
      <colorScale>
        <cfvo type="min"/>
        <cfvo type="percentile" val="50"/>
        <cfvo type="max"/>
        <color rgb="FF63BE7B"/>
        <color rgb="FFFFEB84"/>
        <color rgb="FFF8696B"/>
      </colorScale>
    </cfRule>
  </conditionalFormatting>
  <conditionalFormatting sqref="U52:U53">
    <cfRule type="colorScale" priority="5300">
      <colorScale>
        <cfvo type="min"/>
        <cfvo type="percentile" val="50"/>
        <cfvo type="max"/>
        <color rgb="FF63BE7B"/>
        <color rgb="FFFFEB84"/>
        <color rgb="FFF8696B"/>
      </colorScale>
    </cfRule>
    <cfRule type="colorScale" priority="5299">
      <colorScale>
        <cfvo type="min"/>
        <cfvo type="percentile" val="50"/>
        <cfvo type="max"/>
        <color rgb="FF63BE7B"/>
        <color rgb="FFFFEB84"/>
        <color rgb="FFF8696B"/>
      </colorScale>
    </cfRule>
    <cfRule type="colorScale" priority="5298">
      <colorScale>
        <cfvo type="min"/>
        <cfvo type="percentile" val="50"/>
        <cfvo type="max"/>
        <color rgb="FF63BE7B"/>
        <color rgb="FFFFEB84"/>
        <color rgb="FFF8696B"/>
      </colorScale>
    </cfRule>
    <cfRule type="colorScale" priority="5297">
      <colorScale>
        <cfvo type="min"/>
        <cfvo type="percentile" val="50"/>
        <cfvo type="max"/>
        <color rgb="FF63BE7B"/>
        <color rgb="FFFFEB84"/>
        <color rgb="FFF8696B"/>
      </colorScale>
    </cfRule>
    <cfRule type="colorScale" priority="5296">
      <colorScale>
        <cfvo type="min"/>
        <cfvo type="percentile" val="50"/>
        <cfvo type="max"/>
        <color rgb="FF63BE7B"/>
        <color rgb="FFFFEB84"/>
        <color rgb="FFF8696B"/>
      </colorScale>
    </cfRule>
    <cfRule type="colorScale" priority="5295">
      <colorScale>
        <cfvo type="min"/>
        <cfvo type="percentile" val="50"/>
        <cfvo type="max"/>
        <color rgb="FF63BE7B"/>
        <color rgb="FFFFEB84"/>
        <color rgb="FFF8696B"/>
      </colorScale>
    </cfRule>
    <cfRule type="colorScale" priority="5294">
      <colorScale>
        <cfvo type="min"/>
        <cfvo type="percentile" val="50"/>
        <cfvo type="max"/>
        <color rgb="FF63BE7B"/>
        <color rgb="FFFFEB84"/>
        <color rgb="FFF8696B"/>
      </colorScale>
    </cfRule>
    <cfRule type="colorScale" priority="6196">
      <colorScale>
        <cfvo type="min"/>
        <cfvo type="percentile" val="50"/>
        <cfvo type="max"/>
        <color rgb="FF63BE7B"/>
        <color rgb="FFFFEB84"/>
        <color rgb="FFF8696B"/>
      </colorScale>
    </cfRule>
    <cfRule type="colorScale" priority="6195">
      <colorScale>
        <cfvo type="min"/>
        <cfvo type="percentile" val="50"/>
        <cfvo type="max"/>
        <color rgb="FF63BE7B"/>
        <color rgb="FFFFEB84"/>
        <color rgb="FFF8696B"/>
      </colorScale>
    </cfRule>
    <cfRule type="colorScale" priority="6194">
      <colorScale>
        <cfvo type="min"/>
        <cfvo type="percentile" val="50"/>
        <cfvo type="max"/>
        <color rgb="FF63BE7B"/>
        <color rgb="FFFFEB84"/>
        <color rgb="FFF8696B"/>
      </colorScale>
    </cfRule>
    <cfRule type="colorScale" priority="6193">
      <colorScale>
        <cfvo type="min"/>
        <cfvo type="percentile" val="50"/>
        <cfvo type="max"/>
        <color rgb="FF63BE7B"/>
        <color rgb="FFFFEB84"/>
        <color rgb="FFF8696B"/>
      </colorScale>
    </cfRule>
    <cfRule type="colorScale" priority="6192">
      <colorScale>
        <cfvo type="min"/>
        <cfvo type="percentile" val="50"/>
        <cfvo type="max"/>
        <color rgb="FF63BE7B"/>
        <color rgb="FFFFEB84"/>
        <color rgb="FFF8696B"/>
      </colorScale>
    </cfRule>
    <cfRule type="colorScale" priority="6191">
      <colorScale>
        <cfvo type="min"/>
        <cfvo type="percentile" val="50"/>
        <cfvo type="max"/>
        <color rgb="FF63BE7B"/>
        <color rgb="FFFFEB84"/>
        <color rgb="FFF8696B"/>
      </colorScale>
    </cfRule>
    <cfRule type="colorScale" priority="6190">
      <colorScale>
        <cfvo type="min"/>
        <cfvo type="percentile" val="50"/>
        <cfvo type="max"/>
        <color rgb="FF63BE7B"/>
        <color rgb="FFFFEB84"/>
        <color rgb="FFF8696B"/>
      </colorScale>
    </cfRule>
    <cfRule type="colorScale" priority="6189">
      <colorScale>
        <cfvo type="min"/>
        <cfvo type="percentile" val="50"/>
        <cfvo type="max"/>
        <color rgb="FF63BE7B"/>
        <color rgb="FFFFEB84"/>
        <color rgb="FFF8696B"/>
      </colorScale>
    </cfRule>
    <cfRule type="colorScale" priority="6188">
      <colorScale>
        <cfvo type="min"/>
        <cfvo type="percentile" val="50"/>
        <cfvo type="max"/>
        <color rgb="FF63BE7B"/>
        <color rgb="FFFFEB84"/>
        <color rgb="FFF8696B"/>
      </colorScale>
    </cfRule>
    <cfRule type="colorScale" priority="6187">
      <colorScale>
        <cfvo type="min"/>
        <cfvo type="percentile" val="50"/>
        <cfvo type="max"/>
        <color rgb="FF63BE7B"/>
        <color rgb="FFFFEB84"/>
        <color rgb="FFF8696B"/>
      </colorScale>
    </cfRule>
    <cfRule type="colorScale" priority="6186">
      <colorScale>
        <cfvo type="min"/>
        <cfvo type="percentile" val="50"/>
        <cfvo type="max"/>
        <color rgb="FF63BE7B"/>
        <color rgb="FFFFEB84"/>
        <color rgb="FFF8696B"/>
      </colorScale>
    </cfRule>
    <cfRule type="colorScale" priority="6185">
      <colorScale>
        <cfvo type="min"/>
        <cfvo type="percentile" val="50"/>
        <cfvo type="max"/>
        <color rgb="FF63BE7B"/>
        <color rgb="FFFFEB84"/>
        <color rgb="FFF8696B"/>
      </colorScale>
    </cfRule>
    <cfRule type="colorScale" priority="6184">
      <colorScale>
        <cfvo type="min"/>
        <cfvo type="percentile" val="50"/>
        <cfvo type="max"/>
        <color rgb="FF63BE7B"/>
        <color rgb="FFFFEB84"/>
        <color rgb="FFF8696B"/>
      </colorScale>
    </cfRule>
    <cfRule type="colorScale" priority="6183">
      <colorScale>
        <cfvo type="min"/>
        <cfvo type="percentile" val="50"/>
        <cfvo type="max"/>
        <color rgb="FF63BE7B"/>
        <color rgb="FFFFEB84"/>
        <color rgb="FFF8696B"/>
      </colorScale>
    </cfRule>
    <cfRule type="colorScale" priority="6182">
      <colorScale>
        <cfvo type="min"/>
        <cfvo type="percentile" val="50"/>
        <cfvo type="max"/>
        <color rgb="FF63BE7B"/>
        <color rgb="FFFFEB84"/>
        <color rgb="FFF8696B"/>
      </colorScale>
    </cfRule>
    <cfRule type="colorScale" priority="6181">
      <colorScale>
        <cfvo type="min"/>
        <cfvo type="percentile" val="50"/>
        <cfvo type="max"/>
        <color rgb="FF63BE7B"/>
        <color rgb="FFFFEB84"/>
        <color rgb="FFF8696B"/>
      </colorScale>
    </cfRule>
    <cfRule type="colorScale" priority="6180">
      <colorScale>
        <cfvo type="min"/>
        <cfvo type="percentile" val="50"/>
        <cfvo type="max"/>
        <color rgb="FF63BE7B"/>
        <color rgb="FFFFEB84"/>
        <color rgb="FFF8696B"/>
      </colorScale>
    </cfRule>
    <cfRule type="colorScale" priority="6179">
      <colorScale>
        <cfvo type="min"/>
        <cfvo type="percentile" val="50"/>
        <cfvo type="max"/>
        <color rgb="FF63BE7B"/>
        <color rgb="FFFFEB84"/>
        <color rgb="FFF8696B"/>
      </colorScale>
    </cfRule>
    <cfRule type="colorScale" priority="6178">
      <colorScale>
        <cfvo type="min"/>
        <cfvo type="percentile" val="50"/>
        <cfvo type="max"/>
        <color rgb="FF63BE7B"/>
        <color rgb="FFFFEB84"/>
        <color rgb="FFF8696B"/>
      </colorScale>
    </cfRule>
    <cfRule type="colorScale" priority="5271">
      <colorScale>
        <cfvo type="min"/>
        <cfvo type="percentile" val="50"/>
        <cfvo type="max"/>
        <color rgb="FF63BE7B"/>
        <color rgb="FFFFEB84"/>
        <color rgb="FFF8696B"/>
      </colorScale>
    </cfRule>
    <cfRule type="colorScale" priority="7204">
      <colorScale>
        <cfvo type="min"/>
        <cfvo type="percentile" val="50"/>
        <cfvo type="max"/>
        <color rgb="FF63BE7B"/>
        <color rgb="FFFFEB84"/>
        <color rgb="FFF8696B"/>
      </colorScale>
    </cfRule>
    <cfRule type="colorScale" priority="5289">
      <colorScale>
        <cfvo type="min"/>
        <cfvo type="percentile" val="50"/>
        <cfvo type="max"/>
        <color rgb="FF63BE7B"/>
        <color rgb="FFFFEB84"/>
        <color rgb="FFF8696B"/>
      </colorScale>
    </cfRule>
    <cfRule type="colorScale" priority="5288">
      <colorScale>
        <cfvo type="min"/>
        <cfvo type="percentile" val="50"/>
        <cfvo type="max"/>
        <color rgb="FF63BE7B"/>
        <color rgb="FFFFEB84"/>
        <color rgb="FFF8696B"/>
      </colorScale>
    </cfRule>
    <cfRule type="colorScale" priority="5287">
      <colorScale>
        <cfvo type="min"/>
        <cfvo type="percentile" val="50"/>
        <cfvo type="max"/>
        <color rgb="FF63BE7B"/>
        <color rgb="FFFFEB84"/>
        <color rgb="FFF8696B"/>
      </colorScale>
    </cfRule>
    <cfRule type="colorScale" priority="5286">
      <colorScale>
        <cfvo type="min"/>
        <cfvo type="percentile" val="50"/>
        <cfvo type="max"/>
        <color rgb="FF63BE7B"/>
        <color rgb="FFFFEB84"/>
        <color rgb="FFF8696B"/>
      </colorScale>
    </cfRule>
    <cfRule type="colorScale" priority="5285">
      <colorScale>
        <cfvo type="min"/>
        <cfvo type="percentile" val="50"/>
        <cfvo type="max"/>
        <color rgb="FF63BE7B"/>
        <color rgb="FFFFEB84"/>
        <color rgb="FFF8696B"/>
      </colorScale>
    </cfRule>
    <cfRule type="colorScale" priority="5284">
      <colorScale>
        <cfvo type="min"/>
        <cfvo type="percentile" val="50"/>
        <cfvo type="max"/>
        <color rgb="FF63BE7B"/>
        <color rgb="FFFFEB84"/>
        <color rgb="FFF8696B"/>
      </colorScale>
    </cfRule>
    <cfRule type="colorScale" priority="5283">
      <colorScale>
        <cfvo type="min"/>
        <cfvo type="percentile" val="50"/>
        <cfvo type="max"/>
        <color rgb="FF63BE7B"/>
        <color rgb="FFFFEB84"/>
        <color rgb="FFF8696B"/>
      </colorScale>
    </cfRule>
    <cfRule type="colorScale" priority="5282">
      <colorScale>
        <cfvo type="min"/>
        <cfvo type="percentile" val="50"/>
        <cfvo type="max"/>
        <color rgb="FF63BE7B"/>
        <color rgb="FFFFEB84"/>
        <color rgb="FFF8696B"/>
      </colorScale>
    </cfRule>
    <cfRule type="colorScale" priority="5281">
      <colorScale>
        <cfvo type="min"/>
        <cfvo type="percentile" val="50"/>
        <cfvo type="max"/>
        <color rgb="FF63BE7B"/>
        <color rgb="FFFFEB84"/>
        <color rgb="FFF8696B"/>
      </colorScale>
    </cfRule>
    <cfRule type="colorScale" priority="5280">
      <colorScale>
        <cfvo type="min"/>
        <cfvo type="percentile" val="50"/>
        <cfvo type="max"/>
        <color rgb="FF63BE7B"/>
        <color rgb="FFFFEB84"/>
        <color rgb="FFF8696B"/>
      </colorScale>
    </cfRule>
    <cfRule type="colorScale" priority="5279">
      <colorScale>
        <cfvo type="min"/>
        <cfvo type="percentile" val="50"/>
        <cfvo type="max"/>
        <color rgb="FF63BE7B"/>
        <color rgb="FFFFEB84"/>
        <color rgb="FFF8696B"/>
      </colorScale>
    </cfRule>
    <cfRule type="colorScale" priority="5270">
      <colorScale>
        <cfvo type="min"/>
        <cfvo type="percentile" val="50"/>
        <cfvo type="max"/>
        <color rgb="FF63BE7B"/>
        <color rgb="FFFFEB84"/>
        <color rgb="FFF8696B"/>
      </colorScale>
    </cfRule>
    <cfRule type="colorScale" priority="5269">
      <colorScale>
        <cfvo type="min"/>
        <cfvo type="percentile" val="50"/>
        <cfvo type="max"/>
        <color rgb="FF63BE7B"/>
        <color rgb="FFFFEB84"/>
        <color rgb="FFF8696B"/>
      </colorScale>
    </cfRule>
    <cfRule type="colorScale" priority="5278">
      <colorScale>
        <cfvo type="min"/>
        <cfvo type="percentile" val="50"/>
        <cfvo type="max"/>
        <color rgb="FF63BE7B"/>
        <color rgb="FFFFEB84"/>
        <color rgb="FFF8696B"/>
      </colorScale>
    </cfRule>
    <cfRule type="colorScale" priority="5277">
      <colorScale>
        <cfvo type="min"/>
        <cfvo type="percentile" val="50"/>
        <cfvo type="max"/>
        <color rgb="FF63BE7B"/>
        <color rgb="FFFFEB84"/>
        <color rgb="FFF8696B"/>
      </colorScale>
    </cfRule>
    <cfRule type="colorScale" priority="5276">
      <colorScale>
        <cfvo type="min"/>
        <cfvo type="percentile" val="50"/>
        <cfvo type="max"/>
        <color rgb="FF63BE7B"/>
        <color rgb="FFFFEB84"/>
        <color rgb="FFF8696B"/>
      </colorScale>
    </cfRule>
    <cfRule type="colorScale" priority="5291">
      <colorScale>
        <cfvo type="min"/>
        <cfvo type="percentile" val="50"/>
        <cfvo type="max"/>
        <color rgb="FF63BE7B"/>
        <color rgb="FFFFEB84"/>
        <color rgb="FFF8696B"/>
      </colorScale>
    </cfRule>
    <cfRule type="colorScale" priority="7205">
      <colorScale>
        <cfvo type="min"/>
        <cfvo type="percentile" val="50"/>
        <cfvo type="max"/>
        <color rgb="FF63BE7B"/>
        <color rgb="FFFFEB84"/>
        <color rgb="FFF8696B"/>
      </colorScale>
    </cfRule>
    <cfRule type="colorScale" priority="7206">
      <colorScale>
        <cfvo type="min"/>
        <cfvo type="percentile" val="50"/>
        <cfvo type="max"/>
        <color rgb="FF63BE7B"/>
        <color rgb="FFFFEB84"/>
        <color rgb="FFF8696B"/>
      </colorScale>
    </cfRule>
    <cfRule type="colorScale" priority="7207">
      <colorScale>
        <cfvo type="min"/>
        <cfvo type="percentile" val="50"/>
        <cfvo type="max"/>
        <color rgb="FF63BE7B"/>
        <color rgb="FFFFEB84"/>
        <color rgb="FFF8696B"/>
      </colorScale>
    </cfRule>
    <cfRule type="colorScale" priority="5290">
      <colorScale>
        <cfvo type="min"/>
        <cfvo type="percentile" val="50"/>
        <cfvo type="max"/>
        <color rgb="FF63BE7B"/>
        <color rgb="FFFFEB84"/>
        <color rgb="FFF8696B"/>
      </colorScale>
    </cfRule>
    <cfRule type="colorScale" priority="5301">
      <colorScale>
        <cfvo type="min"/>
        <cfvo type="percentile" val="50"/>
        <cfvo type="max"/>
        <color rgb="FF63BE7B"/>
        <color rgb="FFFFEB84"/>
        <color rgb="FFF8696B"/>
      </colorScale>
    </cfRule>
    <cfRule type="colorScale" priority="5302">
      <colorScale>
        <cfvo type="min"/>
        <cfvo type="percentile" val="50"/>
        <cfvo type="max"/>
        <color rgb="FF63BE7B"/>
        <color rgb="FFFFEB84"/>
        <color rgb="FFF8696B"/>
      </colorScale>
    </cfRule>
    <cfRule type="colorScale" priority="5303">
      <colorScale>
        <cfvo type="min"/>
        <cfvo type="percentile" val="50"/>
        <cfvo type="max"/>
        <color rgb="FF63BE7B"/>
        <color rgb="FFFFEB84"/>
        <color rgb="FFF8696B"/>
      </colorScale>
    </cfRule>
    <cfRule type="colorScale" priority="6942">
      <colorScale>
        <cfvo type="min"/>
        <cfvo type="percentile" val="50"/>
        <cfvo type="max"/>
        <color rgb="FF63BE7B"/>
        <color rgb="FFFFEB84"/>
        <color rgb="FFF8696B"/>
      </colorScale>
    </cfRule>
    <cfRule type="colorScale" priority="4307">
      <colorScale>
        <cfvo type="min"/>
        <cfvo type="percentile" val="50"/>
        <cfvo type="max"/>
        <color rgb="FF63BE7B"/>
        <color rgb="FFFFEB84"/>
        <color rgb="FFF8696B"/>
      </colorScale>
    </cfRule>
    <cfRule type="colorScale" priority="6941">
      <colorScale>
        <cfvo type="min"/>
        <cfvo type="percentile" val="50"/>
        <cfvo type="max"/>
        <color rgb="FF63BE7B"/>
        <color rgb="FFFFEB84"/>
        <color rgb="FFF8696B"/>
      </colorScale>
    </cfRule>
    <cfRule type="colorScale" priority="5268">
      <colorScale>
        <cfvo type="min"/>
        <cfvo type="percentile" val="50"/>
        <cfvo type="max"/>
        <color rgb="FF63BE7B"/>
        <color rgb="FFFFEB84"/>
        <color rgb="FFF8696B"/>
      </colorScale>
    </cfRule>
    <cfRule type="colorScale" priority="5267">
      <colorScale>
        <cfvo type="min"/>
        <cfvo type="percentile" val="50"/>
        <cfvo type="max"/>
        <color rgb="FF63BE7B"/>
        <color rgb="FFFFEB84"/>
        <color rgb="FFF8696B"/>
      </colorScale>
    </cfRule>
    <cfRule type="colorScale" priority="5266">
      <colorScale>
        <cfvo type="min"/>
        <cfvo type="percentile" val="50"/>
        <cfvo type="max"/>
        <color rgb="FF63BE7B"/>
        <color rgb="FFFFEB84"/>
        <color rgb="FFF8696B"/>
      </colorScale>
    </cfRule>
    <cfRule type="colorScale" priority="7258">
      <colorScale>
        <cfvo type="min"/>
        <cfvo type="percentile" val="50"/>
        <cfvo type="max"/>
        <color rgb="FF63BE7B"/>
        <color rgb="FFFFEB84"/>
        <color rgb="FFF8696B"/>
      </colorScale>
    </cfRule>
    <cfRule type="colorScale" priority="4305">
      <colorScale>
        <cfvo type="min"/>
        <cfvo type="percentile" val="50"/>
        <cfvo type="max"/>
        <color rgb="FF63BE7B"/>
        <color rgb="FFFFEB84"/>
        <color rgb="FFF8696B"/>
      </colorScale>
    </cfRule>
    <cfRule type="colorScale" priority="4306">
      <colorScale>
        <cfvo type="min"/>
        <cfvo type="percentile" val="50"/>
        <cfvo type="max"/>
        <color rgb="FF63BE7B"/>
        <color rgb="FFFFEB84"/>
        <color rgb="FFF8696B"/>
      </colorScale>
    </cfRule>
    <cfRule type="colorScale" priority="4318">
      <colorScale>
        <cfvo type="min"/>
        <cfvo type="percentile" val="50"/>
        <cfvo type="max"/>
        <color rgb="FF63BE7B"/>
        <color rgb="FFFFEB84"/>
        <color rgb="FFF8696B"/>
      </colorScale>
    </cfRule>
    <cfRule type="colorScale" priority="4308">
      <colorScale>
        <cfvo type="min"/>
        <cfvo type="percentile" val="50"/>
        <cfvo type="max"/>
        <color rgb="FF63BE7B"/>
        <color rgb="FFFFEB84"/>
        <color rgb="FFF8696B"/>
      </colorScale>
    </cfRule>
    <cfRule type="colorScale" priority="4309">
      <colorScale>
        <cfvo type="min"/>
        <cfvo type="percentile" val="50"/>
        <cfvo type="max"/>
        <color rgb="FF63BE7B"/>
        <color rgb="FFFFEB84"/>
        <color rgb="FFF8696B"/>
      </colorScale>
    </cfRule>
    <cfRule type="colorScale" priority="5293">
      <colorScale>
        <cfvo type="min"/>
        <cfvo type="percentile" val="50"/>
        <cfvo type="max"/>
        <color rgb="FF63BE7B"/>
        <color rgb="FFFFEB84"/>
        <color rgb="FFF8696B"/>
      </colorScale>
    </cfRule>
    <cfRule type="colorScale" priority="5292">
      <colorScale>
        <cfvo type="min"/>
        <cfvo type="percentile" val="50"/>
        <cfvo type="max"/>
        <color rgb="FF63BE7B"/>
        <color rgb="FFFFEB84"/>
        <color rgb="FFF8696B"/>
      </colorScale>
    </cfRule>
    <cfRule type="colorScale" priority="4310">
      <colorScale>
        <cfvo type="min"/>
        <cfvo type="percentile" val="50"/>
        <cfvo type="max"/>
        <color rgb="FF63BE7B"/>
        <color rgb="FFFFEB84"/>
        <color rgb="FFF8696B"/>
      </colorScale>
    </cfRule>
    <cfRule type="colorScale" priority="4311">
      <colorScale>
        <cfvo type="min"/>
        <cfvo type="percentile" val="50"/>
        <cfvo type="max"/>
        <color rgb="FF63BE7B"/>
        <color rgb="FFFFEB84"/>
        <color rgb="FFF8696B"/>
      </colorScale>
    </cfRule>
    <cfRule type="colorScale" priority="4312">
      <colorScale>
        <cfvo type="min"/>
        <cfvo type="percentile" val="50"/>
        <cfvo type="max"/>
        <color rgb="FF63BE7B"/>
        <color rgb="FFFFEB84"/>
        <color rgb="FFF8696B"/>
      </colorScale>
    </cfRule>
    <cfRule type="colorScale" priority="4313">
      <colorScale>
        <cfvo type="min"/>
        <cfvo type="percentile" val="50"/>
        <cfvo type="max"/>
        <color rgb="FF63BE7B"/>
        <color rgb="FFFFEB84"/>
        <color rgb="FFF8696B"/>
      </colorScale>
    </cfRule>
    <cfRule type="colorScale" priority="4314">
      <colorScale>
        <cfvo type="min"/>
        <cfvo type="percentile" val="50"/>
        <cfvo type="max"/>
        <color rgb="FF63BE7B"/>
        <color rgb="FFFFEB84"/>
        <color rgb="FFF8696B"/>
      </colorScale>
    </cfRule>
    <cfRule type="colorScale" priority="4315">
      <colorScale>
        <cfvo type="min"/>
        <cfvo type="percentile" val="50"/>
        <cfvo type="max"/>
        <color rgb="FF63BE7B"/>
        <color rgb="FFFFEB84"/>
        <color rgb="FFF8696B"/>
      </colorScale>
    </cfRule>
    <cfRule type="colorScale" priority="4316">
      <colorScale>
        <cfvo type="min"/>
        <cfvo type="percentile" val="50"/>
        <cfvo type="max"/>
        <color rgb="FF63BE7B"/>
        <color rgb="FFFFEB84"/>
        <color rgb="FFF8696B"/>
      </colorScale>
    </cfRule>
    <cfRule type="colorScale" priority="4317">
      <colorScale>
        <cfvo type="min"/>
        <cfvo type="percentile" val="50"/>
        <cfvo type="max"/>
        <color rgb="FF63BE7B"/>
        <color rgb="FFFFEB84"/>
        <color rgb="FFF8696B"/>
      </colorScale>
    </cfRule>
    <cfRule type="colorScale" priority="4319">
      <colorScale>
        <cfvo type="min"/>
        <cfvo type="percentile" val="50"/>
        <cfvo type="max"/>
        <color rgb="FF63BE7B"/>
        <color rgb="FFFFEB84"/>
        <color rgb="FFF8696B"/>
      </colorScale>
    </cfRule>
    <cfRule type="colorScale" priority="4320">
      <colorScale>
        <cfvo type="min"/>
        <cfvo type="percentile" val="50"/>
        <cfvo type="max"/>
        <color rgb="FF63BE7B"/>
        <color rgb="FFFFEB84"/>
        <color rgb="FFF8696B"/>
      </colorScale>
    </cfRule>
    <cfRule type="colorScale" priority="4321">
      <colorScale>
        <cfvo type="min"/>
        <cfvo type="percentile" val="50"/>
        <cfvo type="max"/>
        <color rgb="FF63BE7B"/>
        <color rgb="FFFFEB84"/>
        <color rgb="FFF8696B"/>
      </colorScale>
    </cfRule>
    <cfRule type="colorScale" priority="4322">
      <colorScale>
        <cfvo type="min"/>
        <cfvo type="percentile" val="50"/>
        <cfvo type="max"/>
        <color rgb="FF63BE7B"/>
        <color rgb="FFFFEB84"/>
        <color rgb="FFF8696B"/>
      </colorScale>
    </cfRule>
    <cfRule type="colorScale" priority="4323">
      <colorScale>
        <cfvo type="min"/>
        <cfvo type="percentile" val="50"/>
        <cfvo type="max"/>
        <color rgb="FF63BE7B"/>
        <color rgb="FFFFEB84"/>
        <color rgb="FFF8696B"/>
      </colorScale>
    </cfRule>
    <cfRule type="colorScale" priority="4324">
      <colorScale>
        <cfvo type="min"/>
        <cfvo type="percentile" val="50"/>
        <cfvo type="max"/>
        <color rgb="FF63BE7B"/>
        <color rgb="FFFFEB84"/>
        <color rgb="FFF8696B"/>
      </colorScale>
    </cfRule>
    <cfRule type="colorScale" priority="4325">
      <colorScale>
        <cfvo type="min"/>
        <cfvo type="percentile" val="50"/>
        <cfvo type="max"/>
        <color rgb="FF63BE7B"/>
        <color rgb="FFFFEB84"/>
        <color rgb="FFF8696B"/>
      </colorScale>
    </cfRule>
    <cfRule type="colorScale" priority="5275">
      <colorScale>
        <cfvo type="min"/>
        <cfvo type="percentile" val="50"/>
        <cfvo type="max"/>
        <color rgb="FF63BE7B"/>
        <color rgb="FFFFEB84"/>
        <color rgb="FFF8696B"/>
      </colorScale>
    </cfRule>
    <cfRule type="colorScale" priority="5274">
      <colorScale>
        <cfvo type="min"/>
        <cfvo type="percentile" val="50"/>
        <cfvo type="max"/>
        <color rgb="FF63BE7B"/>
        <color rgb="FFFFEB84"/>
        <color rgb="FFF8696B"/>
      </colorScale>
    </cfRule>
    <cfRule type="colorScale" priority="5273">
      <colorScale>
        <cfvo type="min"/>
        <cfvo type="percentile" val="50"/>
        <cfvo type="max"/>
        <color rgb="FF63BE7B"/>
        <color rgb="FFFFEB84"/>
        <color rgb="FFF8696B"/>
      </colorScale>
    </cfRule>
    <cfRule type="colorScale" priority="5272">
      <colorScale>
        <cfvo type="min"/>
        <cfvo type="percentile" val="50"/>
        <cfvo type="max"/>
        <color rgb="FF63BE7B"/>
        <color rgb="FFFFEB84"/>
        <color rgb="FFF8696B"/>
      </colorScale>
    </cfRule>
  </conditionalFormatting>
  <conditionalFormatting sqref="U54:U61">
    <cfRule type="colorScale" priority="38">
      <colorScale>
        <cfvo type="min"/>
        <cfvo type="percentile" val="50"/>
        <cfvo type="max"/>
        <color rgb="FF63BE7B"/>
        <color rgb="FFFFEB84"/>
        <color rgb="FFF8696B"/>
      </colorScale>
    </cfRule>
  </conditionalFormatting>
  <conditionalFormatting sqref="U65:U71">
    <cfRule type="colorScale" priority="12534">
      <colorScale>
        <cfvo type="min"/>
        <cfvo type="percentile" val="50"/>
        <cfvo type="max"/>
        <color rgb="FF63BE7B"/>
        <color rgb="FFFFEB84"/>
        <color rgb="FFF8696B"/>
      </colorScale>
    </cfRule>
    <cfRule type="colorScale" priority="12536">
      <colorScale>
        <cfvo type="min"/>
        <cfvo type="percentile" val="50"/>
        <cfvo type="max"/>
        <color rgb="FF63BE7B"/>
        <color rgb="FFFFEB84"/>
        <color rgb="FFF8696B"/>
      </colorScale>
    </cfRule>
    <cfRule type="colorScale" priority="12535">
      <colorScale>
        <cfvo type="min"/>
        <cfvo type="percentile" val="50"/>
        <cfvo type="max"/>
        <color rgb="FF63BE7B"/>
        <color rgb="FFFFEB84"/>
        <color rgb="FFF8696B"/>
      </colorScale>
    </cfRule>
  </conditionalFormatting>
  <conditionalFormatting sqref="U65:U80">
    <cfRule type="colorScale" priority="12590">
      <colorScale>
        <cfvo type="min"/>
        <cfvo type="percentile" val="50"/>
        <cfvo type="max"/>
        <color rgb="FF63BE7B"/>
        <color rgb="FFFFEB84"/>
        <color rgb="FFF8696B"/>
      </colorScale>
    </cfRule>
  </conditionalFormatting>
  <conditionalFormatting sqref="U65:U91">
    <cfRule type="colorScale" priority="12608">
      <colorScale>
        <cfvo type="min"/>
        <cfvo type="percentile" val="50"/>
        <cfvo type="max"/>
        <color rgb="FF63BE7B"/>
        <color rgb="FFFFEB84"/>
        <color rgb="FFF8696B"/>
      </colorScale>
    </cfRule>
  </conditionalFormatting>
  <conditionalFormatting sqref="U66:U71">
    <cfRule type="colorScale" priority="12537">
      <colorScale>
        <cfvo type="min"/>
        <cfvo type="percentile" val="50"/>
        <cfvo type="max"/>
        <color rgb="FF63BE7B"/>
        <color rgb="FFFFEB84"/>
        <color rgb="FFF8696B"/>
      </colorScale>
    </cfRule>
  </conditionalFormatting>
  <conditionalFormatting sqref="U72:U80">
    <cfRule type="colorScale" priority="12414">
      <colorScale>
        <cfvo type="min"/>
        <cfvo type="percentile" val="50"/>
        <cfvo type="max"/>
        <color rgb="FF63BE7B"/>
        <color rgb="FFFFEB84"/>
        <color rgb="FFF8696B"/>
      </colorScale>
    </cfRule>
    <cfRule type="colorScale" priority="12416">
      <colorScale>
        <cfvo type="min"/>
        <cfvo type="percentile" val="50"/>
        <cfvo type="max"/>
        <color rgb="FF63BE7B"/>
        <color rgb="FFFFEB84"/>
        <color rgb="FFF8696B"/>
      </colorScale>
    </cfRule>
    <cfRule type="colorScale" priority="12415">
      <colorScale>
        <cfvo type="min"/>
        <cfvo type="percentile" val="50"/>
        <cfvo type="max"/>
        <color rgb="FF63BE7B"/>
        <color rgb="FFFFEB84"/>
        <color rgb="FFF8696B"/>
      </colorScale>
    </cfRule>
    <cfRule type="colorScale" priority="12417">
      <colorScale>
        <cfvo type="min"/>
        <cfvo type="percentile" val="50"/>
        <cfvo type="max"/>
        <color rgb="FF63BE7B"/>
        <color rgb="FFFFEB84"/>
        <color rgb="FFF8696B"/>
      </colorScale>
    </cfRule>
  </conditionalFormatting>
  <conditionalFormatting sqref="U81:U83">
    <cfRule type="colorScale" priority="12301">
      <colorScale>
        <cfvo type="min"/>
        <cfvo type="percentile" val="50"/>
        <cfvo type="max"/>
        <color rgb="FF63BE7B"/>
        <color rgb="FFFFEB84"/>
        <color rgb="FFF8696B"/>
      </colorScale>
    </cfRule>
    <cfRule type="colorScale" priority="12302">
      <colorScale>
        <cfvo type="min"/>
        <cfvo type="percentile" val="50"/>
        <cfvo type="max"/>
        <color rgb="FF63BE7B"/>
        <color rgb="FFFFEB84"/>
        <color rgb="FFF8696B"/>
      </colorScale>
    </cfRule>
  </conditionalFormatting>
  <conditionalFormatting sqref="U84:U91">
    <cfRule type="colorScale" priority="12142">
      <colorScale>
        <cfvo type="min"/>
        <cfvo type="percentile" val="50"/>
        <cfvo type="max"/>
        <color rgb="FF63BE7B"/>
        <color rgb="FFFFEB84"/>
        <color rgb="FFF8696B"/>
      </colorScale>
    </cfRule>
    <cfRule type="colorScale" priority="12139">
      <colorScale>
        <cfvo type="min"/>
        <cfvo type="percentile" val="50"/>
        <cfvo type="max"/>
        <color rgb="FF63BE7B"/>
        <color rgb="FFFFEB84"/>
        <color rgb="FFF8696B"/>
      </colorScale>
    </cfRule>
    <cfRule type="colorScale" priority="12141">
      <colorScale>
        <cfvo type="min"/>
        <cfvo type="percentile" val="50"/>
        <cfvo type="max"/>
        <color rgb="FF63BE7B"/>
        <color rgb="FFFFEB84"/>
        <color rgb="FFF8696B"/>
      </colorScale>
    </cfRule>
  </conditionalFormatting>
  <conditionalFormatting sqref="U86">
    <cfRule type="colorScale" priority="12140">
      <colorScale>
        <cfvo type="min"/>
        <cfvo type="percentile" val="50"/>
        <cfvo type="max"/>
        <color rgb="FF63BE7B"/>
        <color rgb="FFFFEB84"/>
        <color rgb="FFF8696B"/>
      </colorScale>
    </cfRule>
  </conditionalFormatting>
  <conditionalFormatting sqref="U96:U102">
    <cfRule type="colorScale" priority="11930">
      <colorScale>
        <cfvo type="min"/>
        <cfvo type="percentile" val="50"/>
        <cfvo type="max"/>
        <color rgb="FF63BE7B"/>
        <color rgb="FFFFEB84"/>
        <color rgb="FFF8696B"/>
      </colorScale>
    </cfRule>
    <cfRule type="colorScale" priority="11929">
      <colorScale>
        <cfvo type="min"/>
        <cfvo type="percentile" val="50"/>
        <cfvo type="max"/>
        <color rgb="FF63BE7B"/>
        <color rgb="FFFFEB84"/>
        <color rgb="FFF8696B"/>
      </colorScale>
    </cfRule>
    <cfRule type="colorScale" priority="11928">
      <colorScale>
        <cfvo type="min"/>
        <cfvo type="percentile" val="50"/>
        <cfvo type="max"/>
        <color rgb="FF63BE7B"/>
        <color rgb="FFFFEB84"/>
        <color rgb="FFF8696B"/>
      </colorScale>
    </cfRule>
  </conditionalFormatting>
  <conditionalFormatting sqref="U96:U111">
    <cfRule type="colorScale" priority="11984">
      <colorScale>
        <cfvo type="min"/>
        <cfvo type="percentile" val="50"/>
        <cfvo type="max"/>
        <color rgb="FF63BE7B"/>
        <color rgb="FFFFEB84"/>
        <color rgb="FFF8696B"/>
      </colorScale>
    </cfRule>
  </conditionalFormatting>
  <conditionalFormatting sqref="U96:U122">
    <cfRule type="colorScale" priority="12002">
      <colorScale>
        <cfvo type="min"/>
        <cfvo type="percentile" val="50"/>
        <cfvo type="max"/>
        <color rgb="FF63BE7B"/>
        <color rgb="FFFFEB84"/>
        <color rgb="FFF8696B"/>
      </colorScale>
    </cfRule>
  </conditionalFormatting>
  <conditionalFormatting sqref="U97:U102">
    <cfRule type="colorScale" priority="11931">
      <colorScale>
        <cfvo type="min"/>
        <cfvo type="percentile" val="50"/>
        <cfvo type="max"/>
        <color rgb="FF63BE7B"/>
        <color rgb="FFFFEB84"/>
        <color rgb="FFF8696B"/>
      </colorScale>
    </cfRule>
  </conditionalFormatting>
  <conditionalFormatting sqref="U103:U111">
    <cfRule type="colorScale" priority="11811">
      <colorScale>
        <cfvo type="min"/>
        <cfvo type="percentile" val="50"/>
        <cfvo type="max"/>
        <color rgb="FF63BE7B"/>
        <color rgb="FFFFEB84"/>
        <color rgb="FFF8696B"/>
      </colorScale>
    </cfRule>
    <cfRule type="colorScale" priority="11810">
      <colorScale>
        <cfvo type="min"/>
        <cfvo type="percentile" val="50"/>
        <cfvo type="max"/>
        <color rgb="FF63BE7B"/>
        <color rgb="FFFFEB84"/>
        <color rgb="FFF8696B"/>
      </colorScale>
    </cfRule>
    <cfRule type="colorScale" priority="11808">
      <colorScale>
        <cfvo type="min"/>
        <cfvo type="percentile" val="50"/>
        <cfvo type="max"/>
        <color rgb="FF63BE7B"/>
        <color rgb="FFFFEB84"/>
        <color rgb="FFF8696B"/>
      </colorScale>
    </cfRule>
    <cfRule type="colorScale" priority="11809">
      <colorScale>
        <cfvo type="min"/>
        <cfvo type="percentile" val="50"/>
        <cfvo type="max"/>
        <color rgb="FF63BE7B"/>
        <color rgb="FFFFEB84"/>
        <color rgb="FFF8696B"/>
      </colorScale>
    </cfRule>
  </conditionalFormatting>
  <conditionalFormatting sqref="U112:U114">
    <cfRule type="colorScale" priority="11698">
      <colorScale>
        <cfvo type="min"/>
        <cfvo type="percentile" val="50"/>
        <cfvo type="max"/>
        <color rgb="FF63BE7B"/>
        <color rgb="FFFFEB84"/>
        <color rgb="FFF8696B"/>
      </colorScale>
    </cfRule>
    <cfRule type="colorScale" priority="11699">
      <colorScale>
        <cfvo type="min"/>
        <cfvo type="percentile" val="50"/>
        <cfvo type="max"/>
        <color rgb="FF63BE7B"/>
        <color rgb="FFFFEB84"/>
        <color rgb="FFF8696B"/>
      </colorScale>
    </cfRule>
  </conditionalFormatting>
  <conditionalFormatting sqref="U115:U122">
    <cfRule type="colorScale" priority="11538">
      <colorScale>
        <cfvo type="min"/>
        <cfvo type="percentile" val="50"/>
        <cfvo type="max"/>
        <color rgb="FF63BE7B"/>
        <color rgb="FFFFEB84"/>
        <color rgb="FFF8696B"/>
      </colorScale>
    </cfRule>
    <cfRule type="colorScale" priority="11536">
      <colorScale>
        <cfvo type="min"/>
        <cfvo type="percentile" val="50"/>
        <cfvo type="max"/>
        <color rgb="FF63BE7B"/>
        <color rgb="FFFFEB84"/>
        <color rgb="FFF8696B"/>
      </colorScale>
    </cfRule>
    <cfRule type="colorScale" priority="11539">
      <colorScale>
        <cfvo type="min"/>
        <cfvo type="percentile" val="50"/>
        <cfvo type="max"/>
        <color rgb="FF63BE7B"/>
        <color rgb="FFFFEB84"/>
        <color rgb="FFF8696B"/>
      </colorScale>
    </cfRule>
  </conditionalFormatting>
  <conditionalFormatting sqref="U117">
    <cfRule type="colorScale" priority="11537">
      <colorScale>
        <cfvo type="min"/>
        <cfvo type="percentile" val="50"/>
        <cfvo type="max"/>
        <color rgb="FF63BE7B"/>
        <color rgb="FFFFEB84"/>
        <color rgb="FFF8696B"/>
      </colorScale>
    </cfRule>
  </conditionalFormatting>
  <conditionalFormatting sqref="V35:V37">
    <cfRule type="colorScale" priority="10035">
      <colorScale>
        <cfvo type="min"/>
        <cfvo type="percentile" val="50"/>
        <cfvo type="max"/>
        <color rgb="FF63BE7B"/>
        <color rgb="FFFFEB84"/>
        <color rgb="FFF8696B"/>
      </colorScale>
    </cfRule>
    <cfRule type="colorScale" priority="10036">
      <colorScale>
        <cfvo type="min"/>
        <cfvo type="percentile" val="50"/>
        <cfvo type="max"/>
        <color rgb="FF63BE7B"/>
        <color rgb="FFFFEB84"/>
        <color rgb="FFF8696B"/>
      </colorScale>
    </cfRule>
    <cfRule type="colorScale" priority="8302">
      <colorScale>
        <cfvo type="min"/>
        <cfvo type="percentile" val="50"/>
        <cfvo type="max"/>
        <color rgb="FF63BE7B"/>
        <color rgb="FFFFEB84"/>
        <color rgb="FFF8696B"/>
      </colorScale>
    </cfRule>
    <cfRule type="colorScale" priority="8300">
      <colorScale>
        <cfvo type="min"/>
        <cfvo type="percentile" val="50"/>
        <cfvo type="max"/>
        <color rgb="FF63BE7B"/>
        <color rgb="FFFFEB84"/>
        <color rgb="FFF8696B"/>
      </colorScale>
    </cfRule>
    <cfRule type="colorScale" priority="8324">
      <colorScale>
        <cfvo type="min"/>
        <cfvo type="percentile" val="50"/>
        <cfvo type="max"/>
        <color rgb="FF63BE7B"/>
        <color rgb="FFFFEB84"/>
        <color rgb="FFF8696B"/>
      </colorScale>
    </cfRule>
    <cfRule type="colorScale" priority="8325">
      <colorScale>
        <cfvo type="min"/>
        <cfvo type="percentile" val="50"/>
        <cfvo type="max"/>
        <color rgb="FF63BE7B"/>
        <color rgb="FFFFEB84"/>
        <color rgb="FFF8696B"/>
      </colorScale>
    </cfRule>
    <cfRule type="colorScale" priority="8326">
      <colorScale>
        <cfvo type="min"/>
        <cfvo type="percentile" val="50"/>
        <cfvo type="max"/>
        <color rgb="FF63BE7B"/>
        <color rgb="FFFFEB84"/>
        <color rgb="FFF8696B"/>
      </colorScale>
    </cfRule>
    <cfRule type="colorScale" priority="8327">
      <colorScale>
        <cfvo type="min"/>
        <cfvo type="percentile" val="50"/>
        <cfvo type="max"/>
        <color rgb="FF63BE7B"/>
        <color rgb="FFFFEB84"/>
        <color rgb="FFF8696B"/>
      </colorScale>
    </cfRule>
    <cfRule type="colorScale" priority="8329">
      <colorScale>
        <cfvo type="min"/>
        <cfvo type="percentile" val="50"/>
        <cfvo type="max"/>
        <color rgb="FF63BE7B"/>
        <color rgb="FFFFEB84"/>
        <color rgb="FFF8696B"/>
      </colorScale>
    </cfRule>
    <cfRule type="colorScale" priority="8299">
      <colorScale>
        <cfvo type="min"/>
        <cfvo type="percentile" val="50"/>
        <cfvo type="max"/>
        <color rgb="FF63BE7B"/>
        <color rgb="FFFFEB84"/>
        <color rgb="FFF8696B"/>
      </colorScale>
    </cfRule>
    <cfRule type="colorScale" priority="8297">
      <colorScale>
        <cfvo type="min"/>
        <cfvo type="percentile" val="50"/>
        <cfvo type="max"/>
        <color rgb="FF63BE7B"/>
        <color rgb="FFFFEB84"/>
        <color rgb="FFF8696B"/>
      </colorScale>
    </cfRule>
    <cfRule type="colorScale" priority="8298">
      <colorScale>
        <cfvo type="min"/>
        <cfvo type="percentile" val="50"/>
        <cfvo type="max"/>
        <color rgb="FF63BE7B"/>
        <color rgb="FFFFEB84"/>
        <color rgb="FFF8696B"/>
      </colorScale>
    </cfRule>
    <cfRule type="colorScale" priority="10022">
      <colorScale>
        <cfvo type="min"/>
        <cfvo type="percentile" val="50"/>
        <cfvo type="max"/>
        <color rgb="FF63BE7B"/>
        <color rgb="FFFFEB84"/>
        <color rgb="FFF8696B"/>
      </colorScale>
    </cfRule>
    <cfRule type="colorScale" priority="10030">
      <colorScale>
        <cfvo type="min"/>
        <cfvo type="percentile" val="50"/>
        <cfvo type="max"/>
        <color rgb="FF63BE7B"/>
        <color rgb="FFFFEB84"/>
        <color rgb="FFF8696B"/>
      </colorScale>
    </cfRule>
    <cfRule type="colorScale" priority="8303">
      <colorScale>
        <cfvo type="min"/>
        <cfvo type="percentile" val="50"/>
        <cfvo type="max"/>
        <color rgb="FF63BE7B"/>
        <color rgb="FFFFEB84"/>
        <color rgb="FFF8696B"/>
      </colorScale>
    </cfRule>
    <cfRule type="colorScale" priority="10031">
      <colorScale>
        <cfvo type="min"/>
        <cfvo type="percentile" val="50"/>
        <cfvo type="max"/>
        <color rgb="FF63BE7B"/>
        <color rgb="FFFFEB84"/>
        <color rgb="FFF8696B"/>
      </colorScale>
    </cfRule>
    <cfRule type="colorScale" priority="10032">
      <colorScale>
        <cfvo type="min"/>
        <cfvo type="percentile" val="50"/>
        <cfvo type="max"/>
        <color rgb="FF63BE7B"/>
        <color rgb="FFFFEB84"/>
        <color rgb="FFF8696B"/>
      </colorScale>
    </cfRule>
    <cfRule type="colorScale" priority="8289">
      <colorScale>
        <cfvo type="min"/>
        <cfvo type="percentile" val="50"/>
        <cfvo type="max"/>
        <color rgb="FF63BE7B"/>
        <color rgb="FFFFEB84"/>
        <color rgb="FFF8696B"/>
      </colorScale>
    </cfRule>
    <cfRule type="colorScale" priority="8316">
      <colorScale>
        <cfvo type="min"/>
        <cfvo type="percentile" val="50"/>
        <cfvo type="max"/>
        <color rgb="FF63BE7B"/>
        <color rgb="FFFFEB84"/>
        <color rgb="FFF8696B"/>
      </colorScale>
    </cfRule>
    <cfRule type="colorScale" priority="10033">
      <colorScale>
        <cfvo type="min"/>
        <cfvo type="percentile" val="50"/>
        <cfvo type="max"/>
        <color rgb="FF63BE7B"/>
        <color rgb="FFFFEB84"/>
        <color rgb="FFF8696B"/>
      </colorScale>
    </cfRule>
    <cfRule type="colorScale" priority="11133">
      <colorScale>
        <cfvo type="min"/>
        <cfvo type="percentile" val="50"/>
        <cfvo type="max"/>
        <color rgb="FF63BE7B"/>
        <color rgb="FFFFEB84"/>
        <color rgb="FFF8696B"/>
      </colorScale>
    </cfRule>
    <cfRule type="colorScale" priority="8330">
      <colorScale>
        <cfvo type="min"/>
        <cfvo type="percentile" val="50"/>
        <cfvo type="max"/>
        <color rgb="FF63BE7B"/>
        <color rgb="FFFFEB84"/>
        <color rgb="FFF8696B"/>
      </colorScale>
    </cfRule>
  </conditionalFormatting>
  <conditionalFormatting sqref="V35:V41">
    <cfRule type="colorScale" priority="8337">
      <colorScale>
        <cfvo type="min"/>
        <cfvo type="percentile" val="50"/>
        <cfvo type="max"/>
        <color rgb="FF63BE7B"/>
        <color rgb="FFFFEB84"/>
        <color rgb="FFF8696B"/>
      </colorScale>
    </cfRule>
    <cfRule type="colorScale" priority="8339">
      <colorScale>
        <cfvo type="min"/>
        <cfvo type="percentile" val="50"/>
        <cfvo type="max"/>
        <color rgb="FF63BE7B"/>
        <color rgb="FFFFEB84"/>
        <color rgb="FFF8696B"/>
      </colorScale>
    </cfRule>
    <cfRule type="colorScale" priority="8340">
      <colorScale>
        <cfvo type="min"/>
        <cfvo type="percentile" val="50"/>
        <cfvo type="max"/>
        <color rgb="FF63BE7B"/>
        <color rgb="FFFFEB84"/>
        <color rgb="FFF8696B"/>
      </colorScale>
    </cfRule>
    <cfRule type="colorScale" priority="8292">
      <colorScale>
        <cfvo type="min"/>
        <cfvo type="percentile" val="50"/>
        <cfvo type="max"/>
        <color rgb="FF63BE7B"/>
        <color rgb="FFFFEB84"/>
        <color rgb="FFF8696B"/>
      </colorScale>
    </cfRule>
    <cfRule type="colorScale" priority="8293">
      <colorScale>
        <cfvo type="min"/>
        <cfvo type="percentile" val="50"/>
        <cfvo type="max"/>
        <color rgb="FF63BE7B"/>
        <color rgb="FFFFEB84"/>
        <color rgb="FFF8696B"/>
      </colorScale>
    </cfRule>
    <cfRule type="colorScale" priority="8294">
      <colorScale>
        <cfvo type="min"/>
        <cfvo type="percentile" val="50"/>
        <cfvo type="max"/>
        <color rgb="FF63BE7B"/>
        <color rgb="FFFFEB84"/>
        <color rgb="FFF8696B"/>
      </colorScale>
    </cfRule>
    <cfRule type="colorScale" priority="8295">
      <colorScale>
        <cfvo type="min"/>
        <cfvo type="percentile" val="50"/>
        <cfvo type="max"/>
        <color rgb="FF63BE7B"/>
        <color rgb="FFFFEB84"/>
        <color rgb="FFF8696B"/>
      </colorScale>
    </cfRule>
    <cfRule type="colorScale" priority="8296">
      <colorScale>
        <cfvo type="min"/>
        <cfvo type="percentile" val="50"/>
        <cfvo type="max"/>
        <color rgb="FF63BE7B"/>
        <color rgb="FFFFEB84"/>
        <color rgb="FFF8696B"/>
      </colorScale>
    </cfRule>
    <cfRule type="colorScale" priority="8304">
      <colorScale>
        <cfvo type="min"/>
        <cfvo type="percentile" val="50"/>
        <cfvo type="max"/>
        <color rgb="FF63BE7B"/>
        <color rgb="FFFFEB84"/>
        <color rgb="FFF8696B"/>
      </colorScale>
    </cfRule>
    <cfRule type="colorScale" priority="10020">
      <colorScale>
        <cfvo type="min"/>
        <cfvo type="percentile" val="50"/>
        <cfvo type="max"/>
        <color rgb="FF63BE7B"/>
        <color rgb="FFFFEB84"/>
        <color rgb="FFF8696B"/>
      </colorScale>
    </cfRule>
    <cfRule type="colorScale" priority="8305">
      <colorScale>
        <cfvo type="min"/>
        <cfvo type="percentile" val="50"/>
        <cfvo type="max"/>
        <color rgb="FF63BE7B"/>
        <color rgb="FFFFEB84"/>
        <color rgb="FFF8696B"/>
      </colorScale>
    </cfRule>
    <cfRule type="colorScale" priority="8306">
      <colorScale>
        <cfvo type="min"/>
        <cfvo type="percentile" val="50"/>
        <cfvo type="max"/>
        <color rgb="FF63BE7B"/>
        <color rgb="FFFFEB84"/>
        <color rgb="FFF8696B"/>
      </colorScale>
    </cfRule>
    <cfRule type="colorScale" priority="10023">
      <colorScale>
        <cfvo type="min"/>
        <cfvo type="percentile" val="50"/>
        <cfvo type="max"/>
        <color rgb="FF63BE7B"/>
        <color rgb="FFFFEB84"/>
        <color rgb="FFF8696B"/>
      </colorScale>
    </cfRule>
    <cfRule type="colorScale" priority="10024">
      <colorScale>
        <cfvo type="min"/>
        <cfvo type="percentile" val="50"/>
        <cfvo type="max"/>
        <color rgb="FF63BE7B"/>
        <color rgb="FFFFEB84"/>
        <color rgb="FFF8696B"/>
      </colorScale>
    </cfRule>
    <cfRule type="colorScale" priority="10025">
      <colorScale>
        <cfvo type="min"/>
        <cfvo type="percentile" val="50"/>
        <cfvo type="max"/>
        <color rgb="FF63BE7B"/>
        <color rgb="FFFFEB84"/>
        <color rgb="FFF8696B"/>
      </colorScale>
    </cfRule>
    <cfRule type="colorScale" priority="10026">
      <colorScale>
        <cfvo type="min"/>
        <cfvo type="percentile" val="50"/>
        <cfvo type="max"/>
        <color rgb="FF63BE7B"/>
        <color rgb="FFFFEB84"/>
        <color rgb="FFF8696B"/>
      </colorScale>
    </cfRule>
    <cfRule type="colorScale" priority="10027">
      <colorScale>
        <cfvo type="min"/>
        <cfvo type="percentile" val="50"/>
        <cfvo type="max"/>
        <color rgb="FF63BE7B"/>
        <color rgb="FFFFEB84"/>
        <color rgb="FFF8696B"/>
      </colorScale>
    </cfRule>
    <cfRule type="colorScale" priority="10028">
      <colorScale>
        <cfvo type="min"/>
        <cfvo type="percentile" val="50"/>
        <cfvo type="max"/>
        <color rgb="FF63BE7B"/>
        <color rgb="FFFFEB84"/>
        <color rgb="FFF8696B"/>
      </colorScale>
    </cfRule>
    <cfRule type="colorScale" priority="10029">
      <colorScale>
        <cfvo type="min"/>
        <cfvo type="percentile" val="50"/>
        <cfvo type="max"/>
        <color rgb="FF63BE7B"/>
        <color rgb="FFFFEB84"/>
        <color rgb="FFF8696B"/>
      </colorScale>
    </cfRule>
    <cfRule type="colorScale" priority="8307">
      <colorScale>
        <cfvo type="min"/>
        <cfvo type="percentile" val="50"/>
        <cfvo type="max"/>
        <color rgb="FF63BE7B"/>
        <color rgb="FFFFEB84"/>
        <color rgb="FFF8696B"/>
      </colorScale>
    </cfRule>
    <cfRule type="colorScale" priority="8308">
      <colorScale>
        <cfvo type="min"/>
        <cfvo type="percentile" val="50"/>
        <cfvo type="max"/>
        <color rgb="FF63BE7B"/>
        <color rgb="FFFFEB84"/>
        <color rgb="FFF8696B"/>
      </colorScale>
    </cfRule>
    <cfRule type="colorScale" priority="8309">
      <colorScale>
        <cfvo type="min"/>
        <cfvo type="percentile" val="50"/>
        <cfvo type="max"/>
        <color rgb="FF63BE7B"/>
        <color rgb="FFFFEB84"/>
        <color rgb="FFF8696B"/>
      </colorScale>
    </cfRule>
    <cfRule type="colorScale" priority="8310">
      <colorScale>
        <cfvo type="min"/>
        <cfvo type="percentile" val="50"/>
        <cfvo type="max"/>
        <color rgb="FF63BE7B"/>
        <color rgb="FFFFEB84"/>
        <color rgb="FFF8696B"/>
      </colorScale>
    </cfRule>
    <cfRule type="colorScale" priority="8312">
      <colorScale>
        <cfvo type="min"/>
        <cfvo type="percentile" val="50"/>
        <cfvo type="max"/>
        <color rgb="FF63BE7B"/>
        <color rgb="FFFFEB84"/>
        <color rgb="FFF8696B"/>
      </colorScale>
    </cfRule>
    <cfRule type="colorScale" priority="8313">
      <colorScale>
        <cfvo type="min"/>
        <cfvo type="percentile" val="50"/>
        <cfvo type="max"/>
        <color rgb="FF63BE7B"/>
        <color rgb="FFFFEB84"/>
        <color rgb="FFF8696B"/>
      </colorScale>
    </cfRule>
    <cfRule type="colorScale" priority="11131">
      <colorScale>
        <cfvo type="min"/>
        <cfvo type="percentile" val="50"/>
        <cfvo type="max"/>
        <color rgb="FF63BE7B"/>
        <color rgb="FFFFEB84"/>
        <color rgb="FFF8696B"/>
      </colorScale>
    </cfRule>
    <cfRule type="colorScale" priority="11132">
      <colorScale>
        <cfvo type="min"/>
        <cfvo type="percentile" val="50"/>
        <cfvo type="max"/>
        <color rgb="FF63BE7B"/>
        <color rgb="FFFFEB84"/>
        <color rgb="FFF8696B"/>
      </colorScale>
    </cfRule>
    <cfRule type="colorScale" priority="8314">
      <colorScale>
        <cfvo type="min"/>
        <cfvo type="percentile" val="50"/>
        <cfvo type="max"/>
        <color rgb="FF63BE7B"/>
        <color rgb="FFFFEB84"/>
        <color rgb="FFF8696B"/>
      </colorScale>
    </cfRule>
    <cfRule type="colorScale" priority="11134">
      <colorScale>
        <cfvo type="min"/>
        <cfvo type="percentile" val="50"/>
        <cfvo type="max"/>
        <color rgb="FF63BE7B"/>
        <color rgb="FFFFEB84"/>
        <color rgb="FFF8696B"/>
      </colorScale>
    </cfRule>
    <cfRule type="colorScale" priority="11135">
      <colorScale>
        <cfvo type="min"/>
        <cfvo type="percentile" val="50"/>
        <cfvo type="max"/>
        <color rgb="FF63BE7B"/>
        <color rgb="FFFFEB84"/>
        <color rgb="FFF8696B"/>
      </colorScale>
    </cfRule>
    <cfRule type="colorScale" priority="11136">
      <colorScale>
        <cfvo type="min"/>
        <cfvo type="percentile" val="50"/>
        <cfvo type="max"/>
        <color rgb="FF63BE7B"/>
        <color rgb="FFFFEB84"/>
        <color rgb="FFF8696B"/>
      </colorScale>
    </cfRule>
    <cfRule type="colorScale" priority="11137">
      <colorScale>
        <cfvo type="min"/>
        <cfvo type="percentile" val="50"/>
        <cfvo type="max"/>
        <color rgb="FF63BE7B"/>
        <color rgb="FFFFEB84"/>
        <color rgb="FFF8696B"/>
      </colorScale>
    </cfRule>
    <cfRule type="colorScale" priority="11138">
      <colorScale>
        <cfvo type="min"/>
        <cfvo type="percentile" val="50"/>
        <cfvo type="max"/>
        <color rgb="FF63BE7B"/>
        <color rgb="FFFFEB84"/>
        <color rgb="FFF8696B"/>
      </colorScale>
    </cfRule>
    <cfRule type="colorScale" priority="11139">
      <colorScale>
        <cfvo type="min"/>
        <cfvo type="percentile" val="50"/>
        <cfvo type="max"/>
        <color rgb="FF63BE7B"/>
        <color rgb="FFFFEB84"/>
        <color rgb="FFF8696B"/>
      </colorScale>
    </cfRule>
    <cfRule type="colorScale" priority="11140">
      <colorScale>
        <cfvo type="min"/>
        <cfvo type="percentile" val="50"/>
        <cfvo type="max"/>
        <color rgb="FF63BE7B"/>
        <color rgb="FFFFEB84"/>
        <color rgb="FFF8696B"/>
      </colorScale>
    </cfRule>
    <cfRule type="colorScale" priority="8315">
      <colorScale>
        <cfvo type="min"/>
        <cfvo type="percentile" val="50"/>
        <cfvo type="max"/>
        <color rgb="FF63BE7B"/>
        <color rgb="FFFFEB84"/>
        <color rgb="FFF8696B"/>
      </colorScale>
    </cfRule>
    <cfRule type="colorScale" priority="8317">
      <colorScale>
        <cfvo type="min"/>
        <cfvo type="percentile" val="50"/>
        <cfvo type="max"/>
        <color rgb="FF63BE7B"/>
        <color rgb="FFFFEB84"/>
        <color rgb="FFF8696B"/>
      </colorScale>
    </cfRule>
    <cfRule type="colorScale" priority="10037">
      <colorScale>
        <cfvo type="min"/>
        <cfvo type="percentile" val="50"/>
        <cfvo type="max"/>
        <color rgb="FF63BE7B"/>
        <color rgb="FFFFEB84"/>
        <color rgb="FFF8696B"/>
      </colorScale>
    </cfRule>
    <cfRule type="colorScale" priority="10038">
      <colorScale>
        <cfvo type="min"/>
        <cfvo type="percentile" val="50"/>
        <cfvo type="max"/>
        <color rgb="FF63BE7B"/>
        <color rgb="FFFFEB84"/>
        <color rgb="FFF8696B"/>
      </colorScale>
    </cfRule>
    <cfRule type="colorScale" priority="10021">
      <colorScale>
        <cfvo type="min"/>
        <cfvo type="percentile" val="50"/>
        <cfvo type="max"/>
        <color rgb="FF63BE7B"/>
        <color rgb="FFFFEB84"/>
        <color rgb="FFF8696B"/>
      </colorScale>
    </cfRule>
    <cfRule type="colorScale" priority="10041">
      <colorScale>
        <cfvo type="min"/>
        <cfvo type="percentile" val="50"/>
        <cfvo type="max"/>
        <color rgb="FF63BE7B"/>
        <color rgb="FFFFEB84"/>
        <color rgb="FFF8696B"/>
      </colorScale>
    </cfRule>
    <cfRule type="colorScale" priority="10042">
      <colorScale>
        <cfvo type="min"/>
        <cfvo type="percentile" val="50"/>
        <cfvo type="max"/>
        <color rgb="FF63BE7B"/>
        <color rgb="FFFFEB84"/>
        <color rgb="FFF8696B"/>
      </colorScale>
    </cfRule>
    <cfRule type="colorScale" priority="10043">
      <colorScale>
        <cfvo type="min"/>
        <cfvo type="percentile" val="50"/>
        <cfvo type="max"/>
        <color rgb="FF63BE7B"/>
        <color rgb="FFFFEB84"/>
        <color rgb="FFF8696B"/>
      </colorScale>
    </cfRule>
    <cfRule type="colorScale" priority="10045">
      <colorScale>
        <cfvo type="min"/>
        <cfvo type="percentile" val="50"/>
        <cfvo type="max"/>
        <color rgb="FF63BE7B"/>
        <color rgb="FFFFEB84"/>
        <color rgb="FFF8696B"/>
      </colorScale>
    </cfRule>
    <cfRule type="colorScale" priority="10046">
      <colorScale>
        <cfvo type="min"/>
        <cfvo type="percentile" val="50"/>
        <cfvo type="max"/>
        <color rgb="FF63BE7B"/>
        <color rgb="FFFFEB84"/>
        <color rgb="FFF8696B"/>
      </colorScale>
    </cfRule>
    <cfRule type="colorScale" priority="8318">
      <colorScale>
        <cfvo type="min"/>
        <cfvo type="percentile" val="50"/>
        <cfvo type="max"/>
        <color rgb="FF63BE7B"/>
        <color rgb="FFFFEB84"/>
        <color rgb="FFF8696B"/>
      </colorScale>
    </cfRule>
    <cfRule type="colorScale" priority="13145">
      <colorScale>
        <cfvo type="min"/>
        <cfvo type="percentile" val="50"/>
        <cfvo type="max"/>
        <color rgb="FF63BE7B"/>
        <color rgb="FFFFEB84"/>
        <color rgb="FFF8696B"/>
      </colorScale>
    </cfRule>
    <cfRule type="colorScale" priority="8319">
      <colorScale>
        <cfvo type="min"/>
        <cfvo type="percentile" val="50"/>
        <cfvo type="max"/>
        <color rgb="FF63BE7B"/>
        <color rgb="FFFFEB84"/>
        <color rgb="FFF8696B"/>
      </colorScale>
    </cfRule>
    <cfRule type="colorScale" priority="8320">
      <colorScale>
        <cfvo type="min"/>
        <cfvo type="percentile" val="50"/>
        <cfvo type="max"/>
        <color rgb="FF63BE7B"/>
        <color rgb="FFFFEB84"/>
        <color rgb="FFF8696B"/>
      </colorScale>
    </cfRule>
    <cfRule type="colorScale" priority="8321">
      <colorScale>
        <cfvo type="min"/>
        <cfvo type="percentile" val="50"/>
        <cfvo type="max"/>
        <color rgb="FF63BE7B"/>
        <color rgb="FFFFEB84"/>
        <color rgb="FFF8696B"/>
      </colorScale>
    </cfRule>
    <cfRule type="colorScale" priority="8322">
      <colorScale>
        <cfvo type="min"/>
        <cfvo type="percentile" val="50"/>
        <cfvo type="max"/>
        <color rgb="FF63BE7B"/>
        <color rgb="FFFFEB84"/>
        <color rgb="FFF8696B"/>
      </colorScale>
    </cfRule>
    <cfRule type="colorScale" priority="8323">
      <colorScale>
        <cfvo type="min"/>
        <cfvo type="percentile" val="50"/>
        <cfvo type="max"/>
        <color rgb="FF63BE7B"/>
        <color rgb="FFFFEB84"/>
        <color rgb="FFF8696B"/>
      </colorScale>
    </cfRule>
    <cfRule type="colorScale" priority="13144">
      <colorScale>
        <cfvo type="min"/>
        <cfvo type="percentile" val="50"/>
        <cfvo type="max"/>
        <color rgb="FF63BE7B"/>
        <color rgb="FFFFEB84"/>
        <color rgb="FFF8696B"/>
      </colorScale>
    </cfRule>
    <cfRule type="colorScale" priority="13143">
      <colorScale>
        <cfvo type="min"/>
        <cfvo type="percentile" val="50"/>
        <cfvo type="max"/>
        <color rgb="FF63BE7B"/>
        <color rgb="FFFFEB84"/>
        <color rgb="FFF8696B"/>
      </colorScale>
    </cfRule>
    <cfRule type="colorScale" priority="10040">
      <colorScale>
        <cfvo type="min"/>
        <cfvo type="percentile" val="50"/>
        <cfvo type="max"/>
        <color rgb="FF63BE7B"/>
        <color rgb="FFFFEB84"/>
        <color rgb="FFF8696B"/>
      </colorScale>
    </cfRule>
    <cfRule type="colorScale" priority="8287">
      <colorScale>
        <cfvo type="min"/>
        <cfvo type="percentile" val="50"/>
        <cfvo type="max"/>
        <color rgb="FF63BE7B"/>
        <color rgb="FFFFEB84"/>
        <color rgb="FFF8696B"/>
      </colorScale>
    </cfRule>
    <cfRule type="colorScale" priority="8288">
      <colorScale>
        <cfvo type="min"/>
        <cfvo type="percentile" val="50"/>
        <cfvo type="max"/>
        <color rgb="FF63BE7B"/>
        <color rgb="FFFFEB84"/>
        <color rgb="FFF8696B"/>
      </colorScale>
    </cfRule>
    <cfRule type="colorScale" priority="8290">
      <colorScale>
        <cfvo type="min"/>
        <cfvo type="percentile" val="50"/>
        <cfvo type="max"/>
        <color rgb="FF63BE7B"/>
        <color rgb="FFFFEB84"/>
        <color rgb="FFF8696B"/>
      </colorScale>
    </cfRule>
    <cfRule type="colorScale" priority="8331">
      <colorScale>
        <cfvo type="min"/>
        <cfvo type="percentile" val="50"/>
        <cfvo type="max"/>
        <color rgb="FF63BE7B"/>
        <color rgb="FFFFEB84"/>
        <color rgb="FFF8696B"/>
      </colorScale>
    </cfRule>
    <cfRule type="colorScale" priority="8332">
      <colorScale>
        <cfvo type="min"/>
        <cfvo type="percentile" val="50"/>
        <cfvo type="max"/>
        <color rgb="FF63BE7B"/>
        <color rgb="FFFFEB84"/>
        <color rgb="FFF8696B"/>
      </colorScale>
    </cfRule>
    <cfRule type="colorScale" priority="8333">
      <colorScale>
        <cfvo type="min"/>
        <cfvo type="percentile" val="50"/>
        <cfvo type="max"/>
        <color rgb="FF63BE7B"/>
        <color rgb="FFFFEB84"/>
        <color rgb="FFF8696B"/>
      </colorScale>
    </cfRule>
    <cfRule type="colorScale" priority="8334">
      <colorScale>
        <cfvo type="min"/>
        <cfvo type="percentile" val="50"/>
        <cfvo type="max"/>
        <color rgb="FF63BE7B"/>
        <color rgb="FFFFEB84"/>
        <color rgb="FFF8696B"/>
      </colorScale>
    </cfRule>
    <cfRule type="colorScale" priority="8335">
      <colorScale>
        <cfvo type="min"/>
        <cfvo type="percentile" val="50"/>
        <cfvo type="max"/>
        <color rgb="FF63BE7B"/>
        <color rgb="FFFFEB84"/>
        <color rgb="FFF8696B"/>
      </colorScale>
    </cfRule>
    <cfRule type="colorScale" priority="8291">
      <colorScale>
        <cfvo type="min"/>
        <cfvo type="percentile" val="50"/>
        <cfvo type="max"/>
        <color rgb="FF63BE7B"/>
        <color rgb="FFFFEB84"/>
        <color rgb="FFF8696B"/>
      </colorScale>
    </cfRule>
    <cfRule type="colorScale" priority="8336">
      <colorScale>
        <cfvo type="min"/>
        <cfvo type="percentile" val="50"/>
        <cfvo type="max"/>
        <color rgb="FF63BE7B"/>
        <color rgb="FFFFEB84"/>
        <color rgb="FFF8696B"/>
      </colorScale>
    </cfRule>
    <cfRule type="colorScale" priority="10039">
      <colorScale>
        <cfvo type="min"/>
        <cfvo type="percentile" val="50"/>
        <cfvo type="max"/>
        <color rgb="FF63BE7B"/>
        <color rgb="FFFFEB84"/>
        <color rgb="FFF8696B"/>
      </colorScale>
    </cfRule>
  </conditionalFormatting>
  <conditionalFormatting sqref="V35:V50">
    <cfRule type="colorScale" priority="13206">
      <colorScale>
        <cfvo type="min"/>
        <cfvo type="percentile" val="50"/>
        <cfvo type="max"/>
        <color rgb="FF63BE7B"/>
        <color rgb="FFFFEB84"/>
        <color rgb="FFF8696B"/>
      </colorScale>
    </cfRule>
  </conditionalFormatting>
  <conditionalFormatting sqref="V35:V53">
    <cfRule type="colorScale" priority="13224">
      <colorScale>
        <cfvo type="min"/>
        <cfvo type="percentile" val="50"/>
        <cfvo type="max"/>
        <color rgb="FF63BE7B"/>
        <color rgb="FFFFEB84"/>
        <color rgb="FFF8696B"/>
      </colorScale>
    </cfRule>
  </conditionalFormatting>
  <conditionalFormatting sqref="V36:V37">
    <cfRule type="colorScale" priority="8328">
      <colorScale>
        <cfvo type="min"/>
        <cfvo type="percentile" val="50"/>
        <cfvo type="max"/>
        <color rgb="FF63BE7B"/>
        <color rgb="FFFFEB84"/>
        <color rgb="FFF8696B"/>
      </colorScale>
    </cfRule>
    <cfRule type="colorScale" priority="10034">
      <colorScale>
        <cfvo type="min"/>
        <cfvo type="percentile" val="50"/>
        <cfvo type="max"/>
        <color rgb="FF63BE7B"/>
        <color rgb="FFFFEB84"/>
        <color rgb="FFF8696B"/>
      </colorScale>
    </cfRule>
    <cfRule type="colorScale" priority="8301">
      <colorScale>
        <cfvo type="min"/>
        <cfvo type="percentile" val="50"/>
        <cfvo type="max"/>
        <color rgb="FF63BE7B"/>
        <color rgb="FFFFEB84"/>
        <color rgb="FFF8696B"/>
      </colorScale>
    </cfRule>
  </conditionalFormatting>
  <conditionalFormatting sqref="V36:V41">
    <cfRule type="colorScale" priority="10044">
      <colorScale>
        <cfvo type="min"/>
        <cfvo type="percentile" val="50"/>
        <cfvo type="max"/>
        <color rgb="FF63BE7B"/>
        <color rgb="FFFFEB84"/>
        <color rgb="FFF8696B"/>
      </colorScale>
    </cfRule>
    <cfRule type="colorScale" priority="8338">
      <colorScale>
        <cfvo type="min"/>
        <cfvo type="percentile" val="50"/>
        <cfvo type="max"/>
        <color rgb="FF63BE7B"/>
        <color rgb="FFFFEB84"/>
        <color rgb="FFF8696B"/>
      </colorScale>
    </cfRule>
    <cfRule type="colorScale" priority="8311">
      <colorScale>
        <cfvo type="min"/>
        <cfvo type="percentile" val="50"/>
        <cfvo type="max"/>
        <color rgb="FF63BE7B"/>
        <color rgb="FFFFEB84"/>
        <color rgb="FFF8696B"/>
      </colorScale>
    </cfRule>
    <cfRule type="colorScale" priority="13146">
      <colorScale>
        <cfvo type="min"/>
        <cfvo type="percentile" val="50"/>
        <cfvo type="max"/>
        <color rgb="FF63BE7B"/>
        <color rgb="FFFFEB84"/>
        <color rgb="FFF8696B"/>
      </colorScale>
    </cfRule>
  </conditionalFormatting>
  <conditionalFormatting sqref="V42:V50">
    <cfRule type="colorScale" priority="7453">
      <colorScale>
        <cfvo type="min"/>
        <cfvo type="percentile" val="50"/>
        <cfvo type="max"/>
        <color rgb="FF63BE7B"/>
        <color rgb="FFFFEB84"/>
        <color rgb="FFF8696B"/>
      </colorScale>
    </cfRule>
  </conditionalFormatting>
  <conditionalFormatting sqref="V51:V53">
    <cfRule type="colorScale" priority="956">
      <colorScale>
        <cfvo type="min"/>
        <cfvo type="percentile" val="50"/>
        <cfvo type="max"/>
        <color rgb="FFF8696B"/>
        <color rgb="FFFFEB84"/>
        <color rgb="FF63BE7B"/>
      </colorScale>
    </cfRule>
    <cfRule type="colorScale" priority="984">
      <colorScale>
        <cfvo type="min"/>
        <cfvo type="percentile" val="50"/>
        <cfvo type="max"/>
        <color rgb="FF63BE7B"/>
        <color rgb="FFFFEB84"/>
        <color rgb="FFF8696B"/>
      </colorScale>
    </cfRule>
    <cfRule type="colorScale" priority="985">
      <colorScale>
        <cfvo type="min"/>
        <cfvo type="percentile" val="50"/>
        <cfvo type="max"/>
        <color rgb="FF63BE7B"/>
        <color rgb="FFFFEB84"/>
        <color rgb="FFF8696B"/>
      </colorScale>
    </cfRule>
    <cfRule type="colorScale" priority="4303">
      <colorScale>
        <cfvo type="min"/>
        <cfvo type="percentile" val="50"/>
        <cfvo type="max"/>
        <color rgb="FF63BE7B"/>
        <color rgb="FFFFEB84"/>
        <color rgb="FFF8696B"/>
      </colorScale>
    </cfRule>
    <cfRule type="colorScale" priority="4302">
      <colorScale>
        <cfvo type="min"/>
        <cfvo type="percentile" val="50"/>
        <cfvo type="max"/>
        <color rgb="FF63BE7B"/>
        <color rgb="FFFFEB84"/>
        <color rgb="FFF8696B"/>
      </colorScale>
    </cfRule>
    <cfRule type="colorScale" priority="4275">
      <colorScale>
        <cfvo type="min"/>
        <cfvo type="percentile" val="50"/>
        <cfvo type="max"/>
        <color rgb="FF63BE7B"/>
        <color rgb="FFFFEB84"/>
        <color rgb="FFF8696B"/>
      </colorScale>
    </cfRule>
  </conditionalFormatting>
  <conditionalFormatting sqref="V52:V53">
    <cfRule type="colorScale" priority="1038">
      <colorScale>
        <cfvo type="min"/>
        <cfvo type="percentile" val="50"/>
        <cfvo type="max"/>
        <color rgb="FF63BE7B"/>
        <color rgb="FFFFEB84"/>
        <color rgb="FFF8696B"/>
      </colorScale>
    </cfRule>
    <cfRule type="colorScale" priority="1039">
      <colorScale>
        <cfvo type="min"/>
        <cfvo type="percentile" val="50"/>
        <cfvo type="max"/>
        <color rgb="FF63BE7B"/>
        <color rgb="FFFFEB84"/>
        <color rgb="FFF8696B"/>
      </colorScale>
    </cfRule>
    <cfRule type="colorScale" priority="1040">
      <colorScale>
        <cfvo type="min"/>
        <cfvo type="percentile" val="50"/>
        <cfvo type="max"/>
        <color rgb="FF63BE7B"/>
        <color rgb="FFFFEB84"/>
        <color rgb="FFF8696B"/>
      </colorScale>
    </cfRule>
    <cfRule type="colorScale" priority="1041">
      <colorScale>
        <cfvo type="min"/>
        <cfvo type="percentile" val="50"/>
        <cfvo type="max"/>
        <color rgb="FF63BE7B"/>
        <color rgb="FFFFEB84"/>
        <color rgb="FFF8696B"/>
      </colorScale>
    </cfRule>
    <cfRule type="colorScale" priority="1042">
      <colorScale>
        <cfvo type="min"/>
        <cfvo type="percentile" val="50"/>
        <cfvo type="max"/>
        <color rgb="FF63BE7B"/>
        <color rgb="FFFFEB84"/>
        <color rgb="FFF8696B"/>
      </colorScale>
    </cfRule>
    <cfRule type="colorScale" priority="1043">
      <colorScale>
        <cfvo type="min"/>
        <cfvo type="percentile" val="50"/>
        <cfvo type="max"/>
        <color rgb="FF63BE7B"/>
        <color rgb="FFFFEB84"/>
        <color rgb="FFF8696B"/>
      </colorScale>
    </cfRule>
    <cfRule type="colorScale" priority="1044">
      <colorScale>
        <cfvo type="min"/>
        <cfvo type="percentile" val="50"/>
        <cfvo type="max"/>
        <color rgb="FF63BE7B"/>
        <color rgb="FFFFEB84"/>
        <color rgb="FFF8696B"/>
      </colorScale>
    </cfRule>
    <cfRule type="colorScale" priority="1045">
      <colorScale>
        <cfvo type="min"/>
        <cfvo type="percentile" val="50"/>
        <cfvo type="max"/>
        <color rgb="FF63BE7B"/>
        <color rgb="FFFFEB84"/>
        <color rgb="FFF8696B"/>
      </colorScale>
    </cfRule>
    <cfRule type="colorScale" priority="1046">
      <colorScale>
        <cfvo type="min"/>
        <cfvo type="percentile" val="50"/>
        <cfvo type="max"/>
        <color rgb="FF63BE7B"/>
        <color rgb="FFFFEB84"/>
        <color rgb="FFF8696B"/>
      </colorScale>
    </cfRule>
    <cfRule type="colorScale" priority="1047">
      <colorScale>
        <cfvo type="min"/>
        <cfvo type="percentile" val="50"/>
        <cfvo type="max"/>
        <color rgb="FF63BE7B"/>
        <color rgb="FFFFEB84"/>
        <color rgb="FFF8696B"/>
      </colorScale>
    </cfRule>
    <cfRule type="colorScale" priority="1048">
      <colorScale>
        <cfvo type="min"/>
        <cfvo type="percentile" val="50"/>
        <cfvo type="max"/>
        <color rgb="FF63BE7B"/>
        <color rgb="FFFFEB84"/>
        <color rgb="FFF8696B"/>
      </colorScale>
    </cfRule>
    <cfRule type="colorScale" priority="1049">
      <colorScale>
        <cfvo type="min"/>
        <cfvo type="percentile" val="50"/>
        <cfvo type="max"/>
        <color rgb="FF63BE7B"/>
        <color rgb="FFFFEB84"/>
        <color rgb="FFF8696B"/>
      </colorScale>
    </cfRule>
    <cfRule type="colorScale" priority="1050">
      <colorScale>
        <cfvo type="min"/>
        <cfvo type="percentile" val="50"/>
        <cfvo type="max"/>
        <color rgb="FF63BE7B"/>
        <color rgb="FFFFEB84"/>
        <color rgb="FFF8696B"/>
      </colorScale>
    </cfRule>
    <cfRule type="colorScale" priority="1051">
      <colorScale>
        <cfvo type="min"/>
        <cfvo type="percentile" val="50"/>
        <cfvo type="max"/>
        <color rgb="FF63BE7B"/>
        <color rgb="FFFFEB84"/>
        <color rgb="FFF8696B"/>
      </colorScale>
    </cfRule>
    <cfRule type="colorScale" priority="1052">
      <colorScale>
        <cfvo type="min"/>
        <cfvo type="percentile" val="50"/>
        <cfvo type="max"/>
        <color rgb="FF63BE7B"/>
        <color rgb="FFFFEB84"/>
        <color rgb="FFF8696B"/>
      </colorScale>
    </cfRule>
    <cfRule type="colorScale" priority="1053">
      <colorScale>
        <cfvo type="min"/>
        <cfvo type="percentile" val="50"/>
        <cfvo type="max"/>
        <color rgb="FF63BE7B"/>
        <color rgb="FFFFEB84"/>
        <color rgb="FFF8696B"/>
      </colorScale>
    </cfRule>
    <cfRule type="colorScale" priority="1054">
      <colorScale>
        <cfvo type="min"/>
        <cfvo type="percentile" val="50"/>
        <cfvo type="max"/>
        <color rgb="FF63BE7B"/>
        <color rgb="FFFFEB84"/>
        <color rgb="FFF8696B"/>
      </colorScale>
    </cfRule>
    <cfRule type="colorScale" priority="1055">
      <colorScale>
        <cfvo type="min"/>
        <cfvo type="percentile" val="50"/>
        <cfvo type="max"/>
        <color rgb="FF63BE7B"/>
        <color rgb="FFFFEB84"/>
        <color rgb="FFF8696B"/>
      </colorScale>
    </cfRule>
    <cfRule type="colorScale" priority="1056">
      <colorScale>
        <cfvo type="min"/>
        <cfvo type="percentile" val="50"/>
        <cfvo type="max"/>
        <color rgb="FF63BE7B"/>
        <color rgb="FFFFEB84"/>
        <color rgb="FFF8696B"/>
      </colorScale>
    </cfRule>
    <cfRule type="colorScale" priority="1057">
      <colorScale>
        <cfvo type="min"/>
        <cfvo type="percentile" val="50"/>
        <cfvo type="max"/>
        <color rgb="FF63BE7B"/>
        <color rgb="FFFFEB84"/>
        <color rgb="FFF8696B"/>
      </colorScale>
    </cfRule>
    <cfRule type="colorScale" priority="1058">
      <colorScale>
        <cfvo type="min"/>
        <cfvo type="percentile" val="50"/>
        <cfvo type="max"/>
        <color rgb="FF63BE7B"/>
        <color rgb="FFFFEB84"/>
        <color rgb="FFF8696B"/>
      </colorScale>
    </cfRule>
    <cfRule type="colorScale" priority="1059">
      <colorScale>
        <cfvo type="min"/>
        <cfvo type="percentile" val="50"/>
        <cfvo type="max"/>
        <color rgb="FF63BE7B"/>
        <color rgb="FFFFEB84"/>
        <color rgb="FFF8696B"/>
      </colorScale>
    </cfRule>
    <cfRule type="colorScale" priority="1060">
      <colorScale>
        <cfvo type="min"/>
        <cfvo type="percentile" val="50"/>
        <cfvo type="max"/>
        <color rgb="FF63BE7B"/>
        <color rgb="FFFFEB84"/>
        <color rgb="FFF8696B"/>
      </colorScale>
    </cfRule>
    <cfRule type="colorScale" priority="1061">
      <colorScale>
        <cfvo type="min"/>
        <cfvo type="percentile" val="50"/>
        <cfvo type="max"/>
        <color rgb="FF63BE7B"/>
        <color rgb="FFFFEB84"/>
        <color rgb="FFF8696B"/>
      </colorScale>
    </cfRule>
    <cfRule type="colorScale" priority="1062">
      <colorScale>
        <cfvo type="min"/>
        <cfvo type="percentile" val="50"/>
        <cfvo type="max"/>
        <color rgb="FF63BE7B"/>
        <color rgb="FFFFEB84"/>
        <color rgb="FFF8696B"/>
      </colorScale>
    </cfRule>
    <cfRule type="colorScale" priority="1063">
      <colorScale>
        <cfvo type="min"/>
        <cfvo type="percentile" val="50"/>
        <cfvo type="max"/>
        <color rgb="FF63BE7B"/>
        <color rgb="FFFFEB84"/>
        <color rgb="FFF8696B"/>
      </colorScale>
    </cfRule>
    <cfRule type="colorScale" priority="1064">
      <colorScale>
        <cfvo type="min"/>
        <cfvo type="percentile" val="50"/>
        <cfvo type="max"/>
        <color rgb="FF63BE7B"/>
        <color rgb="FFFFEB84"/>
        <color rgb="FFF8696B"/>
      </colorScale>
    </cfRule>
    <cfRule type="colorScale" priority="1065">
      <colorScale>
        <cfvo type="min"/>
        <cfvo type="percentile" val="50"/>
        <cfvo type="max"/>
        <color rgb="FF63BE7B"/>
        <color rgb="FFFFEB84"/>
        <color rgb="FFF8696B"/>
      </colorScale>
    </cfRule>
    <cfRule type="colorScale" priority="1066">
      <colorScale>
        <cfvo type="min"/>
        <cfvo type="percentile" val="50"/>
        <cfvo type="max"/>
        <color rgb="FF63BE7B"/>
        <color rgb="FFFFEB84"/>
        <color rgb="FFF8696B"/>
      </colorScale>
    </cfRule>
    <cfRule type="colorScale" priority="1067">
      <colorScale>
        <cfvo type="min"/>
        <cfvo type="percentile" val="50"/>
        <cfvo type="max"/>
        <color rgb="FF63BE7B"/>
        <color rgb="FFFFEB84"/>
        <color rgb="FFF8696B"/>
      </colorScale>
    </cfRule>
    <cfRule type="colorScale" priority="1068">
      <colorScale>
        <cfvo type="min"/>
        <cfvo type="percentile" val="50"/>
        <cfvo type="max"/>
        <color rgb="FF63BE7B"/>
        <color rgb="FFFFEB84"/>
        <color rgb="FFF8696B"/>
      </colorScale>
    </cfRule>
    <cfRule type="colorScale" priority="1069">
      <colorScale>
        <cfvo type="min"/>
        <cfvo type="percentile" val="50"/>
        <cfvo type="max"/>
        <color rgb="FF63BE7B"/>
        <color rgb="FFFFEB84"/>
        <color rgb="FFF8696B"/>
      </colorScale>
    </cfRule>
    <cfRule type="colorScale" priority="1070">
      <colorScale>
        <cfvo type="min"/>
        <cfvo type="percentile" val="50"/>
        <cfvo type="max"/>
        <color rgb="FF63BE7B"/>
        <color rgb="FFFFEB84"/>
        <color rgb="FFF8696B"/>
      </colorScale>
    </cfRule>
    <cfRule type="colorScale" priority="1071">
      <colorScale>
        <cfvo type="min"/>
        <cfvo type="percentile" val="50"/>
        <cfvo type="max"/>
        <color rgb="FF63BE7B"/>
        <color rgb="FFFFEB84"/>
        <color rgb="FFF8696B"/>
      </colorScale>
    </cfRule>
    <cfRule type="colorScale" priority="1072">
      <colorScale>
        <cfvo type="min"/>
        <cfvo type="percentile" val="50"/>
        <cfvo type="max"/>
        <color rgb="FF63BE7B"/>
        <color rgb="FFFFEB84"/>
        <color rgb="FFF8696B"/>
      </colorScale>
    </cfRule>
    <cfRule type="colorScale" priority="1073">
      <colorScale>
        <cfvo type="min"/>
        <cfvo type="percentile" val="50"/>
        <cfvo type="max"/>
        <color rgb="FFF8696B"/>
        <color rgb="FFFFEB84"/>
        <color rgb="FF63BE7B"/>
      </colorScale>
    </cfRule>
    <cfRule type="colorScale" priority="1074">
      <colorScale>
        <cfvo type="min"/>
        <cfvo type="percentile" val="50"/>
        <cfvo type="max"/>
        <color rgb="FF63BE7B"/>
        <color rgb="FFFFEB84"/>
        <color rgb="FFF8696B"/>
      </colorScale>
    </cfRule>
    <cfRule type="colorScale" priority="1075">
      <colorScale>
        <cfvo type="min"/>
        <cfvo type="percentile" val="50"/>
        <cfvo type="max"/>
        <color rgb="FF63BE7B"/>
        <color rgb="FFFFEB84"/>
        <color rgb="FFF8696B"/>
      </colorScale>
    </cfRule>
    <cfRule type="colorScale" priority="1076">
      <colorScale>
        <cfvo type="min"/>
        <cfvo type="percentile" val="50"/>
        <cfvo type="max"/>
        <color rgb="FF63BE7B"/>
        <color rgb="FFFFEB84"/>
        <color rgb="FFF8696B"/>
      </colorScale>
    </cfRule>
    <cfRule type="colorScale" priority="1077">
      <colorScale>
        <cfvo type="min"/>
        <cfvo type="percentile" val="50"/>
        <cfvo type="max"/>
        <color rgb="FF63BE7B"/>
        <color rgb="FFFFEB84"/>
        <color rgb="FFF8696B"/>
      </colorScale>
    </cfRule>
    <cfRule type="colorScale" priority="1078">
      <colorScale>
        <cfvo type="min"/>
        <cfvo type="percentile" val="50"/>
        <cfvo type="max"/>
        <color rgb="FF63BE7B"/>
        <color rgb="FFFFEB84"/>
        <color rgb="FFF8696B"/>
      </colorScale>
    </cfRule>
    <cfRule type="colorScale" priority="1079">
      <colorScale>
        <cfvo type="min"/>
        <cfvo type="percentile" val="50"/>
        <cfvo type="max"/>
        <color rgb="FF63BE7B"/>
        <color rgb="FFFFEB84"/>
        <color rgb="FFF8696B"/>
      </colorScale>
    </cfRule>
    <cfRule type="colorScale" priority="1080">
      <colorScale>
        <cfvo type="min"/>
        <cfvo type="percentile" val="50"/>
        <cfvo type="max"/>
        <color rgb="FF63BE7B"/>
        <color rgb="FFFFEB84"/>
        <color rgb="FFF8696B"/>
      </colorScale>
    </cfRule>
    <cfRule type="colorScale" priority="1081">
      <colorScale>
        <cfvo type="min"/>
        <cfvo type="percentile" val="50"/>
        <cfvo type="max"/>
        <color rgb="FF63BE7B"/>
        <color rgb="FFFFEB84"/>
        <color rgb="FFF8696B"/>
      </colorScale>
    </cfRule>
    <cfRule type="colorScale" priority="1082">
      <colorScale>
        <cfvo type="min"/>
        <cfvo type="percentile" val="50"/>
        <cfvo type="max"/>
        <color rgb="FF63BE7B"/>
        <color rgb="FFFFEB84"/>
        <color rgb="FFF8696B"/>
      </colorScale>
    </cfRule>
    <cfRule type="colorScale" priority="1083">
      <colorScale>
        <cfvo type="min"/>
        <cfvo type="percentile" val="50"/>
        <cfvo type="max"/>
        <color rgb="FF63BE7B"/>
        <color rgb="FFFFEB84"/>
        <color rgb="FFF8696B"/>
      </colorScale>
    </cfRule>
    <cfRule type="colorScale" priority="1084">
      <colorScale>
        <cfvo type="min"/>
        <cfvo type="percentile" val="50"/>
        <cfvo type="max"/>
        <color rgb="FF63BE7B"/>
        <color rgb="FFFFEB84"/>
        <color rgb="FFF8696B"/>
      </colorScale>
    </cfRule>
    <cfRule type="colorScale" priority="1085">
      <colorScale>
        <cfvo type="min"/>
        <cfvo type="percentile" val="50"/>
        <cfvo type="max"/>
        <color rgb="FF63BE7B"/>
        <color rgb="FFFFEB84"/>
        <color rgb="FFF8696B"/>
      </colorScale>
    </cfRule>
    <cfRule type="colorScale" priority="1087">
      <colorScale>
        <cfvo type="min"/>
        <cfvo type="percentile" val="50"/>
        <cfvo type="max"/>
        <color rgb="FF63BE7B"/>
        <color rgb="FFFFEB84"/>
        <color rgb="FFF8696B"/>
      </colorScale>
    </cfRule>
    <cfRule type="colorScale" priority="1088">
      <colorScale>
        <cfvo type="min"/>
        <cfvo type="percentile" val="50"/>
        <cfvo type="max"/>
        <color rgb="FF63BE7B"/>
        <color rgb="FFFFEB84"/>
        <color rgb="FFF8696B"/>
      </colorScale>
    </cfRule>
    <cfRule type="colorScale" priority="1089">
      <colorScale>
        <cfvo type="min"/>
        <cfvo type="percentile" val="50"/>
        <cfvo type="max"/>
        <color rgb="FF63BE7B"/>
        <color rgb="FFFFEB84"/>
        <color rgb="FFF8696B"/>
      </colorScale>
    </cfRule>
    <cfRule type="colorScale" priority="1090">
      <colorScale>
        <cfvo type="min"/>
        <cfvo type="percentile" val="50"/>
        <cfvo type="max"/>
        <color rgb="FF63BE7B"/>
        <color rgb="FFFFEB84"/>
        <color rgb="FFF8696B"/>
      </colorScale>
    </cfRule>
    <cfRule type="colorScale" priority="1091">
      <colorScale>
        <cfvo type="min"/>
        <cfvo type="percentile" val="50"/>
        <cfvo type="max"/>
        <color rgb="FF63BE7B"/>
        <color rgb="FFFFEB84"/>
        <color rgb="FFF8696B"/>
      </colorScale>
    </cfRule>
    <cfRule type="colorScale" priority="1092">
      <colorScale>
        <cfvo type="min"/>
        <cfvo type="percentile" val="50"/>
        <cfvo type="max"/>
        <color rgb="FF63BE7B"/>
        <color rgb="FFFFEB84"/>
        <color rgb="FFF8696B"/>
      </colorScale>
    </cfRule>
    <cfRule type="colorScale" priority="1093">
      <colorScale>
        <cfvo type="min"/>
        <cfvo type="percentile" val="50"/>
        <cfvo type="max"/>
        <color rgb="FF63BE7B"/>
        <color rgb="FFFFEB84"/>
        <color rgb="FFF8696B"/>
      </colorScale>
    </cfRule>
    <cfRule type="colorScale" priority="1094">
      <colorScale>
        <cfvo type="min"/>
        <cfvo type="percentile" val="50"/>
        <cfvo type="max"/>
        <color rgb="FF63BE7B"/>
        <color rgb="FFFFEB84"/>
        <color rgb="FFF8696B"/>
      </colorScale>
    </cfRule>
    <cfRule type="colorScale" priority="1095">
      <colorScale>
        <cfvo type="min"/>
        <cfvo type="percentile" val="50"/>
        <cfvo type="max"/>
        <color rgb="FF63BE7B"/>
        <color rgb="FFFFEB84"/>
        <color rgb="FFF8696B"/>
      </colorScale>
    </cfRule>
    <cfRule type="colorScale" priority="1096">
      <colorScale>
        <cfvo type="min"/>
        <cfvo type="percentile" val="50"/>
        <cfvo type="max"/>
        <color rgb="FF63BE7B"/>
        <color rgb="FFFFEB84"/>
        <color rgb="FFF8696B"/>
      </colorScale>
    </cfRule>
    <cfRule type="colorScale" priority="1097">
      <colorScale>
        <cfvo type="min"/>
        <cfvo type="percentile" val="50"/>
        <cfvo type="max"/>
        <color rgb="FF63BE7B"/>
        <color rgb="FFFFEB84"/>
        <color rgb="FFF8696B"/>
      </colorScale>
    </cfRule>
    <cfRule type="colorScale" priority="1098">
      <colorScale>
        <cfvo type="min"/>
        <cfvo type="percentile" val="50"/>
        <cfvo type="max"/>
        <color rgb="FF63BE7B"/>
        <color rgb="FFFFEB84"/>
        <color rgb="FFF8696B"/>
      </colorScale>
    </cfRule>
    <cfRule type="colorScale" priority="1099">
      <colorScale>
        <cfvo type="min"/>
        <cfvo type="percentile" val="50"/>
        <cfvo type="max"/>
        <color rgb="FF63BE7B"/>
        <color rgb="FFFFEB84"/>
        <color rgb="FFF8696B"/>
      </colorScale>
    </cfRule>
    <cfRule type="colorScale" priority="1100">
      <colorScale>
        <cfvo type="min"/>
        <cfvo type="percentile" val="50"/>
        <cfvo type="max"/>
        <color rgb="FF63BE7B"/>
        <color rgb="FFFFEB84"/>
        <color rgb="FFF8696B"/>
      </colorScale>
    </cfRule>
    <cfRule type="colorScale" priority="1101">
      <colorScale>
        <cfvo type="min"/>
        <cfvo type="percentile" val="50"/>
        <cfvo type="max"/>
        <color rgb="FF63BE7B"/>
        <color rgb="FFFFEB84"/>
        <color rgb="FFF8696B"/>
      </colorScale>
    </cfRule>
    <cfRule type="colorScale" priority="1102">
      <colorScale>
        <cfvo type="min"/>
        <cfvo type="percentile" val="50"/>
        <cfvo type="max"/>
        <color rgb="FF63BE7B"/>
        <color rgb="FFFFEB84"/>
        <color rgb="FFF8696B"/>
      </colorScale>
    </cfRule>
    <cfRule type="colorScale" priority="1103">
      <colorScale>
        <cfvo type="min"/>
        <cfvo type="percentile" val="50"/>
        <cfvo type="max"/>
        <color rgb="FF63BE7B"/>
        <color rgb="FFFFEB84"/>
        <color rgb="FFF8696B"/>
      </colorScale>
    </cfRule>
    <cfRule type="colorScale" priority="1188">
      <colorScale>
        <cfvo type="min"/>
        <cfvo type="percentile" val="50"/>
        <cfvo type="max"/>
        <color rgb="FF63BE7B"/>
        <color rgb="FFFFEB84"/>
        <color rgb="FFF8696B"/>
      </colorScale>
    </cfRule>
    <cfRule type="colorScale" priority="1189">
      <colorScale>
        <cfvo type="min"/>
        <cfvo type="percentile" val="50"/>
        <cfvo type="max"/>
        <color rgb="FF63BE7B"/>
        <color rgb="FFFFEB84"/>
        <color rgb="FFF8696B"/>
      </colorScale>
    </cfRule>
    <cfRule type="colorScale" priority="1190">
      <colorScale>
        <cfvo type="min"/>
        <cfvo type="percentile" val="50"/>
        <cfvo type="max"/>
        <color rgb="FF63BE7B"/>
        <color rgb="FFFFEB84"/>
        <color rgb="FFF8696B"/>
      </colorScale>
    </cfRule>
    <cfRule type="colorScale" priority="1191">
      <colorScale>
        <cfvo type="min"/>
        <cfvo type="percentile" val="50"/>
        <cfvo type="max"/>
        <color rgb="FF63BE7B"/>
        <color rgb="FFFFEB84"/>
        <color rgb="FFF8696B"/>
      </colorScale>
    </cfRule>
    <cfRule type="colorScale" priority="1192">
      <colorScale>
        <cfvo type="min"/>
        <cfvo type="percentile" val="50"/>
        <cfvo type="max"/>
        <color rgb="FF63BE7B"/>
        <color rgb="FFFFEB84"/>
        <color rgb="FFF8696B"/>
      </colorScale>
    </cfRule>
    <cfRule type="colorScale" priority="1193">
      <colorScale>
        <cfvo type="min"/>
        <cfvo type="percentile" val="50"/>
        <cfvo type="max"/>
        <color rgb="FF63BE7B"/>
        <color rgb="FFFFEB84"/>
        <color rgb="FFF8696B"/>
      </colorScale>
    </cfRule>
    <cfRule type="colorScale" priority="1123">
      <colorScale>
        <cfvo type="min"/>
        <cfvo type="percentile" val="50"/>
        <cfvo type="max"/>
        <color rgb="FF63BE7B"/>
        <color rgb="FFFFEB84"/>
        <color rgb="FFF8696B"/>
      </colorScale>
    </cfRule>
    <cfRule type="colorScale" priority="1194">
      <colorScale>
        <cfvo type="min"/>
        <cfvo type="percentile" val="50"/>
        <cfvo type="max"/>
        <color rgb="FF63BE7B"/>
        <color rgb="FFFFEB84"/>
        <color rgb="FFF8696B"/>
      </colorScale>
    </cfRule>
    <cfRule type="colorScale" priority="1195">
      <colorScale>
        <cfvo type="min"/>
        <cfvo type="percentile" val="50"/>
        <cfvo type="max"/>
        <color rgb="FF63BE7B"/>
        <color rgb="FFFFEB84"/>
        <color rgb="FFF8696B"/>
      </colorScale>
    </cfRule>
    <cfRule type="colorScale" priority="1196">
      <colorScale>
        <cfvo type="min"/>
        <cfvo type="percentile" val="50"/>
        <cfvo type="max"/>
        <color rgb="FF63BE7B"/>
        <color rgb="FFFFEB84"/>
        <color rgb="FFF8696B"/>
      </colorScale>
    </cfRule>
    <cfRule type="colorScale" priority="1197">
      <colorScale>
        <cfvo type="min"/>
        <cfvo type="percentile" val="50"/>
        <cfvo type="max"/>
        <color rgb="FF63BE7B"/>
        <color rgb="FFFFEB84"/>
        <color rgb="FFF8696B"/>
      </colorScale>
    </cfRule>
    <cfRule type="colorScale" priority="1198">
      <colorScale>
        <cfvo type="min"/>
        <cfvo type="percentile" val="50"/>
        <cfvo type="max"/>
        <color rgb="FF63BE7B"/>
        <color rgb="FFFFEB84"/>
        <color rgb="FFF8696B"/>
      </colorScale>
    </cfRule>
    <cfRule type="colorScale" priority="4276">
      <colorScale>
        <cfvo type="min"/>
        <cfvo type="percentile" val="50"/>
        <cfvo type="max"/>
        <color rgb="FF63BE7B"/>
        <color rgb="FFFFEB84"/>
        <color rgb="FFF8696B"/>
      </colorScale>
    </cfRule>
    <cfRule type="colorScale" priority="4277">
      <colorScale>
        <cfvo type="min"/>
        <cfvo type="percentile" val="50"/>
        <cfvo type="max"/>
        <color rgb="FF63BE7B"/>
        <color rgb="FFFFEB84"/>
        <color rgb="FFF8696B"/>
      </colorScale>
    </cfRule>
    <cfRule type="colorScale" priority="4278">
      <colorScale>
        <cfvo type="min"/>
        <cfvo type="percentile" val="50"/>
        <cfvo type="max"/>
        <color rgb="FF63BE7B"/>
        <color rgb="FFFFEB84"/>
        <color rgb="FFF8696B"/>
      </colorScale>
    </cfRule>
    <cfRule type="colorScale" priority="4279">
      <colorScale>
        <cfvo type="min"/>
        <cfvo type="percentile" val="50"/>
        <cfvo type="max"/>
        <color rgb="FF63BE7B"/>
        <color rgb="FFFFEB84"/>
        <color rgb="FFF8696B"/>
      </colorScale>
    </cfRule>
    <cfRule type="colorScale" priority="4280">
      <colorScale>
        <cfvo type="min"/>
        <cfvo type="percentile" val="50"/>
        <cfvo type="max"/>
        <color rgb="FF63BE7B"/>
        <color rgb="FFFFEB84"/>
        <color rgb="FFF8696B"/>
      </colorScale>
    </cfRule>
    <cfRule type="colorScale" priority="4281">
      <colorScale>
        <cfvo type="min"/>
        <cfvo type="percentile" val="50"/>
        <cfvo type="max"/>
        <color rgb="FF63BE7B"/>
        <color rgb="FFFFEB84"/>
        <color rgb="FFF8696B"/>
      </colorScale>
    </cfRule>
    <cfRule type="colorScale" priority="4282">
      <colorScale>
        <cfvo type="min"/>
        <cfvo type="percentile" val="50"/>
        <cfvo type="max"/>
        <color rgb="FF63BE7B"/>
        <color rgb="FFFFEB84"/>
        <color rgb="FFF8696B"/>
      </colorScale>
    </cfRule>
    <cfRule type="colorScale" priority="4283">
      <colorScale>
        <cfvo type="min"/>
        <cfvo type="percentile" val="50"/>
        <cfvo type="max"/>
        <color rgb="FF63BE7B"/>
        <color rgb="FFFFEB84"/>
        <color rgb="FFF8696B"/>
      </colorScale>
    </cfRule>
    <cfRule type="colorScale" priority="4284">
      <colorScale>
        <cfvo type="min"/>
        <cfvo type="percentile" val="50"/>
        <cfvo type="max"/>
        <color rgb="FF63BE7B"/>
        <color rgb="FFFFEB84"/>
        <color rgb="FFF8696B"/>
      </colorScale>
    </cfRule>
    <cfRule type="colorScale" priority="4285">
      <colorScale>
        <cfvo type="min"/>
        <cfvo type="percentile" val="50"/>
        <cfvo type="max"/>
        <color rgb="FF63BE7B"/>
        <color rgb="FFFFEB84"/>
        <color rgb="FFF8696B"/>
      </colorScale>
    </cfRule>
    <cfRule type="colorScale" priority="4286">
      <colorScale>
        <cfvo type="min"/>
        <cfvo type="percentile" val="50"/>
        <cfvo type="max"/>
        <color rgb="FF63BE7B"/>
        <color rgb="FFFFEB84"/>
        <color rgb="FFF8696B"/>
      </colorScale>
    </cfRule>
    <cfRule type="colorScale" priority="4287">
      <colorScale>
        <cfvo type="min"/>
        <cfvo type="percentile" val="50"/>
        <cfvo type="max"/>
        <color rgb="FF63BE7B"/>
        <color rgb="FFFFEB84"/>
        <color rgb="FFF8696B"/>
      </colorScale>
    </cfRule>
    <cfRule type="colorScale" priority="4288">
      <colorScale>
        <cfvo type="min"/>
        <cfvo type="percentile" val="50"/>
        <cfvo type="max"/>
        <color rgb="FF63BE7B"/>
        <color rgb="FFFFEB84"/>
        <color rgb="FFF8696B"/>
      </colorScale>
    </cfRule>
    <cfRule type="colorScale" priority="4289">
      <colorScale>
        <cfvo type="min"/>
        <cfvo type="percentile" val="50"/>
        <cfvo type="max"/>
        <color rgb="FF63BE7B"/>
        <color rgb="FFFFEB84"/>
        <color rgb="FFF8696B"/>
      </colorScale>
    </cfRule>
    <cfRule type="colorScale" priority="4290">
      <colorScale>
        <cfvo type="min"/>
        <cfvo type="percentile" val="50"/>
        <cfvo type="max"/>
        <color rgb="FF63BE7B"/>
        <color rgb="FFFFEB84"/>
        <color rgb="FFF8696B"/>
      </colorScale>
    </cfRule>
    <cfRule type="colorScale" priority="4291">
      <colorScale>
        <cfvo type="min"/>
        <cfvo type="percentile" val="50"/>
        <cfvo type="max"/>
        <color rgb="FF63BE7B"/>
        <color rgb="FFFFEB84"/>
        <color rgb="FFF8696B"/>
      </colorScale>
    </cfRule>
    <cfRule type="colorScale" priority="4292">
      <colorScale>
        <cfvo type="min"/>
        <cfvo type="percentile" val="50"/>
        <cfvo type="max"/>
        <color rgb="FF63BE7B"/>
        <color rgb="FFFFEB84"/>
        <color rgb="FFF8696B"/>
      </colorScale>
    </cfRule>
    <cfRule type="colorScale" priority="4293">
      <colorScale>
        <cfvo type="min"/>
        <cfvo type="percentile" val="50"/>
        <cfvo type="max"/>
        <color rgb="FF63BE7B"/>
        <color rgb="FFFFEB84"/>
        <color rgb="FFF8696B"/>
      </colorScale>
    </cfRule>
    <cfRule type="colorScale" priority="4294">
      <colorScale>
        <cfvo type="min"/>
        <cfvo type="percentile" val="50"/>
        <cfvo type="max"/>
        <color rgb="FF63BE7B"/>
        <color rgb="FFFFEB84"/>
        <color rgb="FFF8696B"/>
      </colorScale>
    </cfRule>
    <cfRule type="colorScale" priority="4295">
      <colorScale>
        <cfvo type="min"/>
        <cfvo type="percentile" val="50"/>
        <cfvo type="max"/>
        <color rgb="FF63BE7B"/>
        <color rgb="FFFFEB84"/>
        <color rgb="FFF8696B"/>
      </colorScale>
    </cfRule>
    <cfRule type="colorScale" priority="4296">
      <colorScale>
        <cfvo type="min"/>
        <cfvo type="percentile" val="50"/>
        <cfvo type="max"/>
        <color rgb="FF63BE7B"/>
        <color rgb="FFFFEB84"/>
        <color rgb="FFF8696B"/>
      </colorScale>
    </cfRule>
    <cfRule type="colorScale" priority="4297">
      <colorScale>
        <cfvo type="min"/>
        <cfvo type="percentile" val="50"/>
        <cfvo type="max"/>
        <color rgb="FF63BE7B"/>
        <color rgb="FFFFEB84"/>
        <color rgb="FFF8696B"/>
      </colorScale>
    </cfRule>
    <cfRule type="colorScale" priority="4298">
      <colorScale>
        <cfvo type="min"/>
        <cfvo type="percentile" val="50"/>
        <cfvo type="max"/>
        <color rgb="FF63BE7B"/>
        <color rgb="FFFFEB84"/>
        <color rgb="FFF8696B"/>
      </colorScale>
    </cfRule>
    <cfRule type="colorScale" priority="4299">
      <colorScale>
        <cfvo type="min"/>
        <cfvo type="percentile" val="50"/>
        <cfvo type="max"/>
        <color rgb="FF63BE7B"/>
        <color rgb="FFFFEB84"/>
        <color rgb="FFF8696B"/>
      </colorScale>
    </cfRule>
    <cfRule type="colorScale" priority="4300">
      <colorScale>
        <cfvo type="min"/>
        <cfvo type="percentile" val="50"/>
        <cfvo type="max"/>
        <color rgb="FF63BE7B"/>
        <color rgb="FFFFEB84"/>
        <color rgb="FFF8696B"/>
      </colorScale>
    </cfRule>
    <cfRule type="colorScale" priority="4301">
      <colorScale>
        <cfvo type="min"/>
        <cfvo type="percentile" val="50"/>
        <cfvo type="max"/>
        <color rgb="FF63BE7B"/>
        <color rgb="FFFFEB84"/>
        <color rgb="FFF8696B"/>
      </colorScale>
    </cfRule>
    <cfRule type="colorScale" priority="967">
      <colorScale>
        <cfvo type="min"/>
        <cfvo type="percentile" val="50"/>
        <cfvo type="max"/>
        <color rgb="FF63BE7B"/>
        <color rgb="FFFFEB84"/>
        <color rgb="FFF8696B"/>
      </colorScale>
    </cfRule>
    <cfRule type="colorScale" priority="966">
      <colorScale>
        <cfvo type="min"/>
        <cfvo type="percentile" val="50"/>
        <cfvo type="max"/>
        <color rgb="FF63BE7B"/>
        <color rgb="FFFFEB84"/>
        <color rgb="FFF8696B"/>
      </colorScale>
    </cfRule>
    <cfRule type="colorScale" priority="965">
      <colorScale>
        <cfvo type="min"/>
        <cfvo type="percentile" val="50"/>
        <cfvo type="max"/>
        <color rgb="FF63BE7B"/>
        <color rgb="FFFFEB84"/>
        <color rgb="FFF8696B"/>
      </colorScale>
    </cfRule>
    <cfRule type="colorScale" priority="964">
      <colorScale>
        <cfvo type="min"/>
        <cfvo type="percentile" val="50"/>
        <cfvo type="max"/>
        <color rgb="FF63BE7B"/>
        <color rgb="FFFFEB84"/>
        <color rgb="FFF8696B"/>
      </colorScale>
    </cfRule>
    <cfRule type="colorScale" priority="963">
      <colorScale>
        <cfvo type="min"/>
        <cfvo type="percentile" val="50"/>
        <cfvo type="max"/>
        <color rgb="FF63BE7B"/>
        <color rgb="FFFFEB84"/>
        <color rgb="FFF8696B"/>
      </colorScale>
    </cfRule>
    <cfRule type="colorScale" priority="962">
      <colorScale>
        <cfvo type="min"/>
        <cfvo type="percentile" val="50"/>
        <cfvo type="max"/>
        <color rgb="FF63BE7B"/>
        <color rgb="FFFFEB84"/>
        <color rgb="FFF8696B"/>
      </colorScale>
    </cfRule>
    <cfRule type="colorScale" priority="961">
      <colorScale>
        <cfvo type="min"/>
        <cfvo type="percentile" val="50"/>
        <cfvo type="max"/>
        <color rgb="FF63BE7B"/>
        <color rgb="FFFFEB84"/>
        <color rgb="FFF8696B"/>
      </colorScale>
    </cfRule>
    <cfRule type="colorScale" priority="960">
      <colorScale>
        <cfvo type="min"/>
        <cfvo type="percentile" val="50"/>
        <cfvo type="max"/>
        <color rgb="FF63BE7B"/>
        <color rgb="FFFFEB84"/>
        <color rgb="FFF8696B"/>
      </colorScale>
    </cfRule>
    <cfRule type="colorScale" priority="959">
      <colorScale>
        <cfvo type="min"/>
        <cfvo type="percentile" val="50"/>
        <cfvo type="max"/>
        <color rgb="FF63BE7B"/>
        <color rgb="FFFFEB84"/>
        <color rgb="FFF8696B"/>
      </colorScale>
    </cfRule>
    <cfRule type="colorScale" priority="958">
      <colorScale>
        <cfvo type="min"/>
        <cfvo type="percentile" val="50"/>
        <cfvo type="max"/>
        <color rgb="FF63BE7B"/>
        <color rgb="FFFFEB84"/>
        <color rgb="FFF8696B"/>
      </colorScale>
    </cfRule>
    <cfRule type="colorScale" priority="957">
      <colorScale>
        <cfvo type="min"/>
        <cfvo type="percentile" val="50"/>
        <cfvo type="max"/>
        <color rgb="FF63BE7B"/>
        <color rgb="FFFFEB84"/>
        <color rgb="FFF8696B"/>
      </colorScale>
    </cfRule>
    <cfRule type="colorScale" priority="5228">
      <colorScale>
        <cfvo type="min"/>
        <cfvo type="percentile" val="50"/>
        <cfvo type="max"/>
        <color rgb="FF63BE7B"/>
        <color rgb="FFFFEB84"/>
        <color rgb="FFF8696B"/>
      </colorScale>
    </cfRule>
    <cfRule type="colorScale" priority="5229">
      <colorScale>
        <cfvo type="min"/>
        <cfvo type="percentile" val="50"/>
        <cfvo type="max"/>
        <color rgb="FF63BE7B"/>
        <color rgb="FFFFEB84"/>
        <color rgb="FFF8696B"/>
      </colorScale>
    </cfRule>
    <cfRule type="colorScale" priority="5230">
      <colorScale>
        <cfvo type="min"/>
        <cfvo type="percentile" val="50"/>
        <cfvo type="max"/>
        <color rgb="FF63BE7B"/>
        <color rgb="FFFFEB84"/>
        <color rgb="FFF8696B"/>
      </colorScale>
    </cfRule>
    <cfRule type="colorScale" priority="5231">
      <colorScale>
        <cfvo type="min"/>
        <cfvo type="percentile" val="50"/>
        <cfvo type="max"/>
        <color rgb="FF63BE7B"/>
        <color rgb="FFFFEB84"/>
        <color rgb="FFF8696B"/>
      </colorScale>
    </cfRule>
    <cfRule type="colorScale" priority="5232">
      <colorScale>
        <cfvo type="min"/>
        <cfvo type="percentile" val="50"/>
        <cfvo type="max"/>
        <color rgb="FF63BE7B"/>
        <color rgb="FFFFEB84"/>
        <color rgb="FFF8696B"/>
      </colorScale>
    </cfRule>
    <cfRule type="colorScale" priority="5233">
      <colorScale>
        <cfvo type="min"/>
        <cfvo type="percentile" val="50"/>
        <cfvo type="max"/>
        <color rgb="FF63BE7B"/>
        <color rgb="FFFFEB84"/>
        <color rgb="FFF8696B"/>
      </colorScale>
    </cfRule>
    <cfRule type="colorScale" priority="5234">
      <colorScale>
        <cfvo type="min"/>
        <cfvo type="percentile" val="50"/>
        <cfvo type="max"/>
        <color rgb="FF63BE7B"/>
        <color rgb="FFFFEB84"/>
        <color rgb="FFF8696B"/>
      </colorScale>
    </cfRule>
    <cfRule type="colorScale" priority="5235">
      <colorScale>
        <cfvo type="min"/>
        <cfvo type="percentile" val="50"/>
        <cfvo type="max"/>
        <color rgb="FF63BE7B"/>
        <color rgb="FFFFEB84"/>
        <color rgb="FFF8696B"/>
      </colorScale>
    </cfRule>
    <cfRule type="colorScale" priority="5236">
      <colorScale>
        <cfvo type="min"/>
        <cfvo type="percentile" val="50"/>
        <cfvo type="max"/>
        <color rgb="FF63BE7B"/>
        <color rgb="FFFFEB84"/>
        <color rgb="FFF8696B"/>
      </colorScale>
    </cfRule>
    <cfRule type="colorScale" priority="1104">
      <colorScale>
        <cfvo type="min"/>
        <cfvo type="percentile" val="50"/>
        <cfvo type="max"/>
        <color rgb="FF63BE7B"/>
        <color rgb="FFFFEB84"/>
        <color rgb="FFF8696B"/>
      </colorScale>
    </cfRule>
    <cfRule type="colorScale" priority="5237">
      <colorScale>
        <cfvo type="min"/>
        <cfvo type="percentile" val="50"/>
        <cfvo type="max"/>
        <color rgb="FF63BE7B"/>
        <color rgb="FFFFEB84"/>
        <color rgb="FFF8696B"/>
      </colorScale>
    </cfRule>
    <cfRule type="colorScale" priority="1105">
      <colorScale>
        <cfvo type="min"/>
        <cfvo type="percentile" val="50"/>
        <cfvo type="max"/>
        <color rgb="FF63BE7B"/>
        <color rgb="FFFFEB84"/>
        <color rgb="FFF8696B"/>
      </colorScale>
    </cfRule>
    <cfRule type="colorScale" priority="1106">
      <colorScale>
        <cfvo type="min"/>
        <cfvo type="percentile" val="50"/>
        <cfvo type="max"/>
        <color rgb="FF63BE7B"/>
        <color rgb="FFFFEB84"/>
        <color rgb="FFF8696B"/>
      </colorScale>
    </cfRule>
    <cfRule type="colorScale" priority="1107">
      <colorScale>
        <cfvo type="min"/>
        <cfvo type="percentile" val="50"/>
        <cfvo type="max"/>
        <color rgb="FF63BE7B"/>
        <color rgb="FFFFEB84"/>
        <color rgb="FFF8696B"/>
      </colorScale>
    </cfRule>
    <cfRule type="colorScale" priority="1108">
      <colorScale>
        <cfvo type="min"/>
        <cfvo type="percentile" val="50"/>
        <cfvo type="max"/>
        <color rgb="FF63BE7B"/>
        <color rgb="FFFFEB84"/>
        <color rgb="FFF8696B"/>
      </colorScale>
    </cfRule>
    <cfRule type="colorScale" priority="1109">
      <colorScale>
        <cfvo type="min"/>
        <cfvo type="percentile" val="50"/>
        <cfvo type="max"/>
        <color rgb="FF63BE7B"/>
        <color rgb="FFFFEB84"/>
        <color rgb="FFF8696B"/>
      </colorScale>
    </cfRule>
    <cfRule type="colorScale" priority="1110">
      <colorScale>
        <cfvo type="min"/>
        <cfvo type="percentile" val="50"/>
        <cfvo type="max"/>
        <color rgb="FF63BE7B"/>
        <color rgb="FFFFEB84"/>
        <color rgb="FFF8696B"/>
      </colorScale>
    </cfRule>
    <cfRule type="colorScale" priority="1111">
      <colorScale>
        <cfvo type="min"/>
        <cfvo type="percentile" val="50"/>
        <cfvo type="max"/>
        <color rgb="FF63BE7B"/>
        <color rgb="FFFFEB84"/>
        <color rgb="FFF8696B"/>
      </colorScale>
    </cfRule>
    <cfRule type="colorScale" priority="1112">
      <colorScale>
        <cfvo type="min"/>
        <cfvo type="percentile" val="50"/>
        <cfvo type="max"/>
        <color rgb="FF63BE7B"/>
        <color rgb="FFFFEB84"/>
        <color rgb="FFF8696B"/>
      </colorScale>
    </cfRule>
    <cfRule type="colorScale" priority="1113">
      <colorScale>
        <cfvo type="min"/>
        <cfvo type="percentile" val="50"/>
        <cfvo type="max"/>
        <color rgb="FF63BE7B"/>
        <color rgb="FFFFEB84"/>
        <color rgb="FFF8696B"/>
      </colorScale>
    </cfRule>
    <cfRule type="colorScale" priority="1114">
      <colorScale>
        <cfvo type="min"/>
        <cfvo type="percentile" val="50"/>
        <cfvo type="max"/>
        <color rgb="FF63BE7B"/>
        <color rgb="FFFFEB84"/>
        <color rgb="FFF8696B"/>
      </colorScale>
    </cfRule>
    <cfRule type="colorScale" priority="1115">
      <colorScale>
        <cfvo type="min"/>
        <cfvo type="percentile" val="50"/>
        <cfvo type="max"/>
        <color rgb="FF63BE7B"/>
        <color rgb="FFFFEB84"/>
        <color rgb="FFF8696B"/>
      </colorScale>
    </cfRule>
    <cfRule type="colorScale" priority="1116">
      <colorScale>
        <cfvo type="min"/>
        <cfvo type="percentile" val="50"/>
        <cfvo type="max"/>
        <color rgb="FF63BE7B"/>
        <color rgb="FFFFEB84"/>
        <color rgb="FFF8696B"/>
      </colorScale>
    </cfRule>
    <cfRule type="colorScale" priority="1117">
      <colorScale>
        <cfvo type="min"/>
        <cfvo type="percentile" val="50"/>
        <cfvo type="max"/>
        <color rgb="FF63BE7B"/>
        <color rgb="FFFFEB84"/>
        <color rgb="FFF8696B"/>
      </colorScale>
    </cfRule>
    <cfRule type="colorScale" priority="1118">
      <colorScale>
        <cfvo type="min"/>
        <cfvo type="percentile" val="50"/>
        <cfvo type="max"/>
        <color rgb="FF63BE7B"/>
        <color rgb="FFFFEB84"/>
        <color rgb="FFF8696B"/>
      </colorScale>
    </cfRule>
    <cfRule type="colorScale" priority="1119">
      <colorScale>
        <cfvo type="min"/>
        <cfvo type="percentile" val="50"/>
        <cfvo type="max"/>
        <color rgb="FF63BE7B"/>
        <color rgb="FFFFEB84"/>
        <color rgb="FFF8696B"/>
      </colorScale>
    </cfRule>
    <cfRule type="colorScale" priority="1120">
      <colorScale>
        <cfvo type="min"/>
        <cfvo type="percentile" val="50"/>
        <cfvo type="max"/>
        <color rgb="FF63BE7B"/>
        <color rgb="FFFFEB84"/>
        <color rgb="FFF8696B"/>
      </colorScale>
    </cfRule>
    <cfRule type="colorScale" priority="1121">
      <colorScale>
        <cfvo type="min"/>
        <cfvo type="percentile" val="50"/>
        <cfvo type="max"/>
        <color rgb="FF63BE7B"/>
        <color rgb="FFFFEB84"/>
        <color rgb="FFF8696B"/>
      </colorScale>
    </cfRule>
    <cfRule type="colorScale" priority="1122">
      <colorScale>
        <cfvo type="min"/>
        <cfvo type="percentile" val="50"/>
        <cfvo type="max"/>
        <color rgb="FF63BE7B"/>
        <color rgb="FFFFEB84"/>
        <color rgb="FFF8696B"/>
      </colorScale>
    </cfRule>
    <cfRule type="colorScale" priority="1124">
      <colorScale>
        <cfvo type="min"/>
        <cfvo type="percentile" val="50"/>
        <cfvo type="max"/>
        <color rgb="FF63BE7B"/>
        <color rgb="FFFFEB84"/>
        <color rgb="FFF8696B"/>
      </colorScale>
    </cfRule>
    <cfRule type="colorScale" priority="1125">
      <colorScale>
        <cfvo type="min"/>
        <cfvo type="percentile" val="50"/>
        <cfvo type="max"/>
        <color rgb="FF63BE7B"/>
        <color rgb="FFFFEB84"/>
        <color rgb="FFF8696B"/>
      </colorScale>
    </cfRule>
    <cfRule type="colorScale" priority="1126">
      <colorScale>
        <cfvo type="min"/>
        <cfvo type="percentile" val="50"/>
        <cfvo type="max"/>
        <color rgb="FF63BE7B"/>
        <color rgb="FFFFEB84"/>
        <color rgb="FFF8696B"/>
      </colorScale>
    </cfRule>
    <cfRule type="colorScale" priority="1127">
      <colorScale>
        <cfvo type="min"/>
        <cfvo type="percentile" val="50"/>
        <cfvo type="max"/>
        <color rgb="FF63BE7B"/>
        <color rgb="FFFFEB84"/>
        <color rgb="FFF8696B"/>
      </colorScale>
    </cfRule>
    <cfRule type="colorScale" priority="1128">
      <colorScale>
        <cfvo type="min"/>
        <cfvo type="percentile" val="50"/>
        <cfvo type="max"/>
        <color rgb="FF63BE7B"/>
        <color rgb="FFFFEB84"/>
        <color rgb="FFF8696B"/>
      </colorScale>
    </cfRule>
    <cfRule type="colorScale" priority="5238">
      <colorScale>
        <cfvo type="min"/>
        <cfvo type="percentile" val="50"/>
        <cfvo type="max"/>
        <color rgb="FF63BE7B"/>
        <color rgb="FFFFEB84"/>
        <color rgb="FFF8696B"/>
      </colorScale>
    </cfRule>
    <cfRule type="colorScale" priority="1199">
      <colorScale>
        <cfvo type="min"/>
        <cfvo type="percentile" val="50"/>
        <cfvo type="max"/>
        <color rgb="FF63BE7B"/>
        <color rgb="FFFFEB84"/>
        <color rgb="FFF8696B"/>
      </colorScale>
    </cfRule>
    <cfRule type="colorScale" priority="1200">
      <colorScale>
        <cfvo type="min"/>
        <cfvo type="percentile" val="50"/>
        <cfvo type="max"/>
        <color rgb="FF63BE7B"/>
        <color rgb="FFFFEB84"/>
        <color rgb="FFF8696B"/>
      </colorScale>
    </cfRule>
    <cfRule type="colorScale" priority="1201">
      <colorScale>
        <cfvo type="min"/>
        <cfvo type="percentile" val="50"/>
        <cfvo type="max"/>
        <color rgb="FF63BE7B"/>
        <color rgb="FFFFEB84"/>
        <color rgb="FFF8696B"/>
      </colorScale>
    </cfRule>
    <cfRule type="colorScale" priority="1202">
      <colorScale>
        <cfvo type="min"/>
        <cfvo type="percentile" val="50"/>
        <cfvo type="max"/>
        <color rgb="FF63BE7B"/>
        <color rgb="FFFFEB84"/>
        <color rgb="FFF8696B"/>
      </colorScale>
    </cfRule>
    <cfRule type="colorScale" priority="1203">
      <colorScale>
        <cfvo type="min"/>
        <cfvo type="percentile" val="50"/>
        <cfvo type="max"/>
        <color rgb="FF63BE7B"/>
        <color rgb="FFFFEB84"/>
        <color rgb="FFF8696B"/>
      </colorScale>
    </cfRule>
    <cfRule type="colorScale" priority="1204">
      <colorScale>
        <cfvo type="min"/>
        <cfvo type="percentile" val="50"/>
        <cfvo type="max"/>
        <color rgb="FF63BE7B"/>
        <color rgb="FFFFEB84"/>
        <color rgb="FFF8696B"/>
      </colorScale>
    </cfRule>
    <cfRule type="colorScale" priority="1205">
      <colorScale>
        <cfvo type="min"/>
        <cfvo type="percentile" val="50"/>
        <cfvo type="max"/>
        <color rgb="FF63BE7B"/>
        <color rgb="FFFFEB84"/>
        <color rgb="FFF8696B"/>
      </colorScale>
    </cfRule>
    <cfRule type="colorScale" priority="1206">
      <colorScale>
        <cfvo type="min"/>
        <cfvo type="percentile" val="50"/>
        <cfvo type="max"/>
        <color rgb="FF63BE7B"/>
        <color rgb="FFFFEB84"/>
        <color rgb="FFF8696B"/>
      </colorScale>
    </cfRule>
    <cfRule type="colorScale" priority="1207">
      <colorScale>
        <cfvo type="min"/>
        <cfvo type="percentile" val="50"/>
        <cfvo type="max"/>
        <color rgb="FF63BE7B"/>
        <color rgb="FFFFEB84"/>
        <color rgb="FFF8696B"/>
      </colorScale>
    </cfRule>
    <cfRule type="colorScale" priority="1208">
      <colorScale>
        <cfvo type="min"/>
        <cfvo type="percentile" val="50"/>
        <cfvo type="max"/>
        <color rgb="FF63BE7B"/>
        <color rgb="FFFFEB84"/>
        <color rgb="FFF8696B"/>
      </colorScale>
    </cfRule>
    <cfRule type="colorScale" priority="1209">
      <colorScale>
        <cfvo type="min"/>
        <cfvo type="percentile" val="50"/>
        <cfvo type="max"/>
        <color rgb="FF63BE7B"/>
        <color rgb="FFFFEB84"/>
        <color rgb="FFF8696B"/>
      </colorScale>
    </cfRule>
    <cfRule type="colorScale" priority="1129">
      <colorScale>
        <cfvo type="min"/>
        <cfvo type="percentile" val="50"/>
        <cfvo type="max"/>
        <color rgb="FF63BE7B"/>
        <color rgb="FFFFEB84"/>
        <color rgb="FFF8696B"/>
      </colorScale>
    </cfRule>
    <cfRule type="colorScale" priority="1130">
      <colorScale>
        <cfvo type="min"/>
        <cfvo type="percentile" val="50"/>
        <cfvo type="max"/>
        <color rgb="FF63BE7B"/>
        <color rgb="FFFFEB84"/>
        <color rgb="FFF8696B"/>
      </colorScale>
    </cfRule>
    <cfRule type="colorScale" priority="1131">
      <colorScale>
        <cfvo type="min"/>
        <cfvo type="percentile" val="50"/>
        <cfvo type="max"/>
        <color rgb="FF63BE7B"/>
        <color rgb="FFFFEB84"/>
        <color rgb="FFF8696B"/>
      </colorScale>
    </cfRule>
    <cfRule type="colorScale" priority="1132">
      <colorScale>
        <cfvo type="min"/>
        <cfvo type="percentile" val="50"/>
        <cfvo type="max"/>
        <color rgb="FF63BE7B"/>
        <color rgb="FFFFEB84"/>
        <color rgb="FFF8696B"/>
      </colorScale>
    </cfRule>
    <cfRule type="colorScale" priority="1133">
      <colorScale>
        <cfvo type="min"/>
        <cfvo type="percentile" val="50"/>
        <cfvo type="max"/>
        <color rgb="FF63BE7B"/>
        <color rgb="FFFFEB84"/>
        <color rgb="FFF8696B"/>
      </colorScale>
    </cfRule>
    <cfRule type="colorScale" priority="1134">
      <colorScale>
        <cfvo type="min"/>
        <cfvo type="percentile" val="50"/>
        <cfvo type="max"/>
        <color rgb="FF63BE7B"/>
        <color rgb="FFFFEB84"/>
        <color rgb="FFF8696B"/>
      </colorScale>
    </cfRule>
    <cfRule type="colorScale" priority="1135">
      <colorScale>
        <cfvo type="min"/>
        <cfvo type="percentile" val="50"/>
        <cfvo type="max"/>
        <color rgb="FF63BE7B"/>
        <color rgb="FFFFEB84"/>
        <color rgb="FFF8696B"/>
      </colorScale>
    </cfRule>
    <cfRule type="colorScale" priority="1136">
      <colorScale>
        <cfvo type="min"/>
        <cfvo type="percentile" val="50"/>
        <cfvo type="max"/>
        <color rgb="FF63BE7B"/>
        <color rgb="FFFFEB84"/>
        <color rgb="FFF8696B"/>
      </colorScale>
    </cfRule>
    <cfRule type="colorScale" priority="1137">
      <colorScale>
        <cfvo type="min"/>
        <cfvo type="percentile" val="50"/>
        <cfvo type="max"/>
        <color rgb="FF63BE7B"/>
        <color rgb="FFFFEB84"/>
        <color rgb="FFF8696B"/>
      </colorScale>
    </cfRule>
    <cfRule type="colorScale" priority="1138">
      <colorScale>
        <cfvo type="min"/>
        <cfvo type="percentile" val="50"/>
        <cfvo type="max"/>
        <color rgb="FF63BE7B"/>
        <color rgb="FFFFEB84"/>
        <color rgb="FFF8696B"/>
      </colorScale>
    </cfRule>
    <cfRule type="colorScale" priority="1139">
      <colorScale>
        <cfvo type="min"/>
        <cfvo type="percentile" val="50"/>
        <cfvo type="max"/>
        <color rgb="FF63BE7B"/>
        <color rgb="FFFFEB84"/>
        <color rgb="FFF8696B"/>
      </colorScale>
    </cfRule>
    <cfRule type="colorScale" priority="1140">
      <colorScale>
        <cfvo type="min"/>
        <cfvo type="percentile" val="50"/>
        <cfvo type="max"/>
        <color rgb="FF63BE7B"/>
        <color rgb="FFFFEB84"/>
        <color rgb="FFF8696B"/>
      </colorScale>
    </cfRule>
    <cfRule type="colorScale" priority="1141">
      <colorScale>
        <cfvo type="min"/>
        <cfvo type="percentile" val="50"/>
        <cfvo type="max"/>
        <color rgb="FF63BE7B"/>
        <color rgb="FFFFEB84"/>
        <color rgb="FFF8696B"/>
      </colorScale>
    </cfRule>
    <cfRule type="colorScale" priority="1142">
      <colorScale>
        <cfvo type="min"/>
        <cfvo type="percentile" val="50"/>
        <cfvo type="max"/>
        <color rgb="FF63BE7B"/>
        <color rgb="FFFFEB84"/>
        <color rgb="FFF8696B"/>
      </colorScale>
    </cfRule>
    <cfRule type="colorScale" priority="1143">
      <colorScale>
        <cfvo type="min"/>
        <cfvo type="percentile" val="50"/>
        <cfvo type="max"/>
        <color rgb="FF63BE7B"/>
        <color rgb="FFFFEB84"/>
        <color rgb="FFF8696B"/>
      </colorScale>
    </cfRule>
    <cfRule type="colorScale" priority="1144">
      <colorScale>
        <cfvo type="min"/>
        <cfvo type="percentile" val="50"/>
        <cfvo type="max"/>
        <color rgb="FF63BE7B"/>
        <color rgb="FFFFEB84"/>
        <color rgb="FFF8696B"/>
      </colorScale>
    </cfRule>
    <cfRule type="colorScale" priority="1145">
      <colorScale>
        <cfvo type="min"/>
        <cfvo type="percentile" val="50"/>
        <cfvo type="max"/>
        <color rgb="FF63BE7B"/>
        <color rgb="FFFFEB84"/>
        <color rgb="FFF8696B"/>
      </colorScale>
    </cfRule>
    <cfRule type="colorScale" priority="1146">
      <colorScale>
        <cfvo type="min"/>
        <cfvo type="percentile" val="50"/>
        <cfvo type="max"/>
        <color rgb="FF63BE7B"/>
        <color rgb="FFFFEB84"/>
        <color rgb="FFF8696B"/>
      </colorScale>
    </cfRule>
    <cfRule type="colorScale" priority="1147">
      <colorScale>
        <cfvo type="min"/>
        <cfvo type="percentile" val="50"/>
        <cfvo type="max"/>
        <color rgb="FF63BE7B"/>
        <color rgb="FFFFEB84"/>
        <color rgb="FFF8696B"/>
      </colorScale>
    </cfRule>
    <cfRule type="colorScale" priority="1148">
      <colorScale>
        <cfvo type="min"/>
        <cfvo type="percentile" val="50"/>
        <cfvo type="max"/>
        <color rgb="FF63BE7B"/>
        <color rgb="FFFFEB84"/>
        <color rgb="FFF8696B"/>
      </colorScale>
    </cfRule>
    <cfRule type="colorScale" priority="1149">
      <colorScale>
        <cfvo type="min"/>
        <cfvo type="percentile" val="50"/>
        <cfvo type="max"/>
        <color rgb="FF63BE7B"/>
        <color rgb="FFFFEB84"/>
        <color rgb="FFF8696B"/>
      </colorScale>
    </cfRule>
    <cfRule type="colorScale" priority="1150">
      <colorScale>
        <cfvo type="min"/>
        <cfvo type="percentile" val="50"/>
        <cfvo type="max"/>
        <color rgb="FF63BE7B"/>
        <color rgb="FFFFEB84"/>
        <color rgb="FFF8696B"/>
      </colorScale>
    </cfRule>
    <cfRule type="colorScale" priority="1151">
      <colorScale>
        <cfvo type="min"/>
        <cfvo type="percentile" val="50"/>
        <cfvo type="max"/>
        <color rgb="FF63BE7B"/>
        <color rgb="FFFFEB84"/>
        <color rgb="FFF8696B"/>
      </colorScale>
    </cfRule>
    <cfRule type="colorScale" priority="1152">
      <colorScale>
        <cfvo type="min"/>
        <cfvo type="percentile" val="50"/>
        <cfvo type="max"/>
        <color rgb="FF63BE7B"/>
        <color rgb="FFFFEB84"/>
        <color rgb="FFF8696B"/>
      </colorScale>
    </cfRule>
    <cfRule type="colorScale" priority="1153">
      <colorScale>
        <cfvo type="min"/>
        <cfvo type="percentile" val="50"/>
        <cfvo type="max"/>
        <color rgb="FF63BE7B"/>
        <color rgb="FFFFEB84"/>
        <color rgb="FFF8696B"/>
      </colorScale>
    </cfRule>
    <cfRule type="colorScale" priority="1154">
      <colorScale>
        <cfvo type="min"/>
        <cfvo type="percentile" val="50"/>
        <cfvo type="max"/>
        <color rgb="FFF8696B"/>
        <color rgb="FFFFEB84"/>
        <color rgb="FF63BE7B"/>
      </colorScale>
    </cfRule>
    <cfRule type="colorScale" priority="1155">
      <colorScale>
        <cfvo type="min"/>
        <cfvo type="percentile" val="50"/>
        <cfvo type="max"/>
        <color rgb="FF63BE7B"/>
        <color rgb="FFFFEB84"/>
        <color rgb="FFF8696B"/>
      </colorScale>
    </cfRule>
    <cfRule type="colorScale" priority="1156">
      <colorScale>
        <cfvo type="min"/>
        <cfvo type="percentile" val="50"/>
        <cfvo type="max"/>
        <color rgb="FF63BE7B"/>
        <color rgb="FFFFEB84"/>
        <color rgb="FFF8696B"/>
      </colorScale>
    </cfRule>
    <cfRule type="colorScale" priority="1157">
      <colorScale>
        <cfvo type="min"/>
        <cfvo type="percentile" val="50"/>
        <cfvo type="max"/>
        <color rgb="FF63BE7B"/>
        <color rgb="FFFFEB84"/>
        <color rgb="FFF8696B"/>
      </colorScale>
    </cfRule>
    <cfRule type="colorScale" priority="1158">
      <colorScale>
        <cfvo type="min"/>
        <cfvo type="percentile" val="50"/>
        <cfvo type="max"/>
        <color rgb="FF63BE7B"/>
        <color rgb="FFFFEB84"/>
        <color rgb="FFF8696B"/>
      </colorScale>
    </cfRule>
    <cfRule type="colorScale" priority="1159">
      <colorScale>
        <cfvo type="min"/>
        <cfvo type="percentile" val="50"/>
        <cfvo type="max"/>
        <color rgb="FF63BE7B"/>
        <color rgb="FFFFEB84"/>
        <color rgb="FFF8696B"/>
      </colorScale>
    </cfRule>
    <cfRule type="colorScale" priority="1160">
      <colorScale>
        <cfvo type="min"/>
        <cfvo type="percentile" val="50"/>
        <cfvo type="max"/>
        <color rgb="FF63BE7B"/>
        <color rgb="FFFFEB84"/>
        <color rgb="FFF8696B"/>
      </colorScale>
    </cfRule>
    <cfRule type="colorScale" priority="1161">
      <colorScale>
        <cfvo type="min"/>
        <cfvo type="percentile" val="50"/>
        <cfvo type="max"/>
        <color rgb="FF63BE7B"/>
        <color rgb="FFFFEB84"/>
        <color rgb="FFF8696B"/>
      </colorScale>
    </cfRule>
    <cfRule type="colorScale" priority="1162">
      <colorScale>
        <cfvo type="min"/>
        <cfvo type="percentile" val="50"/>
        <cfvo type="max"/>
        <color rgb="FF63BE7B"/>
        <color rgb="FFFFEB84"/>
        <color rgb="FFF8696B"/>
      </colorScale>
    </cfRule>
    <cfRule type="colorScale" priority="1163">
      <colorScale>
        <cfvo type="min"/>
        <cfvo type="percentile" val="50"/>
        <cfvo type="max"/>
        <color rgb="FF63BE7B"/>
        <color rgb="FFFFEB84"/>
        <color rgb="FFF8696B"/>
      </colorScale>
    </cfRule>
    <cfRule type="colorScale" priority="1164">
      <colorScale>
        <cfvo type="min"/>
        <cfvo type="percentile" val="50"/>
        <cfvo type="max"/>
        <color rgb="FF63BE7B"/>
        <color rgb="FFFFEB84"/>
        <color rgb="FFF8696B"/>
      </colorScale>
    </cfRule>
    <cfRule type="colorScale" priority="1165">
      <colorScale>
        <cfvo type="min"/>
        <cfvo type="percentile" val="50"/>
        <cfvo type="max"/>
        <color rgb="FF63BE7B"/>
        <color rgb="FFFFEB84"/>
        <color rgb="FFF8696B"/>
      </colorScale>
    </cfRule>
    <cfRule type="colorScale" priority="1166">
      <colorScale>
        <cfvo type="min"/>
        <cfvo type="percentile" val="50"/>
        <cfvo type="max"/>
        <color rgb="FF63BE7B"/>
        <color rgb="FFFFEB84"/>
        <color rgb="FFF8696B"/>
      </colorScale>
    </cfRule>
    <cfRule type="colorScale" priority="1167">
      <colorScale>
        <cfvo type="min"/>
        <cfvo type="percentile" val="50"/>
        <cfvo type="max"/>
        <color rgb="FF63BE7B"/>
        <color rgb="FFFFEB84"/>
        <color rgb="FFF8696B"/>
      </colorScale>
    </cfRule>
    <cfRule type="colorScale" priority="1168">
      <colorScale>
        <cfvo type="min"/>
        <cfvo type="percentile" val="50"/>
        <cfvo type="max"/>
        <color rgb="FF63BE7B"/>
        <color rgb="FFFFEB84"/>
        <color rgb="FFF8696B"/>
      </colorScale>
    </cfRule>
    <cfRule type="colorScale" priority="1169">
      <colorScale>
        <cfvo type="min"/>
        <cfvo type="percentile" val="50"/>
        <cfvo type="max"/>
        <color rgb="FF63BE7B"/>
        <color rgb="FFFFEB84"/>
        <color rgb="FFF8696B"/>
      </colorScale>
    </cfRule>
    <cfRule type="colorScale" priority="1170">
      <colorScale>
        <cfvo type="min"/>
        <cfvo type="percentile" val="50"/>
        <cfvo type="max"/>
        <color rgb="FF63BE7B"/>
        <color rgb="FFFFEB84"/>
        <color rgb="FFF8696B"/>
      </colorScale>
    </cfRule>
    <cfRule type="colorScale" priority="1171">
      <colorScale>
        <cfvo type="min"/>
        <cfvo type="percentile" val="50"/>
        <cfvo type="max"/>
        <color rgb="FF63BE7B"/>
        <color rgb="FFFFEB84"/>
        <color rgb="FFF8696B"/>
      </colorScale>
    </cfRule>
    <cfRule type="colorScale" priority="1172">
      <colorScale>
        <cfvo type="min"/>
        <cfvo type="percentile" val="50"/>
        <cfvo type="max"/>
        <color rgb="FF63BE7B"/>
        <color rgb="FFFFEB84"/>
        <color rgb="FFF8696B"/>
      </colorScale>
    </cfRule>
    <cfRule type="colorScale" priority="1173">
      <colorScale>
        <cfvo type="min"/>
        <cfvo type="percentile" val="50"/>
        <cfvo type="max"/>
        <color rgb="FF63BE7B"/>
        <color rgb="FFFFEB84"/>
        <color rgb="FFF8696B"/>
      </colorScale>
    </cfRule>
    <cfRule type="colorScale" priority="1174">
      <colorScale>
        <cfvo type="min"/>
        <cfvo type="percentile" val="50"/>
        <cfvo type="max"/>
        <color rgb="FF63BE7B"/>
        <color rgb="FFFFEB84"/>
        <color rgb="FFF8696B"/>
      </colorScale>
    </cfRule>
    <cfRule type="colorScale" priority="1175">
      <colorScale>
        <cfvo type="min"/>
        <cfvo type="percentile" val="50"/>
        <cfvo type="max"/>
        <color rgb="FF63BE7B"/>
        <color rgb="FFFFEB84"/>
        <color rgb="FFF8696B"/>
      </colorScale>
    </cfRule>
    <cfRule type="colorScale" priority="1176">
      <colorScale>
        <cfvo type="min"/>
        <cfvo type="percentile" val="50"/>
        <cfvo type="max"/>
        <color rgb="FF63BE7B"/>
        <color rgb="FFFFEB84"/>
        <color rgb="FFF8696B"/>
      </colorScale>
    </cfRule>
    <cfRule type="colorScale" priority="1177">
      <colorScale>
        <cfvo type="min"/>
        <cfvo type="percentile" val="50"/>
        <cfvo type="max"/>
        <color rgb="FF63BE7B"/>
        <color rgb="FFFFEB84"/>
        <color rgb="FFF8696B"/>
      </colorScale>
    </cfRule>
    <cfRule type="colorScale" priority="1178">
      <colorScale>
        <cfvo type="min"/>
        <cfvo type="percentile" val="50"/>
        <cfvo type="max"/>
        <color rgb="FF63BE7B"/>
        <color rgb="FFFFEB84"/>
        <color rgb="FFF8696B"/>
      </colorScale>
    </cfRule>
    <cfRule type="colorScale" priority="1179">
      <colorScale>
        <cfvo type="min"/>
        <cfvo type="percentile" val="50"/>
        <cfvo type="max"/>
        <color rgb="FF63BE7B"/>
        <color rgb="FFFFEB84"/>
        <color rgb="FFF8696B"/>
      </colorScale>
    </cfRule>
    <cfRule type="colorScale" priority="1180">
      <colorScale>
        <cfvo type="min"/>
        <cfvo type="percentile" val="50"/>
        <cfvo type="max"/>
        <color rgb="FF63BE7B"/>
        <color rgb="FFFFEB84"/>
        <color rgb="FFF8696B"/>
      </colorScale>
    </cfRule>
    <cfRule type="colorScale" priority="1181">
      <colorScale>
        <cfvo type="min"/>
        <cfvo type="percentile" val="50"/>
        <cfvo type="max"/>
        <color rgb="FF63BE7B"/>
        <color rgb="FFFFEB84"/>
        <color rgb="FFF8696B"/>
      </colorScale>
    </cfRule>
    <cfRule type="colorScale" priority="1182">
      <colorScale>
        <cfvo type="min"/>
        <cfvo type="percentile" val="50"/>
        <cfvo type="max"/>
        <color rgb="FF63BE7B"/>
        <color rgb="FFFFEB84"/>
        <color rgb="FFF8696B"/>
      </colorScale>
    </cfRule>
    <cfRule type="colorScale" priority="1183">
      <colorScale>
        <cfvo type="min"/>
        <cfvo type="percentile" val="50"/>
        <cfvo type="max"/>
        <color rgb="FF63BE7B"/>
        <color rgb="FFFFEB84"/>
        <color rgb="FFF8696B"/>
      </colorScale>
    </cfRule>
    <cfRule type="colorScale" priority="1184">
      <colorScale>
        <cfvo type="min"/>
        <cfvo type="percentile" val="50"/>
        <cfvo type="max"/>
        <color rgb="FF63BE7B"/>
        <color rgb="FFFFEB84"/>
        <color rgb="FFF8696B"/>
      </colorScale>
    </cfRule>
    <cfRule type="colorScale" priority="1185">
      <colorScale>
        <cfvo type="min"/>
        <cfvo type="percentile" val="50"/>
        <cfvo type="max"/>
        <color rgb="FF63BE7B"/>
        <color rgb="FFFFEB84"/>
        <color rgb="FFF8696B"/>
      </colorScale>
    </cfRule>
    <cfRule type="colorScale" priority="5239">
      <colorScale>
        <cfvo type="min"/>
        <cfvo type="percentile" val="50"/>
        <cfvo type="max"/>
        <color rgb="FF63BE7B"/>
        <color rgb="FFFFEB84"/>
        <color rgb="FFF8696B"/>
      </colorScale>
    </cfRule>
    <cfRule type="colorScale" priority="5240">
      <colorScale>
        <cfvo type="min"/>
        <cfvo type="percentile" val="50"/>
        <cfvo type="max"/>
        <color rgb="FF63BE7B"/>
        <color rgb="FFFFEB84"/>
        <color rgb="FFF8696B"/>
      </colorScale>
    </cfRule>
    <cfRule type="colorScale" priority="5241">
      <colorScale>
        <cfvo type="min"/>
        <cfvo type="percentile" val="50"/>
        <cfvo type="max"/>
        <color rgb="FF63BE7B"/>
        <color rgb="FFFFEB84"/>
        <color rgb="FFF8696B"/>
      </colorScale>
    </cfRule>
    <cfRule type="colorScale" priority="7203">
      <colorScale>
        <cfvo type="min"/>
        <cfvo type="percentile" val="50"/>
        <cfvo type="max"/>
        <color rgb="FF63BE7B"/>
        <color rgb="FFFFEB84"/>
        <color rgb="FFF8696B"/>
      </colorScale>
    </cfRule>
    <cfRule type="colorScale" priority="7202">
      <colorScale>
        <cfvo type="min"/>
        <cfvo type="percentile" val="50"/>
        <cfvo type="max"/>
        <color rgb="FF63BE7B"/>
        <color rgb="FFFFEB84"/>
        <color rgb="FFF8696B"/>
      </colorScale>
    </cfRule>
    <cfRule type="colorScale" priority="7201">
      <colorScale>
        <cfvo type="min"/>
        <cfvo type="percentile" val="50"/>
        <cfvo type="max"/>
        <color rgb="FF63BE7B"/>
        <color rgb="FFFFEB84"/>
        <color rgb="FFF8696B"/>
      </colorScale>
    </cfRule>
    <cfRule type="colorScale" priority="7200">
      <colorScale>
        <cfvo type="min"/>
        <cfvo type="percentile" val="50"/>
        <cfvo type="max"/>
        <color rgb="FF63BE7B"/>
        <color rgb="FFFFEB84"/>
        <color rgb="FFF8696B"/>
      </colorScale>
    </cfRule>
    <cfRule type="colorScale" priority="5242">
      <colorScale>
        <cfvo type="min"/>
        <cfvo type="percentile" val="50"/>
        <cfvo type="max"/>
        <color rgb="FF63BE7B"/>
        <color rgb="FFFFEB84"/>
        <color rgb="FFF8696B"/>
      </colorScale>
    </cfRule>
    <cfRule type="colorScale" priority="5243">
      <colorScale>
        <cfvo type="min"/>
        <cfvo type="percentile" val="50"/>
        <cfvo type="max"/>
        <color rgb="FF63BE7B"/>
        <color rgb="FFFFEB84"/>
        <color rgb="FFF8696B"/>
      </colorScale>
    </cfRule>
    <cfRule type="colorScale" priority="5244">
      <colorScale>
        <cfvo type="min"/>
        <cfvo type="percentile" val="50"/>
        <cfvo type="max"/>
        <color rgb="FF63BE7B"/>
        <color rgb="FFFFEB84"/>
        <color rgb="FFF8696B"/>
      </colorScale>
    </cfRule>
    <cfRule type="colorScale" priority="5245">
      <colorScale>
        <cfvo type="min"/>
        <cfvo type="percentile" val="50"/>
        <cfvo type="max"/>
        <color rgb="FF63BE7B"/>
        <color rgb="FFFFEB84"/>
        <color rgb="FFF8696B"/>
      </colorScale>
    </cfRule>
    <cfRule type="colorScale" priority="5246">
      <colorScale>
        <cfvo type="min"/>
        <cfvo type="percentile" val="50"/>
        <cfvo type="max"/>
        <color rgb="FF63BE7B"/>
        <color rgb="FFFFEB84"/>
        <color rgb="FFF8696B"/>
      </colorScale>
    </cfRule>
    <cfRule type="colorScale" priority="5247">
      <colorScale>
        <cfvo type="min"/>
        <cfvo type="percentile" val="50"/>
        <cfvo type="max"/>
        <color rgb="FF63BE7B"/>
        <color rgb="FFFFEB84"/>
        <color rgb="FFF8696B"/>
      </colorScale>
    </cfRule>
    <cfRule type="colorScale" priority="5248">
      <colorScale>
        <cfvo type="min"/>
        <cfvo type="percentile" val="50"/>
        <cfvo type="max"/>
        <color rgb="FF63BE7B"/>
        <color rgb="FFFFEB84"/>
        <color rgb="FFF8696B"/>
      </colorScale>
    </cfRule>
    <cfRule type="colorScale" priority="5249">
      <colorScale>
        <cfvo type="min"/>
        <cfvo type="percentile" val="50"/>
        <cfvo type="max"/>
        <color rgb="FF63BE7B"/>
        <color rgb="FFFFEB84"/>
        <color rgb="FFF8696B"/>
      </colorScale>
    </cfRule>
    <cfRule type="colorScale" priority="5250">
      <colorScale>
        <cfvo type="min"/>
        <cfvo type="percentile" val="50"/>
        <cfvo type="max"/>
        <color rgb="FF63BE7B"/>
        <color rgb="FFFFEB84"/>
        <color rgb="FFF8696B"/>
      </colorScale>
    </cfRule>
    <cfRule type="colorScale" priority="5252">
      <colorScale>
        <cfvo type="min"/>
        <cfvo type="percentile" val="50"/>
        <cfvo type="max"/>
        <color rgb="FF63BE7B"/>
        <color rgb="FFFFEB84"/>
        <color rgb="FFF8696B"/>
      </colorScale>
    </cfRule>
    <cfRule type="colorScale" priority="5253">
      <colorScale>
        <cfvo type="min"/>
        <cfvo type="percentile" val="50"/>
        <cfvo type="max"/>
        <color rgb="FF63BE7B"/>
        <color rgb="FFFFEB84"/>
        <color rgb="FFF8696B"/>
      </colorScale>
    </cfRule>
    <cfRule type="colorScale" priority="5254">
      <colorScale>
        <cfvo type="min"/>
        <cfvo type="percentile" val="50"/>
        <cfvo type="max"/>
        <color rgb="FF63BE7B"/>
        <color rgb="FFFFEB84"/>
        <color rgb="FFF8696B"/>
      </colorScale>
    </cfRule>
    <cfRule type="colorScale" priority="5255">
      <colorScale>
        <cfvo type="min"/>
        <cfvo type="percentile" val="50"/>
        <cfvo type="max"/>
        <color rgb="FF63BE7B"/>
        <color rgb="FFFFEB84"/>
        <color rgb="FFF8696B"/>
      </colorScale>
    </cfRule>
    <cfRule type="colorScale" priority="5256">
      <colorScale>
        <cfvo type="min"/>
        <cfvo type="percentile" val="50"/>
        <cfvo type="max"/>
        <color rgb="FF63BE7B"/>
        <color rgb="FFFFEB84"/>
        <color rgb="FFF8696B"/>
      </colorScale>
    </cfRule>
    <cfRule type="colorScale" priority="5257">
      <colorScale>
        <cfvo type="min"/>
        <cfvo type="percentile" val="50"/>
        <cfvo type="max"/>
        <color rgb="FF63BE7B"/>
        <color rgb="FFFFEB84"/>
        <color rgb="FFF8696B"/>
      </colorScale>
    </cfRule>
    <cfRule type="colorScale" priority="5258">
      <colorScale>
        <cfvo type="min"/>
        <cfvo type="percentile" val="50"/>
        <cfvo type="max"/>
        <color rgb="FF63BE7B"/>
        <color rgb="FFFFEB84"/>
        <color rgb="FFF8696B"/>
      </colorScale>
    </cfRule>
    <cfRule type="colorScale" priority="5259">
      <colorScale>
        <cfvo type="min"/>
        <cfvo type="percentile" val="50"/>
        <cfvo type="max"/>
        <color rgb="FF63BE7B"/>
        <color rgb="FFFFEB84"/>
        <color rgb="FFF8696B"/>
      </colorScale>
    </cfRule>
    <cfRule type="colorScale" priority="5260">
      <colorScale>
        <cfvo type="min"/>
        <cfvo type="percentile" val="50"/>
        <cfvo type="max"/>
        <color rgb="FF63BE7B"/>
        <color rgb="FFFFEB84"/>
        <color rgb="FFF8696B"/>
      </colorScale>
    </cfRule>
    <cfRule type="colorScale" priority="5261">
      <colorScale>
        <cfvo type="min"/>
        <cfvo type="percentile" val="50"/>
        <cfvo type="max"/>
        <color rgb="FF63BE7B"/>
        <color rgb="FFFFEB84"/>
        <color rgb="FFF8696B"/>
      </colorScale>
    </cfRule>
    <cfRule type="colorScale" priority="5262">
      <colorScale>
        <cfvo type="min"/>
        <cfvo type="percentile" val="50"/>
        <cfvo type="max"/>
        <color rgb="FF63BE7B"/>
        <color rgb="FFFFEB84"/>
        <color rgb="FFF8696B"/>
      </colorScale>
    </cfRule>
    <cfRule type="colorScale" priority="5263">
      <colorScale>
        <cfvo type="min"/>
        <cfvo type="percentile" val="50"/>
        <cfvo type="max"/>
        <color rgb="FF63BE7B"/>
        <color rgb="FFFFEB84"/>
        <color rgb="FFF8696B"/>
      </colorScale>
    </cfRule>
    <cfRule type="colorScale" priority="5264">
      <colorScale>
        <cfvo type="min"/>
        <cfvo type="percentile" val="50"/>
        <cfvo type="max"/>
        <color rgb="FF63BE7B"/>
        <color rgb="FFFFEB84"/>
        <color rgb="FFF8696B"/>
      </colorScale>
    </cfRule>
    <cfRule type="colorScale" priority="5265">
      <colorScale>
        <cfvo type="min"/>
        <cfvo type="percentile" val="50"/>
        <cfvo type="max"/>
        <color rgb="FF63BE7B"/>
        <color rgb="FFFFEB84"/>
        <color rgb="FFF8696B"/>
      </colorScale>
    </cfRule>
    <cfRule type="colorScale" priority="5251">
      <colorScale>
        <cfvo type="min"/>
        <cfvo type="percentile" val="50"/>
        <cfvo type="max"/>
        <color rgb="FF63BE7B"/>
        <color rgb="FFFFEB84"/>
        <color rgb="FFF8696B"/>
      </colorScale>
    </cfRule>
    <cfRule type="colorScale" priority="1086">
      <colorScale>
        <cfvo type="min"/>
        <cfvo type="percentile" val="50"/>
        <cfvo type="max"/>
        <color rgb="FF63BE7B"/>
        <color rgb="FFFFEB84"/>
        <color rgb="FFF8696B"/>
      </colorScale>
    </cfRule>
    <cfRule type="colorScale" priority="1029">
      <colorScale>
        <cfvo type="min"/>
        <cfvo type="percentile" val="50"/>
        <cfvo type="max"/>
        <color rgb="FF63BE7B"/>
        <color rgb="FFFFEB84"/>
        <color rgb="FFF8696B"/>
      </colorScale>
    </cfRule>
    <cfRule type="colorScale" priority="993">
      <colorScale>
        <cfvo type="min"/>
        <cfvo type="percentile" val="50"/>
        <cfvo type="max"/>
        <color rgb="FF63BE7B"/>
        <color rgb="FFFFEB84"/>
        <color rgb="FFF8696B"/>
      </colorScale>
    </cfRule>
    <cfRule type="colorScale" priority="994">
      <colorScale>
        <cfvo type="min"/>
        <cfvo type="percentile" val="50"/>
        <cfvo type="max"/>
        <color rgb="FF63BE7B"/>
        <color rgb="FFFFEB84"/>
        <color rgb="FFF8696B"/>
      </colorScale>
    </cfRule>
    <cfRule type="colorScale" priority="6177">
      <colorScale>
        <cfvo type="min"/>
        <cfvo type="percentile" val="50"/>
        <cfvo type="max"/>
        <color rgb="FF63BE7B"/>
        <color rgb="FFFFEB84"/>
        <color rgb="FFF8696B"/>
      </colorScale>
    </cfRule>
    <cfRule type="colorScale" priority="6176">
      <colorScale>
        <cfvo type="min"/>
        <cfvo type="percentile" val="50"/>
        <cfvo type="max"/>
        <color rgb="FF63BE7B"/>
        <color rgb="FFFFEB84"/>
        <color rgb="FFF8696B"/>
      </colorScale>
    </cfRule>
    <cfRule type="colorScale" priority="6175">
      <colorScale>
        <cfvo type="min"/>
        <cfvo type="percentile" val="50"/>
        <cfvo type="max"/>
        <color rgb="FF63BE7B"/>
        <color rgb="FFFFEB84"/>
        <color rgb="FFF8696B"/>
      </colorScale>
    </cfRule>
    <cfRule type="colorScale" priority="6174">
      <colorScale>
        <cfvo type="min"/>
        <cfvo type="percentile" val="50"/>
        <cfvo type="max"/>
        <color rgb="FF63BE7B"/>
        <color rgb="FFFFEB84"/>
        <color rgb="FFF8696B"/>
      </colorScale>
    </cfRule>
    <cfRule type="colorScale" priority="6173">
      <colorScale>
        <cfvo type="min"/>
        <cfvo type="percentile" val="50"/>
        <cfvo type="max"/>
        <color rgb="FF63BE7B"/>
        <color rgb="FFFFEB84"/>
        <color rgb="FFF8696B"/>
      </colorScale>
    </cfRule>
    <cfRule type="colorScale" priority="6172">
      <colorScale>
        <cfvo type="min"/>
        <cfvo type="percentile" val="50"/>
        <cfvo type="max"/>
        <color rgb="FF63BE7B"/>
        <color rgb="FFFFEB84"/>
        <color rgb="FFF8696B"/>
      </colorScale>
    </cfRule>
    <cfRule type="colorScale" priority="6171">
      <colorScale>
        <cfvo type="min"/>
        <cfvo type="percentile" val="50"/>
        <cfvo type="max"/>
        <color rgb="FF63BE7B"/>
        <color rgb="FFFFEB84"/>
        <color rgb="FFF8696B"/>
      </colorScale>
    </cfRule>
    <cfRule type="colorScale" priority="6170">
      <colorScale>
        <cfvo type="min"/>
        <cfvo type="percentile" val="50"/>
        <cfvo type="max"/>
        <color rgb="FF63BE7B"/>
        <color rgb="FFFFEB84"/>
        <color rgb="FFF8696B"/>
      </colorScale>
    </cfRule>
    <cfRule type="colorScale" priority="6169">
      <colorScale>
        <cfvo type="min"/>
        <cfvo type="percentile" val="50"/>
        <cfvo type="max"/>
        <color rgb="FF63BE7B"/>
        <color rgb="FFFFEB84"/>
        <color rgb="FFF8696B"/>
      </colorScale>
    </cfRule>
    <cfRule type="colorScale" priority="6168">
      <colorScale>
        <cfvo type="min"/>
        <cfvo type="percentile" val="50"/>
        <cfvo type="max"/>
        <color rgb="FF63BE7B"/>
        <color rgb="FFFFEB84"/>
        <color rgb="FFF8696B"/>
      </colorScale>
    </cfRule>
    <cfRule type="colorScale" priority="6167">
      <colorScale>
        <cfvo type="min"/>
        <cfvo type="percentile" val="50"/>
        <cfvo type="max"/>
        <color rgb="FF63BE7B"/>
        <color rgb="FFFFEB84"/>
        <color rgb="FFF8696B"/>
      </colorScale>
    </cfRule>
    <cfRule type="colorScale" priority="6166">
      <colorScale>
        <cfvo type="min"/>
        <cfvo type="percentile" val="50"/>
        <cfvo type="max"/>
        <color rgb="FF63BE7B"/>
        <color rgb="FFFFEB84"/>
        <color rgb="FFF8696B"/>
      </colorScale>
    </cfRule>
    <cfRule type="colorScale" priority="6165">
      <colorScale>
        <cfvo type="min"/>
        <cfvo type="percentile" val="50"/>
        <cfvo type="max"/>
        <color rgb="FF63BE7B"/>
        <color rgb="FFFFEB84"/>
        <color rgb="FFF8696B"/>
      </colorScale>
    </cfRule>
    <cfRule type="colorScale" priority="6164">
      <colorScale>
        <cfvo type="min"/>
        <cfvo type="percentile" val="50"/>
        <cfvo type="max"/>
        <color rgb="FF63BE7B"/>
        <color rgb="FFFFEB84"/>
        <color rgb="FFF8696B"/>
      </colorScale>
    </cfRule>
    <cfRule type="colorScale" priority="6163">
      <colorScale>
        <cfvo type="min"/>
        <cfvo type="percentile" val="50"/>
        <cfvo type="max"/>
        <color rgb="FF63BE7B"/>
        <color rgb="FFFFEB84"/>
        <color rgb="FFF8696B"/>
      </colorScale>
    </cfRule>
    <cfRule type="colorScale" priority="6162">
      <colorScale>
        <cfvo type="min"/>
        <cfvo type="percentile" val="50"/>
        <cfvo type="max"/>
        <color rgb="FF63BE7B"/>
        <color rgb="FFFFEB84"/>
        <color rgb="FFF8696B"/>
      </colorScale>
    </cfRule>
    <cfRule type="colorScale" priority="6940">
      <colorScale>
        <cfvo type="min"/>
        <cfvo type="percentile" val="50"/>
        <cfvo type="max"/>
        <color rgb="FF63BE7B"/>
        <color rgb="FFFFEB84"/>
        <color rgb="FFF8696B"/>
      </colorScale>
    </cfRule>
    <cfRule type="colorScale" priority="6939">
      <colorScale>
        <cfvo type="min"/>
        <cfvo type="percentile" val="50"/>
        <cfvo type="max"/>
        <color rgb="FF63BE7B"/>
        <color rgb="FFFFEB84"/>
        <color rgb="FFF8696B"/>
      </colorScale>
    </cfRule>
    <cfRule type="colorScale" priority="6938">
      <colorScale>
        <cfvo type="min"/>
        <cfvo type="percentile" val="50"/>
        <cfvo type="max"/>
        <color rgb="FF63BE7B"/>
        <color rgb="FFFFEB84"/>
        <color rgb="FFF8696B"/>
      </colorScale>
    </cfRule>
    <cfRule type="colorScale" priority="6937">
      <colorScale>
        <cfvo type="min"/>
        <cfvo type="percentile" val="50"/>
        <cfvo type="max"/>
        <color rgb="FF63BE7B"/>
        <color rgb="FFFFEB84"/>
        <color rgb="FFF8696B"/>
      </colorScale>
    </cfRule>
    <cfRule type="colorScale" priority="6936">
      <colorScale>
        <cfvo type="min"/>
        <cfvo type="percentile" val="50"/>
        <cfvo type="max"/>
        <color rgb="FF63BE7B"/>
        <color rgb="FFFFEB84"/>
        <color rgb="FFF8696B"/>
      </colorScale>
    </cfRule>
    <cfRule type="colorScale" priority="6935">
      <colorScale>
        <cfvo type="min"/>
        <cfvo type="percentile" val="50"/>
        <cfvo type="max"/>
        <color rgb="FF63BE7B"/>
        <color rgb="FFFFEB84"/>
        <color rgb="FFF8696B"/>
      </colorScale>
    </cfRule>
    <cfRule type="colorScale" priority="6934">
      <colorScale>
        <cfvo type="min"/>
        <cfvo type="percentile" val="50"/>
        <cfvo type="max"/>
        <color rgb="FF63BE7B"/>
        <color rgb="FFFFEB84"/>
        <color rgb="FFF8696B"/>
      </colorScale>
    </cfRule>
    <cfRule type="colorScale" priority="6933">
      <colorScale>
        <cfvo type="min"/>
        <cfvo type="percentile" val="50"/>
        <cfvo type="max"/>
        <color rgb="FF63BE7B"/>
        <color rgb="FFFFEB84"/>
        <color rgb="FFF8696B"/>
      </colorScale>
    </cfRule>
    <cfRule type="colorScale" priority="6932">
      <colorScale>
        <cfvo type="min"/>
        <cfvo type="percentile" val="50"/>
        <cfvo type="max"/>
        <color rgb="FF63BE7B"/>
        <color rgb="FFFFEB84"/>
        <color rgb="FFF8696B"/>
      </colorScale>
    </cfRule>
    <cfRule type="colorScale" priority="6161">
      <colorScale>
        <cfvo type="min"/>
        <cfvo type="percentile" val="50"/>
        <cfvo type="max"/>
        <color rgb="FF63BE7B"/>
        <color rgb="FFFFEB84"/>
        <color rgb="FFF8696B"/>
      </colorScale>
    </cfRule>
    <cfRule type="colorScale" priority="6160">
      <colorScale>
        <cfvo type="min"/>
        <cfvo type="percentile" val="50"/>
        <cfvo type="max"/>
        <color rgb="FF63BE7B"/>
        <color rgb="FFFFEB84"/>
        <color rgb="FFF8696B"/>
      </colorScale>
    </cfRule>
    <cfRule type="colorScale" priority="6159">
      <colorScale>
        <cfvo type="min"/>
        <cfvo type="percentile" val="50"/>
        <cfvo type="max"/>
        <color rgb="FF63BE7B"/>
        <color rgb="FFFFEB84"/>
        <color rgb="FFF8696B"/>
      </colorScale>
    </cfRule>
    <cfRule type="colorScale" priority="1186">
      <colorScale>
        <cfvo type="min"/>
        <cfvo type="percentile" val="50"/>
        <cfvo type="max"/>
        <color rgb="FF63BE7B"/>
        <color rgb="FFFFEB84"/>
        <color rgb="FFF8696B"/>
      </colorScale>
    </cfRule>
    <cfRule type="colorScale" priority="1187">
      <colorScale>
        <cfvo type="min"/>
        <cfvo type="percentile" val="50"/>
        <cfvo type="max"/>
        <color rgb="FF63BE7B"/>
        <color rgb="FFFFEB84"/>
        <color rgb="FFF8696B"/>
      </colorScale>
    </cfRule>
    <cfRule type="colorScale" priority="995">
      <colorScale>
        <cfvo type="min"/>
        <cfvo type="percentile" val="50"/>
        <cfvo type="max"/>
        <color rgb="FF63BE7B"/>
        <color rgb="FFFFEB84"/>
        <color rgb="FFF8696B"/>
      </colorScale>
    </cfRule>
    <cfRule type="colorScale" priority="996">
      <colorScale>
        <cfvo type="min"/>
        <cfvo type="percentile" val="50"/>
        <cfvo type="max"/>
        <color rgb="FF63BE7B"/>
        <color rgb="FFFFEB84"/>
        <color rgb="FFF8696B"/>
      </colorScale>
    </cfRule>
    <cfRule type="colorScale" priority="997">
      <colorScale>
        <cfvo type="min"/>
        <cfvo type="percentile" val="50"/>
        <cfvo type="max"/>
        <color rgb="FF63BE7B"/>
        <color rgb="FFFFEB84"/>
        <color rgb="FFF8696B"/>
      </colorScale>
    </cfRule>
    <cfRule type="colorScale" priority="998">
      <colorScale>
        <cfvo type="min"/>
        <cfvo type="percentile" val="50"/>
        <cfvo type="max"/>
        <color rgb="FF63BE7B"/>
        <color rgb="FFFFEB84"/>
        <color rgb="FFF8696B"/>
      </colorScale>
    </cfRule>
    <cfRule type="colorScale" priority="999">
      <colorScale>
        <cfvo type="min"/>
        <cfvo type="percentile" val="50"/>
        <cfvo type="max"/>
        <color rgb="FF63BE7B"/>
        <color rgb="FFFFEB84"/>
        <color rgb="FFF8696B"/>
      </colorScale>
    </cfRule>
    <cfRule type="colorScale" priority="1000">
      <colorScale>
        <cfvo type="min"/>
        <cfvo type="percentile" val="50"/>
        <cfvo type="max"/>
        <color rgb="FF63BE7B"/>
        <color rgb="FFFFEB84"/>
        <color rgb="FFF8696B"/>
      </colorScale>
    </cfRule>
    <cfRule type="colorScale" priority="1001">
      <colorScale>
        <cfvo type="min"/>
        <cfvo type="percentile" val="50"/>
        <cfvo type="max"/>
        <color rgb="FF63BE7B"/>
        <color rgb="FFFFEB84"/>
        <color rgb="FFF8696B"/>
      </colorScale>
    </cfRule>
    <cfRule type="colorScale" priority="1002">
      <colorScale>
        <cfvo type="min"/>
        <cfvo type="percentile" val="50"/>
        <cfvo type="max"/>
        <color rgb="FF63BE7B"/>
        <color rgb="FFFFEB84"/>
        <color rgb="FFF8696B"/>
      </colorScale>
    </cfRule>
    <cfRule type="colorScale" priority="1003">
      <colorScale>
        <cfvo type="min"/>
        <cfvo type="percentile" val="50"/>
        <cfvo type="max"/>
        <color rgb="FF63BE7B"/>
        <color rgb="FFFFEB84"/>
        <color rgb="FFF8696B"/>
      </colorScale>
    </cfRule>
    <cfRule type="colorScale" priority="1004">
      <colorScale>
        <cfvo type="min"/>
        <cfvo type="percentile" val="50"/>
        <cfvo type="max"/>
        <color rgb="FF63BE7B"/>
        <color rgb="FFFFEB84"/>
        <color rgb="FFF8696B"/>
      </colorScale>
    </cfRule>
    <cfRule type="colorScale" priority="1005">
      <colorScale>
        <cfvo type="min"/>
        <cfvo type="percentile" val="50"/>
        <cfvo type="max"/>
        <color rgb="FF63BE7B"/>
        <color rgb="FFFFEB84"/>
        <color rgb="FFF8696B"/>
      </colorScale>
    </cfRule>
    <cfRule type="colorScale" priority="1006">
      <colorScale>
        <cfvo type="min"/>
        <cfvo type="percentile" val="50"/>
        <cfvo type="max"/>
        <color rgb="FF63BE7B"/>
        <color rgb="FFFFEB84"/>
        <color rgb="FFF8696B"/>
      </colorScale>
    </cfRule>
    <cfRule type="colorScale" priority="1007">
      <colorScale>
        <cfvo type="min"/>
        <cfvo type="percentile" val="50"/>
        <cfvo type="max"/>
        <color rgb="FF63BE7B"/>
        <color rgb="FFFFEB84"/>
        <color rgb="FFF8696B"/>
      </colorScale>
    </cfRule>
    <cfRule type="colorScale" priority="1008">
      <colorScale>
        <cfvo type="min"/>
        <cfvo type="percentile" val="50"/>
        <cfvo type="max"/>
        <color rgb="FF63BE7B"/>
        <color rgb="FFFFEB84"/>
        <color rgb="FFF8696B"/>
      </colorScale>
    </cfRule>
    <cfRule type="colorScale" priority="1009">
      <colorScale>
        <cfvo type="min"/>
        <cfvo type="percentile" val="50"/>
        <cfvo type="max"/>
        <color rgb="FF63BE7B"/>
        <color rgb="FFFFEB84"/>
        <color rgb="FFF8696B"/>
      </colorScale>
    </cfRule>
    <cfRule type="colorScale" priority="1010">
      <colorScale>
        <cfvo type="min"/>
        <cfvo type="percentile" val="50"/>
        <cfvo type="max"/>
        <color rgb="FF63BE7B"/>
        <color rgb="FFFFEB84"/>
        <color rgb="FFF8696B"/>
      </colorScale>
    </cfRule>
    <cfRule type="colorScale" priority="1011">
      <colorScale>
        <cfvo type="min"/>
        <cfvo type="percentile" val="50"/>
        <cfvo type="max"/>
        <color rgb="FF63BE7B"/>
        <color rgb="FFFFEB84"/>
        <color rgb="FFF8696B"/>
      </colorScale>
    </cfRule>
    <cfRule type="colorScale" priority="1012">
      <colorScale>
        <cfvo type="min"/>
        <cfvo type="percentile" val="50"/>
        <cfvo type="max"/>
        <color rgb="FF63BE7B"/>
        <color rgb="FFFFEB84"/>
        <color rgb="FFF8696B"/>
      </colorScale>
    </cfRule>
    <cfRule type="colorScale" priority="1013">
      <colorScale>
        <cfvo type="min"/>
        <cfvo type="percentile" val="50"/>
        <cfvo type="max"/>
        <color rgb="FF63BE7B"/>
        <color rgb="FFFFEB84"/>
        <color rgb="FFF8696B"/>
      </colorScale>
    </cfRule>
    <cfRule type="colorScale" priority="1014">
      <colorScale>
        <cfvo type="min"/>
        <cfvo type="percentile" val="50"/>
        <cfvo type="max"/>
        <color rgb="FF63BE7B"/>
        <color rgb="FFFFEB84"/>
        <color rgb="FFF8696B"/>
      </colorScale>
    </cfRule>
    <cfRule type="colorScale" priority="1015">
      <colorScale>
        <cfvo type="min"/>
        <cfvo type="percentile" val="50"/>
        <cfvo type="max"/>
        <color rgb="FF63BE7B"/>
        <color rgb="FFFFEB84"/>
        <color rgb="FFF8696B"/>
      </colorScale>
    </cfRule>
    <cfRule type="colorScale" priority="1016">
      <colorScale>
        <cfvo type="min"/>
        <cfvo type="percentile" val="50"/>
        <cfvo type="max"/>
        <color rgb="FF63BE7B"/>
        <color rgb="FFFFEB84"/>
        <color rgb="FFF8696B"/>
      </colorScale>
    </cfRule>
    <cfRule type="colorScale" priority="7257">
      <colorScale>
        <cfvo type="min"/>
        <cfvo type="percentile" val="50"/>
        <cfvo type="max"/>
        <color rgb="FF63BE7B"/>
        <color rgb="FFFFEB84"/>
        <color rgb="FFF8696B"/>
      </colorScale>
    </cfRule>
    <cfRule type="colorScale" priority="1017">
      <colorScale>
        <cfvo type="min"/>
        <cfvo type="percentile" val="50"/>
        <cfvo type="max"/>
        <color rgb="FF63BE7B"/>
        <color rgb="FFFFEB84"/>
        <color rgb="FFF8696B"/>
      </colorScale>
    </cfRule>
    <cfRule type="colorScale" priority="1018">
      <colorScale>
        <cfvo type="min"/>
        <cfvo type="percentile" val="50"/>
        <cfvo type="max"/>
        <color rgb="FF63BE7B"/>
        <color rgb="FFFFEB84"/>
        <color rgb="FFF8696B"/>
      </colorScale>
    </cfRule>
    <cfRule type="colorScale" priority="1019">
      <colorScale>
        <cfvo type="min"/>
        <cfvo type="percentile" val="50"/>
        <cfvo type="max"/>
        <color rgb="FF63BE7B"/>
        <color rgb="FFFFEB84"/>
        <color rgb="FFF8696B"/>
      </colorScale>
    </cfRule>
    <cfRule type="colorScale" priority="1020">
      <colorScale>
        <cfvo type="min"/>
        <cfvo type="percentile" val="50"/>
        <cfvo type="max"/>
        <color rgb="FF63BE7B"/>
        <color rgb="FFFFEB84"/>
        <color rgb="FFF8696B"/>
      </colorScale>
    </cfRule>
    <cfRule type="colorScale" priority="1021">
      <colorScale>
        <cfvo type="min"/>
        <cfvo type="percentile" val="50"/>
        <cfvo type="max"/>
        <color rgb="FF63BE7B"/>
        <color rgb="FFFFEB84"/>
        <color rgb="FFF8696B"/>
      </colorScale>
    </cfRule>
    <cfRule type="colorScale" priority="1022">
      <colorScale>
        <cfvo type="min"/>
        <cfvo type="percentile" val="50"/>
        <cfvo type="max"/>
        <color rgb="FF63BE7B"/>
        <color rgb="FFFFEB84"/>
        <color rgb="FFF8696B"/>
      </colorScale>
    </cfRule>
    <cfRule type="colorScale" priority="1023">
      <colorScale>
        <cfvo type="min"/>
        <cfvo type="percentile" val="50"/>
        <cfvo type="max"/>
        <color rgb="FF63BE7B"/>
        <color rgb="FFFFEB84"/>
        <color rgb="FFF8696B"/>
      </colorScale>
    </cfRule>
    <cfRule type="colorScale" priority="1024">
      <colorScale>
        <cfvo type="min"/>
        <cfvo type="percentile" val="50"/>
        <cfvo type="max"/>
        <color rgb="FF63BE7B"/>
        <color rgb="FFFFEB84"/>
        <color rgb="FFF8696B"/>
      </colorScale>
    </cfRule>
    <cfRule type="colorScale" priority="968">
      <colorScale>
        <cfvo type="min"/>
        <cfvo type="percentile" val="50"/>
        <cfvo type="max"/>
        <color rgb="FF63BE7B"/>
        <color rgb="FFFFEB84"/>
        <color rgb="FFF8696B"/>
      </colorScale>
    </cfRule>
    <cfRule type="colorScale" priority="969">
      <colorScale>
        <cfvo type="min"/>
        <cfvo type="percentile" val="50"/>
        <cfvo type="max"/>
        <color rgb="FF63BE7B"/>
        <color rgb="FFFFEB84"/>
        <color rgb="FFF8696B"/>
      </colorScale>
    </cfRule>
    <cfRule type="colorScale" priority="970">
      <colorScale>
        <cfvo type="min"/>
        <cfvo type="percentile" val="50"/>
        <cfvo type="max"/>
        <color rgb="FF63BE7B"/>
        <color rgb="FFFFEB84"/>
        <color rgb="FFF8696B"/>
      </colorScale>
    </cfRule>
    <cfRule type="colorScale" priority="971">
      <colorScale>
        <cfvo type="min"/>
        <cfvo type="percentile" val="50"/>
        <cfvo type="max"/>
        <color rgb="FF63BE7B"/>
        <color rgb="FFFFEB84"/>
        <color rgb="FFF8696B"/>
      </colorScale>
    </cfRule>
    <cfRule type="colorScale" priority="972">
      <colorScale>
        <cfvo type="min"/>
        <cfvo type="percentile" val="50"/>
        <cfvo type="max"/>
        <color rgb="FF63BE7B"/>
        <color rgb="FFFFEB84"/>
        <color rgb="FFF8696B"/>
      </colorScale>
    </cfRule>
    <cfRule type="colorScale" priority="973">
      <colorScale>
        <cfvo type="min"/>
        <cfvo type="percentile" val="50"/>
        <cfvo type="max"/>
        <color rgb="FF63BE7B"/>
        <color rgb="FFFFEB84"/>
        <color rgb="FFF8696B"/>
      </colorScale>
    </cfRule>
    <cfRule type="colorScale" priority="974">
      <colorScale>
        <cfvo type="min"/>
        <cfvo type="percentile" val="50"/>
        <cfvo type="max"/>
        <color rgb="FF63BE7B"/>
        <color rgb="FFFFEB84"/>
        <color rgb="FFF8696B"/>
      </colorScale>
    </cfRule>
    <cfRule type="colorScale" priority="975">
      <colorScale>
        <cfvo type="min"/>
        <cfvo type="percentile" val="50"/>
        <cfvo type="max"/>
        <color rgb="FF63BE7B"/>
        <color rgb="FFFFEB84"/>
        <color rgb="FFF8696B"/>
      </colorScale>
    </cfRule>
    <cfRule type="colorScale" priority="976">
      <colorScale>
        <cfvo type="min"/>
        <cfvo type="percentile" val="50"/>
        <cfvo type="max"/>
        <color rgb="FF63BE7B"/>
        <color rgb="FFFFEB84"/>
        <color rgb="FFF8696B"/>
      </colorScale>
    </cfRule>
    <cfRule type="colorScale" priority="977">
      <colorScale>
        <cfvo type="min"/>
        <cfvo type="percentile" val="50"/>
        <cfvo type="max"/>
        <color rgb="FF63BE7B"/>
        <color rgb="FFFFEB84"/>
        <color rgb="FFF8696B"/>
      </colorScale>
    </cfRule>
    <cfRule type="colorScale" priority="978">
      <colorScale>
        <cfvo type="min"/>
        <cfvo type="percentile" val="50"/>
        <cfvo type="max"/>
        <color rgb="FF63BE7B"/>
        <color rgb="FFFFEB84"/>
        <color rgb="FFF8696B"/>
      </colorScale>
    </cfRule>
    <cfRule type="colorScale" priority="979">
      <colorScale>
        <cfvo type="min"/>
        <cfvo type="percentile" val="50"/>
        <cfvo type="max"/>
        <color rgb="FF63BE7B"/>
        <color rgb="FFFFEB84"/>
        <color rgb="FFF8696B"/>
      </colorScale>
    </cfRule>
    <cfRule type="colorScale" priority="980">
      <colorScale>
        <cfvo type="min"/>
        <cfvo type="percentile" val="50"/>
        <cfvo type="max"/>
        <color rgb="FF63BE7B"/>
        <color rgb="FFFFEB84"/>
        <color rgb="FFF8696B"/>
      </colorScale>
    </cfRule>
    <cfRule type="colorScale" priority="981">
      <colorScale>
        <cfvo type="min"/>
        <cfvo type="percentile" val="50"/>
        <cfvo type="max"/>
        <color rgb="FF63BE7B"/>
        <color rgb="FFFFEB84"/>
        <color rgb="FFF8696B"/>
      </colorScale>
    </cfRule>
    <cfRule type="colorScale" priority="982">
      <colorScale>
        <cfvo type="min"/>
        <cfvo type="percentile" val="50"/>
        <cfvo type="max"/>
        <color rgb="FF63BE7B"/>
        <color rgb="FFFFEB84"/>
        <color rgb="FFF8696B"/>
      </colorScale>
    </cfRule>
    <cfRule type="colorScale" priority="983">
      <colorScale>
        <cfvo type="min"/>
        <cfvo type="percentile" val="50"/>
        <cfvo type="max"/>
        <color rgb="FF63BE7B"/>
        <color rgb="FFFFEB84"/>
        <color rgb="FFF8696B"/>
      </colorScale>
    </cfRule>
    <cfRule type="colorScale" priority="1025">
      <colorScale>
        <cfvo type="min"/>
        <cfvo type="percentile" val="50"/>
        <cfvo type="max"/>
        <color rgb="FFF8696B"/>
        <color rgb="FFFFEB84"/>
        <color rgb="FF63BE7B"/>
      </colorScale>
    </cfRule>
    <cfRule type="colorScale" priority="1026">
      <colorScale>
        <cfvo type="min"/>
        <cfvo type="percentile" val="50"/>
        <cfvo type="max"/>
        <color rgb="FF63BE7B"/>
        <color rgb="FFFFEB84"/>
        <color rgb="FFF8696B"/>
      </colorScale>
    </cfRule>
    <cfRule type="colorScale" priority="1027">
      <colorScale>
        <cfvo type="min"/>
        <cfvo type="percentile" val="50"/>
        <cfvo type="max"/>
        <color rgb="FF63BE7B"/>
        <color rgb="FFFFEB84"/>
        <color rgb="FFF8696B"/>
      </colorScale>
    </cfRule>
    <cfRule type="colorScale" priority="1028">
      <colorScale>
        <cfvo type="min"/>
        <cfvo type="percentile" val="50"/>
        <cfvo type="max"/>
        <color rgb="FF63BE7B"/>
        <color rgb="FFFFEB84"/>
        <color rgb="FFF8696B"/>
      </colorScale>
    </cfRule>
    <cfRule type="colorScale" priority="1030">
      <colorScale>
        <cfvo type="min"/>
        <cfvo type="percentile" val="50"/>
        <cfvo type="max"/>
        <color rgb="FF63BE7B"/>
        <color rgb="FFFFEB84"/>
        <color rgb="FFF8696B"/>
      </colorScale>
    </cfRule>
    <cfRule type="colorScale" priority="1031">
      <colorScale>
        <cfvo type="min"/>
        <cfvo type="percentile" val="50"/>
        <cfvo type="max"/>
        <color rgb="FF63BE7B"/>
        <color rgb="FFFFEB84"/>
        <color rgb="FFF8696B"/>
      </colorScale>
    </cfRule>
    <cfRule type="colorScale" priority="986">
      <colorScale>
        <cfvo type="min"/>
        <cfvo type="percentile" val="50"/>
        <cfvo type="max"/>
        <color rgb="FFF8696B"/>
        <color rgb="FFFFEB84"/>
        <color rgb="FF63BE7B"/>
      </colorScale>
    </cfRule>
    <cfRule type="colorScale" priority="987">
      <colorScale>
        <cfvo type="min"/>
        <cfvo type="percentile" val="50"/>
        <cfvo type="max"/>
        <color rgb="FF63BE7B"/>
        <color rgb="FFFFEB84"/>
        <color rgb="FFF8696B"/>
      </colorScale>
    </cfRule>
    <cfRule type="colorScale" priority="988">
      <colorScale>
        <cfvo type="min"/>
        <cfvo type="percentile" val="50"/>
        <cfvo type="max"/>
        <color rgb="FF63BE7B"/>
        <color rgb="FFFFEB84"/>
        <color rgb="FFF8696B"/>
      </colorScale>
    </cfRule>
    <cfRule type="colorScale" priority="989">
      <colorScale>
        <cfvo type="min"/>
        <cfvo type="percentile" val="50"/>
        <cfvo type="max"/>
        <color rgb="FF63BE7B"/>
        <color rgb="FFFFEB84"/>
        <color rgb="FFF8696B"/>
      </colorScale>
    </cfRule>
    <cfRule type="colorScale" priority="990">
      <colorScale>
        <cfvo type="min"/>
        <cfvo type="percentile" val="50"/>
        <cfvo type="max"/>
        <color rgb="FF63BE7B"/>
        <color rgb="FFFFEB84"/>
        <color rgb="FFF8696B"/>
      </colorScale>
    </cfRule>
    <cfRule type="colorScale" priority="991">
      <colorScale>
        <cfvo type="min"/>
        <cfvo type="percentile" val="50"/>
        <cfvo type="max"/>
        <color rgb="FF63BE7B"/>
        <color rgb="FFFFEB84"/>
        <color rgb="FFF8696B"/>
      </colorScale>
    </cfRule>
    <cfRule type="colorScale" priority="992">
      <colorScale>
        <cfvo type="min"/>
        <cfvo type="percentile" val="50"/>
        <cfvo type="max"/>
        <color rgb="FF63BE7B"/>
        <color rgb="FFFFEB84"/>
        <color rgb="FFF8696B"/>
      </colorScale>
    </cfRule>
    <cfRule type="colorScale" priority="1032">
      <colorScale>
        <cfvo type="min"/>
        <cfvo type="percentile" val="50"/>
        <cfvo type="max"/>
        <color rgb="FF63BE7B"/>
        <color rgb="FFFFEB84"/>
        <color rgb="FFF8696B"/>
      </colorScale>
    </cfRule>
    <cfRule type="colorScale" priority="1033">
      <colorScale>
        <cfvo type="min"/>
        <cfvo type="percentile" val="50"/>
        <cfvo type="max"/>
        <color rgb="FF63BE7B"/>
        <color rgb="FFFFEB84"/>
        <color rgb="FFF8696B"/>
      </colorScale>
    </cfRule>
    <cfRule type="colorScale" priority="1034">
      <colorScale>
        <cfvo type="min"/>
        <cfvo type="percentile" val="50"/>
        <cfvo type="max"/>
        <color rgb="FF63BE7B"/>
        <color rgb="FFFFEB84"/>
        <color rgb="FFF8696B"/>
      </colorScale>
    </cfRule>
    <cfRule type="colorScale" priority="1035">
      <colorScale>
        <cfvo type="min"/>
        <cfvo type="percentile" val="50"/>
        <cfvo type="max"/>
        <color rgb="FF63BE7B"/>
        <color rgb="FFFFEB84"/>
        <color rgb="FFF8696B"/>
      </colorScale>
    </cfRule>
    <cfRule type="colorScale" priority="1036">
      <colorScale>
        <cfvo type="min"/>
        <cfvo type="percentile" val="50"/>
        <cfvo type="max"/>
        <color rgb="FF63BE7B"/>
        <color rgb="FFFFEB84"/>
        <color rgb="FFF8696B"/>
      </colorScale>
    </cfRule>
    <cfRule type="colorScale" priority="1037">
      <colorScale>
        <cfvo type="min"/>
        <cfvo type="percentile" val="50"/>
        <cfvo type="max"/>
        <color rgb="FF63BE7B"/>
        <color rgb="FFFFEB84"/>
        <color rgb="FFF8696B"/>
      </colorScale>
    </cfRule>
  </conditionalFormatting>
  <conditionalFormatting sqref="V54:V61">
    <cfRule type="colorScale" priority="6">
      <colorScale>
        <cfvo type="min"/>
        <cfvo type="percentile" val="50"/>
        <cfvo type="max"/>
        <color rgb="FFF8696B"/>
        <color rgb="FFFFEB84"/>
        <color rgb="FF63BE7B"/>
      </colorScale>
    </cfRule>
  </conditionalFormatting>
  <conditionalFormatting sqref="V65:V71">
    <cfRule type="colorScale" priority="12532">
      <colorScale>
        <cfvo type="min"/>
        <cfvo type="percentile" val="50"/>
        <cfvo type="max"/>
        <color rgb="FF63BE7B"/>
        <color rgb="FFFFEB84"/>
        <color rgb="FFF8696B"/>
      </colorScale>
    </cfRule>
    <cfRule type="colorScale" priority="12531">
      <colorScale>
        <cfvo type="min"/>
        <cfvo type="percentile" val="50"/>
        <cfvo type="max"/>
        <color rgb="FF63BE7B"/>
        <color rgb="FFFFEB84"/>
        <color rgb="FFF8696B"/>
      </colorScale>
    </cfRule>
    <cfRule type="colorScale" priority="12530">
      <colorScale>
        <cfvo type="min"/>
        <cfvo type="percentile" val="50"/>
        <cfvo type="max"/>
        <color rgb="FF63BE7B"/>
        <color rgb="FFFFEB84"/>
        <color rgb="FFF8696B"/>
      </colorScale>
    </cfRule>
  </conditionalFormatting>
  <conditionalFormatting sqref="V65:V80">
    <cfRule type="colorScale" priority="12589">
      <colorScale>
        <cfvo type="min"/>
        <cfvo type="percentile" val="50"/>
        <cfvo type="max"/>
        <color rgb="FF63BE7B"/>
        <color rgb="FFFFEB84"/>
        <color rgb="FFF8696B"/>
      </colorScale>
    </cfRule>
  </conditionalFormatting>
  <conditionalFormatting sqref="V65:V91">
    <cfRule type="colorScale" priority="12607">
      <colorScale>
        <cfvo type="min"/>
        <cfvo type="percentile" val="50"/>
        <cfvo type="max"/>
        <color rgb="FF63BE7B"/>
        <color rgb="FFFFEB84"/>
        <color rgb="FFF8696B"/>
      </colorScale>
    </cfRule>
  </conditionalFormatting>
  <conditionalFormatting sqref="V66:V71">
    <cfRule type="colorScale" priority="12533">
      <colorScale>
        <cfvo type="min"/>
        <cfvo type="percentile" val="50"/>
        <cfvo type="max"/>
        <color rgb="FF63BE7B"/>
        <color rgb="FFFFEB84"/>
        <color rgb="FFF8696B"/>
      </colorScale>
    </cfRule>
  </conditionalFormatting>
  <conditionalFormatting sqref="V72:V80">
    <cfRule type="colorScale" priority="12411">
      <colorScale>
        <cfvo type="min"/>
        <cfvo type="percentile" val="50"/>
        <cfvo type="max"/>
        <color rgb="FF63BE7B"/>
        <color rgb="FFFFEB84"/>
        <color rgb="FFF8696B"/>
      </colorScale>
    </cfRule>
    <cfRule type="colorScale" priority="12413">
      <colorScale>
        <cfvo type="min"/>
        <cfvo type="percentile" val="50"/>
        <cfvo type="max"/>
        <color rgb="FF63BE7B"/>
        <color rgb="FFFFEB84"/>
        <color rgb="FFF8696B"/>
      </colorScale>
    </cfRule>
    <cfRule type="colorScale" priority="12412">
      <colorScale>
        <cfvo type="min"/>
        <cfvo type="percentile" val="50"/>
        <cfvo type="max"/>
        <color rgb="FF63BE7B"/>
        <color rgb="FFFFEB84"/>
        <color rgb="FFF8696B"/>
      </colorScale>
    </cfRule>
    <cfRule type="colorScale" priority="12410">
      <colorScale>
        <cfvo type="min"/>
        <cfvo type="percentile" val="50"/>
        <cfvo type="max"/>
        <color rgb="FF63BE7B"/>
        <color rgb="FFFFEB84"/>
        <color rgb="FFF8696B"/>
      </colorScale>
    </cfRule>
  </conditionalFormatting>
  <conditionalFormatting sqref="V81:V83">
    <cfRule type="colorScale" priority="12299">
      <colorScale>
        <cfvo type="min"/>
        <cfvo type="percentile" val="50"/>
        <cfvo type="max"/>
        <color rgb="FF63BE7B"/>
        <color rgb="FFFFEB84"/>
        <color rgb="FFF8696B"/>
      </colorScale>
    </cfRule>
    <cfRule type="colorScale" priority="12298">
      <colorScale>
        <cfvo type="min"/>
        <cfvo type="percentile" val="50"/>
        <cfvo type="max"/>
        <color rgb="FF63BE7B"/>
        <color rgb="FFFFEB84"/>
        <color rgb="FFF8696B"/>
      </colorScale>
    </cfRule>
    <cfRule type="colorScale" priority="12300">
      <colorScale>
        <cfvo type="min"/>
        <cfvo type="percentile" val="50"/>
        <cfvo type="max"/>
        <color rgb="FF63BE7B"/>
        <color rgb="FFFFEB84"/>
        <color rgb="FFF8696B"/>
      </colorScale>
    </cfRule>
  </conditionalFormatting>
  <conditionalFormatting sqref="V84:V91">
    <cfRule type="colorScale" priority="12137">
      <colorScale>
        <cfvo type="min"/>
        <cfvo type="percentile" val="50"/>
        <cfvo type="max"/>
        <color rgb="FF63BE7B"/>
        <color rgb="FFFFEB84"/>
        <color rgb="FFF8696B"/>
      </colorScale>
    </cfRule>
    <cfRule type="colorScale" priority="12138">
      <colorScale>
        <cfvo type="min"/>
        <cfvo type="percentile" val="50"/>
        <cfvo type="max"/>
        <color rgb="FF63BE7B"/>
        <color rgb="FFFFEB84"/>
        <color rgb="FFF8696B"/>
      </colorScale>
    </cfRule>
    <cfRule type="colorScale" priority="12135">
      <colorScale>
        <cfvo type="min"/>
        <cfvo type="percentile" val="50"/>
        <cfvo type="max"/>
        <color rgb="FF63BE7B"/>
        <color rgb="FFFFEB84"/>
        <color rgb="FFF8696B"/>
      </colorScale>
    </cfRule>
  </conditionalFormatting>
  <conditionalFormatting sqref="V86">
    <cfRule type="colorScale" priority="12136">
      <colorScale>
        <cfvo type="min"/>
        <cfvo type="percentile" val="50"/>
        <cfvo type="max"/>
        <color rgb="FF63BE7B"/>
        <color rgb="FFFFEB84"/>
        <color rgb="FFF8696B"/>
      </colorScale>
    </cfRule>
  </conditionalFormatting>
  <conditionalFormatting sqref="V96:V102">
    <cfRule type="colorScale" priority="11925">
      <colorScale>
        <cfvo type="min"/>
        <cfvo type="percentile" val="50"/>
        <cfvo type="max"/>
        <color rgb="FF63BE7B"/>
        <color rgb="FFFFEB84"/>
        <color rgb="FFF8696B"/>
      </colorScale>
    </cfRule>
    <cfRule type="colorScale" priority="11924">
      <colorScale>
        <cfvo type="min"/>
        <cfvo type="percentile" val="50"/>
        <cfvo type="max"/>
        <color rgb="FF63BE7B"/>
        <color rgb="FFFFEB84"/>
        <color rgb="FFF8696B"/>
      </colorScale>
    </cfRule>
    <cfRule type="colorScale" priority="11926">
      <colorScale>
        <cfvo type="min"/>
        <cfvo type="percentile" val="50"/>
        <cfvo type="max"/>
        <color rgb="FF63BE7B"/>
        <color rgb="FFFFEB84"/>
        <color rgb="FFF8696B"/>
      </colorScale>
    </cfRule>
  </conditionalFormatting>
  <conditionalFormatting sqref="V96:V111">
    <cfRule type="colorScale" priority="11983">
      <colorScale>
        <cfvo type="min"/>
        <cfvo type="percentile" val="50"/>
        <cfvo type="max"/>
        <color rgb="FF63BE7B"/>
        <color rgb="FFFFEB84"/>
        <color rgb="FFF8696B"/>
      </colorScale>
    </cfRule>
  </conditionalFormatting>
  <conditionalFormatting sqref="V96:V122">
    <cfRule type="colorScale" priority="12001">
      <colorScale>
        <cfvo type="min"/>
        <cfvo type="percentile" val="50"/>
        <cfvo type="max"/>
        <color rgb="FF63BE7B"/>
        <color rgb="FFFFEB84"/>
        <color rgb="FFF8696B"/>
      </colorScale>
    </cfRule>
  </conditionalFormatting>
  <conditionalFormatting sqref="V97:V102">
    <cfRule type="colorScale" priority="11927">
      <colorScale>
        <cfvo type="min"/>
        <cfvo type="percentile" val="50"/>
        <cfvo type="max"/>
        <color rgb="FF63BE7B"/>
        <color rgb="FFFFEB84"/>
        <color rgb="FFF8696B"/>
      </colorScale>
    </cfRule>
  </conditionalFormatting>
  <conditionalFormatting sqref="V103:V111">
    <cfRule type="colorScale" priority="11804">
      <colorScale>
        <cfvo type="min"/>
        <cfvo type="percentile" val="50"/>
        <cfvo type="max"/>
        <color rgb="FF63BE7B"/>
        <color rgb="FFFFEB84"/>
        <color rgb="FFF8696B"/>
      </colorScale>
    </cfRule>
    <cfRule type="colorScale" priority="11805">
      <colorScale>
        <cfvo type="min"/>
        <cfvo type="percentile" val="50"/>
        <cfvo type="max"/>
        <color rgb="FF63BE7B"/>
        <color rgb="FFFFEB84"/>
        <color rgb="FFF8696B"/>
      </colorScale>
    </cfRule>
    <cfRule type="colorScale" priority="11806">
      <colorScale>
        <cfvo type="min"/>
        <cfvo type="percentile" val="50"/>
        <cfvo type="max"/>
        <color rgb="FF63BE7B"/>
        <color rgb="FFFFEB84"/>
        <color rgb="FFF8696B"/>
      </colorScale>
    </cfRule>
    <cfRule type="colorScale" priority="11807">
      <colorScale>
        <cfvo type="min"/>
        <cfvo type="percentile" val="50"/>
        <cfvo type="max"/>
        <color rgb="FF63BE7B"/>
        <color rgb="FFFFEB84"/>
        <color rgb="FFF8696B"/>
      </colorScale>
    </cfRule>
  </conditionalFormatting>
  <conditionalFormatting sqref="V112:V114">
    <cfRule type="colorScale" priority="11696">
      <colorScale>
        <cfvo type="min"/>
        <cfvo type="percentile" val="50"/>
        <cfvo type="max"/>
        <color rgb="FF63BE7B"/>
        <color rgb="FFFFEB84"/>
        <color rgb="FFF8696B"/>
      </colorScale>
    </cfRule>
    <cfRule type="colorScale" priority="11695">
      <colorScale>
        <cfvo type="min"/>
        <cfvo type="percentile" val="50"/>
        <cfvo type="max"/>
        <color rgb="FF63BE7B"/>
        <color rgb="FFFFEB84"/>
        <color rgb="FFF8696B"/>
      </colorScale>
    </cfRule>
    <cfRule type="colorScale" priority="11697">
      <colorScale>
        <cfvo type="min"/>
        <cfvo type="percentile" val="50"/>
        <cfvo type="max"/>
        <color rgb="FF63BE7B"/>
        <color rgb="FFFFEB84"/>
        <color rgb="FFF8696B"/>
      </colorScale>
    </cfRule>
  </conditionalFormatting>
  <conditionalFormatting sqref="V115:V122">
    <cfRule type="colorScale" priority="11535">
      <colorScale>
        <cfvo type="min"/>
        <cfvo type="percentile" val="50"/>
        <cfvo type="max"/>
        <color rgb="FF63BE7B"/>
        <color rgb="FFFFEB84"/>
        <color rgb="FFF8696B"/>
      </colorScale>
    </cfRule>
    <cfRule type="colorScale" priority="11532">
      <colorScale>
        <cfvo type="min"/>
        <cfvo type="percentile" val="50"/>
        <cfvo type="max"/>
        <color rgb="FF63BE7B"/>
        <color rgb="FFFFEB84"/>
        <color rgb="FFF8696B"/>
      </colorScale>
    </cfRule>
    <cfRule type="colorScale" priority="11534">
      <colorScale>
        <cfvo type="min"/>
        <cfvo type="percentile" val="50"/>
        <cfvo type="max"/>
        <color rgb="FF63BE7B"/>
        <color rgb="FFFFEB84"/>
        <color rgb="FFF8696B"/>
      </colorScale>
    </cfRule>
  </conditionalFormatting>
  <conditionalFormatting sqref="V117">
    <cfRule type="colorScale" priority="11533">
      <colorScale>
        <cfvo type="min"/>
        <cfvo type="percentile" val="50"/>
        <cfvo type="max"/>
        <color rgb="FF63BE7B"/>
        <color rgb="FFFFEB84"/>
        <color rgb="FFF8696B"/>
      </colorScale>
    </cfRule>
  </conditionalFormatting>
  <conditionalFormatting sqref="W35:W37">
    <cfRule type="colorScale" priority="8273">
      <colorScale>
        <cfvo type="min"/>
        <cfvo type="percentile" val="50"/>
        <cfvo type="max"/>
        <color rgb="FF63BE7B"/>
        <color rgb="FFFFEB84"/>
        <color rgb="FFF8696B"/>
      </colorScale>
    </cfRule>
    <cfRule type="colorScale" priority="10003">
      <colorScale>
        <cfvo type="min"/>
        <cfvo type="percentile" val="50"/>
        <cfvo type="max"/>
        <color rgb="FF63BE7B"/>
        <color rgb="FFFFEB84"/>
        <color rgb="FFF8696B"/>
      </colorScale>
    </cfRule>
    <cfRule type="colorScale" priority="8271">
      <colorScale>
        <cfvo type="min"/>
        <cfvo type="percentile" val="50"/>
        <cfvo type="max"/>
        <color rgb="FF63BE7B"/>
        <color rgb="FFFFEB84"/>
        <color rgb="FFF8696B"/>
      </colorScale>
    </cfRule>
    <cfRule type="colorScale" priority="8235">
      <colorScale>
        <cfvo type="min"/>
        <cfvo type="percentile" val="50"/>
        <cfvo type="max"/>
        <color rgb="FF63BE7B"/>
        <color rgb="FFFFEB84"/>
        <color rgb="FFF8696B"/>
      </colorScale>
    </cfRule>
    <cfRule type="colorScale" priority="8262">
      <colorScale>
        <cfvo type="min"/>
        <cfvo type="percentile" val="50"/>
        <cfvo type="max"/>
        <color rgb="FF63BE7B"/>
        <color rgb="FFFFEB84"/>
        <color rgb="FFF8696B"/>
      </colorScale>
    </cfRule>
    <cfRule type="colorScale" priority="9995">
      <colorScale>
        <cfvo type="min"/>
        <cfvo type="percentile" val="50"/>
        <cfvo type="max"/>
        <color rgb="FF63BE7B"/>
        <color rgb="FFFFEB84"/>
        <color rgb="FFF8696B"/>
      </colorScale>
    </cfRule>
    <cfRule type="colorScale" priority="10005">
      <colorScale>
        <cfvo type="min"/>
        <cfvo type="percentile" val="50"/>
        <cfvo type="max"/>
        <color rgb="FF63BE7B"/>
        <color rgb="FFFFEB84"/>
        <color rgb="FFF8696B"/>
      </colorScale>
    </cfRule>
    <cfRule type="colorScale" priority="10006">
      <colorScale>
        <cfvo type="min"/>
        <cfvo type="percentile" val="50"/>
        <cfvo type="max"/>
        <color rgb="FF63BE7B"/>
        <color rgb="FFFFEB84"/>
        <color rgb="FFF8696B"/>
      </colorScale>
    </cfRule>
    <cfRule type="colorScale" priority="10008">
      <colorScale>
        <cfvo type="min"/>
        <cfvo type="percentile" val="50"/>
        <cfvo type="max"/>
        <color rgb="FF63BE7B"/>
        <color rgb="FFFFEB84"/>
        <color rgb="FFF8696B"/>
      </colorScale>
    </cfRule>
    <cfRule type="colorScale" priority="10009">
      <colorScale>
        <cfvo type="min"/>
        <cfvo type="percentile" val="50"/>
        <cfvo type="max"/>
        <color rgb="FF63BE7B"/>
        <color rgb="FFFFEB84"/>
        <color rgb="FFF8696B"/>
      </colorScale>
    </cfRule>
    <cfRule type="colorScale" priority="8243">
      <colorScale>
        <cfvo type="min"/>
        <cfvo type="percentile" val="50"/>
        <cfvo type="max"/>
        <color rgb="FF63BE7B"/>
        <color rgb="FFFFEB84"/>
        <color rgb="FFF8696B"/>
      </colorScale>
    </cfRule>
    <cfRule type="colorScale" priority="8275">
      <colorScale>
        <cfvo type="min"/>
        <cfvo type="percentile" val="50"/>
        <cfvo type="max"/>
        <color rgb="FF63BE7B"/>
        <color rgb="FFFFEB84"/>
        <color rgb="FFF8696B"/>
      </colorScale>
    </cfRule>
    <cfRule type="colorScale" priority="10004">
      <colorScale>
        <cfvo type="min"/>
        <cfvo type="percentile" val="50"/>
        <cfvo type="max"/>
        <color rgb="FF63BE7B"/>
        <color rgb="FFFFEB84"/>
        <color rgb="FFF8696B"/>
      </colorScale>
    </cfRule>
    <cfRule type="colorScale" priority="8244">
      <colorScale>
        <cfvo type="min"/>
        <cfvo type="percentile" val="50"/>
        <cfvo type="max"/>
        <color rgb="FF63BE7B"/>
        <color rgb="FFFFEB84"/>
        <color rgb="FFF8696B"/>
      </colorScale>
    </cfRule>
    <cfRule type="colorScale" priority="8245">
      <colorScale>
        <cfvo type="min"/>
        <cfvo type="percentile" val="50"/>
        <cfvo type="max"/>
        <color rgb="FF63BE7B"/>
        <color rgb="FFFFEB84"/>
        <color rgb="FFF8696B"/>
      </colorScale>
    </cfRule>
    <cfRule type="colorScale" priority="8276">
      <colorScale>
        <cfvo type="min"/>
        <cfvo type="percentile" val="50"/>
        <cfvo type="max"/>
        <color rgb="FF63BE7B"/>
        <color rgb="FFFFEB84"/>
        <color rgb="FFF8696B"/>
      </colorScale>
    </cfRule>
    <cfRule type="colorScale" priority="8270">
      <colorScale>
        <cfvo type="min"/>
        <cfvo type="percentile" val="50"/>
        <cfvo type="max"/>
        <color rgb="FF63BE7B"/>
        <color rgb="FFFFEB84"/>
        <color rgb="FFF8696B"/>
      </colorScale>
    </cfRule>
    <cfRule type="colorScale" priority="8272">
      <colorScale>
        <cfvo type="min"/>
        <cfvo type="percentile" val="50"/>
        <cfvo type="max"/>
        <color rgb="FF63BE7B"/>
        <color rgb="FFFFEB84"/>
        <color rgb="FFF8696B"/>
      </colorScale>
    </cfRule>
    <cfRule type="colorScale" priority="11123">
      <colorScale>
        <cfvo type="min"/>
        <cfvo type="percentile" val="50"/>
        <cfvo type="max"/>
        <color rgb="FF63BE7B"/>
        <color rgb="FFFFEB84"/>
        <color rgb="FFF8696B"/>
      </colorScale>
    </cfRule>
    <cfRule type="colorScale" priority="8246">
      <colorScale>
        <cfvo type="min"/>
        <cfvo type="percentile" val="50"/>
        <cfvo type="max"/>
        <color rgb="FF63BE7B"/>
        <color rgb="FFFFEB84"/>
        <color rgb="FFF8696B"/>
      </colorScale>
    </cfRule>
    <cfRule type="colorScale" priority="8248">
      <colorScale>
        <cfvo type="min"/>
        <cfvo type="percentile" val="50"/>
        <cfvo type="max"/>
        <color rgb="FF63BE7B"/>
        <color rgb="FFFFEB84"/>
        <color rgb="FFF8696B"/>
      </colorScale>
    </cfRule>
    <cfRule type="colorScale" priority="8249">
      <colorScale>
        <cfvo type="min"/>
        <cfvo type="percentile" val="50"/>
        <cfvo type="max"/>
        <color rgb="FF63BE7B"/>
        <color rgb="FFFFEB84"/>
        <color rgb="FFF8696B"/>
      </colorScale>
    </cfRule>
  </conditionalFormatting>
  <conditionalFormatting sqref="W35:W41 G35:G53 W52:W53">
    <cfRule type="colorScale" priority="15433">
      <colorScale>
        <cfvo type="min"/>
        <cfvo type="percentile" val="50"/>
        <cfvo type="max"/>
        <color rgb="FF63BE7B"/>
        <color rgb="FFFFEB84"/>
        <color rgb="FFF8696B"/>
      </colorScale>
    </cfRule>
  </conditionalFormatting>
  <conditionalFormatting sqref="W35:W41">
    <cfRule type="colorScale" priority="8279">
      <colorScale>
        <cfvo type="min"/>
        <cfvo type="percentile" val="50"/>
        <cfvo type="max"/>
        <color rgb="FF63BE7B"/>
        <color rgb="FFFFEB84"/>
        <color rgb="FFF8696B"/>
      </colorScale>
    </cfRule>
    <cfRule type="colorScale" priority="8278">
      <colorScale>
        <cfvo type="min"/>
        <cfvo type="percentile" val="50"/>
        <cfvo type="max"/>
        <color rgb="FF63BE7B"/>
        <color rgb="FFFFEB84"/>
        <color rgb="FFF8696B"/>
      </colorScale>
    </cfRule>
    <cfRule type="colorScale" priority="8277">
      <colorScale>
        <cfvo type="min"/>
        <cfvo type="percentile" val="50"/>
        <cfvo type="max"/>
        <color rgb="FF63BE7B"/>
        <color rgb="FFFFEB84"/>
        <color rgb="FFF8696B"/>
      </colorScale>
    </cfRule>
    <cfRule type="colorScale" priority="8234">
      <colorScale>
        <cfvo type="min"/>
        <cfvo type="percentile" val="50"/>
        <cfvo type="max"/>
        <color rgb="FF63BE7B"/>
        <color rgb="FFFFEB84"/>
        <color rgb="FFF8696B"/>
      </colorScale>
    </cfRule>
    <cfRule type="colorScale" priority="8233">
      <colorScale>
        <cfvo type="min"/>
        <cfvo type="percentile" val="50"/>
        <cfvo type="max"/>
        <color rgb="FF63BE7B"/>
        <color rgb="FFFFEB84"/>
        <color rgb="FFF8696B"/>
      </colorScale>
    </cfRule>
    <cfRule type="colorScale" priority="8251">
      <colorScale>
        <cfvo type="min"/>
        <cfvo type="percentile" val="50"/>
        <cfvo type="max"/>
        <color rgb="FF63BE7B"/>
        <color rgb="FFFFEB84"/>
        <color rgb="FFF8696B"/>
      </colorScale>
    </cfRule>
    <cfRule type="colorScale" priority="8268">
      <colorScale>
        <cfvo type="min"/>
        <cfvo type="percentile" val="50"/>
        <cfvo type="max"/>
        <color rgb="FF63BE7B"/>
        <color rgb="FFFFEB84"/>
        <color rgb="FFF8696B"/>
      </colorScale>
    </cfRule>
    <cfRule type="colorScale" priority="8267">
      <colorScale>
        <cfvo type="min"/>
        <cfvo type="percentile" val="50"/>
        <cfvo type="max"/>
        <color rgb="FF63BE7B"/>
        <color rgb="FFFFEB84"/>
        <color rgb="FFF8696B"/>
      </colorScale>
    </cfRule>
    <cfRule type="colorScale" priority="8266">
      <colorScale>
        <cfvo type="min"/>
        <cfvo type="percentile" val="50"/>
        <cfvo type="max"/>
        <color rgb="FF63BE7B"/>
        <color rgb="FFFFEB84"/>
        <color rgb="FFF8696B"/>
      </colorScale>
    </cfRule>
    <cfRule type="colorScale" priority="8265">
      <colorScale>
        <cfvo type="min"/>
        <cfvo type="percentile" val="50"/>
        <cfvo type="max"/>
        <color rgb="FF63BE7B"/>
        <color rgb="FFFFEB84"/>
        <color rgb="FFF8696B"/>
      </colorScale>
    </cfRule>
    <cfRule type="colorScale" priority="8264">
      <colorScale>
        <cfvo type="min"/>
        <cfvo type="percentile" val="50"/>
        <cfvo type="max"/>
        <color rgb="FF63BE7B"/>
        <color rgb="FFFFEB84"/>
        <color rgb="FFF8696B"/>
      </colorScale>
    </cfRule>
    <cfRule type="colorScale" priority="8263">
      <colorScale>
        <cfvo type="min"/>
        <cfvo type="percentile" val="50"/>
        <cfvo type="max"/>
        <color rgb="FF63BE7B"/>
        <color rgb="FFFFEB84"/>
        <color rgb="FFF8696B"/>
      </colorScale>
    </cfRule>
    <cfRule type="colorScale" priority="8261">
      <colorScale>
        <cfvo type="min"/>
        <cfvo type="percentile" val="50"/>
        <cfvo type="max"/>
        <color rgb="FF63BE7B"/>
        <color rgb="FFFFEB84"/>
        <color rgb="FFF8696B"/>
      </colorScale>
    </cfRule>
    <cfRule type="colorScale" priority="8260">
      <colorScale>
        <cfvo type="min"/>
        <cfvo type="percentile" val="50"/>
        <cfvo type="max"/>
        <color rgb="FF63BE7B"/>
        <color rgb="FFFFEB84"/>
        <color rgb="FFF8696B"/>
      </colorScale>
    </cfRule>
    <cfRule type="colorScale" priority="8286">
      <colorScale>
        <cfvo type="min"/>
        <cfvo type="percentile" val="50"/>
        <cfvo type="max"/>
        <color rgb="FF63BE7B"/>
        <color rgb="FFFFEB84"/>
        <color rgb="FFF8696B"/>
      </colorScale>
    </cfRule>
    <cfRule type="colorScale" priority="8259">
      <colorScale>
        <cfvo type="min"/>
        <cfvo type="percentile" val="50"/>
        <cfvo type="max"/>
        <color rgb="FF63BE7B"/>
        <color rgb="FFFFEB84"/>
        <color rgb="FFF8696B"/>
      </colorScale>
    </cfRule>
    <cfRule type="colorScale" priority="8258">
      <colorScale>
        <cfvo type="min"/>
        <cfvo type="percentile" val="50"/>
        <cfvo type="max"/>
        <color rgb="FF63BE7B"/>
        <color rgb="FFFFEB84"/>
        <color rgb="FFF8696B"/>
      </colorScale>
    </cfRule>
    <cfRule type="colorScale" priority="8236">
      <colorScale>
        <cfvo type="min"/>
        <cfvo type="percentile" val="50"/>
        <cfvo type="max"/>
        <color rgb="FF63BE7B"/>
        <color rgb="FFFFEB84"/>
        <color rgb="FFF8696B"/>
      </colorScale>
    </cfRule>
    <cfRule type="colorScale" priority="8256">
      <colorScale>
        <cfvo type="min"/>
        <cfvo type="percentile" val="50"/>
        <cfvo type="max"/>
        <color rgb="FF63BE7B"/>
        <color rgb="FFFFEB84"/>
        <color rgb="FFF8696B"/>
      </colorScale>
    </cfRule>
    <cfRule type="colorScale" priority="8255">
      <colorScale>
        <cfvo type="min"/>
        <cfvo type="percentile" val="50"/>
        <cfvo type="max"/>
        <color rgb="FF63BE7B"/>
        <color rgb="FFFFEB84"/>
        <color rgb="FFF8696B"/>
      </colorScale>
    </cfRule>
    <cfRule type="colorScale" priority="8237">
      <colorScale>
        <cfvo type="min"/>
        <cfvo type="percentile" val="50"/>
        <cfvo type="max"/>
        <color rgb="FF63BE7B"/>
        <color rgb="FFFFEB84"/>
        <color rgb="FFF8696B"/>
      </colorScale>
    </cfRule>
    <cfRule type="colorScale" priority="8238">
      <colorScale>
        <cfvo type="min"/>
        <cfvo type="percentile" val="50"/>
        <cfvo type="max"/>
        <color rgb="FF63BE7B"/>
        <color rgb="FFFFEB84"/>
        <color rgb="FFF8696B"/>
      </colorScale>
    </cfRule>
    <cfRule type="colorScale" priority="8239">
      <colorScale>
        <cfvo type="min"/>
        <cfvo type="percentile" val="50"/>
        <cfvo type="max"/>
        <color rgb="FF63BE7B"/>
        <color rgb="FFFFEB84"/>
        <color rgb="FFF8696B"/>
      </colorScale>
    </cfRule>
    <cfRule type="colorScale" priority="8254">
      <colorScale>
        <cfvo type="min"/>
        <cfvo type="percentile" val="50"/>
        <cfvo type="max"/>
        <color rgb="FF63BE7B"/>
        <color rgb="FFFFEB84"/>
        <color rgb="FFF8696B"/>
      </colorScale>
    </cfRule>
    <cfRule type="colorScale" priority="8253">
      <colorScale>
        <cfvo type="min"/>
        <cfvo type="percentile" val="50"/>
        <cfvo type="max"/>
        <color rgb="FF63BE7B"/>
        <color rgb="FFFFEB84"/>
        <color rgb="FFF8696B"/>
      </colorScale>
    </cfRule>
    <cfRule type="colorScale" priority="8252">
      <colorScale>
        <cfvo type="min"/>
        <cfvo type="percentile" val="50"/>
        <cfvo type="max"/>
        <color rgb="FF63BE7B"/>
        <color rgb="FFFFEB84"/>
        <color rgb="FFF8696B"/>
      </colorScale>
    </cfRule>
    <cfRule type="colorScale" priority="9993">
      <colorScale>
        <cfvo type="min"/>
        <cfvo type="percentile" val="50"/>
        <cfvo type="max"/>
        <color rgb="FF63BE7B"/>
        <color rgb="FFFFEB84"/>
        <color rgb="FFF8696B"/>
      </colorScale>
    </cfRule>
    <cfRule type="colorScale" priority="9994">
      <colorScale>
        <cfvo type="min"/>
        <cfvo type="percentile" val="50"/>
        <cfvo type="max"/>
        <color rgb="FF63BE7B"/>
        <color rgb="FFFFEB84"/>
        <color rgb="FFF8696B"/>
      </colorScale>
    </cfRule>
    <cfRule type="colorScale" priority="9996">
      <colorScale>
        <cfvo type="min"/>
        <cfvo type="percentile" val="50"/>
        <cfvo type="max"/>
        <color rgb="FF63BE7B"/>
        <color rgb="FFFFEB84"/>
        <color rgb="FFF8696B"/>
      </colorScale>
    </cfRule>
    <cfRule type="colorScale" priority="9997">
      <colorScale>
        <cfvo type="min"/>
        <cfvo type="percentile" val="50"/>
        <cfvo type="max"/>
        <color rgb="FF63BE7B"/>
        <color rgb="FFFFEB84"/>
        <color rgb="FFF8696B"/>
      </colorScale>
    </cfRule>
    <cfRule type="colorScale" priority="9998">
      <colorScale>
        <cfvo type="min"/>
        <cfvo type="percentile" val="50"/>
        <cfvo type="max"/>
        <color rgb="FF63BE7B"/>
        <color rgb="FFFFEB84"/>
        <color rgb="FFF8696B"/>
      </colorScale>
    </cfRule>
    <cfRule type="colorScale" priority="9999">
      <colorScale>
        <cfvo type="min"/>
        <cfvo type="percentile" val="50"/>
        <cfvo type="max"/>
        <color rgb="FF63BE7B"/>
        <color rgb="FFFFEB84"/>
        <color rgb="FFF8696B"/>
      </colorScale>
    </cfRule>
    <cfRule type="colorScale" priority="10000">
      <colorScale>
        <cfvo type="min"/>
        <cfvo type="percentile" val="50"/>
        <cfvo type="max"/>
        <color rgb="FF63BE7B"/>
        <color rgb="FFFFEB84"/>
        <color rgb="FFF8696B"/>
      </colorScale>
    </cfRule>
    <cfRule type="colorScale" priority="10001">
      <colorScale>
        <cfvo type="min"/>
        <cfvo type="percentile" val="50"/>
        <cfvo type="max"/>
        <color rgb="FF63BE7B"/>
        <color rgb="FFFFEB84"/>
        <color rgb="FFF8696B"/>
      </colorScale>
    </cfRule>
    <cfRule type="colorScale" priority="10002">
      <colorScale>
        <cfvo type="min"/>
        <cfvo type="percentile" val="50"/>
        <cfvo type="max"/>
        <color rgb="FF63BE7B"/>
        <color rgb="FFFFEB84"/>
        <color rgb="FFF8696B"/>
      </colorScale>
    </cfRule>
    <cfRule type="colorScale" priority="13135">
      <colorScale>
        <cfvo type="min"/>
        <cfvo type="percentile" val="50"/>
        <cfvo type="max"/>
        <color rgb="FF63BE7B"/>
        <color rgb="FFFFEB84"/>
        <color rgb="FFF8696B"/>
      </colorScale>
    </cfRule>
    <cfRule type="colorScale" priority="13136">
      <colorScale>
        <cfvo type="min"/>
        <cfvo type="percentile" val="50"/>
        <cfvo type="max"/>
        <color rgb="FF63BE7B"/>
        <color rgb="FFFFEB84"/>
        <color rgb="FFF8696B"/>
      </colorScale>
    </cfRule>
    <cfRule type="colorScale" priority="13137">
      <colorScale>
        <cfvo type="min"/>
        <cfvo type="percentile" val="50"/>
        <cfvo type="max"/>
        <color rgb="FF63BE7B"/>
        <color rgb="FFFFEB84"/>
        <color rgb="FFF8696B"/>
      </colorScale>
    </cfRule>
    <cfRule type="colorScale" priority="8285">
      <colorScale>
        <cfvo type="min"/>
        <cfvo type="percentile" val="50"/>
        <cfvo type="max"/>
        <color rgb="FF63BE7B"/>
        <color rgb="FFFFEB84"/>
        <color rgb="FFF8696B"/>
      </colorScale>
    </cfRule>
    <cfRule type="colorScale" priority="8283">
      <colorScale>
        <cfvo type="min"/>
        <cfvo type="percentile" val="50"/>
        <cfvo type="max"/>
        <color rgb="FF63BE7B"/>
        <color rgb="FFFFEB84"/>
        <color rgb="FFF8696B"/>
      </colorScale>
    </cfRule>
    <cfRule type="colorScale" priority="10010">
      <colorScale>
        <cfvo type="min"/>
        <cfvo type="percentile" val="50"/>
        <cfvo type="max"/>
        <color rgb="FF63BE7B"/>
        <color rgb="FFFFEB84"/>
        <color rgb="FFF8696B"/>
      </colorScale>
    </cfRule>
    <cfRule type="colorScale" priority="10011">
      <colorScale>
        <cfvo type="min"/>
        <cfvo type="percentile" val="50"/>
        <cfvo type="max"/>
        <color rgb="FF63BE7B"/>
        <color rgb="FFFFEB84"/>
        <color rgb="FFF8696B"/>
      </colorScale>
    </cfRule>
    <cfRule type="colorScale" priority="10012">
      <colorScale>
        <cfvo type="min"/>
        <cfvo type="percentile" val="50"/>
        <cfvo type="max"/>
        <color rgb="FF63BE7B"/>
        <color rgb="FFFFEB84"/>
        <color rgb="FFF8696B"/>
      </colorScale>
    </cfRule>
    <cfRule type="colorScale" priority="8240">
      <colorScale>
        <cfvo type="min"/>
        <cfvo type="percentile" val="50"/>
        <cfvo type="max"/>
        <color rgb="FF63BE7B"/>
        <color rgb="FFFFEB84"/>
        <color rgb="FFF8696B"/>
      </colorScale>
    </cfRule>
    <cfRule type="colorScale" priority="8241">
      <colorScale>
        <cfvo type="min"/>
        <cfvo type="percentile" val="50"/>
        <cfvo type="max"/>
        <color rgb="FF63BE7B"/>
        <color rgb="FFFFEB84"/>
        <color rgb="FFF8696B"/>
      </colorScale>
    </cfRule>
    <cfRule type="colorScale" priority="8242">
      <colorScale>
        <cfvo type="min"/>
        <cfvo type="percentile" val="50"/>
        <cfvo type="max"/>
        <color rgb="FF63BE7B"/>
        <color rgb="FFFFEB84"/>
        <color rgb="FFF8696B"/>
      </colorScale>
    </cfRule>
    <cfRule type="colorScale" priority="8282">
      <colorScale>
        <cfvo type="min"/>
        <cfvo type="percentile" val="50"/>
        <cfvo type="max"/>
        <color rgb="FF63BE7B"/>
        <color rgb="FFFFEB84"/>
        <color rgb="FFF8696B"/>
      </colorScale>
    </cfRule>
    <cfRule type="colorScale" priority="10013">
      <colorScale>
        <cfvo type="min"/>
        <cfvo type="percentile" val="50"/>
        <cfvo type="max"/>
        <color rgb="FF63BE7B"/>
        <color rgb="FFFFEB84"/>
        <color rgb="FFF8696B"/>
      </colorScale>
    </cfRule>
    <cfRule type="colorScale" priority="8281">
      <colorScale>
        <cfvo type="min"/>
        <cfvo type="percentile" val="50"/>
        <cfvo type="max"/>
        <color rgb="FF63BE7B"/>
        <color rgb="FFFFEB84"/>
        <color rgb="FFF8696B"/>
      </colorScale>
    </cfRule>
    <cfRule type="colorScale" priority="8269">
      <colorScale>
        <cfvo type="min"/>
        <cfvo type="percentile" val="50"/>
        <cfvo type="max"/>
        <color rgb="FF63BE7B"/>
        <color rgb="FFFFEB84"/>
        <color rgb="FFF8696B"/>
      </colorScale>
    </cfRule>
    <cfRule type="colorScale" priority="11121">
      <colorScale>
        <cfvo type="min"/>
        <cfvo type="percentile" val="50"/>
        <cfvo type="max"/>
        <color rgb="FF63BE7B"/>
        <color rgb="FFFFEB84"/>
        <color rgb="FFF8696B"/>
      </colorScale>
    </cfRule>
    <cfRule type="colorScale" priority="10014">
      <colorScale>
        <cfvo type="min"/>
        <cfvo type="percentile" val="50"/>
        <cfvo type="max"/>
        <color rgb="FF63BE7B"/>
        <color rgb="FFFFEB84"/>
        <color rgb="FFF8696B"/>
      </colorScale>
    </cfRule>
    <cfRule type="colorScale" priority="10015">
      <colorScale>
        <cfvo type="min"/>
        <cfvo type="percentile" val="50"/>
        <cfvo type="max"/>
        <color rgb="FF63BE7B"/>
        <color rgb="FFFFEB84"/>
        <color rgb="FFF8696B"/>
      </colorScale>
    </cfRule>
    <cfRule type="colorScale" priority="11122">
      <colorScale>
        <cfvo type="min"/>
        <cfvo type="percentile" val="50"/>
        <cfvo type="max"/>
        <color rgb="FF63BE7B"/>
        <color rgb="FFFFEB84"/>
        <color rgb="FFF8696B"/>
      </colorScale>
    </cfRule>
    <cfRule type="colorScale" priority="11124">
      <colorScale>
        <cfvo type="min"/>
        <cfvo type="percentile" val="50"/>
        <cfvo type="max"/>
        <color rgb="FF63BE7B"/>
        <color rgb="FFFFEB84"/>
        <color rgb="FFF8696B"/>
      </colorScale>
    </cfRule>
    <cfRule type="colorScale" priority="11125">
      <colorScale>
        <cfvo type="min"/>
        <cfvo type="percentile" val="50"/>
        <cfvo type="max"/>
        <color rgb="FF63BE7B"/>
        <color rgb="FFFFEB84"/>
        <color rgb="FFF8696B"/>
      </colorScale>
    </cfRule>
    <cfRule type="colorScale" priority="11126">
      <colorScale>
        <cfvo type="min"/>
        <cfvo type="percentile" val="50"/>
        <cfvo type="max"/>
        <color rgb="FF63BE7B"/>
        <color rgb="FFFFEB84"/>
        <color rgb="FFF8696B"/>
      </colorScale>
    </cfRule>
    <cfRule type="colorScale" priority="11127">
      <colorScale>
        <cfvo type="min"/>
        <cfvo type="percentile" val="50"/>
        <cfvo type="max"/>
        <color rgb="FF63BE7B"/>
        <color rgb="FFFFEB84"/>
        <color rgb="FFF8696B"/>
      </colorScale>
    </cfRule>
    <cfRule type="colorScale" priority="11128">
      <colorScale>
        <cfvo type="min"/>
        <cfvo type="percentile" val="50"/>
        <cfvo type="max"/>
        <color rgb="FF63BE7B"/>
        <color rgb="FFFFEB84"/>
        <color rgb="FFF8696B"/>
      </colorScale>
    </cfRule>
    <cfRule type="colorScale" priority="10016">
      <colorScale>
        <cfvo type="min"/>
        <cfvo type="percentile" val="50"/>
        <cfvo type="max"/>
        <color rgb="FF63BE7B"/>
        <color rgb="FFFFEB84"/>
        <color rgb="FFF8696B"/>
      </colorScale>
    </cfRule>
    <cfRule type="colorScale" priority="10018">
      <colorScale>
        <cfvo type="min"/>
        <cfvo type="percentile" val="50"/>
        <cfvo type="max"/>
        <color rgb="FF63BE7B"/>
        <color rgb="FFFFEB84"/>
        <color rgb="FFF8696B"/>
      </colorScale>
    </cfRule>
    <cfRule type="colorScale" priority="10019">
      <colorScale>
        <cfvo type="min"/>
        <cfvo type="percentile" val="50"/>
        <cfvo type="max"/>
        <color rgb="FF63BE7B"/>
        <color rgb="FFFFEB84"/>
        <color rgb="FFF8696B"/>
      </colorScale>
    </cfRule>
    <cfRule type="colorScale" priority="11129">
      <colorScale>
        <cfvo type="min"/>
        <cfvo type="percentile" val="50"/>
        <cfvo type="max"/>
        <color rgb="FF63BE7B"/>
        <color rgb="FFFFEB84"/>
        <color rgb="FFF8696B"/>
      </colorScale>
    </cfRule>
    <cfRule type="colorScale" priority="11130">
      <colorScale>
        <cfvo type="min"/>
        <cfvo type="percentile" val="50"/>
        <cfvo type="max"/>
        <color rgb="FF63BE7B"/>
        <color rgb="FFFFEB84"/>
        <color rgb="FFF8696B"/>
      </colorScale>
    </cfRule>
    <cfRule type="colorScale" priority="8280">
      <colorScale>
        <cfvo type="min"/>
        <cfvo type="percentile" val="50"/>
        <cfvo type="max"/>
        <color rgb="FF63BE7B"/>
        <color rgb="FFFFEB84"/>
        <color rgb="FFF8696B"/>
      </colorScale>
    </cfRule>
    <cfRule type="colorScale" priority="8250">
      <colorScale>
        <cfvo type="min"/>
        <cfvo type="percentile" val="50"/>
        <cfvo type="max"/>
        <color rgb="FF63BE7B"/>
        <color rgb="FFFFEB84"/>
        <color rgb="FFF8696B"/>
      </colorScale>
    </cfRule>
  </conditionalFormatting>
  <conditionalFormatting sqref="W36:W37">
    <cfRule type="colorScale" priority="8274">
      <colorScale>
        <cfvo type="min"/>
        <cfvo type="percentile" val="50"/>
        <cfvo type="max"/>
        <color rgb="FF63BE7B"/>
        <color rgb="FFFFEB84"/>
        <color rgb="FFF8696B"/>
      </colorScale>
    </cfRule>
    <cfRule type="colorScale" priority="10007">
      <colorScale>
        <cfvo type="min"/>
        <cfvo type="percentile" val="50"/>
        <cfvo type="max"/>
        <color rgb="FF63BE7B"/>
        <color rgb="FFFFEB84"/>
        <color rgb="FFF8696B"/>
      </colorScale>
    </cfRule>
    <cfRule type="colorScale" priority="8247">
      <colorScale>
        <cfvo type="min"/>
        <cfvo type="percentile" val="50"/>
        <cfvo type="max"/>
        <color rgb="FF63BE7B"/>
        <color rgb="FFFFEB84"/>
        <color rgb="FFF8696B"/>
      </colorScale>
    </cfRule>
  </conditionalFormatting>
  <conditionalFormatting sqref="W36:W41">
    <cfRule type="colorScale" priority="13138">
      <colorScale>
        <cfvo type="min"/>
        <cfvo type="percentile" val="50"/>
        <cfvo type="max"/>
        <color rgb="FF63BE7B"/>
        <color rgb="FFFFEB84"/>
        <color rgb="FFF8696B"/>
      </colorScale>
    </cfRule>
    <cfRule type="colorScale" priority="8257">
      <colorScale>
        <cfvo type="min"/>
        <cfvo type="percentile" val="50"/>
        <cfvo type="max"/>
        <color rgb="FF63BE7B"/>
        <color rgb="FFFFEB84"/>
        <color rgb="FFF8696B"/>
      </colorScale>
    </cfRule>
    <cfRule type="colorScale" priority="10017">
      <colorScale>
        <cfvo type="min"/>
        <cfvo type="percentile" val="50"/>
        <cfvo type="max"/>
        <color rgb="FF63BE7B"/>
        <color rgb="FFFFEB84"/>
        <color rgb="FFF8696B"/>
      </colorScale>
    </cfRule>
    <cfRule type="colorScale" priority="8284">
      <colorScale>
        <cfvo type="min"/>
        <cfvo type="percentile" val="50"/>
        <cfvo type="max"/>
        <color rgb="FF63BE7B"/>
        <color rgb="FFFFEB84"/>
        <color rgb="FFF8696B"/>
      </colorScale>
    </cfRule>
  </conditionalFormatting>
  <conditionalFormatting sqref="W42:W50">
    <cfRule type="colorScale" priority="13204">
      <colorScale>
        <cfvo type="min"/>
        <cfvo type="percentile" val="50"/>
        <cfvo type="max"/>
        <color rgb="FF63BE7B"/>
        <color rgb="FFFFEB84"/>
        <color rgb="FFF8696B"/>
      </colorScale>
    </cfRule>
    <cfRule type="colorScale" priority="13023">
      <colorScale>
        <cfvo type="min"/>
        <cfvo type="percentile" val="50"/>
        <cfvo type="max"/>
        <color rgb="FF63BE7B"/>
        <color rgb="FFFFEB84"/>
        <color rgb="FFF8696B"/>
      </colorScale>
    </cfRule>
    <cfRule type="colorScale" priority="13025">
      <colorScale>
        <cfvo type="min"/>
        <cfvo type="percentile" val="50"/>
        <cfvo type="max"/>
        <color rgb="FF63BE7B"/>
        <color rgb="FFFFEB84"/>
        <color rgb="FFF8696B"/>
      </colorScale>
    </cfRule>
    <cfRule type="colorScale" priority="7452">
      <colorScale>
        <cfvo type="min"/>
        <cfvo type="percentile" val="50"/>
        <cfvo type="max"/>
        <color rgb="FF63BE7B"/>
        <color rgb="FFFFEB84"/>
        <color rgb="FFF8696B"/>
      </colorScale>
    </cfRule>
    <cfRule type="colorScale" priority="13022">
      <colorScale>
        <cfvo type="min"/>
        <cfvo type="percentile" val="50"/>
        <cfvo type="max"/>
        <color rgb="FF63BE7B"/>
        <color rgb="FFFFEB84"/>
        <color rgb="FFF8696B"/>
      </colorScale>
    </cfRule>
    <cfRule type="colorScale" priority="13024">
      <colorScale>
        <cfvo type="min"/>
        <cfvo type="percentile" val="50"/>
        <cfvo type="max"/>
        <color rgb="FF63BE7B"/>
        <color rgb="FFFFEB84"/>
        <color rgb="FFF8696B"/>
      </colorScale>
    </cfRule>
  </conditionalFormatting>
  <conditionalFormatting sqref="W42:W51">
    <cfRule type="colorScale" priority="13205">
      <colorScale>
        <cfvo type="min"/>
        <cfvo type="percentile" val="50"/>
        <cfvo type="max"/>
        <color rgb="FF63BE7B"/>
        <color rgb="FFFFEB84"/>
        <color rgb="FFF8696B"/>
      </colorScale>
    </cfRule>
  </conditionalFormatting>
  <conditionalFormatting sqref="W51:W53">
    <cfRule type="colorScale" priority="12908">
      <colorScale>
        <cfvo type="min"/>
        <cfvo type="percentile" val="50"/>
        <cfvo type="max"/>
        <color rgb="FF63BE7B"/>
        <color rgb="FFFFEB84"/>
        <color rgb="FFF8696B"/>
      </colorScale>
    </cfRule>
    <cfRule type="colorScale" priority="12911">
      <colorScale>
        <cfvo type="min"/>
        <cfvo type="percentile" val="50"/>
        <cfvo type="max"/>
        <color rgb="FF63BE7B"/>
        <color rgb="FFFFEB84"/>
        <color rgb="FFF8696B"/>
      </colorScale>
    </cfRule>
    <cfRule type="colorScale" priority="4274">
      <colorScale>
        <cfvo type="min"/>
        <cfvo type="percentile" val="50"/>
        <cfvo type="max"/>
        <color rgb="FF63BE7B"/>
        <color rgb="FFFFEB84"/>
        <color rgb="FFF8696B"/>
      </colorScale>
    </cfRule>
    <cfRule type="colorScale" priority="4273">
      <colorScale>
        <cfvo type="min"/>
        <cfvo type="percentile" val="50"/>
        <cfvo type="max"/>
        <color rgb="FF63BE7B"/>
        <color rgb="FFFFEB84"/>
        <color rgb="FFF8696B"/>
      </colorScale>
    </cfRule>
    <cfRule type="colorScale" priority="4246">
      <colorScale>
        <cfvo type="min"/>
        <cfvo type="percentile" val="50"/>
        <cfvo type="max"/>
        <color rgb="FF63BE7B"/>
        <color rgb="FFFFEB84"/>
        <color rgb="FFF8696B"/>
      </colorScale>
    </cfRule>
    <cfRule type="colorScale" priority="12912">
      <colorScale>
        <cfvo type="min"/>
        <cfvo type="percentile" val="50"/>
        <cfvo type="max"/>
        <color rgb="FF63BE7B"/>
        <color rgb="FFFFEB84"/>
        <color rgb="FFF8696B"/>
      </colorScale>
    </cfRule>
    <cfRule type="colorScale" priority="12910">
      <colorScale>
        <cfvo type="min"/>
        <cfvo type="percentile" val="50"/>
        <cfvo type="max"/>
        <color rgb="FF63BE7B"/>
        <color rgb="FFFFEB84"/>
        <color rgb="FFF8696B"/>
      </colorScale>
    </cfRule>
  </conditionalFormatting>
  <conditionalFormatting sqref="W52:W53">
    <cfRule type="colorScale" priority="4255">
      <colorScale>
        <cfvo type="min"/>
        <cfvo type="percentile" val="50"/>
        <cfvo type="max"/>
        <color rgb="FF63BE7B"/>
        <color rgb="FFFFEB84"/>
        <color rgb="FFF8696B"/>
      </colorScale>
    </cfRule>
    <cfRule type="colorScale" priority="4256">
      <colorScale>
        <cfvo type="min"/>
        <cfvo type="percentile" val="50"/>
        <cfvo type="max"/>
        <color rgb="FF63BE7B"/>
        <color rgb="FFFFEB84"/>
        <color rgb="FFF8696B"/>
      </colorScale>
    </cfRule>
    <cfRule type="colorScale" priority="7199">
      <colorScale>
        <cfvo type="min"/>
        <cfvo type="percentile" val="50"/>
        <cfvo type="max"/>
        <color rgb="FF63BE7B"/>
        <color rgb="FFFFEB84"/>
        <color rgb="FFF8696B"/>
      </colorScale>
    </cfRule>
    <cfRule type="colorScale" priority="7198">
      <colorScale>
        <cfvo type="min"/>
        <cfvo type="percentile" val="50"/>
        <cfvo type="max"/>
        <color rgb="FF63BE7B"/>
        <color rgb="FFFFEB84"/>
        <color rgb="FFF8696B"/>
      </colorScale>
    </cfRule>
    <cfRule type="colorScale" priority="7197">
      <colorScale>
        <cfvo type="min"/>
        <cfvo type="percentile" val="50"/>
        <cfvo type="max"/>
        <color rgb="FF63BE7B"/>
        <color rgb="FFFFEB84"/>
        <color rgb="FFF8696B"/>
      </colorScale>
    </cfRule>
    <cfRule type="colorScale" priority="7196">
      <colorScale>
        <cfvo type="min"/>
        <cfvo type="percentile" val="50"/>
        <cfvo type="max"/>
        <color rgb="FF63BE7B"/>
        <color rgb="FFFFEB84"/>
        <color rgb="FFF8696B"/>
      </colorScale>
    </cfRule>
    <cfRule type="colorScale" priority="4257">
      <colorScale>
        <cfvo type="min"/>
        <cfvo type="percentile" val="50"/>
        <cfvo type="max"/>
        <color rgb="FF63BE7B"/>
        <color rgb="FFFFEB84"/>
        <color rgb="FFF8696B"/>
      </colorScale>
    </cfRule>
    <cfRule type="colorScale" priority="4258">
      <colorScale>
        <cfvo type="min"/>
        <cfvo type="percentile" val="50"/>
        <cfvo type="max"/>
        <color rgb="FF63BE7B"/>
        <color rgb="FFFFEB84"/>
        <color rgb="FFF8696B"/>
      </colorScale>
    </cfRule>
    <cfRule type="colorScale" priority="4259">
      <colorScale>
        <cfvo type="min"/>
        <cfvo type="percentile" val="50"/>
        <cfvo type="max"/>
        <color rgb="FF63BE7B"/>
        <color rgb="FFFFEB84"/>
        <color rgb="FFF8696B"/>
      </colorScale>
    </cfRule>
    <cfRule type="colorScale" priority="4260">
      <colorScale>
        <cfvo type="min"/>
        <cfvo type="percentile" val="50"/>
        <cfvo type="max"/>
        <color rgb="FF63BE7B"/>
        <color rgb="FFFFEB84"/>
        <color rgb="FFF8696B"/>
      </colorScale>
    </cfRule>
    <cfRule type="colorScale" priority="4261">
      <colorScale>
        <cfvo type="min"/>
        <cfvo type="percentile" val="50"/>
        <cfvo type="max"/>
        <color rgb="FF63BE7B"/>
        <color rgb="FFFFEB84"/>
        <color rgb="FFF8696B"/>
      </colorScale>
    </cfRule>
    <cfRule type="colorScale" priority="4262">
      <colorScale>
        <cfvo type="min"/>
        <cfvo type="percentile" val="50"/>
        <cfvo type="max"/>
        <color rgb="FF63BE7B"/>
        <color rgb="FFFFEB84"/>
        <color rgb="FFF8696B"/>
      </colorScale>
    </cfRule>
    <cfRule type="colorScale" priority="4263">
      <colorScale>
        <cfvo type="min"/>
        <cfvo type="percentile" val="50"/>
        <cfvo type="max"/>
        <color rgb="FF63BE7B"/>
        <color rgb="FFFFEB84"/>
        <color rgb="FFF8696B"/>
      </colorScale>
    </cfRule>
    <cfRule type="colorScale" priority="4264">
      <colorScale>
        <cfvo type="min"/>
        <cfvo type="percentile" val="50"/>
        <cfvo type="max"/>
        <color rgb="FF63BE7B"/>
        <color rgb="FFFFEB84"/>
        <color rgb="FFF8696B"/>
      </colorScale>
    </cfRule>
    <cfRule type="colorScale" priority="4265">
      <colorScale>
        <cfvo type="min"/>
        <cfvo type="percentile" val="50"/>
        <cfvo type="max"/>
        <color rgb="FF63BE7B"/>
        <color rgb="FFFFEB84"/>
        <color rgb="FFF8696B"/>
      </colorScale>
    </cfRule>
    <cfRule type="colorScale" priority="4266">
      <colorScale>
        <cfvo type="min"/>
        <cfvo type="percentile" val="50"/>
        <cfvo type="max"/>
        <color rgb="FF63BE7B"/>
        <color rgb="FFFFEB84"/>
        <color rgb="FFF8696B"/>
      </colorScale>
    </cfRule>
    <cfRule type="colorScale" priority="4267">
      <colorScale>
        <cfvo type="min"/>
        <cfvo type="percentile" val="50"/>
        <cfvo type="max"/>
        <color rgb="FF63BE7B"/>
        <color rgb="FFFFEB84"/>
        <color rgb="FFF8696B"/>
      </colorScale>
    </cfRule>
    <cfRule type="colorScale" priority="4268">
      <colorScale>
        <cfvo type="min"/>
        <cfvo type="percentile" val="50"/>
        <cfvo type="max"/>
        <color rgb="FF63BE7B"/>
        <color rgb="FFFFEB84"/>
        <color rgb="FFF8696B"/>
      </colorScale>
    </cfRule>
    <cfRule type="colorScale" priority="4269">
      <colorScale>
        <cfvo type="min"/>
        <cfvo type="percentile" val="50"/>
        <cfvo type="max"/>
        <color rgb="FF63BE7B"/>
        <color rgb="FFFFEB84"/>
        <color rgb="FFF8696B"/>
      </colorScale>
    </cfRule>
    <cfRule type="colorScale" priority="4270">
      <colorScale>
        <cfvo type="min"/>
        <cfvo type="percentile" val="50"/>
        <cfvo type="max"/>
        <color rgb="FF63BE7B"/>
        <color rgb="FFFFEB84"/>
        <color rgb="FFF8696B"/>
      </colorScale>
    </cfRule>
    <cfRule type="colorScale" priority="4271">
      <colorScale>
        <cfvo type="min"/>
        <cfvo type="percentile" val="50"/>
        <cfvo type="max"/>
        <color rgb="FF63BE7B"/>
        <color rgb="FFFFEB84"/>
        <color rgb="FFF8696B"/>
      </colorScale>
    </cfRule>
    <cfRule type="colorScale" priority="4272">
      <colorScale>
        <cfvo type="min"/>
        <cfvo type="percentile" val="50"/>
        <cfvo type="max"/>
        <color rgb="FF63BE7B"/>
        <color rgb="FFFFEB84"/>
        <color rgb="FFF8696B"/>
      </colorScale>
    </cfRule>
    <cfRule type="colorScale" priority="6156">
      <colorScale>
        <cfvo type="min"/>
        <cfvo type="percentile" val="50"/>
        <cfvo type="max"/>
        <color rgb="FF63BE7B"/>
        <color rgb="FFFFEB84"/>
        <color rgb="FFF8696B"/>
      </colorScale>
    </cfRule>
    <cfRule type="colorScale" priority="6155">
      <colorScale>
        <cfvo type="min"/>
        <cfvo type="percentile" val="50"/>
        <cfvo type="max"/>
        <color rgb="FF63BE7B"/>
        <color rgb="FFFFEB84"/>
        <color rgb="FFF8696B"/>
      </colorScale>
    </cfRule>
    <cfRule type="colorScale" priority="6154">
      <colorScale>
        <cfvo type="min"/>
        <cfvo type="percentile" val="50"/>
        <cfvo type="max"/>
        <color rgb="FF63BE7B"/>
        <color rgb="FFFFEB84"/>
        <color rgb="FFF8696B"/>
      </colorScale>
    </cfRule>
    <cfRule type="colorScale" priority="6153">
      <colorScale>
        <cfvo type="min"/>
        <cfvo type="percentile" val="50"/>
        <cfvo type="max"/>
        <color rgb="FF63BE7B"/>
        <color rgb="FFFFEB84"/>
        <color rgb="FFF8696B"/>
      </colorScale>
    </cfRule>
    <cfRule type="colorScale" priority="6152">
      <colorScale>
        <cfvo type="min"/>
        <cfvo type="percentile" val="50"/>
        <cfvo type="max"/>
        <color rgb="FF63BE7B"/>
        <color rgb="FFFFEB84"/>
        <color rgb="FFF8696B"/>
      </colorScale>
    </cfRule>
    <cfRule type="colorScale" priority="6151">
      <colorScale>
        <cfvo type="min"/>
        <cfvo type="percentile" val="50"/>
        <cfvo type="max"/>
        <color rgb="FF63BE7B"/>
        <color rgb="FFFFEB84"/>
        <color rgb="FFF8696B"/>
      </colorScale>
    </cfRule>
    <cfRule type="colorScale" priority="6150">
      <colorScale>
        <cfvo type="min"/>
        <cfvo type="percentile" val="50"/>
        <cfvo type="max"/>
        <color rgb="FF63BE7B"/>
        <color rgb="FFFFEB84"/>
        <color rgb="FFF8696B"/>
      </colorScale>
    </cfRule>
    <cfRule type="colorScale" priority="6149">
      <colorScale>
        <cfvo type="min"/>
        <cfvo type="percentile" val="50"/>
        <cfvo type="max"/>
        <color rgb="FF63BE7B"/>
        <color rgb="FFFFEB84"/>
        <color rgb="FFF8696B"/>
      </colorScale>
    </cfRule>
    <cfRule type="colorScale" priority="6148">
      <colorScale>
        <cfvo type="min"/>
        <cfvo type="percentile" val="50"/>
        <cfvo type="max"/>
        <color rgb="FF63BE7B"/>
        <color rgb="FFFFEB84"/>
        <color rgb="FFF8696B"/>
      </colorScale>
    </cfRule>
    <cfRule type="colorScale" priority="6147">
      <colorScale>
        <cfvo type="min"/>
        <cfvo type="percentile" val="50"/>
        <cfvo type="max"/>
        <color rgb="FF63BE7B"/>
        <color rgb="FFFFEB84"/>
        <color rgb="FFF8696B"/>
      </colorScale>
    </cfRule>
    <cfRule type="colorScale" priority="6146">
      <colorScale>
        <cfvo type="min"/>
        <cfvo type="percentile" val="50"/>
        <cfvo type="max"/>
        <color rgb="FF63BE7B"/>
        <color rgb="FFFFEB84"/>
        <color rgb="FFF8696B"/>
      </colorScale>
    </cfRule>
    <cfRule type="colorScale" priority="6145">
      <colorScale>
        <cfvo type="min"/>
        <cfvo type="percentile" val="50"/>
        <cfvo type="max"/>
        <color rgb="FF63BE7B"/>
        <color rgb="FFFFEB84"/>
        <color rgb="FFF8696B"/>
      </colorScale>
    </cfRule>
    <cfRule type="colorScale" priority="6144">
      <colorScale>
        <cfvo type="min"/>
        <cfvo type="percentile" val="50"/>
        <cfvo type="max"/>
        <color rgb="FF63BE7B"/>
        <color rgb="FFFFEB84"/>
        <color rgb="FFF8696B"/>
      </colorScale>
    </cfRule>
    <cfRule type="colorScale" priority="6143">
      <colorScale>
        <cfvo type="min"/>
        <cfvo type="percentile" val="50"/>
        <cfvo type="max"/>
        <color rgb="FF63BE7B"/>
        <color rgb="FFFFEB84"/>
        <color rgb="FFF8696B"/>
      </colorScale>
    </cfRule>
    <cfRule type="colorScale" priority="6142">
      <colorScale>
        <cfvo type="min"/>
        <cfvo type="percentile" val="50"/>
        <cfvo type="max"/>
        <color rgb="FF63BE7B"/>
        <color rgb="FFFFEB84"/>
        <color rgb="FFF8696B"/>
      </colorScale>
    </cfRule>
    <cfRule type="colorScale" priority="6141">
      <colorScale>
        <cfvo type="min"/>
        <cfvo type="percentile" val="50"/>
        <cfvo type="max"/>
        <color rgb="FF63BE7B"/>
        <color rgb="FFFFEB84"/>
        <color rgb="FFF8696B"/>
      </colorScale>
    </cfRule>
    <cfRule type="colorScale" priority="6140">
      <colorScale>
        <cfvo type="min"/>
        <cfvo type="percentile" val="50"/>
        <cfvo type="max"/>
        <color rgb="FF63BE7B"/>
        <color rgb="FFFFEB84"/>
        <color rgb="FFF8696B"/>
      </colorScale>
    </cfRule>
    <cfRule type="colorScale" priority="4253">
      <colorScale>
        <cfvo type="min"/>
        <cfvo type="percentile" val="50"/>
        <cfvo type="max"/>
        <color rgb="FF63BE7B"/>
        <color rgb="FFFFEB84"/>
        <color rgb="FFF8696B"/>
      </colorScale>
    </cfRule>
    <cfRule type="colorScale" priority="5191">
      <colorScale>
        <cfvo type="min"/>
        <cfvo type="percentile" val="50"/>
        <cfvo type="max"/>
        <color rgb="FF63BE7B"/>
        <color rgb="FFFFEB84"/>
        <color rgb="FFF8696B"/>
      </colorScale>
    </cfRule>
    <cfRule type="colorScale" priority="5192">
      <colorScale>
        <cfvo type="min"/>
        <cfvo type="percentile" val="50"/>
        <cfvo type="max"/>
        <color rgb="FF63BE7B"/>
        <color rgb="FFFFEB84"/>
        <color rgb="FFF8696B"/>
      </colorScale>
    </cfRule>
    <cfRule type="colorScale" priority="5193">
      <colorScale>
        <cfvo type="min"/>
        <cfvo type="percentile" val="50"/>
        <cfvo type="max"/>
        <color rgb="FF63BE7B"/>
        <color rgb="FFFFEB84"/>
        <color rgb="FFF8696B"/>
      </colorScale>
    </cfRule>
    <cfRule type="colorScale" priority="5194">
      <colorScale>
        <cfvo type="min"/>
        <cfvo type="percentile" val="50"/>
        <cfvo type="max"/>
        <color rgb="FF63BE7B"/>
        <color rgb="FFFFEB84"/>
        <color rgb="FFF8696B"/>
      </colorScale>
    </cfRule>
    <cfRule type="colorScale" priority="5195">
      <colorScale>
        <cfvo type="min"/>
        <cfvo type="percentile" val="50"/>
        <cfvo type="max"/>
        <color rgb="FF63BE7B"/>
        <color rgb="FFFFEB84"/>
        <color rgb="FFF8696B"/>
      </colorScale>
    </cfRule>
    <cfRule type="colorScale" priority="5196">
      <colorScale>
        <cfvo type="min"/>
        <cfvo type="percentile" val="50"/>
        <cfvo type="max"/>
        <color rgb="FF63BE7B"/>
        <color rgb="FFFFEB84"/>
        <color rgb="FFF8696B"/>
      </colorScale>
    </cfRule>
    <cfRule type="colorScale" priority="5197">
      <colorScale>
        <cfvo type="min"/>
        <cfvo type="percentile" val="50"/>
        <cfvo type="max"/>
        <color rgb="FF63BE7B"/>
        <color rgb="FFFFEB84"/>
        <color rgb="FFF8696B"/>
      </colorScale>
    </cfRule>
    <cfRule type="colorScale" priority="5198">
      <colorScale>
        <cfvo type="min"/>
        <cfvo type="percentile" val="50"/>
        <cfvo type="max"/>
        <color rgb="FF63BE7B"/>
        <color rgb="FFFFEB84"/>
        <color rgb="FFF8696B"/>
      </colorScale>
    </cfRule>
    <cfRule type="colorScale" priority="5199">
      <colorScale>
        <cfvo type="min"/>
        <cfvo type="percentile" val="50"/>
        <cfvo type="max"/>
        <color rgb="FF63BE7B"/>
        <color rgb="FFFFEB84"/>
        <color rgb="FFF8696B"/>
      </colorScale>
    </cfRule>
    <cfRule type="colorScale" priority="5200">
      <colorScale>
        <cfvo type="min"/>
        <cfvo type="percentile" val="50"/>
        <cfvo type="max"/>
        <color rgb="FF63BE7B"/>
        <color rgb="FFFFEB84"/>
        <color rgb="FFF8696B"/>
      </colorScale>
    </cfRule>
    <cfRule type="colorScale" priority="5201">
      <colorScale>
        <cfvo type="min"/>
        <cfvo type="percentile" val="50"/>
        <cfvo type="max"/>
        <color rgb="FF63BE7B"/>
        <color rgb="FFFFEB84"/>
        <color rgb="FFF8696B"/>
      </colorScale>
    </cfRule>
    <cfRule type="colorScale" priority="5202">
      <colorScale>
        <cfvo type="min"/>
        <cfvo type="percentile" val="50"/>
        <cfvo type="max"/>
        <color rgb="FF63BE7B"/>
        <color rgb="FFFFEB84"/>
        <color rgb="FFF8696B"/>
      </colorScale>
    </cfRule>
    <cfRule type="colorScale" priority="5203">
      <colorScale>
        <cfvo type="min"/>
        <cfvo type="percentile" val="50"/>
        <cfvo type="max"/>
        <color rgb="FF63BE7B"/>
        <color rgb="FFFFEB84"/>
        <color rgb="FFF8696B"/>
      </colorScale>
    </cfRule>
    <cfRule type="colorScale" priority="5204">
      <colorScale>
        <cfvo type="min"/>
        <cfvo type="percentile" val="50"/>
        <cfvo type="max"/>
        <color rgb="FF63BE7B"/>
        <color rgb="FFFFEB84"/>
        <color rgb="FFF8696B"/>
      </colorScale>
    </cfRule>
    <cfRule type="colorScale" priority="5205">
      <colorScale>
        <cfvo type="min"/>
        <cfvo type="percentile" val="50"/>
        <cfvo type="max"/>
        <color rgb="FF63BE7B"/>
        <color rgb="FFFFEB84"/>
        <color rgb="FFF8696B"/>
      </colorScale>
    </cfRule>
    <cfRule type="colorScale" priority="5206">
      <colorScale>
        <cfvo type="min"/>
        <cfvo type="percentile" val="50"/>
        <cfvo type="max"/>
        <color rgb="FF63BE7B"/>
        <color rgb="FFFFEB84"/>
        <color rgb="FFF8696B"/>
      </colorScale>
    </cfRule>
    <cfRule type="colorScale" priority="5207">
      <colorScale>
        <cfvo type="min"/>
        <cfvo type="percentile" val="50"/>
        <cfvo type="max"/>
        <color rgb="FF63BE7B"/>
        <color rgb="FFFFEB84"/>
        <color rgb="FFF8696B"/>
      </colorScale>
    </cfRule>
    <cfRule type="colorScale" priority="5208">
      <colorScale>
        <cfvo type="min"/>
        <cfvo type="percentile" val="50"/>
        <cfvo type="max"/>
        <color rgb="FF63BE7B"/>
        <color rgb="FFFFEB84"/>
        <color rgb="FFF8696B"/>
      </colorScale>
    </cfRule>
    <cfRule type="colorScale" priority="5209">
      <colorScale>
        <cfvo type="min"/>
        <cfvo type="percentile" val="50"/>
        <cfvo type="max"/>
        <color rgb="FF63BE7B"/>
        <color rgb="FFFFEB84"/>
        <color rgb="FFF8696B"/>
      </colorScale>
    </cfRule>
    <cfRule type="colorScale" priority="5210">
      <colorScale>
        <cfvo type="min"/>
        <cfvo type="percentile" val="50"/>
        <cfvo type="max"/>
        <color rgb="FF63BE7B"/>
        <color rgb="FFFFEB84"/>
        <color rgb="FFF8696B"/>
      </colorScale>
    </cfRule>
    <cfRule type="colorScale" priority="6931">
      <colorScale>
        <cfvo type="min"/>
        <cfvo type="percentile" val="50"/>
        <cfvo type="max"/>
        <color rgb="FF63BE7B"/>
        <color rgb="FFFFEB84"/>
        <color rgb="FFF8696B"/>
      </colorScale>
    </cfRule>
    <cfRule type="colorScale" priority="6930">
      <colorScale>
        <cfvo type="min"/>
        <cfvo type="percentile" val="50"/>
        <cfvo type="max"/>
        <color rgb="FF63BE7B"/>
        <color rgb="FFFFEB84"/>
        <color rgb="FFF8696B"/>
      </colorScale>
    </cfRule>
    <cfRule type="colorScale" priority="6929">
      <colorScale>
        <cfvo type="min"/>
        <cfvo type="percentile" val="50"/>
        <cfvo type="max"/>
        <color rgb="FF63BE7B"/>
        <color rgb="FFFFEB84"/>
        <color rgb="FFF8696B"/>
      </colorScale>
    </cfRule>
    <cfRule type="colorScale" priority="6928">
      <colorScale>
        <cfvo type="min"/>
        <cfvo type="percentile" val="50"/>
        <cfvo type="max"/>
        <color rgb="FF63BE7B"/>
        <color rgb="FFFFEB84"/>
        <color rgb="FFF8696B"/>
      </colorScale>
    </cfRule>
    <cfRule type="colorScale" priority="6927">
      <colorScale>
        <cfvo type="min"/>
        <cfvo type="percentile" val="50"/>
        <cfvo type="max"/>
        <color rgb="FF63BE7B"/>
        <color rgb="FFFFEB84"/>
        <color rgb="FFF8696B"/>
      </colorScale>
    </cfRule>
    <cfRule type="colorScale" priority="6926">
      <colorScale>
        <cfvo type="min"/>
        <cfvo type="percentile" val="50"/>
        <cfvo type="max"/>
        <color rgb="FF63BE7B"/>
        <color rgb="FFFFEB84"/>
        <color rgb="FFF8696B"/>
      </colorScale>
    </cfRule>
    <cfRule type="colorScale" priority="6925">
      <colorScale>
        <cfvo type="min"/>
        <cfvo type="percentile" val="50"/>
        <cfvo type="max"/>
        <color rgb="FF63BE7B"/>
        <color rgb="FFFFEB84"/>
        <color rgb="FFF8696B"/>
      </colorScale>
    </cfRule>
    <cfRule type="colorScale" priority="6924">
      <colorScale>
        <cfvo type="min"/>
        <cfvo type="percentile" val="50"/>
        <cfvo type="max"/>
        <color rgb="FF63BE7B"/>
        <color rgb="FFFFEB84"/>
        <color rgb="FFF8696B"/>
      </colorScale>
    </cfRule>
    <cfRule type="colorScale" priority="6923">
      <colorScale>
        <cfvo type="min"/>
        <cfvo type="percentile" val="50"/>
        <cfvo type="max"/>
        <color rgb="FF63BE7B"/>
        <color rgb="FFFFEB84"/>
        <color rgb="FFF8696B"/>
      </colorScale>
    </cfRule>
    <cfRule type="colorScale" priority="5211">
      <colorScale>
        <cfvo type="min"/>
        <cfvo type="percentile" val="50"/>
        <cfvo type="max"/>
        <color rgb="FF63BE7B"/>
        <color rgb="FFFFEB84"/>
        <color rgb="FFF8696B"/>
      </colorScale>
    </cfRule>
    <cfRule type="colorScale" priority="5212">
      <colorScale>
        <cfvo type="min"/>
        <cfvo type="percentile" val="50"/>
        <cfvo type="max"/>
        <color rgb="FF63BE7B"/>
        <color rgb="FFFFEB84"/>
        <color rgb="FFF8696B"/>
      </colorScale>
    </cfRule>
    <cfRule type="colorScale" priority="5213">
      <colorScale>
        <cfvo type="min"/>
        <cfvo type="percentile" val="50"/>
        <cfvo type="max"/>
        <color rgb="FF63BE7B"/>
        <color rgb="FFFFEB84"/>
        <color rgb="FFF8696B"/>
      </colorScale>
    </cfRule>
    <cfRule type="colorScale" priority="5214">
      <colorScale>
        <cfvo type="min"/>
        <cfvo type="percentile" val="50"/>
        <cfvo type="max"/>
        <color rgb="FF63BE7B"/>
        <color rgb="FFFFEB84"/>
        <color rgb="FFF8696B"/>
      </colorScale>
    </cfRule>
    <cfRule type="colorScale" priority="5215">
      <colorScale>
        <cfvo type="min"/>
        <cfvo type="percentile" val="50"/>
        <cfvo type="max"/>
        <color rgb="FF63BE7B"/>
        <color rgb="FFFFEB84"/>
        <color rgb="FFF8696B"/>
      </colorScale>
    </cfRule>
    <cfRule type="colorScale" priority="5216">
      <colorScale>
        <cfvo type="min"/>
        <cfvo type="percentile" val="50"/>
        <cfvo type="max"/>
        <color rgb="FF63BE7B"/>
        <color rgb="FFFFEB84"/>
        <color rgb="FFF8696B"/>
      </colorScale>
    </cfRule>
    <cfRule type="colorScale" priority="5217">
      <colorScale>
        <cfvo type="min"/>
        <cfvo type="percentile" val="50"/>
        <cfvo type="max"/>
        <color rgb="FF63BE7B"/>
        <color rgb="FFFFEB84"/>
        <color rgb="FFF8696B"/>
      </colorScale>
    </cfRule>
    <cfRule type="colorScale" priority="5218">
      <colorScale>
        <cfvo type="min"/>
        <cfvo type="percentile" val="50"/>
        <cfvo type="max"/>
        <color rgb="FF63BE7B"/>
        <color rgb="FFFFEB84"/>
        <color rgb="FFF8696B"/>
      </colorScale>
    </cfRule>
    <cfRule type="colorScale" priority="5219">
      <colorScale>
        <cfvo type="min"/>
        <cfvo type="percentile" val="50"/>
        <cfvo type="max"/>
        <color rgb="FF63BE7B"/>
        <color rgb="FFFFEB84"/>
        <color rgb="FFF8696B"/>
      </colorScale>
    </cfRule>
    <cfRule type="colorScale" priority="5220">
      <colorScale>
        <cfvo type="min"/>
        <cfvo type="percentile" val="50"/>
        <cfvo type="max"/>
        <color rgb="FF63BE7B"/>
        <color rgb="FFFFEB84"/>
        <color rgb="FFF8696B"/>
      </colorScale>
    </cfRule>
    <cfRule type="colorScale" priority="5221">
      <colorScale>
        <cfvo type="min"/>
        <cfvo type="percentile" val="50"/>
        <cfvo type="max"/>
        <color rgb="FF63BE7B"/>
        <color rgb="FFFFEB84"/>
        <color rgb="FFF8696B"/>
      </colorScale>
    </cfRule>
    <cfRule type="colorScale" priority="5222">
      <colorScale>
        <cfvo type="min"/>
        <cfvo type="percentile" val="50"/>
        <cfvo type="max"/>
        <color rgb="FF63BE7B"/>
        <color rgb="FFFFEB84"/>
        <color rgb="FFF8696B"/>
      </colorScale>
    </cfRule>
    <cfRule type="colorScale" priority="5223">
      <colorScale>
        <cfvo type="min"/>
        <cfvo type="percentile" val="50"/>
        <cfvo type="max"/>
        <color rgb="FF63BE7B"/>
        <color rgb="FFFFEB84"/>
        <color rgb="FFF8696B"/>
      </colorScale>
    </cfRule>
    <cfRule type="colorScale" priority="5224">
      <colorScale>
        <cfvo type="min"/>
        <cfvo type="percentile" val="50"/>
        <cfvo type="max"/>
        <color rgb="FF63BE7B"/>
        <color rgb="FFFFEB84"/>
        <color rgb="FFF8696B"/>
      </colorScale>
    </cfRule>
    <cfRule type="colorScale" priority="5225">
      <colorScale>
        <cfvo type="min"/>
        <cfvo type="percentile" val="50"/>
        <cfvo type="max"/>
        <color rgb="FF63BE7B"/>
        <color rgb="FFFFEB84"/>
        <color rgb="FFF8696B"/>
      </colorScale>
    </cfRule>
    <cfRule type="colorScale" priority="5226">
      <colorScale>
        <cfvo type="min"/>
        <cfvo type="percentile" val="50"/>
        <cfvo type="max"/>
        <color rgb="FF63BE7B"/>
        <color rgb="FFFFEB84"/>
        <color rgb="FFF8696B"/>
      </colorScale>
    </cfRule>
    <cfRule type="colorScale" priority="5227">
      <colorScale>
        <cfvo type="min"/>
        <cfvo type="percentile" val="50"/>
        <cfvo type="max"/>
        <color rgb="FF63BE7B"/>
        <color rgb="FFFFEB84"/>
        <color rgb="FFF8696B"/>
      </colorScale>
    </cfRule>
    <cfRule type="colorScale" priority="6158">
      <colorScale>
        <cfvo type="min"/>
        <cfvo type="percentile" val="50"/>
        <cfvo type="max"/>
        <color rgb="FF63BE7B"/>
        <color rgb="FFFFEB84"/>
        <color rgb="FFF8696B"/>
      </colorScale>
    </cfRule>
    <cfRule type="colorScale" priority="6157">
      <colorScale>
        <cfvo type="min"/>
        <cfvo type="percentile" val="50"/>
        <cfvo type="max"/>
        <color rgb="FF63BE7B"/>
        <color rgb="FFFFEB84"/>
        <color rgb="FFF8696B"/>
      </colorScale>
    </cfRule>
    <cfRule type="colorScale" priority="4247">
      <colorScale>
        <cfvo type="min"/>
        <cfvo type="percentile" val="50"/>
        <cfvo type="max"/>
        <color rgb="FF63BE7B"/>
        <color rgb="FFFFEB84"/>
        <color rgb="FFF8696B"/>
      </colorScale>
    </cfRule>
    <cfRule type="colorScale" priority="4248">
      <colorScale>
        <cfvo type="min"/>
        <cfvo type="percentile" val="50"/>
        <cfvo type="max"/>
        <color rgb="FF63BE7B"/>
        <color rgb="FFFFEB84"/>
        <color rgb="FFF8696B"/>
      </colorScale>
    </cfRule>
    <cfRule type="colorScale" priority="4249">
      <colorScale>
        <cfvo type="min"/>
        <cfvo type="percentile" val="50"/>
        <cfvo type="max"/>
        <color rgb="FF63BE7B"/>
        <color rgb="FFFFEB84"/>
        <color rgb="FFF8696B"/>
      </colorScale>
    </cfRule>
    <cfRule type="colorScale" priority="4250">
      <colorScale>
        <cfvo type="min"/>
        <cfvo type="percentile" val="50"/>
        <cfvo type="max"/>
        <color rgb="FF63BE7B"/>
        <color rgb="FFFFEB84"/>
        <color rgb="FFF8696B"/>
      </colorScale>
    </cfRule>
    <cfRule type="colorScale" priority="4251">
      <colorScale>
        <cfvo type="min"/>
        <cfvo type="percentile" val="50"/>
        <cfvo type="max"/>
        <color rgb="FF63BE7B"/>
        <color rgb="FFFFEB84"/>
        <color rgb="FFF8696B"/>
      </colorScale>
    </cfRule>
    <cfRule type="colorScale" priority="4252">
      <colorScale>
        <cfvo type="min"/>
        <cfvo type="percentile" val="50"/>
        <cfvo type="max"/>
        <color rgb="FF63BE7B"/>
        <color rgb="FFFFEB84"/>
        <color rgb="FFF8696B"/>
      </colorScale>
    </cfRule>
    <cfRule type="colorScale" priority="4254">
      <colorScale>
        <cfvo type="min"/>
        <cfvo type="percentile" val="50"/>
        <cfvo type="max"/>
        <color rgb="FF63BE7B"/>
        <color rgb="FFFFEB84"/>
        <color rgb="FFF8696B"/>
      </colorScale>
    </cfRule>
    <cfRule type="colorScale" priority="5190">
      <colorScale>
        <cfvo type="min"/>
        <cfvo type="percentile" val="50"/>
        <cfvo type="max"/>
        <color rgb="FF63BE7B"/>
        <color rgb="FFFFEB84"/>
        <color rgb="FFF8696B"/>
      </colorScale>
    </cfRule>
  </conditionalFormatting>
  <conditionalFormatting sqref="W54:W61">
    <cfRule type="colorScale" priority="36">
      <colorScale>
        <cfvo type="min"/>
        <cfvo type="percentile" val="50"/>
        <cfvo type="max"/>
        <color rgb="FF63BE7B"/>
        <color rgb="FFFFEB84"/>
        <color rgb="FFF8696B"/>
      </colorScale>
    </cfRule>
  </conditionalFormatting>
  <conditionalFormatting sqref="W65:W71">
    <cfRule type="colorScale" priority="12528">
      <colorScale>
        <cfvo type="min"/>
        <cfvo type="percentile" val="50"/>
        <cfvo type="max"/>
        <color rgb="FF63BE7B"/>
        <color rgb="FFFFEB84"/>
        <color rgb="FFF8696B"/>
      </colorScale>
    </cfRule>
    <cfRule type="colorScale" priority="12527">
      <colorScale>
        <cfvo type="min"/>
        <cfvo type="percentile" val="50"/>
        <cfvo type="max"/>
        <color rgb="FF63BE7B"/>
        <color rgb="FFFFEB84"/>
        <color rgb="FFF8696B"/>
      </colorScale>
    </cfRule>
    <cfRule type="colorScale" priority="12526">
      <colorScale>
        <cfvo type="min"/>
        <cfvo type="percentile" val="50"/>
        <cfvo type="max"/>
        <color rgb="FF63BE7B"/>
        <color rgb="FFFFEB84"/>
        <color rgb="FFF8696B"/>
      </colorScale>
    </cfRule>
  </conditionalFormatting>
  <conditionalFormatting sqref="W65:W80">
    <cfRule type="colorScale" priority="12588">
      <colorScale>
        <cfvo type="min"/>
        <cfvo type="percentile" val="50"/>
        <cfvo type="max"/>
        <color rgb="FF63BE7B"/>
        <color rgb="FFFFEB84"/>
        <color rgb="FFF8696B"/>
      </colorScale>
    </cfRule>
  </conditionalFormatting>
  <conditionalFormatting sqref="W65:W91">
    <cfRule type="colorScale" priority="12606">
      <colorScale>
        <cfvo type="min"/>
        <cfvo type="percentile" val="50"/>
        <cfvo type="max"/>
        <color rgb="FF63BE7B"/>
        <color rgb="FFFFEB84"/>
        <color rgb="FFF8696B"/>
      </colorScale>
    </cfRule>
  </conditionalFormatting>
  <conditionalFormatting sqref="W66:W71">
    <cfRule type="colorScale" priority="12529">
      <colorScale>
        <cfvo type="min"/>
        <cfvo type="percentile" val="50"/>
        <cfvo type="max"/>
        <color rgb="FF63BE7B"/>
        <color rgb="FFFFEB84"/>
        <color rgb="FFF8696B"/>
      </colorScale>
    </cfRule>
  </conditionalFormatting>
  <conditionalFormatting sqref="W96:W102">
    <cfRule type="colorScale" priority="11922">
      <colorScale>
        <cfvo type="min"/>
        <cfvo type="percentile" val="50"/>
        <cfvo type="max"/>
        <color rgb="FF63BE7B"/>
        <color rgb="FFFFEB84"/>
        <color rgb="FFF8696B"/>
      </colorScale>
    </cfRule>
    <cfRule type="colorScale" priority="11921">
      <colorScale>
        <cfvo type="min"/>
        <cfvo type="percentile" val="50"/>
        <cfvo type="max"/>
        <color rgb="FF63BE7B"/>
        <color rgb="FFFFEB84"/>
        <color rgb="FFF8696B"/>
      </colorScale>
    </cfRule>
    <cfRule type="colorScale" priority="11920">
      <colorScale>
        <cfvo type="min"/>
        <cfvo type="percentile" val="50"/>
        <cfvo type="max"/>
        <color rgb="FF63BE7B"/>
        <color rgb="FFFFEB84"/>
        <color rgb="FFF8696B"/>
      </colorScale>
    </cfRule>
  </conditionalFormatting>
  <conditionalFormatting sqref="W96:W111">
    <cfRule type="colorScale" priority="11982">
      <colorScale>
        <cfvo type="min"/>
        <cfvo type="percentile" val="50"/>
        <cfvo type="max"/>
        <color rgb="FF63BE7B"/>
        <color rgb="FFFFEB84"/>
        <color rgb="FFF8696B"/>
      </colorScale>
    </cfRule>
  </conditionalFormatting>
  <conditionalFormatting sqref="W96:W122">
    <cfRule type="colorScale" priority="12000">
      <colorScale>
        <cfvo type="min"/>
        <cfvo type="percentile" val="50"/>
        <cfvo type="max"/>
        <color rgb="FF63BE7B"/>
        <color rgb="FFFFEB84"/>
        <color rgb="FFF8696B"/>
      </colorScale>
    </cfRule>
  </conditionalFormatting>
  <conditionalFormatting sqref="W97:W102">
    <cfRule type="colorScale" priority="11923">
      <colorScale>
        <cfvo type="min"/>
        <cfvo type="percentile" val="50"/>
        <cfvo type="max"/>
        <color rgb="FF63BE7B"/>
        <color rgb="FFFFEB84"/>
        <color rgb="FFF8696B"/>
      </colorScale>
    </cfRule>
  </conditionalFormatting>
  <conditionalFormatting sqref="X35:X37">
    <cfRule type="colorScale" priority="11113">
      <colorScale>
        <cfvo type="min"/>
        <cfvo type="percentile" val="50"/>
        <cfvo type="max"/>
        <color rgb="FF63BE7B"/>
        <color rgb="FFFFEB84"/>
        <color rgb="FFF8696B"/>
      </colorScale>
    </cfRule>
    <cfRule type="colorScale" priority="9976">
      <colorScale>
        <cfvo type="min"/>
        <cfvo type="percentile" val="50"/>
        <cfvo type="max"/>
        <color rgb="FF63BE7B"/>
        <color rgb="FFFFEB84"/>
        <color rgb="FFF8696B"/>
      </colorScale>
    </cfRule>
    <cfRule type="colorScale" priority="9981">
      <colorScale>
        <cfvo type="min"/>
        <cfvo type="percentile" val="50"/>
        <cfvo type="max"/>
        <color rgb="FF63BE7B"/>
        <color rgb="FFFFEB84"/>
        <color rgb="FFF8696B"/>
      </colorScale>
    </cfRule>
    <cfRule type="colorScale" priority="9979">
      <colorScale>
        <cfvo type="min"/>
        <cfvo type="percentile" val="50"/>
        <cfvo type="max"/>
        <color rgb="FF63BE7B"/>
        <color rgb="FFFFEB84"/>
        <color rgb="FFF8696B"/>
      </colorScale>
    </cfRule>
    <cfRule type="colorScale" priority="9978">
      <colorScale>
        <cfvo type="min"/>
        <cfvo type="percentile" val="50"/>
        <cfvo type="max"/>
        <color rgb="FF63BE7B"/>
        <color rgb="FFFFEB84"/>
        <color rgb="FFF8696B"/>
      </colorScale>
    </cfRule>
    <cfRule type="colorScale" priority="9968">
      <colorScale>
        <cfvo type="min"/>
        <cfvo type="percentile" val="50"/>
        <cfvo type="max"/>
        <color rgb="FF63BE7B"/>
        <color rgb="FFFFEB84"/>
        <color rgb="FFF8696B"/>
      </colorScale>
    </cfRule>
    <cfRule type="colorScale" priority="9977">
      <colorScale>
        <cfvo type="min"/>
        <cfvo type="percentile" val="50"/>
        <cfvo type="max"/>
        <color rgb="FF63BE7B"/>
        <color rgb="FFFFEB84"/>
        <color rgb="FFF8696B"/>
      </colorScale>
    </cfRule>
    <cfRule type="colorScale" priority="9982">
      <colorScale>
        <cfvo type="min"/>
        <cfvo type="percentile" val="50"/>
        <cfvo type="max"/>
        <color rgb="FF63BE7B"/>
        <color rgb="FFFFEB84"/>
        <color rgb="FFF8696B"/>
      </colorScale>
    </cfRule>
  </conditionalFormatting>
  <conditionalFormatting sqref="X35:X41">
    <cfRule type="colorScale" priority="9971">
      <colorScale>
        <cfvo type="min"/>
        <cfvo type="percentile" val="50"/>
        <cfvo type="max"/>
        <color rgb="FF63BE7B"/>
        <color rgb="FFFFEB84"/>
        <color rgb="FFF8696B"/>
      </colorScale>
    </cfRule>
    <cfRule type="colorScale" priority="9975">
      <colorScale>
        <cfvo type="min"/>
        <cfvo type="percentile" val="50"/>
        <cfvo type="max"/>
        <color rgb="FF63BE7B"/>
        <color rgb="FFFFEB84"/>
        <color rgb="FFF8696B"/>
      </colorScale>
    </cfRule>
    <cfRule type="colorScale" priority="9974">
      <colorScale>
        <cfvo type="min"/>
        <cfvo type="percentile" val="50"/>
        <cfvo type="max"/>
        <color rgb="FF63BE7B"/>
        <color rgb="FFFFEB84"/>
        <color rgb="FFF8696B"/>
      </colorScale>
    </cfRule>
    <cfRule type="colorScale" priority="9973">
      <colorScale>
        <cfvo type="min"/>
        <cfvo type="percentile" val="50"/>
        <cfvo type="max"/>
        <color rgb="FF63BE7B"/>
        <color rgb="FFFFEB84"/>
        <color rgb="FFF8696B"/>
      </colorScale>
    </cfRule>
    <cfRule type="colorScale" priority="9970">
      <colorScale>
        <cfvo type="min"/>
        <cfvo type="percentile" val="50"/>
        <cfvo type="max"/>
        <color rgb="FF63BE7B"/>
        <color rgb="FFFFEB84"/>
        <color rgb="FFF8696B"/>
      </colorScale>
    </cfRule>
    <cfRule type="colorScale" priority="9969">
      <colorScale>
        <cfvo type="min"/>
        <cfvo type="percentile" val="50"/>
        <cfvo type="max"/>
        <color rgb="FF63BE7B"/>
        <color rgb="FFFFEB84"/>
        <color rgb="FFF8696B"/>
      </colorScale>
    </cfRule>
    <cfRule type="colorScale" priority="9966">
      <colorScale>
        <cfvo type="min"/>
        <cfvo type="percentile" val="50"/>
        <cfvo type="max"/>
        <color rgb="FF63BE7B"/>
        <color rgb="FFFFEB84"/>
        <color rgb="FFF8696B"/>
      </colorScale>
    </cfRule>
    <cfRule type="colorScale" priority="11112">
      <colorScale>
        <cfvo type="min"/>
        <cfvo type="percentile" val="50"/>
        <cfvo type="max"/>
        <color rgb="FF63BE7B"/>
        <color rgb="FFFFEB84"/>
        <color rgb="FFF8696B"/>
      </colorScale>
    </cfRule>
    <cfRule type="colorScale" priority="11117">
      <colorScale>
        <cfvo type="min"/>
        <cfvo type="percentile" val="50"/>
        <cfvo type="max"/>
        <color rgb="FF63BE7B"/>
        <color rgb="FFFFEB84"/>
        <color rgb="FFF8696B"/>
      </colorScale>
    </cfRule>
    <cfRule type="colorScale" priority="11114">
      <colorScale>
        <cfvo type="min"/>
        <cfvo type="percentile" val="50"/>
        <cfvo type="max"/>
        <color rgb="FF63BE7B"/>
        <color rgb="FFFFEB84"/>
        <color rgb="FFF8696B"/>
      </colorScale>
    </cfRule>
    <cfRule type="colorScale" priority="11115">
      <colorScale>
        <cfvo type="min"/>
        <cfvo type="percentile" val="50"/>
        <cfvo type="max"/>
        <color rgb="FF63BE7B"/>
        <color rgb="FFFFEB84"/>
        <color rgb="FFF8696B"/>
      </colorScale>
    </cfRule>
    <cfRule type="colorScale" priority="11116">
      <colorScale>
        <cfvo type="min"/>
        <cfvo type="percentile" val="50"/>
        <cfvo type="max"/>
        <color rgb="FF63BE7B"/>
        <color rgb="FFFFEB84"/>
        <color rgb="FFF8696B"/>
      </colorScale>
    </cfRule>
    <cfRule type="colorScale" priority="9967">
      <colorScale>
        <cfvo type="min"/>
        <cfvo type="percentile" val="50"/>
        <cfvo type="max"/>
        <color rgb="FF63BE7B"/>
        <color rgb="FFFFEB84"/>
        <color rgb="FFF8696B"/>
      </colorScale>
    </cfRule>
    <cfRule type="colorScale" priority="9991">
      <colorScale>
        <cfvo type="min"/>
        <cfvo type="percentile" val="50"/>
        <cfvo type="max"/>
        <color rgb="FF63BE7B"/>
        <color rgb="FFFFEB84"/>
        <color rgb="FFF8696B"/>
      </colorScale>
    </cfRule>
    <cfRule type="colorScale" priority="11118">
      <colorScale>
        <cfvo type="min"/>
        <cfvo type="percentile" val="50"/>
        <cfvo type="max"/>
        <color rgb="FF63BE7B"/>
        <color rgb="FFFFEB84"/>
        <color rgb="FFF8696B"/>
      </colorScale>
    </cfRule>
    <cfRule type="colorScale" priority="13131">
      <colorScale>
        <cfvo type="min"/>
        <cfvo type="percentile" val="50"/>
        <cfvo type="max"/>
        <color rgb="FF63BE7B"/>
        <color rgb="FFFFEB84"/>
        <color rgb="FFF8696B"/>
      </colorScale>
    </cfRule>
    <cfRule type="colorScale" priority="13132">
      <colorScale>
        <cfvo type="min"/>
        <cfvo type="percentile" val="50"/>
        <cfvo type="max"/>
        <color rgb="FF63BE7B"/>
        <color rgb="FFFFEB84"/>
        <color rgb="FFF8696B"/>
      </colorScale>
    </cfRule>
    <cfRule type="colorScale" priority="11119">
      <colorScale>
        <cfvo type="min"/>
        <cfvo type="percentile" val="50"/>
        <cfvo type="max"/>
        <color rgb="FF63BE7B"/>
        <color rgb="FFFFEB84"/>
        <color rgb="FFF8696B"/>
      </colorScale>
    </cfRule>
    <cfRule type="colorScale" priority="11120">
      <colorScale>
        <cfvo type="min"/>
        <cfvo type="percentile" val="50"/>
        <cfvo type="max"/>
        <color rgb="FF63BE7B"/>
        <color rgb="FFFFEB84"/>
        <color rgb="FFF8696B"/>
      </colorScale>
    </cfRule>
    <cfRule type="colorScale" priority="9972">
      <colorScale>
        <cfvo type="min"/>
        <cfvo type="percentile" val="50"/>
        <cfvo type="max"/>
        <color rgb="FF63BE7B"/>
        <color rgb="FFFFEB84"/>
        <color rgb="FFF8696B"/>
      </colorScale>
    </cfRule>
    <cfRule type="colorScale" priority="9992">
      <colorScale>
        <cfvo type="min"/>
        <cfvo type="percentile" val="50"/>
        <cfvo type="max"/>
        <color rgb="FF63BE7B"/>
        <color rgb="FFFFEB84"/>
        <color rgb="FFF8696B"/>
      </colorScale>
    </cfRule>
    <cfRule type="colorScale" priority="9983">
      <colorScale>
        <cfvo type="min"/>
        <cfvo type="percentile" val="50"/>
        <cfvo type="max"/>
        <color rgb="FF63BE7B"/>
        <color rgb="FFFFEB84"/>
        <color rgb="FFF8696B"/>
      </colorScale>
    </cfRule>
    <cfRule type="colorScale" priority="9984">
      <colorScale>
        <cfvo type="min"/>
        <cfvo type="percentile" val="50"/>
        <cfvo type="max"/>
        <color rgb="FF63BE7B"/>
        <color rgb="FFFFEB84"/>
        <color rgb="FFF8696B"/>
      </colorScale>
    </cfRule>
    <cfRule type="colorScale" priority="9985">
      <colorScale>
        <cfvo type="min"/>
        <cfvo type="percentile" val="50"/>
        <cfvo type="max"/>
        <color rgb="FF63BE7B"/>
        <color rgb="FFFFEB84"/>
        <color rgb="FFF8696B"/>
      </colorScale>
    </cfRule>
    <cfRule type="colorScale" priority="13133">
      <colorScale>
        <cfvo type="min"/>
        <cfvo type="percentile" val="50"/>
        <cfvo type="max"/>
        <color rgb="FF63BE7B"/>
        <color rgb="FFFFEB84"/>
        <color rgb="FFF8696B"/>
      </colorScale>
    </cfRule>
    <cfRule type="colorScale" priority="9987">
      <colorScale>
        <cfvo type="min"/>
        <cfvo type="percentile" val="50"/>
        <cfvo type="max"/>
        <color rgb="FF63BE7B"/>
        <color rgb="FFFFEB84"/>
        <color rgb="FFF8696B"/>
      </colorScale>
    </cfRule>
    <cfRule type="colorScale" priority="9988">
      <colorScale>
        <cfvo type="min"/>
        <cfvo type="percentile" val="50"/>
        <cfvo type="max"/>
        <color rgb="FF63BE7B"/>
        <color rgb="FFFFEB84"/>
        <color rgb="FFF8696B"/>
      </colorScale>
    </cfRule>
    <cfRule type="colorScale" priority="9989">
      <colorScale>
        <cfvo type="min"/>
        <cfvo type="percentile" val="50"/>
        <cfvo type="max"/>
        <color rgb="FF63BE7B"/>
        <color rgb="FFFFEB84"/>
        <color rgb="FFF8696B"/>
      </colorScale>
    </cfRule>
    <cfRule type="colorScale" priority="11111">
      <colorScale>
        <cfvo type="min"/>
        <cfvo type="percentile" val="50"/>
        <cfvo type="max"/>
        <color rgb="FF63BE7B"/>
        <color rgb="FFFFEB84"/>
        <color rgb="FFF8696B"/>
      </colorScale>
    </cfRule>
    <cfRule type="colorScale" priority="9986">
      <colorScale>
        <cfvo type="min"/>
        <cfvo type="percentile" val="50"/>
        <cfvo type="max"/>
        <color rgb="FF63BE7B"/>
        <color rgb="FFFFEB84"/>
        <color rgb="FFF8696B"/>
      </colorScale>
    </cfRule>
  </conditionalFormatting>
  <conditionalFormatting sqref="X35:X50">
    <cfRule type="colorScale" priority="13203">
      <colorScale>
        <cfvo type="min"/>
        <cfvo type="percentile" val="50"/>
        <cfvo type="max"/>
        <color rgb="FF63BE7B"/>
        <color rgb="FFFFEB84"/>
        <color rgb="FFF8696B"/>
      </colorScale>
    </cfRule>
  </conditionalFormatting>
  <conditionalFormatting sqref="X36:X37">
    <cfRule type="colorScale" priority="9980">
      <colorScale>
        <cfvo type="min"/>
        <cfvo type="percentile" val="50"/>
        <cfvo type="max"/>
        <color rgb="FF63BE7B"/>
        <color rgb="FFFFEB84"/>
        <color rgb="FFF8696B"/>
      </colorScale>
    </cfRule>
  </conditionalFormatting>
  <conditionalFormatting sqref="X36:X41">
    <cfRule type="colorScale" priority="13134">
      <colorScale>
        <cfvo type="min"/>
        <cfvo type="percentile" val="50"/>
        <cfvo type="max"/>
        <color rgb="FF63BE7B"/>
        <color rgb="FFFFEB84"/>
        <color rgb="FFF8696B"/>
      </colorScale>
    </cfRule>
    <cfRule type="colorScale" priority="9990">
      <colorScale>
        <cfvo type="min"/>
        <cfvo type="percentile" val="50"/>
        <cfvo type="max"/>
        <color rgb="FF63BE7B"/>
        <color rgb="FFFFEB84"/>
        <color rgb="FFF8696B"/>
      </colorScale>
    </cfRule>
  </conditionalFormatting>
  <conditionalFormatting sqref="X42:X50">
    <cfRule type="colorScale" priority="13018">
      <colorScale>
        <cfvo type="min"/>
        <cfvo type="percentile" val="50"/>
        <cfvo type="max"/>
        <color rgb="FF63BE7B"/>
        <color rgb="FFFFEB84"/>
        <color rgb="FFF8696B"/>
      </colorScale>
    </cfRule>
    <cfRule type="colorScale" priority="13019">
      <colorScale>
        <cfvo type="min"/>
        <cfvo type="percentile" val="50"/>
        <cfvo type="max"/>
        <color rgb="FF63BE7B"/>
        <color rgb="FFFFEB84"/>
        <color rgb="FFF8696B"/>
      </colorScale>
    </cfRule>
    <cfRule type="colorScale" priority="7451">
      <colorScale>
        <cfvo type="min"/>
        <cfvo type="percentile" val="50"/>
        <cfvo type="max"/>
        <color rgb="FF63BE7B"/>
        <color rgb="FFFFEB84"/>
        <color rgb="FFF8696B"/>
      </colorScale>
    </cfRule>
    <cfRule type="colorScale" priority="13021">
      <colorScale>
        <cfvo type="min"/>
        <cfvo type="percentile" val="50"/>
        <cfvo type="max"/>
        <color rgb="FF63BE7B"/>
        <color rgb="FFFFEB84"/>
        <color rgb="FFF8696B"/>
      </colorScale>
    </cfRule>
    <cfRule type="colorScale" priority="13020">
      <colorScale>
        <cfvo type="min"/>
        <cfvo type="percentile" val="50"/>
        <cfvo type="max"/>
        <color rgb="FF63BE7B"/>
        <color rgb="FFFFEB84"/>
        <color rgb="FFF8696B"/>
      </colorScale>
    </cfRule>
  </conditionalFormatting>
  <conditionalFormatting sqref="X51:X53">
    <cfRule type="colorScale" priority="12907">
      <colorScale>
        <cfvo type="min"/>
        <cfvo type="percentile" val="50"/>
        <cfvo type="max"/>
        <color rgb="FF63BE7B"/>
        <color rgb="FFFFEB84"/>
        <color rgb="FFF8696B"/>
      </colorScale>
    </cfRule>
    <cfRule type="colorScale" priority="12905">
      <colorScale>
        <cfvo type="min"/>
        <cfvo type="percentile" val="50"/>
        <cfvo type="max"/>
        <color rgb="FF63BE7B"/>
        <color rgb="FFFFEB84"/>
        <color rgb="FFF8696B"/>
      </colorScale>
    </cfRule>
    <cfRule type="colorScale" priority="4244">
      <colorScale>
        <cfvo type="min"/>
        <cfvo type="percentile" val="50"/>
        <cfvo type="max"/>
        <color rgb="FF63BE7B"/>
        <color rgb="FFFFEB84"/>
        <color rgb="FFF8696B"/>
      </colorScale>
    </cfRule>
    <cfRule type="colorScale" priority="4245">
      <colorScale>
        <cfvo type="min"/>
        <cfvo type="percentile" val="50"/>
        <cfvo type="max"/>
        <color rgb="FF63BE7B"/>
        <color rgb="FFFFEB84"/>
        <color rgb="FFF8696B"/>
      </colorScale>
    </cfRule>
    <cfRule type="colorScale" priority="12904">
      <colorScale>
        <cfvo type="min"/>
        <cfvo type="percentile" val="50"/>
        <cfvo type="max"/>
        <color rgb="FF63BE7B"/>
        <color rgb="FFFFEB84"/>
        <color rgb="FFF8696B"/>
      </colorScale>
    </cfRule>
    <cfRule type="colorScale" priority="4217">
      <colorScale>
        <cfvo type="min"/>
        <cfvo type="percentile" val="50"/>
        <cfvo type="max"/>
        <color rgb="FF63BE7B"/>
        <color rgb="FFFFEB84"/>
        <color rgb="FFF8696B"/>
      </colorScale>
    </cfRule>
    <cfRule type="colorScale" priority="12906">
      <colorScale>
        <cfvo type="min"/>
        <cfvo type="percentile" val="50"/>
        <cfvo type="max"/>
        <color rgb="FF63BE7B"/>
        <color rgb="FFFFEB84"/>
        <color rgb="FFF8696B"/>
      </colorScale>
    </cfRule>
  </conditionalFormatting>
  <conditionalFormatting sqref="X52:X53">
    <cfRule type="colorScale" priority="4234">
      <colorScale>
        <cfvo type="min"/>
        <cfvo type="percentile" val="50"/>
        <cfvo type="max"/>
        <color rgb="FF63BE7B"/>
        <color rgb="FFFFEB84"/>
        <color rgb="FFF8696B"/>
      </colorScale>
    </cfRule>
    <cfRule type="colorScale" priority="4233">
      <colorScale>
        <cfvo type="min"/>
        <cfvo type="percentile" val="50"/>
        <cfvo type="max"/>
        <color rgb="FF63BE7B"/>
        <color rgb="FFFFEB84"/>
        <color rgb="FFF8696B"/>
      </colorScale>
    </cfRule>
    <cfRule type="colorScale" priority="4232">
      <colorScale>
        <cfvo type="min"/>
        <cfvo type="percentile" val="50"/>
        <cfvo type="max"/>
        <color rgb="FF63BE7B"/>
        <color rgb="FFFFEB84"/>
        <color rgb="FFF8696B"/>
      </colorScale>
    </cfRule>
    <cfRule type="colorScale" priority="4231">
      <colorScale>
        <cfvo type="min"/>
        <cfvo type="percentile" val="50"/>
        <cfvo type="max"/>
        <color rgb="FF63BE7B"/>
        <color rgb="FFFFEB84"/>
        <color rgb="FFF8696B"/>
      </colorScale>
    </cfRule>
    <cfRule type="colorScale" priority="4230">
      <colorScale>
        <cfvo type="min"/>
        <cfvo type="percentile" val="50"/>
        <cfvo type="max"/>
        <color rgb="FF63BE7B"/>
        <color rgb="FFFFEB84"/>
        <color rgb="FFF8696B"/>
      </colorScale>
    </cfRule>
    <cfRule type="colorScale" priority="4229">
      <colorScale>
        <cfvo type="min"/>
        <cfvo type="percentile" val="50"/>
        <cfvo type="max"/>
        <color rgb="FF63BE7B"/>
        <color rgb="FFFFEB84"/>
        <color rgb="FFF8696B"/>
      </colorScale>
    </cfRule>
    <cfRule type="colorScale" priority="4228">
      <colorScale>
        <cfvo type="min"/>
        <cfvo type="percentile" val="50"/>
        <cfvo type="max"/>
        <color rgb="FF63BE7B"/>
        <color rgb="FFFFEB84"/>
        <color rgb="FFF8696B"/>
      </colorScale>
    </cfRule>
    <cfRule type="colorScale" priority="4227">
      <colorScale>
        <cfvo type="min"/>
        <cfvo type="percentile" val="50"/>
        <cfvo type="max"/>
        <color rgb="FF63BE7B"/>
        <color rgb="FFFFEB84"/>
        <color rgb="FFF8696B"/>
      </colorScale>
    </cfRule>
    <cfRule type="colorScale" priority="4226">
      <colorScale>
        <cfvo type="min"/>
        <cfvo type="percentile" val="50"/>
        <cfvo type="max"/>
        <color rgb="FF63BE7B"/>
        <color rgb="FFFFEB84"/>
        <color rgb="FFF8696B"/>
      </colorScale>
    </cfRule>
    <cfRule type="colorScale" priority="4225">
      <colorScale>
        <cfvo type="min"/>
        <cfvo type="percentile" val="50"/>
        <cfvo type="max"/>
        <color rgb="FF63BE7B"/>
        <color rgb="FFFFEB84"/>
        <color rgb="FFF8696B"/>
      </colorScale>
    </cfRule>
    <cfRule type="colorScale" priority="4224">
      <colorScale>
        <cfvo type="min"/>
        <cfvo type="percentile" val="50"/>
        <cfvo type="max"/>
        <color rgb="FF63BE7B"/>
        <color rgb="FFFFEB84"/>
        <color rgb="FFF8696B"/>
      </colorScale>
    </cfRule>
    <cfRule type="colorScale" priority="4223">
      <colorScale>
        <cfvo type="min"/>
        <cfvo type="percentile" val="50"/>
        <cfvo type="max"/>
        <color rgb="FF63BE7B"/>
        <color rgb="FFFFEB84"/>
        <color rgb="FFF8696B"/>
      </colorScale>
    </cfRule>
    <cfRule type="colorScale" priority="4222">
      <colorScale>
        <cfvo type="min"/>
        <cfvo type="percentile" val="50"/>
        <cfvo type="max"/>
        <color rgb="FF63BE7B"/>
        <color rgb="FFFFEB84"/>
        <color rgb="FFF8696B"/>
      </colorScale>
    </cfRule>
    <cfRule type="colorScale" priority="4221">
      <colorScale>
        <cfvo type="min"/>
        <cfvo type="percentile" val="50"/>
        <cfvo type="max"/>
        <color rgb="FF63BE7B"/>
        <color rgb="FFFFEB84"/>
        <color rgb="FFF8696B"/>
      </colorScale>
    </cfRule>
    <cfRule type="colorScale" priority="4220">
      <colorScale>
        <cfvo type="min"/>
        <cfvo type="percentile" val="50"/>
        <cfvo type="max"/>
        <color rgb="FF63BE7B"/>
        <color rgb="FFFFEB84"/>
        <color rgb="FFF8696B"/>
      </colorScale>
    </cfRule>
    <cfRule type="colorScale" priority="4219">
      <colorScale>
        <cfvo type="min"/>
        <cfvo type="percentile" val="50"/>
        <cfvo type="max"/>
        <color rgb="FF63BE7B"/>
        <color rgb="FFFFEB84"/>
        <color rgb="FFF8696B"/>
      </colorScale>
    </cfRule>
    <cfRule type="colorScale" priority="4218">
      <colorScale>
        <cfvo type="min"/>
        <cfvo type="percentile" val="50"/>
        <cfvo type="max"/>
        <color rgb="FF63BE7B"/>
        <color rgb="FFFFEB84"/>
        <color rgb="FFF8696B"/>
      </colorScale>
    </cfRule>
    <cfRule type="colorScale" priority="6126">
      <colorScale>
        <cfvo type="min"/>
        <cfvo type="percentile" val="50"/>
        <cfvo type="max"/>
        <color rgb="FF63BE7B"/>
        <color rgb="FFFFEB84"/>
        <color rgb="FFF8696B"/>
      </colorScale>
    </cfRule>
    <cfRule type="colorScale" priority="7195">
      <colorScale>
        <cfvo type="min"/>
        <cfvo type="percentile" val="50"/>
        <cfvo type="max"/>
        <color rgb="FF63BE7B"/>
        <color rgb="FFFFEB84"/>
        <color rgb="FFF8696B"/>
      </colorScale>
    </cfRule>
    <cfRule type="colorScale" priority="7194">
      <colorScale>
        <cfvo type="min"/>
        <cfvo type="percentile" val="50"/>
        <cfvo type="max"/>
        <color rgb="FF63BE7B"/>
        <color rgb="FFFFEB84"/>
        <color rgb="FFF8696B"/>
      </colorScale>
    </cfRule>
    <cfRule type="colorScale" priority="7193">
      <colorScale>
        <cfvo type="min"/>
        <cfvo type="percentile" val="50"/>
        <cfvo type="max"/>
        <color rgb="FF63BE7B"/>
        <color rgb="FFFFEB84"/>
        <color rgb="FFF8696B"/>
      </colorScale>
    </cfRule>
    <cfRule type="colorScale" priority="6138">
      <colorScale>
        <cfvo type="min"/>
        <cfvo type="percentile" val="50"/>
        <cfvo type="max"/>
        <color rgb="FF63BE7B"/>
        <color rgb="FFFFEB84"/>
        <color rgb="FFF8696B"/>
      </colorScale>
    </cfRule>
    <cfRule type="colorScale" priority="6139">
      <colorScale>
        <cfvo type="min"/>
        <cfvo type="percentile" val="50"/>
        <cfvo type="max"/>
        <color rgb="FF63BE7B"/>
        <color rgb="FFFFEB84"/>
        <color rgb="FFF8696B"/>
      </colorScale>
    </cfRule>
    <cfRule type="colorScale" priority="7192">
      <colorScale>
        <cfvo type="min"/>
        <cfvo type="percentile" val="50"/>
        <cfvo type="max"/>
        <color rgb="FF63BE7B"/>
        <color rgb="FFFFEB84"/>
        <color rgb="FFF8696B"/>
      </colorScale>
    </cfRule>
    <cfRule type="colorScale" priority="7256">
      <colorScale>
        <cfvo type="min"/>
        <cfvo type="percentile" val="50"/>
        <cfvo type="max"/>
        <color rgb="FF63BE7B"/>
        <color rgb="FFFFEB84"/>
        <color rgb="FFF8696B"/>
      </colorScale>
    </cfRule>
    <cfRule type="colorScale" priority="6136">
      <colorScale>
        <cfvo type="min"/>
        <cfvo type="percentile" val="50"/>
        <cfvo type="max"/>
        <color rgb="FF63BE7B"/>
        <color rgb="FFFFEB84"/>
        <color rgb="FFF8696B"/>
      </colorScale>
    </cfRule>
    <cfRule type="colorScale" priority="6922">
      <colorScale>
        <cfvo type="min"/>
        <cfvo type="percentile" val="50"/>
        <cfvo type="max"/>
        <color rgb="FF63BE7B"/>
        <color rgb="FFFFEB84"/>
        <color rgb="FFF8696B"/>
      </colorScale>
    </cfRule>
    <cfRule type="colorScale" priority="6921">
      <colorScale>
        <cfvo type="min"/>
        <cfvo type="percentile" val="50"/>
        <cfvo type="max"/>
        <color rgb="FF63BE7B"/>
        <color rgb="FFFFEB84"/>
        <color rgb="FFF8696B"/>
      </colorScale>
    </cfRule>
    <cfRule type="colorScale" priority="6920">
      <colorScale>
        <cfvo type="min"/>
        <cfvo type="percentile" val="50"/>
        <cfvo type="max"/>
        <color rgb="FF63BE7B"/>
        <color rgb="FFFFEB84"/>
        <color rgb="FFF8696B"/>
      </colorScale>
    </cfRule>
    <cfRule type="colorScale" priority="6919">
      <colorScale>
        <cfvo type="min"/>
        <cfvo type="percentile" val="50"/>
        <cfvo type="max"/>
        <color rgb="FF63BE7B"/>
        <color rgb="FFFFEB84"/>
        <color rgb="FFF8696B"/>
      </colorScale>
    </cfRule>
    <cfRule type="colorScale" priority="6918">
      <colorScale>
        <cfvo type="min"/>
        <cfvo type="percentile" val="50"/>
        <cfvo type="max"/>
        <color rgb="FF63BE7B"/>
        <color rgb="FFFFEB84"/>
        <color rgb="FFF8696B"/>
      </colorScale>
    </cfRule>
    <cfRule type="colorScale" priority="6917">
      <colorScale>
        <cfvo type="min"/>
        <cfvo type="percentile" val="50"/>
        <cfvo type="max"/>
        <color rgb="FF63BE7B"/>
        <color rgb="FFFFEB84"/>
        <color rgb="FFF8696B"/>
      </colorScale>
    </cfRule>
    <cfRule type="colorScale" priority="6916">
      <colorScale>
        <cfvo type="min"/>
        <cfvo type="percentile" val="50"/>
        <cfvo type="max"/>
        <color rgb="FF63BE7B"/>
        <color rgb="FFFFEB84"/>
        <color rgb="FFF8696B"/>
      </colorScale>
    </cfRule>
    <cfRule type="colorScale" priority="6915">
      <colorScale>
        <cfvo type="min"/>
        <cfvo type="percentile" val="50"/>
        <cfvo type="max"/>
        <color rgb="FF63BE7B"/>
        <color rgb="FFFFEB84"/>
        <color rgb="FFF8696B"/>
      </colorScale>
    </cfRule>
    <cfRule type="colorScale" priority="6914">
      <colorScale>
        <cfvo type="min"/>
        <cfvo type="percentile" val="50"/>
        <cfvo type="max"/>
        <color rgb="FF63BE7B"/>
        <color rgb="FFFFEB84"/>
        <color rgb="FFF8696B"/>
      </colorScale>
    </cfRule>
    <cfRule type="colorScale" priority="6137">
      <colorScale>
        <cfvo type="min"/>
        <cfvo type="percentile" val="50"/>
        <cfvo type="max"/>
        <color rgb="FF63BE7B"/>
        <color rgb="FFFFEB84"/>
        <color rgb="FFF8696B"/>
      </colorScale>
    </cfRule>
    <cfRule type="colorScale" priority="4243">
      <colorScale>
        <cfvo type="min"/>
        <cfvo type="percentile" val="50"/>
        <cfvo type="max"/>
        <color rgb="FF63BE7B"/>
        <color rgb="FFFFEB84"/>
        <color rgb="FFF8696B"/>
      </colorScale>
    </cfRule>
    <cfRule type="colorScale" priority="4242">
      <colorScale>
        <cfvo type="min"/>
        <cfvo type="percentile" val="50"/>
        <cfvo type="max"/>
        <color rgb="FF63BE7B"/>
        <color rgb="FFFFEB84"/>
        <color rgb="FFF8696B"/>
      </colorScale>
    </cfRule>
    <cfRule type="colorScale" priority="4241">
      <colorScale>
        <cfvo type="min"/>
        <cfvo type="percentile" val="50"/>
        <cfvo type="max"/>
        <color rgb="FF63BE7B"/>
        <color rgb="FFFFEB84"/>
        <color rgb="FFF8696B"/>
      </colorScale>
    </cfRule>
    <cfRule type="colorScale" priority="4240">
      <colorScale>
        <cfvo type="min"/>
        <cfvo type="percentile" val="50"/>
        <cfvo type="max"/>
        <color rgb="FF63BE7B"/>
        <color rgb="FFFFEB84"/>
        <color rgb="FFF8696B"/>
      </colorScale>
    </cfRule>
    <cfRule type="colorScale" priority="6135">
      <colorScale>
        <cfvo type="min"/>
        <cfvo type="percentile" val="50"/>
        <cfvo type="max"/>
        <color rgb="FF63BE7B"/>
        <color rgb="FFFFEB84"/>
        <color rgb="FFF8696B"/>
      </colorScale>
    </cfRule>
    <cfRule type="colorScale" priority="6134">
      <colorScale>
        <cfvo type="min"/>
        <cfvo type="percentile" val="50"/>
        <cfvo type="max"/>
        <color rgb="FF63BE7B"/>
        <color rgb="FFFFEB84"/>
        <color rgb="FFF8696B"/>
      </colorScale>
    </cfRule>
    <cfRule type="colorScale" priority="6133">
      <colorScale>
        <cfvo type="min"/>
        <cfvo type="percentile" val="50"/>
        <cfvo type="max"/>
        <color rgb="FF63BE7B"/>
        <color rgb="FFFFEB84"/>
        <color rgb="FFF8696B"/>
      </colorScale>
    </cfRule>
    <cfRule type="colorScale" priority="6132">
      <colorScale>
        <cfvo type="min"/>
        <cfvo type="percentile" val="50"/>
        <cfvo type="max"/>
        <color rgb="FF63BE7B"/>
        <color rgb="FFFFEB84"/>
        <color rgb="FFF8696B"/>
      </colorScale>
    </cfRule>
    <cfRule type="colorScale" priority="6131">
      <colorScale>
        <cfvo type="min"/>
        <cfvo type="percentile" val="50"/>
        <cfvo type="max"/>
        <color rgb="FF63BE7B"/>
        <color rgb="FFFFEB84"/>
        <color rgb="FFF8696B"/>
      </colorScale>
    </cfRule>
    <cfRule type="colorScale" priority="6130">
      <colorScale>
        <cfvo type="min"/>
        <cfvo type="percentile" val="50"/>
        <cfvo type="max"/>
        <color rgb="FF63BE7B"/>
        <color rgb="FFFFEB84"/>
        <color rgb="FFF8696B"/>
      </colorScale>
    </cfRule>
    <cfRule type="colorScale" priority="6129">
      <colorScale>
        <cfvo type="min"/>
        <cfvo type="percentile" val="50"/>
        <cfvo type="max"/>
        <color rgb="FF63BE7B"/>
        <color rgb="FFFFEB84"/>
        <color rgb="FFF8696B"/>
      </colorScale>
    </cfRule>
    <cfRule type="colorScale" priority="6128">
      <colorScale>
        <cfvo type="min"/>
        <cfvo type="percentile" val="50"/>
        <cfvo type="max"/>
        <color rgb="FF63BE7B"/>
        <color rgb="FFFFEB84"/>
        <color rgb="FFF8696B"/>
      </colorScale>
    </cfRule>
    <cfRule type="colorScale" priority="6127">
      <colorScale>
        <cfvo type="min"/>
        <cfvo type="percentile" val="50"/>
        <cfvo type="max"/>
        <color rgb="FF63BE7B"/>
        <color rgb="FFFFEB84"/>
        <color rgb="FFF8696B"/>
      </colorScale>
    </cfRule>
    <cfRule type="colorScale" priority="6125">
      <colorScale>
        <cfvo type="min"/>
        <cfvo type="percentile" val="50"/>
        <cfvo type="max"/>
        <color rgb="FF63BE7B"/>
        <color rgb="FFFFEB84"/>
        <color rgb="FFF8696B"/>
      </colorScale>
    </cfRule>
    <cfRule type="colorScale" priority="6124">
      <colorScale>
        <cfvo type="min"/>
        <cfvo type="percentile" val="50"/>
        <cfvo type="max"/>
        <color rgb="FF63BE7B"/>
        <color rgb="FFFFEB84"/>
        <color rgb="FFF8696B"/>
      </colorScale>
    </cfRule>
    <cfRule type="colorScale" priority="6123">
      <colorScale>
        <cfvo type="min"/>
        <cfvo type="percentile" val="50"/>
        <cfvo type="max"/>
        <color rgb="FF63BE7B"/>
        <color rgb="FFFFEB84"/>
        <color rgb="FFF8696B"/>
      </colorScale>
    </cfRule>
    <cfRule type="colorScale" priority="4239">
      <colorScale>
        <cfvo type="min"/>
        <cfvo type="percentile" val="50"/>
        <cfvo type="max"/>
        <color rgb="FF63BE7B"/>
        <color rgb="FFFFEB84"/>
        <color rgb="FFF8696B"/>
      </colorScale>
    </cfRule>
    <cfRule type="colorScale" priority="4238">
      <colorScale>
        <cfvo type="min"/>
        <cfvo type="percentile" val="50"/>
        <cfvo type="max"/>
        <color rgb="FF63BE7B"/>
        <color rgb="FFFFEB84"/>
        <color rgb="FFF8696B"/>
      </colorScale>
    </cfRule>
    <cfRule type="colorScale" priority="4237">
      <colorScale>
        <cfvo type="min"/>
        <cfvo type="percentile" val="50"/>
        <cfvo type="max"/>
        <color rgb="FF63BE7B"/>
        <color rgb="FFFFEB84"/>
        <color rgb="FFF8696B"/>
      </colorScale>
    </cfRule>
    <cfRule type="colorScale" priority="4236">
      <colorScale>
        <cfvo type="min"/>
        <cfvo type="percentile" val="50"/>
        <cfvo type="max"/>
        <color rgb="FF63BE7B"/>
        <color rgb="FFFFEB84"/>
        <color rgb="FFF8696B"/>
      </colorScale>
    </cfRule>
    <cfRule type="colorScale" priority="6122">
      <colorScale>
        <cfvo type="min"/>
        <cfvo type="percentile" val="50"/>
        <cfvo type="max"/>
        <color rgb="FF63BE7B"/>
        <color rgb="FFFFEB84"/>
        <color rgb="FFF8696B"/>
      </colorScale>
    </cfRule>
    <cfRule type="colorScale" priority="6121">
      <colorScale>
        <cfvo type="min"/>
        <cfvo type="percentile" val="50"/>
        <cfvo type="max"/>
        <color rgb="FF63BE7B"/>
        <color rgb="FFFFEB84"/>
        <color rgb="FFF8696B"/>
      </colorScale>
    </cfRule>
    <cfRule type="colorScale" priority="4235">
      <colorScale>
        <cfvo type="min"/>
        <cfvo type="percentile" val="50"/>
        <cfvo type="max"/>
        <color rgb="FF63BE7B"/>
        <color rgb="FFFFEB84"/>
        <color rgb="FFF8696B"/>
      </colorScale>
    </cfRule>
  </conditionalFormatting>
  <conditionalFormatting sqref="X54:X61">
    <cfRule type="colorScale" priority="35">
      <colorScale>
        <cfvo type="min"/>
        <cfvo type="percentile" val="50"/>
        <cfvo type="max"/>
        <color rgb="FF63BE7B"/>
        <color rgb="FFFFEB84"/>
        <color rgb="FFF8696B"/>
      </colorScale>
    </cfRule>
  </conditionalFormatting>
  <conditionalFormatting sqref="X64">
    <cfRule type="colorScale" priority="12525">
      <colorScale>
        <cfvo type="min"/>
        <cfvo type="percentile" val="50"/>
        <cfvo type="max"/>
        <color rgb="FF63BE7B"/>
        <color rgb="FFFFEB84"/>
        <color rgb="FFF8696B"/>
      </colorScale>
    </cfRule>
    <cfRule type="colorScale" priority="12524">
      <colorScale>
        <cfvo type="min"/>
        <cfvo type="percentile" val="50"/>
        <cfvo type="max"/>
        <color rgb="FF63BE7B"/>
        <color rgb="FFFFEB84"/>
        <color rgb="FFF8696B"/>
      </colorScale>
    </cfRule>
    <cfRule type="colorScale" priority="12523">
      <colorScale>
        <cfvo type="min"/>
        <cfvo type="percentile" val="50"/>
        <cfvo type="max"/>
        <color rgb="FF63BE7B"/>
        <color rgb="FFFFEB84"/>
        <color rgb="FFF8696B"/>
      </colorScale>
    </cfRule>
  </conditionalFormatting>
  <conditionalFormatting sqref="X65:X71">
    <cfRule type="colorScale" priority="12520">
      <colorScale>
        <cfvo type="min"/>
        <cfvo type="percentile" val="50"/>
        <cfvo type="max"/>
        <color rgb="FF63BE7B"/>
        <color rgb="FFFFEB84"/>
        <color rgb="FFF8696B"/>
      </colorScale>
    </cfRule>
    <cfRule type="colorScale" priority="12519">
      <colorScale>
        <cfvo type="min"/>
        <cfvo type="percentile" val="50"/>
        <cfvo type="max"/>
        <color rgb="FF63BE7B"/>
        <color rgb="FFFFEB84"/>
        <color rgb="FFF8696B"/>
      </colorScale>
    </cfRule>
    <cfRule type="colorScale" priority="12521">
      <colorScale>
        <cfvo type="min"/>
        <cfvo type="percentile" val="50"/>
        <cfvo type="max"/>
        <color rgb="FF63BE7B"/>
        <color rgb="FFFFEB84"/>
        <color rgb="FFF8696B"/>
      </colorScale>
    </cfRule>
  </conditionalFormatting>
  <conditionalFormatting sqref="X66:X71">
    <cfRule type="colorScale" priority="12522">
      <colorScale>
        <cfvo type="min"/>
        <cfvo type="percentile" val="50"/>
        <cfvo type="max"/>
        <color rgb="FF63BE7B"/>
        <color rgb="FFFFEB84"/>
        <color rgb="FFF8696B"/>
      </colorScale>
    </cfRule>
  </conditionalFormatting>
  <conditionalFormatting sqref="X72:X80">
    <cfRule type="colorScale" priority="12408">
      <colorScale>
        <cfvo type="min"/>
        <cfvo type="percentile" val="50"/>
        <cfvo type="max"/>
        <color rgb="FF63BE7B"/>
        <color rgb="FFFFEB84"/>
        <color rgb="FFF8696B"/>
      </colorScale>
    </cfRule>
    <cfRule type="colorScale" priority="12586">
      <colorScale>
        <cfvo type="min"/>
        <cfvo type="percentile" val="50"/>
        <cfvo type="max"/>
        <color rgb="FF63BE7B"/>
        <color rgb="FFFFEB84"/>
        <color rgb="FFF8696B"/>
      </colorScale>
    </cfRule>
    <cfRule type="colorScale" priority="12406">
      <colorScale>
        <cfvo type="min"/>
        <cfvo type="percentile" val="50"/>
        <cfvo type="max"/>
        <color rgb="FF63BE7B"/>
        <color rgb="FFFFEB84"/>
        <color rgb="FFF8696B"/>
      </colorScale>
    </cfRule>
    <cfRule type="colorScale" priority="12409">
      <colorScale>
        <cfvo type="min"/>
        <cfvo type="percentile" val="50"/>
        <cfvo type="max"/>
        <color rgb="FF63BE7B"/>
        <color rgb="FFFFEB84"/>
        <color rgb="FFF8696B"/>
      </colorScale>
    </cfRule>
    <cfRule type="colorScale" priority="12407">
      <colorScale>
        <cfvo type="min"/>
        <cfvo type="percentile" val="50"/>
        <cfvo type="max"/>
        <color rgb="FF63BE7B"/>
        <color rgb="FFFFEB84"/>
        <color rgb="FFF8696B"/>
      </colorScale>
    </cfRule>
  </conditionalFormatting>
  <conditionalFormatting sqref="X72:X81">
    <cfRule type="colorScale" priority="12587">
      <colorScale>
        <cfvo type="min"/>
        <cfvo type="percentile" val="50"/>
        <cfvo type="max"/>
        <color rgb="FF63BE7B"/>
        <color rgb="FFFFEB84"/>
        <color rgb="FFF8696B"/>
      </colorScale>
    </cfRule>
  </conditionalFormatting>
  <conditionalFormatting sqref="X81:X83">
    <cfRule type="colorScale" priority="12297">
      <colorScale>
        <cfvo type="min"/>
        <cfvo type="percentile" val="50"/>
        <cfvo type="max"/>
        <color rgb="FF63BE7B"/>
        <color rgb="FFFFEB84"/>
        <color rgb="FFF8696B"/>
      </colorScale>
    </cfRule>
    <cfRule type="colorScale" priority="12294">
      <colorScale>
        <cfvo type="min"/>
        <cfvo type="percentile" val="50"/>
        <cfvo type="max"/>
        <color rgb="FF63BE7B"/>
        <color rgb="FFFFEB84"/>
        <color rgb="FFF8696B"/>
      </colorScale>
    </cfRule>
    <cfRule type="colorScale" priority="12295">
      <colorScale>
        <cfvo type="min"/>
        <cfvo type="percentile" val="50"/>
        <cfvo type="max"/>
        <color rgb="FF63BE7B"/>
        <color rgb="FFFFEB84"/>
        <color rgb="FFF8696B"/>
      </colorScale>
    </cfRule>
    <cfRule type="colorScale" priority="12296">
      <colorScale>
        <cfvo type="min"/>
        <cfvo type="percentile" val="50"/>
        <cfvo type="max"/>
        <color rgb="FF63BE7B"/>
        <color rgb="FFFFEB84"/>
        <color rgb="FFF8696B"/>
      </colorScale>
    </cfRule>
  </conditionalFormatting>
  <conditionalFormatting sqref="X84:X91">
    <cfRule type="colorScale" priority="12125">
      <colorScale>
        <cfvo type="min"/>
        <cfvo type="percentile" val="50"/>
        <cfvo type="max"/>
        <color rgb="FF63BE7B"/>
        <color rgb="FFFFEB84"/>
        <color rgb="FFF8696B"/>
      </colorScale>
    </cfRule>
    <cfRule type="colorScale" priority="12123">
      <colorScale>
        <cfvo type="min"/>
        <cfvo type="percentile" val="50"/>
        <cfvo type="max"/>
        <color rgb="FF63BE7B"/>
        <color rgb="FFFFEB84"/>
        <color rgb="FFF8696B"/>
      </colorScale>
    </cfRule>
    <cfRule type="colorScale" priority="12126">
      <colorScale>
        <cfvo type="min"/>
        <cfvo type="percentile" val="50"/>
        <cfvo type="max"/>
        <color rgb="FF63BE7B"/>
        <color rgb="FFFFEB84"/>
        <color rgb="FFF8696B"/>
      </colorScale>
    </cfRule>
    <cfRule type="colorScale" priority="12133">
      <colorScale>
        <cfvo type="min"/>
        <cfvo type="percentile" val="50"/>
        <cfvo type="max"/>
        <color rgb="FF63BE7B"/>
        <color rgb="FFFFEB84"/>
        <color rgb="FFF8696B"/>
      </colorScale>
    </cfRule>
    <cfRule type="colorScale" priority="12131">
      <colorScale>
        <cfvo type="min"/>
        <cfvo type="percentile" val="50"/>
        <cfvo type="max"/>
        <color rgb="FF63BE7B"/>
        <color rgb="FFFFEB84"/>
        <color rgb="FFF8696B"/>
      </colorScale>
    </cfRule>
    <cfRule type="colorScale" priority="12134">
      <colorScale>
        <cfvo type="min"/>
        <cfvo type="percentile" val="50"/>
        <cfvo type="max"/>
        <color rgb="FF63BE7B"/>
        <color rgb="FFFFEB84"/>
        <color rgb="FFF8696B"/>
      </colorScale>
    </cfRule>
  </conditionalFormatting>
  <conditionalFormatting sqref="X86">
    <cfRule type="colorScale" priority="12132">
      <colorScale>
        <cfvo type="min"/>
        <cfvo type="percentile" val="50"/>
        <cfvo type="max"/>
        <color rgb="FF63BE7B"/>
        <color rgb="FFFFEB84"/>
        <color rgb="FFF8696B"/>
      </colorScale>
    </cfRule>
    <cfRule type="colorScale" priority="12124">
      <colorScale>
        <cfvo type="min"/>
        <cfvo type="percentile" val="50"/>
        <cfvo type="max"/>
        <color rgb="FF63BE7B"/>
        <color rgb="FFFFEB84"/>
        <color rgb="FFF8696B"/>
      </colorScale>
    </cfRule>
  </conditionalFormatting>
  <conditionalFormatting sqref="X95">
    <cfRule type="colorScale" priority="11917">
      <colorScale>
        <cfvo type="min"/>
        <cfvo type="percentile" val="50"/>
        <cfvo type="max"/>
        <color rgb="FF63BE7B"/>
        <color rgb="FFFFEB84"/>
        <color rgb="FFF8696B"/>
      </colorScale>
    </cfRule>
    <cfRule type="colorScale" priority="11918">
      <colorScale>
        <cfvo type="min"/>
        <cfvo type="percentile" val="50"/>
        <cfvo type="max"/>
        <color rgb="FF63BE7B"/>
        <color rgb="FFFFEB84"/>
        <color rgb="FFF8696B"/>
      </colorScale>
    </cfRule>
    <cfRule type="colorScale" priority="11919">
      <colorScale>
        <cfvo type="min"/>
        <cfvo type="percentile" val="50"/>
        <cfvo type="max"/>
        <color rgb="FF63BE7B"/>
        <color rgb="FFFFEB84"/>
        <color rgb="FFF8696B"/>
      </colorScale>
    </cfRule>
  </conditionalFormatting>
  <conditionalFormatting sqref="X96:X102">
    <cfRule type="colorScale" priority="11913">
      <colorScale>
        <cfvo type="min"/>
        <cfvo type="percentile" val="50"/>
        <cfvo type="max"/>
        <color rgb="FF63BE7B"/>
        <color rgb="FFFFEB84"/>
        <color rgb="FFF8696B"/>
      </colorScale>
    </cfRule>
    <cfRule type="colorScale" priority="11915">
      <colorScale>
        <cfvo type="min"/>
        <cfvo type="percentile" val="50"/>
        <cfvo type="max"/>
        <color rgb="FF63BE7B"/>
        <color rgb="FFFFEB84"/>
        <color rgb="FFF8696B"/>
      </colorScale>
    </cfRule>
    <cfRule type="colorScale" priority="11914">
      <colorScale>
        <cfvo type="min"/>
        <cfvo type="percentile" val="50"/>
        <cfvo type="max"/>
        <color rgb="FF63BE7B"/>
        <color rgb="FFFFEB84"/>
        <color rgb="FFF8696B"/>
      </colorScale>
    </cfRule>
  </conditionalFormatting>
  <conditionalFormatting sqref="X97:X102">
    <cfRule type="colorScale" priority="11916">
      <colorScale>
        <cfvo type="min"/>
        <cfvo type="percentile" val="50"/>
        <cfvo type="max"/>
        <color rgb="FF63BE7B"/>
        <color rgb="FFFFEB84"/>
        <color rgb="FFF8696B"/>
      </colorScale>
    </cfRule>
  </conditionalFormatting>
  <conditionalFormatting sqref="X103:X111">
    <cfRule type="colorScale" priority="11803">
      <colorScale>
        <cfvo type="min"/>
        <cfvo type="percentile" val="50"/>
        <cfvo type="max"/>
        <color rgb="FF63BE7B"/>
        <color rgb="FFFFEB84"/>
        <color rgb="FFF8696B"/>
      </colorScale>
    </cfRule>
    <cfRule type="colorScale" priority="11802">
      <colorScale>
        <cfvo type="min"/>
        <cfvo type="percentile" val="50"/>
        <cfvo type="max"/>
        <color rgb="FF63BE7B"/>
        <color rgb="FFFFEB84"/>
        <color rgb="FFF8696B"/>
      </colorScale>
    </cfRule>
    <cfRule type="colorScale" priority="11801">
      <colorScale>
        <cfvo type="min"/>
        <cfvo type="percentile" val="50"/>
        <cfvo type="max"/>
        <color rgb="FF63BE7B"/>
        <color rgb="FFFFEB84"/>
        <color rgb="FFF8696B"/>
      </colorScale>
    </cfRule>
    <cfRule type="colorScale" priority="11800">
      <colorScale>
        <cfvo type="min"/>
        <cfvo type="percentile" val="50"/>
        <cfvo type="max"/>
        <color rgb="FF63BE7B"/>
        <color rgb="FFFFEB84"/>
        <color rgb="FFF8696B"/>
      </colorScale>
    </cfRule>
    <cfRule type="colorScale" priority="11980">
      <colorScale>
        <cfvo type="min"/>
        <cfvo type="percentile" val="50"/>
        <cfvo type="max"/>
        <color rgb="FF63BE7B"/>
        <color rgb="FFFFEB84"/>
        <color rgb="FFF8696B"/>
      </colorScale>
    </cfRule>
  </conditionalFormatting>
  <conditionalFormatting sqref="X103:X112">
    <cfRule type="colorScale" priority="11981">
      <colorScale>
        <cfvo type="min"/>
        <cfvo type="percentile" val="50"/>
        <cfvo type="max"/>
        <color rgb="FF63BE7B"/>
        <color rgb="FFFFEB84"/>
        <color rgb="FFF8696B"/>
      </colorScale>
    </cfRule>
  </conditionalFormatting>
  <conditionalFormatting sqref="X112:X114">
    <cfRule type="colorScale" priority="11691">
      <colorScale>
        <cfvo type="min"/>
        <cfvo type="percentile" val="50"/>
        <cfvo type="max"/>
        <color rgb="FF63BE7B"/>
        <color rgb="FFFFEB84"/>
        <color rgb="FFF8696B"/>
      </colorScale>
    </cfRule>
    <cfRule type="colorScale" priority="11694">
      <colorScale>
        <cfvo type="min"/>
        <cfvo type="percentile" val="50"/>
        <cfvo type="max"/>
        <color rgb="FF63BE7B"/>
        <color rgb="FFFFEB84"/>
        <color rgb="FFF8696B"/>
      </colorScale>
    </cfRule>
    <cfRule type="colorScale" priority="11693">
      <colorScale>
        <cfvo type="min"/>
        <cfvo type="percentile" val="50"/>
        <cfvo type="max"/>
        <color rgb="FF63BE7B"/>
        <color rgb="FFFFEB84"/>
        <color rgb="FFF8696B"/>
      </colorScale>
    </cfRule>
    <cfRule type="colorScale" priority="11692">
      <colorScale>
        <cfvo type="min"/>
        <cfvo type="percentile" val="50"/>
        <cfvo type="max"/>
        <color rgb="FF63BE7B"/>
        <color rgb="FFFFEB84"/>
        <color rgb="FFF8696B"/>
      </colorScale>
    </cfRule>
  </conditionalFormatting>
  <conditionalFormatting sqref="X115:X122">
    <cfRule type="colorScale" priority="11530">
      <colorScale>
        <cfvo type="min"/>
        <cfvo type="percentile" val="50"/>
        <cfvo type="max"/>
        <color rgb="FF63BE7B"/>
        <color rgb="FFFFEB84"/>
        <color rgb="FFF8696B"/>
      </colorScale>
    </cfRule>
    <cfRule type="colorScale" priority="11528">
      <colorScale>
        <cfvo type="min"/>
        <cfvo type="percentile" val="50"/>
        <cfvo type="max"/>
        <color rgb="FF63BE7B"/>
        <color rgb="FFFFEB84"/>
        <color rgb="FFF8696B"/>
      </colorScale>
    </cfRule>
    <cfRule type="colorScale" priority="11523">
      <colorScale>
        <cfvo type="min"/>
        <cfvo type="percentile" val="50"/>
        <cfvo type="max"/>
        <color rgb="FF63BE7B"/>
        <color rgb="FFFFEB84"/>
        <color rgb="FFF8696B"/>
      </colorScale>
    </cfRule>
    <cfRule type="colorScale" priority="11522">
      <colorScale>
        <cfvo type="min"/>
        <cfvo type="percentile" val="50"/>
        <cfvo type="max"/>
        <color rgb="FF63BE7B"/>
        <color rgb="FFFFEB84"/>
        <color rgb="FFF8696B"/>
      </colorScale>
    </cfRule>
    <cfRule type="colorScale" priority="11520">
      <colorScale>
        <cfvo type="min"/>
        <cfvo type="percentile" val="50"/>
        <cfvo type="max"/>
        <color rgb="FF63BE7B"/>
        <color rgb="FFFFEB84"/>
        <color rgb="FFF8696B"/>
      </colorScale>
    </cfRule>
    <cfRule type="colorScale" priority="11531">
      <colorScale>
        <cfvo type="min"/>
        <cfvo type="percentile" val="50"/>
        <cfvo type="max"/>
        <color rgb="FF63BE7B"/>
        <color rgb="FFFFEB84"/>
        <color rgb="FFF8696B"/>
      </colorScale>
    </cfRule>
  </conditionalFormatting>
  <conditionalFormatting sqref="X117">
    <cfRule type="colorScale" priority="11529">
      <colorScale>
        <cfvo type="min"/>
        <cfvo type="percentile" val="50"/>
        <cfvo type="max"/>
        <color rgb="FF63BE7B"/>
        <color rgb="FFFFEB84"/>
        <color rgb="FFF8696B"/>
      </colorScale>
    </cfRule>
    <cfRule type="colorScale" priority="11521">
      <colorScale>
        <cfvo type="min"/>
        <cfvo type="percentile" val="50"/>
        <cfvo type="max"/>
        <color rgb="FF63BE7B"/>
        <color rgb="FFFFEB84"/>
        <color rgb="FFF8696B"/>
      </colorScale>
    </cfRule>
  </conditionalFormatting>
  <conditionalFormatting sqref="Y35:Y37">
    <cfRule type="colorScale" priority="9952">
      <colorScale>
        <cfvo type="min"/>
        <cfvo type="percentile" val="50"/>
        <cfvo type="max"/>
        <color rgb="FF63BE7B"/>
        <color rgb="FFFFEB84"/>
        <color rgb="FFF8696B"/>
      </colorScale>
    </cfRule>
    <cfRule type="colorScale" priority="9955">
      <colorScale>
        <cfvo type="min"/>
        <cfvo type="percentile" val="50"/>
        <cfvo type="max"/>
        <color rgb="FF63BE7B"/>
        <color rgb="FFFFEB84"/>
        <color rgb="FFF8696B"/>
      </colorScale>
    </cfRule>
    <cfRule type="colorScale" priority="9941">
      <colorScale>
        <cfvo type="min"/>
        <cfvo type="percentile" val="50"/>
        <cfvo type="max"/>
        <color rgb="FF63BE7B"/>
        <color rgb="FFFFEB84"/>
        <color rgb="FFF8696B"/>
      </colorScale>
    </cfRule>
    <cfRule type="colorScale" priority="9954">
      <colorScale>
        <cfvo type="min"/>
        <cfvo type="percentile" val="50"/>
        <cfvo type="max"/>
        <color rgb="FF63BE7B"/>
        <color rgb="FFFFEB84"/>
        <color rgb="FFF8696B"/>
      </colorScale>
    </cfRule>
    <cfRule type="colorScale" priority="9949">
      <colorScale>
        <cfvo type="min"/>
        <cfvo type="percentile" val="50"/>
        <cfvo type="max"/>
        <color rgb="FF63BE7B"/>
        <color rgb="FFFFEB84"/>
        <color rgb="FFF8696B"/>
      </colorScale>
    </cfRule>
    <cfRule type="colorScale" priority="9950">
      <colorScale>
        <cfvo type="min"/>
        <cfvo type="percentile" val="50"/>
        <cfvo type="max"/>
        <color rgb="FF63BE7B"/>
        <color rgb="FFFFEB84"/>
        <color rgb="FFF8696B"/>
      </colorScale>
    </cfRule>
    <cfRule type="colorScale" priority="9951">
      <colorScale>
        <cfvo type="min"/>
        <cfvo type="percentile" val="50"/>
        <cfvo type="max"/>
        <color rgb="FF63BE7B"/>
        <color rgb="FFFFEB84"/>
        <color rgb="FFF8696B"/>
      </colorScale>
    </cfRule>
    <cfRule type="colorScale" priority="11103">
      <colorScale>
        <cfvo type="min"/>
        <cfvo type="percentile" val="50"/>
        <cfvo type="max"/>
        <color rgb="FF63BE7B"/>
        <color rgb="FFFFEB84"/>
        <color rgb="FFF8696B"/>
      </colorScale>
    </cfRule>
  </conditionalFormatting>
  <conditionalFormatting sqref="Y35:Y41">
    <cfRule type="colorScale" priority="9943">
      <colorScale>
        <cfvo type="min"/>
        <cfvo type="percentile" val="50"/>
        <cfvo type="max"/>
        <color rgb="FF63BE7B"/>
        <color rgb="FFFFEB84"/>
        <color rgb="FFF8696B"/>
      </colorScale>
    </cfRule>
    <cfRule type="colorScale" priority="9944">
      <colorScale>
        <cfvo type="min"/>
        <cfvo type="percentile" val="50"/>
        <cfvo type="max"/>
        <color rgb="FF63BE7B"/>
        <color rgb="FFFFEB84"/>
        <color rgb="FFF8696B"/>
      </colorScale>
    </cfRule>
    <cfRule type="colorScale" priority="9945">
      <colorScale>
        <cfvo type="min"/>
        <cfvo type="percentile" val="50"/>
        <cfvo type="max"/>
        <color rgb="FF63BE7B"/>
        <color rgb="FFFFEB84"/>
        <color rgb="FFF8696B"/>
      </colorScale>
    </cfRule>
    <cfRule type="colorScale" priority="9946">
      <colorScale>
        <cfvo type="min"/>
        <cfvo type="percentile" val="50"/>
        <cfvo type="max"/>
        <color rgb="FF63BE7B"/>
        <color rgb="FFFFEB84"/>
        <color rgb="FFF8696B"/>
      </colorScale>
    </cfRule>
    <cfRule type="colorScale" priority="9947">
      <colorScale>
        <cfvo type="min"/>
        <cfvo type="percentile" val="50"/>
        <cfvo type="max"/>
        <color rgb="FF63BE7B"/>
        <color rgb="FFFFEB84"/>
        <color rgb="FFF8696B"/>
      </colorScale>
    </cfRule>
    <cfRule type="colorScale" priority="9948">
      <colorScale>
        <cfvo type="min"/>
        <cfvo type="percentile" val="50"/>
        <cfvo type="max"/>
        <color rgb="FF63BE7B"/>
        <color rgb="FFFFEB84"/>
        <color rgb="FFF8696B"/>
      </colorScale>
    </cfRule>
    <cfRule type="colorScale" priority="11104">
      <colorScale>
        <cfvo type="min"/>
        <cfvo type="percentile" val="50"/>
        <cfvo type="max"/>
        <color rgb="FF63BE7B"/>
        <color rgb="FFFFEB84"/>
        <color rgb="FFF8696B"/>
      </colorScale>
    </cfRule>
    <cfRule type="colorScale" priority="9956">
      <colorScale>
        <cfvo type="min"/>
        <cfvo type="percentile" val="50"/>
        <cfvo type="max"/>
        <color rgb="FF63BE7B"/>
        <color rgb="FFFFEB84"/>
        <color rgb="FFF8696B"/>
      </colorScale>
    </cfRule>
    <cfRule type="colorScale" priority="9957">
      <colorScale>
        <cfvo type="min"/>
        <cfvo type="percentile" val="50"/>
        <cfvo type="max"/>
        <color rgb="FF63BE7B"/>
        <color rgb="FFFFEB84"/>
        <color rgb="FFF8696B"/>
      </colorScale>
    </cfRule>
    <cfRule type="colorScale" priority="9958">
      <colorScale>
        <cfvo type="min"/>
        <cfvo type="percentile" val="50"/>
        <cfvo type="max"/>
        <color rgb="FF63BE7B"/>
        <color rgb="FFFFEB84"/>
        <color rgb="FFF8696B"/>
      </colorScale>
    </cfRule>
    <cfRule type="colorScale" priority="9959">
      <colorScale>
        <cfvo type="min"/>
        <cfvo type="percentile" val="50"/>
        <cfvo type="max"/>
        <color rgb="FF63BE7B"/>
        <color rgb="FFFFEB84"/>
        <color rgb="FFF8696B"/>
      </colorScale>
    </cfRule>
    <cfRule type="colorScale" priority="9960">
      <colorScale>
        <cfvo type="min"/>
        <cfvo type="percentile" val="50"/>
        <cfvo type="max"/>
        <color rgb="FF63BE7B"/>
        <color rgb="FFFFEB84"/>
        <color rgb="FFF8696B"/>
      </colorScale>
    </cfRule>
    <cfRule type="colorScale" priority="9961">
      <colorScale>
        <cfvo type="min"/>
        <cfvo type="percentile" val="50"/>
        <cfvo type="max"/>
        <color rgb="FF63BE7B"/>
        <color rgb="FFFFEB84"/>
        <color rgb="FFF8696B"/>
      </colorScale>
    </cfRule>
    <cfRule type="colorScale" priority="9962">
      <colorScale>
        <cfvo type="min"/>
        <cfvo type="percentile" val="50"/>
        <cfvo type="max"/>
        <color rgb="FF63BE7B"/>
        <color rgb="FFFFEB84"/>
        <color rgb="FFF8696B"/>
      </colorScale>
    </cfRule>
    <cfRule type="colorScale" priority="10491">
      <colorScale>
        <cfvo type="min"/>
        <cfvo type="percentile" val="50"/>
        <cfvo type="max"/>
        <color rgb="FFF8696B"/>
        <color rgb="FFFFEB84"/>
        <color rgb="FF63BE7B"/>
      </colorScale>
    </cfRule>
    <cfRule type="colorScale" priority="11105">
      <colorScale>
        <cfvo type="min"/>
        <cfvo type="percentile" val="50"/>
        <cfvo type="max"/>
        <color rgb="FF63BE7B"/>
        <color rgb="FFFFEB84"/>
        <color rgb="FFF8696B"/>
      </colorScale>
    </cfRule>
    <cfRule type="colorScale" priority="9939">
      <colorScale>
        <cfvo type="min"/>
        <cfvo type="percentile" val="50"/>
        <cfvo type="max"/>
        <color rgb="FF63BE7B"/>
        <color rgb="FFFFEB84"/>
        <color rgb="FFF8696B"/>
      </colorScale>
    </cfRule>
    <cfRule type="colorScale" priority="9940">
      <colorScale>
        <cfvo type="min"/>
        <cfvo type="percentile" val="50"/>
        <cfvo type="max"/>
        <color rgb="FF63BE7B"/>
        <color rgb="FFFFEB84"/>
        <color rgb="FFF8696B"/>
      </colorScale>
    </cfRule>
    <cfRule type="colorScale" priority="9942">
      <colorScale>
        <cfvo type="min"/>
        <cfvo type="percentile" val="50"/>
        <cfvo type="max"/>
        <color rgb="FF63BE7B"/>
        <color rgb="FFFFEB84"/>
        <color rgb="FFF8696B"/>
      </colorScale>
    </cfRule>
    <cfRule type="colorScale" priority="9964">
      <colorScale>
        <cfvo type="min"/>
        <cfvo type="percentile" val="50"/>
        <cfvo type="max"/>
        <color rgb="FF63BE7B"/>
        <color rgb="FFFFEB84"/>
        <color rgb="FFF8696B"/>
      </colorScale>
    </cfRule>
    <cfRule type="colorScale" priority="9315">
      <colorScale>
        <cfvo type="min"/>
        <cfvo type="percentile" val="50"/>
        <cfvo type="max"/>
        <color rgb="FFF8696B"/>
        <color rgb="FFFFEB84"/>
        <color rgb="FF63BE7B"/>
      </colorScale>
    </cfRule>
    <cfRule type="colorScale" priority="9965">
      <colorScale>
        <cfvo type="min"/>
        <cfvo type="percentile" val="50"/>
        <cfvo type="max"/>
        <color rgb="FF63BE7B"/>
        <color rgb="FFFFEB84"/>
        <color rgb="FFF8696B"/>
      </colorScale>
    </cfRule>
    <cfRule type="colorScale" priority="11102">
      <colorScale>
        <cfvo type="min"/>
        <cfvo type="percentile" val="50"/>
        <cfvo type="max"/>
        <color rgb="FF63BE7B"/>
        <color rgb="FFFFEB84"/>
        <color rgb="FFF8696B"/>
      </colorScale>
    </cfRule>
    <cfRule type="colorScale" priority="11101">
      <colorScale>
        <cfvo type="min"/>
        <cfvo type="percentile" val="50"/>
        <cfvo type="max"/>
        <color rgb="FF63BE7B"/>
        <color rgb="FFFFEB84"/>
        <color rgb="FFF8696B"/>
      </colorScale>
    </cfRule>
    <cfRule type="colorScale" priority="11108">
      <colorScale>
        <cfvo type="min"/>
        <cfvo type="percentile" val="50"/>
        <cfvo type="max"/>
        <color rgb="FF63BE7B"/>
        <color rgb="FFFFEB84"/>
        <color rgb="FFF8696B"/>
      </colorScale>
    </cfRule>
    <cfRule type="colorScale" priority="11109">
      <colorScale>
        <cfvo type="min"/>
        <cfvo type="percentile" val="50"/>
        <cfvo type="max"/>
        <color rgb="FF63BE7B"/>
        <color rgb="FFFFEB84"/>
        <color rgb="FFF8696B"/>
      </colorScale>
    </cfRule>
    <cfRule type="colorScale" priority="11106">
      <colorScale>
        <cfvo type="min"/>
        <cfvo type="percentile" val="50"/>
        <cfvo type="max"/>
        <color rgb="FF63BE7B"/>
        <color rgb="FFFFEB84"/>
        <color rgb="FFF8696B"/>
      </colorScale>
    </cfRule>
    <cfRule type="colorScale" priority="11110">
      <colorScale>
        <cfvo type="min"/>
        <cfvo type="percentile" val="50"/>
        <cfvo type="max"/>
        <color rgb="FF63BE7B"/>
        <color rgb="FFFFEB84"/>
        <color rgb="FFF8696B"/>
      </colorScale>
    </cfRule>
    <cfRule type="colorScale" priority="11107">
      <colorScale>
        <cfvo type="min"/>
        <cfvo type="percentile" val="50"/>
        <cfvo type="max"/>
        <color rgb="FF63BE7B"/>
        <color rgb="FFFFEB84"/>
        <color rgb="FFF8696B"/>
      </colorScale>
    </cfRule>
  </conditionalFormatting>
  <conditionalFormatting sqref="Y35:Y50">
    <cfRule type="colorScale" priority="13202">
      <colorScale>
        <cfvo type="min"/>
        <cfvo type="percentile" val="50"/>
        <cfvo type="max"/>
        <color rgb="FF63BE7B"/>
        <color rgb="FFFFEB84"/>
        <color rgb="FFF8696B"/>
      </colorScale>
    </cfRule>
  </conditionalFormatting>
  <conditionalFormatting sqref="Y36:Y37">
    <cfRule type="colorScale" priority="9953">
      <colorScale>
        <cfvo type="min"/>
        <cfvo type="percentile" val="50"/>
        <cfvo type="max"/>
        <color rgb="FF63BE7B"/>
        <color rgb="FFFFEB84"/>
        <color rgb="FFF8696B"/>
      </colorScale>
    </cfRule>
  </conditionalFormatting>
  <conditionalFormatting sqref="Y36:Y41">
    <cfRule type="colorScale" priority="9963">
      <colorScale>
        <cfvo type="min"/>
        <cfvo type="percentile" val="50"/>
        <cfvo type="max"/>
        <color rgb="FF63BE7B"/>
        <color rgb="FFFFEB84"/>
        <color rgb="FFF8696B"/>
      </colorScale>
    </cfRule>
  </conditionalFormatting>
  <conditionalFormatting sqref="Y42:Y51">
    <cfRule type="colorScale" priority="7450">
      <colorScale>
        <cfvo type="min"/>
        <cfvo type="percentile" val="50"/>
        <cfvo type="max"/>
        <color rgb="FF63BE7B"/>
        <color rgb="FFFFEB84"/>
        <color rgb="FFF8696B"/>
      </colorScale>
    </cfRule>
  </conditionalFormatting>
  <conditionalFormatting sqref="Y43:Y50">
    <cfRule type="colorScale" priority="13017">
      <colorScale>
        <cfvo type="min"/>
        <cfvo type="percentile" val="50"/>
        <cfvo type="max"/>
        <color rgb="FF63BE7B"/>
        <color rgb="FFFFEB84"/>
        <color rgb="FFF8696B"/>
      </colorScale>
    </cfRule>
    <cfRule type="colorScale" priority="13014">
      <colorScale>
        <cfvo type="min"/>
        <cfvo type="percentile" val="50"/>
        <cfvo type="max"/>
        <color rgb="FF63BE7B"/>
        <color rgb="FFFFEB84"/>
        <color rgb="FFF8696B"/>
      </colorScale>
    </cfRule>
    <cfRule type="colorScale" priority="13016">
      <colorScale>
        <cfvo type="min"/>
        <cfvo type="percentile" val="50"/>
        <cfvo type="max"/>
        <color rgb="FF63BE7B"/>
        <color rgb="FFFFEB84"/>
        <color rgb="FFF8696B"/>
      </colorScale>
    </cfRule>
    <cfRule type="colorScale" priority="13015">
      <colorScale>
        <cfvo type="min"/>
        <cfvo type="percentile" val="50"/>
        <cfvo type="max"/>
        <color rgb="FF63BE7B"/>
        <color rgb="FFFFEB84"/>
        <color rgb="FFF8696B"/>
      </colorScale>
    </cfRule>
  </conditionalFormatting>
  <conditionalFormatting sqref="Y51:Y53">
    <cfRule type="colorScale" priority="12901">
      <colorScale>
        <cfvo type="min"/>
        <cfvo type="percentile" val="50"/>
        <cfvo type="max"/>
        <color rgb="FF63BE7B"/>
        <color rgb="FFFFEB84"/>
        <color rgb="FFF8696B"/>
      </colorScale>
    </cfRule>
    <cfRule type="colorScale" priority="12900">
      <colorScale>
        <cfvo type="min"/>
        <cfvo type="percentile" val="50"/>
        <cfvo type="max"/>
        <color rgb="FF63BE7B"/>
        <color rgb="FFFFEB84"/>
        <color rgb="FFF8696B"/>
      </colorScale>
    </cfRule>
    <cfRule type="colorScale" priority="12902">
      <colorScale>
        <cfvo type="min"/>
        <cfvo type="percentile" val="50"/>
        <cfvo type="max"/>
        <color rgb="FF63BE7B"/>
        <color rgb="FFFFEB84"/>
        <color rgb="FFF8696B"/>
      </colorScale>
    </cfRule>
    <cfRule type="colorScale" priority="12903">
      <colorScale>
        <cfvo type="min"/>
        <cfvo type="percentile" val="50"/>
        <cfvo type="max"/>
        <color rgb="FF63BE7B"/>
        <color rgb="FFFFEB84"/>
        <color rgb="FFF8696B"/>
      </colorScale>
    </cfRule>
  </conditionalFormatting>
  <conditionalFormatting sqref="Y52:Y53">
    <cfRule type="colorScale" priority="6905">
      <colorScale>
        <cfvo type="min"/>
        <cfvo type="percentile" val="50"/>
        <cfvo type="max"/>
        <color rgb="FF63BE7B"/>
        <color rgb="FFFFEB84"/>
        <color rgb="FFF8696B"/>
      </colorScale>
    </cfRule>
    <cfRule type="colorScale" priority="6906">
      <colorScale>
        <cfvo type="min"/>
        <cfvo type="percentile" val="50"/>
        <cfvo type="max"/>
        <color rgb="FF63BE7B"/>
        <color rgb="FFFFEB84"/>
        <color rgb="FFF8696B"/>
      </colorScale>
    </cfRule>
    <cfRule type="colorScale" priority="6907">
      <colorScale>
        <cfvo type="min"/>
        <cfvo type="percentile" val="50"/>
        <cfvo type="max"/>
        <color rgb="FF63BE7B"/>
        <color rgb="FFFFEB84"/>
        <color rgb="FFF8696B"/>
      </colorScale>
    </cfRule>
    <cfRule type="colorScale" priority="6908">
      <colorScale>
        <cfvo type="min"/>
        <cfvo type="percentile" val="50"/>
        <cfvo type="max"/>
        <color rgb="FF63BE7B"/>
        <color rgb="FFFFEB84"/>
        <color rgb="FFF8696B"/>
      </colorScale>
    </cfRule>
    <cfRule type="colorScale" priority="6909">
      <colorScale>
        <cfvo type="min"/>
        <cfvo type="percentile" val="50"/>
        <cfvo type="max"/>
        <color rgb="FF63BE7B"/>
        <color rgb="FFFFEB84"/>
        <color rgb="FFF8696B"/>
      </colorScale>
    </cfRule>
    <cfRule type="colorScale" priority="6910">
      <colorScale>
        <cfvo type="min"/>
        <cfvo type="percentile" val="50"/>
        <cfvo type="max"/>
        <color rgb="FF63BE7B"/>
        <color rgb="FFFFEB84"/>
        <color rgb="FFF8696B"/>
      </colorScale>
    </cfRule>
    <cfRule type="colorScale" priority="6120">
      <colorScale>
        <cfvo type="min"/>
        <cfvo type="percentile" val="50"/>
        <cfvo type="max"/>
        <color rgb="FF63BE7B"/>
        <color rgb="FFFFEB84"/>
        <color rgb="FFF8696B"/>
      </colorScale>
    </cfRule>
    <cfRule type="colorScale" priority="6911">
      <colorScale>
        <cfvo type="min"/>
        <cfvo type="percentile" val="50"/>
        <cfvo type="max"/>
        <color rgb="FF63BE7B"/>
        <color rgb="FFFFEB84"/>
        <color rgb="FFF8696B"/>
      </colorScale>
    </cfRule>
    <cfRule type="colorScale" priority="6912">
      <colorScale>
        <cfvo type="min"/>
        <cfvo type="percentile" val="50"/>
        <cfvo type="max"/>
        <color rgb="FF63BE7B"/>
        <color rgb="FFFFEB84"/>
        <color rgb="FFF8696B"/>
      </colorScale>
    </cfRule>
    <cfRule type="colorScale" priority="6913">
      <colorScale>
        <cfvo type="min"/>
        <cfvo type="percentile" val="50"/>
        <cfvo type="max"/>
        <color rgb="FF63BE7B"/>
        <color rgb="FFFFEB84"/>
        <color rgb="FFF8696B"/>
      </colorScale>
    </cfRule>
    <cfRule type="colorScale" priority="6115">
      <colorScale>
        <cfvo type="min"/>
        <cfvo type="percentile" val="50"/>
        <cfvo type="max"/>
        <color rgb="FF63BE7B"/>
        <color rgb="FFFFEB84"/>
        <color rgb="FFF8696B"/>
      </colorScale>
    </cfRule>
    <cfRule type="colorScale" priority="6108">
      <colorScale>
        <cfvo type="min"/>
        <cfvo type="percentile" val="50"/>
        <cfvo type="max"/>
        <color rgb="FF63BE7B"/>
        <color rgb="FFFFEB84"/>
        <color rgb="FFF8696B"/>
      </colorScale>
    </cfRule>
    <cfRule type="colorScale" priority="6109">
      <colorScale>
        <cfvo type="min"/>
        <cfvo type="percentile" val="50"/>
        <cfvo type="max"/>
        <color rgb="FF63BE7B"/>
        <color rgb="FFFFEB84"/>
        <color rgb="FFF8696B"/>
      </colorScale>
    </cfRule>
    <cfRule type="colorScale" priority="6119">
      <colorScale>
        <cfvo type="min"/>
        <cfvo type="percentile" val="50"/>
        <cfvo type="max"/>
        <color rgb="FF63BE7B"/>
        <color rgb="FFFFEB84"/>
        <color rgb="FFF8696B"/>
      </colorScale>
    </cfRule>
    <cfRule type="colorScale" priority="5913">
      <colorScale>
        <cfvo type="min"/>
        <cfvo type="percentile" val="50"/>
        <cfvo type="max"/>
        <color rgb="FFF8696B"/>
        <color rgb="FFFFEB84"/>
        <color rgb="FF63BE7B"/>
      </colorScale>
    </cfRule>
    <cfRule type="colorScale" priority="6118">
      <colorScale>
        <cfvo type="min"/>
        <cfvo type="percentile" val="50"/>
        <cfvo type="max"/>
        <color rgb="FF63BE7B"/>
        <color rgb="FFFFEB84"/>
        <color rgb="FFF8696B"/>
      </colorScale>
    </cfRule>
    <cfRule type="colorScale" priority="6117">
      <colorScale>
        <cfvo type="min"/>
        <cfvo type="percentile" val="50"/>
        <cfvo type="max"/>
        <color rgb="FF63BE7B"/>
        <color rgb="FFFFEB84"/>
        <color rgb="FFF8696B"/>
      </colorScale>
    </cfRule>
    <cfRule type="colorScale" priority="6110">
      <colorScale>
        <cfvo type="min"/>
        <cfvo type="percentile" val="50"/>
        <cfvo type="max"/>
        <color rgb="FF63BE7B"/>
        <color rgb="FFFFEB84"/>
        <color rgb="FFF8696B"/>
      </colorScale>
    </cfRule>
    <cfRule type="colorScale" priority="6116">
      <colorScale>
        <cfvo type="min"/>
        <cfvo type="percentile" val="50"/>
        <cfvo type="max"/>
        <color rgb="FF63BE7B"/>
        <color rgb="FFFFEB84"/>
        <color rgb="FFF8696B"/>
      </colorScale>
    </cfRule>
    <cfRule type="colorScale" priority="6468">
      <colorScale>
        <cfvo type="min"/>
        <cfvo type="percentile" val="50"/>
        <cfvo type="max"/>
        <color rgb="FFF8696B"/>
        <color rgb="FFFFEB84"/>
        <color rgb="FF63BE7B"/>
      </colorScale>
    </cfRule>
    <cfRule type="colorScale" priority="6111">
      <colorScale>
        <cfvo type="min"/>
        <cfvo type="percentile" val="50"/>
        <cfvo type="max"/>
        <color rgb="FF63BE7B"/>
        <color rgb="FFFFEB84"/>
        <color rgb="FFF8696B"/>
      </colorScale>
    </cfRule>
    <cfRule type="colorScale" priority="6112">
      <colorScale>
        <cfvo type="min"/>
        <cfvo type="percentile" val="50"/>
        <cfvo type="max"/>
        <color rgb="FF63BE7B"/>
        <color rgb="FFFFEB84"/>
        <color rgb="FFF8696B"/>
      </colorScale>
    </cfRule>
    <cfRule type="colorScale" priority="6113">
      <colorScale>
        <cfvo type="min"/>
        <cfvo type="percentile" val="50"/>
        <cfvo type="max"/>
        <color rgb="FF63BE7B"/>
        <color rgb="FFFFEB84"/>
        <color rgb="FFF8696B"/>
      </colorScale>
    </cfRule>
    <cfRule type="colorScale" priority="7255">
      <colorScale>
        <cfvo type="min"/>
        <cfvo type="percentile" val="50"/>
        <cfvo type="max"/>
        <color rgb="FF63BE7B"/>
        <color rgb="FFFFEB84"/>
        <color rgb="FFF8696B"/>
      </colorScale>
    </cfRule>
    <cfRule type="colorScale" priority="6114">
      <colorScale>
        <cfvo type="min"/>
        <cfvo type="percentile" val="50"/>
        <cfvo type="max"/>
        <color rgb="FF63BE7B"/>
        <color rgb="FFFFEB84"/>
        <color rgb="FFF8696B"/>
      </colorScale>
    </cfRule>
    <cfRule type="colorScale" priority="6102">
      <colorScale>
        <cfvo type="min"/>
        <cfvo type="percentile" val="50"/>
        <cfvo type="max"/>
        <color rgb="FF63BE7B"/>
        <color rgb="FFFFEB84"/>
        <color rgb="FFF8696B"/>
      </colorScale>
    </cfRule>
    <cfRule type="colorScale" priority="6103">
      <colorScale>
        <cfvo type="min"/>
        <cfvo type="percentile" val="50"/>
        <cfvo type="max"/>
        <color rgb="FF63BE7B"/>
        <color rgb="FFFFEB84"/>
        <color rgb="FFF8696B"/>
      </colorScale>
    </cfRule>
    <cfRule type="colorScale" priority="6104">
      <colorScale>
        <cfvo type="min"/>
        <cfvo type="percentile" val="50"/>
        <cfvo type="max"/>
        <color rgb="FF63BE7B"/>
        <color rgb="FFFFEB84"/>
        <color rgb="FFF8696B"/>
      </colorScale>
    </cfRule>
    <cfRule type="colorScale" priority="6105">
      <colorScale>
        <cfvo type="min"/>
        <cfvo type="percentile" val="50"/>
        <cfvo type="max"/>
        <color rgb="FF63BE7B"/>
        <color rgb="FFFFEB84"/>
        <color rgb="FFF8696B"/>
      </colorScale>
    </cfRule>
    <cfRule type="colorScale" priority="6106">
      <colorScale>
        <cfvo type="min"/>
        <cfvo type="percentile" val="50"/>
        <cfvo type="max"/>
        <color rgb="FF63BE7B"/>
        <color rgb="FFFFEB84"/>
        <color rgb="FFF8696B"/>
      </colorScale>
    </cfRule>
    <cfRule type="colorScale" priority="6107">
      <colorScale>
        <cfvo type="min"/>
        <cfvo type="percentile" val="50"/>
        <cfvo type="max"/>
        <color rgb="FF63BE7B"/>
        <color rgb="FFFFEB84"/>
        <color rgb="FFF8696B"/>
      </colorScale>
    </cfRule>
  </conditionalFormatting>
  <conditionalFormatting sqref="Y54:Y61">
    <cfRule type="colorScale" priority="34">
      <colorScale>
        <cfvo type="min"/>
        <cfvo type="percentile" val="50"/>
        <cfvo type="max"/>
        <color rgb="FF63BE7B"/>
        <color rgb="FFFFEB84"/>
        <color rgb="FFF8696B"/>
      </colorScale>
    </cfRule>
  </conditionalFormatting>
  <conditionalFormatting sqref="Y65:Y71">
    <cfRule type="colorScale" priority="12515">
      <colorScale>
        <cfvo type="min"/>
        <cfvo type="percentile" val="50"/>
        <cfvo type="max"/>
        <color rgb="FF63BE7B"/>
        <color rgb="FFFFEB84"/>
        <color rgb="FFF8696B"/>
      </colorScale>
    </cfRule>
    <cfRule type="colorScale" priority="12516">
      <colorScale>
        <cfvo type="min"/>
        <cfvo type="percentile" val="50"/>
        <cfvo type="max"/>
        <color rgb="FF63BE7B"/>
        <color rgb="FFFFEB84"/>
        <color rgb="FFF8696B"/>
      </colorScale>
    </cfRule>
    <cfRule type="colorScale" priority="12517">
      <colorScale>
        <cfvo type="min"/>
        <cfvo type="percentile" val="50"/>
        <cfvo type="max"/>
        <color rgb="FF63BE7B"/>
        <color rgb="FFFFEB84"/>
        <color rgb="FFF8696B"/>
      </colorScale>
    </cfRule>
  </conditionalFormatting>
  <conditionalFormatting sqref="Y65:Y80">
    <cfRule type="colorScale" priority="12585">
      <colorScale>
        <cfvo type="min"/>
        <cfvo type="percentile" val="50"/>
        <cfvo type="max"/>
        <color rgb="FF63BE7B"/>
        <color rgb="FFFFEB84"/>
        <color rgb="FFF8696B"/>
      </colorScale>
    </cfRule>
  </conditionalFormatting>
  <conditionalFormatting sqref="Y66:Y71">
    <cfRule type="colorScale" priority="12518">
      <colorScale>
        <cfvo type="min"/>
        <cfvo type="percentile" val="50"/>
        <cfvo type="max"/>
        <color rgb="FF63BE7B"/>
        <color rgb="FFFFEB84"/>
        <color rgb="FFF8696B"/>
      </colorScale>
    </cfRule>
  </conditionalFormatting>
  <conditionalFormatting sqref="Y72:Y80">
    <cfRule type="colorScale" priority="12405">
      <colorScale>
        <cfvo type="min"/>
        <cfvo type="percentile" val="50"/>
        <cfvo type="max"/>
        <color rgb="FF63BE7B"/>
        <color rgb="FFFFEB84"/>
        <color rgb="FFF8696B"/>
      </colorScale>
    </cfRule>
    <cfRule type="colorScale" priority="12402">
      <colorScale>
        <cfvo type="min"/>
        <cfvo type="percentile" val="50"/>
        <cfvo type="max"/>
        <color rgb="FF63BE7B"/>
        <color rgb="FFFFEB84"/>
        <color rgb="FFF8696B"/>
      </colorScale>
    </cfRule>
    <cfRule type="colorScale" priority="12404">
      <colorScale>
        <cfvo type="min"/>
        <cfvo type="percentile" val="50"/>
        <cfvo type="max"/>
        <color rgb="FF63BE7B"/>
        <color rgb="FFFFEB84"/>
        <color rgb="FFF8696B"/>
      </colorScale>
    </cfRule>
    <cfRule type="colorScale" priority="12403">
      <colorScale>
        <cfvo type="min"/>
        <cfvo type="percentile" val="50"/>
        <cfvo type="max"/>
        <color rgb="FF63BE7B"/>
        <color rgb="FFFFEB84"/>
        <color rgb="FFF8696B"/>
      </colorScale>
    </cfRule>
  </conditionalFormatting>
  <conditionalFormatting sqref="Y81:Y83">
    <cfRule type="colorScale" priority="12293">
      <colorScale>
        <cfvo type="min"/>
        <cfvo type="percentile" val="50"/>
        <cfvo type="max"/>
        <color rgb="FF63BE7B"/>
        <color rgb="FFFFEB84"/>
        <color rgb="FFF8696B"/>
      </colorScale>
    </cfRule>
    <cfRule type="colorScale" priority="12292">
      <colorScale>
        <cfvo type="min"/>
        <cfvo type="percentile" val="50"/>
        <cfvo type="max"/>
        <color rgb="FF63BE7B"/>
        <color rgb="FFFFEB84"/>
        <color rgb="FFF8696B"/>
      </colorScale>
    </cfRule>
    <cfRule type="colorScale" priority="12291">
      <colorScale>
        <cfvo type="min"/>
        <cfvo type="percentile" val="50"/>
        <cfvo type="max"/>
        <color rgb="FF63BE7B"/>
        <color rgb="FFFFEB84"/>
        <color rgb="FFF8696B"/>
      </colorScale>
    </cfRule>
    <cfRule type="colorScale" priority="12290">
      <colorScale>
        <cfvo type="min"/>
        <cfvo type="percentile" val="50"/>
        <cfvo type="max"/>
        <color rgb="FF63BE7B"/>
        <color rgb="FFFFEB84"/>
        <color rgb="FFF8696B"/>
      </colorScale>
    </cfRule>
  </conditionalFormatting>
  <conditionalFormatting sqref="Y84:Y91">
    <cfRule type="colorScale" priority="12129">
      <colorScale>
        <cfvo type="min"/>
        <cfvo type="percentile" val="50"/>
        <cfvo type="max"/>
        <color rgb="FF63BE7B"/>
        <color rgb="FFFFEB84"/>
        <color rgb="FFF8696B"/>
      </colorScale>
    </cfRule>
    <cfRule type="colorScale" priority="12127">
      <colorScale>
        <cfvo type="min"/>
        <cfvo type="percentile" val="50"/>
        <cfvo type="max"/>
        <color rgb="FF63BE7B"/>
        <color rgb="FFFFEB84"/>
        <color rgb="FFF8696B"/>
      </colorScale>
    </cfRule>
    <cfRule type="colorScale" priority="12130">
      <colorScale>
        <cfvo type="min"/>
        <cfvo type="percentile" val="50"/>
        <cfvo type="max"/>
        <color rgb="FF63BE7B"/>
        <color rgb="FFFFEB84"/>
        <color rgb="FFF8696B"/>
      </colorScale>
    </cfRule>
  </conditionalFormatting>
  <conditionalFormatting sqref="Y86">
    <cfRule type="colorScale" priority="12128">
      <colorScale>
        <cfvo type="min"/>
        <cfvo type="percentile" val="50"/>
        <cfvo type="max"/>
        <color rgb="FF63BE7B"/>
        <color rgb="FFFFEB84"/>
        <color rgb="FFF8696B"/>
      </colorScale>
    </cfRule>
  </conditionalFormatting>
  <conditionalFormatting sqref="Y96:Y102">
    <cfRule type="colorScale" priority="11909">
      <colorScale>
        <cfvo type="min"/>
        <cfvo type="percentile" val="50"/>
        <cfvo type="max"/>
        <color rgb="FF63BE7B"/>
        <color rgb="FFFFEB84"/>
        <color rgb="FFF8696B"/>
      </colorScale>
    </cfRule>
    <cfRule type="colorScale" priority="11911">
      <colorScale>
        <cfvo type="min"/>
        <cfvo type="percentile" val="50"/>
        <cfvo type="max"/>
        <color rgb="FF63BE7B"/>
        <color rgb="FFFFEB84"/>
        <color rgb="FFF8696B"/>
      </colorScale>
    </cfRule>
    <cfRule type="colorScale" priority="11910">
      <colorScale>
        <cfvo type="min"/>
        <cfvo type="percentile" val="50"/>
        <cfvo type="max"/>
        <color rgb="FF63BE7B"/>
        <color rgb="FFFFEB84"/>
        <color rgb="FFF8696B"/>
      </colorScale>
    </cfRule>
  </conditionalFormatting>
  <conditionalFormatting sqref="Y96:Y111">
    <cfRule type="colorScale" priority="11979">
      <colorScale>
        <cfvo type="min"/>
        <cfvo type="percentile" val="50"/>
        <cfvo type="max"/>
        <color rgb="FF63BE7B"/>
        <color rgb="FFFFEB84"/>
        <color rgb="FFF8696B"/>
      </colorScale>
    </cfRule>
  </conditionalFormatting>
  <conditionalFormatting sqref="Y97:Y102">
    <cfRule type="colorScale" priority="11912">
      <colorScale>
        <cfvo type="min"/>
        <cfvo type="percentile" val="50"/>
        <cfvo type="max"/>
        <color rgb="FF63BE7B"/>
        <color rgb="FFFFEB84"/>
        <color rgb="FFF8696B"/>
      </colorScale>
    </cfRule>
  </conditionalFormatting>
  <conditionalFormatting sqref="Y103:Y111">
    <cfRule type="colorScale" priority="11796">
      <colorScale>
        <cfvo type="min"/>
        <cfvo type="percentile" val="50"/>
        <cfvo type="max"/>
        <color rgb="FF63BE7B"/>
        <color rgb="FFFFEB84"/>
        <color rgb="FFF8696B"/>
      </colorScale>
    </cfRule>
    <cfRule type="colorScale" priority="11798">
      <colorScale>
        <cfvo type="min"/>
        <cfvo type="percentile" val="50"/>
        <cfvo type="max"/>
        <color rgb="FF63BE7B"/>
        <color rgb="FFFFEB84"/>
        <color rgb="FFF8696B"/>
      </colorScale>
    </cfRule>
    <cfRule type="colorScale" priority="11799">
      <colorScale>
        <cfvo type="min"/>
        <cfvo type="percentile" val="50"/>
        <cfvo type="max"/>
        <color rgb="FF63BE7B"/>
        <color rgb="FFFFEB84"/>
        <color rgb="FFF8696B"/>
      </colorScale>
    </cfRule>
    <cfRule type="colorScale" priority="11797">
      <colorScale>
        <cfvo type="min"/>
        <cfvo type="percentile" val="50"/>
        <cfvo type="max"/>
        <color rgb="FF63BE7B"/>
        <color rgb="FFFFEB84"/>
        <color rgb="FFF8696B"/>
      </colorScale>
    </cfRule>
  </conditionalFormatting>
  <conditionalFormatting sqref="Y112:Y114">
    <cfRule type="colorScale" priority="11689">
      <colorScale>
        <cfvo type="min"/>
        <cfvo type="percentile" val="50"/>
        <cfvo type="max"/>
        <color rgb="FF63BE7B"/>
        <color rgb="FFFFEB84"/>
        <color rgb="FFF8696B"/>
      </colorScale>
    </cfRule>
    <cfRule type="colorScale" priority="11688">
      <colorScale>
        <cfvo type="min"/>
        <cfvo type="percentile" val="50"/>
        <cfvo type="max"/>
        <color rgb="FF63BE7B"/>
        <color rgb="FFFFEB84"/>
        <color rgb="FFF8696B"/>
      </colorScale>
    </cfRule>
    <cfRule type="colorScale" priority="11690">
      <colorScale>
        <cfvo type="min"/>
        <cfvo type="percentile" val="50"/>
        <cfvo type="max"/>
        <color rgb="FF63BE7B"/>
        <color rgb="FFFFEB84"/>
        <color rgb="FFF8696B"/>
      </colorScale>
    </cfRule>
    <cfRule type="colorScale" priority="11687">
      <colorScale>
        <cfvo type="min"/>
        <cfvo type="percentile" val="50"/>
        <cfvo type="max"/>
        <color rgb="FF63BE7B"/>
        <color rgb="FFFFEB84"/>
        <color rgb="FFF8696B"/>
      </colorScale>
    </cfRule>
  </conditionalFormatting>
  <conditionalFormatting sqref="Y115:Y122">
    <cfRule type="colorScale" priority="11527">
      <colorScale>
        <cfvo type="min"/>
        <cfvo type="percentile" val="50"/>
        <cfvo type="max"/>
        <color rgb="FF63BE7B"/>
        <color rgb="FFFFEB84"/>
        <color rgb="FFF8696B"/>
      </colorScale>
    </cfRule>
    <cfRule type="colorScale" priority="11524">
      <colorScale>
        <cfvo type="min"/>
        <cfvo type="percentile" val="50"/>
        <cfvo type="max"/>
        <color rgb="FF63BE7B"/>
        <color rgb="FFFFEB84"/>
        <color rgb="FFF8696B"/>
      </colorScale>
    </cfRule>
    <cfRule type="colorScale" priority="11526">
      <colorScale>
        <cfvo type="min"/>
        <cfvo type="percentile" val="50"/>
        <cfvo type="max"/>
        <color rgb="FF63BE7B"/>
        <color rgb="FFFFEB84"/>
        <color rgb="FFF8696B"/>
      </colorScale>
    </cfRule>
  </conditionalFormatting>
  <conditionalFormatting sqref="Y117">
    <cfRule type="colorScale" priority="11525">
      <colorScale>
        <cfvo type="min"/>
        <cfvo type="percentile" val="50"/>
        <cfvo type="max"/>
        <color rgb="FF63BE7B"/>
        <color rgb="FFFFEB84"/>
        <color rgb="FFF8696B"/>
      </colorScale>
    </cfRule>
  </conditionalFormatting>
  <conditionalFormatting sqref="Y51:Z53">
    <cfRule type="colorScale" priority="4216">
      <colorScale>
        <cfvo type="min"/>
        <cfvo type="percentile" val="50"/>
        <cfvo type="max"/>
        <color rgb="FF63BE7B"/>
        <color rgb="FFFFEB84"/>
        <color rgb="FFF8696B"/>
      </colorScale>
    </cfRule>
    <cfRule type="colorScale" priority="4215">
      <colorScale>
        <cfvo type="min"/>
        <cfvo type="percentile" val="50"/>
        <cfvo type="max"/>
        <color rgb="FF63BE7B"/>
        <color rgb="FFFFEB84"/>
        <color rgb="FFF8696B"/>
      </colorScale>
    </cfRule>
    <cfRule type="colorScale" priority="4188">
      <colorScale>
        <cfvo type="min"/>
        <cfvo type="percentile" val="50"/>
        <cfvo type="max"/>
        <color rgb="FF63BE7B"/>
        <color rgb="FFFFEB84"/>
        <color rgb="FFF8696B"/>
      </colorScale>
    </cfRule>
  </conditionalFormatting>
  <conditionalFormatting sqref="Y52:Z53">
    <cfRule type="colorScale" priority="4214">
      <colorScale>
        <cfvo type="min"/>
        <cfvo type="percentile" val="50"/>
        <cfvo type="max"/>
        <color rgb="FF63BE7B"/>
        <color rgb="FFFFEB84"/>
        <color rgb="FFF8696B"/>
      </colorScale>
    </cfRule>
    <cfRule type="colorScale" priority="4213">
      <colorScale>
        <cfvo type="min"/>
        <cfvo type="percentile" val="50"/>
        <cfvo type="max"/>
        <color rgb="FF63BE7B"/>
        <color rgb="FFFFEB84"/>
        <color rgb="FFF8696B"/>
      </colorScale>
    </cfRule>
    <cfRule type="colorScale" priority="4212">
      <colorScale>
        <cfvo type="min"/>
        <cfvo type="percentile" val="50"/>
        <cfvo type="max"/>
        <color rgb="FF63BE7B"/>
        <color rgb="FFFFEB84"/>
        <color rgb="FFF8696B"/>
      </colorScale>
    </cfRule>
    <cfRule type="colorScale" priority="4211">
      <colorScale>
        <cfvo type="min"/>
        <cfvo type="percentile" val="50"/>
        <cfvo type="max"/>
        <color rgb="FF63BE7B"/>
        <color rgb="FFFFEB84"/>
        <color rgb="FFF8696B"/>
      </colorScale>
    </cfRule>
    <cfRule type="colorScale" priority="4210">
      <colorScale>
        <cfvo type="min"/>
        <cfvo type="percentile" val="50"/>
        <cfvo type="max"/>
        <color rgb="FF63BE7B"/>
        <color rgb="FFFFEB84"/>
        <color rgb="FFF8696B"/>
      </colorScale>
    </cfRule>
    <cfRule type="colorScale" priority="4208">
      <colorScale>
        <cfvo type="min"/>
        <cfvo type="percentile" val="50"/>
        <cfvo type="max"/>
        <color rgb="FF63BE7B"/>
        <color rgb="FFFFEB84"/>
        <color rgb="FFF8696B"/>
      </colorScale>
    </cfRule>
    <cfRule type="colorScale" priority="4207">
      <colorScale>
        <cfvo type="min"/>
        <cfvo type="percentile" val="50"/>
        <cfvo type="max"/>
        <color rgb="FF63BE7B"/>
        <color rgb="FFFFEB84"/>
        <color rgb="FFF8696B"/>
      </colorScale>
    </cfRule>
    <cfRule type="colorScale" priority="4206">
      <colorScale>
        <cfvo type="min"/>
        <cfvo type="percentile" val="50"/>
        <cfvo type="max"/>
        <color rgb="FF63BE7B"/>
        <color rgb="FFFFEB84"/>
        <color rgb="FFF8696B"/>
      </colorScale>
    </cfRule>
    <cfRule type="colorScale" priority="4205">
      <colorScale>
        <cfvo type="min"/>
        <cfvo type="percentile" val="50"/>
        <cfvo type="max"/>
        <color rgb="FF63BE7B"/>
        <color rgb="FFFFEB84"/>
        <color rgb="FFF8696B"/>
      </colorScale>
    </cfRule>
    <cfRule type="colorScale" priority="4204">
      <colorScale>
        <cfvo type="min"/>
        <cfvo type="percentile" val="50"/>
        <cfvo type="max"/>
        <color rgb="FF63BE7B"/>
        <color rgb="FFFFEB84"/>
        <color rgb="FFF8696B"/>
      </colorScale>
    </cfRule>
    <cfRule type="colorScale" priority="4203">
      <colorScale>
        <cfvo type="min"/>
        <cfvo type="percentile" val="50"/>
        <cfvo type="max"/>
        <color rgb="FF63BE7B"/>
        <color rgb="FFFFEB84"/>
        <color rgb="FFF8696B"/>
      </colorScale>
    </cfRule>
    <cfRule type="colorScale" priority="4189">
      <colorScale>
        <cfvo type="min"/>
        <cfvo type="percentile" val="50"/>
        <cfvo type="max"/>
        <color rgb="FF63BE7B"/>
        <color rgb="FFFFEB84"/>
        <color rgb="FFF8696B"/>
      </colorScale>
    </cfRule>
    <cfRule type="colorScale" priority="4194">
      <colorScale>
        <cfvo type="min"/>
        <cfvo type="percentile" val="50"/>
        <cfvo type="max"/>
        <color rgb="FF63BE7B"/>
        <color rgb="FFFFEB84"/>
        <color rgb="FFF8696B"/>
      </colorScale>
    </cfRule>
    <cfRule type="colorScale" priority="4193">
      <colorScale>
        <cfvo type="min"/>
        <cfvo type="percentile" val="50"/>
        <cfvo type="max"/>
        <color rgb="FF63BE7B"/>
        <color rgb="FFFFEB84"/>
        <color rgb="FFF8696B"/>
      </colorScale>
    </cfRule>
    <cfRule type="colorScale" priority="4192">
      <colorScale>
        <cfvo type="min"/>
        <cfvo type="percentile" val="50"/>
        <cfvo type="max"/>
        <color rgb="FF63BE7B"/>
        <color rgb="FFFFEB84"/>
        <color rgb="FFF8696B"/>
      </colorScale>
    </cfRule>
    <cfRule type="colorScale" priority="4191">
      <colorScale>
        <cfvo type="min"/>
        <cfvo type="percentile" val="50"/>
        <cfvo type="max"/>
        <color rgb="FF63BE7B"/>
        <color rgb="FFFFEB84"/>
        <color rgb="FFF8696B"/>
      </colorScale>
    </cfRule>
    <cfRule type="colorScale" priority="4190">
      <colorScale>
        <cfvo type="min"/>
        <cfvo type="percentile" val="50"/>
        <cfvo type="max"/>
        <color rgb="FF63BE7B"/>
        <color rgb="FFFFEB84"/>
        <color rgb="FFF8696B"/>
      </colorScale>
    </cfRule>
    <cfRule type="colorScale" priority="4200">
      <colorScale>
        <cfvo type="min"/>
        <cfvo type="percentile" val="50"/>
        <cfvo type="max"/>
        <color rgb="FF63BE7B"/>
        <color rgb="FFFFEB84"/>
        <color rgb="FFF8696B"/>
      </colorScale>
    </cfRule>
    <cfRule type="colorScale" priority="4199">
      <colorScale>
        <cfvo type="min"/>
        <cfvo type="percentile" val="50"/>
        <cfvo type="max"/>
        <color rgb="FF63BE7B"/>
        <color rgb="FFFFEB84"/>
        <color rgb="FFF8696B"/>
      </colorScale>
    </cfRule>
    <cfRule type="colorScale" priority="4201">
      <colorScale>
        <cfvo type="min"/>
        <cfvo type="percentile" val="50"/>
        <cfvo type="max"/>
        <color rgb="FF63BE7B"/>
        <color rgb="FFFFEB84"/>
        <color rgb="FFF8696B"/>
      </colorScale>
    </cfRule>
    <cfRule type="colorScale" priority="4198">
      <colorScale>
        <cfvo type="min"/>
        <cfvo type="percentile" val="50"/>
        <cfvo type="max"/>
        <color rgb="FF63BE7B"/>
        <color rgb="FFFFEB84"/>
        <color rgb="FFF8696B"/>
      </colorScale>
    </cfRule>
    <cfRule type="colorScale" priority="4197">
      <colorScale>
        <cfvo type="min"/>
        <cfvo type="percentile" val="50"/>
        <cfvo type="max"/>
        <color rgb="FF63BE7B"/>
        <color rgb="FFFFEB84"/>
        <color rgb="FFF8696B"/>
      </colorScale>
    </cfRule>
    <cfRule type="colorScale" priority="4202">
      <colorScale>
        <cfvo type="min"/>
        <cfvo type="percentile" val="50"/>
        <cfvo type="max"/>
        <color rgb="FF63BE7B"/>
        <color rgb="FFFFEB84"/>
        <color rgb="FFF8696B"/>
      </colorScale>
    </cfRule>
    <cfRule type="colorScale" priority="4196">
      <colorScale>
        <cfvo type="min"/>
        <cfvo type="percentile" val="50"/>
        <cfvo type="max"/>
        <color rgb="FF63BE7B"/>
        <color rgb="FFFFEB84"/>
        <color rgb="FFF8696B"/>
      </colorScale>
    </cfRule>
    <cfRule type="colorScale" priority="4195">
      <colorScale>
        <cfvo type="min"/>
        <cfvo type="percentile" val="50"/>
        <cfvo type="max"/>
        <color rgb="FF63BE7B"/>
        <color rgb="FFFFEB84"/>
        <color rgb="FFF8696B"/>
      </colorScale>
    </cfRule>
    <cfRule type="colorScale" priority="4209">
      <colorScale>
        <cfvo type="min"/>
        <cfvo type="percentile" val="50"/>
        <cfvo type="max"/>
        <color rgb="FF63BE7B"/>
        <color rgb="FFFFEB84"/>
        <color rgb="FFF8696B"/>
      </colorScale>
    </cfRule>
  </conditionalFormatting>
  <conditionalFormatting sqref="Y42:AD51 AF42:AG51 AL42:AL51 B42:AV50">
    <cfRule type="colorScale" priority="7477">
      <colorScale>
        <cfvo type="min"/>
        <cfvo type="percentile" val="50"/>
        <cfvo type="max"/>
        <color rgb="FFF8696B"/>
        <color rgb="FFFFEB84"/>
        <color rgb="FF63BE7B"/>
      </colorScale>
    </cfRule>
  </conditionalFormatting>
  <conditionalFormatting sqref="Z35:Z37">
    <cfRule type="colorScale" priority="9928">
      <colorScale>
        <cfvo type="min"/>
        <cfvo type="percentile" val="50"/>
        <cfvo type="max"/>
        <color rgb="FF63BE7B"/>
        <color rgb="FFFFEB84"/>
        <color rgb="FFF8696B"/>
      </colorScale>
    </cfRule>
    <cfRule type="colorScale" priority="9927">
      <colorScale>
        <cfvo type="min"/>
        <cfvo type="percentile" val="50"/>
        <cfvo type="max"/>
        <color rgb="FF63BE7B"/>
        <color rgb="FFFFEB84"/>
        <color rgb="FFF8696B"/>
      </colorScale>
    </cfRule>
    <cfRule type="colorScale" priority="9925">
      <colorScale>
        <cfvo type="min"/>
        <cfvo type="percentile" val="50"/>
        <cfvo type="max"/>
        <color rgb="FF63BE7B"/>
        <color rgb="FFFFEB84"/>
        <color rgb="FFF8696B"/>
      </colorScale>
    </cfRule>
    <cfRule type="colorScale" priority="9924">
      <colorScale>
        <cfvo type="min"/>
        <cfvo type="percentile" val="50"/>
        <cfvo type="max"/>
        <color rgb="FF63BE7B"/>
        <color rgb="FFFFEB84"/>
        <color rgb="FFF8696B"/>
      </colorScale>
    </cfRule>
    <cfRule type="colorScale" priority="9914">
      <colorScale>
        <cfvo type="min"/>
        <cfvo type="percentile" val="50"/>
        <cfvo type="max"/>
        <color rgb="FF63BE7B"/>
        <color rgb="FFFFEB84"/>
        <color rgb="FFF8696B"/>
      </colorScale>
    </cfRule>
    <cfRule type="colorScale" priority="9922">
      <colorScale>
        <cfvo type="min"/>
        <cfvo type="percentile" val="50"/>
        <cfvo type="max"/>
        <color rgb="FF63BE7B"/>
        <color rgb="FFFFEB84"/>
        <color rgb="FFF8696B"/>
      </colorScale>
    </cfRule>
    <cfRule type="colorScale" priority="11093">
      <colorScale>
        <cfvo type="min"/>
        <cfvo type="percentile" val="50"/>
        <cfvo type="max"/>
        <color rgb="FF63BE7B"/>
        <color rgb="FFFFEB84"/>
        <color rgb="FFF8696B"/>
      </colorScale>
    </cfRule>
    <cfRule type="colorScale" priority="9923">
      <colorScale>
        <cfvo type="min"/>
        <cfvo type="percentile" val="50"/>
        <cfvo type="max"/>
        <color rgb="FF63BE7B"/>
        <color rgb="FFFFEB84"/>
        <color rgb="FFF8696B"/>
      </colorScale>
    </cfRule>
  </conditionalFormatting>
  <conditionalFormatting sqref="Z35:Z41 AM35:AM41 J35:J53 Z52:Z53 AM52:AM53">
    <cfRule type="colorScale" priority="13242">
      <colorScale>
        <cfvo type="min"/>
        <cfvo type="percentile" val="50"/>
        <cfvo type="max"/>
        <color rgb="FF63BE7B"/>
        <color rgb="FFFFEB84"/>
        <color rgb="FFF8696B"/>
      </colorScale>
    </cfRule>
  </conditionalFormatting>
  <conditionalFormatting sqref="Z35:Z41">
    <cfRule type="colorScale" priority="9921">
      <colorScale>
        <cfvo type="min"/>
        <cfvo type="percentile" val="50"/>
        <cfvo type="max"/>
        <color rgb="FF63BE7B"/>
        <color rgb="FFFFEB84"/>
        <color rgb="FFF8696B"/>
      </colorScale>
    </cfRule>
    <cfRule type="colorScale" priority="9938">
      <colorScale>
        <cfvo type="min"/>
        <cfvo type="percentile" val="50"/>
        <cfvo type="max"/>
        <color rgb="FF63BE7B"/>
        <color rgb="FFFFEB84"/>
        <color rgb="FFF8696B"/>
      </colorScale>
    </cfRule>
    <cfRule type="colorScale" priority="9912">
      <colorScale>
        <cfvo type="min"/>
        <cfvo type="percentile" val="50"/>
        <cfvo type="max"/>
        <color rgb="FF63BE7B"/>
        <color rgb="FFFFEB84"/>
        <color rgb="FFF8696B"/>
      </colorScale>
    </cfRule>
    <cfRule type="colorScale" priority="11091">
      <colorScale>
        <cfvo type="min"/>
        <cfvo type="percentile" val="50"/>
        <cfvo type="max"/>
        <color rgb="FF63BE7B"/>
        <color rgb="FFFFEB84"/>
        <color rgb="FFF8696B"/>
      </colorScale>
    </cfRule>
    <cfRule type="colorScale" priority="9913">
      <colorScale>
        <cfvo type="min"/>
        <cfvo type="percentile" val="50"/>
        <cfvo type="max"/>
        <color rgb="FF63BE7B"/>
        <color rgb="FFFFEB84"/>
        <color rgb="FFF8696B"/>
      </colorScale>
    </cfRule>
    <cfRule type="colorScale" priority="9915">
      <colorScale>
        <cfvo type="min"/>
        <cfvo type="percentile" val="50"/>
        <cfvo type="max"/>
        <color rgb="FF63BE7B"/>
        <color rgb="FFFFEB84"/>
        <color rgb="FFF8696B"/>
      </colorScale>
    </cfRule>
    <cfRule type="colorScale" priority="9916">
      <colorScale>
        <cfvo type="min"/>
        <cfvo type="percentile" val="50"/>
        <cfvo type="max"/>
        <color rgb="FF63BE7B"/>
        <color rgb="FFFFEB84"/>
        <color rgb="FFF8696B"/>
      </colorScale>
    </cfRule>
    <cfRule type="colorScale" priority="9917">
      <colorScale>
        <cfvo type="min"/>
        <cfvo type="percentile" val="50"/>
        <cfvo type="max"/>
        <color rgb="FF63BE7B"/>
        <color rgb="FFFFEB84"/>
        <color rgb="FFF8696B"/>
      </colorScale>
    </cfRule>
    <cfRule type="colorScale" priority="9918">
      <colorScale>
        <cfvo type="min"/>
        <cfvo type="percentile" val="50"/>
        <cfvo type="max"/>
        <color rgb="FF63BE7B"/>
        <color rgb="FFFFEB84"/>
        <color rgb="FFF8696B"/>
      </colorScale>
    </cfRule>
    <cfRule type="colorScale" priority="11100">
      <colorScale>
        <cfvo type="min"/>
        <cfvo type="percentile" val="50"/>
        <cfvo type="max"/>
        <color rgb="FF63BE7B"/>
        <color rgb="FFFFEB84"/>
        <color rgb="FFF8696B"/>
      </colorScale>
    </cfRule>
    <cfRule type="colorScale" priority="11099">
      <colorScale>
        <cfvo type="min"/>
        <cfvo type="percentile" val="50"/>
        <cfvo type="max"/>
        <color rgb="FF63BE7B"/>
        <color rgb="FFFFEB84"/>
        <color rgb="FFF8696B"/>
      </colorScale>
    </cfRule>
    <cfRule type="colorScale" priority="11098">
      <colorScale>
        <cfvo type="min"/>
        <cfvo type="percentile" val="50"/>
        <cfvo type="max"/>
        <color rgb="FF63BE7B"/>
        <color rgb="FFFFEB84"/>
        <color rgb="FFF8696B"/>
      </colorScale>
    </cfRule>
    <cfRule type="colorScale" priority="11097">
      <colorScale>
        <cfvo type="min"/>
        <cfvo type="percentile" val="50"/>
        <cfvo type="max"/>
        <color rgb="FF63BE7B"/>
        <color rgb="FFFFEB84"/>
        <color rgb="FFF8696B"/>
      </colorScale>
    </cfRule>
    <cfRule type="colorScale" priority="9919">
      <colorScale>
        <cfvo type="min"/>
        <cfvo type="percentile" val="50"/>
        <cfvo type="max"/>
        <color rgb="FF63BE7B"/>
        <color rgb="FFFFEB84"/>
        <color rgb="FFF8696B"/>
      </colorScale>
    </cfRule>
    <cfRule type="colorScale" priority="9920">
      <colorScale>
        <cfvo type="min"/>
        <cfvo type="percentile" val="50"/>
        <cfvo type="max"/>
        <color rgb="FF63BE7B"/>
        <color rgb="FFFFEB84"/>
        <color rgb="FFF8696B"/>
      </colorScale>
    </cfRule>
    <cfRule type="colorScale" priority="11096">
      <colorScale>
        <cfvo type="min"/>
        <cfvo type="percentile" val="50"/>
        <cfvo type="max"/>
        <color rgb="FF63BE7B"/>
        <color rgb="FFFFEB84"/>
        <color rgb="FFF8696B"/>
      </colorScale>
    </cfRule>
    <cfRule type="colorScale" priority="11095">
      <colorScale>
        <cfvo type="min"/>
        <cfvo type="percentile" val="50"/>
        <cfvo type="max"/>
        <color rgb="FF63BE7B"/>
        <color rgb="FFFFEB84"/>
        <color rgb="FFF8696B"/>
      </colorScale>
    </cfRule>
    <cfRule type="colorScale" priority="11094">
      <colorScale>
        <cfvo type="min"/>
        <cfvo type="percentile" val="50"/>
        <cfvo type="max"/>
        <color rgb="FF63BE7B"/>
        <color rgb="FFFFEB84"/>
        <color rgb="FFF8696B"/>
      </colorScale>
    </cfRule>
    <cfRule type="colorScale" priority="11092">
      <colorScale>
        <cfvo type="min"/>
        <cfvo type="percentile" val="50"/>
        <cfvo type="max"/>
        <color rgb="FF63BE7B"/>
        <color rgb="FFFFEB84"/>
        <color rgb="FFF8696B"/>
      </colorScale>
    </cfRule>
    <cfRule type="colorScale" priority="9929">
      <colorScale>
        <cfvo type="min"/>
        <cfvo type="percentile" val="50"/>
        <cfvo type="max"/>
        <color rgb="FF63BE7B"/>
        <color rgb="FFFFEB84"/>
        <color rgb="FFF8696B"/>
      </colorScale>
    </cfRule>
    <cfRule type="colorScale" priority="9930">
      <colorScale>
        <cfvo type="min"/>
        <cfvo type="percentile" val="50"/>
        <cfvo type="max"/>
        <color rgb="FF63BE7B"/>
        <color rgb="FFFFEB84"/>
        <color rgb="FFF8696B"/>
      </colorScale>
    </cfRule>
    <cfRule type="colorScale" priority="9931">
      <colorScale>
        <cfvo type="min"/>
        <cfvo type="percentile" val="50"/>
        <cfvo type="max"/>
        <color rgb="FF63BE7B"/>
        <color rgb="FFFFEB84"/>
        <color rgb="FFF8696B"/>
      </colorScale>
    </cfRule>
    <cfRule type="colorScale" priority="9932">
      <colorScale>
        <cfvo type="min"/>
        <cfvo type="percentile" val="50"/>
        <cfvo type="max"/>
        <color rgb="FF63BE7B"/>
        <color rgb="FFFFEB84"/>
        <color rgb="FFF8696B"/>
      </colorScale>
    </cfRule>
    <cfRule type="colorScale" priority="9933">
      <colorScale>
        <cfvo type="min"/>
        <cfvo type="percentile" val="50"/>
        <cfvo type="max"/>
        <color rgb="FF63BE7B"/>
        <color rgb="FFFFEB84"/>
        <color rgb="FFF8696B"/>
      </colorScale>
    </cfRule>
    <cfRule type="colorScale" priority="9934">
      <colorScale>
        <cfvo type="min"/>
        <cfvo type="percentile" val="50"/>
        <cfvo type="max"/>
        <color rgb="FF63BE7B"/>
        <color rgb="FFFFEB84"/>
        <color rgb="FFF8696B"/>
      </colorScale>
    </cfRule>
    <cfRule type="colorScale" priority="9935">
      <colorScale>
        <cfvo type="min"/>
        <cfvo type="percentile" val="50"/>
        <cfvo type="max"/>
        <color rgb="FF63BE7B"/>
        <color rgb="FFFFEB84"/>
        <color rgb="FFF8696B"/>
      </colorScale>
    </cfRule>
    <cfRule type="colorScale" priority="9937">
      <colorScale>
        <cfvo type="min"/>
        <cfvo type="percentile" val="50"/>
        <cfvo type="max"/>
        <color rgb="FF63BE7B"/>
        <color rgb="FFFFEB84"/>
        <color rgb="FFF8696B"/>
      </colorScale>
    </cfRule>
    <cfRule type="colorScale" priority="13127">
      <colorScale>
        <cfvo type="min"/>
        <cfvo type="percentile" val="50"/>
        <cfvo type="max"/>
        <color rgb="FF63BE7B"/>
        <color rgb="FFFFEB84"/>
        <color rgb="FFF8696B"/>
      </colorScale>
    </cfRule>
    <cfRule type="colorScale" priority="13128">
      <colorScale>
        <cfvo type="min"/>
        <cfvo type="percentile" val="50"/>
        <cfvo type="max"/>
        <color rgb="FF63BE7B"/>
        <color rgb="FFFFEB84"/>
        <color rgb="FFF8696B"/>
      </colorScale>
    </cfRule>
    <cfRule type="colorScale" priority="13129">
      <colorScale>
        <cfvo type="min"/>
        <cfvo type="percentile" val="50"/>
        <cfvo type="max"/>
        <color rgb="FF63BE7B"/>
        <color rgb="FFFFEB84"/>
        <color rgb="FFF8696B"/>
      </colorScale>
    </cfRule>
  </conditionalFormatting>
  <conditionalFormatting sqref="Z35:Z50">
    <cfRule type="colorScale" priority="13201">
      <colorScale>
        <cfvo type="min"/>
        <cfvo type="percentile" val="50"/>
        <cfvo type="max"/>
        <color rgb="FF63BE7B"/>
        <color rgb="FFFFEB84"/>
        <color rgb="FFF8696B"/>
      </colorScale>
    </cfRule>
  </conditionalFormatting>
  <conditionalFormatting sqref="Z36:Z37">
    <cfRule type="colorScale" priority="9926">
      <colorScale>
        <cfvo type="min"/>
        <cfvo type="percentile" val="50"/>
        <cfvo type="max"/>
        <color rgb="FF63BE7B"/>
        <color rgb="FFFFEB84"/>
        <color rgb="FFF8696B"/>
      </colorScale>
    </cfRule>
  </conditionalFormatting>
  <conditionalFormatting sqref="Z36:Z41">
    <cfRule type="colorScale" priority="9936">
      <colorScale>
        <cfvo type="min"/>
        <cfvo type="percentile" val="50"/>
        <cfvo type="max"/>
        <color rgb="FF63BE7B"/>
        <color rgb="FFFFEB84"/>
        <color rgb="FFF8696B"/>
      </colorScale>
    </cfRule>
    <cfRule type="colorScale" priority="13130">
      <colorScale>
        <cfvo type="min"/>
        <cfvo type="percentile" val="50"/>
        <cfvo type="max"/>
        <color rgb="FF63BE7B"/>
        <color rgb="FFFFEB84"/>
        <color rgb="FFF8696B"/>
      </colorScale>
    </cfRule>
  </conditionalFormatting>
  <conditionalFormatting sqref="Z42:Z51">
    <cfRule type="colorScale" priority="7449">
      <colorScale>
        <cfvo type="min"/>
        <cfvo type="percentile" val="50"/>
        <cfvo type="max"/>
        <color rgb="FF63BE7B"/>
        <color rgb="FFFFEB84"/>
        <color rgb="FFF8696B"/>
      </colorScale>
    </cfRule>
  </conditionalFormatting>
  <conditionalFormatting sqref="Z43:Z50">
    <cfRule type="colorScale" priority="13011">
      <colorScale>
        <cfvo type="min"/>
        <cfvo type="percentile" val="50"/>
        <cfvo type="max"/>
        <color rgb="FF63BE7B"/>
        <color rgb="FFFFEB84"/>
        <color rgb="FFF8696B"/>
      </colorScale>
    </cfRule>
    <cfRule type="colorScale" priority="13012">
      <colorScale>
        <cfvo type="min"/>
        <cfvo type="percentile" val="50"/>
        <cfvo type="max"/>
        <color rgb="FF63BE7B"/>
        <color rgb="FFFFEB84"/>
        <color rgb="FFF8696B"/>
      </colorScale>
    </cfRule>
    <cfRule type="colorScale" priority="13013">
      <colorScale>
        <cfvo type="min"/>
        <cfvo type="percentile" val="50"/>
        <cfvo type="max"/>
        <color rgb="FF63BE7B"/>
        <color rgb="FFFFEB84"/>
        <color rgb="FFF8696B"/>
      </colorScale>
    </cfRule>
    <cfRule type="colorScale" priority="13010">
      <colorScale>
        <cfvo type="min"/>
        <cfvo type="percentile" val="50"/>
        <cfvo type="max"/>
        <color rgb="FF63BE7B"/>
        <color rgb="FFFFEB84"/>
        <color rgb="FFF8696B"/>
      </colorScale>
    </cfRule>
  </conditionalFormatting>
  <conditionalFormatting sqref="Z52:Z53">
    <cfRule type="colorScale" priority="6086">
      <colorScale>
        <cfvo type="min"/>
        <cfvo type="percentile" val="50"/>
        <cfvo type="max"/>
        <color rgb="FF63BE7B"/>
        <color rgb="FFFFEB84"/>
        <color rgb="FFF8696B"/>
      </colorScale>
    </cfRule>
    <cfRule type="colorScale" priority="7191">
      <colorScale>
        <cfvo type="min"/>
        <cfvo type="percentile" val="50"/>
        <cfvo type="max"/>
        <color rgb="FF63BE7B"/>
        <color rgb="FFFFEB84"/>
        <color rgb="FFF8696B"/>
      </colorScale>
    </cfRule>
    <cfRule type="colorScale" priority="6904">
      <colorScale>
        <cfvo type="min"/>
        <cfvo type="percentile" val="50"/>
        <cfvo type="max"/>
        <color rgb="FF63BE7B"/>
        <color rgb="FFFFEB84"/>
        <color rgb="FFF8696B"/>
      </colorScale>
    </cfRule>
    <cfRule type="colorScale" priority="6903">
      <colorScale>
        <cfvo type="min"/>
        <cfvo type="percentile" val="50"/>
        <cfvo type="max"/>
        <color rgb="FF63BE7B"/>
        <color rgb="FFFFEB84"/>
        <color rgb="FFF8696B"/>
      </colorScale>
    </cfRule>
    <cfRule type="colorScale" priority="6902">
      <colorScale>
        <cfvo type="min"/>
        <cfvo type="percentile" val="50"/>
        <cfvo type="max"/>
        <color rgb="FF63BE7B"/>
        <color rgb="FFFFEB84"/>
        <color rgb="FFF8696B"/>
      </colorScale>
    </cfRule>
    <cfRule type="colorScale" priority="6901">
      <colorScale>
        <cfvo type="min"/>
        <cfvo type="percentile" val="50"/>
        <cfvo type="max"/>
        <color rgb="FF63BE7B"/>
        <color rgb="FFFFEB84"/>
        <color rgb="FFF8696B"/>
      </colorScale>
    </cfRule>
    <cfRule type="colorScale" priority="6900">
      <colorScale>
        <cfvo type="min"/>
        <cfvo type="percentile" val="50"/>
        <cfvo type="max"/>
        <color rgb="FF63BE7B"/>
        <color rgb="FFFFEB84"/>
        <color rgb="FFF8696B"/>
      </colorScale>
    </cfRule>
    <cfRule type="colorScale" priority="6899">
      <colorScale>
        <cfvo type="min"/>
        <cfvo type="percentile" val="50"/>
        <cfvo type="max"/>
        <color rgb="FF63BE7B"/>
        <color rgb="FFFFEB84"/>
        <color rgb="FFF8696B"/>
      </colorScale>
    </cfRule>
    <cfRule type="colorScale" priority="6898">
      <colorScale>
        <cfvo type="min"/>
        <cfvo type="percentile" val="50"/>
        <cfvo type="max"/>
        <color rgb="FF63BE7B"/>
        <color rgb="FFFFEB84"/>
        <color rgb="FFF8696B"/>
      </colorScale>
    </cfRule>
    <cfRule type="colorScale" priority="6087">
      <colorScale>
        <cfvo type="min"/>
        <cfvo type="percentile" val="50"/>
        <cfvo type="max"/>
        <color rgb="FF63BE7B"/>
        <color rgb="FFFFEB84"/>
        <color rgb="FFF8696B"/>
      </colorScale>
    </cfRule>
    <cfRule type="colorScale" priority="7254">
      <colorScale>
        <cfvo type="min"/>
        <cfvo type="percentile" val="50"/>
        <cfvo type="max"/>
        <color rgb="FF63BE7B"/>
        <color rgb="FFFFEB84"/>
        <color rgb="FFF8696B"/>
      </colorScale>
    </cfRule>
    <cfRule type="colorScale" priority="6897">
      <colorScale>
        <cfvo type="min"/>
        <cfvo type="percentile" val="50"/>
        <cfvo type="max"/>
        <color rgb="FF63BE7B"/>
        <color rgb="FFFFEB84"/>
        <color rgb="FFF8696B"/>
      </colorScale>
    </cfRule>
    <cfRule type="colorScale" priority="6896">
      <colorScale>
        <cfvo type="min"/>
        <cfvo type="percentile" val="50"/>
        <cfvo type="max"/>
        <color rgb="FF63BE7B"/>
        <color rgb="FFFFEB84"/>
        <color rgb="FFF8696B"/>
      </colorScale>
    </cfRule>
    <cfRule type="colorScale" priority="6101">
      <colorScale>
        <cfvo type="min"/>
        <cfvo type="percentile" val="50"/>
        <cfvo type="max"/>
        <color rgb="FF63BE7B"/>
        <color rgb="FFFFEB84"/>
        <color rgb="FFF8696B"/>
      </colorScale>
    </cfRule>
    <cfRule type="colorScale" priority="6088">
      <colorScale>
        <cfvo type="min"/>
        <cfvo type="percentile" val="50"/>
        <cfvo type="max"/>
        <color rgb="FF63BE7B"/>
        <color rgb="FFFFEB84"/>
        <color rgb="FFF8696B"/>
      </colorScale>
    </cfRule>
    <cfRule type="colorScale" priority="6089">
      <colorScale>
        <cfvo type="min"/>
        <cfvo type="percentile" val="50"/>
        <cfvo type="max"/>
        <color rgb="FF63BE7B"/>
        <color rgb="FFFFEB84"/>
        <color rgb="FFF8696B"/>
      </colorScale>
    </cfRule>
    <cfRule type="colorScale" priority="6090">
      <colorScale>
        <cfvo type="min"/>
        <cfvo type="percentile" val="50"/>
        <cfvo type="max"/>
        <color rgb="FF63BE7B"/>
        <color rgb="FFFFEB84"/>
        <color rgb="FFF8696B"/>
      </colorScale>
    </cfRule>
    <cfRule type="colorScale" priority="6092">
      <colorScale>
        <cfvo type="min"/>
        <cfvo type="percentile" val="50"/>
        <cfvo type="max"/>
        <color rgb="FF63BE7B"/>
        <color rgb="FFFFEB84"/>
        <color rgb="FFF8696B"/>
      </colorScale>
    </cfRule>
    <cfRule type="colorScale" priority="6093">
      <colorScale>
        <cfvo type="min"/>
        <cfvo type="percentile" val="50"/>
        <cfvo type="max"/>
        <color rgb="FF63BE7B"/>
        <color rgb="FFFFEB84"/>
        <color rgb="FFF8696B"/>
      </colorScale>
    </cfRule>
    <cfRule type="colorScale" priority="6085">
      <colorScale>
        <cfvo type="min"/>
        <cfvo type="percentile" val="50"/>
        <cfvo type="max"/>
        <color rgb="FF63BE7B"/>
        <color rgb="FFFFEB84"/>
        <color rgb="FFF8696B"/>
      </colorScale>
    </cfRule>
    <cfRule type="colorScale" priority="6094">
      <colorScale>
        <cfvo type="min"/>
        <cfvo type="percentile" val="50"/>
        <cfvo type="max"/>
        <color rgb="FF63BE7B"/>
        <color rgb="FFFFEB84"/>
        <color rgb="FFF8696B"/>
      </colorScale>
    </cfRule>
    <cfRule type="colorScale" priority="6095">
      <colorScale>
        <cfvo type="min"/>
        <cfvo type="percentile" val="50"/>
        <cfvo type="max"/>
        <color rgb="FF63BE7B"/>
        <color rgb="FFFFEB84"/>
        <color rgb="FFF8696B"/>
      </colorScale>
    </cfRule>
    <cfRule type="colorScale" priority="6091">
      <colorScale>
        <cfvo type="min"/>
        <cfvo type="percentile" val="50"/>
        <cfvo type="max"/>
        <color rgb="FF63BE7B"/>
        <color rgb="FFFFEB84"/>
        <color rgb="FFF8696B"/>
      </colorScale>
    </cfRule>
    <cfRule type="colorScale" priority="6084">
      <colorScale>
        <cfvo type="min"/>
        <cfvo type="percentile" val="50"/>
        <cfvo type="max"/>
        <color rgb="FF63BE7B"/>
        <color rgb="FFFFEB84"/>
        <color rgb="FFF8696B"/>
      </colorScale>
    </cfRule>
    <cfRule type="colorScale" priority="6083">
      <colorScale>
        <cfvo type="min"/>
        <cfvo type="percentile" val="50"/>
        <cfvo type="max"/>
        <color rgb="FF63BE7B"/>
        <color rgb="FFFFEB84"/>
        <color rgb="FFF8696B"/>
      </colorScale>
    </cfRule>
    <cfRule type="colorScale" priority="7188">
      <colorScale>
        <cfvo type="min"/>
        <cfvo type="percentile" val="50"/>
        <cfvo type="max"/>
        <color rgb="FF63BE7B"/>
        <color rgb="FFFFEB84"/>
        <color rgb="FFF8696B"/>
      </colorScale>
    </cfRule>
    <cfRule type="colorScale" priority="6096">
      <colorScale>
        <cfvo type="min"/>
        <cfvo type="percentile" val="50"/>
        <cfvo type="max"/>
        <color rgb="FF63BE7B"/>
        <color rgb="FFFFEB84"/>
        <color rgb="FFF8696B"/>
      </colorScale>
    </cfRule>
    <cfRule type="colorScale" priority="6097">
      <colorScale>
        <cfvo type="min"/>
        <cfvo type="percentile" val="50"/>
        <cfvo type="max"/>
        <color rgb="FF63BE7B"/>
        <color rgb="FFFFEB84"/>
        <color rgb="FFF8696B"/>
      </colorScale>
    </cfRule>
    <cfRule type="colorScale" priority="7190">
      <colorScale>
        <cfvo type="min"/>
        <cfvo type="percentile" val="50"/>
        <cfvo type="max"/>
        <color rgb="FF63BE7B"/>
        <color rgb="FFFFEB84"/>
        <color rgb="FFF8696B"/>
      </colorScale>
    </cfRule>
    <cfRule type="colorScale" priority="6098">
      <colorScale>
        <cfvo type="min"/>
        <cfvo type="percentile" val="50"/>
        <cfvo type="max"/>
        <color rgb="FF63BE7B"/>
        <color rgb="FFFFEB84"/>
        <color rgb="FFF8696B"/>
      </colorScale>
    </cfRule>
    <cfRule type="colorScale" priority="6099">
      <colorScale>
        <cfvo type="min"/>
        <cfvo type="percentile" val="50"/>
        <cfvo type="max"/>
        <color rgb="FF63BE7B"/>
        <color rgb="FFFFEB84"/>
        <color rgb="FFF8696B"/>
      </colorScale>
    </cfRule>
    <cfRule type="colorScale" priority="6100">
      <colorScale>
        <cfvo type="min"/>
        <cfvo type="percentile" val="50"/>
        <cfvo type="max"/>
        <color rgb="FF63BE7B"/>
        <color rgb="FFFFEB84"/>
        <color rgb="FFF8696B"/>
      </colorScale>
    </cfRule>
    <cfRule type="colorScale" priority="7189">
      <colorScale>
        <cfvo type="min"/>
        <cfvo type="percentile" val="50"/>
        <cfvo type="max"/>
        <color rgb="FF63BE7B"/>
        <color rgb="FFFFEB84"/>
        <color rgb="FFF8696B"/>
      </colorScale>
    </cfRule>
  </conditionalFormatting>
  <conditionalFormatting sqref="Z54:Z61">
    <cfRule type="colorScale" priority="33">
      <colorScale>
        <cfvo type="min"/>
        <cfvo type="percentile" val="50"/>
        <cfvo type="max"/>
        <color rgb="FF63BE7B"/>
        <color rgb="FFFFEB84"/>
        <color rgb="FFF8696B"/>
      </colorScale>
    </cfRule>
  </conditionalFormatting>
  <conditionalFormatting sqref="Z65:Z80">
    <cfRule type="colorScale" priority="12584">
      <colorScale>
        <cfvo type="min"/>
        <cfvo type="percentile" val="50"/>
        <cfvo type="max"/>
        <color rgb="FF63BE7B"/>
        <color rgb="FFFFEB84"/>
        <color rgb="FFF8696B"/>
      </colorScale>
    </cfRule>
  </conditionalFormatting>
  <conditionalFormatting sqref="Z73:Z80">
    <cfRule type="colorScale" priority="12399">
      <colorScale>
        <cfvo type="min"/>
        <cfvo type="percentile" val="50"/>
        <cfvo type="max"/>
        <color rgb="FF63BE7B"/>
        <color rgb="FFFFEB84"/>
        <color rgb="FFF8696B"/>
      </colorScale>
    </cfRule>
    <cfRule type="colorScale" priority="12398">
      <colorScale>
        <cfvo type="min"/>
        <cfvo type="percentile" val="50"/>
        <cfvo type="max"/>
        <color rgb="FF63BE7B"/>
        <color rgb="FFFFEB84"/>
        <color rgb="FFF8696B"/>
      </colorScale>
    </cfRule>
    <cfRule type="colorScale" priority="12401">
      <colorScale>
        <cfvo type="min"/>
        <cfvo type="percentile" val="50"/>
        <cfvo type="max"/>
        <color rgb="FF63BE7B"/>
        <color rgb="FFFFEB84"/>
        <color rgb="FFF8696B"/>
      </colorScale>
    </cfRule>
    <cfRule type="colorScale" priority="12400">
      <colorScale>
        <cfvo type="min"/>
        <cfvo type="percentile" val="50"/>
        <cfvo type="max"/>
        <color rgb="FF63BE7B"/>
        <color rgb="FFFFEB84"/>
        <color rgb="FFF8696B"/>
      </colorScale>
    </cfRule>
  </conditionalFormatting>
  <conditionalFormatting sqref="Z81:Z83">
    <cfRule type="colorScale" priority="12287">
      <colorScale>
        <cfvo type="min"/>
        <cfvo type="percentile" val="50"/>
        <cfvo type="max"/>
        <color rgb="FF63BE7B"/>
        <color rgb="FFFFEB84"/>
        <color rgb="FFF8696B"/>
      </colorScale>
    </cfRule>
    <cfRule type="colorScale" priority="12286">
      <colorScale>
        <cfvo type="min"/>
        <cfvo type="percentile" val="50"/>
        <cfvo type="max"/>
        <color rgb="FF63BE7B"/>
        <color rgb="FFFFEB84"/>
        <color rgb="FFF8696B"/>
      </colorScale>
    </cfRule>
    <cfRule type="colorScale" priority="12288">
      <colorScale>
        <cfvo type="min"/>
        <cfvo type="percentile" val="50"/>
        <cfvo type="max"/>
        <color rgb="FF63BE7B"/>
        <color rgb="FFFFEB84"/>
        <color rgb="FFF8696B"/>
      </colorScale>
    </cfRule>
    <cfRule type="colorScale" priority="12289">
      <colorScale>
        <cfvo type="min"/>
        <cfvo type="percentile" val="50"/>
        <cfvo type="max"/>
        <color rgb="FF63BE7B"/>
        <color rgb="FFFFEB84"/>
        <color rgb="FFF8696B"/>
      </colorScale>
    </cfRule>
  </conditionalFormatting>
  <conditionalFormatting sqref="Z84:Z91">
    <cfRule type="colorScale" priority="12122">
      <colorScale>
        <cfvo type="min"/>
        <cfvo type="percentile" val="50"/>
        <cfvo type="max"/>
        <color rgb="FF63BE7B"/>
        <color rgb="FFFFEB84"/>
        <color rgb="FFF8696B"/>
      </colorScale>
    </cfRule>
    <cfRule type="colorScale" priority="12121">
      <colorScale>
        <cfvo type="min"/>
        <cfvo type="percentile" val="50"/>
        <cfvo type="max"/>
        <color rgb="FF63BE7B"/>
        <color rgb="FFFFEB84"/>
        <color rgb="FFF8696B"/>
      </colorScale>
    </cfRule>
    <cfRule type="colorScale" priority="12119">
      <colorScale>
        <cfvo type="min"/>
        <cfvo type="percentile" val="50"/>
        <cfvo type="max"/>
        <color rgb="FF63BE7B"/>
        <color rgb="FFFFEB84"/>
        <color rgb="FFF8696B"/>
      </colorScale>
    </cfRule>
  </conditionalFormatting>
  <conditionalFormatting sqref="Z86">
    <cfRule type="colorScale" priority="12120">
      <colorScale>
        <cfvo type="min"/>
        <cfvo type="percentile" val="50"/>
        <cfvo type="max"/>
        <color rgb="FF63BE7B"/>
        <color rgb="FFFFEB84"/>
        <color rgb="FFF8696B"/>
      </colorScale>
    </cfRule>
  </conditionalFormatting>
  <conditionalFormatting sqref="Z96:Z111">
    <cfRule type="colorScale" priority="11978">
      <colorScale>
        <cfvo type="min"/>
        <cfvo type="percentile" val="50"/>
        <cfvo type="max"/>
        <color rgb="FF63BE7B"/>
        <color rgb="FFFFEB84"/>
        <color rgb="FFF8696B"/>
      </colorScale>
    </cfRule>
  </conditionalFormatting>
  <conditionalFormatting sqref="Z104:Z111">
    <cfRule type="colorScale" priority="11792">
      <colorScale>
        <cfvo type="min"/>
        <cfvo type="percentile" val="50"/>
        <cfvo type="max"/>
        <color rgb="FF63BE7B"/>
        <color rgb="FFFFEB84"/>
        <color rgb="FFF8696B"/>
      </colorScale>
    </cfRule>
    <cfRule type="colorScale" priority="11794">
      <colorScale>
        <cfvo type="min"/>
        <cfvo type="percentile" val="50"/>
        <cfvo type="max"/>
        <color rgb="FF63BE7B"/>
        <color rgb="FFFFEB84"/>
        <color rgb="FFF8696B"/>
      </colorScale>
    </cfRule>
    <cfRule type="colorScale" priority="11793">
      <colorScale>
        <cfvo type="min"/>
        <cfvo type="percentile" val="50"/>
        <cfvo type="max"/>
        <color rgb="FF63BE7B"/>
        <color rgb="FFFFEB84"/>
        <color rgb="FFF8696B"/>
      </colorScale>
    </cfRule>
    <cfRule type="colorScale" priority="11795">
      <colorScale>
        <cfvo type="min"/>
        <cfvo type="percentile" val="50"/>
        <cfvo type="max"/>
        <color rgb="FF63BE7B"/>
        <color rgb="FFFFEB84"/>
        <color rgb="FFF8696B"/>
      </colorScale>
    </cfRule>
  </conditionalFormatting>
  <conditionalFormatting sqref="Z112:Z114">
    <cfRule type="colorScale" priority="11685">
      <colorScale>
        <cfvo type="min"/>
        <cfvo type="percentile" val="50"/>
        <cfvo type="max"/>
        <color rgb="FF63BE7B"/>
        <color rgb="FFFFEB84"/>
        <color rgb="FFF8696B"/>
      </colorScale>
    </cfRule>
    <cfRule type="colorScale" priority="11684">
      <colorScale>
        <cfvo type="min"/>
        <cfvo type="percentile" val="50"/>
        <cfvo type="max"/>
        <color rgb="FF63BE7B"/>
        <color rgb="FFFFEB84"/>
        <color rgb="FFF8696B"/>
      </colorScale>
    </cfRule>
    <cfRule type="colorScale" priority="11683">
      <colorScale>
        <cfvo type="min"/>
        <cfvo type="percentile" val="50"/>
        <cfvo type="max"/>
        <color rgb="FF63BE7B"/>
        <color rgb="FFFFEB84"/>
        <color rgb="FFF8696B"/>
      </colorScale>
    </cfRule>
    <cfRule type="colorScale" priority="11686">
      <colorScale>
        <cfvo type="min"/>
        <cfvo type="percentile" val="50"/>
        <cfvo type="max"/>
        <color rgb="FF63BE7B"/>
        <color rgb="FFFFEB84"/>
        <color rgb="FFF8696B"/>
      </colorScale>
    </cfRule>
  </conditionalFormatting>
  <conditionalFormatting sqref="Z115:Z122">
    <cfRule type="colorScale" priority="11518">
      <colorScale>
        <cfvo type="min"/>
        <cfvo type="percentile" val="50"/>
        <cfvo type="max"/>
        <color rgb="FF63BE7B"/>
        <color rgb="FFFFEB84"/>
        <color rgb="FFF8696B"/>
      </colorScale>
    </cfRule>
    <cfRule type="colorScale" priority="11516">
      <colorScale>
        <cfvo type="min"/>
        <cfvo type="percentile" val="50"/>
        <cfvo type="max"/>
        <color rgb="FF63BE7B"/>
        <color rgb="FFFFEB84"/>
        <color rgb="FFF8696B"/>
      </colorScale>
    </cfRule>
    <cfRule type="colorScale" priority="11519">
      <colorScale>
        <cfvo type="min"/>
        <cfvo type="percentile" val="50"/>
        <cfvo type="max"/>
        <color rgb="FF63BE7B"/>
        <color rgb="FFFFEB84"/>
        <color rgb="FFF8696B"/>
      </colorScale>
    </cfRule>
  </conditionalFormatting>
  <conditionalFormatting sqref="Z117">
    <cfRule type="colorScale" priority="11517">
      <colorScale>
        <cfvo type="min"/>
        <cfvo type="percentile" val="50"/>
        <cfvo type="max"/>
        <color rgb="FF63BE7B"/>
        <color rgb="FFFFEB84"/>
        <color rgb="FFF8696B"/>
      </colorScale>
    </cfRule>
  </conditionalFormatting>
  <conditionalFormatting sqref="AA35:AA37">
    <cfRule type="colorScale" priority="11073">
      <colorScale>
        <cfvo type="min"/>
        <cfvo type="percentile" val="50"/>
        <cfvo type="max"/>
        <color rgb="FF63BE7B"/>
        <color rgb="FFFFEB84"/>
        <color rgb="FFF8696B"/>
      </colorScale>
    </cfRule>
  </conditionalFormatting>
  <conditionalFormatting sqref="AA35:AA41">
    <cfRule type="colorScale" priority="13123">
      <colorScale>
        <cfvo type="min"/>
        <cfvo type="percentile" val="50"/>
        <cfvo type="max"/>
        <color rgb="FF63BE7B"/>
        <color rgb="FFFFEB84"/>
        <color rgb="FFF8696B"/>
      </colorScale>
    </cfRule>
    <cfRule type="colorScale" priority="11071">
      <colorScale>
        <cfvo type="min"/>
        <cfvo type="percentile" val="50"/>
        <cfvo type="max"/>
        <color rgb="FF63BE7B"/>
        <color rgb="FFFFEB84"/>
        <color rgb="FFF8696B"/>
      </colorScale>
    </cfRule>
    <cfRule type="colorScale" priority="11072">
      <colorScale>
        <cfvo type="min"/>
        <cfvo type="percentile" val="50"/>
        <cfvo type="max"/>
        <color rgb="FF63BE7B"/>
        <color rgb="FFFFEB84"/>
        <color rgb="FFF8696B"/>
      </colorScale>
    </cfRule>
    <cfRule type="colorScale" priority="11074">
      <colorScale>
        <cfvo type="min"/>
        <cfvo type="percentile" val="50"/>
        <cfvo type="max"/>
        <color rgb="FF63BE7B"/>
        <color rgb="FFFFEB84"/>
        <color rgb="FFF8696B"/>
      </colorScale>
    </cfRule>
    <cfRule type="colorScale" priority="11075">
      <colorScale>
        <cfvo type="min"/>
        <cfvo type="percentile" val="50"/>
        <cfvo type="max"/>
        <color rgb="FF63BE7B"/>
        <color rgb="FFFFEB84"/>
        <color rgb="FFF8696B"/>
      </colorScale>
    </cfRule>
    <cfRule type="colorScale" priority="11076">
      <colorScale>
        <cfvo type="min"/>
        <cfvo type="percentile" val="50"/>
        <cfvo type="max"/>
        <color rgb="FF63BE7B"/>
        <color rgb="FFFFEB84"/>
        <color rgb="FFF8696B"/>
      </colorScale>
    </cfRule>
    <cfRule type="colorScale" priority="11077">
      <colorScale>
        <cfvo type="min"/>
        <cfvo type="percentile" val="50"/>
        <cfvo type="max"/>
        <color rgb="FF63BE7B"/>
        <color rgb="FFFFEB84"/>
        <color rgb="FFF8696B"/>
      </colorScale>
    </cfRule>
    <cfRule type="colorScale" priority="11078">
      <colorScale>
        <cfvo type="min"/>
        <cfvo type="percentile" val="50"/>
        <cfvo type="max"/>
        <color rgb="FF63BE7B"/>
        <color rgb="FFFFEB84"/>
        <color rgb="FFF8696B"/>
      </colorScale>
    </cfRule>
    <cfRule type="colorScale" priority="11079">
      <colorScale>
        <cfvo type="min"/>
        <cfvo type="percentile" val="50"/>
        <cfvo type="max"/>
        <color rgb="FF63BE7B"/>
        <color rgb="FFFFEB84"/>
        <color rgb="FFF8696B"/>
      </colorScale>
    </cfRule>
    <cfRule type="colorScale" priority="11080">
      <colorScale>
        <cfvo type="min"/>
        <cfvo type="percentile" val="50"/>
        <cfvo type="max"/>
        <color rgb="FF63BE7B"/>
        <color rgb="FFFFEB84"/>
        <color rgb="FFF8696B"/>
      </colorScale>
    </cfRule>
    <cfRule type="colorScale" priority="13125">
      <colorScale>
        <cfvo type="min"/>
        <cfvo type="percentile" val="50"/>
        <cfvo type="max"/>
        <color rgb="FF63BE7B"/>
        <color rgb="FFFFEB84"/>
        <color rgb="FFF8696B"/>
      </colorScale>
    </cfRule>
    <cfRule type="colorScale" priority="13124">
      <colorScale>
        <cfvo type="min"/>
        <cfvo type="percentile" val="50"/>
        <cfvo type="max"/>
        <color rgb="FF63BE7B"/>
        <color rgb="FFFFEB84"/>
        <color rgb="FFF8696B"/>
      </colorScale>
    </cfRule>
  </conditionalFormatting>
  <conditionalFormatting sqref="AA35:AA50">
    <cfRule type="colorScale" priority="13200">
      <colorScale>
        <cfvo type="min"/>
        <cfvo type="percentile" val="50"/>
        <cfvo type="max"/>
        <color rgb="FF63BE7B"/>
        <color rgb="FFFFEB84"/>
        <color rgb="FFF8696B"/>
      </colorScale>
    </cfRule>
  </conditionalFormatting>
  <conditionalFormatting sqref="AA36:AA41">
    <cfRule type="colorScale" priority="13126">
      <colorScale>
        <cfvo type="min"/>
        <cfvo type="percentile" val="50"/>
        <cfvo type="max"/>
        <color rgb="FF63BE7B"/>
        <color rgb="FFFFEB84"/>
        <color rgb="FFF8696B"/>
      </colorScale>
    </cfRule>
  </conditionalFormatting>
  <conditionalFormatting sqref="AA42">
    <cfRule type="colorScale" priority="7372">
      <colorScale>
        <cfvo type="min"/>
        <cfvo type="percentile" val="50"/>
        <cfvo type="max"/>
        <color rgb="FF63BE7B"/>
        <color rgb="FFFFEB84"/>
        <color rgb="FFF8696B"/>
      </colorScale>
    </cfRule>
    <cfRule type="colorScale" priority="7373">
      <colorScale>
        <cfvo type="min"/>
        <cfvo type="percentile" val="50"/>
        <cfvo type="max"/>
        <color rgb="FFF8696B"/>
        <color rgb="FFFFEB84"/>
        <color rgb="FF63BE7B"/>
      </colorScale>
    </cfRule>
    <cfRule type="colorScale" priority="7362">
      <colorScale>
        <cfvo type="min"/>
        <cfvo type="percentile" val="50"/>
        <cfvo type="max"/>
        <color rgb="FFF8696B"/>
        <color rgb="FFFFEB84"/>
        <color rgb="FF63BE7B"/>
      </colorScale>
    </cfRule>
    <cfRule type="colorScale" priority="7364">
      <colorScale>
        <cfvo type="min"/>
        <cfvo type="percentile" val="50"/>
        <cfvo type="max"/>
        <color rgb="FF63BE7B"/>
        <color rgb="FFFFEB84"/>
        <color rgb="FFF8696B"/>
      </colorScale>
    </cfRule>
    <cfRule type="colorScale" priority="7378">
      <colorScale>
        <cfvo type="min"/>
        <cfvo type="percentile" val="50"/>
        <cfvo type="max"/>
        <color rgb="FF63BE7B"/>
        <color rgb="FFFFEB84"/>
        <color rgb="FFF8696B"/>
      </colorScale>
    </cfRule>
    <cfRule type="colorScale" priority="7377">
      <colorScale>
        <cfvo type="min"/>
        <cfvo type="percentile" val="50"/>
        <cfvo type="max"/>
        <color rgb="FF63BE7B"/>
        <color rgb="FFFFEB84"/>
        <color rgb="FFF8696B"/>
      </colorScale>
    </cfRule>
    <cfRule type="colorScale" priority="7376">
      <colorScale>
        <cfvo type="min"/>
        <cfvo type="percentile" val="50"/>
        <cfvo type="max"/>
        <color rgb="FFF8696B"/>
        <color rgb="FFFFEB84"/>
        <color rgb="FF63BE7B"/>
      </colorScale>
    </cfRule>
    <cfRule type="colorScale" priority="7365">
      <colorScale>
        <cfvo type="min"/>
        <cfvo type="percentile" val="50"/>
        <cfvo type="max"/>
        <color rgb="FF63BE7B"/>
        <color rgb="FFFFEB84"/>
        <color rgb="FFF8696B"/>
      </colorScale>
    </cfRule>
    <cfRule type="colorScale" priority="7374">
      <colorScale>
        <cfvo type="min"/>
        <cfvo type="percentile" val="50"/>
        <cfvo type="max"/>
        <color rgb="FFF8696B"/>
        <color rgb="FFFFEB84"/>
        <color rgb="FF63BE7B"/>
      </colorScale>
    </cfRule>
    <cfRule type="colorScale" priority="7367">
      <colorScale>
        <cfvo type="min"/>
        <cfvo type="percentile" val="50"/>
        <cfvo type="max"/>
        <color rgb="FF63BE7B"/>
        <color rgb="FFFFEB84"/>
        <color rgb="FFF8696B"/>
      </colorScale>
    </cfRule>
    <cfRule type="colorScale" priority="7368">
      <colorScale>
        <cfvo type="min"/>
        <cfvo type="percentile" val="50"/>
        <cfvo type="max"/>
        <color rgb="FF63BE7B"/>
        <color rgb="FFFFEB84"/>
        <color rgb="FFF8696B"/>
      </colorScale>
    </cfRule>
    <cfRule type="colorScale" priority="7369">
      <colorScale>
        <cfvo type="min"/>
        <cfvo type="percentile" val="50"/>
        <cfvo type="max"/>
        <color rgb="FF63BE7B"/>
        <color rgb="FFFFEB84"/>
        <color rgb="FFF8696B"/>
      </colorScale>
    </cfRule>
    <cfRule type="colorScale" priority="7370">
      <colorScale>
        <cfvo type="min"/>
        <cfvo type="percentile" val="50"/>
        <cfvo type="max"/>
        <color rgb="FF63BE7B"/>
        <color rgb="FFFFEB84"/>
        <color rgb="FFF8696B"/>
      </colorScale>
    </cfRule>
    <cfRule type="colorScale" priority="7371">
      <colorScale>
        <cfvo type="min"/>
        <cfvo type="percentile" val="50"/>
        <cfvo type="max"/>
        <color rgb="FF63BE7B"/>
        <color rgb="FFFFEB84"/>
        <color rgb="FFF8696B"/>
      </colorScale>
    </cfRule>
    <cfRule type="colorScale" priority="7375">
      <colorScale>
        <cfvo type="min"/>
        <cfvo type="percentile" val="50"/>
        <cfvo type="max"/>
        <color rgb="FF63BE7B"/>
        <color rgb="FFFFEB84"/>
        <color rgb="FFF8696B"/>
      </colorScale>
    </cfRule>
    <cfRule type="colorScale" priority="7363">
      <colorScale>
        <cfvo type="min"/>
        <cfvo type="percentile" val="50"/>
        <cfvo type="max"/>
        <color rgb="FFF8696B"/>
        <color rgb="FFFFEB84"/>
        <color rgb="FF63BE7B"/>
      </colorScale>
    </cfRule>
    <cfRule type="colorScale" priority="7379">
      <colorScale>
        <cfvo type="min"/>
        <cfvo type="percentile" val="50"/>
        <cfvo type="max"/>
        <color rgb="FF63BE7B"/>
        <color rgb="FFFFEB84"/>
        <color rgb="FFF8696B"/>
      </colorScale>
    </cfRule>
  </conditionalFormatting>
  <conditionalFormatting sqref="AA42:AA50">
    <cfRule type="colorScale" priority="7361">
      <colorScale>
        <cfvo type="min"/>
        <cfvo type="percentile" val="50"/>
        <cfvo type="max"/>
        <color rgb="FFF8696B"/>
        <color rgb="FFFFEB84"/>
        <color rgb="FF63BE7B"/>
      </colorScale>
    </cfRule>
    <cfRule type="colorScale" priority="13008">
      <colorScale>
        <cfvo type="min"/>
        <cfvo type="percentile" val="50"/>
        <cfvo type="max"/>
        <color rgb="FF63BE7B"/>
        <color rgb="FFFFEB84"/>
        <color rgb="FFF8696B"/>
      </colorScale>
    </cfRule>
    <cfRule type="colorScale" priority="13007">
      <colorScale>
        <cfvo type="min"/>
        <cfvo type="percentile" val="50"/>
        <cfvo type="max"/>
        <color rgb="FF63BE7B"/>
        <color rgb="FFFFEB84"/>
        <color rgb="FFF8696B"/>
      </colorScale>
    </cfRule>
    <cfRule type="colorScale" priority="7366">
      <colorScale>
        <cfvo type="min"/>
        <cfvo type="percentile" val="50"/>
        <cfvo type="max"/>
        <color rgb="FF63BE7B"/>
        <color rgb="FFFFEB84"/>
        <color rgb="FFF8696B"/>
      </colorScale>
    </cfRule>
    <cfRule type="colorScale" priority="13006">
      <colorScale>
        <cfvo type="min"/>
        <cfvo type="percentile" val="50"/>
        <cfvo type="max"/>
        <color rgb="FF63BE7B"/>
        <color rgb="FFFFEB84"/>
        <color rgb="FFF8696B"/>
      </colorScale>
    </cfRule>
    <cfRule type="colorScale" priority="13009">
      <colorScale>
        <cfvo type="min"/>
        <cfvo type="percentile" val="50"/>
        <cfvo type="max"/>
        <color rgb="FF63BE7B"/>
        <color rgb="FFFFEB84"/>
        <color rgb="FFF8696B"/>
      </colorScale>
    </cfRule>
  </conditionalFormatting>
  <conditionalFormatting sqref="AA42:AA51">
    <cfRule type="colorScale" priority="7448">
      <colorScale>
        <cfvo type="min"/>
        <cfvo type="percentile" val="50"/>
        <cfvo type="max"/>
        <color rgb="FF63BE7B"/>
        <color rgb="FFFFEB84"/>
        <color rgb="FFF8696B"/>
      </colorScale>
    </cfRule>
  </conditionalFormatting>
  <conditionalFormatting sqref="AA51:AA53">
    <cfRule type="colorScale" priority="4186">
      <colorScale>
        <cfvo type="min"/>
        <cfvo type="percentile" val="50"/>
        <cfvo type="max"/>
        <color rgb="FF63BE7B"/>
        <color rgb="FFFFEB84"/>
        <color rgb="FFF8696B"/>
      </colorScale>
    </cfRule>
    <cfRule type="colorScale" priority="4159">
      <colorScale>
        <cfvo type="min"/>
        <cfvo type="percentile" val="50"/>
        <cfvo type="max"/>
        <color rgb="FF63BE7B"/>
        <color rgb="FFFFEB84"/>
        <color rgb="FFF8696B"/>
      </colorScale>
    </cfRule>
    <cfRule type="colorScale" priority="12896">
      <colorScale>
        <cfvo type="min"/>
        <cfvo type="percentile" val="50"/>
        <cfvo type="max"/>
        <color rgb="FF63BE7B"/>
        <color rgb="FFFFEB84"/>
        <color rgb="FFF8696B"/>
      </colorScale>
    </cfRule>
    <cfRule type="colorScale" priority="1210">
      <colorScale>
        <cfvo type="min"/>
        <cfvo type="percentile" val="50"/>
        <cfvo type="max"/>
        <color rgb="FFF8696B"/>
        <color rgb="FFFFEB84"/>
        <color rgb="FF63BE7B"/>
      </colorScale>
    </cfRule>
    <cfRule type="colorScale" priority="1238">
      <colorScale>
        <cfvo type="min"/>
        <cfvo type="percentile" val="50"/>
        <cfvo type="max"/>
        <color rgb="FF63BE7B"/>
        <color rgb="FFFFEB84"/>
        <color rgb="FFF8696B"/>
      </colorScale>
    </cfRule>
    <cfRule type="colorScale" priority="1239">
      <colorScale>
        <cfvo type="min"/>
        <cfvo type="percentile" val="50"/>
        <cfvo type="max"/>
        <color rgb="FF63BE7B"/>
        <color rgb="FFFFEB84"/>
        <color rgb="FFF8696B"/>
      </colorScale>
    </cfRule>
    <cfRule type="colorScale" priority="12899">
      <colorScale>
        <cfvo type="min"/>
        <cfvo type="percentile" val="50"/>
        <cfvo type="max"/>
        <color rgb="FF63BE7B"/>
        <color rgb="FFFFEB84"/>
        <color rgb="FFF8696B"/>
      </colorScale>
    </cfRule>
    <cfRule type="colorScale" priority="12898">
      <colorScale>
        <cfvo type="min"/>
        <cfvo type="percentile" val="50"/>
        <cfvo type="max"/>
        <color rgb="FF63BE7B"/>
        <color rgb="FFFFEB84"/>
        <color rgb="FFF8696B"/>
      </colorScale>
    </cfRule>
    <cfRule type="colorScale" priority="12897">
      <colorScale>
        <cfvo type="min"/>
        <cfvo type="percentile" val="50"/>
        <cfvo type="max"/>
        <color rgb="FF63BE7B"/>
        <color rgb="FFFFEB84"/>
        <color rgb="FFF8696B"/>
      </colorScale>
    </cfRule>
    <cfRule type="colorScale" priority="4187">
      <colorScale>
        <cfvo type="min"/>
        <cfvo type="percentile" val="50"/>
        <cfvo type="max"/>
        <color rgb="FF63BE7B"/>
        <color rgb="FFFFEB84"/>
        <color rgb="FFF8696B"/>
      </colorScale>
    </cfRule>
  </conditionalFormatting>
  <conditionalFormatting sqref="AA52:AA53">
    <cfRule type="colorScale" priority="4163">
      <colorScale>
        <cfvo type="min"/>
        <cfvo type="percentile" val="50"/>
        <cfvo type="max"/>
        <color rgb="FF63BE7B"/>
        <color rgb="FFFFEB84"/>
        <color rgb="FFF8696B"/>
      </colorScale>
    </cfRule>
    <cfRule type="colorScale" priority="1429">
      <colorScale>
        <cfvo type="min"/>
        <cfvo type="percentile" val="50"/>
        <cfvo type="max"/>
        <color rgb="FF63BE7B"/>
        <color rgb="FFFFEB84"/>
        <color rgb="FFF8696B"/>
      </colorScale>
    </cfRule>
    <cfRule type="colorScale" priority="1254">
      <colorScale>
        <cfvo type="min"/>
        <cfvo type="percentile" val="50"/>
        <cfvo type="max"/>
        <color rgb="FF63BE7B"/>
        <color rgb="FFFFEB84"/>
        <color rgb="FFF8696B"/>
      </colorScale>
    </cfRule>
    <cfRule type="colorScale" priority="1255">
      <colorScale>
        <cfvo type="min"/>
        <cfvo type="percentile" val="50"/>
        <cfvo type="max"/>
        <color rgb="FF63BE7B"/>
        <color rgb="FFFFEB84"/>
        <color rgb="FFF8696B"/>
      </colorScale>
    </cfRule>
    <cfRule type="colorScale" priority="1256">
      <colorScale>
        <cfvo type="min"/>
        <cfvo type="percentile" val="50"/>
        <cfvo type="max"/>
        <color rgb="FF63BE7B"/>
        <color rgb="FFFFEB84"/>
        <color rgb="FFF8696B"/>
      </colorScale>
    </cfRule>
    <cfRule type="colorScale" priority="1455">
      <colorScale>
        <cfvo type="min"/>
        <cfvo type="percentile" val="50"/>
        <cfvo type="max"/>
        <color rgb="FF63BE7B"/>
        <color rgb="FFFFEB84"/>
        <color rgb="FFF8696B"/>
      </colorScale>
    </cfRule>
    <cfRule type="colorScale" priority="1257">
      <colorScale>
        <cfvo type="min"/>
        <cfvo type="percentile" val="50"/>
        <cfvo type="max"/>
        <color rgb="FF63BE7B"/>
        <color rgb="FFFFEB84"/>
        <color rgb="FFF8696B"/>
      </colorScale>
    </cfRule>
    <cfRule type="colorScale" priority="1258">
      <colorScale>
        <cfvo type="min"/>
        <cfvo type="percentile" val="50"/>
        <cfvo type="max"/>
        <color rgb="FF63BE7B"/>
        <color rgb="FFFFEB84"/>
        <color rgb="FFF8696B"/>
      </colorScale>
    </cfRule>
    <cfRule type="colorScale" priority="1259">
      <colorScale>
        <cfvo type="min"/>
        <cfvo type="percentile" val="50"/>
        <cfvo type="max"/>
        <color rgb="FF63BE7B"/>
        <color rgb="FFFFEB84"/>
        <color rgb="FFF8696B"/>
      </colorScale>
    </cfRule>
    <cfRule type="colorScale" priority="1260">
      <colorScale>
        <cfvo type="min"/>
        <cfvo type="percentile" val="50"/>
        <cfvo type="max"/>
        <color rgb="FF63BE7B"/>
        <color rgb="FFFFEB84"/>
        <color rgb="FFF8696B"/>
      </colorScale>
    </cfRule>
    <cfRule type="colorScale" priority="1261">
      <colorScale>
        <cfvo type="min"/>
        <cfvo type="percentile" val="50"/>
        <cfvo type="max"/>
        <color rgb="FF63BE7B"/>
        <color rgb="FFFFEB84"/>
        <color rgb="FFF8696B"/>
      </colorScale>
    </cfRule>
    <cfRule type="colorScale" priority="1262">
      <colorScale>
        <cfvo type="min"/>
        <cfvo type="percentile" val="50"/>
        <cfvo type="max"/>
        <color rgb="FF63BE7B"/>
        <color rgb="FFFFEB84"/>
        <color rgb="FFF8696B"/>
      </colorScale>
    </cfRule>
    <cfRule type="colorScale" priority="1263">
      <colorScale>
        <cfvo type="min"/>
        <cfvo type="percentile" val="50"/>
        <cfvo type="max"/>
        <color rgb="FF63BE7B"/>
        <color rgb="FFFFEB84"/>
        <color rgb="FFF8696B"/>
      </colorScale>
    </cfRule>
    <cfRule type="colorScale" priority="1264">
      <colorScale>
        <cfvo type="min"/>
        <cfvo type="percentile" val="50"/>
        <cfvo type="max"/>
        <color rgb="FF63BE7B"/>
        <color rgb="FFFFEB84"/>
        <color rgb="FFF8696B"/>
      </colorScale>
    </cfRule>
    <cfRule type="colorScale" priority="1265">
      <colorScale>
        <cfvo type="min"/>
        <cfvo type="percentile" val="50"/>
        <cfvo type="max"/>
        <color rgb="FF63BE7B"/>
        <color rgb="FFFFEB84"/>
        <color rgb="FFF8696B"/>
      </colorScale>
    </cfRule>
    <cfRule type="colorScale" priority="1266">
      <colorScale>
        <cfvo type="min"/>
        <cfvo type="percentile" val="50"/>
        <cfvo type="max"/>
        <color rgb="FF63BE7B"/>
        <color rgb="FFFFEB84"/>
        <color rgb="FFF8696B"/>
      </colorScale>
    </cfRule>
    <cfRule type="colorScale" priority="1267">
      <colorScale>
        <cfvo type="min"/>
        <cfvo type="percentile" val="50"/>
        <cfvo type="max"/>
        <color rgb="FF63BE7B"/>
        <color rgb="FFFFEB84"/>
        <color rgb="FFF8696B"/>
      </colorScale>
    </cfRule>
    <cfRule type="colorScale" priority="1268">
      <colorScale>
        <cfvo type="min"/>
        <cfvo type="percentile" val="50"/>
        <cfvo type="max"/>
        <color rgb="FF63BE7B"/>
        <color rgb="FFFFEB84"/>
        <color rgb="FFF8696B"/>
      </colorScale>
    </cfRule>
    <cfRule type="colorScale" priority="1269">
      <colorScale>
        <cfvo type="min"/>
        <cfvo type="percentile" val="50"/>
        <cfvo type="max"/>
        <color rgb="FF63BE7B"/>
        <color rgb="FFFFEB84"/>
        <color rgb="FFF8696B"/>
      </colorScale>
    </cfRule>
    <cfRule type="colorScale" priority="1270">
      <colorScale>
        <cfvo type="min"/>
        <cfvo type="percentile" val="50"/>
        <cfvo type="max"/>
        <color rgb="FF63BE7B"/>
        <color rgb="FFFFEB84"/>
        <color rgb="FFF8696B"/>
      </colorScale>
    </cfRule>
    <cfRule type="colorScale" priority="1271">
      <colorScale>
        <cfvo type="min"/>
        <cfvo type="percentile" val="50"/>
        <cfvo type="max"/>
        <color rgb="FF63BE7B"/>
        <color rgb="FFFFEB84"/>
        <color rgb="FFF8696B"/>
      </colorScale>
    </cfRule>
    <cfRule type="colorScale" priority="1272">
      <colorScale>
        <cfvo type="min"/>
        <cfvo type="percentile" val="50"/>
        <cfvo type="max"/>
        <color rgb="FF63BE7B"/>
        <color rgb="FFFFEB84"/>
        <color rgb="FFF8696B"/>
      </colorScale>
    </cfRule>
    <cfRule type="colorScale" priority="1273">
      <colorScale>
        <cfvo type="min"/>
        <cfvo type="percentile" val="50"/>
        <cfvo type="max"/>
        <color rgb="FF63BE7B"/>
        <color rgb="FFFFEB84"/>
        <color rgb="FFF8696B"/>
      </colorScale>
    </cfRule>
    <cfRule type="colorScale" priority="1428">
      <colorScale>
        <cfvo type="min"/>
        <cfvo type="percentile" val="50"/>
        <cfvo type="max"/>
        <color rgb="FF63BE7B"/>
        <color rgb="FFFFEB84"/>
        <color rgb="FFF8696B"/>
      </colorScale>
    </cfRule>
    <cfRule type="colorScale" priority="4185">
      <colorScale>
        <cfvo type="min"/>
        <cfvo type="percentile" val="50"/>
        <cfvo type="max"/>
        <color rgb="FF63BE7B"/>
        <color rgb="FFFFEB84"/>
        <color rgb="FFF8696B"/>
      </colorScale>
    </cfRule>
    <cfRule type="colorScale" priority="4184">
      <colorScale>
        <cfvo type="min"/>
        <cfvo type="percentile" val="50"/>
        <cfvo type="max"/>
        <color rgb="FF63BE7B"/>
        <color rgb="FFFFEB84"/>
        <color rgb="FFF8696B"/>
      </colorScale>
    </cfRule>
    <cfRule type="colorScale" priority="4183">
      <colorScale>
        <cfvo type="min"/>
        <cfvo type="percentile" val="50"/>
        <cfvo type="max"/>
        <color rgb="FF63BE7B"/>
        <color rgb="FFFFEB84"/>
        <color rgb="FFF8696B"/>
      </colorScale>
    </cfRule>
    <cfRule type="colorScale" priority="4182">
      <colorScale>
        <cfvo type="min"/>
        <cfvo type="percentile" val="50"/>
        <cfvo type="max"/>
        <color rgb="FF63BE7B"/>
        <color rgb="FFFFEB84"/>
        <color rgb="FFF8696B"/>
      </colorScale>
    </cfRule>
    <cfRule type="colorScale" priority="4181">
      <colorScale>
        <cfvo type="min"/>
        <cfvo type="percentile" val="50"/>
        <cfvo type="max"/>
        <color rgb="FF63BE7B"/>
        <color rgb="FFFFEB84"/>
        <color rgb="FFF8696B"/>
      </colorScale>
    </cfRule>
    <cfRule type="colorScale" priority="4180">
      <colorScale>
        <cfvo type="min"/>
        <cfvo type="percentile" val="50"/>
        <cfvo type="max"/>
        <color rgb="FF63BE7B"/>
        <color rgb="FFFFEB84"/>
        <color rgb="FFF8696B"/>
      </colorScale>
    </cfRule>
    <cfRule type="colorScale" priority="4179">
      <colorScale>
        <cfvo type="min"/>
        <cfvo type="percentile" val="50"/>
        <cfvo type="max"/>
        <color rgb="FF63BE7B"/>
        <color rgb="FFFFEB84"/>
        <color rgb="FFF8696B"/>
      </colorScale>
    </cfRule>
    <cfRule type="colorScale" priority="4178">
      <colorScale>
        <cfvo type="min"/>
        <cfvo type="percentile" val="50"/>
        <cfvo type="max"/>
        <color rgb="FF63BE7B"/>
        <color rgb="FFFFEB84"/>
        <color rgb="FFF8696B"/>
      </colorScale>
    </cfRule>
    <cfRule type="colorScale" priority="4177">
      <colorScale>
        <cfvo type="min"/>
        <cfvo type="percentile" val="50"/>
        <cfvo type="max"/>
        <color rgb="FF63BE7B"/>
        <color rgb="FFFFEB84"/>
        <color rgb="FFF8696B"/>
      </colorScale>
    </cfRule>
    <cfRule type="colorScale" priority="4176">
      <colorScale>
        <cfvo type="min"/>
        <cfvo type="percentile" val="50"/>
        <cfvo type="max"/>
        <color rgb="FF63BE7B"/>
        <color rgb="FFFFEB84"/>
        <color rgb="FFF8696B"/>
      </colorScale>
    </cfRule>
    <cfRule type="colorScale" priority="4175">
      <colorScale>
        <cfvo type="min"/>
        <cfvo type="percentile" val="50"/>
        <cfvo type="max"/>
        <color rgb="FF63BE7B"/>
        <color rgb="FFFFEB84"/>
        <color rgb="FFF8696B"/>
      </colorScale>
    </cfRule>
    <cfRule type="colorScale" priority="4174">
      <colorScale>
        <cfvo type="min"/>
        <cfvo type="percentile" val="50"/>
        <cfvo type="max"/>
        <color rgb="FF63BE7B"/>
        <color rgb="FFFFEB84"/>
        <color rgb="FFF8696B"/>
      </colorScale>
    </cfRule>
    <cfRule type="colorScale" priority="4173">
      <colorScale>
        <cfvo type="min"/>
        <cfvo type="percentile" val="50"/>
        <cfvo type="max"/>
        <color rgb="FF63BE7B"/>
        <color rgb="FFFFEB84"/>
        <color rgb="FFF8696B"/>
      </colorScale>
    </cfRule>
    <cfRule type="colorScale" priority="4172">
      <colorScale>
        <cfvo type="min"/>
        <cfvo type="percentile" val="50"/>
        <cfvo type="max"/>
        <color rgb="FF63BE7B"/>
        <color rgb="FFFFEB84"/>
        <color rgb="FFF8696B"/>
      </colorScale>
    </cfRule>
    <cfRule type="colorScale" priority="4171">
      <colorScale>
        <cfvo type="min"/>
        <cfvo type="percentile" val="50"/>
        <cfvo type="max"/>
        <color rgb="FF63BE7B"/>
        <color rgb="FFFFEB84"/>
        <color rgb="FFF8696B"/>
      </colorScale>
    </cfRule>
    <cfRule type="colorScale" priority="4170">
      <colorScale>
        <cfvo type="min"/>
        <cfvo type="percentile" val="50"/>
        <cfvo type="max"/>
        <color rgb="FF63BE7B"/>
        <color rgb="FFFFEB84"/>
        <color rgb="FFF8696B"/>
      </colorScale>
    </cfRule>
    <cfRule type="colorScale" priority="4169">
      <colorScale>
        <cfvo type="min"/>
        <cfvo type="percentile" val="50"/>
        <cfvo type="max"/>
        <color rgb="FF63BE7B"/>
        <color rgb="FFFFEB84"/>
        <color rgb="FFF8696B"/>
      </colorScale>
    </cfRule>
    <cfRule type="colorScale" priority="4168">
      <colorScale>
        <cfvo type="min"/>
        <cfvo type="percentile" val="50"/>
        <cfvo type="max"/>
        <color rgb="FF63BE7B"/>
        <color rgb="FFFFEB84"/>
        <color rgb="FFF8696B"/>
      </colorScale>
    </cfRule>
    <cfRule type="colorScale" priority="4167">
      <colorScale>
        <cfvo type="min"/>
        <cfvo type="percentile" val="50"/>
        <cfvo type="max"/>
        <color rgb="FF63BE7B"/>
        <color rgb="FFFFEB84"/>
        <color rgb="FFF8696B"/>
      </colorScale>
    </cfRule>
    <cfRule type="colorScale" priority="4166">
      <colorScale>
        <cfvo type="min"/>
        <cfvo type="percentile" val="50"/>
        <cfvo type="max"/>
        <color rgb="FF63BE7B"/>
        <color rgb="FFFFEB84"/>
        <color rgb="FFF8696B"/>
      </colorScale>
    </cfRule>
    <cfRule type="colorScale" priority="4165">
      <colorScale>
        <cfvo type="min"/>
        <cfvo type="percentile" val="50"/>
        <cfvo type="max"/>
        <color rgb="FF63BE7B"/>
        <color rgb="FFFFEB84"/>
        <color rgb="FFF8696B"/>
      </colorScale>
    </cfRule>
    <cfRule type="colorScale" priority="4164">
      <colorScale>
        <cfvo type="min"/>
        <cfvo type="percentile" val="50"/>
        <cfvo type="max"/>
        <color rgb="FF63BE7B"/>
        <color rgb="FFFFEB84"/>
        <color rgb="FFF8696B"/>
      </colorScale>
    </cfRule>
    <cfRule type="colorScale" priority="1291">
      <colorScale>
        <cfvo type="min"/>
        <cfvo type="percentile" val="50"/>
        <cfvo type="max"/>
        <color rgb="FF63BE7B"/>
        <color rgb="FFFFEB84"/>
        <color rgb="FFF8696B"/>
      </colorScale>
    </cfRule>
    <cfRule type="colorScale" priority="4162">
      <colorScale>
        <cfvo type="min"/>
        <cfvo type="percentile" val="50"/>
        <cfvo type="max"/>
        <color rgb="FF63BE7B"/>
        <color rgb="FFFFEB84"/>
        <color rgb="FFF8696B"/>
      </colorScale>
    </cfRule>
    <cfRule type="colorScale" priority="1275">
      <colorScale>
        <cfvo type="min"/>
        <cfvo type="percentile" val="50"/>
        <cfvo type="max"/>
        <color rgb="FF63BE7B"/>
        <color rgb="FFFFEB84"/>
        <color rgb="FFF8696B"/>
      </colorScale>
    </cfRule>
    <cfRule type="colorScale" priority="1276">
      <colorScale>
        <cfvo type="min"/>
        <cfvo type="percentile" val="50"/>
        <cfvo type="max"/>
        <color rgb="FF63BE7B"/>
        <color rgb="FFFFEB84"/>
        <color rgb="FFF8696B"/>
      </colorScale>
    </cfRule>
    <cfRule type="colorScale" priority="4161">
      <colorScale>
        <cfvo type="min"/>
        <cfvo type="percentile" val="50"/>
        <cfvo type="max"/>
        <color rgb="FF63BE7B"/>
        <color rgb="FFFFEB84"/>
        <color rgb="FFF8696B"/>
      </colorScale>
    </cfRule>
    <cfRule type="colorScale" priority="4160">
      <colorScale>
        <cfvo type="min"/>
        <cfvo type="percentile" val="50"/>
        <cfvo type="max"/>
        <color rgb="FF63BE7B"/>
        <color rgb="FFFFEB84"/>
        <color rgb="FFF8696B"/>
      </colorScale>
    </cfRule>
    <cfRule type="colorScale" priority="1277">
      <colorScale>
        <cfvo type="min"/>
        <cfvo type="percentile" val="50"/>
        <cfvo type="max"/>
        <color rgb="FF63BE7B"/>
        <color rgb="FFFFEB84"/>
        <color rgb="FFF8696B"/>
      </colorScale>
    </cfRule>
    <cfRule type="colorScale" priority="1278">
      <colorScale>
        <cfvo type="min"/>
        <cfvo type="percentile" val="50"/>
        <cfvo type="max"/>
        <color rgb="FF63BE7B"/>
        <color rgb="FFFFEB84"/>
        <color rgb="FFF8696B"/>
      </colorScale>
    </cfRule>
    <cfRule type="colorScale" priority="1279">
      <colorScale>
        <cfvo type="min"/>
        <cfvo type="percentile" val="50"/>
        <cfvo type="max"/>
        <color rgb="FFF8696B"/>
        <color rgb="FFFFEB84"/>
        <color rgb="FF63BE7B"/>
      </colorScale>
    </cfRule>
    <cfRule type="colorScale" priority="1280">
      <colorScale>
        <cfvo type="min"/>
        <cfvo type="percentile" val="50"/>
        <cfvo type="max"/>
        <color rgb="FF63BE7B"/>
        <color rgb="FFFFEB84"/>
        <color rgb="FFF8696B"/>
      </colorScale>
    </cfRule>
    <cfRule type="colorScale" priority="1281">
      <colorScale>
        <cfvo type="min"/>
        <cfvo type="percentile" val="50"/>
        <cfvo type="max"/>
        <color rgb="FF63BE7B"/>
        <color rgb="FFFFEB84"/>
        <color rgb="FFF8696B"/>
      </colorScale>
    </cfRule>
    <cfRule type="colorScale" priority="1282">
      <colorScale>
        <cfvo type="min"/>
        <cfvo type="percentile" val="50"/>
        <cfvo type="max"/>
        <color rgb="FF63BE7B"/>
        <color rgb="FFFFEB84"/>
        <color rgb="FFF8696B"/>
      </colorScale>
    </cfRule>
    <cfRule type="colorScale" priority="1283">
      <colorScale>
        <cfvo type="min"/>
        <cfvo type="percentile" val="50"/>
        <cfvo type="max"/>
        <color rgb="FF63BE7B"/>
        <color rgb="FFFFEB84"/>
        <color rgb="FFF8696B"/>
      </colorScale>
    </cfRule>
    <cfRule type="colorScale" priority="1284">
      <colorScale>
        <cfvo type="min"/>
        <cfvo type="percentile" val="50"/>
        <cfvo type="max"/>
        <color rgb="FF63BE7B"/>
        <color rgb="FFFFEB84"/>
        <color rgb="FFF8696B"/>
      </colorScale>
    </cfRule>
    <cfRule type="colorScale" priority="1285">
      <colorScale>
        <cfvo type="min"/>
        <cfvo type="percentile" val="50"/>
        <cfvo type="max"/>
        <color rgb="FF63BE7B"/>
        <color rgb="FFFFEB84"/>
        <color rgb="FFF8696B"/>
      </colorScale>
    </cfRule>
    <cfRule type="colorScale" priority="1286">
      <colorScale>
        <cfvo type="min"/>
        <cfvo type="percentile" val="50"/>
        <cfvo type="max"/>
        <color rgb="FF63BE7B"/>
        <color rgb="FFFFEB84"/>
        <color rgb="FFF8696B"/>
      </colorScale>
    </cfRule>
    <cfRule type="colorScale" priority="1287">
      <colorScale>
        <cfvo type="min"/>
        <cfvo type="percentile" val="50"/>
        <cfvo type="max"/>
        <color rgb="FF63BE7B"/>
        <color rgb="FFFFEB84"/>
        <color rgb="FFF8696B"/>
      </colorScale>
    </cfRule>
    <cfRule type="colorScale" priority="1288">
      <colorScale>
        <cfvo type="min"/>
        <cfvo type="percentile" val="50"/>
        <cfvo type="max"/>
        <color rgb="FF63BE7B"/>
        <color rgb="FFFFEB84"/>
        <color rgb="FFF8696B"/>
      </colorScale>
    </cfRule>
    <cfRule type="colorScale" priority="1289">
      <colorScale>
        <cfvo type="min"/>
        <cfvo type="percentile" val="50"/>
        <cfvo type="max"/>
        <color rgb="FF63BE7B"/>
        <color rgb="FFFFEB84"/>
        <color rgb="FFF8696B"/>
      </colorScale>
    </cfRule>
    <cfRule type="colorScale" priority="1290">
      <colorScale>
        <cfvo type="min"/>
        <cfvo type="percentile" val="50"/>
        <cfvo type="max"/>
        <color rgb="FF63BE7B"/>
        <color rgb="FFFFEB84"/>
        <color rgb="FFF8696B"/>
      </colorScale>
    </cfRule>
    <cfRule type="colorScale" priority="1423">
      <colorScale>
        <cfvo type="min"/>
        <cfvo type="percentile" val="50"/>
        <cfvo type="max"/>
        <color rgb="FF63BE7B"/>
        <color rgb="FFFFEB84"/>
        <color rgb="FFF8696B"/>
      </colorScale>
    </cfRule>
    <cfRule type="colorScale" priority="1425">
      <colorScale>
        <cfvo type="min"/>
        <cfvo type="percentile" val="50"/>
        <cfvo type="max"/>
        <color rgb="FF63BE7B"/>
        <color rgb="FFFFEB84"/>
        <color rgb="FFF8696B"/>
      </colorScale>
    </cfRule>
    <cfRule type="colorScale" priority="1424">
      <colorScale>
        <cfvo type="min"/>
        <cfvo type="percentile" val="50"/>
        <cfvo type="max"/>
        <color rgb="FF63BE7B"/>
        <color rgb="FFFFEB84"/>
        <color rgb="FFF8696B"/>
      </colorScale>
    </cfRule>
    <cfRule type="colorScale" priority="7253">
      <colorScale>
        <cfvo type="min"/>
        <cfvo type="percentile" val="50"/>
        <cfvo type="max"/>
        <color rgb="FF63BE7B"/>
        <color rgb="FFFFEB84"/>
        <color rgb="FFF8696B"/>
      </colorScale>
    </cfRule>
    <cfRule type="colorScale" priority="1222">
      <colorScale>
        <cfvo type="min"/>
        <cfvo type="percentile" val="50"/>
        <cfvo type="max"/>
        <color rgb="FF63BE7B"/>
        <color rgb="FFFFEB84"/>
        <color rgb="FFF8696B"/>
      </colorScale>
    </cfRule>
    <cfRule type="colorScale" priority="1221">
      <colorScale>
        <cfvo type="min"/>
        <cfvo type="percentile" val="50"/>
        <cfvo type="max"/>
        <color rgb="FF63BE7B"/>
        <color rgb="FFFFEB84"/>
        <color rgb="FFF8696B"/>
      </colorScale>
    </cfRule>
    <cfRule type="colorScale" priority="1220">
      <colorScale>
        <cfvo type="min"/>
        <cfvo type="percentile" val="50"/>
        <cfvo type="max"/>
        <color rgb="FF63BE7B"/>
        <color rgb="FFFFEB84"/>
        <color rgb="FFF8696B"/>
      </colorScale>
    </cfRule>
    <cfRule type="colorScale" priority="1219">
      <colorScale>
        <cfvo type="min"/>
        <cfvo type="percentile" val="50"/>
        <cfvo type="max"/>
        <color rgb="FF63BE7B"/>
        <color rgb="FFFFEB84"/>
        <color rgb="FFF8696B"/>
      </colorScale>
    </cfRule>
    <cfRule type="colorScale" priority="1218">
      <colorScale>
        <cfvo type="min"/>
        <cfvo type="percentile" val="50"/>
        <cfvo type="max"/>
        <color rgb="FF63BE7B"/>
        <color rgb="FFFFEB84"/>
        <color rgb="FFF8696B"/>
      </colorScale>
    </cfRule>
    <cfRule type="colorScale" priority="1292">
      <colorScale>
        <cfvo type="min"/>
        <cfvo type="percentile" val="50"/>
        <cfvo type="max"/>
        <color rgb="FF63BE7B"/>
        <color rgb="FFFFEB84"/>
        <color rgb="FFF8696B"/>
      </colorScale>
    </cfRule>
    <cfRule type="colorScale" priority="1293">
      <colorScale>
        <cfvo type="min"/>
        <cfvo type="percentile" val="50"/>
        <cfvo type="max"/>
        <color rgb="FF63BE7B"/>
        <color rgb="FFFFEB84"/>
        <color rgb="FFF8696B"/>
      </colorScale>
    </cfRule>
    <cfRule type="colorScale" priority="1294">
      <colorScale>
        <cfvo type="min"/>
        <cfvo type="percentile" val="50"/>
        <cfvo type="max"/>
        <color rgb="FF63BE7B"/>
        <color rgb="FFFFEB84"/>
        <color rgb="FFF8696B"/>
      </colorScale>
    </cfRule>
    <cfRule type="colorScale" priority="1217">
      <colorScale>
        <cfvo type="min"/>
        <cfvo type="percentile" val="50"/>
        <cfvo type="max"/>
        <color rgb="FF63BE7B"/>
        <color rgb="FFFFEB84"/>
        <color rgb="FFF8696B"/>
      </colorScale>
    </cfRule>
    <cfRule type="colorScale" priority="1216">
      <colorScale>
        <cfvo type="min"/>
        <cfvo type="percentile" val="50"/>
        <cfvo type="max"/>
        <color rgb="FF63BE7B"/>
        <color rgb="FFFFEB84"/>
        <color rgb="FFF8696B"/>
      </colorScale>
    </cfRule>
    <cfRule type="colorScale" priority="1215">
      <colorScale>
        <cfvo type="min"/>
        <cfvo type="percentile" val="50"/>
        <cfvo type="max"/>
        <color rgb="FF63BE7B"/>
        <color rgb="FFFFEB84"/>
        <color rgb="FFF8696B"/>
      </colorScale>
    </cfRule>
    <cfRule type="colorScale" priority="1214">
      <colorScale>
        <cfvo type="min"/>
        <cfvo type="percentile" val="50"/>
        <cfvo type="max"/>
        <color rgb="FF63BE7B"/>
        <color rgb="FFFFEB84"/>
        <color rgb="FFF8696B"/>
      </colorScale>
    </cfRule>
    <cfRule type="colorScale" priority="1213">
      <colorScale>
        <cfvo type="min"/>
        <cfvo type="percentile" val="50"/>
        <cfvo type="max"/>
        <color rgb="FF63BE7B"/>
        <color rgb="FFFFEB84"/>
        <color rgb="FFF8696B"/>
      </colorScale>
    </cfRule>
    <cfRule type="colorScale" priority="1212">
      <colorScale>
        <cfvo type="min"/>
        <cfvo type="percentile" val="50"/>
        <cfvo type="max"/>
        <color rgb="FF63BE7B"/>
        <color rgb="FFFFEB84"/>
        <color rgb="FFF8696B"/>
      </colorScale>
    </cfRule>
    <cfRule type="colorScale" priority="1211">
      <colorScale>
        <cfvo type="min"/>
        <cfvo type="percentile" val="50"/>
        <cfvo type="max"/>
        <color rgb="FF63BE7B"/>
        <color rgb="FFFFEB84"/>
        <color rgb="FFF8696B"/>
      </colorScale>
    </cfRule>
    <cfRule type="colorScale" priority="1456">
      <colorScale>
        <cfvo type="min"/>
        <cfvo type="percentile" val="50"/>
        <cfvo type="max"/>
        <color rgb="FF63BE7B"/>
        <color rgb="FFFFEB84"/>
        <color rgb="FFF8696B"/>
      </colorScale>
    </cfRule>
    <cfRule type="colorScale" priority="1457">
      <colorScale>
        <cfvo type="min"/>
        <cfvo type="percentile" val="50"/>
        <cfvo type="max"/>
        <color rgb="FF63BE7B"/>
        <color rgb="FFFFEB84"/>
        <color rgb="FFF8696B"/>
      </colorScale>
    </cfRule>
    <cfRule type="colorScale" priority="1458">
      <colorScale>
        <cfvo type="min"/>
        <cfvo type="percentile" val="50"/>
        <cfvo type="max"/>
        <color rgb="FF63BE7B"/>
        <color rgb="FFFFEB84"/>
        <color rgb="FFF8696B"/>
      </colorScale>
    </cfRule>
    <cfRule type="colorScale" priority="1459">
      <colorScale>
        <cfvo type="min"/>
        <cfvo type="percentile" val="50"/>
        <cfvo type="max"/>
        <color rgb="FF63BE7B"/>
        <color rgb="FFFFEB84"/>
        <color rgb="FFF8696B"/>
      </colorScale>
    </cfRule>
    <cfRule type="colorScale" priority="1460">
      <colorScale>
        <cfvo type="min"/>
        <cfvo type="percentile" val="50"/>
        <cfvo type="max"/>
        <color rgb="FF63BE7B"/>
        <color rgb="FFFFEB84"/>
        <color rgb="FFF8696B"/>
      </colorScale>
    </cfRule>
    <cfRule type="colorScale" priority="1461">
      <colorScale>
        <cfvo type="min"/>
        <cfvo type="percentile" val="50"/>
        <cfvo type="max"/>
        <color rgb="FF63BE7B"/>
        <color rgb="FFFFEB84"/>
        <color rgb="FFF8696B"/>
      </colorScale>
    </cfRule>
    <cfRule type="colorScale" priority="1462">
      <colorScale>
        <cfvo type="min"/>
        <cfvo type="percentile" val="50"/>
        <cfvo type="max"/>
        <color rgb="FF63BE7B"/>
        <color rgb="FFFFEB84"/>
        <color rgb="FFF8696B"/>
      </colorScale>
    </cfRule>
    <cfRule type="colorScale" priority="1463">
      <colorScale>
        <cfvo type="min"/>
        <cfvo type="percentile" val="50"/>
        <cfvo type="max"/>
        <color rgb="FF63BE7B"/>
        <color rgb="FFFFEB84"/>
        <color rgb="FFF8696B"/>
      </colorScale>
    </cfRule>
    <cfRule type="colorScale" priority="1295">
      <colorScale>
        <cfvo type="min"/>
        <cfvo type="percentile" val="50"/>
        <cfvo type="max"/>
        <color rgb="FF63BE7B"/>
        <color rgb="FFFFEB84"/>
        <color rgb="FFF8696B"/>
      </colorScale>
    </cfRule>
    <cfRule type="colorScale" priority="1296">
      <colorScale>
        <cfvo type="min"/>
        <cfvo type="percentile" val="50"/>
        <cfvo type="max"/>
        <color rgb="FF63BE7B"/>
        <color rgb="FFFFEB84"/>
        <color rgb="FFF8696B"/>
      </colorScale>
    </cfRule>
    <cfRule type="colorScale" priority="1297">
      <colorScale>
        <cfvo type="min"/>
        <cfvo type="percentile" val="50"/>
        <cfvo type="max"/>
        <color rgb="FF63BE7B"/>
        <color rgb="FFFFEB84"/>
        <color rgb="FFF8696B"/>
      </colorScale>
    </cfRule>
    <cfRule type="colorScale" priority="1274">
      <colorScale>
        <cfvo type="min"/>
        <cfvo type="percentile" val="50"/>
        <cfvo type="max"/>
        <color rgb="FF63BE7B"/>
        <color rgb="FFFFEB84"/>
        <color rgb="FFF8696B"/>
      </colorScale>
    </cfRule>
    <cfRule type="colorScale" priority="1417">
      <colorScale>
        <cfvo type="min"/>
        <cfvo type="percentile" val="50"/>
        <cfvo type="max"/>
        <color rgb="FF63BE7B"/>
        <color rgb="FFFFEB84"/>
        <color rgb="FFF8696B"/>
      </colorScale>
    </cfRule>
    <cfRule type="colorScale" priority="1416">
      <colorScale>
        <cfvo type="min"/>
        <cfvo type="percentile" val="50"/>
        <cfvo type="max"/>
        <color rgb="FF63BE7B"/>
        <color rgb="FFFFEB84"/>
        <color rgb="FFF8696B"/>
      </colorScale>
    </cfRule>
    <cfRule type="colorScale" priority="1415">
      <colorScale>
        <cfvo type="min"/>
        <cfvo type="percentile" val="50"/>
        <cfvo type="max"/>
        <color rgb="FF63BE7B"/>
        <color rgb="FFFFEB84"/>
        <color rgb="FFF8696B"/>
      </colorScale>
    </cfRule>
    <cfRule type="colorScale" priority="1414">
      <colorScale>
        <cfvo type="min"/>
        <cfvo type="percentile" val="50"/>
        <cfvo type="max"/>
        <color rgb="FF63BE7B"/>
        <color rgb="FFFFEB84"/>
        <color rgb="FFF8696B"/>
      </colorScale>
    </cfRule>
    <cfRule type="colorScale" priority="1413">
      <colorScale>
        <cfvo type="min"/>
        <cfvo type="percentile" val="50"/>
        <cfvo type="max"/>
        <color rgb="FF63BE7B"/>
        <color rgb="FFFFEB84"/>
        <color rgb="FFF8696B"/>
      </colorScale>
    </cfRule>
    <cfRule type="colorScale" priority="1412">
      <colorScale>
        <cfvo type="min"/>
        <cfvo type="percentile" val="50"/>
        <cfvo type="max"/>
        <color rgb="FF63BE7B"/>
        <color rgb="FFFFEB84"/>
        <color rgb="FFF8696B"/>
      </colorScale>
    </cfRule>
    <cfRule type="colorScale" priority="1411">
      <colorScale>
        <cfvo type="min"/>
        <cfvo type="percentile" val="50"/>
        <cfvo type="max"/>
        <color rgb="FF63BE7B"/>
        <color rgb="FFFFEB84"/>
        <color rgb="FFF8696B"/>
      </colorScale>
    </cfRule>
    <cfRule type="colorScale" priority="1410">
      <colorScale>
        <cfvo type="min"/>
        <cfvo type="percentile" val="50"/>
        <cfvo type="max"/>
        <color rgb="FF63BE7B"/>
        <color rgb="FFFFEB84"/>
        <color rgb="FFF8696B"/>
      </colorScale>
    </cfRule>
    <cfRule type="colorScale" priority="1409">
      <colorScale>
        <cfvo type="min"/>
        <cfvo type="percentile" val="50"/>
        <cfvo type="max"/>
        <color rgb="FF63BE7B"/>
        <color rgb="FFFFEB84"/>
        <color rgb="FFF8696B"/>
      </colorScale>
    </cfRule>
    <cfRule type="colorScale" priority="1408">
      <colorScale>
        <cfvo type="min"/>
        <cfvo type="percentile" val="50"/>
        <cfvo type="max"/>
        <color rgb="FFF8696B"/>
        <color rgb="FFFFEB84"/>
        <color rgb="FF63BE7B"/>
      </colorScale>
    </cfRule>
    <cfRule type="colorScale" priority="1407">
      <colorScale>
        <cfvo type="min"/>
        <cfvo type="percentile" val="50"/>
        <cfvo type="max"/>
        <color rgb="FF63BE7B"/>
        <color rgb="FFFFEB84"/>
        <color rgb="FFF8696B"/>
      </colorScale>
    </cfRule>
    <cfRule type="colorScale" priority="1406">
      <colorScale>
        <cfvo type="min"/>
        <cfvo type="percentile" val="50"/>
        <cfvo type="max"/>
        <color rgb="FF63BE7B"/>
        <color rgb="FFFFEB84"/>
        <color rgb="FFF8696B"/>
      </colorScale>
    </cfRule>
    <cfRule type="colorScale" priority="1405">
      <colorScale>
        <cfvo type="min"/>
        <cfvo type="percentile" val="50"/>
        <cfvo type="max"/>
        <color rgb="FF63BE7B"/>
        <color rgb="FFFFEB84"/>
        <color rgb="FFF8696B"/>
      </colorScale>
    </cfRule>
    <cfRule type="colorScale" priority="1404">
      <colorScale>
        <cfvo type="min"/>
        <cfvo type="percentile" val="50"/>
        <cfvo type="max"/>
        <color rgb="FF63BE7B"/>
        <color rgb="FFFFEB84"/>
        <color rgb="FFF8696B"/>
      </colorScale>
    </cfRule>
    <cfRule type="colorScale" priority="1403">
      <colorScale>
        <cfvo type="min"/>
        <cfvo type="percentile" val="50"/>
        <cfvo type="max"/>
        <color rgb="FF63BE7B"/>
        <color rgb="FFFFEB84"/>
        <color rgb="FFF8696B"/>
      </colorScale>
    </cfRule>
    <cfRule type="colorScale" priority="1298">
      <colorScale>
        <cfvo type="min"/>
        <cfvo type="percentile" val="50"/>
        <cfvo type="max"/>
        <color rgb="FF63BE7B"/>
        <color rgb="FFFFEB84"/>
        <color rgb="FFF8696B"/>
      </colorScale>
    </cfRule>
    <cfRule type="colorScale" priority="1299">
      <colorScale>
        <cfvo type="min"/>
        <cfvo type="percentile" val="50"/>
        <cfvo type="max"/>
        <color rgb="FF63BE7B"/>
        <color rgb="FFFFEB84"/>
        <color rgb="FFF8696B"/>
      </colorScale>
    </cfRule>
    <cfRule type="colorScale" priority="1363">
      <colorScale>
        <cfvo type="min"/>
        <cfvo type="percentile" val="50"/>
        <cfvo type="max"/>
        <color rgb="FF63BE7B"/>
        <color rgb="FFFFEB84"/>
        <color rgb="FFF8696B"/>
      </colorScale>
    </cfRule>
    <cfRule type="colorScale" priority="7187">
      <colorScale>
        <cfvo type="min"/>
        <cfvo type="percentile" val="50"/>
        <cfvo type="max"/>
        <color rgb="FF63BE7B"/>
        <color rgb="FFFFEB84"/>
        <color rgb="FFF8696B"/>
      </colorScale>
    </cfRule>
    <cfRule type="colorScale" priority="7186">
      <colorScale>
        <cfvo type="min"/>
        <cfvo type="percentile" val="50"/>
        <cfvo type="max"/>
        <color rgb="FF63BE7B"/>
        <color rgb="FFFFEB84"/>
        <color rgb="FFF8696B"/>
      </colorScale>
    </cfRule>
    <cfRule type="colorScale" priority="7185">
      <colorScale>
        <cfvo type="min"/>
        <cfvo type="percentile" val="50"/>
        <cfvo type="max"/>
        <color rgb="FF63BE7B"/>
        <color rgb="FFFFEB84"/>
        <color rgb="FFF8696B"/>
      </colorScale>
    </cfRule>
    <cfRule type="colorScale" priority="7184">
      <colorScale>
        <cfvo type="min"/>
        <cfvo type="percentile" val="50"/>
        <cfvo type="max"/>
        <color rgb="FF63BE7B"/>
        <color rgb="FFFFEB84"/>
        <color rgb="FFF8696B"/>
      </colorScale>
    </cfRule>
    <cfRule type="colorScale" priority="1402">
      <colorScale>
        <cfvo type="min"/>
        <cfvo type="percentile" val="50"/>
        <cfvo type="max"/>
        <color rgb="FF63BE7B"/>
        <color rgb="FFFFEB84"/>
        <color rgb="FFF8696B"/>
      </colorScale>
    </cfRule>
    <cfRule type="colorScale" priority="1401">
      <colorScale>
        <cfvo type="min"/>
        <cfvo type="percentile" val="50"/>
        <cfvo type="max"/>
        <color rgb="FF63BE7B"/>
        <color rgb="FFFFEB84"/>
        <color rgb="FFF8696B"/>
      </colorScale>
    </cfRule>
    <cfRule type="colorScale" priority="1400">
      <colorScale>
        <cfvo type="min"/>
        <cfvo type="percentile" val="50"/>
        <cfvo type="max"/>
        <color rgb="FF63BE7B"/>
        <color rgb="FFFFEB84"/>
        <color rgb="FFF8696B"/>
      </colorScale>
    </cfRule>
    <cfRule type="colorScale" priority="1399">
      <colorScale>
        <cfvo type="min"/>
        <cfvo type="percentile" val="50"/>
        <cfvo type="max"/>
        <color rgb="FF63BE7B"/>
        <color rgb="FFFFEB84"/>
        <color rgb="FFF8696B"/>
      </colorScale>
    </cfRule>
    <cfRule type="colorScale" priority="1398">
      <colorScale>
        <cfvo type="min"/>
        <cfvo type="percentile" val="50"/>
        <cfvo type="max"/>
        <color rgb="FF63BE7B"/>
        <color rgb="FFFFEB84"/>
        <color rgb="FFF8696B"/>
      </colorScale>
    </cfRule>
    <cfRule type="colorScale" priority="1397">
      <colorScale>
        <cfvo type="min"/>
        <cfvo type="percentile" val="50"/>
        <cfvo type="max"/>
        <color rgb="FF63BE7B"/>
        <color rgb="FFFFEB84"/>
        <color rgb="FFF8696B"/>
      </colorScale>
    </cfRule>
    <cfRule type="colorScale" priority="1396">
      <colorScale>
        <cfvo type="min"/>
        <cfvo type="percentile" val="50"/>
        <cfvo type="max"/>
        <color rgb="FF63BE7B"/>
        <color rgb="FFFFEB84"/>
        <color rgb="FFF8696B"/>
      </colorScale>
    </cfRule>
    <cfRule type="colorScale" priority="1395">
      <colorScale>
        <cfvo type="min"/>
        <cfvo type="percentile" val="50"/>
        <cfvo type="max"/>
        <color rgb="FF63BE7B"/>
        <color rgb="FFFFEB84"/>
        <color rgb="FFF8696B"/>
      </colorScale>
    </cfRule>
    <cfRule type="colorScale" priority="1394">
      <colorScale>
        <cfvo type="min"/>
        <cfvo type="percentile" val="50"/>
        <cfvo type="max"/>
        <color rgb="FF63BE7B"/>
        <color rgb="FFFFEB84"/>
        <color rgb="FFF8696B"/>
      </colorScale>
    </cfRule>
    <cfRule type="colorScale" priority="1393">
      <colorScale>
        <cfvo type="min"/>
        <cfvo type="percentile" val="50"/>
        <cfvo type="max"/>
        <color rgb="FF63BE7B"/>
        <color rgb="FFFFEB84"/>
        <color rgb="FFF8696B"/>
      </colorScale>
    </cfRule>
    <cfRule type="colorScale" priority="1392">
      <colorScale>
        <cfvo type="min"/>
        <cfvo type="percentile" val="50"/>
        <cfvo type="max"/>
        <color rgb="FF63BE7B"/>
        <color rgb="FFFFEB84"/>
        <color rgb="FFF8696B"/>
      </colorScale>
    </cfRule>
    <cfRule type="colorScale" priority="1391">
      <colorScale>
        <cfvo type="min"/>
        <cfvo type="percentile" val="50"/>
        <cfvo type="max"/>
        <color rgb="FF63BE7B"/>
        <color rgb="FFFFEB84"/>
        <color rgb="FFF8696B"/>
      </colorScale>
    </cfRule>
    <cfRule type="colorScale" priority="1390">
      <colorScale>
        <cfvo type="min"/>
        <cfvo type="percentile" val="50"/>
        <cfvo type="max"/>
        <color rgb="FF63BE7B"/>
        <color rgb="FFFFEB84"/>
        <color rgb="FFF8696B"/>
      </colorScale>
    </cfRule>
    <cfRule type="colorScale" priority="1389">
      <colorScale>
        <cfvo type="min"/>
        <cfvo type="percentile" val="50"/>
        <cfvo type="max"/>
        <color rgb="FF63BE7B"/>
        <color rgb="FFFFEB84"/>
        <color rgb="FFF8696B"/>
      </colorScale>
    </cfRule>
    <cfRule type="colorScale" priority="1388">
      <colorScale>
        <cfvo type="min"/>
        <cfvo type="percentile" val="50"/>
        <cfvo type="max"/>
        <color rgb="FF63BE7B"/>
        <color rgb="FFFFEB84"/>
        <color rgb="FFF8696B"/>
      </colorScale>
    </cfRule>
    <cfRule type="colorScale" priority="1387">
      <colorScale>
        <cfvo type="min"/>
        <cfvo type="percentile" val="50"/>
        <cfvo type="max"/>
        <color rgb="FF63BE7B"/>
        <color rgb="FFFFEB84"/>
        <color rgb="FFF8696B"/>
      </colorScale>
    </cfRule>
    <cfRule type="colorScale" priority="1386">
      <colorScale>
        <cfvo type="min"/>
        <cfvo type="percentile" val="50"/>
        <cfvo type="max"/>
        <color rgb="FF63BE7B"/>
        <color rgb="FFFFEB84"/>
        <color rgb="FFF8696B"/>
      </colorScale>
    </cfRule>
    <cfRule type="colorScale" priority="1385">
      <colorScale>
        <cfvo type="min"/>
        <cfvo type="percentile" val="50"/>
        <cfvo type="max"/>
        <color rgb="FF63BE7B"/>
        <color rgb="FFFFEB84"/>
        <color rgb="FFF8696B"/>
      </colorScale>
    </cfRule>
    <cfRule type="colorScale" priority="1384">
      <colorScale>
        <cfvo type="min"/>
        <cfvo type="percentile" val="50"/>
        <cfvo type="max"/>
        <color rgb="FF63BE7B"/>
        <color rgb="FFFFEB84"/>
        <color rgb="FFF8696B"/>
      </colorScale>
    </cfRule>
    <cfRule type="colorScale" priority="1383">
      <colorScale>
        <cfvo type="min"/>
        <cfvo type="percentile" val="50"/>
        <cfvo type="max"/>
        <color rgb="FF63BE7B"/>
        <color rgb="FFFFEB84"/>
        <color rgb="FFF8696B"/>
      </colorScale>
    </cfRule>
    <cfRule type="colorScale" priority="1382">
      <colorScale>
        <cfvo type="min"/>
        <cfvo type="percentile" val="50"/>
        <cfvo type="max"/>
        <color rgb="FF63BE7B"/>
        <color rgb="FFFFEB84"/>
        <color rgb="FFF8696B"/>
      </colorScale>
    </cfRule>
    <cfRule type="colorScale" priority="1381">
      <colorScale>
        <cfvo type="min"/>
        <cfvo type="percentile" val="50"/>
        <cfvo type="max"/>
        <color rgb="FF63BE7B"/>
        <color rgb="FFFFEB84"/>
        <color rgb="FFF8696B"/>
      </colorScale>
    </cfRule>
    <cfRule type="colorScale" priority="1380">
      <colorScale>
        <cfvo type="min"/>
        <cfvo type="percentile" val="50"/>
        <cfvo type="max"/>
        <color rgb="FF63BE7B"/>
        <color rgb="FFFFEB84"/>
        <color rgb="FFF8696B"/>
      </colorScale>
    </cfRule>
    <cfRule type="colorScale" priority="1379">
      <colorScale>
        <cfvo type="min"/>
        <cfvo type="percentile" val="50"/>
        <cfvo type="max"/>
        <color rgb="FF63BE7B"/>
        <color rgb="FFFFEB84"/>
        <color rgb="FFF8696B"/>
      </colorScale>
    </cfRule>
    <cfRule type="colorScale" priority="1378">
      <colorScale>
        <cfvo type="min"/>
        <cfvo type="percentile" val="50"/>
        <cfvo type="max"/>
        <color rgb="FF63BE7B"/>
        <color rgb="FFFFEB84"/>
        <color rgb="FFF8696B"/>
      </colorScale>
    </cfRule>
    <cfRule type="colorScale" priority="1377">
      <colorScale>
        <cfvo type="min"/>
        <cfvo type="percentile" val="50"/>
        <cfvo type="max"/>
        <color rgb="FF63BE7B"/>
        <color rgb="FFFFEB84"/>
        <color rgb="FFF8696B"/>
      </colorScale>
    </cfRule>
    <cfRule type="colorScale" priority="1376">
      <colorScale>
        <cfvo type="min"/>
        <cfvo type="percentile" val="50"/>
        <cfvo type="max"/>
        <color rgb="FF63BE7B"/>
        <color rgb="FFFFEB84"/>
        <color rgb="FFF8696B"/>
      </colorScale>
    </cfRule>
    <cfRule type="colorScale" priority="1375">
      <colorScale>
        <cfvo type="min"/>
        <cfvo type="percentile" val="50"/>
        <cfvo type="max"/>
        <color rgb="FF63BE7B"/>
        <color rgb="FFFFEB84"/>
        <color rgb="FFF8696B"/>
      </colorScale>
    </cfRule>
    <cfRule type="colorScale" priority="1374">
      <colorScale>
        <cfvo type="min"/>
        <cfvo type="percentile" val="50"/>
        <cfvo type="max"/>
        <color rgb="FF63BE7B"/>
        <color rgb="FFFFEB84"/>
        <color rgb="FFF8696B"/>
      </colorScale>
    </cfRule>
    <cfRule type="colorScale" priority="1373">
      <colorScale>
        <cfvo type="min"/>
        <cfvo type="percentile" val="50"/>
        <cfvo type="max"/>
        <color rgb="FF63BE7B"/>
        <color rgb="FFFFEB84"/>
        <color rgb="FFF8696B"/>
      </colorScale>
    </cfRule>
    <cfRule type="colorScale" priority="1372">
      <colorScale>
        <cfvo type="min"/>
        <cfvo type="percentile" val="50"/>
        <cfvo type="max"/>
        <color rgb="FF63BE7B"/>
        <color rgb="FFFFEB84"/>
        <color rgb="FFF8696B"/>
      </colorScale>
    </cfRule>
    <cfRule type="colorScale" priority="1371">
      <colorScale>
        <cfvo type="min"/>
        <cfvo type="percentile" val="50"/>
        <cfvo type="max"/>
        <color rgb="FF63BE7B"/>
        <color rgb="FFFFEB84"/>
        <color rgb="FFF8696B"/>
      </colorScale>
    </cfRule>
    <cfRule type="colorScale" priority="1370">
      <colorScale>
        <cfvo type="min"/>
        <cfvo type="percentile" val="50"/>
        <cfvo type="max"/>
        <color rgb="FF63BE7B"/>
        <color rgb="FFFFEB84"/>
        <color rgb="FFF8696B"/>
      </colorScale>
    </cfRule>
    <cfRule type="colorScale" priority="1369">
      <colorScale>
        <cfvo type="min"/>
        <cfvo type="percentile" val="50"/>
        <cfvo type="max"/>
        <color rgb="FF63BE7B"/>
        <color rgb="FFFFEB84"/>
        <color rgb="FFF8696B"/>
      </colorScale>
    </cfRule>
    <cfRule type="colorScale" priority="1368">
      <colorScale>
        <cfvo type="min"/>
        <cfvo type="percentile" val="50"/>
        <cfvo type="max"/>
        <color rgb="FF63BE7B"/>
        <color rgb="FFFFEB84"/>
        <color rgb="FFF8696B"/>
      </colorScale>
    </cfRule>
    <cfRule type="colorScale" priority="1367">
      <colorScale>
        <cfvo type="min"/>
        <cfvo type="percentile" val="50"/>
        <cfvo type="max"/>
        <color rgb="FF63BE7B"/>
        <color rgb="FFFFEB84"/>
        <color rgb="FFF8696B"/>
      </colorScale>
    </cfRule>
    <cfRule type="colorScale" priority="1366">
      <colorScale>
        <cfvo type="min"/>
        <cfvo type="percentile" val="50"/>
        <cfvo type="max"/>
        <color rgb="FF63BE7B"/>
        <color rgb="FFFFEB84"/>
        <color rgb="FFF8696B"/>
      </colorScale>
    </cfRule>
    <cfRule type="colorScale" priority="1365">
      <colorScale>
        <cfvo type="min"/>
        <cfvo type="percentile" val="50"/>
        <cfvo type="max"/>
        <color rgb="FF63BE7B"/>
        <color rgb="FFFFEB84"/>
        <color rgb="FFF8696B"/>
      </colorScale>
    </cfRule>
    <cfRule type="colorScale" priority="1364">
      <colorScale>
        <cfvo type="min"/>
        <cfvo type="percentile" val="50"/>
        <cfvo type="max"/>
        <color rgb="FF63BE7B"/>
        <color rgb="FFFFEB84"/>
        <color rgb="FFF8696B"/>
      </colorScale>
    </cfRule>
    <cfRule type="colorScale" priority="1316">
      <colorScale>
        <cfvo type="min"/>
        <cfvo type="percentile" val="50"/>
        <cfvo type="max"/>
        <color rgb="FF63BE7B"/>
        <color rgb="FFFFEB84"/>
        <color rgb="FFF8696B"/>
      </colorScale>
    </cfRule>
    <cfRule type="colorScale" priority="1362">
      <colorScale>
        <cfvo type="min"/>
        <cfvo type="percentile" val="50"/>
        <cfvo type="max"/>
        <color rgb="FF63BE7B"/>
        <color rgb="FFFFEB84"/>
        <color rgb="FFF8696B"/>
      </colorScale>
    </cfRule>
    <cfRule type="colorScale" priority="1361">
      <colorScale>
        <cfvo type="min"/>
        <cfvo type="percentile" val="50"/>
        <cfvo type="max"/>
        <color rgb="FF63BE7B"/>
        <color rgb="FFFFEB84"/>
        <color rgb="FFF8696B"/>
      </colorScale>
    </cfRule>
    <cfRule type="colorScale" priority="1360">
      <colorScale>
        <cfvo type="min"/>
        <cfvo type="percentile" val="50"/>
        <cfvo type="max"/>
        <color rgb="FF63BE7B"/>
        <color rgb="FFFFEB84"/>
        <color rgb="FFF8696B"/>
      </colorScale>
    </cfRule>
    <cfRule type="colorScale" priority="1359">
      <colorScale>
        <cfvo type="min"/>
        <cfvo type="percentile" val="50"/>
        <cfvo type="max"/>
        <color rgb="FF63BE7B"/>
        <color rgb="FFFFEB84"/>
        <color rgb="FFF8696B"/>
      </colorScale>
    </cfRule>
    <cfRule type="colorScale" priority="1358">
      <colorScale>
        <cfvo type="min"/>
        <cfvo type="percentile" val="50"/>
        <cfvo type="max"/>
        <color rgb="FF63BE7B"/>
        <color rgb="FFFFEB84"/>
        <color rgb="FFF8696B"/>
      </colorScale>
    </cfRule>
    <cfRule type="colorScale" priority="1357">
      <colorScale>
        <cfvo type="min"/>
        <cfvo type="percentile" val="50"/>
        <cfvo type="max"/>
        <color rgb="FF63BE7B"/>
        <color rgb="FFFFEB84"/>
        <color rgb="FFF8696B"/>
      </colorScale>
    </cfRule>
    <cfRule type="colorScale" priority="1356">
      <colorScale>
        <cfvo type="min"/>
        <cfvo type="percentile" val="50"/>
        <cfvo type="max"/>
        <color rgb="FF63BE7B"/>
        <color rgb="FFFFEB84"/>
        <color rgb="FFF8696B"/>
      </colorScale>
    </cfRule>
    <cfRule type="colorScale" priority="1355">
      <colorScale>
        <cfvo type="min"/>
        <cfvo type="percentile" val="50"/>
        <cfvo type="max"/>
        <color rgb="FF63BE7B"/>
        <color rgb="FFFFEB84"/>
        <color rgb="FFF8696B"/>
      </colorScale>
    </cfRule>
    <cfRule type="colorScale" priority="1354">
      <colorScale>
        <cfvo type="min"/>
        <cfvo type="percentile" val="50"/>
        <cfvo type="max"/>
        <color rgb="FF63BE7B"/>
        <color rgb="FFFFEB84"/>
        <color rgb="FFF8696B"/>
      </colorScale>
    </cfRule>
    <cfRule type="colorScale" priority="1353">
      <colorScale>
        <cfvo type="min"/>
        <cfvo type="percentile" val="50"/>
        <cfvo type="max"/>
        <color rgb="FF63BE7B"/>
        <color rgb="FFFFEB84"/>
        <color rgb="FFF8696B"/>
      </colorScale>
    </cfRule>
    <cfRule type="colorScale" priority="1352">
      <colorScale>
        <cfvo type="min"/>
        <cfvo type="percentile" val="50"/>
        <cfvo type="max"/>
        <color rgb="FF63BE7B"/>
        <color rgb="FFFFEB84"/>
        <color rgb="FFF8696B"/>
      </colorScale>
    </cfRule>
    <cfRule type="colorScale" priority="1351">
      <colorScale>
        <cfvo type="min"/>
        <cfvo type="percentile" val="50"/>
        <cfvo type="max"/>
        <color rgb="FF63BE7B"/>
        <color rgb="FFFFEB84"/>
        <color rgb="FFF8696B"/>
      </colorScale>
    </cfRule>
    <cfRule type="colorScale" priority="1350">
      <colorScale>
        <cfvo type="min"/>
        <cfvo type="percentile" val="50"/>
        <cfvo type="max"/>
        <color rgb="FF63BE7B"/>
        <color rgb="FFFFEB84"/>
        <color rgb="FFF8696B"/>
      </colorScale>
    </cfRule>
    <cfRule type="colorScale" priority="1349">
      <colorScale>
        <cfvo type="min"/>
        <cfvo type="percentile" val="50"/>
        <cfvo type="max"/>
        <color rgb="FF63BE7B"/>
        <color rgb="FFFFEB84"/>
        <color rgb="FFF8696B"/>
      </colorScale>
    </cfRule>
    <cfRule type="colorScale" priority="1348">
      <colorScale>
        <cfvo type="min"/>
        <cfvo type="percentile" val="50"/>
        <cfvo type="max"/>
        <color rgb="FF63BE7B"/>
        <color rgb="FFFFEB84"/>
        <color rgb="FFF8696B"/>
      </colorScale>
    </cfRule>
    <cfRule type="colorScale" priority="1347">
      <colorScale>
        <cfvo type="min"/>
        <cfvo type="percentile" val="50"/>
        <cfvo type="max"/>
        <color rgb="FF63BE7B"/>
        <color rgb="FFFFEB84"/>
        <color rgb="FFF8696B"/>
      </colorScale>
    </cfRule>
    <cfRule type="colorScale" priority="1346">
      <colorScale>
        <cfvo type="min"/>
        <cfvo type="percentile" val="50"/>
        <cfvo type="max"/>
        <color rgb="FF63BE7B"/>
        <color rgb="FFFFEB84"/>
        <color rgb="FFF8696B"/>
      </colorScale>
    </cfRule>
    <cfRule type="colorScale" priority="1345">
      <colorScale>
        <cfvo type="min"/>
        <cfvo type="percentile" val="50"/>
        <cfvo type="max"/>
        <color rgb="FF63BE7B"/>
        <color rgb="FFFFEB84"/>
        <color rgb="FFF8696B"/>
      </colorScale>
    </cfRule>
    <cfRule type="colorScale" priority="1344">
      <colorScale>
        <cfvo type="min"/>
        <cfvo type="percentile" val="50"/>
        <cfvo type="max"/>
        <color rgb="FF63BE7B"/>
        <color rgb="FFFFEB84"/>
        <color rgb="FFF8696B"/>
      </colorScale>
    </cfRule>
    <cfRule type="colorScale" priority="1343">
      <colorScale>
        <cfvo type="min"/>
        <cfvo type="percentile" val="50"/>
        <cfvo type="max"/>
        <color rgb="FF63BE7B"/>
        <color rgb="FFFFEB84"/>
        <color rgb="FFF8696B"/>
      </colorScale>
    </cfRule>
    <cfRule type="colorScale" priority="1342">
      <colorScale>
        <cfvo type="min"/>
        <cfvo type="percentile" val="50"/>
        <cfvo type="max"/>
        <color rgb="FF63BE7B"/>
        <color rgb="FFFFEB84"/>
        <color rgb="FFF8696B"/>
      </colorScale>
    </cfRule>
    <cfRule type="colorScale" priority="1341">
      <colorScale>
        <cfvo type="min"/>
        <cfvo type="percentile" val="50"/>
        <cfvo type="max"/>
        <color rgb="FF63BE7B"/>
        <color rgb="FFFFEB84"/>
        <color rgb="FFF8696B"/>
      </colorScale>
    </cfRule>
    <cfRule type="colorScale" priority="1340">
      <colorScale>
        <cfvo type="min"/>
        <cfvo type="percentile" val="50"/>
        <cfvo type="max"/>
        <color rgb="FF63BE7B"/>
        <color rgb="FFFFEB84"/>
        <color rgb="FFF8696B"/>
      </colorScale>
    </cfRule>
    <cfRule type="colorScale" priority="1339">
      <colorScale>
        <cfvo type="min"/>
        <cfvo type="percentile" val="50"/>
        <cfvo type="max"/>
        <color rgb="FF63BE7B"/>
        <color rgb="FFFFEB84"/>
        <color rgb="FFF8696B"/>
      </colorScale>
    </cfRule>
    <cfRule type="colorScale" priority="1338">
      <colorScale>
        <cfvo type="min"/>
        <cfvo type="percentile" val="50"/>
        <cfvo type="max"/>
        <color rgb="FF63BE7B"/>
        <color rgb="FFFFEB84"/>
        <color rgb="FFF8696B"/>
      </colorScale>
    </cfRule>
    <cfRule type="colorScale" priority="1337">
      <colorScale>
        <cfvo type="min"/>
        <cfvo type="percentile" val="50"/>
        <cfvo type="max"/>
        <color rgb="FF63BE7B"/>
        <color rgb="FFFFEB84"/>
        <color rgb="FFF8696B"/>
      </colorScale>
    </cfRule>
    <cfRule type="colorScale" priority="1336">
      <colorScale>
        <cfvo type="min"/>
        <cfvo type="percentile" val="50"/>
        <cfvo type="max"/>
        <color rgb="FF63BE7B"/>
        <color rgb="FFFFEB84"/>
        <color rgb="FFF8696B"/>
      </colorScale>
    </cfRule>
    <cfRule type="colorScale" priority="1335">
      <colorScale>
        <cfvo type="min"/>
        <cfvo type="percentile" val="50"/>
        <cfvo type="max"/>
        <color rgb="FF63BE7B"/>
        <color rgb="FFFFEB84"/>
        <color rgb="FFF8696B"/>
      </colorScale>
    </cfRule>
    <cfRule type="colorScale" priority="1334">
      <colorScale>
        <cfvo type="min"/>
        <cfvo type="percentile" val="50"/>
        <cfvo type="max"/>
        <color rgb="FF63BE7B"/>
        <color rgb="FFFFEB84"/>
        <color rgb="FFF8696B"/>
      </colorScale>
    </cfRule>
    <cfRule type="colorScale" priority="1333">
      <colorScale>
        <cfvo type="min"/>
        <cfvo type="percentile" val="50"/>
        <cfvo type="max"/>
        <color rgb="FF63BE7B"/>
        <color rgb="FFFFEB84"/>
        <color rgb="FFF8696B"/>
      </colorScale>
    </cfRule>
    <cfRule type="colorScale" priority="1332">
      <colorScale>
        <cfvo type="min"/>
        <cfvo type="percentile" val="50"/>
        <cfvo type="max"/>
        <color rgb="FF63BE7B"/>
        <color rgb="FFFFEB84"/>
        <color rgb="FFF8696B"/>
      </colorScale>
    </cfRule>
    <cfRule type="colorScale" priority="1331">
      <colorScale>
        <cfvo type="min"/>
        <cfvo type="percentile" val="50"/>
        <cfvo type="max"/>
        <color rgb="FF63BE7B"/>
        <color rgb="FFFFEB84"/>
        <color rgb="FFF8696B"/>
      </colorScale>
    </cfRule>
    <cfRule type="colorScale" priority="1330">
      <colorScale>
        <cfvo type="min"/>
        <cfvo type="percentile" val="50"/>
        <cfvo type="max"/>
        <color rgb="FF63BE7B"/>
        <color rgb="FFFFEB84"/>
        <color rgb="FFF8696B"/>
      </colorScale>
    </cfRule>
    <cfRule type="colorScale" priority="1329">
      <colorScale>
        <cfvo type="min"/>
        <cfvo type="percentile" val="50"/>
        <cfvo type="max"/>
        <color rgb="FF63BE7B"/>
        <color rgb="FFFFEB84"/>
        <color rgb="FFF8696B"/>
      </colorScale>
    </cfRule>
    <cfRule type="colorScale" priority="1328">
      <colorScale>
        <cfvo type="min"/>
        <cfvo type="percentile" val="50"/>
        <cfvo type="max"/>
        <color rgb="FF63BE7B"/>
        <color rgb="FFFFEB84"/>
        <color rgb="FFF8696B"/>
      </colorScale>
    </cfRule>
    <cfRule type="colorScale" priority="1327">
      <colorScale>
        <cfvo type="min"/>
        <cfvo type="percentile" val="50"/>
        <cfvo type="max"/>
        <color rgb="FFF8696B"/>
        <color rgb="FFFFEB84"/>
        <color rgb="FF63BE7B"/>
      </colorScale>
    </cfRule>
    <cfRule type="colorScale" priority="1326">
      <colorScale>
        <cfvo type="min"/>
        <cfvo type="percentile" val="50"/>
        <cfvo type="max"/>
        <color rgb="FF63BE7B"/>
        <color rgb="FFFFEB84"/>
        <color rgb="FFF8696B"/>
      </colorScale>
    </cfRule>
    <cfRule type="colorScale" priority="1325">
      <colorScale>
        <cfvo type="min"/>
        <cfvo type="percentile" val="50"/>
        <cfvo type="max"/>
        <color rgb="FF63BE7B"/>
        <color rgb="FFFFEB84"/>
        <color rgb="FFF8696B"/>
      </colorScale>
    </cfRule>
    <cfRule type="colorScale" priority="1324">
      <colorScale>
        <cfvo type="min"/>
        <cfvo type="percentile" val="50"/>
        <cfvo type="max"/>
        <color rgb="FF63BE7B"/>
        <color rgb="FFFFEB84"/>
        <color rgb="FFF8696B"/>
      </colorScale>
    </cfRule>
    <cfRule type="colorScale" priority="1323">
      <colorScale>
        <cfvo type="min"/>
        <cfvo type="percentile" val="50"/>
        <cfvo type="max"/>
        <color rgb="FF63BE7B"/>
        <color rgb="FFFFEB84"/>
        <color rgb="FFF8696B"/>
      </colorScale>
    </cfRule>
    <cfRule type="colorScale" priority="1322">
      <colorScale>
        <cfvo type="min"/>
        <cfvo type="percentile" val="50"/>
        <cfvo type="max"/>
        <color rgb="FF63BE7B"/>
        <color rgb="FFFFEB84"/>
        <color rgb="FFF8696B"/>
      </colorScale>
    </cfRule>
    <cfRule type="colorScale" priority="1321">
      <colorScale>
        <cfvo type="min"/>
        <cfvo type="percentile" val="50"/>
        <cfvo type="max"/>
        <color rgb="FF63BE7B"/>
        <color rgb="FFFFEB84"/>
        <color rgb="FFF8696B"/>
      </colorScale>
    </cfRule>
    <cfRule type="colorScale" priority="1320">
      <colorScale>
        <cfvo type="min"/>
        <cfvo type="percentile" val="50"/>
        <cfvo type="max"/>
        <color rgb="FF63BE7B"/>
        <color rgb="FFFFEB84"/>
        <color rgb="FFF8696B"/>
      </colorScale>
    </cfRule>
    <cfRule type="colorScale" priority="1319">
      <colorScale>
        <cfvo type="min"/>
        <cfvo type="percentile" val="50"/>
        <cfvo type="max"/>
        <color rgb="FF63BE7B"/>
        <color rgb="FFFFEB84"/>
        <color rgb="FFF8696B"/>
      </colorScale>
    </cfRule>
    <cfRule type="colorScale" priority="1318">
      <colorScale>
        <cfvo type="min"/>
        <cfvo type="percentile" val="50"/>
        <cfvo type="max"/>
        <color rgb="FF63BE7B"/>
        <color rgb="FFFFEB84"/>
        <color rgb="FFF8696B"/>
      </colorScale>
    </cfRule>
    <cfRule type="colorScale" priority="1317">
      <colorScale>
        <cfvo type="min"/>
        <cfvo type="percentile" val="50"/>
        <cfvo type="max"/>
        <color rgb="FF63BE7B"/>
        <color rgb="FFFFEB84"/>
        <color rgb="FFF8696B"/>
      </colorScale>
    </cfRule>
    <cfRule type="colorScale" priority="1315">
      <colorScale>
        <cfvo type="min"/>
        <cfvo type="percentile" val="50"/>
        <cfvo type="max"/>
        <color rgb="FF63BE7B"/>
        <color rgb="FFFFEB84"/>
        <color rgb="FFF8696B"/>
      </colorScale>
    </cfRule>
    <cfRule type="colorScale" priority="1314">
      <colorScale>
        <cfvo type="min"/>
        <cfvo type="percentile" val="50"/>
        <cfvo type="max"/>
        <color rgb="FF63BE7B"/>
        <color rgb="FFFFEB84"/>
        <color rgb="FFF8696B"/>
      </colorScale>
    </cfRule>
    <cfRule type="colorScale" priority="1313">
      <colorScale>
        <cfvo type="min"/>
        <cfvo type="percentile" val="50"/>
        <cfvo type="max"/>
        <color rgb="FF63BE7B"/>
        <color rgb="FFFFEB84"/>
        <color rgb="FFF8696B"/>
      </colorScale>
    </cfRule>
    <cfRule type="colorScale" priority="1312">
      <colorScale>
        <cfvo type="min"/>
        <cfvo type="percentile" val="50"/>
        <cfvo type="max"/>
        <color rgb="FF63BE7B"/>
        <color rgb="FFFFEB84"/>
        <color rgb="FFF8696B"/>
      </colorScale>
    </cfRule>
    <cfRule type="colorScale" priority="1311">
      <colorScale>
        <cfvo type="min"/>
        <cfvo type="percentile" val="50"/>
        <cfvo type="max"/>
        <color rgb="FF63BE7B"/>
        <color rgb="FFFFEB84"/>
        <color rgb="FFF8696B"/>
      </colorScale>
    </cfRule>
    <cfRule type="colorScale" priority="1310">
      <colorScale>
        <cfvo type="min"/>
        <cfvo type="percentile" val="50"/>
        <cfvo type="max"/>
        <color rgb="FF63BE7B"/>
        <color rgb="FFFFEB84"/>
        <color rgb="FFF8696B"/>
      </colorScale>
    </cfRule>
    <cfRule type="colorScale" priority="1309">
      <colorScale>
        <cfvo type="min"/>
        <cfvo type="percentile" val="50"/>
        <cfvo type="max"/>
        <color rgb="FF63BE7B"/>
        <color rgb="FFFFEB84"/>
        <color rgb="FFF8696B"/>
      </colorScale>
    </cfRule>
    <cfRule type="colorScale" priority="1308">
      <colorScale>
        <cfvo type="min"/>
        <cfvo type="percentile" val="50"/>
        <cfvo type="max"/>
        <color rgb="FF63BE7B"/>
        <color rgb="FFFFEB84"/>
        <color rgb="FFF8696B"/>
      </colorScale>
    </cfRule>
    <cfRule type="colorScale" priority="1307">
      <colorScale>
        <cfvo type="min"/>
        <cfvo type="percentile" val="50"/>
        <cfvo type="max"/>
        <color rgb="FF63BE7B"/>
        <color rgb="FFFFEB84"/>
        <color rgb="FFF8696B"/>
      </colorScale>
    </cfRule>
    <cfRule type="colorScale" priority="1306">
      <colorScale>
        <cfvo type="min"/>
        <cfvo type="percentile" val="50"/>
        <cfvo type="max"/>
        <color rgb="FF63BE7B"/>
        <color rgb="FFFFEB84"/>
        <color rgb="FFF8696B"/>
      </colorScale>
    </cfRule>
    <cfRule type="colorScale" priority="1305">
      <colorScale>
        <cfvo type="min"/>
        <cfvo type="percentile" val="50"/>
        <cfvo type="max"/>
        <color rgb="FF63BE7B"/>
        <color rgb="FFFFEB84"/>
        <color rgb="FFF8696B"/>
      </colorScale>
    </cfRule>
    <cfRule type="colorScale" priority="1304">
      <colorScale>
        <cfvo type="min"/>
        <cfvo type="percentile" val="50"/>
        <cfvo type="max"/>
        <color rgb="FF63BE7B"/>
        <color rgb="FFFFEB84"/>
        <color rgb="FFF8696B"/>
      </colorScale>
    </cfRule>
    <cfRule type="colorScale" priority="1303">
      <colorScale>
        <cfvo type="min"/>
        <cfvo type="percentile" val="50"/>
        <cfvo type="max"/>
        <color rgb="FF63BE7B"/>
        <color rgb="FFFFEB84"/>
        <color rgb="FFF8696B"/>
      </colorScale>
    </cfRule>
    <cfRule type="colorScale" priority="1302">
      <colorScale>
        <cfvo type="min"/>
        <cfvo type="percentile" val="50"/>
        <cfvo type="max"/>
        <color rgb="FF63BE7B"/>
        <color rgb="FFFFEB84"/>
        <color rgb="FFF8696B"/>
      </colorScale>
    </cfRule>
    <cfRule type="colorScale" priority="1300">
      <colorScale>
        <cfvo type="min"/>
        <cfvo type="percentile" val="50"/>
        <cfvo type="max"/>
        <color rgb="FF63BE7B"/>
        <color rgb="FFFFEB84"/>
        <color rgb="FFF8696B"/>
      </colorScale>
    </cfRule>
    <cfRule type="colorScale" priority="1427">
      <colorScale>
        <cfvo type="min"/>
        <cfvo type="percentile" val="50"/>
        <cfvo type="max"/>
        <color rgb="FF63BE7B"/>
        <color rgb="FFFFEB84"/>
        <color rgb="FFF8696B"/>
      </colorScale>
    </cfRule>
    <cfRule type="colorScale" priority="1426">
      <colorScale>
        <cfvo type="min"/>
        <cfvo type="percentile" val="50"/>
        <cfvo type="max"/>
        <color rgb="FF63BE7B"/>
        <color rgb="FFFFEB84"/>
        <color rgb="FFF8696B"/>
      </colorScale>
    </cfRule>
    <cfRule type="colorScale" priority="1301">
      <colorScale>
        <cfvo type="min"/>
        <cfvo type="percentile" val="50"/>
        <cfvo type="max"/>
        <color rgb="FF63BE7B"/>
        <color rgb="FFFFEB84"/>
        <color rgb="FFF8696B"/>
      </colorScale>
    </cfRule>
    <cfRule type="colorScale" priority="1418">
      <colorScale>
        <cfvo type="min"/>
        <cfvo type="percentile" val="50"/>
        <cfvo type="max"/>
        <color rgb="FF63BE7B"/>
        <color rgb="FFFFEB84"/>
        <color rgb="FFF8696B"/>
      </colorScale>
    </cfRule>
    <cfRule type="colorScale" priority="1419">
      <colorScale>
        <cfvo type="min"/>
        <cfvo type="percentile" val="50"/>
        <cfvo type="max"/>
        <color rgb="FF63BE7B"/>
        <color rgb="FFFFEB84"/>
        <color rgb="FFF8696B"/>
      </colorScale>
    </cfRule>
    <cfRule type="colorScale" priority="1420">
      <colorScale>
        <cfvo type="min"/>
        <cfvo type="percentile" val="50"/>
        <cfvo type="max"/>
        <color rgb="FF63BE7B"/>
        <color rgb="FFFFEB84"/>
        <color rgb="FFF8696B"/>
      </colorScale>
    </cfRule>
    <cfRule type="colorScale" priority="1421">
      <colorScale>
        <cfvo type="min"/>
        <cfvo type="percentile" val="50"/>
        <cfvo type="max"/>
        <color rgb="FF63BE7B"/>
        <color rgb="FFFFEB84"/>
        <color rgb="FFF8696B"/>
      </colorScale>
    </cfRule>
    <cfRule type="colorScale" priority="1422">
      <colorScale>
        <cfvo type="min"/>
        <cfvo type="percentile" val="50"/>
        <cfvo type="max"/>
        <color rgb="FF63BE7B"/>
        <color rgb="FFFFEB84"/>
        <color rgb="FFF8696B"/>
      </colorScale>
    </cfRule>
    <cfRule type="colorScale" priority="1430">
      <colorScale>
        <cfvo type="min"/>
        <cfvo type="percentile" val="50"/>
        <cfvo type="max"/>
        <color rgb="FF63BE7B"/>
        <color rgb="FFFFEB84"/>
        <color rgb="FFF8696B"/>
      </colorScale>
    </cfRule>
    <cfRule type="colorScale" priority="1431">
      <colorScale>
        <cfvo type="min"/>
        <cfvo type="percentile" val="50"/>
        <cfvo type="max"/>
        <color rgb="FF63BE7B"/>
        <color rgb="FFFFEB84"/>
        <color rgb="FFF8696B"/>
      </colorScale>
    </cfRule>
    <cfRule type="colorScale" priority="1432">
      <colorScale>
        <cfvo type="min"/>
        <cfvo type="percentile" val="50"/>
        <cfvo type="max"/>
        <color rgb="FF63BE7B"/>
        <color rgb="FFFFEB84"/>
        <color rgb="FFF8696B"/>
      </colorScale>
    </cfRule>
    <cfRule type="colorScale" priority="1433">
      <colorScale>
        <cfvo type="min"/>
        <cfvo type="percentile" val="50"/>
        <cfvo type="max"/>
        <color rgb="FF63BE7B"/>
        <color rgb="FFFFEB84"/>
        <color rgb="FFF8696B"/>
      </colorScale>
    </cfRule>
    <cfRule type="colorScale" priority="1434">
      <colorScale>
        <cfvo type="min"/>
        <cfvo type="percentile" val="50"/>
        <cfvo type="max"/>
        <color rgb="FF63BE7B"/>
        <color rgb="FFFFEB84"/>
        <color rgb="FFF8696B"/>
      </colorScale>
    </cfRule>
    <cfRule type="colorScale" priority="1435">
      <colorScale>
        <cfvo type="min"/>
        <cfvo type="percentile" val="50"/>
        <cfvo type="max"/>
        <color rgb="FF63BE7B"/>
        <color rgb="FFFFEB84"/>
        <color rgb="FFF8696B"/>
      </colorScale>
    </cfRule>
    <cfRule type="colorScale" priority="1436">
      <colorScale>
        <cfvo type="min"/>
        <cfvo type="percentile" val="50"/>
        <cfvo type="max"/>
        <color rgb="FF63BE7B"/>
        <color rgb="FFFFEB84"/>
        <color rgb="FFF8696B"/>
      </colorScale>
    </cfRule>
    <cfRule type="colorScale" priority="1437">
      <colorScale>
        <cfvo type="min"/>
        <cfvo type="percentile" val="50"/>
        <cfvo type="max"/>
        <color rgb="FF63BE7B"/>
        <color rgb="FFFFEB84"/>
        <color rgb="FFF8696B"/>
      </colorScale>
    </cfRule>
    <cfRule type="colorScale" priority="1438">
      <colorScale>
        <cfvo type="min"/>
        <cfvo type="percentile" val="50"/>
        <cfvo type="max"/>
        <color rgb="FF63BE7B"/>
        <color rgb="FFFFEB84"/>
        <color rgb="FFF8696B"/>
      </colorScale>
    </cfRule>
    <cfRule type="colorScale" priority="1439">
      <colorScale>
        <cfvo type="min"/>
        <cfvo type="percentile" val="50"/>
        <cfvo type="max"/>
        <color rgb="FF63BE7B"/>
        <color rgb="FFFFEB84"/>
        <color rgb="FFF8696B"/>
      </colorScale>
    </cfRule>
    <cfRule type="colorScale" priority="1440">
      <colorScale>
        <cfvo type="min"/>
        <cfvo type="percentile" val="50"/>
        <cfvo type="max"/>
        <color rgb="FF63BE7B"/>
        <color rgb="FFFFEB84"/>
        <color rgb="FFF8696B"/>
      </colorScale>
    </cfRule>
    <cfRule type="colorScale" priority="1441">
      <colorScale>
        <cfvo type="min"/>
        <cfvo type="percentile" val="50"/>
        <cfvo type="max"/>
        <color rgb="FF63BE7B"/>
        <color rgb="FFFFEB84"/>
        <color rgb="FFF8696B"/>
      </colorScale>
    </cfRule>
    <cfRule type="colorScale" priority="1442">
      <colorScale>
        <cfvo type="min"/>
        <cfvo type="percentile" val="50"/>
        <cfvo type="max"/>
        <color rgb="FF63BE7B"/>
        <color rgb="FFFFEB84"/>
        <color rgb="FFF8696B"/>
      </colorScale>
    </cfRule>
    <cfRule type="colorScale" priority="1443">
      <colorScale>
        <cfvo type="min"/>
        <cfvo type="percentile" val="50"/>
        <cfvo type="max"/>
        <color rgb="FF63BE7B"/>
        <color rgb="FFFFEB84"/>
        <color rgb="FFF8696B"/>
      </colorScale>
    </cfRule>
    <cfRule type="colorScale" priority="1444">
      <colorScale>
        <cfvo type="min"/>
        <cfvo type="percentile" val="50"/>
        <cfvo type="max"/>
        <color rgb="FF63BE7B"/>
        <color rgb="FFFFEB84"/>
        <color rgb="FFF8696B"/>
      </colorScale>
    </cfRule>
    <cfRule type="colorScale" priority="1445">
      <colorScale>
        <cfvo type="min"/>
        <cfvo type="percentile" val="50"/>
        <cfvo type="max"/>
        <color rgb="FF63BE7B"/>
        <color rgb="FFFFEB84"/>
        <color rgb="FFF8696B"/>
      </colorScale>
    </cfRule>
    <cfRule type="colorScale" priority="1446">
      <colorScale>
        <cfvo type="min"/>
        <cfvo type="percentile" val="50"/>
        <cfvo type="max"/>
        <color rgb="FF63BE7B"/>
        <color rgb="FFFFEB84"/>
        <color rgb="FFF8696B"/>
      </colorScale>
    </cfRule>
    <cfRule type="colorScale" priority="1447">
      <colorScale>
        <cfvo type="min"/>
        <cfvo type="percentile" val="50"/>
        <cfvo type="max"/>
        <color rgb="FF63BE7B"/>
        <color rgb="FFFFEB84"/>
        <color rgb="FFF8696B"/>
      </colorScale>
    </cfRule>
    <cfRule type="colorScale" priority="1448">
      <colorScale>
        <cfvo type="min"/>
        <cfvo type="percentile" val="50"/>
        <cfvo type="max"/>
        <color rgb="FF63BE7B"/>
        <color rgb="FFFFEB84"/>
        <color rgb="FFF8696B"/>
      </colorScale>
    </cfRule>
    <cfRule type="colorScale" priority="1449">
      <colorScale>
        <cfvo type="min"/>
        <cfvo type="percentile" val="50"/>
        <cfvo type="max"/>
        <color rgb="FF63BE7B"/>
        <color rgb="FFFFEB84"/>
        <color rgb="FFF8696B"/>
      </colorScale>
    </cfRule>
    <cfRule type="colorScale" priority="1450">
      <colorScale>
        <cfvo type="min"/>
        <cfvo type="percentile" val="50"/>
        <cfvo type="max"/>
        <color rgb="FF63BE7B"/>
        <color rgb="FFFFEB84"/>
        <color rgb="FFF8696B"/>
      </colorScale>
    </cfRule>
    <cfRule type="colorScale" priority="1451">
      <colorScale>
        <cfvo type="min"/>
        <cfvo type="percentile" val="50"/>
        <cfvo type="max"/>
        <color rgb="FF63BE7B"/>
        <color rgb="FFFFEB84"/>
        <color rgb="FFF8696B"/>
      </colorScale>
    </cfRule>
    <cfRule type="colorScale" priority="1452">
      <colorScale>
        <cfvo type="min"/>
        <cfvo type="percentile" val="50"/>
        <cfvo type="max"/>
        <color rgb="FF63BE7B"/>
        <color rgb="FFFFEB84"/>
        <color rgb="FFF8696B"/>
      </colorScale>
    </cfRule>
    <cfRule type="colorScale" priority="1453">
      <colorScale>
        <cfvo type="min"/>
        <cfvo type="percentile" val="50"/>
        <cfvo type="max"/>
        <color rgb="FF63BE7B"/>
        <color rgb="FFFFEB84"/>
        <color rgb="FFF8696B"/>
      </colorScale>
    </cfRule>
    <cfRule type="colorScale" priority="1454">
      <colorScale>
        <cfvo type="min"/>
        <cfvo type="percentile" val="50"/>
        <cfvo type="max"/>
        <color rgb="FF63BE7B"/>
        <color rgb="FFFFEB84"/>
        <color rgb="FFF8696B"/>
      </colorScale>
    </cfRule>
    <cfRule type="colorScale" priority="6895">
      <colorScale>
        <cfvo type="min"/>
        <cfvo type="percentile" val="50"/>
        <cfvo type="max"/>
        <color rgb="FF63BE7B"/>
        <color rgb="FFFFEB84"/>
        <color rgb="FFF8696B"/>
      </colorScale>
    </cfRule>
    <cfRule type="colorScale" priority="6894">
      <colorScale>
        <cfvo type="min"/>
        <cfvo type="percentile" val="50"/>
        <cfvo type="max"/>
        <color rgb="FF63BE7B"/>
        <color rgb="FFFFEB84"/>
        <color rgb="FFF8696B"/>
      </colorScale>
    </cfRule>
    <cfRule type="colorScale" priority="6893">
      <colorScale>
        <cfvo type="min"/>
        <cfvo type="percentile" val="50"/>
        <cfvo type="max"/>
        <color rgb="FF63BE7B"/>
        <color rgb="FFFFEB84"/>
        <color rgb="FFF8696B"/>
      </colorScale>
    </cfRule>
    <cfRule type="colorScale" priority="6892">
      <colorScale>
        <cfvo type="min"/>
        <cfvo type="percentile" val="50"/>
        <cfvo type="max"/>
        <color rgb="FF63BE7B"/>
        <color rgb="FFFFEB84"/>
        <color rgb="FFF8696B"/>
      </colorScale>
    </cfRule>
    <cfRule type="colorScale" priority="6891">
      <colorScale>
        <cfvo type="min"/>
        <cfvo type="percentile" val="50"/>
        <cfvo type="max"/>
        <color rgb="FF63BE7B"/>
        <color rgb="FFFFEB84"/>
        <color rgb="FFF8696B"/>
      </colorScale>
    </cfRule>
    <cfRule type="colorScale" priority="6890">
      <colorScale>
        <cfvo type="min"/>
        <cfvo type="percentile" val="50"/>
        <cfvo type="max"/>
        <color rgb="FF63BE7B"/>
        <color rgb="FFFFEB84"/>
        <color rgb="FFF8696B"/>
      </colorScale>
    </cfRule>
    <cfRule type="colorScale" priority="6889">
      <colorScale>
        <cfvo type="min"/>
        <cfvo type="percentile" val="50"/>
        <cfvo type="max"/>
        <color rgb="FF63BE7B"/>
        <color rgb="FFFFEB84"/>
        <color rgb="FFF8696B"/>
      </colorScale>
    </cfRule>
    <cfRule type="colorScale" priority="6888">
      <colorScale>
        <cfvo type="min"/>
        <cfvo type="percentile" val="50"/>
        <cfvo type="max"/>
        <color rgb="FF63BE7B"/>
        <color rgb="FFFFEB84"/>
        <color rgb="FFF8696B"/>
      </colorScale>
    </cfRule>
    <cfRule type="colorScale" priority="6887">
      <colorScale>
        <cfvo type="min"/>
        <cfvo type="percentile" val="50"/>
        <cfvo type="max"/>
        <color rgb="FF63BE7B"/>
        <color rgb="FFFFEB84"/>
        <color rgb="FFF8696B"/>
      </colorScale>
    </cfRule>
    <cfRule type="colorScale" priority="1253">
      <colorScale>
        <cfvo type="min"/>
        <cfvo type="percentile" val="50"/>
        <cfvo type="max"/>
        <color rgb="FF63BE7B"/>
        <color rgb="FFFFEB84"/>
        <color rgb="FFF8696B"/>
      </colorScale>
    </cfRule>
    <cfRule type="colorScale" priority="1252">
      <colorScale>
        <cfvo type="min"/>
        <cfvo type="percentile" val="50"/>
        <cfvo type="max"/>
        <color rgb="FF63BE7B"/>
        <color rgb="FFFFEB84"/>
        <color rgb="FFF8696B"/>
      </colorScale>
    </cfRule>
    <cfRule type="colorScale" priority="1251">
      <colorScale>
        <cfvo type="min"/>
        <cfvo type="percentile" val="50"/>
        <cfvo type="max"/>
        <color rgb="FF63BE7B"/>
        <color rgb="FFFFEB84"/>
        <color rgb="FFF8696B"/>
      </colorScale>
    </cfRule>
    <cfRule type="colorScale" priority="1250">
      <colorScale>
        <cfvo type="min"/>
        <cfvo type="percentile" val="50"/>
        <cfvo type="max"/>
        <color rgb="FF63BE7B"/>
        <color rgb="FFFFEB84"/>
        <color rgb="FFF8696B"/>
      </colorScale>
    </cfRule>
    <cfRule type="colorScale" priority="1249">
      <colorScale>
        <cfvo type="min"/>
        <cfvo type="percentile" val="50"/>
        <cfvo type="max"/>
        <color rgb="FF63BE7B"/>
        <color rgb="FFFFEB84"/>
        <color rgb="FFF8696B"/>
      </colorScale>
    </cfRule>
    <cfRule type="colorScale" priority="1248">
      <colorScale>
        <cfvo type="min"/>
        <cfvo type="percentile" val="50"/>
        <cfvo type="max"/>
        <color rgb="FF63BE7B"/>
        <color rgb="FFFFEB84"/>
        <color rgb="FFF8696B"/>
      </colorScale>
    </cfRule>
    <cfRule type="colorScale" priority="1247">
      <colorScale>
        <cfvo type="min"/>
        <cfvo type="percentile" val="50"/>
        <cfvo type="max"/>
        <color rgb="FF63BE7B"/>
        <color rgb="FFFFEB84"/>
        <color rgb="FFF8696B"/>
      </colorScale>
    </cfRule>
    <cfRule type="colorScale" priority="1246">
      <colorScale>
        <cfvo type="min"/>
        <cfvo type="percentile" val="50"/>
        <cfvo type="max"/>
        <color rgb="FF63BE7B"/>
        <color rgb="FFFFEB84"/>
        <color rgb="FFF8696B"/>
      </colorScale>
    </cfRule>
    <cfRule type="colorScale" priority="1245">
      <colorScale>
        <cfvo type="min"/>
        <cfvo type="percentile" val="50"/>
        <cfvo type="max"/>
        <color rgb="FF63BE7B"/>
        <color rgb="FFFFEB84"/>
        <color rgb="FFF8696B"/>
      </colorScale>
    </cfRule>
    <cfRule type="colorScale" priority="1244">
      <colorScale>
        <cfvo type="min"/>
        <cfvo type="percentile" val="50"/>
        <cfvo type="max"/>
        <color rgb="FF63BE7B"/>
        <color rgb="FFFFEB84"/>
        <color rgb="FFF8696B"/>
      </colorScale>
    </cfRule>
    <cfRule type="colorScale" priority="1243">
      <colorScale>
        <cfvo type="min"/>
        <cfvo type="percentile" val="50"/>
        <cfvo type="max"/>
        <color rgb="FF63BE7B"/>
        <color rgb="FFFFEB84"/>
        <color rgb="FFF8696B"/>
      </colorScale>
    </cfRule>
    <cfRule type="colorScale" priority="1242">
      <colorScale>
        <cfvo type="min"/>
        <cfvo type="percentile" val="50"/>
        <cfvo type="max"/>
        <color rgb="FF63BE7B"/>
        <color rgb="FFFFEB84"/>
        <color rgb="FFF8696B"/>
      </colorScale>
    </cfRule>
    <cfRule type="colorScale" priority="1241">
      <colorScale>
        <cfvo type="min"/>
        <cfvo type="percentile" val="50"/>
        <cfvo type="max"/>
        <color rgb="FF63BE7B"/>
        <color rgb="FFFFEB84"/>
        <color rgb="FFF8696B"/>
      </colorScale>
    </cfRule>
    <cfRule type="colorScale" priority="1240">
      <colorScale>
        <cfvo type="min"/>
        <cfvo type="percentile" val="50"/>
        <cfvo type="max"/>
        <color rgb="FFF8696B"/>
        <color rgb="FFFFEB84"/>
        <color rgb="FF63BE7B"/>
      </colorScale>
    </cfRule>
    <cfRule type="colorScale" priority="1237">
      <colorScale>
        <cfvo type="min"/>
        <cfvo type="percentile" val="50"/>
        <cfvo type="max"/>
        <color rgb="FF63BE7B"/>
        <color rgb="FFFFEB84"/>
        <color rgb="FFF8696B"/>
      </colorScale>
    </cfRule>
    <cfRule type="colorScale" priority="1236">
      <colorScale>
        <cfvo type="min"/>
        <cfvo type="percentile" val="50"/>
        <cfvo type="max"/>
        <color rgb="FF63BE7B"/>
        <color rgb="FFFFEB84"/>
        <color rgb="FFF8696B"/>
      </colorScale>
    </cfRule>
    <cfRule type="colorScale" priority="1235">
      <colorScale>
        <cfvo type="min"/>
        <cfvo type="percentile" val="50"/>
        <cfvo type="max"/>
        <color rgb="FF63BE7B"/>
        <color rgb="FFFFEB84"/>
        <color rgb="FFF8696B"/>
      </colorScale>
    </cfRule>
    <cfRule type="colorScale" priority="1234">
      <colorScale>
        <cfvo type="min"/>
        <cfvo type="percentile" val="50"/>
        <cfvo type="max"/>
        <color rgb="FF63BE7B"/>
        <color rgb="FFFFEB84"/>
        <color rgb="FFF8696B"/>
      </colorScale>
    </cfRule>
    <cfRule type="colorScale" priority="1233">
      <colorScale>
        <cfvo type="min"/>
        <cfvo type="percentile" val="50"/>
        <cfvo type="max"/>
        <color rgb="FF63BE7B"/>
        <color rgb="FFFFEB84"/>
        <color rgb="FFF8696B"/>
      </colorScale>
    </cfRule>
    <cfRule type="colorScale" priority="1232">
      <colorScale>
        <cfvo type="min"/>
        <cfvo type="percentile" val="50"/>
        <cfvo type="max"/>
        <color rgb="FF63BE7B"/>
        <color rgb="FFFFEB84"/>
        <color rgb="FFF8696B"/>
      </colorScale>
    </cfRule>
    <cfRule type="colorScale" priority="1231">
      <colorScale>
        <cfvo type="min"/>
        <cfvo type="percentile" val="50"/>
        <cfvo type="max"/>
        <color rgb="FF63BE7B"/>
        <color rgb="FFFFEB84"/>
        <color rgb="FFF8696B"/>
      </colorScale>
    </cfRule>
    <cfRule type="colorScale" priority="1230">
      <colorScale>
        <cfvo type="min"/>
        <cfvo type="percentile" val="50"/>
        <cfvo type="max"/>
        <color rgb="FF63BE7B"/>
        <color rgb="FFFFEB84"/>
        <color rgb="FFF8696B"/>
      </colorScale>
    </cfRule>
    <cfRule type="colorScale" priority="1229">
      <colorScale>
        <cfvo type="min"/>
        <cfvo type="percentile" val="50"/>
        <cfvo type="max"/>
        <color rgb="FF63BE7B"/>
        <color rgb="FFFFEB84"/>
        <color rgb="FFF8696B"/>
      </colorScale>
    </cfRule>
    <cfRule type="colorScale" priority="1228">
      <colorScale>
        <cfvo type="min"/>
        <cfvo type="percentile" val="50"/>
        <cfvo type="max"/>
        <color rgb="FF63BE7B"/>
        <color rgb="FFFFEB84"/>
        <color rgb="FFF8696B"/>
      </colorScale>
    </cfRule>
    <cfRule type="colorScale" priority="1227">
      <colorScale>
        <cfvo type="min"/>
        <cfvo type="percentile" val="50"/>
        <cfvo type="max"/>
        <color rgb="FF63BE7B"/>
        <color rgb="FFFFEB84"/>
        <color rgb="FFF8696B"/>
      </colorScale>
    </cfRule>
    <cfRule type="colorScale" priority="1226">
      <colorScale>
        <cfvo type="min"/>
        <cfvo type="percentile" val="50"/>
        <cfvo type="max"/>
        <color rgb="FF63BE7B"/>
        <color rgb="FFFFEB84"/>
        <color rgb="FFF8696B"/>
      </colorScale>
    </cfRule>
    <cfRule type="colorScale" priority="1225">
      <colorScale>
        <cfvo type="min"/>
        <cfvo type="percentile" val="50"/>
        <cfvo type="max"/>
        <color rgb="FF63BE7B"/>
        <color rgb="FFFFEB84"/>
        <color rgb="FFF8696B"/>
      </colorScale>
    </cfRule>
    <cfRule type="colorScale" priority="1224">
      <colorScale>
        <cfvo type="min"/>
        <cfvo type="percentile" val="50"/>
        <cfvo type="max"/>
        <color rgb="FF63BE7B"/>
        <color rgb="FFFFEB84"/>
        <color rgb="FFF8696B"/>
      </colorScale>
    </cfRule>
    <cfRule type="colorScale" priority="1223">
      <colorScale>
        <cfvo type="min"/>
        <cfvo type="percentile" val="50"/>
        <cfvo type="max"/>
        <color rgb="FF63BE7B"/>
        <color rgb="FFFFEB84"/>
        <color rgb="FFF8696B"/>
      </colorScale>
    </cfRule>
  </conditionalFormatting>
  <conditionalFormatting sqref="AA54:AA61">
    <cfRule type="colorScale" priority="32">
      <colorScale>
        <cfvo type="min"/>
        <cfvo type="percentile" val="50"/>
        <cfvo type="max"/>
        <color rgb="FF63BE7B"/>
        <color rgb="FFFFEB84"/>
        <color rgb="FFF8696B"/>
      </colorScale>
    </cfRule>
  </conditionalFormatting>
  <conditionalFormatting sqref="AA65:AA71">
    <cfRule type="colorScale" priority="12511">
      <colorScale>
        <cfvo type="min"/>
        <cfvo type="percentile" val="50"/>
        <cfvo type="max"/>
        <color rgb="FF63BE7B"/>
        <color rgb="FFFFEB84"/>
        <color rgb="FFF8696B"/>
      </colorScale>
    </cfRule>
    <cfRule type="colorScale" priority="12512">
      <colorScale>
        <cfvo type="min"/>
        <cfvo type="percentile" val="50"/>
        <cfvo type="max"/>
        <color rgb="FF63BE7B"/>
        <color rgb="FFFFEB84"/>
        <color rgb="FFF8696B"/>
      </colorScale>
    </cfRule>
    <cfRule type="colorScale" priority="12513">
      <colorScale>
        <cfvo type="min"/>
        <cfvo type="percentile" val="50"/>
        <cfvo type="max"/>
        <color rgb="FF63BE7B"/>
        <color rgb="FFFFEB84"/>
        <color rgb="FFF8696B"/>
      </colorScale>
    </cfRule>
  </conditionalFormatting>
  <conditionalFormatting sqref="AA65:AA80">
    <cfRule type="colorScale" priority="12583">
      <colorScale>
        <cfvo type="min"/>
        <cfvo type="percentile" val="50"/>
        <cfvo type="max"/>
        <color rgb="FF63BE7B"/>
        <color rgb="FFFFEB84"/>
        <color rgb="FFF8696B"/>
      </colorScale>
    </cfRule>
  </conditionalFormatting>
  <conditionalFormatting sqref="AA66:AA71">
    <cfRule type="colorScale" priority="12514">
      <colorScale>
        <cfvo type="min"/>
        <cfvo type="percentile" val="50"/>
        <cfvo type="max"/>
        <color rgb="FF63BE7B"/>
        <color rgb="FFFFEB84"/>
        <color rgb="FFF8696B"/>
      </colorScale>
    </cfRule>
  </conditionalFormatting>
  <conditionalFormatting sqref="AA73:AA80">
    <cfRule type="colorScale" priority="12394">
      <colorScale>
        <cfvo type="min"/>
        <cfvo type="percentile" val="50"/>
        <cfvo type="max"/>
        <color rgb="FF63BE7B"/>
        <color rgb="FFFFEB84"/>
        <color rgb="FFF8696B"/>
      </colorScale>
    </cfRule>
    <cfRule type="colorScale" priority="12395">
      <colorScale>
        <cfvo type="min"/>
        <cfvo type="percentile" val="50"/>
        <cfvo type="max"/>
        <color rgb="FF63BE7B"/>
        <color rgb="FFFFEB84"/>
        <color rgb="FFF8696B"/>
      </colorScale>
    </cfRule>
    <cfRule type="colorScale" priority="12396">
      <colorScale>
        <cfvo type="min"/>
        <cfvo type="percentile" val="50"/>
        <cfvo type="max"/>
        <color rgb="FF63BE7B"/>
        <color rgb="FFFFEB84"/>
        <color rgb="FFF8696B"/>
      </colorScale>
    </cfRule>
    <cfRule type="colorScale" priority="12397">
      <colorScale>
        <cfvo type="min"/>
        <cfvo type="percentile" val="50"/>
        <cfvo type="max"/>
        <color rgb="FF63BE7B"/>
        <color rgb="FFFFEB84"/>
        <color rgb="FFF8696B"/>
      </colorScale>
    </cfRule>
  </conditionalFormatting>
  <conditionalFormatting sqref="AA84:AA91">
    <cfRule type="colorScale" priority="12118">
      <colorScale>
        <cfvo type="min"/>
        <cfvo type="percentile" val="50"/>
        <cfvo type="max"/>
        <color rgb="FF63BE7B"/>
        <color rgb="FFFFEB84"/>
        <color rgb="FFF8696B"/>
      </colorScale>
    </cfRule>
    <cfRule type="colorScale" priority="12117">
      <colorScale>
        <cfvo type="min"/>
        <cfvo type="percentile" val="50"/>
        <cfvo type="max"/>
        <color rgb="FF63BE7B"/>
        <color rgb="FFFFEB84"/>
        <color rgb="FFF8696B"/>
      </colorScale>
    </cfRule>
    <cfRule type="colorScale" priority="12115">
      <colorScale>
        <cfvo type="min"/>
        <cfvo type="percentile" val="50"/>
        <cfvo type="max"/>
        <color rgb="FF63BE7B"/>
        <color rgb="FFFFEB84"/>
        <color rgb="FFF8696B"/>
      </colorScale>
    </cfRule>
  </conditionalFormatting>
  <conditionalFormatting sqref="AA86">
    <cfRule type="colorScale" priority="12116">
      <colorScale>
        <cfvo type="min"/>
        <cfvo type="percentile" val="50"/>
        <cfvo type="max"/>
        <color rgb="FF63BE7B"/>
        <color rgb="FFFFEB84"/>
        <color rgb="FFF8696B"/>
      </colorScale>
    </cfRule>
  </conditionalFormatting>
  <conditionalFormatting sqref="AA96:AA102">
    <cfRule type="colorScale" priority="11906">
      <colorScale>
        <cfvo type="min"/>
        <cfvo type="percentile" val="50"/>
        <cfvo type="max"/>
        <color rgb="FF63BE7B"/>
        <color rgb="FFFFEB84"/>
        <color rgb="FFF8696B"/>
      </colorScale>
    </cfRule>
    <cfRule type="colorScale" priority="11905">
      <colorScale>
        <cfvo type="min"/>
        <cfvo type="percentile" val="50"/>
        <cfvo type="max"/>
        <color rgb="FF63BE7B"/>
        <color rgb="FFFFEB84"/>
        <color rgb="FFF8696B"/>
      </colorScale>
    </cfRule>
    <cfRule type="colorScale" priority="11907">
      <colorScale>
        <cfvo type="min"/>
        <cfvo type="percentile" val="50"/>
        <cfvo type="max"/>
        <color rgb="FF63BE7B"/>
        <color rgb="FFFFEB84"/>
        <color rgb="FFF8696B"/>
      </colorScale>
    </cfRule>
  </conditionalFormatting>
  <conditionalFormatting sqref="AA96:AA111">
    <cfRule type="colorScale" priority="11977">
      <colorScale>
        <cfvo type="min"/>
        <cfvo type="percentile" val="50"/>
        <cfvo type="max"/>
        <color rgb="FF63BE7B"/>
        <color rgb="FFFFEB84"/>
        <color rgb="FFF8696B"/>
      </colorScale>
    </cfRule>
  </conditionalFormatting>
  <conditionalFormatting sqref="AA97:AA102">
    <cfRule type="colorScale" priority="11908">
      <colorScale>
        <cfvo type="min"/>
        <cfvo type="percentile" val="50"/>
        <cfvo type="max"/>
        <color rgb="FF63BE7B"/>
        <color rgb="FFFFEB84"/>
        <color rgb="FFF8696B"/>
      </colorScale>
    </cfRule>
  </conditionalFormatting>
  <conditionalFormatting sqref="AA104:AA111">
    <cfRule type="colorScale" priority="11788">
      <colorScale>
        <cfvo type="min"/>
        <cfvo type="percentile" val="50"/>
        <cfvo type="max"/>
        <color rgb="FF63BE7B"/>
        <color rgb="FFFFEB84"/>
        <color rgb="FFF8696B"/>
      </colorScale>
    </cfRule>
    <cfRule type="colorScale" priority="11789">
      <colorScale>
        <cfvo type="min"/>
        <cfvo type="percentile" val="50"/>
        <cfvo type="max"/>
        <color rgb="FF63BE7B"/>
        <color rgb="FFFFEB84"/>
        <color rgb="FFF8696B"/>
      </colorScale>
    </cfRule>
    <cfRule type="colorScale" priority="11790">
      <colorScale>
        <cfvo type="min"/>
        <cfvo type="percentile" val="50"/>
        <cfvo type="max"/>
        <color rgb="FF63BE7B"/>
        <color rgb="FFFFEB84"/>
        <color rgb="FFF8696B"/>
      </colorScale>
    </cfRule>
    <cfRule type="colorScale" priority="11791">
      <colorScale>
        <cfvo type="min"/>
        <cfvo type="percentile" val="50"/>
        <cfvo type="max"/>
        <color rgb="FF63BE7B"/>
        <color rgb="FFFFEB84"/>
        <color rgb="FFF8696B"/>
      </colorScale>
    </cfRule>
  </conditionalFormatting>
  <conditionalFormatting sqref="AA115:AA122">
    <cfRule type="colorScale" priority="11512">
      <colorScale>
        <cfvo type="min"/>
        <cfvo type="percentile" val="50"/>
        <cfvo type="max"/>
        <color rgb="FF63BE7B"/>
        <color rgb="FFFFEB84"/>
        <color rgb="FFF8696B"/>
      </colorScale>
    </cfRule>
    <cfRule type="colorScale" priority="11514">
      <colorScale>
        <cfvo type="min"/>
        <cfvo type="percentile" val="50"/>
        <cfvo type="max"/>
        <color rgb="FF63BE7B"/>
        <color rgb="FFFFEB84"/>
        <color rgb="FFF8696B"/>
      </colorScale>
    </cfRule>
    <cfRule type="colorScale" priority="11515">
      <colorScale>
        <cfvo type="min"/>
        <cfvo type="percentile" val="50"/>
        <cfvo type="max"/>
        <color rgb="FF63BE7B"/>
        <color rgb="FFFFEB84"/>
        <color rgb="FFF8696B"/>
      </colorScale>
    </cfRule>
  </conditionalFormatting>
  <conditionalFormatting sqref="AA117">
    <cfRule type="colorScale" priority="11513">
      <colorScale>
        <cfvo type="min"/>
        <cfvo type="percentile" val="50"/>
        <cfvo type="max"/>
        <color rgb="FF63BE7B"/>
        <color rgb="FFFFEB84"/>
        <color rgb="FFF8696B"/>
      </colorScale>
    </cfRule>
  </conditionalFormatting>
  <conditionalFormatting sqref="AA35:AB37">
    <cfRule type="colorScale" priority="9907">
      <colorScale>
        <cfvo type="min"/>
        <cfvo type="percentile" val="50"/>
        <cfvo type="max"/>
        <color rgb="FF63BE7B"/>
        <color rgb="FFFFEB84"/>
        <color rgb="FFF8696B"/>
      </colorScale>
    </cfRule>
    <cfRule type="colorScale" priority="9906">
      <colorScale>
        <cfvo type="min"/>
        <cfvo type="percentile" val="50"/>
        <cfvo type="max"/>
        <color rgb="FF63BE7B"/>
        <color rgb="FFFFEB84"/>
        <color rgb="FFF8696B"/>
      </colorScale>
    </cfRule>
    <cfRule type="colorScale" priority="9904">
      <colorScale>
        <cfvo type="min"/>
        <cfvo type="percentile" val="50"/>
        <cfvo type="max"/>
        <color rgb="FF63BE7B"/>
        <color rgb="FFFFEB84"/>
        <color rgb="FFF8696B"/>
      </colorScale>
    </cfRule>
    <cfRule type="colorScale" priority="9902">
      <colorScale>
        <cfvo type="min"/>
        <cfvo type="percentile" val="50"/>
        <cfvo type="max"/>
        <color rgb="FF63BE7B"/>
        <color rgb="FFFFEB84"/>
        <color rgb="FFF8696B"/>
      </colorScale>
    </cfRule>
    <cfRule type="colorScale" priority="9901">
      <colorScale>
        <cfvo type="min"/>
        <cfvo type="percentile" val="50"/>
        <cfvo type="max"/>
        <color rgb="FF63BE7B"/>
        <color rgb="FFFFEB84"/>
        <color rgb="FFF8696B"/>
      </colorScale>
    </cfRule>
    <cfRule type="colorScale" priority="9893">
      <colorScale>
        <cfvo type="min"/>
        <cfvo type="percentile" val="50"/>
        <cfvo type="max"/>
        <color rgb="FF63BE7B"/>
        <color rgb="FFFFEB84"/>
        <color rgb="FFF8696B"/>
      </colorScale>
    </cfRule>
    <cfRule type="colorScale" priority="9903">
      <colorScale>
        <cfvo type="min"/>
        <cfvo type="percentile" val="50"/>
        <cfvo type="max"/>
        <color rgb="FF63BE7B"/>
        <color rgb="FFFFEB84"/>
        <color rgb="FFF8696B"/>
      </colorScale>
    </cfRule>
  </conditionalFormatting>
  <conditionalFormatting sqref="AA35:AB41">
    <cfRule type="colorScale" priority="9892">
      <colorScale>
        <cfvo type="min"/>
        <cfvo type="percentile" val="50"/>
        <cfvo type="max"/>
        <color rgb="FF63BE7B"/>
        <color rgb="FFFFEB84"/>
        <color rgb="FFF8696B"/>
      </colorScale>
    </cfRule>
    <cfRule type="colorScale" priority="9910">
      <colorScale>
        <cfvo type="min"/>
        <cfvo type="percentile" val="50"/>
        <cfvo type="max"/>
        <color rgb="FF63BE7B"/>
        <color rgb="FFFFEB84"/>
        <color rgb="FFF8696B"/>
      </colorScale>
    </cfRule>
    <cfRule type="colorScale" priority="9908">
      <colorScale>
        <cfvo type="min"/>
        <cfvo type="percentile" val="50"/>
        <cfvo type="max"/>
        <color rgb="FF63BE7B"/>
        <color rgb="FFFFEB84"/>
        <color rgb="FFF8696B"/>
      </colorScale>
    </cfRule>
    <cfRule type="colorScale" priority="9909">
      <colorScale>
        <cfvo type="min"/>
        <cfvo type="percentile" val="50"/>
        <cfvo type="max"/>
        <color rgb="FF63BE7B"/>
        <color rgb="FFFFEB84"/>
        <color rgb="FFF8696B"/>
      </colorScale>
    </cfRule>
    <cfRule type="colorScale" priority="9900">
      <colorScale>
        <cfvo type="min"/>
        <cfvo type="percentile" val="50"/>
        <cfvo type="max"/>
        <color rgb="FF63BE7B"/>
        <color rgb="FFFFEB84"/>
        <color rgb="FFF8696B"/>
      </colorScale>
    </cfRule>
    <cfRule type="colorScale" priority="9891">
      <colorScale>
        <cfvo type="min"/>
        <cfvo type="percentile" val="50"/>
        <cfvo type="max"/>
        <color rgb="FF63BE7B"/>
        <color rgb="FFFFEB84"/>
        <color rgb="FFF8696B"/>
      </colorScale>
    </cfRule>
    <cfRule type="colorScale" priority="9895">
      <colorScale>
        <cfvo type="min"/>
        <cfvo type="percentile" val="50"/>
        <cfvo type="max"/>
        <color rgb="FF63BE7B"/>
        <color rgb="FFFFEB84"/>
        <color rgb="FFF8696B"/>
      </colorScale>
    </cfRule>
    <cfRule type="colorScale" priority="9896">
      <colorScale>
        <cfvo type="min"/>
        <cfvo type="percentile" val="50"/>
        <cfvo type="max"/>
        <color rgb="FF63BE7B"/>
        <color rgb="FFFFEB84"/>
        <color rgb="FFF8696B"/>
      </colorScale>
    </cfRule>
    <cfRule type="colorScale" priority="9894">
      <colorScale>
        <cfvo type="min"/>
        <cfvo type="percentile" val="50"/>
        <cfvo type="max"/>
        <color rgb="FF63BE7B"/>
        <color rgb="FFFFEB84"/>
        <color rgb="FFF8696B"/>
      </colorScale>
    </cfRule>
    <cfRule type="colorScale" priority="9897">
      <colorScale>
        <cfvo type="min"/>
        <cfvo type="percentile" val="50"/>
        <cfvo type="max"/>
        <color rgb="FF63BE7B"/>
        <color rgb="FFFFEB84"/>
        <color rgb="FFF8696B"/>
      </colorScale>
    </cfRule>
    <cfRule type="colorScale" priority="9898">
      <colorScale>
        <cfvo type="min"/>
        <cfvo type="percentile" val="50"/>
        <cfvo type="max"/>
        <color rgb="FF63BE7B"/>
        <color rgb="FFFFEB84"/>
        <color rgb="FFF8696B"/>
      </colorScale>
    </cfRule>
    <cfRule type="colorScale" priority="9899">
      <colorScale>
        <cfvo type="min"/>
        <cfvo type="percentile" val="50"/>
        <cfvo type="max"/>
        <color rgb="FF63BE7B"/>
        <color rgb="FFFFEB84"/>
        <color rgb="FFF8696B"/>
      </colorScale>
    </cfRule>
  </conditionalFormatting>
  <conditionalFormatting sqref="AA36:AB37">
    <cfRule type="colorScale" priority="9905">
      <colorScale>
        <cfvo type="min"/>
        <cfvo type="percentile" val="50"/>
        <cfvo type="max"/>
        <color rgb="FF63BE7B"/>
        <color rgb="FFFFEB84"/>
        <color rgb="FFF8696B"/>
      </colorScale>
    </cfRule>
  </conditionalFormatting>
  <conditionalFormatting sqref="AA36:AB41">
    <cfRule type="colorScale" priority="9911">
      <colorScale>
        <cfvo type="min"/>
        <cfvo type="percentile" val="50"/>
        <cfvo type="max"/>
        <color rgb="FF63BE7B"/>
        <color rgb="FFFFEB84"/>
        <color rgb="FFF8696B"/>
      </colorScale>
    </cfRule>
  </conditionalFormatting>
  <conditionalFormatting sqref="AA52:AB53">
    <cfRule type="colorScale" priority="6078">
      <colorScale>
        <cfvo type="min"/>
        <cfvo type="percentile" val="50"/>
        <cfvo type="max"/>
        <color rgb="FF63BE7B"/>
        <color rgb="FFFFEB84"/>
        <color rgb="FFF8696B"/>
      </colorScale>
    </cfRule>
    <cfRule type="colorScale" priority="6079">
      <colorScale>
        <cfvo type="min"/>
        <cfvo type="percentile" val="50"/>
        <cfvo type="max"/>
        <color rgb="FF63BE7B"/>
        <color rgb="FFFFEB84"/>
        <color rgb="FFF8696B"/>
      </colorScale>
    </cfRule>
    <cfRule type="colorScale" priority="6080">
      <colorScale>
        <cfvo type="min"/>
        <cfvo type="percentile" val="50"/>
        <cfvo type="max"/>
        <color rgb="FF63BE7B"/>
        <color rgb="FFFFEB84"/>
        <color rgb="FFF8696B"/>
      </colorScale>
    </cfRule>
    <cfRule type="colorScale" priority="6081">
      <colorScale>
        <cfvo type="min"/>
        <cfvo type="percentile" val="50"/>
        <cfvo type="max"/>
        <color rgb="FF63BE7B"/>
        <color rgb="FFFFEB84"/>
        <color rgb="FFF8696B"/>
      </colorScale>
    </cfRule>
    <cfRule type="colorScale" priority="6082">
      <colorScale>
        <cfvo type="min"/>
        <cfvo type="percentile" val="50"/>
        <cfvo type="max"/>
        <color rgb="FF63BE7B"/>
        <color rgb="FFFFEB84"/>
        <color rgb="FFF8696B"/>
      </colorScale>
    </cfRule>
    <cfRule type="colorScale" priority="6071">
      <colorScale>
        <cfvo type="min"/>
        <cfvo type="percentile" val="50"/>
        <cfvo type="max"/>
        <color rgb="FF63BE7B"/>
        <color rgb="FFFFEB84"/>
        <color rgb="FFF8696B"/>
      </colorScale>
    </cfRule>
    <cfRule type="colorScale" priority="6072">
      <colorScale>
        <cfvo type="min"/>
        <cfvo type="percentile" val="50"/>
        <cfvo type="max"/>
        <color rgb="FF63BE7B"/>
        <color rgb="FFFFEB84"/>
        <color rgb="FFF8696B"/>
      </colorScale>
    </cfRule>
    <cfRule type="colorScale" priority="6073">
      <colorScale>
        <cfvo type="min"/>
        <cfvo type="percentile" val="50"/>
        <cfvo type="max"/>
        <color rgb="FF63BE7B"/>
        <color rgb="FFFFEB84"/>
        <color rgb="FFF8696B"/>
      </colorScale>
    </cfRule>
    <cfRule type="colorScale" priority="6074">
      <colorScale>
        <cfvo type="min"/>
        <cfvo type="percentile" val="50"/>
        <cfvo type="max"/>
        <color rgb="FF63BE7B"/>
        <color rgb="FFFFEB84"/>
        <color rgb="FFF8696B"/>
      </colorScale>
    </cfRule>
    <cfRule type="colorScale" priority="6075">
      <colorScale>
        <cfvo type="min"/>
        <cfvo type="percentile" val="50"/>
        <cfvo type="max"/>
        <color rgb="FF63BE7B"/>
        <color rgb="FFFFEB84"/>
        <color rgb="FFF8696B"/>
      </colorScale>
    </cfRule>
    <cfRule type="colorScale" priority="6076">
      <colorScale>
        <cfvo type="min"/>
        <cfvo type="percentile" val="50"/>
        <cfvo type="max"/>
        <color rgb="FF63BE7B"/>
        <color rgb="FFFFEB84"/>
        <color rgb="FFF8696B"/>
      </colorScale>
    </cfRule>
    <cfRule type="colorScale" priority="6070">
      <colorScale>
        <cfvo type="min"/>
        <cfvo type="percentile" val="50"/>
        <cfvo type="max"/>
        <color rgb="FF63BE7B"/>
        <color rgb="FFFFEB84"/>
        <color rgb="FFF8696B"/>
      </colorScale>
    </cfRule>
    <cfRule type="colorScale" priority="6077">
      <colorScale>
        <cfvo type="min"/>
        <cfvo type="percentile" val="50"/>
        <cfvo type="max"/>
        <color rgb="FF63BE7B"/>
        <color rgb="FFFFEB84"/>
        <color rgb="FFF8696B"/>
      </colorScale>
    </cfRule>
  </conditionalFormatting>
  <conditionalFormatting sqref="AA35:AD37">
    <cfRule type="colorScale" priority="14884">
      <colorScale>
        <cfvo type="min"/>
        <cfvo type="percentile" val="50"/>
        <cfvo type="max"/>
        <color rgb="FF63BE7B"/>
        <color rgb="FFFFEB84"/>
        <color rgb="FFF8696B"/>
      </colorScale>
    </cfRule>
  </conditionalFormatting>
  <conditionalFormatting sqref="AA52:AD53">
    <cfRule type="colorScale" priority="7278">
      <colorScale>
        <cfvo type="min"/>
        <cfvo type="percentile" val="50"/>
        <cfvo type="max"/>
        <color rgb="FF63BE7B"/>
        <color rgb="FFFFEB84"/>
        <color rgb="FFF8696B"/>
      </colorScale>
    </cfRule>
    <cfRule type="colorScale" priority="7277">
      <colorScale>
        <cfvo type="min"/>
        <cfvo type="percentile" val="50"/>
        <cfvo type="max"/>
        <color rgb="FF63BE7B"/>
        <color rgb="FFFFEB84"/>
        <color rgb="FFF8696B"/>
      </colorScale>
    </cfRule>
    <cfRule type="colorScale" priority="7276">
      <colorScale>
        <cfvo type="min"/>
        <cfvo type="percentile" val="50"/>
        <cfvo type="max"/>
        <color rgb="FF63BE7B"/>
        <color rgb="FFFFEB84"/>
        <color rgb="FFF8696B"/>
      </colorScale>
    </cfRule>
    <cfRule type="colorScale" priority="7275">
      <colorScale>
        <cfvo type="min"/>
        <cfvo type="percentile" val="50"/>
        <cfvo type="max"/>
        <color rgb="FF63BE7B"/>
        <color rgb="FFFFEB84"/>
        <color rgb="FFF8696B"/>
      </colorScale>
    </cfRule>
    <cfRule type="colorScale" priority="7274">
      <colorScale>
        <cfvo type="min"/>
        <cfvo type="percentile" val="50"/>
        <cfvo type="max"/>
        <color rgb="FF63BE7B"/>
        <color rgb="FFFFEB84"/>
        <color rgb="FFF8696B"/>
      </colorScale>
    </cfRule>
    <cfRule type="colorScale" priority="7273">
      <colorScale>
        <cfvo type="min"/>
        <cfvo type="percentile" val="50"/>
        <cfvo type="max"/>
        <color rgb="FF63BE7B"/>
        <color rgb="FFFFEB84"/>
        <color rgb="FFF8696B"/>
      </colorScale>
    </cfRule>
    <cfRule type="colorScale" priority="7272">
      <colorScale>
        <cfvo type="min"/>
        <cfvo type="percentile" val="50"/>
        <cfvo type="max"/>
        <color rgb="FF63BE7B"/>
        <color rgb="FFFFEB84"/>
        <color rgb="FFF8696B"/>
      </colorScale>
    </cfRule>
    <cfRule type="colorScale" priority="7283">
      <colorScale>
        <cfvo type="min"/>
        <cfvo type="percentile" val="50"/>
        <cfvo type="max"/>
        <color rgb="FF63BE7B"/>
        <color rgb="FFFFEB84"/>
        <color rgb="FFF8696B"/>
      </colorScale>
    </cfRule>
    <cfRule type="colorScale" priority="7282">
      <colorScale>
        <cfvo type="min"/>
        <cfvo type="percentile" val="50"/>
        <cfvo type="max"/>
        <color rgb="FF63BE7B"/>
        <color rgb="FFFFEB84"/>
        <color rgb="FFF8696B"/>
      </colorScale>
    </cfRule>
    <cfRule type="colorScale" priority="7281">
      <colorScale>
        <cfvo type="min"/>
        <cfvo type="percentile" val="50"/>
        <cfvo type="max"/>
        <color rgb="FF63BE7B"/>
        <color rgb="FFFFEB84"/>
        <color rgb="FFF8696B"/>
      </colorScale>
    </cfRule>
    <cfRule type="colorScale" priority="7280">
      <colorScale>
        <cfvo type="min"/>
        <cfvo type="percentile" val="50"/>
        <cfvo type="max"/>
        <color rgb="FF63BE7B"/>
        <color rgb="FFFFEB84"/>
        <color rgb="FFF8696B"/>
      </colorScale>
    </cfRule>
    <cfRule type="colorScale" priority="7279">
      <colorScale>
        <cfvo type="min"/>
        <cfvo type="percentile" val="50"/>
        <cfvo type="max"/>
        <color rgb="FF63BE7B"/>
        <color rgb="FFFFEB84"/>
        <color rgb="FFF8696B"/>
      </colorScale>
    </cfRule>
  </conditionalFormatting>
  <conditionalFormatting sqref="AB35:AB50 AC39:AC45 AA35:AD41">
    <cfRule type="colorScale" priority="14886">
      <colorScale>
        <cfvo type="min"/>
        <cfvo type="percentile" val="50"/>
        <cfvo type="max"/>
        <color rgb="FF63BE7B"/>
        <color rgb="FFFFEB84"/>
        <color rgb="FFF8696B"/>
      </colorScale>
    </cfRule>
  </conditionalFormatting>
  <conditionalFormatting sqref="AB42:AB51">
    <cfRule type="colorScale" priority="7447">
      <colorScale>
        <cfvo type="min"/>
        <cfvo type="percentile" val="50"/>
        <cfvo type="max"/>
        <color rgb="FF63BE7B"/>
        <color rgb="FFFFEB84"/>
        <color rgb="FFF8696B"/>
      </colorScale>
    </cfRule>
  </conditionalFormatting>
  <conditionalFormatting sqref="AB51:AB53">
    <cfRule type="colorScale" priority="4130">
      <colorScale>
        <cfvo type="min"/>
        <cfvo type="percentile" val="50"/>
        <cfvo type="max"/>
        <color rgb="FF63BE7B"/>
        <color rgb="FFFFEB84"/>
        <color rgb="FFF8696B"/>
      </colorScale>
    </cfRule>
    <cfRule type="colorScale" priority="4157">
      <colorScale>
        <cfvo type="min"/>
        <cfvo type="percentile" val="50"/>
        <cfvo type="max"/>
        <color rgb="FF63BE7B"/>
        <color rgb="FFFFEB84"/>
        <color rgb="FFF8696B"/>
      </colorScale>
    </cfRule>
    <cfRule type="colorScale" priority="4158">
      <colorScale>
        <cfvo type="min"/>
        <cfvo type="percentile" val="50"/>
        <cfvo type="max"/>
        <color rgb="FF63BE7B"/>
        <color rgb="FFFFEB84"/>
        <color rgb="FFF8696B"/>
      </colorScale>
    </cfRule>
  </conditionalFormatting>
  <conditionalFormatting sqref="AB52:AB53">
    <cfRule type="colorScale" priority="4155">
      <colorScale>
        <cfvo type="min"/>
        <cfvo type="percentile" val="50"/>
        <cfvo type="max"/>
        <color rgb="FF63BE7B"/>
        <color rgb="FFFFEB84"/>
        <color rgb="FFF8696B"/>
      </colorScale>
    </cfRule>
    <cfRule type="colorScale" priority="4132">
      <colorScale>
        <cfvo type="min"/>
        <cfvo type="percentile" val="50"/>
        <cfvo type="max"/>
        <color rgb="FF63BE7B"/>
        <color rgb="FFFFEB84"/>
        <color rgb="FFF8696B"/>
      </colorScale>
    </cfRule>
    <cfRule type="colorScale" priority="4133">
      <colorScale>
        <cfvo type="min"/>
        <cfvo type="percentile" val="50"/>
        <cfvo type="max"/>
        <color rgb="FF63BE7B"/>
        <color rgb="FFFFEB84"/>
        <color rgb="FFF8696B"/>
      </colorScale>
    </cfRule>
    <cfRule type="colorScale" priority="4156">
      <colorScale>
        <cfvo type="min"/>
        <cfvo type="percentile" val="50"/>
        <cfvo type="max"/>
        <color rgb="FF63BE7B"/>
        <color rgb="FFFFEB84"/>
        <color rgb="FFF8696B"/>
      </colorScale>
    </cfRule>
    <cfRule type="colorScale" priority="4144">
      <colorScale>
        <cfvo type="min"/>
        <cfvo type="percentile" val="50"/>
        <cfvo type="max"/>
        <color rgb="FF63BE7B"/>
        <color rgb="FFFFEB84"/>
        <color rgb="FFF8696B"/>
      </colorScale>
    </cfRule>
    <cfRule type="colorScale" priority="4145">
      <colorScale>
        <cfvo type="min"/>
        <cfvo type="percentile" val="50"/>
        <cfvo type="max"/>
        <color rgb="FF63BE7B"/>
        <color rgb="FFFFEB84"/>
        <color rgb="FFF8696B"/>
      </colorScale>
    </cfRule>
    <cfRule type="colorScale" priority="4146">
      <colorScale>
        <cfvo type="min"/>
        <cfvo type="percentile" val="50"/>
        <cfvo type="max"/>
        <color rgb="FF63BE7B"/>
        <color rgb="FFFFEB84"/>
        <color rgb="FFF8696B"/>
      </colorScale>
    </cfRule>
    <cfRule type="colorScale" priority="4134">
      <colorScale>
        <cfvo type="min"/>
        <cfvo type="percentile" val="50"/>
        <cfvo type="max"/>
        <color rgb="FF63BE7B"/>
        <color rgb="FFFFEB84"/>
        <color rgb="FFF8696B"/>
      </colorScale>
    </cfRule>
    <cfRule type="colorScale" priority="4148">
      <colorScale>
        <cfvo type="min"/>
        <cfvo type="percentile" val="50"/>
        <cfvo type="max"/>
        <color rgb="FF63BE7B"/>
        <color rgb="FFFFEB84"/>
        <color rgb="FFF8696B"/>
      </colorScale>
    </cfRule>
    <cfRule type="colorScale" priority="4149">
      <colorScale>
        <cfvo type="min"/>
        <cfvo type="percentile" val="50"/>
        <cfvo type="max"/>
        <color rgb="FF63BE7B"/>
        <color rgb="FFFFEB84"/>
        <color rgb="FFF8696B"/>
      </colorScale>
    </cfRule>
    <cfRule type="colorScale" priority="4150">
      <colorScale>
        <cfvo type="min"/>
        <cfvo type="percentile" val="50"/>
        <cfvo type="max"/>
        <color rgb="FF63BE7B"/>
        <color rgb="FFFFEB84"/>
        <color rgb="FFF8696B"/>
      </colorScale>
    </cfRule>
    <cfRule type="colorScale" priority="4151">
      <colorScale>
        <cfvo type="min"/>
        <cfvo type="percentile" val="50"/>
        <cfvo type="max"/>
        <color rgb="FF63BE7B"/>
        <color rgb="FFFFEB84"/>
        <color rgb="FFF8696B"/>
      </colorScale>
    </cfRule>
    <cfRule type="colorScale" priority="4152">
      <colorScale>
        <cfvo type="min"/>
        <cfvo type="percentile" val="50"/>
        <cfvo type="max"/>
        <color rgb="FF63BE7B"/>
        <color rgb="FFFFEB84"/>
        <color rgb="FFF8696B"/>
      </colorScale>
    </cfRule>
    <cfRule type="colorScale" priority="4153">
      <colorScale>
        <cfvo type="min"/>
        <cfvo type="percentile" val="50"/>
        <cfvo type="max"/>
        <color rgb="FF63BE7B"/>
        <color rgb="FFFFEB84"/>
        <color rgb="FFF8696B"/>
      </colorScale>
    </cfRule>
    <cfRule type="colorScale" priority="4154">
      <colorScale>
        <cfvo type="min"/>
        <cfvo type="percentile" val="50"/>
        <cfvo type="max"/>
        <color rgb="FF63BE7B"/>
        <color rgb="FFFFEB84"/>
        <color rgb="FFF8696B"/>
      </colorScale>
    </cfRule>
    <cfRule type="colorScale" priority="4135">
      <colorScale>
        <cfvo type="min"/>
        <cfvo type="percentile" val="50"/>
        <cfvo type="max"/>
        <color rgb="FF63BE7B"/>
        <color rgb="FFFFEB84"/>
        <color rgb="FFF8696B"/>
      </colorScale>
    </cfRule>
    <cfRule type="colorScale" priority="4138">
      <colorScale>
        <cfvo type="min"/>
        <cfvo type="percentile" val="50"/>
        <cfvo type="max"/>
        <color rgb="FF63BE7B"/>
        <color rgb="FFFFEB84"/>
        <color rgb="FFF8696B"/>
      </colorScale>
    </cfRule>
    <cfRule type="colorScale" priority="4147">
      <colorScale>
        <cfvo type="min"/>
        <cfvo type="percentile" val="50"/>
        <cfvo type="max"/>
        <color rgb="FF63BE7B"/>
        <color rgb="FFFFEB84"/>
        <color rgb="FFF8696B"/>
      </colorScale>
    </cfRule>
    <cfRule type="colorScale" priority="4137">
      <colorScale>
        <cfvo type="min"/>
        <cfvo type="percentile" val="50"/>
        <cfvo type="max"/>
        <color rgb="FF63BE7B"/>
        <color rgb="FFFFEB84"/>
        <color rgb="FFF8696B"/>
      </colorScale>
    </cfRule>
    <cfRule type="colorScale" priority="4136">
      <colorScale>
        <cfvo type="min"/>
        <cfvo type="percentile" val="50"/>
        <cfvo type="max"/>
        <color rgb="FF63BE7B"/>
        <color rgb="FFFFEB84"/>
        <color rgb="FFF8696B"/>
      </colorScale>
    </cfRule>
    <cfRule type="colorScale" priority="4131">
      <colorScale>
        <cfvo type="min"/>
        <cfvo type="percentile" val="50"/>
        <cfvo type="max"/>
        <color rgb="FF63BE7B"/>
        <color rgb="FFFFEB84"/>
        <color rgb="FFF8696B"/>
      </colorScale>
    </cfRule>
    <cfRule type="colorScale" priority="4143">
      <colorScale>
        <cfvo type="min"/>
        <cfvo type="percentile" val="50"/>
        <cfvo type="max"/>
        <color rgb="FF63BE7B"/>
        <color rgb="FFFFEB84"/>
        <color rgb="FFF8696B"/>
      </colorScale>
    </cfRule>
    <cfRule type="colorScale" priority="4139">
      <colorScale>
        <cfvo type="min"/>
        <cfvo type="percentile" val="50"/>
        <cfvo type="max"/>
        <color rgb="FF63BE7B"/>
        <color rgb="FFFFEB84"/>
        <color rgb="FFF8696B"/>
      </colorScale>
    </cfRule>
    <cfRule type="colorScale" priority="4140">
      <colorScale>
        <cfvo type="min"/>
        <cfvo type="percentile" val="50"/>
        <cfvo type="max"/>
        <color rgb="FF63BE7B"/>
        <color rgb="FFFFEB84"/>
        <color rgb="FFF8696B"/>
      </colorScale>
    </cfRule>
    <cfRule type="colorScale" priority="4141">
      <colorScale>
        <cfvo type="min"/>
        <cfvo type="percentile" val="50"/>
        <cfvo type="max"/>
        <color rgb="FF63BE7B"/>
        <color rgb="FFFFEB84"/>
        <color rgb="FFF8696B"/>
      </colorScale>
    </cfRule>
    <cfRule type="colorScale" priority="4142">
      <colorScale>
        <cfvo type="min"/>
        <cfvo type="percentile" val="50"/>
        <cfvo type="max"/>
        <color rgb="FF63BE7B"/>
        <color rgb="FFFFEB84"/>
        <color rgb="FFF8696B"/>
      </colorScale>
    </cfRule>
  </conditionalFormatting>
  <conditionalFormatting sqref="AB54:AB61">
    <cfRule type="colorScale" priority="31">
      <colorScale>
        <cfvo type="min"/>
        <cfvo type="percentile" val="50"/>
        <cfvo type="max"/>
        <color rgb="FF63BE7B"/>
        <color rgb="FFFFEB84"/>
        <color rgb="FFF8696B"/>
      </colorScale>
    </cfRule>
  </conditionalFormatting>
  <conditionalFormatting sqref="AB84:AB91">
    <cfRule type="colorScale" priority="12113">
      <colorScale>
        <cfvo type="min"/>
        <cfvo type="percentile" val="50"/>
        <cfvo type="max"/>
        <color rgb="FF63BE7B"/>
        <color rgb="FFFFEB84"/>
        <color rgb="FFF8696B"/>
      </colorScale>
    </cfRule>
    <cfRule type="colorScale" priority="12111">
      <colorScale>
        <cfvo type="min"/>
        <cfvo type="percentile" val="50"/>
        <cfvo type="max"/>
        <color rgb="FF63BE7B"/>
        <color rgb="FFFFEB84"/>
        <color rgb="FFF8696B"/>
      </colorScale>
    </cfRule>
    <cfRule type="colorScale" priority="12114">
      <colorScale>
        <cfvo type="min"/>
        <cfvo type="percentile" val="50"/>
        <cfvo type="max"/>
        <color rgb="FF63BE7B"/>
        <color rgb="FFFFEB84"/>
        <color rgb="FFF8696B"/>
      </colorScale>
    </cfRule>
  </conditionalFormatting>
  <conditionalFormatting sqref="AB86">
    <cfRule type="colorScale" priority="12112">
      <colorScale>
        <cfvo type="min"/>
        <cfvo type="percentile" val="50"/>
        <cfvo type="max"/>
        <color rgb="FF63BE7B"/>
        <color rgb="FFFFEB84"/>
        <color rgb="FFF8696B"/>
      </colorScale>
    </cfRule>
  </conditionalFormatting>
  <conditionalFormatting sqref="AB115:AB122">
    <cfRule type="colorScale" priority="11508">
      <colorScale>
        <cfvo type="min"/>
        <cfvo type="percentile" val="50"/>
        <cfvo type="max"/>
        <color rgb="FF63BE7B"/>
        <color rgb="FFFFEB84"/>
        <color rgb="FFF8696B"/>
      </colorScale>
    </cfRule>
    <cfRule type="colorScale" priority="11510">
      <colorScale>
        <cfvo type="min"/>
        <cfvo type="percentile" val="50"/>
        <cfvo type="max"/>
        <color rgb="FF63BE7B"/>
        <color rgb="FFFFEB84"/>
        <color rgb="FFF8696B"/>
      </colorScale>
    </cfRule>
    <cfRule type="colorScale" priority="11511">
      <colorScale>
        <cfvo type="min"/>
        <cfvo type="percentile" val="50"/>
        <cfvo type="max"/>
        <color rgb="FF63BE7B"/>
        <color rgb="FFFFEB84"/>
        <color rgb="FFF8696B"/>
      </colorScale>
    </cfRule>
  </conditionalFormatting>
  <conditionalFormatting sqref="AB117">
    <cfRule type="colorScale" priority="11509">
      <colorScale>
        <cfvo type="min"/>
        <cfvo type="percentile" val="50"/>
        <cfvo type="max"/>
        <color rgb="FF63BE7B"/>
        <color rgb="FFFFEB84"/>
        <color rgb="FFF8696B"/>
      </colorScale>
    </cfRule>
  </conditionalFormatting>
  <conditionalFormatting sqref="AC35:AC37">
    <cfRule type="colorScale" priority="9047">
      <colorScale>
        <cfvo type="min"/>
        <cfvo type="percentile" val="50"/>
        <cfvo type="max"/>
        <color rgb="FF63BE7B"/>
        <color rgb="FFFFEB84"/>
        <color rgb="FFF8696B"/>
      </colorScale>
    </cfRule>
    <cfRule type="colorScale" priority="9049">
      <colorScale>
        <cfvo type="min"/>
        <cfvo type="percentile" val="50"/>
        <cfvo type="max"/>
        <color rgb="FF63BE7B"/>
        <color rgb="FFFFEB84"/>
        <color rgb="FFF8696B"/>
      </colorScale>
    </cfRule>
    <cfRule type="colorScale" priority="9080">
      <colorScale>
        <cfvo type="min"/>
        <cfvo type="percentile" val="50"/>
        <cfvo type="max"/>
        <color rgb="FF63BE7B"/>
        <color rgb="FFFFEB84"/>
        <color rgb="FFF8696B"/>
      </colorScale>
    </cfRule>
    <cfRule type="colorScale" priority="9053">
      <colorScale>
        <cfvo type="min"/>
        <cfvo type="percentile" val="50"/>
        <cfvo type="max"/>
        <color rgb="FF63BE7B"/>
        <color rgb="FFFFEB84"/>
        <color rgb="FFF8696B"/>
      </colorScale>
    </cfRule>
    <cfRule type="colorScale" priority="9066">
      <colorScale>
        <cfvo type="min"/>
        <cfvo type="percentile" val="50"/>
        <cfvo type="max"/>
        <color rgb="FF63BE7B"/>
        <color rgb="FFFFEB84"/>
        <color rgb="FFF8696B"/>
      </colorScale>
    </cfRule>
    <cfRule type="colorScale" priority="9077">
      <colorScale>
        <cfvo type="min"/>
        <cfvo type="percentile" val="50"/>
        <cfvo type="max"/>
        <color rgb="FF63BE7B"/>
        <color rgb="FFFFEB84"/>
        <color rgb="FFF8696B"/>
      </colorScale>
    </cfRule>
    <cfRule type="colorScale" priority="9076">
      <colorScale>
        <cfvo type="min"/>
        <cfvo type="percentile" val="50"/>
        <cfvo type="max"/>
        <color rgb="FF63BE7B"/>
        <color rgb="FFFFEB84"/>
        <color rgb="FFF8696B"/>
      </colorScale>
    </cfRule>
    <cfRule type="colorScale" priority="9075">
      <colorScale>
        <cfvo type="min"/>
        <cfvo type="percentile" val="50"/>
        <cfvo type="max"/>
        <color rgb="FF63BE7B"/>
        <color rgb="FFFFEB84"/>
        <color rgb="FFF8696B"/>
      </colorScale>
    </cfRule>
    <cfRule type="colorScale" priority="9050">
      <colorScale>
        <cfvo type="min"/>
        <cfvo type="percentile" val="50"/>
        <cfvo type="max"/>
        <color rgb="FF63BE7B"/>
        <color rgb="FFFFEB84"/>
        <color rgb="FFF8696B"/>
      </colorScale>
    </cfRule>
    <cfRule type="colorScale" priority="9079">
      <colorScale>
        <cfvo type="min"/>
        <cfvo type="percentile" val="50"/>
        <cfvo type="max"/>
        <color rgb="FF63BE7B"/>
        <color rgb="FFFFEB84"/>
        <color rgb="FFF8696B"/>
      </colorScale>
    </cfRule>
    <cfRule type="colorScale" priority="11042">
      <colorScale>
        <cfvo type="min"/>
        <cfvo type="percentile" val="50"/>
        <cfvo type="max"/>
        <color rgb="FF63BE7B"/>
        <color rgb="FFFFEB84"/>
        <color rgb="FFF8696B"/>
      </colorScale>
    </cfRule>
    <cfRule type="colorScale" priority="9052">
      <colorScale>
        <cfvo type="min"/>
        <cfvo type="percentile" val="50"/>
        <cfvo type="max"/>
        <color rgb="FF63BE7B"/>
        <color rgb="FFFFEB84"/>
        <color rgb="FFF8696B"/>
      </colorScale>
    </cfRule>
    <cfRule type="colorScale" priority="9048">
      <colorScale>
        <cfvo type="min"/>
        <cfvo type="percentile" val="50"/>
        <cfvo type="max"/>
        <color rgb="FF63BE7B"/>
        <color rgb="FFFFEB84"/>
        <color rgb="FFF8696B"/>
      </colorScale>
    </cfRule>
    <cfRule type="colorScale" priority="9039">
      <colorScale>
        <cfvo type="min"/>
        <cfvo type="percentile" val="50"/>
        <cfvo type="max"/>
        <color rgb="FF63BE7B"/>
        <color rgb="FFFFEB84"/>
        <color rgb="FFF8696B"/>
      </colorScale>
    </cfRule>
    <cfRule type="colorScale" priority="9074">
      <colorScale>
        <cfvo type="min"/>
        <cfvo type="percentile" val="50"/>
        <cfvo type="max"/>
        <color rgb="FF63BE7B"/>
        <color rgb="FFFFEB84"/>
        <color rgb="FFF8696B"/>
      </colorScale>
    </cfRule>
  </conditionalFormatting>
  <conditionalFormatting sqref="AC35:AC41">
    <cfRule type="colorScale" priority="11041">
      <colorScale>
        <cfvo type="min"/>
        <cfvo type="percentile" val="50"/>
        <cfvo type="max"/>
        <color rgb="FF63BE7B"/>
        <color rgb="FFFFEB84"/>
        <color rgb="FFF8696B"/>
      </colorScale>
    </cfRule>
    <cfRule type="colorScale" priority="13119">
      <colorScale>
        <cfvo type="min"/>
        <cfvo type="percentile" val="50"/>
        <cfvo type="max"/>
        <color rgb="FF63BE7B"/>
        <color rgb="FFFFEB84"/>
        <color rgb="FFF8696B"/>
      </colorScale>
    </cfRule>
    <cfRule type="colorScale" priority="13120">
      <colorScale>
        <cfvo type="min"/>
        <cfvo type="percentile" val="50"/>
        <cfvo type="max"/>
        <color rgb="FF63BE7B"/>
        <color rgb="FFFFEB84"/>
        <color rgb="FFF8696B"/>
      </colorScale>
    </cfRule>
    <cfRule type="colorScale" priority="9090">
      <colorScale>
        <cfvo type="min"/>
        <cfvo type="percentile" val="50"/>
        <cfvo type="max"/>
        <color rgb="FF63BE7B"/>
        <color rgb="FFFFEB84"/>
        <color rgb="FFF8696B"/>
      </colorScale>
    </cfRule>
    <cfRule type="colorScale" priority="9089">
      <colorScale>
        <cfvo type="min"/>
        <cfvo type="percentile" val="50"/>
        <cfvo type="max"/>
        <color rgb="FF63BE7B"/>
        <color rgb="FFFFEB84"/>
        <color rgb="FFF8696B"/>
      </colorScale>
    </cfRule>
    <cfRule type="colorScale" priority="13121">
      <colorScale>
        <cfvo type="min"/>
        <cfvo type="percentile" val="50"/>
        <cfvo type="max"/>
        <color rgb="FF63BE7B"/>
        <color rgb="FFFFEB84"/>
        <color rgb="FFF8696B"/>
      </colorScale>
    </cfRule>
    <cfRule type="colorScale" priority="11043">
      <colorScale>
        <cfvo type="min"/>
        <cfvo type="percentile" val="50"/>
        <cfvo type="max"/>
        <color rgb="FF63BE7B"/>
        <color rgb="FFFFEB84"/>
        <color rgb="FFF8696B"/>
      </colorScale>
    </cfRule>
    <cfRule type="colorScale" priority="11044">
      <colorScale>
        <cfvo type="min"/>
        <cfvo type="percentile" val="50"/>
        <cfvo type="max"/>
        <color rgb="FF63BE7B"/>
        <color rgb="FFFFEB84"/>
        <color rgb="FFF8696B"/>
      </colorScale>
    </cfRule>
    <cfRule type="colorScale" priority="11045">
      <colorScale>
        <cfvo type="min"/>
        <cfvo type="percentile" val="50"/>
        <cfvo type="max"/>
        <color rgb="FF63BE7B"/>
        <color rgb="FFFFEB84"/>
        <color rgb="FFF8696B"/>
      </colorScale>
    </cfRule>
    <cfRule type="colorScale" priority="11046">
      <colorScale>
        <cfvo type="min"/>
        <cfvo type="percentile" val="50"/>
        <cfvo type="max"/>
        <color rgb="FF63BE7B"/>
        <color rgb="FFFFEB84"/>
        <color rgb="FFF8696B"/>
      </colorScale>
    </cfRule>
    <cfRule type="colorScale" priority="11047">
      <colorScale>
        <cfvo type="min"/>
        <cfvo type="percentile" val="50"/>
        <cfvo type="max"/>
        <color rgb="FF63BE7B"/>
        <color rgb="FFFFEB84"/>
        <color rgb="FFF8696B"/>
      </colorScale>
    </cfRule>
    <cfRule type="colorScale" priority="11048">
      <colorScale>
        <cfvo type="min"/>
        <cfvo type="percentile" val="50"/>
        <cfvo type="max"/>
        <color rgb="FF63BE7B"/>
        <color rgb="FFFFEB84"/>
        <color rgb="FFF8696B"/>
      </colorScale>
    </cfRule>
    <cfRule type="colorScale" priority="11049">
      <colorScale>
        <cfvo type="min"/>
        <cfvo type="percentile" val="50"/>
        <cfvo type="max"/>
        <color rgb="FF63BE7B"/>
        <color rgb="FFFFEB84"/>
        <color rgb="FFF8696B"/>
      </colorScale>
    </cfRule>
    <cfRule type="colorScale" priority="11050">
      <colorScale>
        <cfvo type="min"/>
        <cfvo type="percentile" val="50"/>
        <cfvo type="max"/>
        <color rgb="FF63BE7B"/>
        <color rgb="FFFFEB84"/>
        <color rgb="FFF8696B"/>
      </colorScale>
    </cfRule>
    <cfRule type="colorScale" priority="9087">
      <colorScale>
        <cfvo type="min"/>
        <cfvo type="percentile" val="50"/>
        <cfvo type="max"/>
        <color rgb="FF63BE7B"/>
        <color rgb="FFFFEB84"/>
        <color rgb="FFF8696B"/>
      </colorScale>
    </cfRule>
    <cfRule type="colorScale" priority="9086">
      <colorScale>
        <cfvo type="min"/>
        <cfvo type="percentile" val="50"/>
        <cfvo type="max"/>
        <color rgb="FF63BE7B"/>
        <color rgb="FFFFEB84"/>
        <color rgb="FFF8696B"/>
      </colorScale>
    </cfRule>
    <cfRule type="colorScale" priority="9085">
      <colorScale>
        <cfvo type="min"/>
        <cfvo type="percentile" val="50"/>
        <cfvo type="max"/>
        <color rgb="FF63BE7B"/>
        <color rgb="FFFFEB84"/>
        <color rgb="FFF8696B"/>
      </colorScale>
    </cfRule>
    <cfRule type="colorScale" priority="9084">
      <colorScale>
        <cfvo type="min"/>
        <cfvo type="percentile" val="50"/>
        <cfvo type="max"/>
        <color rgb="FF63BE7B"/>
        <color rgb="FFFFEB84"/>
        <color rgb="FFF8696B"/>
      </colorScale>
    </cfRule>
    <cfRule type="colorScale" priority="9083">
      <colorScale>
        <cfvo type="min"/>
        <cfvo type="percentile" val="50"/>
        <cfvo type="max"/>
        <color rgb="FF63BE7B"/>
        <color rgb="FFFFEB84"/>
        <color rgb="FFF8696B"/>
      </colorScale>
    </cfRule>
    <cfRule type="colorScale" priority="9082">
      <colorScale>
        <cfvo type="min"/>
        <cfvo type="percentile" val="50"/>
        <cfvo type="max"/>
        <color rgb="FF63BE7B"/>
        <color rgb="FFFFEB84"/>
        <color rgb="FFF8696B"/>
      </colorScale>
    </cfRule>
    <cfRule type="colorScale" priority="9081">
      <colorScale>
        <cfvo type="min"/>
        <cfvo type="percentile" val="50"/>
        <cfvo type="max"/>
        <color rgb="FF63BE7B"/>
        <color rgb="FFFFEB84"/>
        <color rgb="FFF8696B"/>
      </colorScale>
    </cfRule>
    <cfRule type="colorScale" priority="9073">
      <colorScale>
        <cfvo type="min"/>
        <cfvo type="percentile" val="50"/>
        <cfvo type="max"/>
        <color rgb="FF63BE7B"/>
        <color rgb="FFFFEB84"/>
        <color rgb="FFF8696B"/>
      </colorScale>
    </cfRule>
    <cfRule type="colorScale" priority="9072">
      <colorScale>
        <cfvo type="min"/>
        <cfvo type="percentile" val="50"/>
        <cfvo type="max"/>
        <color rgb="FF63BE7B"/>
        <color rgb="FFFFEB84"/>
        <color rgb="FFF8696B"/>
      </colorScale>
    </cfRule>
    <cfRule type="colorScale" priority="9071">
      <colorScale>
        <cfvo type="min"/>
        <cfvo type="percentile" val="50"/>
        <cfvo type="max"/>
        <color rgb="FF63BE7B"/>
        <color rgb="FFFFEB84"/>
        <color rgb="FFF8696B"/>
      </colorScale>
    </cfRule>
    <cfRule type="colorScale" priority="9070">
      <colorScale>
        <cfvo type="min"/>
        <cfvo type="percentile" val="50"/>
        <cfvo type="max"/>
        <color rgb="FF63BE7B"/>
        <color rgb="FFFFEB84"/>
        <color rgb="FFF8696B"/>
      </colorScale>
    </cfRule>
    <cfRule type="colorScale" priority="9069">
      <colorScale>
        <cfvo type="min"/>
        <cfvo type="percentile" val="50"/>
        <cfvo type="max"/>
        <color rgb="FF63BE7B"/>
        <color rgb="FFFFEB84"/>
        <color rgb="FFF8696B"/>
      </colorScale>
    </cfRule>
    <cfRule type="colorScale" priority="9068">
      <colorScale>
        <cfvo type="min"/>
        <cfvo type="percentile" val="50"/>
        <cfvo type="max"/>
        <color rgb="FF63BE7B"/>
        <color rgb="FFFFEB84"/>
        <color rgb="FFF8696B"/>
      </colorScale>
    </cfRule>
    <cfRule type="colorScale" priority="9067">
      <colorScale>
        <cfvo type="min"/>
        <cfvo type="percentile" val="50"/>
        <cfvo type="max"/>
        <color rgb="FF63BE7B"/>
        <color rgb="FFFFEB84"/>
        <color rgb="FFF8696B"/>
      </colorScale>
    </cfRule>
    <cfRule type="colorScale" priority="9065">
      <colorScale>
        <cfvo type="min"/>
        <cfvo type="percentile" val="50"/>
        <cfvo type="max"/>
        <color rgb="FF63BE7B"/>
        <color rgb="FFFFEB84"/>
        <color rgb="FFF8696B"/>
      </colorScale>
    </cfRule>
    <cfRule type="colorScale" priority="9064">
      <colorScale>
        <cfvo type="min"/>
        <cfvo type="percentile" val="50"/>
        <cfvo type="max"/>
        <color rgb="FF63BE7B"/>
        <color rgb="FFFFEB84"/>
        <color rgb="FFF8696B"/>
      </colorScale>
    </cfRule>
    <cfRule type="colorScale" priority="9063">
      <colorScale>
        <cfvo type="min"/>
        <cfvo type="percentile" val="50"/>
        <cfvo type="max"/>
        <color rgb="FF63BE7B"/>
        <color rgb="FFFFEB84"/>
        <color rgb="FFF8696B"/>
      </colorScale>
    </cfRule>
    <cfRule type="colorScale" priority="9062">
      <colorScale>
        <cfvo type="min"/>
        <cfvo type="percentile" val="50"/>
        <cfvo type="max"/>
        <color rgb="FF63BE7B"/>
        <color rgb="FFFFEB84"/>
        <color rgb="FFF8696B"/>
      </colorScale>
    </cfRule>
    <cfRule type="colorScale" priority="9060">
      <colorScale>
        <cfvo type="min"/>
        <cfvo type="percentile" val="50"/>
        <cfvo type="max"/>
        <color rgb="FF63BE7B"/>
        <color rgb="FFFFEB84"/>
        <color rgb="FFF8696B"/>
      </colorScale>
    </cfRule>
    <cfRule type="colorScale" priority="9059">
      <colorScale>
        <cfvo type="min"/>
        <cfvo type="percentile" val="50"/>
        <cfvo type="max"/>
        <color rgb="FF63BE7B"/>
        <color rgb="FFFFEB84"/>
        <color rgb="FFF8696B"/>
      </colorScale>
    </cfRule>
    <cfRule type="colorScale" priority="9058">
      <colorScale>
        <cfvo type="min"/>
        <cfvo type="percentile" val="50"/>
        <cfvo type="max"/>
        <color rgb="FF63BE7B"/>
        <color rgb="FFFFEB84"/>
        <color rgb="FFF8696B"/>
      </colorScale>
    </cfRule>
    <cfRule type="colorScale" priority="9057">
      <colorScale>
        <cfvo type="min"/>
        <cfvo type="percentile" val="50"/>
        <cfvo type="max"/>
        <color rgb="FF63BE7B"/>
        <color rgb="FFFFEB84"/>
        <color rgb="FFF8696B"/>
      </colorScale>
    </cfRule>
    <cfRule type="colorScale" priority="9056">
      <colorScale>
        <cfvo type="min"/>
        <cfvo type="percentile" val="50"/>
        <cfvo type="max"/>
        <color rgb="FF63BE7B"/>
        <color rgb="FFFFEB84"/>
        <color rgb="FFF8696B"/>
      </colorScale>
    </cfRule>
    <cfRule type="colorScale" priority="9055">
      <colorScale>
        <cfvo type="min"/>
        <cfvo type="percentile" val="50"/>
        <cfvo type="max"/>
        <color rgb="FF63BE7B"/>
        <color rgb="FFFFEB84"/>
        <color rgb="FFF8696B"/>
      </colorScale>
    </cfRule>
    <cfRule type="colorScale" priority="9054">
      <colorScale>
        <cfvo type="min"/>
        <cfvo type="percentile" val="50"/>
        <cfvo type="max"/>
        <color rgb="FF63BE7B"/>
        <color rgb="FFFFEB84"/>
        <color rgb="FFF8696B"/>
      </colorScale>
    </cfRule>
    <cfRule type="colorScale" priority="9046">
      <colorScale>
        <cfvo type="min"/>
        <cfvo type="percentile" val="50"/>
        <cfvo type="max"/>
        <color rgb="FF63BE7B"/>
        <color rgb="FFFFEB84"/>
        <color rgb="FFF8696B"/>
      </colorScale>
    </cfRule>
    <cfRule type="colorScale" priority="9045">
      <colorScale>
        <cfvo type="min"/>
        <cfvo type="percentile" val="50"/>
        <cfvo type="max"/>
        <color rgb="FF63BE7B"/>
        <color rgb="FFFFEB84"/>
        <color rgb="FFF8696B"/>
      </colorScale>
    </cfRule>
    <cfRule type="colorScale" priority="9044">
      <colorScale>
        <cfvo type="min"/>
        <cfvo type="percentile" val="50"/>
        <cfvo type="max"/>
        <color rgb="FF63BE7B"/>
        <color rgb="FFFFEB84"/>
        <color rgb="FFF8696B"/>
      </colorScale>
    </cfRule>
    <cfRule type="colorScale" priority="9043">
      <colorScale>
        <cfvo type="min"/>
        <cfvo type="percentile" val="50"/>
        <cfvo type="max"/>
        <color rgb="FF63BE7B"/>
        <color rgb="FFFFEB84"/>
        <color rgb="FFF8696B"/>
      </colorScale>
    </cfRule>
    <cfRule type="colorScale" priority="9042">
      <colorScale>
        <cfvo type="min"/>
        <cfvo type="percentile" val="50"/>
        <cfvo type="max"/>
        <color rgb="FF63BE7B"/>
        <color rgb="FFFFEB84"/>
        <color rgb="FFF8696B"/>
      </colorScale>
    </cfRule>
    <cfRule type="colorScale" priority="9041">
      <colorScale>
        <cfvo type="min"/>
        <cfvo type="percentile" val="50"/>
        <cfvo type="max"/>
        <color rgb="FF63BE7B"/>
        <color rgb="FFFFEB84"/>
        <color rgb="FFF8696B"/>
      </colorScale>
    </cfRule>
    <cfRule type="colorScale" priority="9040">
      <colorScale>
        <cfvo type="min"/>
        <cfvo type="percentile" val="50"/>
        <cfvo type="max"/>
        <color rgb="FF63BE7B"/>
        <color rgb="FFFFEB84"/>
        <color rgb="FFF8696B"/>
      </colorScale>
    </cfRule>
    <cfRule type="colorScale" priority="9038">
      <colorScale>
        <cfvo type="min"/>
        <cfvo type="percentile" val="50"/>
        <cfvo type="max"/>
        <color rgb="FF63BE7B"/>
        <color rgb="FFFFEB84"/>
        <color rgb="FFF8696B"/>
      </colorScale>
    </cfRule>
    <cfRule type="colorScale" priority="9037">
      <colorScale>
        <cfvo type="min"/>
        <cfvo type="percentile" val="50"/>
        <cfvo type="max"/>
        <color rgb="FF63BE7B"/>
        <color rgb="FFFFEB84"/>
        <color rgb="FFF8696B"/>
      </colorScale>
    </cfRule>
    <cfRule type="colorScale" priority="11051">
      <colorScale>
        <cfvo type="min"/>
        <cfvo type="percentile" val="50"/>
        <cfvo type="max"/>
        <color rgb="FF63BE7B"/>
        <color rgb="FFFFEB84"/>
        <color rgb="FFF8696B"/>
      </colorScale>
    </cfRule>
    <cfRule type="colorScale" priority="11052">
      <colorScale>
        <cfvo type="min"/>
        <cfvo type="percentile" val="50"/>
        <cfvo type="max"/>
        <color rgb="FF63BE7B"/>
        <color rgb="FFFFEB84"/>
        <color rgb="FFF8696B"/>
      </colorScale>
    </cfRule>
    <cfRule type="colorScale" priority="11053">
      <colorScale>
        <cfvo type="min"/>
        <cfvo type="percentile" val="50"/>
        <cfvo type="max"/>
        <color rgb="FF63BE7B"/>
        <color rgb="FFFFEB84"/>
        <color rgb="FFF8696B"/>
      </colorScale>
    </cfRule>
    <cfRule type="colorScale" priority="11054">
      <colorScale>
        <cfvo type="min"/>
        <cfvo type="percentile" val="50"/>
        <cfvo type="max"/>
        <color rgb="FF63BE7B"/>
        <color rgb="FFFFEB84"/>
        <color rgb="FFF8696B"/>
      </colorScale>
    </cfRule>
    <cfRule type="colorScale" priority="11055">
      <colorScale>
        <cfvo type="min"/>
        <cfvo type="percentile" val="50"/>
        <cfvo type="max"/>
        <color rgb="FF63BE7B"/>
        <color rgb="FFFFEB84"/>
        <color rgb="FFF8696B"/>
      </colorScale>
    </cfRule>
    <cfRule type="colorScale" priority="11058">
      <colorScale>
        <cfvo type="min"/>
        <cfvo type="percentile" val="50"/>
        <cfvo type="max"/>
        <color rgb="FF63BE7B"/>
        <color rgb="FFFFEB84"/>
        <color rgb="FFF8696B"/>
      </colorScale>
    </cfRule>
    <cfRule type="colorScale" priority="11057">
      <colorScale>
        <cfvo type="min"/>
        <cfvo type="percentile" val="50"/>
        <cfvo type="max"/>
        <color rgb="FF63BE7B"/>
        <color rgb="FFFFEB84"/>
        <color rgb="FFF8696B"/>
      </colorScale>
    </cfRule>
    <cfRule type="colorScale" priority="11056">
      <colorScale>
        <cfvo type="min"/>
        <cfvo type="percentile" val="50"/>
        <cfvo type="max"/>
        <color rgb="FF63BE7B"/>
        <color rgb="FFFFEB84"/>
        <color rgb="FFF8696B"/>
      </colorScale>
    </cfRule>
    <cfRule type="colorScale" priority="9314">
      <colorScale>
        <cfvo type="min"/>
        <cfvo type="percentile" val="50"/>
        <cfvo type="max"/>
        <color rgb="FFF8696B"/>
        <color rgb="FFFFEB84"/>
        <color rgb="FF63BE7B"/>
      </colorScale>
    </cfRule>
    <cfRule type="colorScale" priority="11040">
      <colorScale>
        <cfvo type="min"/>
        <cfvo type="percentile" val="50"/>
        <cfvo type="max"/>
        <color rgb="FF63BE7B"/>
        <color rgb="FFFFEB84"/>
        <color rgb="FFF8696B"/>
      </colorScale>
    </cfRule>
  </conditionalFormatting>
  <conditionalFormatting sqref="AC35:AC50">
    <cfRule type="colorScale" priority="13198">
      <colorScale>
        <cfvo type="min"/>
        <cfvo type="percentile" val="50"/>
        <cfvo type="max"/>
        <color rgb="FF63BE7B"/>
        <color rgb="FFFFEB84"/>
        <color rgb="FFF8696B"/>
      </colorScale>
    </cfRule>
  </conditionalFormatting>
  <conditionalFormatting sqref="AC36:AC37">
    <cfRule type="colorScale" priority="9078">
      <colorScale>
        <cfvo type="min"/>
        <cfvo type="percentile" val="50"/>
        <cfvo type="max"/>
        <color rgb="FF63BE7B"/>
        <color rgb="FFFFEB84"/>
        <color rgb="FFF8696B"/>
      </colorScale>
    </cfRule>
    <cfRule type="colorScale" priority="9051">
      <colorScale>
        <cfvo type="min"/>
        <cfvo type="percentile" val="50"/>
        <cfvo type="max"/>
        <color rgb="FF63BE7B"/>
        <color rgb="FFFFEB84"/>
        <color rgb="FFF8696B"/>
      </colorScale>
    </cfRule>
  </conditionalFormatting>
  <conditionalFormatting sqref="AC36:AC41">
    <cfRule type="colorScale" priority="9061">
      <colorScale>
        <cfvo type="min"/>
        <cfvo type="percentile" val="50"/>
        <cfvo type="max"/>
        <color rgb="FF63BE7B"/>
        <color rgb="FFFFEB84"/>
        <color rgb="FFF8696B"/>
      </colorScale>
    </cfRule>
    <cfRule type="colorScale" priority="13122">
      <colorScale>
        <cfvo type="min"/>
        <cfvo type="percentile" val="50"/>
        <cfvo type="max"/>
        <color rgb="FF63BE7B"/>
        <color rgb="FFFFEB84"/>
        <color rgb="FFF8696B"/>
      </colorScale>
    </cfRule>
    <cfRule type="colorScale" priority="9088">
      <colorScale>
        <cfvo type="min"/>
        <cfvo type="percentile" val="50"/>
        <cfvo type="max"/>
        <color rgb="FF63BE7B"/>
        <color rgb="FFFFEB84"/>
        <color rgb="FFF8696B"/>
      </colorScale>
    </cfRule>
  </conditionalFormatting>
  <conditionalFormatting sqref="AC39:AC41">
    <cfRule type="colorScale" priority="10568">
      <colorScale>
        <cfvo type="min"/>
        <cfvo type="percentile" val="50"/>
        <cfvo type="max"/>
        <color rgb="FF63BE7B"/>
        <color rgb="FFFFEB84"/>
        <color rgb="FFF8696B"/>
      </colorScale>
    </cfRule>
    <cfRule type="colorScale" priority="10567">
      <colorScale>
        <cfvo type="min"/>
        <cfvo type="percentile" val="50"/>
        <cfvo type="max"/>
        <color rgb="FF63BE7B"/>
        <color rgb="FFFFEB84"/>
        <color rgb="FFF8696B"/>
      </colorScale>
    </cfRule>
    <cfRule type="colorScale" priority="10566">
      <colorScale>
        <cfvo type="min"/>
        <cfvo type="percentile" val="50"/>
        <cfvo type="max"/>
        <color rgb="FFF8696B"/>
        <color rgb="FFFFEB84"/>
        <color rgb="FF63BE7B"/>
      </colorScale>
    </cfRule>
    <cfRule type="colorScale" priority="10565">
      <colorScale>
        <cfvo type="min"/>
        <cfvo type="percentile" val="50"/>
        <cfvo type="max"/>
        <color rgb="FF63BE7B"/>
        <color rgb="FFFFEB84"/>
        <color rgb="FFF8696B"/>
      </colorScale>
    </cfRule>
    <cfRule type="colorScale" priority="10564">
      <colorScale>
        <cfvo type="min"/>
        <cfvo type="percentile" val="50"/>
        <cfvo type="max"/>
        <color rgb="FF63BE7B"/>
        <color rgb="FFFFEB84"/>
        <color rgb="FFF8696B"/>
      </colorScale>
    </cfRule>
    <cfRule type="colorScale" priority="10570">
      <colorScale>
        <cfvo type="min"/>
        <cfvo type="percentile" val="50"/>
        <cfvo type="max"/>
        <color rgb="FF63BE7B"/>
        <color rgb="FFFFEB84"/>
        <color rgb="FFF8696B"/>
      </colorScale>
    </cfRule>
  </conditionalFormatting>
  <conditionalFormatting sqref="AC39:AC45 C35:C50 G36:G42 B35:AV41 O41:O47">
    <cfRule type="colorScale" priority="15589">
      <colorScale>
        <cfvo type="min"/>
        <cfvo type="percentile" val="50"/>
        <cfvo type="max"/>
        <color rgb="FF63BE7B"/>
        <color rgb="FFFFEB84"/>
        <color rgb="FFF8696B"/>
      </colorScale>
    </cfRule>
    <cfRule type="colorScale" priority="15590">
      <colorScale>
        <cfvo type="min"/>
        <cfvo type="percentile" val="50"/>
        <cfvo type="max"/>
        <color rgb="FF63BE7B"/>
        <color rgb="FFFFEB84"/>
        <color rgb="FFF8696B"/>
      </colorScale>
    </cfRule>
    <cfRule type="colorScale" priority="15591">
      <colorScale>
        <cfvo type="min"/>
        <cfvo type="percentile" val="50"/>
        <cfvo type="max"/>
        <color rgb="FF63BE7B"/>
        <color rgb="FFFFEB84"/>
        <color rgb="FFF8696B"/>
      </colorScale>
    </cfRule>
    <cfRule type="colorScale" priority="15592">
      <colorScale>
        <cfvo type="min"/>
        <cfvo type="percentile" val="50"/>
        <cfvo type="max"/>
        <color rgb="FF63BE7B"/>
        <color rgb="FFFFEB84"/>
        <color rgb="FFF8696B"/>
      </colorScale>
    </cfRule>
    <cfRule type="colorScale" priority="15593">
      <colorScale>
        <cfvo type="min"/>
        <cfvo type="percentile" val="50"/>
        <cfvo type="max"/>
        <color rgb="FF63BE7B"/>
        <color rgb="FFFFEB84"/>
        <color rgb="FFF8696B"/>
      </colorScale>
    </cfRule>
  </conditionalFormatting>
  <conditionalFormatting sqref="AC39:AC45 G36:G42 B35:AV41 O41:O47 B52:AV53 C35:C53">
    <cfRule type="colorScale" priority="15614">
      <colorScale>
        <cfvo type="min"/>
        <cfvo type="percentile" val="50"/>
        <cfvo type="max"/>
        <color rgb="FF63BE7B"/>
        <color rgb="FFFFEB84"/>
        <color rgb="FFF8696B"/>
      </colorScale>
    </cfRule>
  </conditionalFormatting>
  <conditionalFormatting sqref="AC39:AC45 G36:G42 B35:AV41 O41:O47">
    <cfRule type="colorScale" priority="15620">
      <colorScale>
        <cfvo type="min"/>
        <cfvo type="percentile" val="50"/>
        <cfvo type="max"/>
        <color rgb="FFF8696B"/>
        <color rgb="FFFFEB84"/>
        <color rgb="FF63BE7B"/>
      </colorScale>
    </cfRule>
    <cfRule type="colorScale" priority="15619">
      <colorScale>
        <cfvo type="min"/>
        <cfvo type="percentile" val="50"/>
        <cfvo type="max"/>
        <color rgb="FFF8696B"/>
        <color rgb="FFFFEB84"/>
        <color rgb="FF63BE7B"/>
      </colorScale>
    </cfRule>
  </conditionalFormatting>
  <conditionalFormatting sqref="AC39:AC45 G36:G42 O41:O47 B35:AV41 B35:B50 Y42:AD51 AF42:AG51 AL42:AL51 C42:AV50">
    <cfRule type="colorScale" priority="15570">
      <colorScale>
        <cfvo type="min"/>
        <cfvo type="percentile" val="50"/>
        <cfvo type="max"/>
        <color rgb="FF63BE7B"/>
        <color rgb="FFFFEB84"/>
        <color rgb="FFF8696B"/>
      </colorScale>
    </cfRule>
    <cfRule type="colorScale" priority="15569">
      <colorScale>
        <cfvo type="min"/>
        <cfvo type="percentile" val="50"/>
        <cfvo type="max"/>
        <color rgb="FF63BE7B"/>
        <color rgb="FFFFEB84"/>
        <color rgb="FFF8696B"/>
      </colorScale>
    </cfRule>
  </conditionalFormatting>
  <conditionalFormatting sqref="AC39:AC45 AA35:AD41">
    <cfRule type="colorScale" priority="14899">
      <colorScale>
        <cfvo type="min"/>
        <cfvo type="percentile" val="50"/>
        <cfvo type="max"/>
        <color rgb="FF63BE7B"/>
        <color rgb="FFFFEB84"/>
        <color rgb="FFF8696B"/>
      </colorScale>
    </cfRule>
    <cfRule type="colorScale" priority="14900">
      <colorScale>
        <cfvo type="min"/>
        <cfvo type="percentile" val="50"/>
        <cfvo type="max"/>
        <color rgb="FF63BE7B"/>
        <color rgb="FFFFEB84"/>
        <color rgb="FFF8696B"/>
      </colorScale>
    </cfRule>
    <cfRule type="colorScale" priority="14894">
      <colorScale>
        <cfvo type="min"/>
        <cfvo type="percentile" val="50"/>
        <cfvo type="max"/>
        <color rgb="FF63BE7B"/>
        <color rgb="FFFFEB84"/>
        <color rgb="FFF8696B"/>
      </colorScale>
    </cfRule>
    <cfRule type="colorScale" priority="14890">
      <colorScale>
        <cfvo type="min"/>
        <cfvo type="percentile" val="50"/>
        <cfvo type="max"/>
        <color rgb="FF63BE7B"/>
        <color rgb="FFFFEB84"/>
        <color rgb="FFF8696B"/>
      </colorScale>
    </cfRule>
    <cfRule type="colorScale" priority="14891">
      <colorScale>
        <cfvo type="min"/>
        <cfvo type="percentile" val="50"/>
        <cfvo type="max"/>
        <color rgb="FF63BE7B"/>
        <color rgb="FFFFEB84"/>
        <color rgb="FFF8696B"/>
      </colorScale>
    </cfRule>
    <cfRule type="colorScale" priority="14892">
      <colorScale>
        <cfvo type="min"/>
        <cfvo type="percentile" val="50"/>
        <cfvo type="max"/>
        <color rgb="FF63BE7B"/>
        <color rgb="FFFFEB84"/>
        <color rgb="FFF8696B"/>
      </colorScale>
    </cfRule>
    <cfRule type="colorScale" priority="14893">
      <colorScale>
        <cfvo type="min"/>
        <cfvo type="percentile" val="50"/>
        <cfvo type="max"/>
        <color rgb="FF63BE7B"/>
        <color rgb="FFFFEB84"/>
        <color rgb="FFF8696B"/>
      </colorScale>
    </cfRule>
    <cfRule type="colorScale" priority="14895">
      <colorScale>
        <cfvo type="min"/>
        <cfvo type="percentile" val="50"/>
        <cfvo type="max"/>
        <color rgb="FF63BE7B"/>
        <color rgb="FFFFEB84"/>
        <color rgb="FFF8696B"/>
      </colorScale>
    </cfRule>
    <cfRule type="colorScale" priority="14896">
      <colorScale>
        <cfvo type="min"/>
        <cfvo type="percentile" val="50"/>
        <cfvo type="max"/>
        <color rgb="FF63BE7B"/>
        <color rgb="FFFFEB84"/>
        <color rgb="FFF8696B"/>
      </colorScale>
    </cfRule>
    <cfRule type="colorScale" priority="14897">
      <colorScale>
        <cfvo type="min"/>
        <cfvo type="percentile" val="50"/>
        <cfvo type="max"/>
        <color rgb="FF63BE7B"/>
        <color rgb="FFFFEB84"/>
        <color rgb="FFF8696B"/>
      </colorScale>
    </cfRule>
    <cfRule type="colorScale" priority="14898">
      <colorScale>
        <cfvo type="min"/>
        <cfvo type="percentile" val="50"/>
        <cfvo type="max"/>
        <color rgb="FF63BE7B"/>
        <color rgb="FFFFEB84"/>
        <color rgb="FFF8696B"/>
      </colorScale>
    </cfRule>
  </conditionalFormatting>
  <conditionalFormatting sqref="AC40:AC41">
    <cfRule type="colorScale" priority="10569">
      <colorScale>
        <cfvo type="min"/>
        <cfvo type="percentile" val="50"/>
        <cfvo type="max"/>
        <color rgb="FF63BE7B"/>
        <color rgb="FFFFEB84"/>
        <color rgb="FFF8696B"/>
      </colorScale>
    </cfRule>
  </conditionalFormatting>
  <conditionalFormatting sqref="AC42:AC50">
    <cfRule type="colorScale" priority="13003">
      <colorScale>
        <cfvo type="min"/>
        <cfvo type="percentile" val="50"/>
        <cfvo type="max"/>
        <color rgb="FF63BE7B"/>
        <color rgb="FFFFEB84"/>
        <color rgb="FFF8696B"/>
      </colorScale>
    </cfRule>
    <cfRule type="colorScale" priority="13005">
      <colorScale>
        <cfvo type="min"/>
        <cfvo type="percentile" val="50"/>
        <cfvo type="max"/>
        <color rgb="FF63BE7B"/>
        <color rgb="FFFFEB84"/>
        <color rgb="FFF8696B"/>
      </colorScale>
    </cfRule>
    <cfRule type="colorScale" priority="13002">
      <colorScale>
        <cfvo type="min"/>
        <cfvo type="percentile" val="50"/>
        <cfvo type="max"/>
        <color rgb="FF63BE7B"/>
        <color rgb="FFFFEB84"/>
        <color rgb="FFF8696B"/>
      </colorScale>
    </cfRule>
    <cfRule type="colorScale" priority="13004">
      <colorScale>
        <cfvo type="min"/>
        <cfvo type="percentile" val="50"/>
        <cfvo type="max"/>
        <color rgb="FF63BE7B"/>
        <color rgb="FFFFEB84"/>
        <color rgb="FFF8696B"/>
      </colorScale>
    </cfRule>
  </conditionalFormatting>
  <conditionalFormatting sqref="AC42:AC51">
    <cfRule type="colorScale" priority="7446">
      <colorScale>
        <cfvo type="min"/>
        <cfvo type="percentile" val="50"/>
        <cfvo type="max"/>
        <color rgb="FF63BE7B"/>
        <color rgb="FFFFEB84"/>
        <color rgb="FFF8696B"/>
      </colorScale>
    </cfRule>
  </conditionalFormatting>
  <conditionalFormatting sqref="AC51:AC53">
    <cfRule type="colorScale" priority="4072">
      <colorScale>
        <cfvo type="min"/>
        <cfvo type="percentile" val="50"/>
        <cfvo type="max"/>
        <color rgb="FF63BE7B"/>
        <color rgb="FFFFEB84"/>
        <color rgb="FFF8696B"/>
      </colorScale>
    </cfRule>
    <cfRule type="colorScale" priority="4099">
      <colorScale>
        <cfvo type="min"/>
        <cfvo type="percentile" val="50"/>
        <cfvo type="max"/>
        <color rgb="FF63BE7B"/>
        <color rgb="FFFFEB84"/>
        <color rgb="FFF8696B"/>
      </colorScale>
    </cfRule>
    <cfRule type="colorScale" priority="4100">
      <colorScale>
        <cfvo type="min"/>
        <cfvo type="percentile" val="50"/>
        <cfvo type="max"/>
        <color rgb="FF63BE7B"/>
        <color rgb="FFFFEB84"/>
        <color rgb="FFF8696B"/>
      </colorScale>
    </cfRule>
    <cfRule type="colorScale" priority="1493">
      <colorScale>
        <cfvo type="min"/>
        <cfvo type="percentile" val="50"/>
        <cfvo type="max"/>
        <color rgb="FF63BE7B"/>
        <color rgb="FFFFEB84"/>
        <color rgb="FFF8696B"/>
      </colorScale>
    </cfRule>
    <cfRule type="colorScale" priority="12894">
      <colorScale>
        <cfvo type="min"/>
        <cfvo type="percentile" val="50"/>
        <cfvo type="max"/>
        <color rgb="FF63BE7B"/>
        <color rgb="FFFFEB84"/>
        <color rgb="FFF8696B"/>
      </colorScale>
    </cfRule>
    <cfRule type="colorScale" priority="1464">
      <colorScale>
        <cfvo type="min"/>
        <cfvo type="percentile" val="50"/>
        <cfvo type="max"/>
        <color rgb="FFF8696B"/>
        <color rgb="FFFFEB84"/>
        <color rgb="FF63BE7B"/>
      </colorScale>
    </cfRule>
    <cfRule type="colorScale" priority="12893">
      <colorScale>
        <cfvo type="min"/>
        <cfvo type="percentile" val="50"/>
        <cfvo type="max"/>
        <color rgb="FF63BE7B"/>
        <color rgb="FFFFEB84"/>
        <color rgb="FFF8696B"/>
      </colorScale>
    </cfRule>
    <cfRule type="colorScale" priority="12892">
      <colorScale>
        <cfvo type="min"/>
        <cfvo type="percentile" val="50"/>
        <cfvo type="max"/>
        <color rgb="FF63BE7B"/>
        <color rgb="FFFFEB84"/>
        <color rgb="FFF8696B"/>
      </colorScale>
    </cfRule>
    <cfRule type="colorScale" priority="12895">
      <colorScale>
        <cfvo type="min"/>
        <cfvo type="percentile" val="50"/>
        <cfvo type="max"/>
        <color rgb="FF63BE7B"/>
        <color rgb="FFFFEB84"/>
        <color rgb="FFF8696B"/>
      </colorScale>
    </cfRule>
    <cfRule type="colorScale" priority="1492">
      <colorScale>
        <cfvo type="min"/>
        <cfvo type="percentile" val="50"/>
        <cfvo type="max"/>
        <color rgb="FF63BE7B"/>
        <color rgb="FFFFEB84"/>
        <color rgb="FFF8696B"/>
      </colorScale>
    </cfRule>
  </conditionalFormatting>
  <conditionalFormatting sqref="AC52:AC53">
    <cfRule type="colorScale" priority="5766">
      <colorScale>
        <cfvo type="min"/>
        <cfvo type="percentile" val="50"/>
        <cfvo type="max"/>
        <color rgb="FF63BE7B"/>
        <color rgb="FFFFEB84"/>
        <color rgb="FFF8696B"/>
      </colorScale>
    </cfRule>
    <cfRule type="colorScale" priority="5767">
      <colorScale>
        <cfvo type="min"/>
        <cfvo type="percentile" val="50"/>
        <cfvo type="max"/>
        <color rgb="FF63BE7B"/>
        <color rgb="FFFFEB84"/>
        <color rgb="FFF8696B"/>
      </colorScale>
    </cfRule>
    <cfRule type="colorScale" priority="5768">
      <colorScale>
        <cfvo type="min"/>
        <cfvo type="percentile" val="50"/>
        <cfvo type="max"/>
        <color rgb="FF63BE7B"/>
        <color rgb="FFFFEB84"/>
        <color rgb="FFF8696B"/>
      </colorScale>
    </cfRule>
    <cfRule type="colorScale" priority="5769">
      <colorScale>
        <cfvo type="min"/>
        <cfvo type="percentile" val="50"/>
        <cfvo type="max"/>
        <color rgb="FF63BE7B"/>
        <color rgb="FFFFEB84"/>
        <color rgb="FFF8696B"/>
      </colorScale>
    </cfRule>
    <cfRule type="colorScale" priority="5770">
      <colorScale>
        <cfvo type="min"/>
        <cfvo type="percentile" val="50"/>
        <cfvo type="max"/>
        <color rgb="FF63BE7B"/>
        <color rgb="FFFFEB84"/>
        <color rgb="FFF8696B"/>
      </colorScale>
    </cfRule>
    <cfRule type="colorScale" priority="5771">
      <colorScale>
        <cfvo type="min"/>
        <cfvo type="percentile" val="50"/>
        <cfvo type="max"/>
        <color rgb="FF63BE7B"/>
        <color rgb="FFFFEB84"/>
        <color rgb="FFF8696B"/>
      </colorScale>
    </cfRule>
    <cfRule type="colorScale" priority="5772">
      <colorScale>
        <cfvo type="min"/>
        <cfvo type="percentile" val="50"/>
        <cfvo type="max"/>
        <color rgb="FF63BE7B"/>
        <color rgb="FFFFEB84"/>
        <color rgb="FFF8696B"/>
      </colorScale>
    </cfRule>
    <cfRule type="colorScale" priority="5773">
      <colorScale>
        <cfvo type="min"/>
        <cfvo type="percentile" val="50"/>
        <cfvo type="max"/>
        <color rgb="FF63BE7B"/>
        <color rgb="FFFFEB84"/>
        <color rgb="FFF8696B"/>
      </colorScale>
    </cfRule>
    <cfRule type="colorScale" priority="5774">
      <colorScale>
        <cfvo type="min"/>
        <cfvo type="percentile" val="50"/>
        <cfvo type="max"/>
        <color rgb="FF63BE7B"/>
        <color rgb="FFFFEB84"/>
        <color rgb="FFF8696B"/>
      </colorScale>
    </cfRule>
    <cfRule type="colorScale" priority="5775">
      <colorScale>
        <cfvo type="min"/>
        <cfvo type="percentile" val="50"/>
        <cfvo type="max"/>
        <color rgb="FF63BE7B"/>
        <color rgb="FFFFEB84"/>
        <color rgb="FFF8696B"/>
      </colorScale>
    </cfRule>
    <cfRule type="colorScale" priority="5776">
      <colorScale>
        <cfvo type="min"/>
        <cfvo type="percentile" val="50"/>
        <cfvo type="max"/>
        <color rgb="FF63BE7B"/>
        <color rgb="FFFFEB84"/>
        <color rgb="FFF8696B"/>
      </colorScale>
    </cfRule>
    <cfRule type="colorScale" priority="5777">
      <colorScale>
        <cfvo type="min"/>
        <cfvo type="percentile" val="50"/>
        <cfvo type="max"/>
        <color rgb="FF63BE7B"/>
        <color rgb="FFFFEB84"/>
        <color rgb="FFF8696B"/>
      </colorScale>
    </cfRule>
    <cfRule type="colorScale" priority="5778">
      <colorScale>
        <cfvo type="min"/>
        <cfvo type="percentile" val="50"/>
        <cfvo type="max"/>
        <color rgb="FF63BE7B"/>
        <color rgb="FFFFEB84"/>
        <color rgb="FFF8696B"/>
      </colorScale>
    </cfRule>
    <cfRule type="colorScale" priority="5779">
      <colorScale>
        <cfvo type="min"/>
        <cfvo type="percentile" val="50"/>
        <cfvo type="max"/>
        <color rgb="FF63BE7B"/>
        <color rgb="FFFFEB84"/>
        <color rgb="FFF8696B"/>
      </colorScale>
    </cfRule>
    <cfRule type="colorScale" priority="5780">
      <colorScale>
        <cfvo type="min"/>
        <cfvo type="percentile" val="50"/>
        <cfvo type="max"/>
        <color rgb="FF63BE7B"/>
        <color rgb="FFFFEB84"/>
        <color rgb="FFF8696B"/>
      </colorScale>
    </cfRule>
    <cfRule type="colorScale" priority="5781">
      <colorScale>
        <cfvo type="min"/>
        <cfvo type="percentile" val="50"/>
        <cfvo type="max"/>
        <color rgb="FF63BE7B"/>
        <color rgb="FFFFEB84"/>
        <color rgb="FFF8696B"/>
      </colorScale>
    </cfRule>
    <cfRule type="colorScale" priority="5782">
      <colorScale>
        <cfvo type="min"/>
        <cfvo type="percentile" val="50"/>
        <cfvo type="max"/>
        <color rgb="FF63BE7B"/>
        <color rgb="FFFFEB84"/>
        <color rgb="FFF8696B"/>
      </colorScale>
    </cfRule>
    <cfRule type="colorScale" priority="5783">
      <colorScale>
        <cfvo type="min"/>
        <cfvo type="percentile" val="50"/>
        <cfvo type="max"/>
        <color rgb="FF63BE7B"/>
        <color rgb="FFFFEB84"/>
        <color rgb="FFF8696B"/>
      </colorScale>
    </cfRule>
    <cfRule type="colorScale" priority="5784">
      <colorScale>
        <cfvo type="min"/>
        <cfvo type="percentile" val="50"/>
        <cfvo type="max"/>
        <color rgb="FF63BE7B"/>
        <color rgb="FFFFEB84"/>
        <color rgb="FFF8696B"/>
      </colorScale>
    </cfRule>
    <cfRule type="colorScale" priority="5785">
      <colorScale>
        <cfvo type="min"/>
        <cfvo type="percentile" val="50"/>
        <cfvo type="max"/>
        <color rgb="FF63BE7B"/>
        <color rgb="FFFFEB84"/>
        <color rgb="FFF8696B"/>
      </colorScale>
    </cfRule>
    <cfRule type="colorScale" priority="5786">
      <colorScale>
        <cfvo type="min"/>
        <cfvo type="percentile" val="50"/>
        <cfvo type="max"/>
        <color rgb="FF63BE7B"/>
        <color rgb="FFFFEB84"/>
        <color rgb="FFF8696B"/>
      </colorScale>
    </cfRule>
    <cfRule type="colorScale" priority="5787">
      <colorScale>
        <cfvo type="min"/>
        <cfvo type="percentile" val="50"/>
        <cfvo type="max"/>
        <color rgb="FF63BE7B"/>
        <color rgb="FFFFEB84"/>
        <color rgb="FFF8696B"/>
      </colorScale>
    </cfRule>
    <cfRule type="colorScale" priority="5788">
      <colorScale>
        <cfvo type="min"/>
        <cfvo type="percentile" val="50"/>
        <cfvo type="max"/>
        <color rgb="FF63BE7B"/>
        <color rgb="FFFFEB84"/>
        <color rgb="FFF8696B"/>
      </colorScale>
    </cfRule>
    <cfRule type="colorScale" priority="5789">
      <colorScale>
        <cfvo type="min"/>
        <cfvo type="percentile" val="50"/>
        <cfvo type="max"/>
        <color rgb="FF63BE7B"/>
        <color rgb="FFFFEB84"/>
        <color rgb="FFF8696B"/>
      </colorScale>
    </cfRule>
    <cfRule type="colorScale" priority="5790">
      <colorScale>
        <cfvo type="min"/>
        <cfvo type="percentile" val="50"/>
        <cfvo type="max"/>
        <color rgb="FF63BE7B"/>
        <color rgb="FFFFEB84"/>
        <color rgb="FFF8696B"/>
      </colorScale>
    </cfRule>
    <cfRule type="colorScale" priority="1465">
      <colorScale>
        <cfvo type="min"/>
        <cfvo type="percentile" val="50"/>
        <cfvo type="max"/>
        <color rgb="FF63BE7B"/>
        <color rgb="FFFFEB84"/>
        <color rgb="FFF8696B"/>
      </colorScale>
    </cfRule>
    <cfRule type="colorScale" priority="1466">
      <colorScale>
        <cfvo type="min"/>
        <cfvo type="percentile" val="50"/>
        <cfvo type="max"/>
        <color rgb="FF63BE7B"/>
        <color rgb="FFFFEB84"/>
        <color rgb="FFF8696B"/>
      </colorScale>
    </cfRule>
    <cfRule type="colorScale" priority="1467">
      <colorScale>
        <cfvo type="min"/>
        <cfvo type="percentile" val="50"/>
        <cfvo type="max"/>
        <color rgb="FF63BE7B"/>
        <color rgb="FFFFEB84"/>
        <color rgb="FFF8696B"/>
      </colorScale>
    </cfRule>
    <cfRule type="colorScale" priority="1468">
      <colorScale>
        <cfvo type="min"/>
        <cfvo type="percentile" val="50"/>
        <cfvo type="max"/>
        <color rgb="FF63BE7B"/>
        <color rgb="FFFFEB84"/>
        <color rgb="FFF8696B"/>
      </colorScale>
    </cfRule>
    <cfRule type="colorScale" priority="1469">
      <colorScale>
        <cfvo type="min"/>
        <cfvo type="percentile" val="50"/>
        <cfvo type="max"/>
        <color rgb="FF63BE7B"/>
        <color rgb="FFFFEB84"/>
        <color rgb="FFF8696B"/>
      </colorScale>
    </cfRule>
    <cfRule type="colorScale" priority="1470">
      <colorScale>
        <cfvo type="min"/>
        <cfvo type="percentile" val="50"/>
        <cfvo type="max"/>
        <color rgb="FF63BE7B"/>
        <color rgb="FFFFEB84"/>
        <color rgb="FFF8696B"/>
      </colorScale>
    </cfRule>
    <cfRule type="colorScale" priority="1471">
      <colorScale>
        <cfvo type="min"/>
        <cfvo type="percentile" val="50"/>
        <cfvo type="max"/>
        <color rgb="FF63BE7B"/>
        <color rgb="FFFFEB84"/>
        <color rgb="FFF8696B"/>
      </colorScale>
    </cfRule>
    <cfRule type="colorScale" priority="1472">
      <colorScale>
        <cfvo type="min"/>
        <cfvo type="percentile" val="50"/>
        <cfvo type="max"/>
        <color rgb="FF63BE7B"/>
        <color rgb="FFFFEB84"/>
        <color rgb="FFF8696B"/>
      </colorScale>
    </cfRule>
    <cfRule type="colorScale" priority="1473">
      <colorScale>
        <cfvo type="min"/>
        <cfvo type="percentile" val="50"/>
        <cfvo type="max"/>
        <color rgb="FF63BE7B"/>
        <color rgb="FFFFEB84"/>
        <color rgb="FFF8696B"/>
      </colorScale>
    </cfRule>
    <cfRule type="colorScale" priority="1474">
      <colorScale>
        <cfvo type="min"/>
        <cfvo type="percentile" val="50"/>
        <cfvo type="max"/>
        <color rgb="FF63BE7B"/>
        <color rgb="FFFFEB84"/>
        <color rgb="FFF8696B"/>
      </colorScale>
    </cfRule>
    <cfRule type="colorScale" priority="1475">
      <colorScale>
        <cfvo type="min"/>
        <cfvo type="percentile" val="50"/>
        <cfvo type="max"/>
        <color rgb="FF63BE7B"/>
        <color rgb="FFFFEB84"/>
        <color rgb="FFF8696B"/>
      </colorScale>
    </cfRule>
    <cfRule type="colorScale" priority="1476">
      <colorScale>
        <cfvo type="min"/>
        <cfvo type="percentile" val="50"/>
        <cfvo type="max"/>
        <color rgb="FF63BE7B"/>
        <color rgb="FFFFEB84"/>
        <color rgb="FFF8696B"/>
      </colorScale>
    </cfRule>
    <cfRule type="colorScale" priority="1477">
      <colorScale>
        <cfvo type="min"/>
        <cfvo type="percentile" val="50"/>
        <cfvo type="max"/>
        <color rgb="FF63BE7B"/>
        <color rgb="FFFFEB84"/>
        <color rgb="FFF8696B"/>
      </colorScale>
    </cfRule>
    <cfRule type="colorScale" priority="1478">
      <colorScale>
        <cfvo type="min"/>
        <cfvo type="percentile" val="50"/>
        <cfvo type="max"/>
        <color rgb="FF63BE7B"/>
        <color rgb="FFFFEB84"/>
        <color rgb="FFF8696B"/>
      </colorScale>
    </cfRule>
    <cfRule type="colorScale" priority="1479">
      <colorScale>
        <cfvo type="min"/>
        <cfvo type="percentile" val="50"/>
        <cfvo type="max"/>
        <color rgb="FF63BE7B"/>
        <color rgb="FFFFEB84"/>
        <color rgb="FFF8696B"/>
      </colorScale>
    </cfRule>
    <cfRule type="colorScale" priority="1480">
      <colorScale>
        <cfvo type="min"/>
        <cfvo type="percentile" val="50"/>
        <cfvo type="max"/>
        <color rgb="FF63BE7B"/>
        <color rgb="FFFFEB84"/>
        <color rgb="FFF8696B"/>
      </colorScale>
    </cfRule>
    <cfRule type="colorScale" priority="1481">
      <colorScale>
        <cfvo type="min"/>
        <cfvo type="percentile" val="50"/>
        <cfvo type="max"/>
        <color rgb="FF63BE7B"/>
        <color rgb="FFFFEB84"/>
        <color rgb="FFF8696B"/>
      </colorScale>
    </cfRule>
    <cfRule type="colorScale" priority="1482">
      <colorScale>
        <cfvo type="min"/>
        <cfvo type="percentile" val="50"/>
        <cfvo type="max"/>
        <color rgb="FF63BE7B"/>
        <color rgb="FFFFEB84"/>
        <color rgb="FFF8696B"/>
      </colorScale>
    </cfRule>
    <cfRule type="colorScale" priority="1483">
      <colorScale>
        <cfvo type="min"/>
        <cfvo type="percentile" val="50"/>
        <cfvo type="max"/>
        <color rgb="FF63BE7B"/>
        <color rgb="FFFFEB84"/>
        <color rgb="FFF8696B"/>
      </colorScale>
    </cfRule>
    <cfRule type="colorScale" priority="1484">
      <colorScale>
        <cfvo type="min"/>
        <cfvo type="percentile" val="50"/>
        <cfvo type="max"/>
        <color rgb="FF63BE7B"/>
        <color rgb="FFFFEB84"/>
        <color rgb="FFF8696B"/>
      </colorScale>
    </cfRule>
    <cfRule type="colorScale" priority="1485">
      <colorScale>
        <cfvo type="min"/>
        <cfvo type="percentile" val="50"/>
        <cfvo type="max"/>
        <color rgb="FF63BE7B"/>
        <color rgb="FFFFEB84"/>
        <color rgb="FFF8696B"/>
      </colorScale>
    </cfRule>
    <cfRule type="colorScale" priority="1486">
      <colorScale>
        <cfvo type="min"/>
        <cfvo type="percentile" val="50"/>
        <cfvo type="max"/>
        <color rgb="FF63BE7B"/>
        <color rgb="FFFFEB84"/>
        <color rgb="FFF8696B"/>
      </colorScale>
    </cfRule>
    <cfRule type="colorScale" priority="1487">
      <colorScale>
        <cfvo type="min"/>
        <cfvo type="percentile" val="50"/>
        <cfvo type="max"/>
        <color rgb="FF63BE7B"/>
        <color rgb="FFFFEB84"/>
        <color rgb="FFF8696B"/>
      </colorScale>
    </cfRule>
    <cfRule type="colorScale" priority="1488">
      <colorScale>
        <cfvo type="min"/>
        <cfvo type="percentile" val="50"/>
        <cfvo type="max"/>
        <color rgb="FF63BE7B"/>
        <color rgb="FFFFEB84"/>
        <color rgb="FFF8696B"/>
      </colorScale>
    </cfRule>
    <cfRule type="colorScale" priority="1489">
      <colorScale>
        <cfvo type="min"/>
        <cfvo type="percentile" val="50"/>
        <cfvo type="max"/>
        <color rgb="FF63BE7B"/>
        <color rgb="FFFFEB84"/>
        <color rgb="FFF8696B"/>
      </colorScale>
    </cfRule>
    <cfRule type="colorScale" priority="1490">
      <colorScale>
        <cfvo type="min"/>
        <cfvo type="percentile" val="50"/>
        <cfvo type="max"/>
        <color rgb="FF63BE7B"/>
        <color rgb="FFFFEB84"/>
        <color rgb="FFF8696B"/>
      </colorScale>
    </cfRule>
    <cfRule type="colorScale" priority="1491">
      <colorScale>
        <cfvo type="min"/>
        <cfvo type="percentile" val="50"/>
        <cfvo type="max"/>
        <color rgb="FF63BE7B"/>
        <color rgb="FFFFEB84"/>
        <color rgb="FFF8696B"/>
      </colorScale>
    </cfRule>
    <cfRule type="colorScale" priority="1494">
      <colorScale>
        <cfvo type="min"/>
        <cfvo type="percentile" val="50"/>
        <cfvo type="max"/>
        <color rgb="FFF8696B"/>
        <color rgb="FFFFEB84"/>
        <color rgb="FF63BE7B"/>
      </colorScale>
    </cfRule>
    <cfRule type="colorScale" priority="1495">
      <colorScale>
        <cfvo type="min"/>
        <cfvo type="percentile" val="50"/>
        <cfvo type="max"/>
        <color rgb="FF63BE7B"/>
        <color rgb="FFFFEB84"/>
        <color rgb="FFF8696B"/>
      </colorScale>
    </cfRule>
    <cfRule type="colorScale" priority="1496">
      <colorScale>
        <cfvo type="min"/>
        <cfvo type="percentile" val="50"/>
        <cfvo type="max"/>
        <color rgb="FF63BE7B"/>
        <color rgb="FFFFEB84"/>
        <color rgb="FFF8696B"/>
      </colorScale>
    </cfRule>
    <cfRule type="colorScale" priority="1497">
      <colorScale>
        <cfvo type="min"/>
        <cfvo type="percentile" val="50"/>
        <cfvo type="max"/>
        <color rgb="FF63BE7B"/>
        <color rgb="FFFFEB84"/>
        <color rgb="FFF8696B"/>
      </colorScale>
    </cfRule>
    <cfRule type="colorScale" priority="1498">
      <colorScale>
        <cfvo type="min"/>
        <cfvo type="percentile" val="50"/>
        <cfvo type="max"/>
        <color rgb="FF63BE7B"/>
        <color rgb="FFFFEB84"/>
        <color rgb="FFF8696B"/>
      </colorScale>
    </cfRule>
    <cfRule type="colorScale" priority="1499">
      <colorScale>
        <cfvo type="min"/>
        <cfvo type="percentile" val="50"/>
        <cfvo type="max"/>
        <color rgb="FF63BE7B"/>
        <color rgb="FFFFEB84"/>
        <color rgb="FFF8696B"/>
      </colorScale>
    </cfRule>
    <cfRule type="colorScale" priority="1500">
      <colorScale>
        <cfvo type="min"/>
        <cfvo type="percentile" val="50"/>
        <cfvo type="max"/>
        <color rgb="FF63BE7B"/>
        <color rgb="FFFFEB84"/>
        <color rgb="FFF8696B"/>
      </colorScale>
    </cfRule>
    <cfRule type="colorScale" priority="1501">
      <colorScale>
        <cfvo type="min"/>
        <cfvo type="percentile" val="50"/>
        <cfvo type="max"/>
        <color rgb="FF63BE7B"/>
        <color rgb="FFFFEB84"/>
        <color rgb="FFF8696B"/>
      </colorScale>
    </cfRule>
    <cfRule type="colorScale" priority="1502">
      <colorScale>
        <cfvo type="min"/>
        <cfvo type="percentile" val="50"/>
        <cfvo type="max"/>
        <color rgb="FF63BE7B"/>
        <color rgb="FFFFEB84"/>
        <color rgb="FFF8696B"/>
      </colorScale>
    </cfRule>
    <cfRule type="colorScale" priority="1503">
      <colorScale>
        <cfvo type="min"/>
        <cfvo type="percentile" val="50"/>
        <cfvo type="max"/>
        <color rgb="FF63BE7B"/>
        <color rgb="FFFFEB84"/>
        <color rgb="FFF8696B"/>
      </colorScale>
    </cfRule>
    <cfRule type="colorScale" priority="1504">
      <colorScale>
        <cfvo type="min"/>
        <cfvo type="percentile" val="50"/>
        <cfvo type="max"/>
        <color rgb="FF63BE7B"/>
        <color rgb="FFFFEB84"/>
        <color rgb="FFF8696B"/>
      </colorScale>
    </cfRule>
    <cfRule type="colorScale" priority="1505">
      <colorScale>
        <cfvo type="min"/>
        <cfvo type="percentile" val="50"/>
        <cfvo type="max"/>
        <color rgb="FF63BE7B"/>
        <color rgb="FFFFEB84"/>
        <color rgb="FFF8696B"/>
      </colorScale>
    </cfRule>
    <cfRule type="colorScale" priority="1506">
      <colorScale>
        <cfvo type="min"/>
        <cfvo type="percentile" val="50"/>
        <cfvo type="max"/>
        <color rgb="FF63BE7B"/>
        <color rgb="FFFFEB84"/>
        <color rgb="FFF8696B"/>
      </colorScale>
    </cfRule>
    <cfRule type="colorScale" priority="1507">
      <colorScale>
        <cfvo type="min"/>
        <cfvo type="percentile" val="50"/>
        <cfvo type="max"/>
        <color rgb="FF63BE7B"/>
        <color rgb="FFFFEB84"/>
        <color rgb="FFF8696B"/>
      </colorScale>
    </cfRule>
    <cfRule type="colorScale" priority="1508">
      <colorScale>
        <cfvo type="min"/>
        <cfvo type="percentile" val="50"/>
        <cfvo type="max"/>
        <color rgb="FF63BE7B"/>
        <color rgb="FFFFEB84"/>
        <color rgb="FFF8696B"/>
      </colorScale>
    </cfRule>
    <cfRule type="colorScale" priority="1509">
      <colorScale>
        <cfvo type="min"/>
        <cfvo type="percentile" val="50"/>
        <cfvo type="max"/>
        <color rgb="FF63BE7B"/>
        <color rgb="FFFFEB84"/>
        <color rgb="FFF8696B"/>
      </colorScale>
    </cfRule>
    <cfRule type="colorScale" priority="1510">
      <colorScale>
        <cfvo type="min"/>
        <cfvo type="percentile" val="50"/>
        <cfvo type="max"/>
        <color rgb="FF63BE7B"/>
        <color rgb="FFFFEB84"/>
        <color rgb="FFF8696B"/>
      </colorScale>
    </cfRule>
    <cfRule type="colorScale" priority="1511">
      <colorScale>
        <cfvo type="min"/>
        <cfvo type="percentile" val="50"/>
        <cfvo type="max"/>
        <color rgb="FF63BE7B"/>
        <color rgb="FFFFEB84"/>
        <color rgb="FFF8696B"/>
      </colorScale>
    </cfRule>
    <cfRule type="colorScale" priority="1512">
      <colorScale>
        <cfvo type="min"/>
        <cfvo type="percentile" val="50"/>
        <cfvo type="max"/>
        <color rgb="FF63BE7B"/>
        <color rgb="FFFFEB84"/>
        <color rgb="FFF8696B"/>
      </colorScale>
    </cfRule>
    <cfRule type="colorScale" priority="1513">
      <colorScale>
        <cfvo type="min"/>
        <cfvo type="percentile" val="50"/>
        <cfvo type="max"/>
        <color rgb="FF63BE7B"/>
        <color rgb="FFFFEB84"/>
        <color rgb="FFF8696B"/>
      </colorScale>
    </cfRule>
    <cfRule type="colorScale" priority="1514">
      <colorScale>
        <cfvo type="min"/>
        <cfvo type="percentile" val="50"/>
        <cfvo type="max"/>
        <color rgb="FF63BE7B"/>
        <color rgb="FFFFEB84"/>
        <color rgb="FFF8696B"/>
      </colorScale>
    </cfRule>
    <cfRule type="colorScale" priority="1515">
      <colorScale>
        <cfvo type="min"/>
        <cfvo type="percentile" val="50"/>
        <cfvo type="max"/>
        <color rgb="FF63BE7B"/>
        <color rgb="FFFFEB84"/>
        <color rgb="FFF8696B"/>
      </colorScale>
    </cfRule>
    <cfRule type="colorScale" priority="1516">
      <colorScale>
        <cfvo type="min"/>
        <cfvo type="percentile" val="50"/>
        <cfvo type="max"/>
        <color rgb="FF63BE7B"/>
        <color rgb="FFFFEB84"/>
        <color rgb="FFF8696B"/>
      </colorScale>
    </cfRule>
    <cfRule type="colorScale" priority="1517">
      <colorScale>
        <cfvo type="min"/>
        <cfvo type="percentile" val="50"/>
        <cfvo type="max"/>
        <color rgb="FF63BE7B"/>
        <color rgb="FFFFEB84"/>
        <color rgb="FFF8696B"/>
      </colorScale>
    </cfRule>
    <cfRule type="colorScale" priority="1518">
      <colorScale>
        <cfvo type="min"/>
        <cfvo type="percentile" val="50"/>
        <cfvo type="max"/>
        <color rgb="FF63BE7B"/>
        <color rgb="FFFFEB84"/>
        <color rgb="FFF8696B"/>
      </colorScale>
    </cfRule>
    <cfRule type="colorScale" priority="1519">
      <colorScale>
        <cfvo type="min"/>
        <cfvo type="percentile" val="50"/>
        <cfvo type="max"/>
        <color rgb="FF63BE7B"/>
        <color rgb="FFFFEB84"/>
        <color rgb="FFF8696B"/>
      </colorScale>
    </cfRule>
    <cfRule type="colorScale" priority="1520">
      <colorScale>
        <cfvo type="min"/>
        <cfvo type="percentile" val="50"/>
        <cfvo type="max"/>
        <color rgb="FF63BE7B"/>
        <color rgb="FFFFEB84"/>
        <color rgb="FFF8696B"/>
      </colorScale>
    </cfRule>
    <cfRule type="colorScale" priority="1521">
      <colorScale>
        <cfvo type="min"/>
        <cfvo type="percentile" val="50"/>
        <cfvo type="max"/>
        <color rgb="FF63BE7B"/>
        <color rgb="FFFFEB84"/>
        <color rgb="FFF8696B"/>
      </colorScale>
    </cfRule>
    <cfRule type="colorScale" priority="1522">
      <colorScale>
        <cfvo type="min"/>
        <cfvo type="percentile" val="50"/>
        <cfvo type="max"/>
        <color rgb="FF63BE7B"/>
        <color rgb="FFFFEB84"/>
        <color rgb="FFF8696B"/>
      </colorScale>
    </cfRule>
    <cfRule type="colorScale" priority="1523">
      <colorScale>
        <cfvo type="min"/>
        <cfvo type="percentile" val="50"/>
        <cfvo type="max"/>
        <color rgb="FF63BE7B"/>
        <color rgb="FFFFEB84"/>
        <color rgb="FFF8696B"/>
      </colorScale>
    </cfRule>
    <cfRule type="colorScale" priority="1524">
      <colorScale>
        <cfvo type="min"/>
        <cfvo type="percentile" val="50"/>
        <cfvo type="max"/>
        <color rgb="FF63BE7B"/>
        <color rgb="FFFFEB84"/>
        <color rgb="FFF8696B"/>
      </colorScale>
    </cfRule>
    <cfRule type="colorScale" priority="1525">
      <colorScale>
        <cfvo type="min"/>
        <cfvo type="percentile" val="50"/>
        <cfvo type="max"/>
        <color rgb="FF63BE7B"/>
        <color rgb="FFFFEB84"/>
        <color rgb="FFF8696B"/>
      </colorScale>
    </cfRule>
    <cfRule type="colorScale" priority="1526">
      <colorScale>
        <cfvo type="min"/>
        <cfvo type="percentile" val="50"/>
        <cfvo type="max"/>
        <color rgb="FF63BE7B"/>
        <color rgb="FFFFEB84"/>
        <color rgb="FFF8696B"/>
      </colorScale>
    </cfRule>
    <cfRule type="colorScale" priority="1527">
      <colorScale>
        <cfvo type="min"/>
        <cfvo type="percentile" val="50"/>
        <cfvo type="max"/>
        <color rgb="FF63BE7B"/>
        <color rgb="FFFFEB84"/>
        <color rgb="FFF8696B"/>
      </colorScale>
    </cfRule>
    <cfRule type="colorScale" priority="1528">
      <colorScale>
        <cfvo type="min"/>
        <cfvo type="percentile" val="50"/>
        <cfvo type="max"/>
        <color rgb="FF63BE7B"/>
        <color rgb="FFFFEB84"/>
        <color rgb="FFF8696B"/>
      </colorScale>
    </cfRule>
    <cfRule type="colorScale" priority="1529">
      <colorScale>
        <cfvo type="min"/>
        <cfvo type="percentile" val="50"/>
        <cfvo type="max"/>
        <color rgb="FF63BE7B"/>
        <color rgb="FFFFEB84"/>
        <color rgb="FFF8696B"/>
      </colorScale>
    </cfRule>
    <cfRule type="colorScale" priority="1530">
      <colorScale>
        <cfvo type="min"/>
        <cfvo type="percentile" val="50"/>
        <cfvo type="max"/>
        <color rgb="FF63BE7B"/>
        <color rgb="FFFFEB84"/>
        <color rgb="FFF8696B"/>
      </colorScale>
    </cfRule>
    <cfRule type="colorScale" priority="1531">
      <colorScale>
        <cfvo type="min"/>
        <cfvo type="percentile" val="50"/>
        <cfvo type="max"/>
        <color rgb="FF63BE7B"/>
        <color rgb="FFFFEB84"/>
        <color rgb="FFF8696B"/>
      </colorScale>
    </cfRule>
    <cfRule type="colorScale" priority="1532">
      <colorScale>
        <cfvo type="min"/>
        <cfvo type="percentile" val="50"/>
        <cfvo type="max"/>
        <color rgb="FF63BE7B"/>
        <color rgb="FFFFEB84"/>
        <color rgb="FFF8696B"/>
      </colorScale>
    </cfRule>
    <cfRule type="colorScale" priority="1533">
      <colorScale>
        <cfvo type="min"/>
        <cfvo type="percentile" val="50"/>
        <cfvo type="max"/>
        <color rgb="FFF8696B"/>
        <color rgb="FFFFEB84"/>
        <color rgb="FF63BE7B"/>
      </colorScale>
    </cfRule>
    <cfRule type="colorScale" priority="1534">
      <colorScale>
        <cfvo type="min"/>
        <cfvo type="percentile" val="50"/>
        <cfvo type="max"/>
        <color rgb="FF63BE7B"/>
        <color rgb="FFFFEB84"/>
        <color rgb="FFF8696B"/>
      </colorScale>
    </cfRule>
    <cfRule type="colorScale" priority="1535">
      <colorScale>
        <cfvo type="min"/>
        <cfvo type="percentile" val="50"/>
        <cfvo type="max"/>
        <color rgb="FF63BE7B"/>
        <color rgb="FFFFEB84"/>
        <color rgb="FFF8696B"/>
      </colorScale>
    </cfRule>
    <cfRule type="colorScale" priority="1536">
      <colorScale>
        <cfvo type="min"/>
        <cfvo type="percentile" val="50"/>
        <cfvo type="max"/>
        <color rgb="FF63BE7B"/>
        <color rgb="FFFFEB84"/>
        <color rgb="FFF8696B"/>
      </colorScale>
    </cfRule>
    <cfRule type="colorScale" priority="1537">
      <colorScale>
        <cfvo type="min"/>
        <cfvo type="percentile" val="50"/>
        <cfvo type="max"/>
        <color rgb="FF63BE7B"/>
        <color rgb="FFFFEB84"/>
        <color rgb="FFF8696B"/>
      </colorScale>
    </cfRule>
    <cfRule type="colorScale" priority="1538">
      <colorScale>
        <cfvo type="min"/>
        <cfvo type="percentile" val="50"/>
        <cfvo type="max"/>
        <color rgb="FF63BE7B"/>
        <color rgb="FFFFEB84"/>
        <color rgb="FFF8696B"/>
      </colorScale>
    </cfRule>
    <cfRule type="colorScale" priority="1539">
      <colorScale>
        <cfvo type="min"/>
        <cfvo type="percentile" val="50"/>
        <cfvo type="max"/>
        <color rgb="FF63BE7B"/>
        <color rgb="FFFFEB84"/>
        <color rgb="FFF8696B"/>
      </colorScale>
    </cfRule>
    <cfRule type="colorScale" priority="1540">
      <colorScale>
        <cfvo type="min"/>
        <cfvo type="percentile" val="50"/>
        <cfvo type="max"/>
        <color rgb="FF63BE7B"/>
        <color rgb="FFFFEB84"/>
        <color rgb="FFF8696B"/>
      </colorScale>
    </cfRule>
    <cfRule type="colorScale" priority="1541">
      <colorScale>
        <cfvo type="min"/>
        <cfvo type="percentile" val="50"/>
        <cfvo type="max"/>
        <color rgb="FF63BE7B"/>
        <color rgb="FFFFEB84"/>
        <color rgb="FFF8696B"/>
      </colorScale>
    </cfRule>
    <cfRule type="colorScale" priority="1542">
      <colorScale>
        <cfvo type="min"/>
        <cfvo type="percentile" val="50"/>
        <cfvo type="max"/>
        <color rgb="FF63BE7B"/>
        <color rgb="FFFFEB84"/>
        <color rgb="FFF8696B"/>
      </colorScale>
    </cfRule>
    <cfRule type="colorScale" priority="1543">
      <colorScale>
        <cfvo type="min"/>
        <cfvo type="percentile" val="50"/>
        <cfvo type="max"/>
        <color rgb="FF63BE7B"/>
        <color rgb="FFFFEB84"/>
        <color rgb="FFF8696B"/>
      </colorScale>
    </cfRule>
    <cfRule type="colorScale" priority="1544">
      <colorScale>
        <cfvo type="min"/>
        <cfvo type="percentile" val="50"/>
        <cfvo type="max"/>
        <color rgb="FF63BE7B"/>
        <color rgb="FFFFEB84"/>
        <color rgb="FFF8696B"/>
      </colorScale>
    </cfRule>
    <cfRule type="colorScale" priority="1545">
      <colorScale>
        <cfvo type="min"/>
        <cfvo type="percentile" val="50"/>
        <cfvo type="max"/>
        <color rgb="FF63BE7B"/>
        <color rgb="FFFFEB84"/>
        <color rgb="FFF8696B"/>
      </colorScale>
    </cfRule>
    <cfRule type="colorScale" priority="1546">
      <colorScale>
        <cfvo type="min"/>
        <cfvo type="percentile" val="50"/>
        <cfvo type="max"/>
        <color rgb="FF63BE7B"/>
        <color rgb="FFFFEB84"/>
        <color rgb="FFF8696B"/>
      </colorScale>
    </cfRule>
    <cfRule type="colorScale" priority="1547">
      <colorScale>
        <cfvo type="min"/>
        <cfvo type="percentile" val="50"/>
        <cfvo type="max"/>
        <color rgb="FF63BE7B"/>
        <color rgb="FFFFEB84"/>
        <color rgb="FFF8696B"/>
      </colorScale>
    </cfRule>
    <cfRule type="colorScale" priority="1548">
      <colorScale>
        <cfvo type="min"/>
        <cfvo type="percentile" val="50"/>
        <cfvo type="max"/>
        <color rgb="FF63BE7B"/>
        <color rgb="FFFFEB84"/>
        <color rgb="FFF8696B"/>
      </colorScale>
    </cfRule>
    <cfRule type="colorScale" priority="1549">
      <colorScale>
        <cfvo type="min"/>
        <cfvo type="percentile" val="50"/>
        <cfvo type="max"/>
        <color rgb="FF63BE7B"/>
        <color rgb="FFFFEB84"/>
        <color rgb="FFF8696B"/>
      </colorScale>
    </cfRule>
    <cfRule type="colorScale" priority="1550">
      <colorScale>
        <cfvo type="min"/>
        <cfvo type="percentile" val="50"/>
        <cfvo type="max"/>
        <color rgb="FF63BE7B"/>
        <color rgb="FFFFEB84"/>
        <color rgb="FFF8696B"/>
      </colorScale>
    </cfRule>
    <cfRule type="colorScale" priority="1551">
      <colorScale>
        <cfvo type="min"/>
        <cfvo type="percentile" val="50"/>
        <cfvo type="max"/>
        <color rgb="FF63BE7B"/>
        <color rgb="FFFFEB84"/>
        <color rgb="FFF8696B"/>
      </colorScale>
    </cfRule>
    <cfRule type="colorScale" priority="1552">
      <colorScale>
        <cfvo type="min"/>
        <cfvo type="percentile" val="50"/>
        <cfvo type="max"/>
        <color rgb="FF63BE7B"/>
        <color rgb="FFFFEB84"/>
        <color rgb="FFF8696B"/>
      </colorScale>
    </cfRule>
    <cfRule type="colorScale" priority="1553">
      <colorScale>
        <cfvo type="min"/>
        <cfvo type="percentile" val="50"/>
        <cfvo type="max"/>
        <color rgb="FF63BE7B"/>
        <color rgb="FFFFEB84"/>
        <color rgb="FFF8696B"/>
      </colorScale>
    </cfRule>
    <cfRule type="colorScale" priority="1554">
      <colorScale>
        <cfvo type="min"/>
        <cfvo type="percentile" val="50"/>
        <cfvo type="max"/>
        <color rgb="FF63BE7B"/>
        <color rgb="FFFFEB84"/>
        <color rgb="FFF8696B"/>
      </colorScale>
    </cfRule>
    <cfRule type="colorScale" priority="1555">
      <colorScale>
        <cfvo type="min"/>
        <cfvo type="percentile" val="50"/>
        <cfvo type="max"/>
        <color rgb="FF63BE7B"/>
        <color rgb="FFFFEB84"/>
        <color rgb="FFF8696B"/>
      </colorScale>
    </cfRule>
    <cfRule type="colorScale" priority="1556">
      <colorScale>
        <cfvo type="min"/>
        <cfvo type="percentile" val="50"/>
        <cfvo type="max"/>
        <color rgb="FF63BE7B"/>
        <color rgb="FFFFEB84"/>
        <color rgb="FFF8696B"/>
      </colorScale>
    </cfRule>
    <cfRule type="colorScale" priority="1557">
      <colorScale>
        <cfvo type="min"/>
        <cfvo type="percentile" val="50"/>
        <cfvo type="max"/>
        <color rgb="FF63BE7B"/>
        <color rgb="FFFFEB84"/>
        <color rgb="FFF8696B"/>
      </colorScale>
    </cfRule>
    <cfRule type="colorScale" priority="1558">
      <colorScale>
        <cfvo type="min"/>
        <cfvo type="percentile" val="50"/>
        <cfvo type="max"/>
        <color rgb="FF63BE7B"/>
        <color rgb="FFFFEB84"/>
        <color rgb="FFF8696B"/>
      </colorScale>
    </cfRule>
    <cfRule type="colorScale" priority="1559">
      <colorScale>
        <cfvo type="min"/>
        <cfvo type="percentile" val="50"/>
        <cfvo type="max"/>
        <color rgb="FF63BE7B"/>
        <color rgb="FFFFEB84"/>
        <color rgb="FFF8696B"/>
      </colorScale>
    </cfRule>
    <cfRule type="colorScale" priority="1560">
      <colorScale>
        <cfvo type="min"/>
        <cfvo type="percentile" val="50"/>
        <cfvo type="max"/>
        <color rgb="FF63BE7B"/>
        <color rgb="FFFFEB84"/>
        <color rgb="FFF8696B"/>
      </colorScale>
    </cfRule>
    <cfRule type="colorScale" priority="1561">
      <colorScale>
        <cfvo type="min"/>
        <cfvo type="percentile" val="50"/>
        <cfvo type="max"/>
        <color rgb="FF63BE7B"/>
        <color rgb="FFFFEB84"/>
        <color rgb="FFF8696B"/>
      </colorScale>
    </cfRule>
    <cfRule type="colorScale" priority="1562">
      <colorScale>
        <cfvo type="min"/>
        <cfvo type="percentile" val="50"/>
        <cfvo type="max"/>
        <color rgb="FF63BE7B"/>
        <color rgb="FFFFEB84"/>
        <color rgb="FFF8696B"/>
      </colorScale>
    </cfRule>
    <cfRule type="colorScale" priority="1563">
      <colorScale>
        <cfvo type="min"/>
        <cfvo type="percentile" val="50"/>
        <cfvo type="max"/>
        <color rgb="FF63BE7B"/>
        <color rgb="FFFFEB84"/>
        <color rgb="FFF8696B"/>
      </colorScale>
    </cfRule>
    <cfRule type="colorScale" priority="1564">
      <colorScale>
        <cfvo type="min"/>
        <cfvo type="percentile" val="50"/>
        <cfvo type="max"/>
        <color rgb="FF63BE7B"/>
        <color rgb="FFFFEB84"/>
        <color rgb="FFF8696B"/>
      </colorScale>
    </cfRule>
    <cfRule type="colorScale" priority="1565">
      <colorScale>
        <cfvo type="min"/>
        <cfvo type="percentile" val="50"/>
        <cfvo type="max"/>
        <color rgb="FF63BE7B"/>
        <color rgb="FFFFEB84"/>
        <color rgb="FFF8696B"/>
      </colorScale>
    </cfRule>
    <cfRule type="colorScale" priority="1566">
      <colorScale>
        <cfvo type="min"/>
        <cfvo type="percentile" val="50"/>
        <cfvo type="max"/>
        <color rgb="FF63BE7B"/>
        <color rgb="FFFFEB84"/>
        <color rgb="FFF8696B"/>
      </colorScale>
    </cfRule>
    <cfRule type="colorScale" priority="1567">
      <colorScale>
        <cfvo type="min"/>
        <cfvo type="percentile" val="50"/>
        <cfvo type="max"/>
        <color rgb="FF63BE7B"/>
        <color rgb="FFFFEB84"/>
        <color rgb="FFF8696B"/>
      </colorScale>
    </cfRule>
    <cfRule type="colorScale" priority="1568">
      <colorScale>
        <cfvo type="min"/>
        <cfvo type="percentile" val="50"/>
        <cfvo type="max"/>
        <color rgb="FF63BE7B"/>
        <color rgb="FFFFEB84"/>
        <color rgb="FFF8696B"/>
      </colorScale>
    </cfRule>
    <cfRule type="colorScale" priority="1569">
      <colorScale>
        <cfvo type="min"/>
        <cfvo type="percentile" val="50"/>
        <cfvo type="max"/>
        <color rgb="FF63BE7B"/>
        <color rgb="FFFFEB84"/>
        <color rgb="FFF8696B"/>
      </colorScale>
    </cfRule>
    <cfRule type="colorScale" priority="1570">
      <colorScale>
        <cfvo type="min"/>
        <cfvo type="percentile" val="50"/>
        <cfvo type="max"/>
        <color rgb="FF63BE7B"/>
        <color rgb="FFFFEB84"/>
        <color rgb="FFF8696B"/>
      </colorScale>
    </cfRule>
    <cfRule type="colorScale" priority="1571">
      <colorScale>
        <cfvo type="min"/>
        <cfvo type="percentile" val="50"/>
        <cfvo type="max"/>
        <color rgb="FF63BE7B"/>
        <color rgb="FFFFEB84"/>
        <color rgb="FFF8696B"/>
      </colorScale>
    </cfRule>
    <cfRule type="colorScale" priority="1572">
      <colorScale>
        <cfvo type="min"/>
        <cfvo type="percentile" val="50"/>
        <cfvo type="max"/>
        <color rgb="FF63BE7B"/>
        <color rgb="FFFFEB84"/>
        <color rgb="FFF8696B"/>
      </colorScale>
    </cfRule>
    <cfRule type="colorScale" priority="1573">
      <colorScale>
        <cfvo type="min"/>
        <cfvo type="percentile" val="50"/>
        <cfvo type="max"/>
        <color rgb="FF63BE7B"/>
        <color rgb="FFFFEB84"/>
        <color rgb="FFF8696B"/>
      </colorScale>
    </cfRule>
    <cfRule type="colorScale" priority="1574">
      <colorScale>
        <cfvo type="min"/>
        <cfvo type="percentile" val="50"/>
        <cfvo type="max"/>
        <color rgb="FF63BE7B"/>
        <color rgb="FFFFEB84"/>
        <color rgb="FFF8696B"/>
      </colorScale>
    </cfRule>
    <cfRule type="colorScale" priority="1575">
      <colorScale>
        <cfvo type="min"/>
        <cfvo type="percentile" val="50"/>
        <cfvo type="max"/>
        <color rgb="FF63BE7B"/>
        <color rgb="FFFFEB84"/>
        <color rgb="FFF8696B"/>
      </colorScale>
    </cfRule>
    <cfRule type="colorScale" priority="1576">
      <colorScale>
        <cfvo type="min"/>
        <cfvo type="percentile" val="50"/>
        <cfvo type="max"/>
        <color rgb="FF63BE7B"/>
        <color rgb="FFFFEB84"/>
        <color rgb="FFF8696B"/>
      </colorScale>
    </cfRule>
    <cfRule type="colorScale" priority="1577">
      <colorScale>
        <cfvo type="min"/>
        <cfvo type="percentile" val="50"/>
        <cfvo type="max"/>
        <color rgb="FF63BE7B"/>
        <color rgb="FFFFEB84"/>
        <color rgb="FFF8696B"/>
      </colorScale>
    </cfRule>
    <cfRule type="colorScale" priority="1578">
      <colorScale>
        <cfvo type="min"/>
        <cfvo type="percentile" val="50"/>
        <cfvo type="max"/>
        <color rgb="FF63BE7B"/>
        <color rgb="FFFFEB84"/>
        <color rgb="FFF8696B"/>
      </colorScale>
    </cfRule>
    <cfRule type="colorScale" priority="1579">
      <colorScale>
        <cfvo type="min"/>
        <cfvo type="percentile" val="50"/>
        <cfvo type="max"/>
        <color rgb="FF63BE7B"/>
        <color rgb="FFFFEB84"/>
        <color rgb="FFF8696B"/>
      </colorScale>
    </cfRule>
    <cfRule type="colorScale" priority="1580">
      <colorScale>
        <cfvo type="min"/>
        <cfvo type="percentile" val="50"/>
        <cfvo type="max"/>
        <color rgb="FF63BE7B"/>
        <color rgb="FFFFEB84"/>
        <color rgb="FFF8696B"/>
      </colorScale>
    </cfRule>
    <cfRule type="colorScale" priority="1581">
      <colorScale>
        <cfvo type="min"/>
        <cfvo type="percentile" val="50"/>
        <cfvo type="max"/>
        <color rgb="FFF8696B"/>
        <color rgb="FFFFEB84"/>
        <color rgb="FF63BE7B"/>
      </colorScale>
    </cfRule>
    <cfRule type="colorScale" priority="1582">
      <colorScale>
        <cfvo type="min"/>
        <cfvo type="percentile" val="50"/>
        <cfvo type="max"/>
        <color rgb="FF63BE7B"/>
        <color rgb="FFFFEB84"/>
        <color rgb="FFF8696B"/>
      </colorScale>
    </cfRule>
    <cfRule type="colorScale" priority="1583">
      <colorScale>
        <cfvo type="min"/>
        <cfvo type="percentile" val="50"/>
        <cfvo type="max"/>
        <color rgb="FF63BE7B"/>
        <color rgb="FFFFEB84"/>
        <color rgb="FFF8696B"/>
      </colorScale>
    </cfRule>
    <cfRule type="colorScale" priority="1584">
      <colorScale>
        <cfvo type="min"/>
        <cfvo type="percentile" val="50"/>
        <cfvo type="max"/>
        <color rgb="FF63BE7B"/>
        <color rgb="FFFFEB84"/>
        <color rgb="FFF8696B"/>
      </colorScale>
    </cfRule>
    <cfRule type="colorScale" priority="1585">
      <colorScale>
        <cfvo type="min"/>
        <cfvo type="percentile" val="50"/>
        <cfvo type="max"/>
        <color rgb="FF63BE7B"/>
        <color rgb="FFFFEB84"/>
        <color rgb="FFF8696B"/>
      </colorScale>
    </cfRule>
    <cfRule type="colorScale" priority="1586">
      <colorScale>
        <cfvo type="min"/>
        <cfvo type="percentile" val="50"/>
        <cfvo type="max"/>
        <color rgb="FF63BE7B"/>
        <color rgb="FFFFEB84"/>
        <color rgb="FFF8696B"/>
      </colorScale>
    </cfRule>
    <cfRule type="colorScale" priority="1587">
      <colorScale>
        <cfvo type="min"/>
        <cfvo type="percentile" val="50"/>
        <cfvo type="max"/>
        <color rgb="FF63BE7B"/>
        <color rgb="FFFFEB84"/>
        <color rgb="FFF8696B"/>
      </colorScale>
    </cfRule>
    <cfRule type="colorScale" priority="1588">
      <colorScale>
        <cfvo type="min"/>
        <cfvo type="percentile" val="50"/>
        <cfvo type="max"/>
        <color rgb="FF63BE7B"/>
        <color rgb="FFFFEB84"/>
        <color rgb="FFF8696B"/>
      </colorScale>
    </cfRule>
    <cfRule type="colorScale" priority="1589">
      <colorScale>
        <cfvo type="min"/>
        <cfvo type="percentile" val="50"/>
        <cfvo type="max"/>
        <color rgb="FF63BE7B"/>
        <color rgb="FFFFEB84"/>
        <color rgb="FFF8696B"/>
      </colorScale>
    </cfRule>
    <cfRule type="colorScale" priority="1590">
      <colorScale>
        <cfvo type="min"/>
        <cfvo type="percentile" val="50"/>
        <cfvo type="max"/>
        <color rgb="FF63BE7B"/>
        <color rgb="FFFFEB84"/>
        <color rgb="FFF8696B"/>
      </colorScale>
    </cfRule>
    <cfRule type="colorScale" priority="1591">
      <colorScale>
        <cfvo type="min"/>
        <cfvo type="percentile" val="50"/>
        <cfvo type="max"/>
        <color rgb="FF63BE7B"/>
        <color rgb="FFFFEB84"/>
        <color rgb="FFF8696B"/>
      </colorScale>
    </cfRule>
    <cfRule type="colorScale" priority="1592">
      <colorScale>
        <cfvo type="min"/>
        <cfvo type="percentile" val="50"/>
        <cfvo type="max"/>
        <color rgb="FF63BE7B"/>
        <color rgb="FFFFEB84"/>
        <color rgb="FFF8696B"/>
      </colorScale>
    </cfRule>
    <cfRule type="colorScale" priority="1593">
      <colorScale>
        <cfvo type="min"/>
        <cfvo type="percentile" val="50"/>
        <cfvo type="max"/>
        <color rgb="FF63BE7B"/>
        <color rgb="FFFFEB84"/>
        <color rgb="FFF8696B"/>
      </colorScale>
    </cfRule>
    <cfRule type="colorScale" priority="1594">
      <colorScale>
        <cfvo type="min"/>
        <cfvo type="percentile" val="50"/>
        <cfvo type="max"/>
        <color rgb="FF63BE7B"/>
        <color rgb="FFFFEB84"/>
        <color rgb="FFF8696B"/>
      </colorScale>
    </cfRule>
    <cfRule type="colorScale" priority="1595">
      <colorScale>
        <cfvo type="min"/>
        <cfvo type="percentile" val="50"/>
        <cfvo type="max"/>
        <color rgb="FF63BE7B"/>
        <color rgb="FFFFEB84"/>
        <color rgb="FFF8696B"/>
      </colorScale>
    </cfRule>
    <cfRule type="colorScale" priority="1596">
      <colorScale>
        <cfvo type="min"/>
        <cfvo type="percentile" val="50"/>
        <cfvo type="max"/>
        <color rgb="FF63BE7B"/>
        <color rgb="FFFFEB84"/>
        <color rgb="FFF8696B"/>
      </colorScale>
    </cfRule>
    <cfRule type="colorScale" priority="1597">
      <colorScale>
        <cfvo type="min"/>
        <cfvo type="percentile" val="50"/>
        <cfvo type="max"/>
        <color rgb="FF63BE7B"/>
        <color rgb="FFFFEB84"/>
        <color rgb="FFF8696B"/>
      </colorScale>
    </cfRule>
    <cfRule type="colorScale" priority="1598">
      <colorScale>
        <cfvo type="min"/>
        <cfvo type="percentile" val="50"/>
        <cfvo type="max"/>
        <color rgb="FF63BE7B"/>
        <color rgb="FFFFEB84"/>
        <color rgb="FFF8696B"/>
      </colorScale>
    </cfRule>
    <cfRule type="colorScale" priority="1599">
      <colorScale>
        <cfvo type="min"/>
        <cfvo type="percentile" val="50"/>
        <cfvo type="max"/>
        <color rgb="FF63BE7B"/>
        <color rgb="FFFFEB84"/>
        <color rgb="FFF8696B"/>
      </colorScale>
    </cfRule>
    <cfRule type="colorScale" priority="1600">
      <colorScale>
        <cfvo type="min"/>
        <cfvo type="percentile" val="50"/>
        <cfvo type="max"/>
        <color rgb="FF63BE7B"/>
        <color rgb="FFFFEB84"/>
        <color rgb="FFF8696B"/>
      </colorScale>
    </cfRule>
    <cfRule type="colorScale" priority="1601">
      <colorScale>
        <cfvo type="min"/>
        <cfvo type="percentile" val="50"/>
        <cfvo type="max"/>
        <color rgb="FF63BE7B"/>
        <color rgb="FFFFEB84"/>
        <color rgb="FFF8696B"/>
      </colorScale>
    </cfRule>
    <cfRule type="colorScale" priority="1602">
      <colorScale>
        <cfvo type="min"/>
        <cfvo type="percentile" val="50"/>
        <cfvo type="max"/>
        <color rgb="FF63BE7B"/>
        <color rgb="FFFFEB84"/>
        <color rgb="FFF8696B"/>
      </colorScale>
    </cfRule>
    <cfRule type="colorScale" priority="1603">
      <colorScale>
        <cfvo type="min"/>
        <cfvo type="percentile" val="50"/>
        <cfvo type="max"/>
        <color rgb="FF63BE7B"/>
        <color rgb="FFFFEB84"/>
        <color rgb="FFF8696B"/>
      </colorScale>
    </cfRule>
    <cfRule type="colorScale" priority="1604">
      <colorScale>
        <cfvo type="min"/>
        <cfvo type="percentile" val="50"/>
        <cfvo type="max"/>
        <color rgb="FF63BE7B"/>
        <color rgb="FFFFEB84"/>
        <color rgb="FFF8696B"/>
      </colorScale>
    </cfRule>
    <cfRule type="colorScale" priority="1605">
      <colorScale>
        <cfvo type="min"/>
        <cfvo type="percentile" val="50"/>
        <cfvo type="max"/>
        <color rgb="FF63BE7B"/>
        <color rgb="FFFFEB84"/>
        <color rgb="FFF8696B"/>
      </colorScale>
    </cfRule>
    <cfRule type="colorScale" priority="1606">
      <colorScale>
        <cfvo type="min"/>
        <cfvo type="percentile" val="50"/>
        <cfvo type="max"/>
        <color rgb="FF63BE7B"/>
        <color rgb="FFFFEB84"/>
        <color rgb="FFF8696B"/>
      </colorScale>
    </cfRule>
    <cfRule type="colorScale" priority="1607">
      <colorScale>
        <cfvo type="min"/>
        <cfvo type="percentile" val="50"/>
        <cfvo type="max"/>
        <color rgb="FF63BE7B"/>
        <color rgb="FFFFEB84"/>
        <color rgb="FFF8696B"/>
      </colorScale>
    </cfRule>
    <cfRule type="colorScale" priority="1608">
      <colorScale>
        <cfvo type="min"/>
        <cfvo type="percentile" val="50"/>
        <cfvo type="max"/>
        <color rgb="FF63BE7B"/>
        <color rgb="FFFFEB84"/>
        <color rgb="FFF8696B"/>
      </colorScale>
    </cfRule>
    <cfRule type="colorScale" priority="1609">
      <colorScale>
        <cfvo type="min"/>
        <cfvo type="percentile" val="50"/>
        <cfvo type="max"/>
        <color rgb="FF63BE7B"/>
        <color rgb="FFFFEB84"/>
        <color rgb="FFF8696B"/>
      </colorScale>
    </cfRule>
    <cfRule type="colorScale" priority="1610">
      <colorScale>
        <cfvo type="min"/>
        <cfvo type="percentile" val="50"/>
        <cfvo type="max"/>
        <color rgb="FF63BE7B"/>
        <color rgb="FFFFEB84"/>
        <color rgb="FFF8696B"/>
      </colorScale>
    </cfRule>
    <cfRule type="colorScale" priority="1611">
      <colorScale>
        <cfvo type="min"/>
        <cfvo type="percentile" val="50"/>
        <cfvo type="max"/>
        <color rgb="FF63BE7B"/>
        <color rgb="FFFFEB84"/>
        <color rgb="FFF8696B"/>
      </colorScale>
    </cfRule>
    <cfRule type="colorScale" priority="1612">
      <colorScale>
        <cfvo type="min"/>
        <cfvo type="percentile" val="50"/>
        <cfvo type="max"/>
        <color rgb="FF63BE7B"/>
        <color rgb="FFFFEB84"/>
        <color rgb="FFF8696B"/>
      </colorScale>
    </cfRule>
    <cfRule type="colorScale" priority="1613">
      <colorScale>
        <cfvo type="min"/>
        <cfvo type="percentile" val="50"/>
        <cfvo type="max"/>
        <color rgb="FF63BE7B"/>
        <color rgb="FFFFEB84"/>
        <color rgb="FFF8696B"/>
      </colorScale>
    </cfRule>
    <cfRule type="colorScale" priority="1614">
      <colorScale>
        <cfvo type="min"/>
        <cfvo type="percentile" val="50"/>
        <cfvo type="max"/>
        <color rgb="FF63BE7B"/>
        <color rgb="FFFFEB84"/>
        <color rgb="FFF8696B"/>
      </colorScale>
    </cfRule>
    <cfRule type="colorScale" priority="1615">
      <colorScale>
        <cfvo type="min"/>
        <cfvo type="percentile" val="50"/>
        <cfvo type="max"/>
        <color rgb="FF63BE7B"/>
        <color rgb="FFFFEB84"/>
        <color rgb="FFF8696B"/>
      </colorScale>
    </cfRule>
    <cfRule type="colorScale" priority="1616">
      <colorScale>
        <cfvo type="min"/>
        <cfvo type="percentile" val="50"/>
        <cfvo type="max"/>
        <color rgb="FF63BE7B"/>
        <color rgb="FFFFEB84"/>
        <color rgb="FFF8696B"/>
      </colorScale>
    </cfRule>
    <cfRule type="colorScale" priority="1617">
      <colorScale>
        <cfvo type="min"/>
        <cfvo type="percentile" val="50"/>
        <cfvo type="max"/>
        <color rgb="FF63BE7B"/>
        <color rgb="FFFFEB84"/>
        <color rgb="FFF8696B"/>
      </colorScale>
    </cfRule>
    <cfRule type="colorScale" priority="1618">
      <colorScale>
        <cfvo type="min"/>
        <cfvo type="percentile" val="50"/>
        <cfvo type="max"/>
        <color rgb="FF63BE7B"/>
        <color rgb="FFFFEB84"/>
        <color rgb="FFF8696B"/>
      </colorScale>
    </cfRule>
    <cfRule type="colorScale" priority="1619">
      <colorScale>
        <cfvo type="min"/>
        <cfvo type="percentile" val="50"/>
        <cfvo type="max"/>
        <color rgb="FF63BE7B"/>
        <color rgb="FFFFEB84"/>
        <color rgb="FFF8696B"/>
      </colorScale>
    </cfRule>
    <cfRule type="colorScale" priority="1620">
      <colorScale>
        <cfvo type="min"/>
        <cfvo type="percentile" val="50"/>
        <cfvo type="max"/>
        <color rgb="FF63BE7B"/>
        <color rgb="FFFFEB84"/>
        <color rgb="FFF8696B"/>
      </colorScale>
    </cfRule>
    <cfRule type="colorScale" priority="1621">
      <colorScale>
        <cfvo type="min"/>
        <cfvo type="percentile" val="50"/>
        <cfvo type="max"/>
        <color rgb="FF63BE7B"/>
        <color rgb="FFFFEB84"/>
        <color rgb="FFF8696B"/>
      </colorScale>
    </cfRule>
    <cfRule type="colorScale" priority="1622">
      <colorScale>
        <cfvo type="min"/>
        <cfvo type="percentile" val="50"/>
        <cfvo type="max"/>
        <color rgb="FF63BE7B"/>
        <color rgb="FFFFEB84"/>
        <color rgb="FFF8696B"/>
      </colorScale>
    </cfRule>
    <cfRule type="colorScale" priority="1623">
      <colorScale>
        <cfvo type="min"/>
        <cfvo type="percentile" val="50"/>
        <cfvo type="max"/>
        <color rgb="FF63BE7B"/>
        <color rgb="FFFFEB84"/>
        <color rgb="FFF8696B"/>
      </colorScale>
    </cfRule>
    <cfRule type="colorScale" priority="1624">
      <colorScale>
        <cfvo type="min"/>
        <cfvo type="percentile" val="50"/>
        <cfvo type="max"/>
        <color rgb="FF63BE7B"/>
        <color rgb="FFFFEB84"/>
        <color rgb="FFF8696B"/>
      </colorScale>
    </cfRule>
    <cfRule type="colorScale" priority="1625">
      <colorScale>
        <cfvo type="min"/>
        <cfvo type="percentile" val="50"/>
        <cfvo type="max"/>
        <color rgb="FF63BE7B"/>
        <color rgb="FFFFEB84"/>
        <color rgb="FFF8696B"/>
      </colorScale>
    </cfRule>
    <cfRule type="colorScale" priority="1626">
      <colorScale>
        <cfvo type="min"/>
        <cfvo type="percentile" val="50"/>
        <cfvo type="max"/>
        <color rgb="FF63BE7B"/>
        <color rgb="FFFFEB84"/>
        <color rgb="FFF8696B"/>
      </colorScale>
    </cfRule>
    <cfRule type="colorScale" priority="1627">
      <colorScale>
        <cfvo type="min"/>
        <cfvo type="percentile" val="50"/>
        <cfvo type="max"/>
        <color rgb="FF63BE7B"/>
        <color rgb="FFFFEB84"/>
        <color rgb="FFF8696B"/>
      </colorScale>
    </cfRule>
    <cfRule type="colorScale" priority="1628">
      <colorScale>
        <cfvo type="min"/>
        <cfvo type="percentile" val="50"/>
        <cfvo type="max"/>
        <color rgb="FF63BE7B"/>
        <color rgb="FFFFEB84"/>
        <color rgb="FFF8696B"/>
      </colorScale>
    </cfRule>
    <cfRule type="colorScale" priority="1629">
      <colorScale>
        <cfvo type="min"/>
        <cfvo type="percentile" val="50"/>
        <cfvo type="max"/>
        <color rgb="FF63BE7B"/>
        <color rgb="FFFFEB84"/>
        <color rgb="FFF8696B"/>
      </colorScale>
    </cfRule>
    <cfRule type="colorScale" priority="1630">
      <colorScale>
        <cfvo type="min"/>
        <cfvo type="percentile" val="50"/>
        <cfvo type="max"/>
        <color rgb="FF63BE7B"/>
        <color rgb="FFFFEB84"/>
        <color rgb="FFF8696B"/>
      </colorScale>
    </cfRule>
    <cfRule type="colorScale" priority="1631">
      <colorScale>
        <cfvo type="min"/>
        <cfvo type="percentile" val="50"/>
        <cfvo type="max"/>
        <color rgb="FF63BE7B"/>
        <color rgb="FFFFEB84"/>
        <color rgb="FFF8696B"/>
      </colorScale>
    </cfRule>
    <cfRule type="colorScale" priority="1632">
      <colorScale>
        <cfvo type="min"/>
        <cfvo type="percentile" val="50"/>
        <cfvo type="max"/>
        <color rgb="FF63BE7B"/>
        <color rgb="FFFFEB84"/>
        <color rgb="FFF8696B"/>
      </colorScale>
    </cfRule>
    <cfRule type="colorScale" priority="1633">
      <colorScale>
        <cfvo type="min"/>
        <cfvo type="percentile" val="50"/>
        <cfvo type="max"/>
        <color rgb="FF63BE7B"/>
        <color rgb="FFFFEB84"/>
        <color rgb="FFF8696B"/>
      </colorScale>
    </cfRule>
    <cfRule type="colorScale" priority="1634">
      <colorScale>
        <cfvo type="min"/>
        <cfvo type="percentile" val="50"/>
        <cfvo type="max"/>
        <color rgb="FF63BE7B"/>
        <color rgb="FFFFEB84"/>
        <color rgb="FFF8696B"/>
      </colorScale>
    </cfRule>
    <cfRule type="colorScale" priority="1635">
      <colorScale>
        <cfvo type="min"/>
        <cfvo type="percentile" val="50"/>
        <cfvo type="max"/>
        <color rgb="FF63BE7B"/>
        <color rgb="FFFFEB84"/>
        <color rgb="FFF8696B"/>
      </colorScale>
    </cfRule>
    <cfRule type="colorScale" priority="1636">
      <colorScale>
        <cfvo type="min"/>
        <cfvo type="percentile" val="50"/>
        <cfvo type="max"/>
        <color rgb="FF63BE7B"/>
        <color rgb="FFFFEB84"/>
        <color rgb="FFF8696B"/>
      </colorScale>
    </cfRule>
    <cfRule type="colorScale" priority="1637">
      <colorScale>
        <cfvo type="min"/>
        <cfvo type="percentile" val="50"/>
        <cfvo type="max"/>
        <color rgb="FF63BE7B"/>
        <color rgb="FFFFEB84"/>
        <color rgb="FFF8696B"/>
      </colorScale>
    </cfRule>
    <cfRule type="colorScale" priority="1638">
      <colorScale>
        <cfvo type="min"/>
        <cfvo type="percentile" val="50"/>
        <cfvo type="max"/>
        <color rgb="FF63BE7B"/>
        <color rgb="FFFFEB84"/>
        <color rgb="FFF8696B"/>
      </colorScale>
    </cfRule>
    <cfRule type="colorScale" priority="1639">
      <colorScale>
        <cfvo type="min"/>
        <cfvo type="percentile" val="50"/>
        <cfvo type="max"/>
        <color rgb="FF63BE7B"/>
        <color rgb="FFFFEB84"/>
        <color rgb="FFF8696B"/>
      </colorScale>
    </cfRule>
    <cfRule type="colorScale" priority="1640">
      <colorScale>
        <cfvo type="min"/>
        <cfvo type="percentile" val="50"/>
        <cfvo type="max"/>
        <color rgb="FF63BE7B"/>
        <color rgb="FFFFEB84"/>
        <color rgb="FFF8696B"/>
      </colorScale>
    </cfRule>
    <cfRule type="colorScale" priority="1641">
      <colorScale>
        <cfvo type="min"/>
        <cfvo type="percentile" val="50"/>
        <cfvo type="max"/>
        <color rgb="FF63BE7B"/>
        <color rgb="FFFFEB84"/>
        <color rgb="FFF8696B"/>
      </colorScale>
    </cfRule>
    <cfRule type="colorScale" priority="1642">
      <colorScale>
        <cfvo type="min"/>
        <cfvo type="percentile" val="50"/>
        <cfvo type="max"/>
        <color rgb="FF63BE7B"/>
        <color rgb="FFFFEB84"/>
        <color rgb="FFF8696B"/>
      </colorScale>
    </cfRule>
    <cfRule type="colorScale" priority="1643">
      <colorScale>
        <cfvo type="min"/>
        <cfvo type="percentile" val="50"/>
        <cfvo type="max"/>
        <color rgb="FF63BE7B"/>
        <color rgb="FFFFEB84"/>
        <color rgb="FFF8696B"/>
      </colorScale>
    </cfRule>
    <cfRule type="colorScale" priority="1644">
      <colorScale>
        <cfvo type="min"/>
        <cfvo type="percentile" val="50"/>
        <cfvo type="max"/>
        <color rgb="FF63BE7B"/>
        <color rgb="FFFFEB84"/>
        <color rgb="FFF8696B"/>
      </colorScale>
    </cfRule>
    <cfRule type="colorScale" priority="1645">
      <colorScale>
        <cfvo type="min"/>
        <cfvo type="percentile" val="50"/>
        <cfvo type="max"/>
        <color rgb="FF63BE7B"/>
        <color rgb="FFFFEB84"/>
        <color rgb="FFF8696B"/>
      </colorScale>
    </cfRule>
    <cfRule type="colorScale" priority="1646">
      <colorScale>
        <cfvo type="min"/>
        <cfvo type="percentile" val="50"/>
        <cfvo type="max"/>
        <color rgb="FF63BE7B"/>
        <color rgb="FFFFEB84"/>
        <color rgb="FFF8696B"/>
      </colorScale>
    </cfRule>
    <cfRule type="colorScale" priority="1647">
      <colorScale>
        <cfvo type="min"/>
        <cfvo type="percentile" val="50"/>
        <cfvo type="max"/>
        <color rgb="FF63BE7B"/>
        <color rgb="FFFFEB84"/>
        <color rgb="FFF8696B"/>
      </colorScale>
    </cfRule>
    <cfRule type="colorScale" priority="1648">
      <colorScale>
        <cfvo type="min"/>
        <cfvo type="percentile" val="50"/>
        <cfvo type="max"/>
        <color rgb="FF63BE7B"/>
        <color rgb="FFFFEB84"/>
        <color rgb="FFF8696B"/>
      </colorScale>
    </cfRule>
    <cfRule type="colorScale" priority="1649">
      <colorScale>
        <cfvo type="min"/>
        <cfvo type="percentile" val="50"/>
        <cfvo type="max"/>
        <color rgb="FF63BE7B"/>
        <color rgb="FFFFEB84"/>
        <color rgb="FFF8696B"/>
      </colorScale>
    </cfRule>
    <cfRule type="colorScale" priority="1650">
      <colorScale>
        <cfvo type="min"/>
        <cfvo type="percentile" val="50"/>
        <cfvo type="max"/>
        <color rgb="FF63BE7B"/>
        <color rgb="FFFFEB84"/>
        <color rgb="FFF8696B"/>
      </colorScale>
    </cfRule>
    <cfRule type="colorScale" priority="1652">
      <colorScale>
        <cfvo type="min"/>
        <cfvo type="percentile" val="50"/>
        <cfvo type="max"/>
        <color rgb="FF63BE7B"/>
        <color rgb="FFFFEB84"/>
        <color rgb="FFF8696B"/>
      </colorScale>
    </cfRule>
    <cfRule type="colorScale" priority="1653">
      <colorScale>
        <cfvo type="min"/>
        <cfvo type="percentile" val="50"/>
        <cfvo type="max"/>
        <color rgb="FF63BE7B"/>
        <color rgb="FFFFEB84"/>
        <color rgb="FFF8696B"/>
      </colorScale>
    </cfRule>
    <cfRule type="colorScale" priority="1654">
      <colorScale>
        <cfvo type="min"/>
        <cfvo type="percentile" val="50"/>
        <cfvo type="max"/>
        <color rgb="FF63BE7B"/>
        <color rgb="FFFFEB84"/>
        <color rgb="FFF8696B"/>
      </colorScale>
    </cfRule>
    <cfRule type="colorScale" priority="1655">
      <colorScale>
        <cfvo type="min"/>
        <cfvo type="percentile" val="50"/>
        <cfvo type="max"/>
        <color rgb="FF63BE7B"/>
        <color rgb="FFFFEB84"/>
        <color rgb="FFF8696B"/>
      </colorScale>
    </cfRule>
    <cfRule type="colorScale" priority="1656">
      <colorScale>
        <cfvo type="min"/>
        <cfvo type="percentile" val="50"/>
        <cfvo type="max"/>
        <color rgb="FF63BE7B"/>
        <color rgb="FFFFEB84"/>
        <color rgb="FFF8696B"/>
      </colorScale>
    </cfRule>
    <cfRule type="colorScale" priority="1657">
      <colorScale>
        <cfvo type="min"/>
        <cfvo type="percentile" val="50"/>
        <cfvo type="max"/>
        <color rgb="FF63BE7B"/>
        <color rgb="FFFFEB84"/>
        <color rgb="FFF8696B"/>
      </colorScale>
    </cfRule>
    <cfRule type="colorScale" priority="1658">
      <colorScale>
        <cfvo type="min"/>
        <cfvo type="percentile" val="50"/>
        <cfvo type="max"/>
        <color rgb="FF63BE7B"/>
        <color rgb="FFFFEB84"/>
        <color rgb="FFF8696B"/>
      </colorScale>
    </cfRule>
    <cfRule type="colorScale" priority="1659">
      <colorScale>
        <cfvo type="min"/>
        <cfvo type="percentile" val="50"/>
        <cfvo type="max"/>
        <color rgb="FF63BE7B"/>
        <color rgb="FFFFEB84"/>
        <color rgb="FFF8696B"/>
      </colorScale>
    </cfRule>
    <cfRule type="colorScale" priority="1660">
      <colorScale>
        <cfvo type="min"/>
        <cfvo type="percentile" val="50"/>
        <cfvo type="max"/>
        <color rgb="FF63BE7B"/>
        <color rgb="FFFFEB84"/>
        <color rgb="FFF8696B"/>
      </colorScale>
    </cfRule>
    <cfRule type="colorScale" priority="1661">
      <colorScale>
        <cfvo type="min"/>
        <cfvo type="percentile" val="50"/>
        <cfvo type="max"/>
        <color rgb="FF63BE7B"/>
        <color rgb="FFFFEB84"/>
        <color rgb="FFF8696B"/>
      </colorScale>
    </cfRule>
    <cfRule type="colorScale" priority="1662">
      <colorScale>
        <cfvo type="min"/>
        <cfvo type="percentile" val="50"/>
        <cfvo type="max"/>
        <color rgb="FFF8696B"/>
        <color rgb="FFFFEB84"/>
        <color rgb="FF63BE7B"/>
      </colorScale>
    </cfRule>
    <cfRule type="colorScale" priority="1663">
      <colorScale>
        <cfvo type="min"/>
        <cfvo type="percentile" val="50"/>
        <cfvo type="max"/>
        <color rgb="FF63BE7B"/>
        <color rgb="FFFFEB84"/>
        <color rgb="FFF8696B"/>
      </colorScale>
    </cfRule>
    <cfRule type="colorScale" priority="1664">
      <colorScale>
        <cfvo type="min"/>
        <cfvo type="percentile" val="50"/>
        <cfvo type="max"/>
        <color rgb="FF63BE7B"/>
        <color rgb="FFFFEB84"/>
        <color rgb="FFF8696B"/>
      </colorScale>
    </cfRule>
    <cfRule type="colorScale" priority="1665">
      <colorScale>
        <cfvo type="min"/>
        <cfvo type="percentile" val="50"/>
        <cfvo type="max"/>
        <color rgb="FF63BE7B"/>
        <color rgb="FFFFEB84"/>
        <color rgb="FFF8696B"/>
      </colorScale>
    </cfRule>
    <cfRule type="colorScale" priority="1666">
      <colorScale>
        <cfvo type="min"/>
        <cfvo type="percentile" val="50"/>
        <cfvo type="max"/>
        <color rgb="FF63BE7B"/>
        <color rgb="FFFFEB84"/>
        <color rgb="FFF8696B"/>
      </colorScale>
    </cfRule>
    <cfRule type="colorScale" priority="1667">
      <colorScale>
        <cfvo type="min"/>
        <cfvo type="percentile" val="50"/>
        <cfvo type="max"/>
        <color rgb="FF63BE7B"/>
        <color rgb="FFFFEB84"/>
        <color rgb="FFF8696B"/>
      </colorScale>
    </cfRule>
    <cfRule type="colorScale" priority="1668">
      <colorScale>
        <cfvo type="min"/>
        <cfvo type="percentile" val="50"/>
        <cfvo type="max"/>
        <color rgb="FF63BE7B"/>
        <color rgb="FFFFEB84"/>
        <color rgb="FFF8696B"/>
      </colorScale>
    </cfRule>
    <cfRule type="colorScale" priority="1669">
      <colorScale>
        <cfvo type="min"/>
        <cfvo type="percentile" val="50"/>
        <cfvo type="max"/>
        <color rgb="FF63BE7B"/>
        <color rgb="FFFFEB84"/>
        <color rgb="FFF8696B"/>
      </colorScale>
    </cfRule>
    <cfRule type="colorScale" priority="1670">
      <colorScale>
        <cfvo type="min"/>
        <cfvo type="percentile" val="50"/>
        <cfvo type="max"/>
        <color rgb="FF63BE7B"/>
        <color rgb="FFFFEB84"/>
        <color rgb="FFF8696B"/>
      </colorScale>
    </cfRule>
    <cfRule type="colorScale" priority="1671">
      <colorScale>
        <cfvo type="min"/>
        <cfvo type="percentile" val="50"/>
        <cfvo type="max"/>
        <color rgb="FF63BE7B"/>
        <color rgb="FFFFEB84"/>
        <color rgb="FFF8696B"/>
      </colorScale>
    </cfRule>
    <cfRule type="colorScale" priority="1672">
      <colorScale>
        <cfvo type="min"/>
        <cfvo type="percentile" val="50"/>
        <cfvo type="max"/>
        <color rgb="FF63BE7B"/>
        <color rgb="FFFFEB84"/>
        <color rgb="FFF8696B"/>
      </colorScale>
    </cfRule>
    <cfRule type="colorScale" priority="1673">
      <colorScale>
        <cfvo type="min"/>
        <cfvo type="percentile" val="50"/>
        <cfvo type="max"/>
        <color rgb="FF63BE7B"/>
        <color rgb="FFFFEB84"/>
        <color rgb="FFF8696B"/>
      </colorScale>
    </cfRule>
    <cfRule type="colorScale" priority="1674">
      <colorScale>
        <cfvo type="min"/>
        <cfvo type="percentile" val="50"/>
        <cfvo type="max"/>
        <color rgb="FF63BE7B"/>
        <color rgb="FFFFEB84"/>
        <color rgb="FFF8696B"/>
      </colorScale>
    </cfRule>
    <cfRule type="colorScale" priority="1675">
      <colorScale>
        <cfvo type="min"/>
        <cfvo type="percentile" val="50"/>
        <cfvo type="max"/>
        <color rgb="FF63BE7B"/>
        <color rgb="FFFFEB84"/>
        <color rgb="FFF8696B"/>
      </colorScale>
    </cfRule>
    <cfRule type="colorScale" priority="1676">
      <colorScale>
        <cfvo type="min"/>
        <cfvo type="percentile" val="50"/>
        <cfvo type="max"/>
        <color rgb="FF63BE7B"/>
        <color rgb="FFFFEB84"/>
        <color rgb="FFF8696B"/>
      </colorScale>
    </cfRule>
    <cfRule type="colorScale" priority="1677">
      <colorScale>
        <cfvo type="min"/>
        <cfvo type="percentile" val="50"/>
        <cfvo type="max"/>
        <color rgb="FF63BE7B"/>
        <color rgb="FFFFEB84"/>
        <color rgb="FFF8696B"/>
      </colorScale>
    </cfRule>
    <cfRule type="colorScale" priority="1678">
      <colorScale>
        <cfvo type="min"/>
        <cfvo type="percentile" val="50"/>
        <cfvo type="max"/>
        <color rgb="FF63BE7B"/>
        <color rgb="FFFFEB84"/>
        <color rgb="FFF8696B"/>
      </colorScale>
    </cfRule>
    <cfRule type="colorScale" priority="1679">
      <colorScale>
        <cfvo type="min"/>
        <cfvo type="percentile" val="50"/>
        <cfvo type="max"/>
        <color rgb="FF63BE7B"/>
        <color rgb="FFFFEB84"/>
        <color rgb="FFF8696B"/>
      </colorScale>
    </cfRule>
    <cfRule type="colorScale" priority="1680">
      <colorScale>
        <cfvo type="min"/>
        <cfvo type="percentile" val="50"/>
        <cfvo type="max"/>
        <color rgb="FF63BE7B"/>
        <color rgb="FFFFEB84"/>
        <color rgb="FFF8696B"/>
      </colorScale>
    </cfRule>
    <cfRule type="colorScale" priority="1681">
      <colorScale>
        <cfvo type="min"/>
        <cfvo type="percentile" val="50"/>
        <cfvo type="max"/>
        <color rgb="FF63BE7B"/>
        <color rgb="FFFFEB84"/>
        <color rgb="FFF8696B"/>
      </colorScale>
    </cfRule>
    <cfRule type="colorScale" priority="1682">
      <colorScale>
        <cfvo type="min"/>
        <cfvo type="percentile" val="50"/>
        <cfvo type="max"/>
        <color rgb="FF63BE7B"/>
        <color rgb="FFFFEB84"/>
        <color rgb="FFF8696B"/>
      </colorScale>
    </cfRule>
    <cfRule type="colorScale" priority="1683">
      <colorScale>
        <cfvo type="min"/>
        <cfvo type="percentile" val="50"/>
        <cfvo type="max"/>
        <color rgb="FF63BE7B"/>
        <color rgb="FFFFEB84"/>
        <color rgb="FFF8696B"/>
      </colorScale>
    </cfRule>
    <cfRule type="colorScale" priority="1684">
      <colorScale>
        <cfvo type="min"/>
        <cfvo type="percentile" val="50"/>
        <cfvo type="max"/>
        <color rgb="FF63BE7B"/>
        <color rgb="FFFFEB84"/>
        <color rgb="FFF8696B"/>
      </colorScale>
    </cfRule>
    <cfRule type="colorScale" priority="1685">
      <colorScale>
        <cfvo type="min"/>
        <cfvo type="percentile" val="50"/>
        <cfvo type="max"/>
        <color rgb="FF63BE7B"/>
        <color rgb="FFFFEB84"/>
        <color rgb="FFF8696B"/>
      </colorScale>
    </cfRule>
    <cfRule type="colorScale" priority="1686">
      <colorScale>
        <cfvo type="min"/>
        <cfvo type="percentile" val="50"/>
        <cfvo type="max"/>
        <color rgb="FF63BE7B"/>
        <color rgb="FFFFEB84"/>
        <color rgb="FFF8696B"/>
      </colorScale>
    </cfRule>
    <cfRule type="colorScale" priority="1687">
      <colorScale>
        <cfvo type="min"/>
        <cfvo type="percentile" val="50"/>
        <cfvo type="max"/>
        <color rgb="FF63BE7B"/>
        <color rgb="FFFFEB84"/>
        <color rgb="FFF8696B"/>
      </colorScale>
    </cfRule>
    <cfRule type="colorScale" priority="1688">
      <colorScale>
        <cfvo type="min"/>
        <cfvo type="percentile" val="50"/>
        <cfvo type="max"/>
        <color rgb="FF63BE7B"/>
        <color rgb="FFFFEB84"/>
        <color rgb="FFF8696B"/>
      </colorScale>
    </cfRule>
    <cfRule type="colorScale" priority="1689">
      <colorScale>
        <cfvo type="min"/>
        <cfvo type="percentile" val="50"/>
        <cfvo type="max"/>
        <color rgb="FF63BE7B"/>
        <color rgb="FFFFEB84"/>
        <color rgb="FFF8696B"/>
      </colorScale>
    </cfRule>
    <cfRule type="colorScale" priority="1690">
      <colorScale>
        <cfvo type="min"/>
        <cfvo type="percentile" val="50"/>
        <cfvo type="max"/>
        <color rgb="FF63BE7B"/>
        <color rgb="FFFFEB84"/>
        <color rgb="FFF8696B"/>
      </colorScale>
    </cfRule>
    <cfRule type="colorScale" priority="1691">
      <colorScale>
        <cfvo type="min"/>
        <cfvo type="percentile" val="50"/>
        <cfvo type="max"/>
        <color rgb="FF63BE7B"/>
        <color rgb="FFFFEB84"/>
        <color rgb="FFF8696B"/>
      </colorScale>
    </cfRule>
    <cfRule type="colorScale" priority="1692">
      <colorScale>
        <cfvo type="min"/>
        <cfvo type="percentile" val="50"/>
        <cfvo type="max"/>
        <color rgb="FF63BE7B"/>
        <color rgb="FFFFEB84"/>
        <color rgb="FFF8696B"/>
      </colorScale>
    </cfRule>
    <cfRule type="colorScale" priority="1693">
      <colorScale>
        <cfvo type="min"/>
        <cfvo type="percentile" val="50"/>
        <cfvo type="max"/>
        <color rgb="FF63BE7B"/>
        <color rgb="FFFFEB84"/>
        <color rgb="FFF8696B"/>
      </colorScale>
    </cfRule>
    <cfRule type="colorScale" priority="1694">
      <colorScale>
        <cfvo type="min"/>
        <cfvo type="percentile" val="50"/>
        <cfvo type="max"/>
        <color rgb="FF63BE7B"/>
        <color rgb="FFFFEB84"/>
        <color rgb="FFF8696B"/>
      </colorScale>
    </cfRule>
    <cfRule type="colorScale" priority="1695">
      <colorScale>
        <cfvo type="min"/>
        <cfvo type="percentile" val="50"/>
        <cfvo type="max"/>
        <color rgb="FF63BE7B"/>
        <color rgb="FFFFEB84"/>
        <color rgb="FFF8696B"/>
      </colorScale>
    </cfRule>
    <cfRule type="colorScale" priority="1696">
      <colorScale>
        <cfvo type="min"/>
        <cfvo type="percentile" val="50"/>
        <cfvo type="max"/>
        <color rgb="FF63BE7B"/>
        <color rgb="FFFFEB84"/>
        <color rgb="FFF8696B"/>
      </colorScale>
    </cfRule>
    <cfRule type="colorScale" priority="1697">
      <colorScale>
        <cfvo type="min"/>
        <cfvo type="percentile" val="50"/>
        <cfvo type="max"/>
        <color rgb="FF63BE7B"/>
        <color rgb="FFFFEB84"/>
        <color rgb="FFF8696B"/>
      </colorScale>
    </cfRule>
    <cfRule type="colorScale" priority="1698">
      <colorScale>
        <cfvo type="min"/>
        <cfvo type="percentile" val="50"/>
        <cfvo type="max"/>
        <color rgb="FF63BE7B"/>
        <color rgb="FFFFEB84"/>
        <color rgb="FFF8696B"/>
      </colorScale>
    </cfRule>
    <cfRule type="colorScale" priority="1699">
      <colorScale>
        <cfvo type="min"/>
        <cfvo type="percentile" val="50"/>
        <cfvo type="max"/>
        <color rgb="FF63BE7B"/>
        <color rgb="FFFFEB84"/>
        <color rgb="FFF8696B"/>
      </colorScale>
    </cfRule>
    <cfRule type="colorScale" priority="1700">
      <colorScale>
        <cfvo type="min"/>
        <cfvo type="percentile" val="50"/>
        <cfvo type="max"/>
        <color rgb="FF63BE7B"/>
        <color rgb="FFFFEB84"/>
        <color rgb="FFF8696B"/>
      </colorScale>
    </cfRule>
    <cfRule type="colorScale" priority="1701">
      <colorScale>
        <cfvo type="min"/>
        <cfvo type="percentile" val="50"/>
        <cfvo type="max"/>
        <color rgb="FF63BE7B"/>
        <color rgb="FFFFEB84"/>
        <color rgb="FFF8696B"/>
      </colorScale>
    </cfRule>
    <cfRule type="colorScale" priority="1702">
      <colorScale>
        <cfvo type="min"/>
        <cfvo type="percentile" val="50"/>
        <cfvo type="max"/>
        <color rgb="FF63BE7B"/>
        <color rgb="FFFFEB84"/>
        <color rgb="FFF8696B"/>
      </colorScale>
    </cfRule>
    <cfRule type="colorScale" priority="1703">
      <colorScale>
        <cfvo type="min"/>
        <cfvo type="percentile" val="50"/>
        <cfvo type="max"/>
        <color rgb="FF63BE7B"/>
        <color rgb="FFFFEB84"/>
        <color rgb="FFF8696B"/>
      </colorScale>
    </cfRule>
    <cfRule type="colorScale" priority="1704">
      <colorScale>
        <cfvo type="min"/>
        <cfvo type="percentile" val="50"/>
        <cfvo type="max"/>
        <color rgb="FF63BE7B"/>
        <color rgb="FFFFEB84"/>
        <color rgb="FFF8696B"/>
      </colorScale>
    </cfRule>
    <cfRule type="colorScale" priority="1705">
      <colorScale>
        <cfvo type="min"/>
        <cfvo type="percentile" val="50"/>
        <cfvo type="max"/>
        <color rgb="FF63BE7B"/>
        <color rgb="FFFFEB84"/>
        <color rgb="FFF8696B"/>
      </colorScale>
    </cfRule>
    <cfRule type="colorScale" priority="1706">
      <colorScale>
        <cfvo type="min"/>
        <cfvo type="percentile" val="50"/>
        <cfvo type="max"/>
        <color rgb="FF63BE7B"/>
        <color rgb="FFFFEB84"/>
        <color rgb="FFF8696B"/>
      </colorScale>
    </cfRule>
    <cfRule type="colorScale" priority="1707">
      <colorScale>
        <cfvo type="min"/>
        <cfvo type="percentile" val="50"/>
        <cfvo type="max"/>
        <color rgb="FF63BE7B"/>
        <color rgb="FFFFEB84"/>
        <color rgb="FFF8696B"/>
      </colorScale>
    </cfRule>
    <cfRule type="colorScale" priority="1708">
      <colorScale>
        <cfvo type="min"/>
        <cfvo type="percentile" val="50"/>
        <cfvo type="max"/>
        <color rgb="FF63BE7B"/>
        <color rgb="FFFFEB84"/>
        <color rgb="FFF8696B"/>
      </colorScale>
    </cfRule>
    <cfRule type="colorScale" priority="1709">
      <colorScale>
        <cfvo type="min"/>
        <cfvo type="percentile" val="50"/>
        <cfvo type="max"/>
        <color rgb="FF63BE7B"/>
        <color rgb="FFFFEB84"/>
        <color rgb="FFF8696B"/>
      </colorScale>
    </cfRule>
    <cfRule type="colorScale" priority="1710">
      <colorScale>
        <cfvo type="min"/>
        <cfvo type="percentile" val="50"/>
        <cfvo type="max"/>
        <color rgb="FF63BE7B"/>
        <color rgb="FFFFEB84"/>
        <color rgb="FFF8696B"/>
      </colorScale>
    </cfRule>
    <cfRule type="colorScale" priority="1711">
      <colorScale>
        <cfvo type="min"/>
        <cfvo type="percentile" val="50"/>
        <cfvo type="max"/>
        <color rgb="FF63BE7B"/>
        <color rgb="FFFFEB84"/>
        <color rgb="FFF8696B"/>
      </colorScale>
    </cfRule>
    <cfRule type="colorScale" priority="1712">
      <colorScale>
        <cfvo type="min"/>
        <cfvo type="percentile" val="50"/>
        <cfvo type="max"/>
        <color rgb="FF63BE7B"/>
        <color rgb="FFFFEB84"/>
        <color rgb="FFF8696B"/>
      </colorScale>
    </cfRule>
    <cfRule type="colorScale" priority="1713">
      <colorScale>
        <cfvo type="min"/>
        <cfvo type="percentile" val="50"/>
        <cfvo type="max"/>
        <color rgb="FF63BE7B"/>
        <color rgb="FFFFEB84"/>
        <color rgb="FFF8696B"/>
      </colorScale>
    </cfRule>
    <cfRule type="colorScale" priority="1714">
      <colorScale>
        <cfvo type="min"/>
        <cfvo type="percentile" val="50"/>
        <cfvo type="max"/>
        <color rgb="FF63BE7B"/>
        <color rgb="FFFFEB84"/>
        <color rgb="FFF8696B"/>
      </colorScale>
    </cfRule>
    <cfRule type="colorScale" priority="1715">
      <colorScale>
        <cfvo type="min"/>
        <cfvo type="percentile" val="50"/>
        <cfvo type="max"/>
        <color rgb="FF63BE7B"/>
        <color rgb="FFFFEB84"/>
        <color rgb="FFF8696B"/>
      </colorScale>
    </cfRule>
    <cfRule type="colorScale" priority="1716">
      <colorScale>
        <cfvo type="min"/>
        <cfvo type="percentile" val="50"/>
        <cfvo type="max"/>
        <color rgb="FF63BE7B"/>
        <color rgb="FFFFEB84"/>
        <color rgb="FFF8696B"/>
      </colorScale>
    </cfRule>
    <cfRule type="colorScale" priority="1717">
      <colorScale>
        <cfvo type="min"/>
        <cfvo type="percentile" val="50"/>
        <cfvo type="max"/>
        <color rgb="FF63BE7B"/>
        <color rgb="FFFFEB84"/>
        <color rgb="FFF8696B"/>
      </colorScale>
    </cfRule>
    <cfRule type="colorScale" priority="5791">
      <colorScale>
        <cfvo type="min"/>
        <cfvo type="percentile" val="50"/>
        <cfvo type="max"/>
        <color rgb="FF63BE7B"/>
        <color rgb="FFFFEB84"/>
        <color rgb="FFF8696B"/>
      </colorScale>
    </cfRule>
    <cfRule type="colorScale" priority="5912">
      <colorScale>
        <cfvo type="min"/>
        <cfvo type="percentile" val="50"/>
        <cfvo type="max"/>
        <color rgb="FFF8696B"/>
        <color rgb="FFFFEB84"/>
        <color rgb="FF63BE7B"/>
      </colorScale>
    </cfRule>
    <cfRule type="colorScale" priority="1651">
      <colorScale>
        <cfvo type="min"/>
        <cfvo type="percentile" val="50"/>
        <cfvo type="max"/>
        <color rgb="FF63BE7B"/>
        <color rgb="FFFFEB84"/>
        <color rgb="FFF8696B"/>
      </colorScale>
    </cfRule>
    <cfRule type="colorScale" priority="6869">
      <colorScale>
        <cfvo type="min"/>
        <cfvo type="percentile" val="50"/>
        <cfvo type="max"/>
        <color rgb="FF63BE7B"/>
        <color rgb="FFFFEB84"/>
        <color rgb="FFF8696B"/>
      </colorScale>
    </cfRule>
    <cfRule type="colorScale" priority="6870">
      <colorScale>
        <cfvo type="min"/>
        <cfvo type="percentile" val="50"/>
        <cfvo type="max"/>
        <color rgb="FF63BE7B"/>
        <color rgb="FFFFEB84"/>
        <color rgb="FFF8696B"/>
      </colorScale>
    </cfRule>
    <cfRule type="colorScale" priority="6871">
      <colorScale>
        <cfvo type="min"/>
        <cfvo type="percentile" val="50"/>
        <cfvo type="max"/>
        <color rgb="FF63BE7B"/>
        <color rgb="FFFFEB84"/>
        <color rgb="FFF8696B"/>
      </colorScale>
    </cfRule>
    <cfRule type="colorScale" priority="6872">
      <colorScale>
        <cfvo type="min"/>
        <cfvo type="percentile" val="50"/>
        <cfvo type="max"/>
        <color rgb="FF63BE7B"/>
        <color rgb="FFFFEB84"/>
        <color rgb="FFF8696B"/>
      </colorScale>
    </cfRule>
    <cfRule type="colorScale" priority="6873">
      <colorScale>
        <cfvo type="min"/>
        <cfvo type="percentile" val="50"/>
        <cfvo type="max"/>
        <color rgb="FF63BE7B"/>
        <color rgb="FFFFEB84"/>
        <color rgb="FFF8696B"/>
      </colorScale>
    </cfRule>
    <cfRule type="colorScale" priority="6874">
      <colorScale>
        <cfvo type="min"/>
        <cfvo type="percentile" val="50"/>
        <cfvo type="max"/>
        <color rgb="FF63BE7B"/>
        <color rgb="FFFFEB84"/>
        <color rgb="FFF8696B"/>
      </colorScale>
    </cfRule>
    <cfRule type="colorScale" priority="6875">
      <colorScale>
        <cfvo type="min"/>
        <cfvo type="percentile" val="50"/>
        <cfvo type="max"/>
        <color rgb="FF63BE7B"/>
        <color rgb="FFFFEB84"/>
        <color rgb="FFF8696B"/>
      </colorScale>
    </cfRule>
    <cfRule type="colorScale" priority="6876">
      <colorScale>
        <cfvo type="min"/>
        <cfvo type="percentile" val="50"/>
        <cfvo type="max"/>
        <color rgb="FF63BE7B"/>
        <color rgb="FFFFEB84"/>
        <color rgb="FFF8696B"/>
      </colorScale>
    </cfRule>
    <cfRule type="colorScale" priority="6877">
      <colorScale>
        <cfvo type="min"/>
        <cfvo type="percentile" val="50"/>
        <cfvo type="max"/>
        <color rgb="FF63BE7B"/>
        <color rgb="FFFFEB84"/>
        <color rgb="FFF8696B"/>
      </colorScale>
    </cfRule>
    <cfRule type="colorScale" priority="6878">
      <colorScale>
        <cfvo type="min"/>
        <cfvo type="percentile" val="50"/>
        <cfvo type="max"/>
        <color rgb="FF63BE7B"/>
        <color rgb="FFFFEB84"/>
        <color rgb="FFF8696B"/>
      </colorScale>
    </cfRule>
    <cfRule type="colorScale" priority="6879">
      <colorScale>
        <cfvo type="min"/>
        <cfvo type="percentile" val="50"/>
        <cfvo type="max"/>
        <color rgb="FF63BE7B"/>
        <color rgb="FFFFEB84"/>
        <color rgb="FFF8696B"/>
      </colorScale>
    </cfRule>
    <cfRule type="colorScale" priority="6880">
      <colorScale>
        <cfvo type="min"/>
        <cfvo type="percentile" val="50"/>
        <cfvo type="max"/>
        <color rgb="FF63BE7B"/>
        <color rgb="FFFFEB84"/>
        <color rgb="FFF8696B"/>
      </colorScale>
    </cfRule>
    <cfRule type="colorScale" priority="6881">
      <colorScale>
        <cfvo type="min"/>
        <cfvo type="percentile" val="50"/>
        <cfvo type="max"/>
        <color rgb="FF63BE7B"/>
        <color rgb="FFFFEB84"/>
        <color rgb="FFF8696B"/>
      </colorScale>
    </cfRule>
    <cfRule type="colorScale" priority="6882">
      <colorScale>
        <cfvo type="min"/>
        <cfvo type="percentile" val="50"/>
        <cfvo type="max"/>
        <color rgb="FF63BE7B"/>
        <color rgb="FFFFEB84"/>
        <color rgb="FFF8696B"/>
      </colorScale>
    </cfRule>
    <cfRule type="colorScale" priority="6883">
      <colorScale>
        <cfvo type="min"/>
        <cfvo type="percentile" val="50"/>
        <cfvo type="max"/>
        <color rgb="FF63BE7B"/>
        <color rgb="FFFFEB84"/>
        <color rgb="FFF8696B"/>
      </colorScale>
    </cfRule>
    <cfRule type="colorScale" priority="6884">
      <colorScale>
        <cfvo type="min"/>
        <cfvo type="percentile" val="50"/>
        <cfvo type="max"/>
        <color rgb="FF63BE7B"/>
        <color rgb="FFFFEB84"/>
        <color rgb="FFF8696B"/>
      </colorScale>
    </cfRule>
    <cfRule type="colorScale" priority="6885">
      <colorScale>
        <cfvo type="min"/>
        <cfvo type="percentile" val="50"/>
        <cfvo type="max"/>
        <color rgb="FF63BE7B"/>
        <color rgb="FFFFEB84"/>
        <color rgb="FFF8696B"/>
      </colorScale>
    </cfRule>
    <cfRule type="colorScale" priority="6886">
      <colorScale>
        <cfvo type="min"/>
        <cfvo type="percentile" val="50"/>
        <cfvo type="max"/>
        <color rgb="FF63BE7B"/>
        <color rgb="FFFFEB84"/>
        <color rgb="FFF8696B"/>
      </colorScale>
    </cfRule>
    <cfRule type="colorScale" priority="7180">
      <colorScale>
        <cfvo type="min"/>
        <cfvo type="percentile" val="50"/>
        <cfvo type="max"/>
        <color rgb="FF63BE7B"/>
        <color rgb="FFFFEB84"/>
        <color rgb="FFF8696B"/>
      </colorScale>
    </cfRule>
    <cfRule type="colorScale" priority="7181">
      <colorScale>
        <cfvo type="min"/>
        <cfvo type="percentile" val="50"/>
        <cfvo type="max"/>
        <color rgb="FF63BE7B"/>
        <color rgb="FFFFEB84"/>
        <color rgb="FFF8696B"/>
      </colorScale>
    </cfRule>
    <cfRule type="colorScale" priority="7182">
      <colorScale>
        <cfvo type="min"/>
        <cfvo type="percentile" val="50"/>
        <cfvo type="max"/>
        <color rgb="FF63BE7B"/>
        <color rgb="FFFFEB84"/>
        <color rgb="FFF8696B"/>
      </colorScale>
    </cfRule>
    <cfRule type="colorScale" priority="7183">
      <colorScale>
        <cfvo type="min"/>
        <cfvo type="percentile" val="50"/>
        <cfvo type="max"/>
        <color rgb="FF63BE7B"/>
        <color rgb="FFFFEB84"/>
        <color rgb="FFF8696B"/>
      </colorScale>
    </cfRule>
    <cfRule type="colorScale" priority="7252">
      <colorScale>
        <cfvo type="min"/>
        <cfvo type="percentile" val="50"/>
        <cfvo type="max"/>
        <color rgb="FF63BE7B"/>
        <color rgb="FFFFEB84"/>
        <color rgb="FFF8696B"/>
      </colorScale>
    </cfRule>
    <cfRule type="colorScale" priority="4073">
      <colorScale>
        <cfvo type="min"/>
        <cfvo type="percentile" val="50"/>
        <cfvo type="max"/>
        <color rgb="FF63BE7B"/>
        <color rgb="FFFFEB84"/>
        <color rgb="FFF8696B"/>
      </colorScale>
    </cfRule>
    <cfRule type="colorScale" priority="4074">
      <colorScale>
        <cfvo type="min"/>
        <cfvo type="percentile" val="50"/>
        <cfvo type="max"/>
        <color rgb="FF63BE7B"/>
        <color rgb="FFFFEB84"/>
        <color rgb="FFF8696B"/>
      </colorScale>
    </cfRule>
    <cfRule type="colorScale" priority="4075">
      <colorScale>
        <cfvo type="min"/>
        <cfvo type="percentile" val="50"/>
        <cfvo type="max"/>
        <color rgb="FF63BE7B"/>
        <color rgb="FFFFEB84"/>
        <color rgb="FFF8696B"/>
      </colorScale>
    </cfRule>
    <cfRule type="colorScale" priority="4076">
      <colorScale>
        <cfvo type="min"/>
        <cfvo type="percentile" val="50"/>
        <cfvo type="max"/>
        <color rgb="FF63BE7B"/>
        <color rgb="FFFFEB84"/>
        <color rgb="FFF8696B"/>
      </colorScale>
    </cfRule>
    <cfRule type="colorScale" priority="4077">
      <colorScale>
        <cfvo type="min"/>
        <cfvo type="percentile" val="50"/>
        <cfvo type="max"/>
        <color rgb="FF63BE7B"/>
        <color rgb="FFFFEB84"/>
        <color rgb="FFF8696B"/>
      </colorScale>
    </cfRule>
    <cfRule type="colorScale" priority="4078">
      <colorScale>
        <cfvo type="min"/>
        <cfvo type="percentile" val="50"/>
        <cfvo type="max"/>
        <color rgb="FF63BE7B"/>
        <color rgb="FFFFEB84"/>
        <color rgb="FFF8696B"/>
      </colorScale>
    </cfRule>
    <cfRule type="colorScale" priority="4079">
      <colorScale>
        <cfvo type="min"/>
        <cfvo type="percentile" val="50"/>
        <cfvo type="max"/>
        <color rgb="FF63BE7B"/>
        <color rgb="FFFFEB84"/>
        <color rgb="FFF8696B"/>
      </colorScale>
    </cfRule>
    <cfRule type="colorScale" priority="4080">
      <colorScale>
        <cfvo type="min"/>
        <cfvo type="percentile" val="50"/>
        <cfvo type="max"/>
        <color rgb="FF63BE7B"/>
        <color rgb="FFFFEB84"/>
        <color rgb="FFF8696B"/>
      </colorScale>
    </cfRule>
    <cfRule type="colorScale" priority="4081">
      <colorScale>
        <cfvo type="min"/>
        <cfvo type="percentile" val="50"/>
        <cfvo type="max"/>
        <color rgb="FF63BE7B"/>
        <color rgb="FFFFEB84"/>
        <color rgb="FFF8696B"/>
      </colorScale>
    </cfRule>
    <cfRule type="colorScale" priority="4082">
      <colorScale>
        <cfvo type="min"/>
        <cfvo type="percentile" val="50"/>
        <cfvo type="max"/>
        <color rgb="FF63BE7B"/>
        <color rgb="FFFFEB84"/>
        <color rgb="FFF8696B"/>
      </colorScale>
    </cfRule>
    <cfRule type="colorScale" priority="4083">
      <colorScale>
        <cfvo type="min"/>
        <cfvo type="percentile" val="50"/>
        <cfvo type="max"/>
        <color rgb="FF63BE7B"/>
        <color rgb="FFFFEB84"/>
        <color rgb="FFF8696B"/>
      </colorScale>
    </cfRule>
    <cfRule type="colorScale" priority="4084">
      <colorScale>
        <cfvo type="min"/>
        <cfvo type="percentile" val="50"/>
        <cfvo type="max"/>
        <color rgb="FF63BE7B"/>
        <color rgb="FFFFEB84"/>
        <color rgb="FFF8696B"/>
      </colorScale>
    </cfRule>
    <cfRule type="colorScale" priority="4085">
      <colorScale>
        <cfvo type="min"/>
        <cfvo type="percentile" val="50"/>
        <cfvo type="max"/>
        <color rgb="FF63BE7B"/>
        <color rgb="FFFFEB84"/>
        <color rgb="FFF8696B"/>
      </colorScale>
    </cfRule>
    <cfRule type="colorScale" priority="4086">
      <colorScale>
        <cfvo type="min"/>
        <cfvo type="percentile" val="50"/>
        <cfvo type="max"/>
        <color rgb="FF63BE7B"/>
        <color rgb="FFFFEB84"/>
        <color rgb="FFF8696B"/>
      </colorScale>
    </cfRule>
    <cfRule type="colorScale" priority="4087">
      <colorScale>
        <cfvo type="min"/>
        <cfvo type="percentile" val="50"/>
        <cfvo type="max"/>
        <color rgb="FF63BE7B"/>
        <color rgb="FFFFEB84"/>
        <color rgb="FFF8696B"/>
      </colorScale>
    </cfRule>
    <cfRule type="colorScale" priority="4088">
      <colorScale>
        <cfvo type="min"/>
        <cfvo type="percentile" val="50"/>
        <cfvo type="max"/>
        <color rgb="FF63BE7B"/>
        <color rgb="FFFFEB84"/>
        <color rgb="FFF8696B"/>
      </colorScale>
    </cfRule>
    <cfRule type="colorScale" priority="4089">
      <colorScale>
        <cfvo type="min"/>
        <cfvo type="percentile" val="50"/>
        <cfvo type="max"/>
        <color rgb="FF63BE7B"/>
        <color rgb="FFFFEB84"/>
        <color rgb="FFF8696B"/>
      </colorScale>
    </cfRule>
    <cfRule type="colorScale" priority="4090">
      <colorScale>
        <cfvo type="min"/>
        <cfvo type="percentile" val="50"/>
        <cfvo type="max"/>
        <color rgb="FF63BE7B"/>
        <color rgb="FFFFEB84"/>
        <color rgb="FFF8696B"/>
      </colorScale>
    </cfRule>
    <cfRule type="colorScale" priority="4091">
      <colorScale>
        <cfvo type="min"/>
        <cfvo type="percentile" val="50"/>
        <cfvo type="max"/>
        <color rgb="FF63BE7B"/>
        <color rgb="FFFFEB84"/>
        <color rgb="FFF8696B"/>
      </colorScale>
    </cfRule>
    <cfRule type="colorScale" priority="4092">
      <colorScale>
        <cfvo type="min"/>
        <cfvo type="percentile" val="50"/>
        <cfvo type="max"/>
        <color rgb="FF63BE7B"/>
        <color rgb="FFFFEB84"/>
        <color rgb="FFF8696B"/>
      </colorScale>
    </cfRule>
    <cfRule type="colorScale" priority="4093">
      <colorScale>
        <cfvo type="min"/>
        <cfvo type="percentile" val="50"/>
        <cfvo type="max"/>
        <color rgb="FF63BE7B"/>
        <color rgb="FFFFEB84"/>
        <color rgb="FFF8696B"/>
      </colorScale>
    </cfRule>
    <cfRule type="colorScale" priority="4094">
      <colorScale>
        <cfvo type="min"/>
        <cfvo type="percentile" val="50"/>
        <cfvo type="max"/>
        <color rgb="FF63BE7B"/>
        <color rgb="FFFFEB84"/>
        <color rgb="FFF8696B"/>
      </colorScale>
    </cfRule>
    <cfRule type="colorScale" priority="4095">
      <colorScale>
        <cfvo type="min"/>
        <cfvo type="percentile" val="50"/>
        <cfvo type="max"/>
        <color rgb="FF63BE7B"/>
        <color rgb="FFFFEB84"/>
        <color rgb="FFF8696B"/>
      </colorScale>
    </cfRule>
    <cfRule type="colorScale" priority="4096">
      <colorScale>
        <cfvo type="min"/>
        <cfvo type="percentile" val="50"/>
        <cfvo type="max"/>
        <color rgb="FF63BE7B"/>
        <color rgb="FFFFEB84"/>
        <color rgb="FFF8696B"/>
      </colorScale>
    </cfRule>
    <cfRule type="colorScale" priority="4097">
      <colorScale>
        <cfvo type="min"/>
        <cfvo type="percentile" val="50"/>
        <cfvo type="max"/>
        <color rgb="FF63BE7B"/>
        <color rgb="FFFFEB84"/>
        <color rgb="FFF8696B"/>
      </colorScale>
    </cfRule>
    <cfRule type="colorScale" priority="4098">
      <colorScale>
        <cfvo type="min"/>
        <cfvo type="percentile" val="50"/>
        <cfvo type="max"/>
        <color rgb="FF63BE7B"/>
        <color rgb="FFFFEB84"/>
        <color rgb="FFF8696B"/>
      </colorScale>
    </cfRule>
    <cfRule type="colorScale" priority="5754">
      <colorScale>
        <cfvo type="min"/>
        <cfvo type="percentile" val="50"/>
        <cfvo type="max"/>
        <color rgb="FF63BE7B"/>
        <color rgb="FFFFEB84"/>
        <color rgb="FFF8696B"/>
      </colorScale>
    </cfRule>
    <cfRule type="colorScale" priority="5755">
      <colorScale>
        <cfvo type="min"/>
        <cfvo type="percentile" val="50"/>
        <cfvo type="max"/>
        <color rgb="FF63BE7B"/>
        <color rgb="FFFFEB84"/>
        <color rgb="FFF8696B"/>
      </colorScale>
    </cfRule>
    <cfRule type="colorScale" priority="5756">
      <colorScale>
        <cfvo type="min"/>
        <cfvo type="percentile" val="50"/>
        <cfvo type="max"/>
        <color rgb="FF63BE7B"/>
        <color rgb="FFFFEB84"/>
        <color rgb="FFF8696B"/>
      </colorScale>
    </cfRule>
    <cfRule type="colorScale" priority="5757">
      <colorScale>
        <cfvo type="min"/>
        <cfvo type="percentile" val="50"/>
        <cfvo type="max"/>
        <color rgb="FF63BE7B"/>
        <color rgb="FFFFEB84"/>
        <color rgb="FFF8696B"/>
      </colorScale>
    </cfRule>
    <cfRule type="colorScale" priority="5758">
      <colorScale>
        <cfvo type="min"/>
        <cfvo type="percentile" val="50"/>
        <cfvo type="max"/>
        <color rgb="FF63BE7B"/>
        <color rgb="FFFFEB84"/>
        <color rgb="FFF8696B"/>
      </colorScale>
    </cfRule>
    <cfRule type="colorScale" priority="5759">
      <colorScale>
        <cfvo type="min"/>
        <cfvo type="percentile" val="50"/>
        <cfvo type="max"/>
        <color rgb="FF63BE7B"/>
        <color rgb="FFFFEB84"/>
        <color rgb="FFF8696B"/>
      </colorScale>
    </cfRule>
    <cfRule type="colorScale" priority="5760">
      <colorScale>
        <cfvo type="min"/>
        <cfvo type="percentile" val="50"/>
        <cfvo type="max"/>
        <color rgb="FF63BE7B"/>
        <color rgb="FFFFEB84"/>
        <color rgb="FFF8696B"/>
      </colorScale>
    </cfRule>
    <cfRule type="colorScale" priority="5761">
      <colorScale>
        <cfvo type="min"/>
        <cfvo type="percentile" val="50"/>
        <cfvo type="max"/>
        <color rgb="FF63BE7B"/>
        <color rgb="FFFFEB84"/>
        <color rgb="FFF8696B"/>
      </colorScale>
    </cfRule>
    <cfRule type="colorScale" priority="5762">
      <colorScale>
        <cfvo type="min"/>
        <cfvo type="percentile" val="50"/>
        <cfvo type="max"/>
        <color rgb="FF63BE7B"/>
        <color rgb="FFFFEB84"/>
        <color rgb="FFF8696B"/>
      </colorScale>
    </cfRule>
    <cfRule type="colorScale" priority="5763">
      <colorScale>
        <cfvo type="min"/>
        <cfvo type="percentile" val="50"/>
        <cfvo type="max"/>
        <color rgb="FF63BE7B"/>
        <color rgb="FFFFEB84"/>
        <color rgb="FFF8696B"/>
      </colorScale>
    </cfRule>
    <cfRule type="colorScale" priority="5764">
      <colorScale>
        <cfvo type="min"/>
        <cfvo type="percentile" val="50"/>
        <cfvo type="max"/>
        <color rgb="FF63BE7B"/>
        <color rgb="FFFFEB84"/>
        <color rgb="FFF8696B"/>
      </colorScale>
    </cfRule>
    <cfRule type="colorScale" priority="5765">
      <colorScale>
        <cfvo type="min"/>
        <cfvo type="percentile" val="50"/>
        <cfvo type="max"/>
        <color rgb="FF63BE7B"/>
        <color rgb="FFFFEB84"/>
        <color rgb="FFF8696B"/>
      </colorScale>
    </cfRule>
  </conditionalFormatting>
  <conditionalFormatting sqref="AC53">
    <cfRule type="colorScale" priority="6475">
      <colorScale>
        <cfvo type="min"/>
        <cfvo type="percentile" val="50"/>
        <cfvo type="max"/>
        <color rgb="FFF8696B"/>
        <color rgb="FFFFEB84"/>
        <color rgb="FF63BE7B"/>
      </colorScale>
    </cfRule>
    <cfRule type="colorScale" priority="6477">
      <colorScale>
        <cfvo type="min"/>
        <cfvo type="percentile" val="50"/>
        <cfvo type="max"/>
        <color rgb="FF63BE7B"/>
        <color rgb="FFFFEB84"/>
        <color rgb="FFF8696B"/>
      </colorScale>
    </cfRule>
    <cfRule type="colorScale" priority="6478">
      <colorScale>
        <cfvo type="min"/>
        <cfvo type="percentile" val="50"/>
        <cfvo type="max"/>
        <color rgb="FF63BE7B"/>
        <color rgb="FFFFEB84"/>
        <color rgb="FFF8696B"/>
      </colorScale>
    </cfRule>
    <cfRule type="colorScale" priority="6473">
      <colorScale>
        <cfvo type="min"/>
        <cfvo type="percentile" val="50"/>
        <cfvo type="max"/>
        <color rgb="FF63BE7B"/>
        <color rgb="FFFFEB84"/>
        <color rgb="FFF8696B"/>
      </colorScale>
    </cfRule>
    <cfRule type="colorScale" priority="6476">
      <colorScale>
        <cfvo type="min"/>
        <cfvo type="percentile" val="50"/>
        <cfvo type="max"/>
        <color rgb="FF63BE7B"/>
        <color rgb="FFFFEB84"/>
        <color rgb="FFF8696B"/>
      </colorScale>
    </cfRule>
    <cfRule type="colorScale" priority="6474">
      <colorScale>
        <cfvo type="min"/>
        <cfvo type="percentile" val="50"/>
        <cfvo type="max"/>
        <color rgb="FF63BE7B"/>
        <color rgb="FFFFEB84"/>
        <color rgb="FFF8696B"/>
      </colorScale>
    </cfRule>
  </conditionalFormatting>
  <conditionalFormatting sqref="AC54:AC61">
    <cfRule type="colorScale" priority="5">
      <colorScale>
        <cfvo type="min"/>
        <cfvo type="percentile" val="50"/>
        <cfvo type="max"/>
        <color rgb="FFF8696B"/>
        <color rgb="FFFFEB84"/>
        <color rgb="FF63BE7B"/>
      </colorScale>
    </cfRule>
    <cfRule type="colorScale" priority="30">
      <colorScale>
        <cfvo type="min"/>
        <cfvo type="percentile" val="50"/>
        <cfvo type="max"/>
        <color rgb="FF63BE7B"/>
        <color rgb="FFFFEB84"/>
        <color rgb="FFF8696B"/>
      </colorScale>
    </cfRule>
  </conditionalFormatting>
  <conditionalFormatting sqref="AC65:AC71">
    <cfRule type="colorScale" priority="12507">
      <colorScale>
        <cfvo type="min"/>
        <cfvo type="percentile" val="50"/>
        <cfvo type="max"/>
        <color rgb="FF63BE7B"/>
        <color rgb="FFFFEB84"/>
        <color rgb="FFF8696B"/>
      </colorScale>
    </cfRule>
    <cfRule type="colorScale" priority="12509">
      <colorScale>
        <cfvo type="min"/>
        <cfvo type="percentile" val="50"/>
        <cfvo type="max"/>
        <color rgb="FF63BE7B"/>
        <color rgb="FFFFEB84"/>
        <color rgb="FFF8696B"/>
      </colorScale>
    </cfRule>
    <cfRule type="colorScale" priority="12508">
      <colorScale>
        <cfvo type="min"/>
        <cfvo type="percentile" val="50"/>
        <cfvo type="max"/>
        <color rgb="FF63BE7B"/>
        <color rgb="FFFFEB84"/>
        <color rgb="FFF8696B"/>
      </colorScale>
    </cfRule>
  </conditionalFormatting>
  <conditionalFormatting sqref="AC65:AC80">
    <cfRule type="colorScale" priority="12582">
      <colorScale>
        <cfvo type="min"/>
        <cfvo type="percentile" val="50"/>
        <cfvo type="max"/>
        <color rgb="FF63BE7B"/>
        <color rgb="FFFFEB84"/>
        <color rgb="FFF8696B"/>
      </colorScale>
    </cfRule>
  </conditionalFormatting>
  <conditionalFormatting sqref="AC66:AC71">
    <cfRule type="colorScale" priority="12510">
      <colorScale>
        <cfvo type="min"/>
        <cfvo type="percentile" val="50"/>
        <cfvo type="max"/>
        <color rgb="FF63BE7B"/>
        <color rgb="FFFFEB84"/>
        <color rgb="FFF8696B"/>
      </colorScale>
    </cfRule>
  </conditionalFormatting>
  <conditionalFormatting sqref="AC72:AC80">
    <cfRule type="colorScale" priority="12393">
      <colorScale>
        <cfvo type="min"/>
        <cfvo type="percentile" val="50"/>
        <cfvo type="max"/>
        <color rgb="FF63BE7B"/>
        <color rgb="FFFFEB84"/>
        <color rgb="FFF8696B"/>
      </colorScale>
    </cfRule>
    <cfRule type="colorScale" priority="12391">
      <colorScale>
        <cfvo type="min"/>
        <cfvo type="percentile" val="50"/>
        <cfvo type="max"/>
        <color rgb="FF63BE7B"/>
        <color rgb="FFFFEB84"/>
        <color rgb="FFF8696B"/>
      </colorScale>
    </cfRule>
    <cfRule type="colorScale" priority="12390">
      <colorScale>
        <cfvo type="min"/>
        <cfvo type="percentile" val="50"/>
        <cfvo type="max"/>
        <color rgb="FF63BE7B"/>
        <color rgb="FFFFEB84"/>
        <color rgb="FFF8696B"/>
      </colorScale>
    </cfRule>
    <cfRule type="colorScale" priority="12392">
      <colorScale>
        <cfvo type="min"/>
        <cfvo type="percentile" val="50"/>
        <cfvo type="max"/>
        <color rgb="FF63BE7B"/>
        <color rgb="FFFFEB84"/>
        <color rgb="FFF8696B"/>
      </colorScale>
    </cfRule>
  </conditionalFormatting>
  <conditionalFormatting sqref="AC81:AC83">
    <cfRule type="colorScale" priority="12283">
      <colorScale>
        <cfvo type="min"/>
        <cfvo type="percentile" val="50"/>
        <cfvo type="max"/>
        <color rgb="FF63BE7B"/>
        <color rgb="FFFFEB84"/>
        <color rgb="FFF8696B"/>
      </colorScale>
    </cfRule>
    <cfRule type="colorScale" priority="12284">
      <colorScale>
        <cfvo type="min"/>
        <cfvo type="percentile" val="50"/>
        <cfvo type="max"/>
        <color rgb="FF63BE7B"/>
        <color rgb="FFFFEB84"/>
        <color rgb="FFF8696B"/>
      </colorScale>
    </cfRule>
    <cfRule type="colorScale" priority="12285">
      <colorScale>
        <cfvo type="min"/>
        <cfvo type="percentile" val="50"/>
        <cfvo type="max"/>
        <color rgb="FF63BE7B"/>
        <color rgb="FFFFEB84"/>
        <color rgb="FFF8696B"/>
      </colorScale>
    </cfRule>
    <cfRule type="colorScale" priority="12282">
      <colorScale>
        <cfvo type="min"/>
        <cfvo type="percentile" val="50"/>
        <cfvo type="max"/>
        <color rgb="FF63BE7B"/>
        <color rgb="FFFFEB84"/>
        <color rgb="FFF8696B"/>
      </colorScale>
    </cfRule>
  </conditionalFormatting>
  <conditionalFormatting sqref="AC84:AC91">
    <cfRule type="colorScale" priority="12109">
      <colorScale>
        <cfvo type="min"/>
        <cfvo type="percentile" val="50"/>
        <cfvo type="max"/>
        <color rgb="FF63BE7B"/>
        <color rgb="FFFFEB84"/>
        <color rgb="FFF8696B"/>
      </colorScale>
    </cfRule>
    <cfRule type="colorScale" priority="12107">
      <colorScale>
        <cfvo type="min"/>
        <cfvo type="percentile" val="50"/>
        <cfvo type="max"/>
        <color rgb="FF63BE7B"/>
        <color rgb="FFFFEB84"/>
        <color rgb="FFF8696B"/>
      </colorScale>
    </cfRule>
    <cfRule type="colorScale" priority="12110">
      <colorScale>
        <cfvo type="min"/>
        <cfvo type="percentile" val="50"/>
        <cfvo type="max"/>
        <color rgb="FF63BE7B"/>
        <color rgb="FFFFEB84"/>
        <color rgb="FFF8696B"/>
      </colorScale>
    </cfRule>
  </conditionalFormatting>
  <conditionalFormatting sqref="AC86">
    <cfRule type="colorScale" priority="12108">
      <colorScale>
        <cfvo type="min"/>
        <cfvo type="percentile" val="50"/>
        <cfvo type="max"/>
        <color rgb="FF63BE7B"/>
        <color rgb="FFFFEB84"/>
        <color rgb="FFF8696B"/>
      </colorScale>
    </cfRule>
  </conditionalFormatting>
  <conditionalFormatting sqref="AC96:AC102">
    <cfRule type="colorScale" priority="11901">
      <colorScale>
        <cfvo type="min"/>
        <cfvo type="percentile" val="50"/>
        <cfvo type="max"/>
        <color rgb="FF63BE7B"/>
        <color rgb="FFFFEB84"/>
        <color rgb="FFF8696B"/>
      </colorScale>
    </cfRule>
    <cfRule type="colorScale" priority="11902">
      <colorScale>
        <cfvo type="min"/>
        <cfvo type="percentile" val="50"/>
        <cfvo type="max"/>
        <color rgb="FF63BE7B"/>
        <color rgb="FFFFEB84"/>
        <color rgb="FFF8696B"/>
      </colorScale>
    </cfRule>
    <cfRule type="colorScale" priority="11903">
      <colorScale>
        <cfvo type="min"/>
        <cfvo type="percentile" val="50"/>
        <cfvo type="max"/>
        <color rgb="FF63BE7B"/>
        <color rgb="FFFFEB84"/>
        <color rgb="FFF8696B"/>
      </colorScale>
    </cfRule>
  </conditionalFormatting>
  <conditionalFormatting sqref="AC96:AC111">
    <cfRule type="colorScale" priority="11976">
      <colorScale>
        <cfvo type="min"/>
        <cfvo type="percentile" val="50"/>
        <cfvo type="max"/>
        <color rgb="FF63BE7B"/>
        <color rgb="FFFFEB84"/>
        <color rgb="FFF8696B"/>
      </colorScale>
    </cfRule>
  </conditionalFormatting>
  <conditionalFormatting sqref="AC97:AC102">
    <cfRule type="colorScale" priority="11904">
      <colorScale>
        <cfvo type="min"/>
        <cfvo type="percentile" val="50"/>
        <cfvo type="max"/>
        <color rgb="FF63BE7B"/>
        <color rgb="FFFFEB84"/>
        <color rgb="FFF8696B"/>
      </colorScale>
    </cfRule>
  </conditionalFormatting>
  <conditionalFormatting sqref="AC103:AC111">
    <cfRule type="colorScale" priority="11787">
      <colorScale>
        <cfvo type="min"/>
        <cfvo type="percentile" val="50"/>
        <cfvo type="max"/>
        <color rgb="FF63BE7B"/>
        <color rgb="FFFFEB84"/>
        <color rgb="FFF8696B"/>
      </colorScale>
    </cfRule>
    <cfRule type="colorScale" priority="11786">
      <colorScale>
        <cfvo type="min"/>
        <cfvo type="percentile" val="50"/>
        <cfvo type="max"/>
        <color rgb="FF63BE7B"/>
        <color rgb="FFFFEB84"/>
        <color rgb="FFF8696B"/>
      </colorScale>
    </cfRule>
    <cfRule type="colorScale" priority="11785">
      <colorScale>
        <cfvo type="min"/>
        <cfvo type="percentile" val="50"/>
        <cfvo type="max"/>
        <color rgb="FF63BE7B"/>
        <color rgb="FFFFEB84"/>
        <color rgb="FFF8696B"/>
      </colorScale>
    </cfRule>
    <cfRule type="colorScale" priority="11784">
      <colorScale>
        <cfvo type="min"/>
        <cfvo type="percentile" val="50"/>
        <cfvo type="max"/>
        <color rgb="FF63BE7B"/>
        <color rgb="FFFFEB84"/>
        <color rgb="FFF8696B"/>
      </colorScale>
    </cfRule>
  </conditionalFormatting>
  <conditionalFormatting sqref="AC112:AC114">
    <cfRule type="colorScale" priority="11680">
      <colorScale>
        <cfvo type="min"/>
        <cfvo type="percentile" val="50"/>
        <cfvo type="max"/>
        <color rgb="FF63BE7B"/>
        <color rgb="FFFFEB84"/>
        <color rgb="FFF8696B"/>
      </colorScale>
    </cfRule>
    <cfRule type="colorScale" priority="11679">
      <colorScale>
        <cfvo type="min"/>
        <cfvo type="percentile" val="50"/>
        <cfvo type="max"/>
        <color rgb="FF63BE7B"/>
        <color rgb="FFFFEB84"/>
        <color rgb="FFF8696B"/>
      </colorScale>
    </cfRule>
    <cfRule type="colorScale" priority="11681">
      <colorScale>
        <cfvo type="min"/>
        <cfvo type="percentile" val="50"/>
        <cfvo type="max"/>
        <color rgb="FF63BE7B"/>
        <color rgb="FFFFEB84"/>
        <color rgb="FFF8696B"/>
      </colorScale>
    </cfRule>
    <cfRule type="colorScale" priority="11682">
      <colorScale>
        <cfvo type="min"/>
        <cfvo type="percentile" val="50"/>
        <cfvo type="max"/>
        <color rgb="FF63BE7B"/>
        <color rgb="FFFFEB84"/>
        <color rgb="FFF8696B"/>
      </colorScale>
    </cfRule>
  </conditionalFormatting>
  <conditionalFormatting sqref="AC115:AC122">
    <cfRule type="colorScale" priority="11507">
      <colorScale>
        <cfvo type="min"/>
        <cfvo type="percentile" val="50"/>
        <cfvo type="max"/>
        <color rgb="FF63BE7B"/>
        <color rgb="FFFFEB84"/>
        <color rgb="FFF8696B"/>
      </colorScale>
    </cfRule>
    <cfRule type="colorScale" priority="11506">
      <colorScale>
        <cfvo type="min"/>
        <cfvo type="percentile" val="50"/>
        <cfvo type="max"/>
        <color rgb="FF63BE7B"/>
        <color rgb="FFFFEB84"/>
        <color rgb="FFF8696B"/>
      </colorScale>
    </cfRule>
    <cfRule type="colorScale" priority="11504">
      <colorScale>
        <cfvo type="min"/>
        <cfvo type="percentile" val="50"/>
        <cfvo type="max"/>
        <color rgb="FF63BE7B"/>
        <color rgb="FFFFEB84"/>
        <color rgb="FFF8696B"/>
      </colorScale>
    </cfRule>
  </conditionalFormatting>
  <conditionalFormatting sqref="AC117">
    <cfRule type="colorScale" priority="11505">
      <colorScale>
        <cfvo type="min"/>
        <cfvo type="percentile" val="50"/>
        <cfvo type="max"/>
        <color rgb="FF63BE7B"/>
        <color rgb="FFFFEB84"/>
        <color rgb="FFF8696B"/>
      </colorScale>
    </cfRule>
  </conditionalFormatting>
  <conditionalFormatting sqref="AC42:AD51">
    <cfRule type="colorScale" priority="7445">
      <colorScale>
        <cfvo type="min"/>
        <cfvo type="percentile" val="50"/>
        <cfvo type="max"/>
        <color rgb="FF63BE7B"/>
        <color rgb="FFFFEB84"/>
        <color rgb="FFF8696B"/>
      </colorScale>
    </cfRule>
  </conditionalFormatting>
  <conditionalFormatting sqref="AC51:AD53">
    <cfRule type="colorScale" priority="4128">
      <colorScale>
        <cfvo type="min"/>
        <cfvo type="percentile" val="50"/>
        <cfvo type="max"/>
        <color rgb="FF63BE7B"/>
        <color rgb="FFFFEB84"/>
        <color rgb="FFF8696B"/>
      </colorScale>
    </cfRule>
    <cfRule type="colorScale" priority="4101">
      <colorScale>
        <cfvo type="min"/>
        <cfvo type="percentile" val="50"/>
        <cfvo type="max"/>
        <color rgb="FF63BE7B"/>
        <color rgb="FFFFEB84"/>
        <color rgb="FFF8696B"/>
      </colorScale>
    </cfRule>
    <cfRule type="colorScale" priority="4129">
      <colorScale>
        <cfvo type="min"/>
        <cfvo type="percentile" val="50"/>
        <cfvo type="max"/>
        <color rgb="FF63BE7B"/>
        <color rgb="FFFFEB84"/>
        <color rgb="FFF8696B"/>
      </colorScale>
    </cfRule>
  </conditionalFormatting>
  <conditionalFormatting sqref="AC52:AD53">
    <cfRule type="colorScale" priority="4123">
      <colorScale>
        <cfvo type="min"/>
        <cfvo type="percentile" val="50"/>
        <cfvo type="max"/>
        <color rgb="FF63BE7B"/>
        <color rgb="FFFFEB84"/>
        <color rgb="FFF8696B"/>
      </colorScale>
    </cfRule>
    <cfRule type="colorScale" priority="4124">
      <colorScale>
        <cfvo type="min"/>
        <cfvo type="percentile" val="50"/>
        <cfvo type="max"/>
        <color rgb="FF63BE7B"/>
        <color rgb="FFFFEB84"/>
        <color rgb="FFF8696B"/>
      </colorScale>
    </cfRule>
    <cfRule type="colorScale" priority="4125">
      <colorScale>
        <cfvo type="min"/>
        <cfvo type="percentile" val="50"/>
        <cfvo type="max"/>
        <color rgb="FF63BE7B"/>
        <color rgb="FFFFEB84"/>
        <color rgb="FFF8696B"/>
      </colorScale>
    </cfRule>
    <cfRule type="colorScale" priority="4126">
      <colorScale>
        <cfvo type="min"/>
        <cfvo type="percentile" val="50"/>
        <cfvo type="max"/>
        <color rgb="FF63BE7B"/>
        <color rgb="FFFFEB84"/>
        <color rgb="FFF8696B"/>
      </colorScale>
    </cfRule>
    <cfRule type="colorScale" priority="4127">
      <colorScale>
        <cfvo type="min"/>
        <cfvo type="percentile" val="50"/>
        <cfvo type="max"/>
        <color rgb="FF63BE7B"/>
        <color rgb="FFFFEB84"/>
        <color rgb="FFF8696B"/>
      </colorScale>
    </cfRule>
    <cfRule type="colorScale" priority="4102">
      <colorScale>
        <cfvo type="min"/>
        <cfvo type="percentile" val="50"/>
        <cfvo type="max"/>
        <color rgb="FF63BE7B"/>
        <color rgb="FFFFEB84"/>
        <color rgb="FFF8696B"/>
      </colorScale>
    </cfRule>
    <cfRule type="colorScale" priority="4103">
      <colorScale>
        <cfvo type="min"/>
        <cfvo type="percentile" val="50"/>
        <cfvo type="max"/>
        <color rgb="FF63BE7B"/>
        <color rgb="FFFFEB84"/>
        <color rgb="FFF8696B"/>
      </colorScale>
    </cfRule>
    <cfRule type="colorScale" priority="4104">
      <colorScale>
        <cfvo type="min"/>
        <cfvo type="percentile" val="50"/>
        <cfvo type="max"/>
        <color rgb="FF63BE7B"/>
        <color rgb="FFFFEB84"/>
        <color rgb="FFF8696B"/>
      </colorScale>
    </cfRule>
    <cfRule type="colorScale" priority="4105">
      <colorScale>
        <cfvo type="min"/>
        <cfvo type="percentile" val="50"/>
        <cfvo type="max"/>
        <color rgb="FF63BE7B"/>
        <color rgb="FFFFEB84"/>
        <color rgb="FFF8696B"/>
      </colorScale>
    </cfRule>
    <cfRule type="colorScale" priority="4106">
      <colorScale>
        <cfvo type="min"/>
        <cfvo type="percentile" val="50"/>
        <cfvo type="max"/>
        <color rgb="FF63BE7B"/>
        <color rgb="FFFFEB84"/>
        <color rgb="FFF8696B"/>
      </colorScale>
    </cfRule>
    <cfRule type="colorScale" priority="4107">
      <colorScale>
        <cfvo type="min"/>
        <cfvo type="percentile" val="50"/>
        <cfvo type="max"/>
        <color rgb="FF63BE7B"/>
        <color rgb="FFFFEB84"/>
        <color rgb="FFF8696B"/>
      </colorScale>
    </cfRule>
    <cfRule type="colorScale" priority="4115">
      <colorScale>
        <cfvo type="min"/>
        <cfvo type="percentile" val="50"/>
        <cfvo type="max"/>
        <color rgb="FF63BE7B"/>
        <color rgb="FFFFEB84"/>
        <color rgb="FFF8696B"/>
      </colorScale>
    </cfRule>
    <cfRule type="colorScale" priority="4108">
      <colorScale>
        <cfvo type="min"/>
        <cfvo type="percentile" val="50"/>
        <cfvo type="max"/>
        <color rgb="FF63BE7B"/>
        <color rgb="FFFFEB84"/>
        <color rgb="FFF8696B"/>
      </colorScale>
    </cfRule>
    <cfRule type="colorScale" priority="4109">
      <colorScale>
        <cfvo type="min"/>
        <cfvo type="percentile" val="50"/>
        <cfvo type="max"/>
        <color rgb="FF63BE7B"/>
        <color rgb="FFFFEB84"/>
        <color rgb="FFF8696B"/>
      </colorScale>
    </cfRule>
    <cfRule type="colorScale" priority="4110">
      <colorScale>
        <cfvo type="min"/>
        <cfvo type="percentile" val="50"/>
        <cfvo type="max"/>
        <color rgb="FF63BE7B"/>
        <color rgb="FFFFEB84"/>
        <color rgb="FFF8696B"/>
      </colorScale>
    </cfRule>
    <cfRule type="colorScale" priority="4111">
      <colorScale>
        <cfvo type="min"/>
        <cfvo type="percentile" val="50"/>
        <cfvo type="max"/>
        <color rgb="FF63BE7B"/>
        <color rgb="FFFFEB84"/>
        <color rgb="FFF8696B"/>
      </colorScale>
    </cfRule>
    <cfRule type="colorScale" priority="4112">
      <colorScale>
        <cfvo type="min"/>
        <cfvo type="percentile" val="50"/>
        <cfvo type="max"/>
        <color rgb="FF63BE7B"/>
        <color rgb="FFFFEB84"/>
        <color rgb="FFF8696B"/>
      </colorScale>
    </cfRule>
    <cfRule type="colorScale" priority="4113">
      <colorScale>
        <cfvo type="min"/>
        <cfvo type="percentile" val="50"/>
        <cfvo type="max"/>
        <color rgb="FF63BE7B"/>
        <color rgb="FFFFEB84"/>
        <color rgb="FFF8696B"/>
      </colorScale>
    </cfRule>
    <cfRule type="colorScale" priority="4114">
      <colorScale>
        <cfvo type="min"/>
        <cfvo type="percentile" val="50"/>
        <cfvo type="max"/>
        <color rgb="FF63BE7B"/>
        <color rgb="FFFFEB84"/>
        <color rgb="FFF8696B"/>
      </colorScale>
    </cfRule>
    <cfRule type="colorScale" priority="4118">
      <colorScale>
        <cfvo type="min"/>
        <cfvo type="percentile" val="50"/>
        <cfvo type="max"/>
        <color rgb="FF63BE7B"/>
        <color rgb="FFFFEB84"/>
        <color rgb="FFF8696B"/>
      </colorScale>
    </cfRule>
    <cfRule type="colorScale" priority="4116">
      <colorScale>
        <cfvo type="min"/>
        <cfvo type="percentile" val="50"/>
        <cfvo type="max"/>
        <color rgb="FF63BE7B"/>
        <color rgb="FFFFEB84"/>
        <color rgb="FFF8696B"/>
      </colorScale>
    </cfRule>
    <cfRule type="colorScale" priority="4117">
      <colorScale>
        <cfvo type="min"/>
        <cfvo type="percentile" val="50"/>
        <cfvo type="max"/>
        <color rgb="FF63BE7B"/>
        <color rgb="FFFFEB84"/>
        <color rgb="FFF8696B"/>
      </colorScale>
    </cfRule>
    <cfRule type="colorScale" priority="4119">
      <colorScale>
        <cfvo type="min"/>
        <cfvo type="percentile" val="50"/>
        <cfvo type="max"/>
        <color rgb="FF63BE7B"/>
        <color rgb="FFFFEB84"/>
        <color rgb="FFF8696B"/>
      </colorScale>
    </cfRule>
    <cfRule type="colorScale" priority="4120">
      <colorScale>
        <cfvo type="min"/>
        <cfvo type="percentile" val="50"/>
        <cfvo type="max"/>
        <color rgb="FF63BE7B"/>
        <color rgb="FFFFEB84"/>
        <color rgb="FFF8696B"/>
      </colorScale>
    </cfRule>
    <cfRule type="colorScale" priority="4121">
      <colorScale>
        <cfvo type="min"/>
        <cfvo type="percentile" val="50"/>
        <cfvo type="max"/>
        <color rgb="FF63BE7B"/>
        <color rgb="FFFFEB84"/>
        <color rgb="FFF8696B"/>
      </colorScale>
    </cfRule>
    <cfRule type="colorScale" priority="4122">
      <colorScale>
        <cfvo type="min"/>
        <cfvo type="percentile" val="50"/>
        <cfvo type="max"/>
        <color rgb="FF63BE7B"/>
        <color rgb="FFFFEB84"/>
        <color rgb="FFF8696B"/>
      </colorScale>
    </cfRule>
  </conditionalFormatting>
  <conditionalFormatting sqref="AD35:AD37">
    <cfRule type="colorScale" priority="9877">
      <colorScale>
        <cfvo type="min"/>
        <cfvo type="percentile" val="50"/>
        <cfvo type="max"/>
        <color rgb="FF63BE7B"/>
        <color rgb="FFFFEB84"/>
        <color rgb="FFF8696B"/>
      </colorScale>
    </cfRule>
    <cfRule type="colorScale" priority="9866">
      <colorScale>
        <cfvo type="min"/>
        <cfvo type="percentile" val="50"/>
        <cfvo type="max"/>
        <color rgb="FF63BE7B"/>
        <color rgb="FFFFEB84"/>
        <color rgb="FFF8696B"/>
      </colorScale>
    </cfRule>
    <cfRule type="colorScale" priority="9879">
      <colorScale>
        <cfvo type="min"/>
        <cfvo type="percentile" val="50"/>
        <cfvo type="max"/>
        <color rgb="FF63BE7B"/>
        <color rgb="FFFFEB84"/>
        <color rgb="FFF8696B"/>
      </colorScale>
    </cfRule>
    <cfRule type="colorScale" priority="9880">
      <colorScale>
        <cfvo type="min"/>
        <cfvo type="percentile" val="50"/>
        <cfvo type="max"/>
        <color rgb="FF63BE7B"/>
        <color rgb="FFFFEB84"/>
        <color rgb="FFF8696B"/>
      </colorScale>
    </cfRule>
    <cfRule type="colorScale" priority="9874">
      <colorScale>
        <cfvo type="min"/>
        <cfvo type="percentile" val="50"/>
        <cfvo type="max"/>
        <color rgb="FF63BE7B"/>
        <color rgb="FFFFEB84"/>
        <color rgb="FFF8696B"/>
      </colorScale>
    </cfRule>
    <cfRule type="colorScale" priority="9875">
      <colorScale>
        <cfvo type="min"/>
        <cfvo type="percentile" val="50"/>
        <cfvo type="max"/>
        <color rgb="FF63BE7B"/>
        <color rgb="FFFFEB84"/>
        <color rgb="FFF8696B"/>
      </colorScale>
    </cfRule>
    <cfRule type="colorScale" priority="9876">
      <colorScale>
        <cfvo type="min"/>
        <cfvo type="percentile" val="50"/>
        <cfvo type="max"/>
        <color rgb="FF63BE7B"/>
        <color rgb="FFFFEB84"/>
        <color rgb="FFF8696B"/>
      </colorScale>
    </cfRule>
    <cfRule type="colorScale" priority="11004">
      <colorScale>
        <cfvo type="min"/>
        <cfvo type="percentile" val="50"/>
        <cfvo type="max"/>
        <color rgb="FF63BE7B"/>
        <color rgb="FFFFEB84"/>
        <color rgb="FFF8696B"/>
      </colorScale>
    </cfRule>
  </conditionalFormatting>
  <conditionalFormatting sqref="AD35:AD41">
    <cfRule type="colorScale" priority="9864">
      <colorScale>
        <cfvo type="min"/>
        <cfvo type="percentile" val="50"/>
        <cfvo type="max"/>
        <color rgb="FF63BE7B"/>
        <color rgb="FFFFEB84"/>
        <color rgb="FFF8696B"/>
      </colorScale>
    </cfRule>
    <cfRule type="colorScale" priority="11017">
      <colorScale>
        <cfvo type="min"/>
        <cfvo type="percentile" val="50"/>
        <cfvo type="max"/>
        <color rgb="FF63BE7B"/>
        <color rgb="FFFFEB84"/>
        <color rgb="FFF8696B"/>
      </colorScale>
    </cfRule>
    <cfRule type="colorScale" priority="9872">
      <colorScale>
        <cfvo type="min"/>
        <cfvo type="percentile" val="50"/>
        <cfvo type="max"/>
        <color rgb="FF63BE7B"/>
        <color rgb="FFFFEB84"/>
        <color rgb="FFF8696B"/>
      </colorScale>
    </cfRule>
    <cfRule type="colorScale" priority="9871">
      <colorScale>
        <cfvo type="min"/>
        <cfvo type="percentile" val="50"/>
        <cfvo type="max"/>
        <color rgb="FF63BE7B"/>
        <color rgb="FFFFEB84"/>
        <color rgb="FFF8696B"/>
      </colorScale>
    </cfRule>
    <cfRule type="colorScale" priority="11018">
      <colorScale>
        <cfvo type="min"/>
        <cfvo type="percentile" val="50"/>
        <cfvo type="max"/>
        <color rgb="FF63BE7B"/>
        <color rgb="FFFFEB84"/>
        <color rgb="FFF8696B"/>
      </colorScale>
    </cfRule>
    <cfRule type="colorScale" priority="9890">
      <colorScale>
        <cfvo type="min"/>
        <cfvo type="percentile" val="50"/>
        <cfvo type="max"/>
        <color rgb="FF63BE7B"/>
        <color rgb="FFFFEB84"/>
        <color rgb="FFF8696B"/>
      </colorScale>
    </cfRule>
    <cfRule type="colorScale" priority="9889">
      <colorScale>
        <cfvo type="min"/>
        <cfvo type="percentile" val="50"/>
        <cfvo type="max"/>
        <color rgb="FF63BE7B"/>
        <color rgb="FFFFEB84"/>
        <color rgb="FFF8696B"/>
      </colorScale>
    </cfRule>
    <cfRule type="colorScale" priority="11010">
      <colorScale>
        <cfvo type="min"/>
        <cfvo type="percentile" val="50"/>
        <cfvo type="max"/>
        <color rgb="FF63BE7B"/>
        <color rgb="FFFFEB84"/>
        <color rgb="FFF8696B"/>
      </colorScale>
    </cfRule>
    <cfRule type="colorScale" priority="9887">
      <colorScale>
        <cfvo type="min"/>
        <cfvo type="percentile" val="50"/>
        <cfvo type="max"/>
        <color rgb="FF63BE7B"/>
        <color rgb="FFFFEB84"/>
        <color rgb="FFF8696B"/>
      </colorScale>
    </cfRule>
    <cfRule type="colorScale" priority="9886">
      <colorScale>
        <cfvo type="min"/>
        <cfvo type="percentile" val="50"/>
        <cfvo type="max"/>
        <color rgb="FF63BE7B"/>
        <color rgb="FFFFEB84"/>
        <color rgb="FFF8696B"/>
      </colorScale>
    </cfRule>
    <cfRule type="colorScale" priority="9885">
      <colorScale>
        <cfvo type="min"/>
        <cfvo type="percentile" val="50"/>
        <cfvo type="max"/>
        <color rgb="FF63BE7B"/>
        <color rgb="FFFFEB84"/>
        <color rgb="FFF8696B"/>
      </colorScale>
    </cfRule>
    <cfRule type="colorScale" priority="9884">
      <colorScale>
        <cfvo type="min"/>
        <cfvo type="percentile" val="50"/>
        <cfvo type="max"/>
        <color rgb="FF63BE7B"/>
        <color rgb="FFFFEB84"/>
        <color rgb="FFF8696B"/>
      </colorScale>
    </cfRule>
    <cfRule type="colorScale" priority="9883">
      <colorScale>
        <cfvo type="min"/>
        <cfvo type="percentile" val="50"/>
        <cfvo type="max"/>
        <color rgb="FF63BE7B"/>
        <color rgb="FFFFEB84"/>
        <color rgb="FFF8696B"/>
      </colorScale>
    </cfRule>
    <cfRule type="colorScale" priority="9882">
      <colorScale>
        <cfvo type="min"/>
        <cfvo type="percentile" val="50"/>
        <cfvo type="max"/>
        <color rgb="FF63BE7B"/>
        <color rgb="FFFFEB84"/>
        <color rgb="FFF8696B"/>
      </colorScale>
    </cfRule>
    <cfRule type="colorScale" priority="9881">
      <colorScale>
        <cfvo type="min"/>
        <cfvo type="percentile" val="50"/>
        <cfvo type="max"/>
        <color rgb="FF63BE7B"/>
        <color rgb="FFFFEB84"/>
        <color rgb="FFF8696B"/>
      </colorScale>
    </cfRule>
    <cfRule type="colorScale" priority="11020">
      <colorScale>
        <cfvo type="min"/>
        <cfvo type="percentile" val="50"/>
        <cfvo type="max"/>
        <color rgb="FF63BE7B"/>
        <color rgb="FFFFEB84"/>
        <color rgb="FFF8696B"/>
      </colorScale>
    </cfRule>
    <cfRule type="colorScale" priority="11019">
      <colorScale>
        <cfvo type="min"/>
        <cfvo type="percentile" val="50"/>
        <cfvo type="max"/>
        <color rgb="FF63BE7B"/>
        <color rgb="FFFFEB84"/>
        <color rgb="FFF8696B"/>
      </colorScale>
    </cfRule>
    <cfRule type="colorScale" priority="11011">
      <colorScale>
        <cfvo type="min"/>
        <cfvo type="percentile" val="50"/>
        <cfvo type="max"/>
        <color rgb="FF63BE7B"/>
        <color rgb="FFFFEB84"/>
        <color rgb="FFF8696B"/>
      </colorScale>
    </cfRule>
    <cfRule type="colorScale" priority="11003">
      <colorScale>
        <cfvo type="min"/>
        <cfvo type="percentile" val="50"/>
        <cfvo type="max"/>
        <color rgb="FF63BE7B"/>
        <color rgb="FFFFEB84"/>
        <color rgb="FFF8696B"/>
      </colorScale>
    </cfRule>
    <cfRule type="colorScale" priority="11002">
      <colorScale>
        <cfvo type="min"/>
        <cfvo type="percentile" val="50"/>
        <cfvo type="max"/>
        <color rgb="FF63BE7B"/>
        <color rgb="FFFFEB84"/>
        <color rgb="FFF8696B"/>
      </colorScale>
    </cfRule>
    <cfRule type="colorScale" priority="11007">
      <colorScale>
        <cfvo type="min"/>
        <cfvo type="percentile" val="50"/>
        <cfvo type="max"/>
        <color rgb="FF63BE7B"/>
        <color rgb="FFFFEB84"/>
        <color rgb="FFF8696B"/>
      </colorScale>
    </cfRule>
    <cfRule type="colorScale" priority="11008">
      <colorScale>
        <cfvo type="min"/>
        <cfvo type="percentile" val="50"/>
        <cfvo type="max"/>
        <color rgb="FF63BE7B"/>
        <color rgb="FFFFEB84"/>
        <color rgb="FFF8696B"/>
      </colorScale>
    </cfRule>
    <cfRule type="colorScale" priority="11005">
      <colorScale>
        <cfvo type="min"/>
        <cfvo type="percentile" val="50"/>
        <cfvo type="max"/>
        <color rgb="FF63BE7B"/>
        <color rgb="FFFFEB84"/>
        <color rgb="FFF8696B"/>
      </colorScale>
    </cfRule>
    <cfRule type="colorScale" priority="9869">
      <colorScale>
        <cfvo type="min"/>
        <cfvo type="percentile" val="50"/>
        <cfvo type="max"/>
        <color rgb="FF63BE7B"/>
        <color rgb="FFFFEB84"/>
        <color rgb="FFF8696B"/>
      </colorScale>
    </cfRule>
    <cfRule type="colorScale" priority="9867">
      <colorScale>
        <cfvo type="min"/>
        <cfvo type="percentile" val="50"/>
        <cfvo type="max"/>
        <color rgb="FF63BE7B"/>
        <color rgb="FFFFEB84"/>
        <color rgb="FFF8696B"/>
      </colorScale>
    </cfRule>
    <cfRule type="colorScale" priority="9865">
      <colorScale>
        <cfvo type="min"/>
        <cfvo type="percentile" val="50"/>
        <cfvo type="max"/>
        <color rgb="FF63BE7B"/>
        <color rgb="FFFFEB84"/>
        <color rgb="FFF8696B"/>
      </colorScale>
    </cfRule>
    <cfRule type="colorScale" priority="11012">
      <colorScale>
        <cfvo type="min"/>
        <cfvo type="percentile" val="50"/>
        <cfvo type="max"/>
        <color rgb="FF63BE7B"/>
        <color rgb="FFFFEB84"/>
        <color rgb="FFF8696B"/>
      </colorScale>
    </cfRule>
    <cfRule type="colorScale" priority="11013">
      <colorScale>
        <cfvo type="min"/>
        <cfvo type="percentile" val="50"/>
        <cfvo type="max"/>
        <color rgb="FF63BE7B"/>
        <color rgb="FFFFEB84"/>
        <color rgb="FFF8696B"/>
      </colorScale>
    </cfRule>
    <cfRule type="colorScale" priority="9868">
      <colorScale>
        <cfvo type="min"/>
        <cfvo type="percentile" val="50"/>
        <cfvo type="max"/>
        <color rgb="FF63BE7B"/>
        <color rgb="FFFFEB84"/>
        <color rgb="FFF8696B"/>
      </colorScale>
    </cfRule>
    <cfRule type="colorScale" priority="11009">
      <colorScale>
        <cfvo type="min"/>
        <cfvo type="percentile" val="50"/>
        <cfvo type="max"/>
        <color rgb="FF63BE7B"/>
        <color rgb="FFFFEB84"/>
        <color rgb="FFF8696B"/>
      </colorScale>
    </cfRule>
    <cfRule type="colorScale" priority="11014">
      <colorScale>
        <cfvo type="min"/>
        <cfvo type="percentile" val="50"/>
        <cfvo type="max"/>
        <color rgb="FF63BE7B"/>
        <color rgb="FFFFEB84"/>
        <color rgb="FFF8696B"/>
      </colorScale>
    </cfRule>
    <cfRule type="colorScale" priority="9870">
      <colorScale>
        <cfvo type="min"/>
        <cfvo type="percentile" val="50"/>
        <cfvo type="max"/>
        <color rgb="FF63BE7B"/>
        <color rgb="FFFFEB84"/>
        <color rgb="FFF8696B"/>
      </colorScale>
    </cfRule>
    <cfRule type="colorScale" priority="11015">
      <colorScale>
        <cfvo type="min"/>
        <cfvo type="percentile" val="50"/>
        <cfvo type="max"/>
        <color rgb="FF63BE7B"/>
        <color rgb="FFFFEB84"/>
        <color rgb="FFF8696B"/>
      </colorScale>
    </cfRule>
    <cfRule type="colorScale" priority="11006">
      <colorScale>
        <cfvo type="min"/>
        <cfvo type="percentile" val="50"/>
        <cfvo type="max"/>
        <color rgb="FF63BE7B"/>
        <color rgb="FFFFEB84"/>
        <color rgb="FFF8696B"/>
      </colorScale>
    </cfRule>
    <cfRule type="colorScale" priority="13115">
      <colorScale>
        <cfvo type="min"/>
        <cfvo type="percentile" val="50"/>
        <cfvo type="max"/>
        <color rgb="FF63BE7B"/>
        <color rgb="FFFFEB84"/>
        <color rgb="FFF8696B"/>
      </colorScale>
    </cfRule>
    <cfRule type="colorScale" priority="13116">
      <colorScale>
        <cfvo type="min"/>
        <cfvo type="percentile" val="50"/>
        <cfvo type="max"/>
        <color rgb="FF63BE7B"/>
        <color rgb="FFFFEB84"/>
        <color rgb="FFF8696B"/>
      </colorScale>
    </cfRule>
    <cfRule type="colorScale" priority="11016">
      <colorScale>
        <cfvo type="min"/>
        <cfvo type="percentile" val="50"/>
        <cfvo type="max"/>
        <color rgb="FF63BE7B"/>
        <color rgb="FFFFEB84"/>
        <color rgb="FFF8696B"/>
      </colorScale>
    </cfRule>
    <cfRule type="colorScale" priority="9873">
      <colorScale>
        <cfvo type="min"/>
        <cfvo type="percentile" val="50"/>
        <cfvo type="max"/>
        <color rgb="FF63BE7B"/>
        <color rgb="FFFFEB84"/>
        <color rgb="FFF8696B"/>
      </colorScale>
    </cfRule>
    <cfRule type="colorScale" priority="13117">
      <colorScale>
        <cfvo type="min"/>
        <cfvo type="percentile" val="50"/>
        <cfvo type="max"/>
        <color rgb="FF63BE7B"/>
        <color rgb="FFFFEB84"/>
        <color rgb="FFF8696B"/>
      </colorScale>
    </cfRule>
  </conditionalFormatting>
  <conditionalFormatting sqref="AD35:AD50">
    <cfRule type="colorScale" priority="13197">
      <colorScale>
        <cfvo type="min"/>
        <cfvo type="percentile" val="50"/>
        <cfvo type="max"/>
        <color rgb="FF63BE7B"/>
        <color rgb="FFFFEB84"/>
        <color rgb="FFF8696B"/>
      </colorScale>
    </cfRule>
  </conditionalFormatting>
  <conditionalFormatting sqref="AD36:AD37">
    <cfRule type="colorScale" priority="9878">
      <colorScale>
        <cfvo type="min"/>
        <cfvo type="percentile" val="50"/>
        <cfvo type="max"/>
        <color rgb="FF63BE7B"/>
        <color rgb="FFFFEB84"/>
        <color rgb="FFF8696B"/>
      </colorScale>
    </cfRule>
  </conditionalFormatting>
  <conditionalFormatting sqref="AD36:AD41">
    <cfRule type="colorScale" priority="9888">
      <colorScale>
        <cfvo type="min"/>
        <cfvo type="percentile" val="50"/>
        <cfvo type="max"/>
        <color rgb="FF63BE7B"/>
        <color rgb="FFFFEB84"/>
        <color rgb="FFF8696B"/>
      </colorScale>
    </cfRule>
    <cfRule type="colorScale" priority="13118">
      <colorScale>
        <cfvo type="min"/>
        <cfvo type="percentile" val="50"/>
        <cfvo type="max"/>
        <color rgb="FF63BE7B"/>
        <color rgb="FFFFEB84"/>
        <color rgb="FFF8696B"/>
      </colorScale>
    </cfRule>
  </conditionalFormatting>
  <conditionalFormatting sqref="AD42:AD50">
    <cfRule type="colorScale" priority="12999">
      <colorScale>
        <cfvo type="min"/>
        <cfvo type="percentile" val="50"/>
        <cfvo type="max"/>
        <color rgb="FF63BE7B"/>
        <color rgb="FFFFEB84"/>
        <color rgb="FFF8696B"/>
      </colorScale>
    </cfRule>
    <cfRule type="colorScale" priority="13000">
      <colorScale>
        <cfvo type="min"/>
        <cfvo type="percentile" val="50"/>
        <cfvo type="max"/>
        <color rgb="FF63BE7B"/>
        <color rgb="FFFFEB84"/>
        <color rgb="FFF8696B"/>
      </colorScale>
    </cfRule>
    <cfRule type="colorScale" priority="12998">
      <colorScale>
        <cfvo type="min"/>
        <cfvo type="percentile" val="50"/>
        <cfvo type="max"/>
        <color rgb="FF63BE7B"/>
        <color rgb="FFFFEB84"/>
        <color rgb="FFF8696B"/>
      </colorScale>
    </cfRule>
    <cfRule type="colorScale" priority="13001">
      <colorScale>
        <cfvo type="min"/>
        <cfvo type="percentile" val="50"/>
        <cfvo type="max"/>
        <color rgb="FF63BE7B"/>
        <color rgb="FFFFEB84"/>
        <color rgb="FFF8696B"/>
      </colorScale>
    </cfRule>
  </conditionalFormatting>
  <conditionalFormatting sqref="AD51:AD53">
    <cfRule type="colorScale" priority="4043">
      <colorScale>
        <cfvo type="min"/>
        <cfvo type="percentile" val="50"/>
        <cfvo type="max"/>
        <color rgb="FF63BE7B"/>
        <color rgb="FFFFEB84"/>
        <color rgb="FFF8696B"/>
      </colorScale>
    </cfRule>
    <cfRule type="colorScale" priority="4071">
      <colorScale>
        <cfvo type="min"/>
        <cfvo type="percentile" val="50"/>
        <cfvo type="max"/>
        <color rgb="FF63BE7B"/>
        <color rgb="FFFFEB84"/>
        <color rgb="FFF8696B"/>
      </colorScale>
    </cfRule>
    <cfRule type="colorScale" priority="12888">
      <colorScale>
        <cfvo type="min"/>
        <cfvo type="percentile" val="50"/>
        <cfvo type="max"/>
        <color rgb="FF63BE7B"/>
        <color rgb="FFFFEB84"/>
        <color rgb="FFF8696B"/>
      </colorScale>
    </cfRule>
    <cfRule type="colorScale" priority="12890">
      <colorScale>
        <cfvo type="min"/>
        <cfvo type="percentile" val="50"/>
        <cfvo type="max"/>
        <color rgb="FF63BE7B"/>
        <color rgb="FFFFEB84"/>
        <color rgb="FFF8696B"/>
      </colorScale>
    </cfRule>
    <cfRule type="colorScale" priority="12891">
      <colorScale>
        <cfvo type="min"/>
        <cfvo type="percentile" val="50"/>
        <cfvo type="max"/>
        <color rgb="FF63BE7B"/>
        <color rgb="FFFFEB84"/>
        <color rgb="FFF8696B"/>
      </colorScale>
    </cfRule>
    <cfRule type="colorScale" priority="4070">
      <colorScale>
        <cfvo type="min"/>
        <cfvo type="percentile" val="50"/>
        <cfvo type="max"/>
        <color rgb="FF63BE7B"/>
        <color rgb="FFFFEB84"/>
        <color rgb="FFF8696B"/>
      </colorScale>
    </cfRule>
    <cfRule type="colorScale" priority="12889">
      <colorScale>
        <cfvo type="min"/>
        <cfvo type="percentile" val="50"/>
        <cfvo type="max"/>
        <color rgb="FF63BE7B"/>
        <color rgb="FFFFEB84"/>
        <color rgb="FFF8696B"/>
      </colorScale>
    </cfRule>
  </conditionalFormatting>
  <conditionalFormatting sqref="AD52:AD53">
    <cfRule type="colorScale" priority="6859">
      <colorScale>
        <cfvo type="min"/>
        <cfvo type="percentile" val="50"/>
        <cfvo type="max"/>
        <color rgb="FF63BE7B"/>
        <color rgb="FFFFEB84"/>
        <color rgb="FFF8696B"/>
      </colorScale>
    </cfRule>
    <cfRule type="colorScale" priority="6860">
      <colorScale>
        <cfvo type="min"/>
        <cfvo type="percentile" val="50"/>
        <cfvo type="max"/>
        <color rgb="FF63BE7B"/>
        <color rgb="FFFFEB84"/>
        <color rgb="FFF8696B"/>
      </colorScale>
    </cfRule>
    <cfRule type="colorScale" priority="6861">
      <colorScale>
        <cfvo type="min"/>
        <cfvo type="percentile" val="50"/>
        <cfvo type="max"/>
        <color rgb="FF63BE7B"/>
        <color rgb="FFFFEB84"/>
        <color rgb="FFF8696B"/>
      </colorScale>
    </cfRule>
    <cfRule type="colorScale" priority="6862">
      <colorScale>
        <cfvo type="min"/>
        <cfvo type="percentile" val="50"/>
        <cfvo type="max"/>
        <color rgb="FF63BE7B"/>
        <color rgb="FFFFEB84"/>
        <color rgb="FFF8696B"/>
      </colorScale>
    </cfRule>
    <cfRule type="colorScale" priority="6863">
      <colorScale>
        <cfvo type="min"/>
        <cfvo type="percentile" val="50"/>
        <cfvo type="max"/>
        <color rgb="FF63BE7B"/>
        <color rgb="FFFFEB84"/>
        <color rgb="FFF8696B"/>
      </colorScale>
    </cfRule>
    <cfRule type="colorScale" priority="6864">
      <colorScale>
        <cfvo type="min"/>
        <cfvo type="percentile" val="50"/>
        <cfvo type="max"/>
        <color rgb="FF63BE7B"/>
        <color rgb="FFFFEB84"/>
        <color rgb="FFF8696B"/>
      </colorScale>
    </cfRule>
    <cfRule type="colorScale" priority="6865">
      <colorScale>
        <cfvo type="min"/>
        <cfvo type="percentile" val="50"/>
        <cfvo type="max"/>
        <color rgb="FF63BE7B"/>
        <color rgb="FFFFEB84"/>
        <color rgb="FFF8696B"/>
      </colorScale>
    </cfRule>
    <cfRule type="colorScale" priority="6866">
      <colorScale>
        <cfvo type="min"/>
        <cfvo type="percentile" val="50"/>
        <cfvo type="max"/>
        <color rgb="FF63BE7B"/>
        <color rgb="FFFFEB84"/>
        <color rgb="FFF8696B"/>
      </colorScale>
    </cfRule>
    <cfRule type="colorScale" priority="6867">
      <colorScale>
        <cfvo type="min"/>
        <cfvo type="percentile" val="50"/>
        <cfvo type="max"/>
        <color rgb="FF63BE7B"/>
        <color rgb="FFFFEB84"/>
        <color rgb="FFF8696B"/>
      </colorScale>
    </cfRule>
    <cfRule type="colorScale" priority="6868">
      <colorScale>
        <cfvo type="min"/>
        <cfvo type="percentile" val="50"/>
        <cfvo type="max"/>
        <color rgb="FF63BE7B"/>
        <color rgb="FFFFEB84"/>
        <color rgb="FFF8696B"/>
      </colorScale>
    </cfRule>
    <cfRule type="colorScale" priority="6069">
      <colorScale>
        <cfvo type="min"/>
        <cfvo type="percentile" val="50"/>
        <cfvo type="max"/>
        <color rgb="FF63BE7B"/>
        <color rgb="FFFFEB84"/>
        <color rgb="FFF8696B"/>
      </colorScale>
    </cfRule>
    <cfRule type="colorScale" priority="6068">
      <colorScale>
        <cfvo type="min"/>
        <cfvo type="percentile" val="50"/>
        <cfvo type="max"/>
        <color rgb="FF63BE7B"/>
        <color rgb="FFFFEB84"/>
        <color rgb="FFF8696B"/>
      </colorScale>
    </cfRule>
    <cfRule type="colorScale" priority="6067">
      <colorScale>
        <cfvo type="min"/>
        <cfvo type="percentile" val="50"/>
        <cfvo type="max"/>
        <color rgb="FF63BE7B"/>
        <color rgb="FFFFEB84"/>
        <color rgb="FFF8696B"/>
      </colorScale>
    </cfRule>
    <cfRule type="colorScale" priority="6066">
      <colorScale>
        <cfvo type="min"/>
        <cfvo type="percentile" val="50"/>
        <cfvo type="max"/>
        <color rgb="FF63BE7B"/>
        <color rgb="FFFFEB84"/>
        <color rgb="FFF8696B"/>
      </colorScale>
    </cfRule>
    <cfRule type="colorScale" priority="6065">
      <colorScale>
        <cfvo type="min"/>
        <cfvo type="percentile" val="50"/>
        <cfvo type="max"/>
        <color rgb="FF63BE7B"/>
        <color rgb="FFFFEB84"/>
        <color rgb="FFF8696B"/>
      </colorScale>
    </cfRule>
    <cfRule type="colorScale" priority="6064">
      <colorScale>
        <cfvo type="min"/>
        <cfvo type="percentile" val="50"/>
        <cfvo type="max"/>
        <color rgb="FF63BE7B"/>
        <color rgb="FFFFEB84"/>
        <color rgb="FFF8696B"/>
      </colorScale>
    </cfRule>
    <cfRule type="colorScale" priority="6063">
      <colorScale>
        <cfvo type="min"/>
        <cfvo type="percentile" val="50"/>
        <cfvo type="max"/>
        <color rgb="FF63BE7B"/>
        <color rgb="FFFFEB84"/>
        <color rgb="FFF8696B"/>
      </colorScale>
    </cfRule>
    <cfRule type="colorScale" priority="6061">
      <colorScale>
        <cfvo type="min"/>
        <cfvo type="percentile" val="50"/>
        <cfvo type="max"/>
        <color rgb="FF63BE7B"/>
        <color rgb="FFFFEB84"/>
        <color rgb="FFF8696B"/>
      </colorScale>
    </cfRule>
    <cfRule type="colorScale" priority="6060">
      <colorScale>
        <cfvo type="min"/>
        <cfvo type="percentile" val="50"/>
        <cfvo type="max"/>
        <color rgb="FF63BE7B"/>
        <color rgb="FFFFEB84"/>
        <color rgb="FFF8696B"/>
      </colorScale>
    </cfRule>
    <cfRule type="colorScale" priority="6059">
      <colorScale>
        <cfvo type="min"/>
        <cfvo type="percentile" val="50"/>
        <cfvo type="max"/>
        <color rgb="FF63BE7B"/>
        <color rgb="FFFFEB84"/>
        <color rgb="FFF8696B"/>
      </colorScale>
    </cfRule>
    <cfRule type="colorScale" priority="6058">
      <colorScale>
        <cfvo type="min"/>
        <cfvo type="percentile" val="50"/>
        <cfvo type="max"/>
        <color rgb="FF63BE7B"/>
        <color rgb="FFFFEB84"/>
        <color rgb="FFF8696B"/>
      </colorScale>
    </cfRule>
    <cfRule type="colorScale" priority="6057">
      <colorScale>
        <cfvo type="min"/>
        <cfvo type="percentile" val="50"/>
        <cfvo type="max"/>
        <color rgb="FF63BE7B"/>
        <color rgb="FFFFEB84"/>
        <color rgb="FFF8696B"/>
      </colorScale>
    </cfRule>
    <cfRule type="colorScale" priority="6056">
      <colorScale>
        <cfvo type="min"/>
        <cfvo type="percentile" val="50"/>
        <cfvo type="max"/>
        <color rgb="FF63BE7B"/>
        <color rgb="FFFFEB84"/>
        <color rgb="FFF8696B"/>
      </colorScale>
    </cfRule>
    <cfRule type="colorScale" priority="6055">
      <colorScale>
        <cfvo type="min"/>
        <cfvo type="percentile" val="50"/>
        <cfvo type="max"/>
        <color rgb="FF63BE7B"/>
        <color rgb="FFFFEB84"/>
        <color rgb="FFF8696B"/>
      </colorScale>
    </cfRule>
    <cfRule type="colorScale" priority="6054">
      <colorScale>
        <cfvo type="min"/>
        <cfvo type="percentile" val="50"/>
        <cfvo type="max"/>
        <color rgb="FF63BE7B"/>
        <color rgb="FFFFEB84"/>
        <color rgb="FFF8696B"/>
      </colorScale>
    </cfRule>
    <cfRule type="colorScale" priority="6053">
      <colorScale>
        <cfvo type="min"/>
        <cfvo type="percentile" val="50"/>
        <cfvo type="max"/>
        <color rgb="FF63BE7B"/>
        <color rgb="FFFFEB84"/>
        <color rgb="FFF8696B"/>
      </colorScale>
    </cfRule>
    <cfRule type="colorScale" priority="6052">
      <colorScale>
        <cfvo type="min"/>
        <cfvo type="percentile" val="50"/>
        <cfvo type="max"/>
        <color rgb="FF63BE7B"/>
        <color rgb="FFFFEB84"/>
        <color rgb="FFF8696B"/>
      </colorScale>
    </cfRule>
    <cfRule type="colorScale" priority="6062">
      <colorScale>
        <cfvo type="min"/>
        <cfvo type="percentile" val="50"/>
        <cfvo type="max"/>
        <color rgb="FF63BE7B"/>
        <color rgb="FFFFEB84"/>
        <color rgb="FFF8696B"/>
      </colorScale>
    </cfRule>
    <cfRule type="colorScale" priority="4045">
      <colorScale>
        <cfvo type="min"/>
        <cfvo type="percentile" val="50"/>
        <cfvo type="max"/>
        <color rgb="FF63BE7B"/>
        <color rgb="FFFFEB84"/>
        <color rgb="FFF8696B"/>
      </colorScale>
    </cfRule>
    <cfRule type="colorScale" priority="4046">
      <colorScale>
        <cfvo type="min"/>
        <cfvo type="percentile" val="50"/>
        <cfvo type="max"/>
        <color rgb="FF63BE7B"/>
        <color rgb="FFFFEB84"/>
        <color rgb="FFF8696B"/>
      </colorScale>
    </cfRule>
    <cfRule type="colorScale" priority="4047">
      <colorScale>
        <cfvo type="min"/>
        <cfvo type="percentile" val="50"/>
        <cfvo type="max"/>
        <color rgb="FF63BE7B"/>
        <color rgb="FFFFEB84"/>
        <color rgb="FFF8696B"/>
      </colorScale>
    </cfRule>
    <cfRule type="colorScale" priority="4048">
      <colorScale>
        <cfvo type="min"/>
        <cfvo type="percentile" val="50"/>
        <cfvo type="max"/>
        <color rgb="FF63BE7B"/>
        <color rgb="FFFFEB84"/>
        <color rgb="FFF8696B"/>
      </colorScale>
    </cfRule>
    <cfRule type="colorScale" priority="4049">
      <colorScale>
        <cfvo type="min"/>
        <cfvo type="percentile" val="50"/>
        <cfvo type="max"/>
        <color rgb="FF63BE7B"/>
        <color rgb="FFFFEB84"/>
        <color rgb="FFF8696B"/>
      </colorScale>
    </cfRule>
    <cfRule type="colorScale" priority="4050">
      <colorScale>
        <cfvo type="min"/>
        <cfvo type="percentile" val="50"/>
        <cfvo type="max"/>
        <color rgb="FF63BE7B"/>
        <color rgb="FFFFEB84"/>
        <color rgb="FFF8696B"/>
      </colorScale>
    </cfRule>
    <cfRule type="colorScale" priority="4051">
      <colorScale>
        <cfvo type="min"/>
        <cfvo type="percentile" val="50"/>
        <cfvo type="max"/>
        <color rgb="FF63BE7B"/>
        <color rgb="FFFFEB84"/>
        <color rgb="FFF8696B"/>
      </colorScale>
    </cfRule>
    <cfRule type="colorScale" priority="4052">
      <colorScale>
        <cfvo type="min"/>
        <cfvo type="percentile" val="50"/>
        <cfvo type="max"/>
        <color rgb="FF63BE7B"/>
        <color rgb="FFFFEB84"/>
        <color rgb="FFF8696B"/>
      </colorScale>
    </cfRule>
    <cfRule type="colorScale" priority="4053">
      <colorScale>
        <cfvo type="min"/>
        <cfvo type="percentile" val="50"/>
        <cfvo type="max"/>
        <color rgb="FF63BE7B"/>
        <color rgb="FFFFEB84"/>
        <color rgb="FFF8696B"/>
      </colorScale>
    </cfRule>
    <cfRule type="colorScale" priority="4054">
      <colorScale>
        <cfvo type="min"/>
        <cfvo type="percentile" val="50"/>
        <cfvo type="max"/>
        <color rgb="FF63BE7B"/>
        <color rgb="FFFFEB84"/>
        <color rgb="FFF8696B"/>
      </colorScale>
    </cfRule>
    <cfRule type="colorScale" priority="4055">
      <colorScale>
        <cfvo type="min"/>
        <cfvo type="percentile" val="50"/>
        <cfvo type="max"/>
        <color rgb="FF63BE7B"/>
        <color rgb="FFFFEB84"/>
        <color rgb="FFF8696B"/>
      </colorScale>
    </cfRule>
    <cfRule type="colorScale" priority="4056">
      <colorScale>
        <cfvo type="min"/>
        <cfvo type="percentile" val="50"/>
        <cfvo type="max"/>
        <color rgb="FF63BE7B"/>
        <color rgb="FFFFEB84"/>
        <color rgb="FFF8696B"/>
      </colorScale>
    </cfRule>
    <cfRule type="colorScale" priority="4057">
      <colorScale>
        <cfvo type="min"/>
        <cfvo type="percentile" val="50"/>
        <cfvo type="max"/>
        <color rgb="FF63BE7B"/>
        <color rgb="FFFFEB84"/>
        <color rgb="FFF8696B"/>
      </colorScale>
    </cfRule>
    <cfRule type="colorScale" priority="4058">
      <colorScale>
        <cfvo type="min"/>
        <cfvo type="percentile" val="50"/>
        <cfvo type="max"/>
        <color rgb="FF63BE7B"/>
        <color rgb="FFFFEB84"/>
        <color rgb="FFF8696B"/>
      </colorScale>
    </cfRule>
    <cfRule type="colorScale" priority="4059">
      <colorScale>
        <cfvo type="min"/>
        <cfvo type="percentile" val="50"/>
        <cfvo type="max"/>
        <color rgb="FF63BE7B"/>
        <color rgb="FFFFEB84"/>
        <color rgb="FFF8696B"/>
      </colorScale>
    </cfRule>
    <cfRule type="colorScale" priority="4069">
      <colorScale>
        <cfvo type="min"/>
        <cfvo type="percentile" val="50"/>
        <cfvo type="max"/>
        <color rgb="FF63BE7B"/>
        <color rgb="FFFFEB84"/>
        <color rgb="FFF8696B"/>
      </colorScale>
    </cfRule>
    <cfRule type="colorScale" priority="4060">
      <colorScale>
        <cfvo type="min"/>
        <cfvo type="percentile" val="50"/>
        <cfvo type="max"/>
        <color rgb="FF63BE7B"/>
        <color rgb="FFFFEB84"/>
        <color rgb="FFF8696B"/>
      </colorScale>
    </cfRule>
    <cfRule type="colorScale" priority="4061">
      <colorScale>
        <cfvo type="min"/>
        <cfvo type="percentile" val="50"/>
        <cfvo type="max"/>
        <color rgb="FF63BE7B"/>
        <color rgb="FFFFEB84"/>
        <color rgb="FFF8696B"/>
      </colorScale>
    </cfRule>
    <cfRule type="colorScale" priority="4062">
      <colorScale>
        <cfvo type="min"/>
        <cfvo type="percentile" val="50"/>
        <cfvo type="max"/>
        <color rgb="FF63BE7B"/>
        <color rgb="FFFFEB84"/>
        <color rgb="FFF8696B"/>
      </colorScale>
    </cfRule>
    <cfRule type="colorScale" priority="4063">
      <colorScale>
        <cfvo type="min"/>
        <cfvo type="percentile" val="50"/>
        <cfvo type="max"/>
        <color rgb="FF63BE7B"/>
        <color rgb="FFFFEB84"/>
        <color rgb="FFF8696B"/>
      </colorScale>
    </cfRule>
    <cfRule type="colorScale" priority="4064">
      <colorScale>
        <cfvo type="min"/>
        <cfvo type="percentile" val="50"/>
        <cfvo type="max"/>
        <color rgb="FF63BE7B"/>
        <color rgb="FFFFEB84"/>
        <color rgb="FFF8696B"/>
      </colorScale>
    </cfRule>
    <cfRule type="colorScale" priority="7251">
      <colorScale>
        <cfvo type="min"/>
        <cfvo type="percentile" val="50"/>
        <cfvo type="max"/>
        <color rgb="FF63BE7B"/>
        <color rgb="FFFFEB84"/>
        <color rgb="FFF8696B"/>
      </colorScale>
    </cfRule>
    <cfRule type="colorScale" priority="4065">
      <colorScale>
        <cfvo type="min"/>
        <cfvo type="percentile" val="50"/>
        <cfvo type="max"/>
        <color rgb="FF63BE7B"/>
        <color rgb="FFFFEB84"/>
        <color rgb="FFF8696B"/>
      </colorScale>
    </cfRule>
    <cfRule type="colorScale" priority="4066">
      <colorScale>
        <cfvo type="min"/>
        <cfvo type="percentile" val="50"/>
        <cfvo type="max"/>
        <color rgb="FF63BE7B"/>
        <color rgb="FFFFEB84"/>
        <color rgb="FFF8696B"/>
      </colorScale>
    </cfRule>
    <cfRule type="colorScale" priority="4067">
      <colorScale>
        <cfvo type="min"/>
        <cfvo type="percentile" val="50"/>
        <cfvo type="max"/>
        <color rgb="FF63BE7B"/>
        <color rgb="FFFFEB84"/>
        <color rgb="FFF8696B"/>
      </colorScale>
    </cfRule>
    <cfRule type="colorScale" priority="4068">
      <colorScale>
        <cfvo type="min"/>
        <cfvo type="percentile" val="50"/>
        <cfvo type="max"/>
        <color rgb="FF63BE7B"/>
        <color rgb="FFFFEB84"/>
        <color rgb="FFF8696B"/>
      </colorScale>
    </cfRule>
    <cfRule type="colorScale" priority="7176">
      <colorScale>
        <cfvo type="min"/>
        <cfvo type="percentile" val="50"/>
        <cfvo type="max"/>
        <color rgb="FF63BE7B"/>
        <color rgb="FFFFEB84"/>
        <color rgb="FFF8696B"/>
      </colorScale>
    </cfRule>
    <cfRule type="colorScale" priority="7177">
      <colorScale>
        <cfvo type="min"/>
        <cfvo type="percentile" val="50"/>
        <cfvo type="max"/>
        <color rgb="FF63BE7B"/>
        <color rgb="FFFFEB84"/>
        <color rgb="FFF8696B"/>
      </colorScale>
    </cfRule>
    <cfRule type="colorScale" priority="7178">
      <colorScale>
        <cfvo type="min"/>
        <cfvo type="percentile" val="50"/>
        <cfvo type="max"/>
        <color rgb="FF63BE7B"/>
        <color rgb="FFFFEB84"/>
        <color rgb="FFF8696B"/>
      </colorScale>
    </cfRule>
    <cfRule type="colorScale" priority="7179">
      <colorScale>
        <cfvo type="min"/>
        <cfvo type="percentile" val="50"/>
        <cfvo type="max"/>
        <color rgb="FF63BE7B"/>
        <color rgb="FFFFEB84"/>
        <color rgb="FFF8696B"/>
      </colorScale>
    </cfRule>
    <cfRule type="colorScale" priority="6051">
      <colorScale>
        <cfvo type="min"/>
        <cfvo type="percentile" val="50"/>
        <cfvo type="max"/>
        <color rgb="FF63BE7B"/>
        <color rgb="FFFFEB84"/>
        <color rgb="FFF8696B"/>
      </colorScale>
    </cfRule>
    <cfRule type="colorScale" priority="4044">
      <colorScale>
        <cfvo type="min"/>
        <cfvo type="percentile" val="50"/>
        <cfvo type="max"/>
        <color rgb="FF63BE7B"/>
        <color rgb="FFFFEB84"/>
        <color rgb="FFF8696B"/>
      </colorScale>
    </cfRule>
    <cfRule type="colorScale" priority="6851">
      <colorScale>
        <cfvo type="min"/>
        <cfvo type="percentile" val="50"/>
        <cfvo type="max"/>
        <color rgb="FF63BE7B"/>
        <color rgb="FFFFEB84"/>
        <color rgb="FFF8696B"/>
      </colorScale>
    </cfRule>
    <cfRule type="colorScale" priority="6852">
      <colorScale>
        <cfvo type="min"/>
        <cfvo type="percentile" val="50"/>
        <cfvo type="max"/>
        <color rgb="FF63BE7B"/>
        <color rgb="FFFFEB84"/>
        <color rgb="FFF8696B"/>
      </colorScale>
    </cfRule>
    <cfRule type="colorScale" priority="6853">
      <colorScale>
        <cfvo type="min"/>
        <cfvo type="percentile" val="50"/>
        <cfvo type="max"/>
        <color rgb="FF63BE7B"/>
        <color rgb="FFFFEB84"/>
        <color rgb="FFF8696B"/>
      </colorScale>
    </cfRule>
    <cfRule type="colorScale" priority="6854">
      <colorScale>
        <cfvo type="min"/>
        <cfvo type="percentile" val="50"/>
        <cfvo type="max"/>
        <color rgb="FF63BE7B"/>
        <color rgb="FFFFEB84"/>
        <color rgb="FFF8696B"/>
      </colorScale>
    </cfRule>
    <cfRule type="colorScale" priority="6855">
      <colorScale>
        <cfvo type="min"/>
        <cfvo type="percentile" val="50"/>
        <cfvo type="max"/>
        <color rgb="FF63BE7B"/>
        <color rgb="FFFFEB84"/>
        <color rgb="FFF8696B"/>
      </colorScale>
    </cfRule>
    <cfRule type="colorScale" priority="6856">
      <colorScale>
        <cfvo type="min"/>
        <cfvo type="percentile" val="50"/>
        <cfvo type="max"/>
        <color rgb="FF63BE7B"/>
        <color rgb="FFFFEB84"/>
        <color rgb="FFF8696B"/>
      </colorScale>
    </cfRule>
    <cfRule type="colorScale" priority="6857">
      <colorScale>
        <cfvo type="min"/>
        <cfvo type="percentile" val="50"/>
        <cfvo type="max"/>
        <color rgb="FF63BE7B"/>
        <color rgb="FFFFEB84"/>
        <color rgb="FFF8696B"/>
      </colorScale>
    </cfRule>
    <cfRule type="colorScale" priority="6858">
      <colorScale>
        <cfvo type="min"/>
        <cfvo type="percentile" val="50"/>
        <cfvo type="max"/>
        <color rgb="FF63BE7B"/>
        <color rgb="FFFFEB84"/>
        <color rgb="FFF8696B"/>
      </colorScale>
    </cfRule>
  </conditionalFormatting>
  <conditionalFormatting sqref="AD54:AD61">
    <cfRule type="colorScale" priority="29">
      <colorScale>
        <cfvo type="min"/>
        <cfvo type="percentile" val="50"/>
        <cfvo type="max"/>
        <color rgb="FF63BE7B"/>
        <color rgb="FFFFEB84"/>
        <color rgb="FFF8696B"/>
      </colorScale>
    </cfRule>
  </conditionalFormatting>
  <conditionalFormatting sqref="AD65:AD80">
    <cfRule type="colorScale" priority="12581">
      <colorScale>
        <cfvo type="min"/>
        <cfvo type="percentile" val="50"/>
        <cfvo type="max"/>
        <color rgb="FF63BE7B"/>
        <color rgb="FFFFEB84"/>
        <color rgb="FFF8696B"/>
      </colorScale>
    </cfRule>
  </conditionalFormatting>
  <conditionalFormatting sqref="AD96:AD111">
    <cfRule type="colorScale" priority="11975">
      <colorScale>
        <cfvo type="min"/>
        <cfvo type="percentile" val="50"/>
        <cfvo type="max"/>
        <color rgb="FF63BE7B"/>
        <color rgb="FFFFEB84"/>
        <color rgb="FFF8696B"/>
      </colorScale>
    </cfRule>
  </conditionalFormatting>
  <conditionalFormatting sqref="AE35:AE37">
    <cfRule type="colorScale" priority="9850">
      <colorScale>
        <cfvo type="min"/>
        <cfvo type="percentile" val="50"/>
        <cfvo type="max"/>
        <color rgb="FF63BE7B"/>
        <color rgb="FFFFEB84"/>
        <color rgb="FFF8696B"/>
      </colorScale>
    </cfRule>
    <cfRule type="colorScale" priority="9853">
      <colorScale>
        <cfvo type="min"/>
        <cfvo type="percentile" val="50"/>
        <cfvo type="max"/>
        <color rgb="FF63BE7B"/>
        <color rgb="FFFFEB84"/>
        <color rgb="FFF8696B"/>
      </colorScale>
    </cfRule>
    <cfRule type="colorScale" priority="9852">
      <colorScale>
        <cfvo type="min"/>
        <cfvo type="percentile" val="50"/>
        <cfvo type="max"/>
        <color rgb="FF63BE7B"/>
        <color rgb="FFFFEB84"/>
        <color rgb="FFF8696B"/>
      </colorScale>
    </cfRule>
    <cfRule type="colorScale" priority="9839">
      <colorScale>
        <cfvo type="min"/>
        <cfvo type="percentile" val="50"/>
        <cfvo type="max"/>
        <color rgb="FF63BE7B"/>
        <color rgb="FFFFEB84"/>
        <color rgb="FFF8696B"/>
      </colorScale>
    </cfRule>
    <cfRule type="colorScale" priority="9847">
      <colorScale>
        <cfvo type="min"/>
        <cfvo type="percentile" val="50"/>
        <cfvo type="max"/>
        <color rgb="FF63BE7B"/>
        <color rgb="FFFFEB84"/>
        <color rgb="FFF8696B"/>
      </colorScale>
    </cfRule>
    <cfRule type="colorScale" priority="10985">
      <colorScale>
        <cfvo type="min"/>
        <cfvo type="percentile" val="50"/>
        <cfvo type="max"/>
        <color rgb="FF63BE7B"/>
        <color rgb="FFFFEB84"/>
        <color rgb="FFF8696B"/>
      </colorScale>
    </cfRule>
    <cfRule type="colorScale" priority="9848">
      <colorScale>
        <cfvo type="min"/>
        <cfvo type="percentile" val="50"/>
        <cfvo type="max"/>
        <color rgb="FF63BE7B"/>
        <color rgb="FFFFEB84"/>
        <color rgb="FFF8696B"/>
      </colorScale>
    </cfRule>
    <cfRule type="colorScale" priority="9849">
      <colorScale>
        <cfvo type="min"/>
        <cfvo type="percentile" val="50"/>
        <cfvo type="max"/>
        <color rgb="FF63BE7B"/>
        <color rgb="FFFFEB84"/>
        <color rgb="FFF8696B"/>
      </colorScale>
    </cfRule>
  </conditionalFormatting>
  <conditionalFormatting sqref="AE35:AE41">
    <cfRule type="colorScale" priority="10996">
      <colorScale>
        <cfvo type="min"/>
        <cfvo type="percentile" val="50"/>
        <cfvo type="max"/>
        <color rgb="FF63BE7B"/>
        <color rgb="FFFFEB84"/>
        <color rgb="FFF8696B"/>
      </colorScale>
    </cfRule>
    <cfRule type="colorScale" priority="10995">
      <colorScale>
        <cfvo type="min"/>
        <cfvo type="percentile" val="50"/>
        <cfvo type="max"/>
        <color rgb="FF63BE7B"/>
        <color rgb="FFFFEB84"/>
        <color rgb="FFF8696B"/>
      </colorScale>
    </cfRule>
    <cfRule type="colorScale" priority="10994">
      <colorScale>
        <cfvo type="min"/>
        <cfvo type="percentile" val="50"/>
        <cfvo type="max"/>
        <color rgb="FF63BE7B"/>
        <color rgb="FFFFEB84"/>
        <color rgb="FFF8696B"/>
      </colorScale>
    </cfRule>
    <cfRule type="colorScale" priority="10983">
      <colorScale>
        <cfvo type="min"/>
        <cfvo type="percentile" val="50"/>
        <cfvo type="max"/>
        <color rgb="FF63BE7B"/>
        <color rgb="FFFFEB84"/>
        <color rgb="FFF8696B"/>
      </colorScale>
    </cfRule>
    <cfRule type="colorScale" priority="10984">
      <colorScale>
        <cfvo type="min"/>
        <cfvo type="percentile" val="50"/>
        <cfvo type="max"/>
        <color rgb="FF63BE7B"/>
        <color rgb="FFFFEB84"/>
        <color rgb="FFF8696B"/>
      </colorScale>
    </cfRule>
    <cfRule type="colorScale" priority="9844">
      <colorScale>
        <cfvo type="min"/>
        <cfvo type="percentile" val="50"/>
        <cfvo type="max"/>
        <color rgb="FF63BE7B"/>
        <color rgb="FFFFEB84"/>
        <color rgb="FFF8696B"/>
      </colorScale>
    </cfRule>
    <cfRule type="colorScale" priority="9843">
      <colorScale>
        <cfvo type="min"/>
        <cfvo type="percentile" val="50"/>
        <cfvo type="max"/>
        <color rgb="FF63BE7B"/>
        <color rgb="FFFFEB84"/>
        <color rgb="FFF8696B"/>
      </colorScale>
    </cfRule>
    <cfRule type="colorScale" priority="9857">
      <colorScale>
        <cfvo type="min"/>
        <cfvo type="percentile" val="50"/>
        <cfvo type="max"/>
        <color rgb="FF63BE7B"/>
        <color rgb="FFFFEB84"/>
        <color rgb="FFF8696B"/>
      </colorScale>
    </cfRule>
    <cfRule type="colorScale" priority="9856">
      <colorScale>
        <cfvo type="min"/>
        <cfvo type="percentile" val="50"/>
        <cfvo type="max"/>
        <color rgb="FF63BE7B"/>
        <color rgb="FFFFEB84"/>
        <color rgb="FFF8696B"/>
      </colorScale>
    </cfRule>
    <cfRule type="colorScale" priority="9855">
      <colorScale>
        <cfvo type="min"/>
        <cfvo type="percentile" val="50"/>
        <cfvo type="max"/>
        <color rgb="FF63BE7B"/>
        <color rgb="FFFFEB84"/>
        <color rgb="FFF8696B"/>
      </colorScale>
    </cfRule>
    <cfRule type="colorScale" priority="9854">
      <colorScale>
        <cfvo type="min"/>
        <cfvo type="percentile" val="50"/>
        <cfvo type="max"/>
        <color rgb="FF63BE7B"/>
        <color rgb="FFFFEB84"/>
        <color rgb="FFF8696B"/>
      </colorScale>
    </cfRule>
    <cfRule type="colorScale" priority="9863">
      <colorScale>
        <cfvo type="min"/>
        <cfvo type="percentile" val="50"/>
        <cfvo type="max"/>
        <color rgb="FF63BE7B"/>
        <color rgb="FFFFEB84"/>
        <color rgb="FFF8696B"/>
      </colorScale>
    </cfRule>
    <cfRule type="colorScale" priority="10988">
      <colorScale>
        <cfvo type="min"/>
        <cfvo type="percentile" val="50"/>
        <cfvo type="max"/>
        <color rgb="FF63BE7B"/>
        <color rgb="FFFFEB84"/>
        <color rgb="FFF8696B"/>
      </colorScale>
    </cfRule>
    <cfRule type="colorScale" priority="9859">
      <colorScale>
        <cfvo type="min"/>
        <cfvo type="percentile" val="50"/>
        <cfvo type="max"/>
        <color rgb="FF63BE7B"/>
        <color rgb="FFFFEB84"/>
        <color rgb="FFF8696B"/>
      </colorScale>
    </cfRule>
    <cfRule type="colorScale" priority="13113">
      <colorScale>
        <cfvo type="min"/>
        <cfvo type="percentile" val="50"/>
        <cfvo type="max"/>
        <color rgb="FF63BE7B"/>
        <color rgb="FFFFEB84"/>
        <color rgb="FFF8696B"/>
      </colorScale>
    </cfRule>
    <cfRule type="colorScale" priority="9842">
      <colorScale>
        <cfvo type="min"/>
        <cfvo type="percentile" val="50"/>
        <cfvo type="max"/>
        <color rgb="FF63BE7B"/>
        <color rgb="FFFFEB84"/>
        <color rgb="FFF8696B"/>
      </colorScale>
    </cfRule>
    <cfRule type="colorScale" priority="13112">
      <colorScale>
        <cfvo type="min"/>
        <cfvo type="percentile" val="50"/>
        <cfvo type="max"/>
        <color rgb="FF63BE7B"/>
        <color rgb="FFFFEB84"/>
        <color rgb="FFF8696B"/>
      </colorScale>
    </cfRule>
    <cfRule type="colorScale" priority="9840">
      <colorScale>
        <cfvo type="min"/>
        <cfvo type="percentile" val="50"/>
        <cfvo type="max"/>
        <color rgb="FF63BE7B"/>
        <color rgb="FFFFEB84"/>
        <color rgb="FFF8696B"/>
      </colorScale>
    </cfRule>
    <cfRule type="colorScale" priority="9838">
      <colorScale>
        <cfvo type="min"/>
        <cfvo type="percentile" val="50"/>
        <cfvo type="max"/>
        <color rgb="FF63BE7B"/>
        <color rgb="FFFFEB84"/>
        <color rgb="FFF8696B"/>
      </colorScale>
    </cfRule>
    <cfRule type="colorScale" priority="9837">
      <colorScale>
        <cfvo type="min"/>
        <cfvo type="percentile" val="50"/>
        <cfvo type="max"/>
        <color rgb="FF63BE7B"/>
        <color rgb="FFFFEB84"/>
        <color rgb="FFF8696B"/>
      </colorScale>
    </cfRule>
    <cfRule type="colorScale" priority="13111">
      <colorScale>
        <cfvo type="min"/>
        <cfvo type="percentile" val="50"/>
        <cfvo type="max"/>
        <color rgb="FF63BE7B"/>
        <color rgb="FFFFEB84"/>
        <color rgb="FFF8696B"/>
      </colorScale>
    </cfRule>
    <cfRule type="colorScale" priority="9841">
      <colorScale>
        <cfvo type="min"/>
        <cfvo type="percentile" val="50"/>
        <cfvo type="max"/>
        <color rgb="FF63BE7B"/>
        <color rgb="FFFFEB84"/>
        <color rgb="FFF8696B"/>
      </colorScale>
    </cfRule>
    <cfRule type="colorScale" priority="10986">
      <colorScale>
        <cfvo type="min"/>
        <cfvo type="percentile" val="50"/>
        <cfvo type="max"/>
        <color rgb="FF63BE7B"/>
        <color rgb="FFFFEB84"/>
        <color rgb="FFF8696B"/>
      </colorScale>
    </cfRule>
    <cfRule type="colorScale" priority="11001">
      <colorScale>
        <cfvo type="min"/>
        <cfvo type="percentile" val="50"/>
        <cfvo type="max"/>
        <color rgb="FF63BE7B"/>
        <color rgb="FFFFEB84"/>
        <color rgb="FFF8696B"/>
      </colorScale>
    </cfRule>
    <cfRule type="colorScale" priority="10987">
      <colorScale>
        <cfvo type="min"/>
        <cfvo type="percentile" val="50"/>
        <cfvo type="max"/>
        <color rgb="FF63BE7B"/>
        <color rgb="FFFFEB84"/>
        <color rgb="FFF8696B"/>
      </colorScale>
    </cfRule>
    <cfRule type="colorScale" priority="10993">
      <colorScale>
        <cfvo type="min"/>
        <cfvo type="percentile" val="50"/>
        <cfvo type="max"/>
        <color rgb="FF63BE7B"/>
        <color rgb="FFFFEB84"/>
        <color rgb="FFF8696B"/>
      </colorScale>
    </cfRule>
    <cfRule type="colorScale" priority="11000">
      <colorScale>
        <cfvo type="min"/>
        <cfvo type="percentile" val="50"/>
        <cfvo type="max"/>
        <color rgb="FF63BE7B"/>
        <color rgb="FFFFEB84"/>
        <color rgb="FFF8696B"/>
      </colorScale>
    </cfRule>
    <cfRule type="colorScale" priority="10999">
      <colorScale>
        <cfvo type="min"/>
        <cfvo type="percentile" val="50"/>
        <cfvo type="max"/>
        <color rgb="FF63BE7B"/>
        <color rgb="FFFFEB84"/>
        <color rgb="FFF8696B"/>
      </colorScale>
    </cfRule>
    <cfRule type="colorScale" priority="10998">
      <colorScale>
        <cfvo type="min"/>
        <cfvo type="percentile" val="50"/>
        <cfvo type="max"/>
        <color rgb="FF63BE7B"/>
        <color rgb="FFFFEB84"/>
        <color rgb="FFF8696B"/>
      </colorScale>
    </cfRule>
    <cfRule type="colorScale" priority="9846">
      <colorScale>
        <cfvo type="min"/>
        <cfvo type="percentile" val="50"/>
        <cfvo type="max"/>
        <color rgb="FF63BE7B"/>
        <color rgb="FFFFEB84"/>
        <color rgb="FFF8696B"/>
      </colorScale>
    </cfRule>
    <cfRule type="colorScale" priority="9845">
      <colorScale>
        <cfvo type="min"/>
        <cfvo type="percentile" val="50"/>
        <cfvo type="max"/>
        <color rgb="FF63BE7B"/>
        <color rgb="FFFFEB84"/>
        <color rgb="FFF8696B"/>
      </colorScale>
    </cfRule>
    <cfRule type="colorScale" priority="10997">
      <colorScale>
        <cfvo type="min"/>
        <cfvo type="percentile" val="50"/>
        <cfvo type="max"/>
        <color rgb="FF63BE7B"/>
        <color rgb="FFFFEB84"/>
        <color rgb="FFF8696B"/>
      </colorScale>
    </cfRule>
    <cfRule type="colorScale" priority="10992">
      <colorScale>
        <cfvo type="min"/>
        <cfvo type="percentile" val="50"/>
        <cfvo type="max"/>
        <color rgb="FF63BE7B"/>
        <color rgb="FFFFEB84"/>
        <color rgb="FFF8696B"/>
      </colorScale>
    </cfRule>
    <cfRule type="colorScale" priority="10989">
      <colorScale>
        <cfvo type="min"/>
        <cfvo type="percentile" val="50"/>
        <cfvo type="max"/>
        <color rgb="FF63BE7B"/>
        <color rgb="FFFFEB84"/>
        <color rgb="FFF8696B"/>
      </colorScale>
    </cfRule>
    <cfRule type="colorScale" priority="10990">
      <colorScale>
        <cfvo type="min"/>
        <cfvo type="percentile" val="50"/>
        <cfvo type="max"/>
        <color rgb="FF63BE7B"/>
        <color rgb="FFFFEB84"/>
        <color rgb="FFF8696B"/>
      </colorScale>
    </cfRule>
    <cfRule type="colorScale" priority="10991">
      <colorScale>
        <cfvo type="min"/>
        <cfvo type="percentile" val="50"/>
        <cfvo type="max"/>
        <color rgb="FF63BE7B"/>
        <color rgb="FFFFEB84"/>
        <color rgb="FFF8696B"/>
      </colorScale>
    </cfRule>
    <cfRule type="colorScale" priority="9858">
      <colorScale>
        <cfvo type="min"/>
        <cfvo type="percentile" val="50"/>
        <cfvo type="max"/>
        <color rgb="FF63BE7B"/>
        <color rgb="FFFFEB84"/>
        <color rgb="FFF8696B"/>
      </colorScale>
    </cfRule>
    <cfRule type="colorScale" priority="9860">
      <colorScale>
        <cfvo type="min"/>
        <cfvo type="percentile" val="50"/>
        <cfvo type="max"/>
        <color rgb="FF63BE7B"/>
        <color rgb="FFFFEB84"/>
        <color rgb="FFF8696B"/>
      </colorScale>
    </cfRule>
    <cfRule type="colorScale" priority="9862">
      <colorScale>
        <cfvo type="min"/>
        <cfvo type="percentile" val="50"/>
        <cfvo type="max"/>
        <color rgb="FF63BE7B"/>
        <color rgb="FFFFEB84"/>
        <color rgb="FFF8696B"/>
      </colorScale>
    </cfRule>
  </conditionalFormatting>
  <conditionalFormatting sqref="AE35:AE50">
    <cfRule type="colorScale" priority="13196">
      <colorScale>
        <cfvo type="min"/>
        <cfvo type="percentile" val="50"/>
        <cfvo type="max"/>
        <color rgb="FF63BE7B"/>
        <color rgb="FFFFEB84"/>
        <color rgb="FFF8696B"/>
      </colorScale>
    </cfRule>
  </conditionalFormatting>
  <conditionalFormatting sqref="AE36:AE37">
    <cfRule type="colorScale" priority="9851">
      <colorScale>
        <cfvo type="min"/>
        <cfvo type="percentile" val="50"/>
        <cfvo type="max"/>
        <color rgb="FF63BE7B"/>
        <color rgb="FFFFEB84"/>
        <color rgb="FFF8696B"/>
      </colorScale>
    </cfRule>
  </conditionalFormatting>
  <conditionalFormatting sqref="AE36:AE41">
    <cfRule type="colorScale" priority="13114">
      <colorScale>
        <cfvo type="min"/>
        <cfvo type="percentile" val="50"/>
        <cfvo type="max"/>
        <color rgb="FF63BE7B"/>
        <color rgb="FFFFEB84"/>
        <color rgb="FFF8696B"/>
      </colorScale>
    </cfRule>
    <cfRule type="colorScale" priority="9861">
      <colorScale>
        <cfvo type="min"/>
        <cfvo type="percentile" val="50"/>
        <cfvo type="max"/>
        <color rgb="FF63BE7B"/>
        <color rgb="FFFFEB84"/>
        <color rgb="FFF8696B"/>
      </colorScale>
    </cfRule>
  </conditionalFormatting>
  <conditionalFormatting sqref="AE42:AE50">
    <cfRule type="colorScale" priority="12994">
      <colorScale>
        <cfvo type="min"/>
        <cfvo type="percentile" val="50"/>
        <cfvo type="max"/>
        <color rgb="FF63BE7B"/>
        <color rgb="FFFFEB84"/>
        <color rgb="FFF8696B"/>
      </colorScale>
    </cfRule>
    <cfRule type="colorScale" priority="12995">
      <colorScale>
        <cfvo type="min"/>
        <cfvo type="percentile" val="50"/>
        <cfvo type="max"/>
        <color rgb="FF63BE7B"/>
        <color rgb="FFFFEB84"/>
        <color rgb="FFF8696B"/>
      </colorScale>
    </cfRule>
    <cfRule type="colorScale" priority="12996">
      <colorScale>
        <cfvo type="min"/>
        <cfvo type="percentile" val="50"/>
        <cfvo type="max"/>
        <color rgb="FF63BE7B"/>
        <color rgb="FFFFEB84"/>
        <color rgb="FFF8696B"/>
      </colorScale>
    </cfRule>
    <cfRule type="colorScale" priority="12997">
      <colorScale>
        <cfvo type="min"/>
        <cfvo type="percentile" val="50"/>
        <cfvo type="max"/>
        <color rgb="FF63BE7B"/>
        <color rgb="FFFFEB84"/>
        <color rgb="FFF8696B"/>
      </colorScale>
    </cfRule>
    <cfRule type="colorScale" priority="7444">
      <colorScale>
        <cfvo type="min"/>
        <cfvo type="percentile" val="50"/>
        <cfvo type="max"/>
        <color rgb="FF63BE7B"/>
        <color rgb="FFFFEB84"/>
        <color rgb="FFF8696B"/>
      </colorScale>
    </cfRule>
  </conditionalFormatting>
  <conditionalFormatting sqref="AE51:AE53">
    <cfRule type="colorScale" priority="4042">
      <colorScale>
        <cfvo type="min"/>
        <cfvo type="percentile" val="50"/>
        <cfvo type="max"/>
        <color rgb="FF63BE7B"/>
        <color rgb="FFFFEB84"/>
        <color rgb="FFF8696B"/>
      </colorScale>
    </cfRule>
    <cfRule type="colorScale" priority="4041">
      <colorScale>
        <cfvo type="min"/>
        <cfvo type="percentile" val="50"/>
        <cfvo type="max"/>
        <color rgb="FF63BE7B"/>
        <color rgb="FFFFEB84"/>
        <color rgb="FFF8696B"/>
      </colorScale>
    </cfRule>
    <cfRule type="colorScale" priority="4014">
      <colorScale>
        <cfvo type="min"/>
        <cfvo type="percentile" val="50"/>
        <cfvo type="max"/>
        <color rgb="FF63BE7B"/>
        <color rgb="FFFFEB84"/>
        <color rgb="FFF8696B"/>
      </colorScale>
    </cfRule>
    <cfRule type="colorScale" priority="12887">
      <colorScale>
        <cfvo type="min"/>
        <cfvo type="percentile" val="50"/>
        <cfvo type="max"/>
        <color rgb="FF63BE7B"/>
        <color rgb="FFFFEB84"/>
        <color rgb="FFF8696B"/>
      </colorScale>
    </cfRule>
    <cfRule type="colorScale" priority="12886">
      <colorScale>
        <cfvo type="min"/>
        <cfvo type="percentile" val="50"/>
        <cfvo type="max"/>
        <color rgb="FF63BE7B"/>
        <color rgb="FFFFEB84"/>
        <color rgb="FFF8696B"/>
      </colorScale>
    </cfRule>
    <cfRule type="colorScale" priority="12885">
      <colorScale>
        <cfvo type="min"/>
        <cfvo type="percentile" val="50"/>
        <cfvo type="max"/>
        <color rgb="FF63BE7B"/>
        <color rgb="FFFFEB84"/>
        <color rgb="FFF8696B"/>
      </colorScale>
    </cfRule>
    <cfRule type="colorScale" priority="12884">
      <colorScale>
        <cfvo type="min"/>
        <cfvo type="percentile" val="50"/>
        <cfvo type="max"/>
        <color rgb="FF63BE7B"/>
        <color rgb="FFFFEB84"/>
        <color rgb="FFF8696B"/>
      </colorScale>
    </cfRule>
  </conditionalFormatting>
  <conditionalFormatting sqref="AE52:AE53">
    <cfRule type="colorScale" priority="6036">
      <colorScale>
        <cfvo type="min"/>
        <cfvo type="percentile" val="50"/>
        <cfvo type="max"/>
        <color rgb="FF63BE7B"/>
        <color rgb="FFFFEB84"/>
        <color rgb="FFF8696B"/>
      </colorScale>
    </cfRule>
    <cfRule type="colorScale" priority="6035">
      <colorScale>
        <cfvo type="min"/>
        <cfvo type="percentile" val="50"/>
        <cfvo type="max"/>
        <color rgb="FF63BE7B"/>
        <color rgb="FFFFEB84"/>
        <color rgb="FFF8696B"/>
      </colorScale>
    </cfRule>
    <cfRule type="colorScale" priority="6034">
      <colorScale>
        <cfvo type="min"/>
        <cfvo type="percentile" val="50"/>
        <cfvo type="max"/>
        <color rgb="FF63BE7B"/>
        <color rgb="FFFFEB84"/>
        <color rgb="FFF8696B"/>
      </colorScale>
    </cfRule>
    <cfRule type="colorScale" priority="6033">
      <colorScale>
        <cfvo type="min"/>
        <cfvo type="percentile" val="50"/>
        <cfvo type="max"/>
        <color rgb="FF63BE7B"/>
        <color rgb="FFFFEB84"/>
        <color rgb="FFF8696B"/>
      </colorScale>
    </cfRule>
    <cfRule type="colorScale" priority="6032">
      <colorScale>
        <cfvo type="min"/>
        <cfvo type="percentile" val="50"/>
        <cfvo type="max"/>
        <color rgb="FF63BE7B"/>
        <color rgb="FFFFEB84"/>
        <color rgb="FFF8696B"/>
      </colorScale>
    </cfRule>
    <cfRule type="colorScale" priority="4016">
      <colorScale>
        <cfvo type="min"/>
        <cfvo type="percentile" val="50"/>
        <cfvo type="max"/>
        <color rgb="FF63BE7B"/>
        <color rgb="FFFFEB84"/>
        <color rgb="FFF8696B"/>
      </colorScale>
    </cfRule>
    <cfRule type="colorScale" priority="4017">
      <colorScale>
        <cfvo type="min"/>
        <cfvo type="percentile" val="50"/>
        <cfvo type="max"/>
        <color rgb="FF63BE7B"/>
        <color rgb="FFFFEB84"/>
        <color rgb="FFF8696B"/>
      </colorScale>
    </cfRule>
    <cfRule type="colorScale" priority="4018">
      <colorScale>
        <cfvo type="min"/>
        <cfvo type="percentile" val="50"/>
        <cfvo type="max"/>
        <color rgb="FF63BE7B"/>
        <color rgb="FFFFEB84"/>
        <color rgb="FFF8696B"/>
      </colorScale>
    </cfRule>
    <cfRule type="colorScale" priority="4019">
      <colorScale>
        <cfvo type="min"/>
        <cfvo type="percentile" val="50"/>
        <cfvo type="max"/>
        <color rgb="FF63BE7B"/>
        <color rgb="FFFFEB84"/>
        <color rgb="FFF8696B"/>
      </colorScale>
    </cfRule>
    <cfRule type="colorScale" priority="4020">
      <colorScale>
        <cfvo type="min"/>
        <cfvo type="percentile" val="50"/>
        <cfvo type="max"/>
        <color rgb="FF63BE7B"/>
        <color rgb="FFFFEB84"/>
        <color rgb="FFF8696B"/>
      </colorScale>
    </cfRule>
    <cfRule type="colorScale" priority="4021">
      <colorScale>
        <cfvo type="min"/>
        <cfvo type="percentile" val="50"/>
        <cfvo type="max"/>
        <color rgb="FF63BE7B"/>
        <color rgb="FFFFEB84"/>
        <color rgb="FFF8696B"/>
      </colorScale>
    </cfRule>
    <cfRule type="colorScale" priority="4022">
      <colorScale>
        <cfvo type="min"/>
        <cfvo type="percentile" val="50"/>
        <cfvo type="max"/>
        <color rgb="FF63BE7B"/>
        <color rgb="FFFFEB84"/>
        <color rgb="FFF8696B"/>
      </colorScale>
    </cfRule>
    <cfRule type="colorScale" priority="4023">
      <colorScale>
        <cfvo type="min"/>
        <cfvo type="percentile" val="50"/>
        <cfvo type="max"/>
        <color rgb="FF63BE7B"/>
        <color rgb="FFFFEB84"/>
        <color rgb="FFF8696B"/>
      </colorScale>
    </cfRule>
    <cfRule type="colorScale" priority="4024">
      <colorScale>
        <cfvo type="min"/>
        <cfvo type="percentile" val="50"/>
        <cfvo type="max"/>
        <color rgb="FF63BE7B"/>
        <color rgb="FFFFEB84"/>
        <color rgb="FFF8696B"/>
      </colorScale>
    </cfRule>
    <cfRule type="colorScale" priority="4025">
      <colorScale>
        <cfvo type="min"/>
        <cfvo type="percentile" val="50"/>
        <cfvo type="max"/>
        <color rgb="FF63BE7B"/>
        <color rgb="FFFFEB84"/>
        <color rgb="FFF8696B"/>
      </colorScale>
    </cfRule>
    <cfRule type="colorScale" priority="7172">
      <colorScale>
        <cfvo type="min"/>
        <cfvo type="percentile" val="50"/>
        <cfvo type="max"/>
        <color rgb="FF63BE7B"/>
        <color rgb="FFFFEB84"/>
        <color rgb="FFF8696B"/>
      </colorScale>
    </cfRule>
    <cfRule type="colorScale" priority="6833">
      <colorScale>
        <cfvo type="min"/>
        <cfvo type="percentile" val="50"/>
        <cfvo type="max"/>
        <color rgb="FF63BE7B"/>
        <color rgb="FFFFEB84"/>
        <color rgb="FFF8696B"/>
      </colorScale>
    </cfRule>
    <cfRule type="colorScale" priority="6048">
      <colorScale>
        <cfvo type="min"/>
        <cfvo type="percentile" val="50"/>
        <cfvo type="max"/>
        <color rgb="FF63BE7B"/>
        <color rgb="FFFFEB84"/>
        <color rgb="FFF8696B"/>
      </colorScale>
    </cfRule>
    <cfRule type="colorScale" priority="6050">
      <colorScale>
        <cfvo type="min"/>
        <cfvo type="percentile" val="50"/>
        <cfvo type="max"/>
        <color rgb="FF63BE7B"/>
        <color rgb="FFFFEB84"/>
        <color rgb="FFF8696B"/>
      </colorScale>
    </cfRule>
    <cfRule type="colorScale" priority="7175">
      <colorScale>
        <cfvo type="min"/>
        <cfvo type="percentile" val="50"/>
        <cfvo type="max"/>
        <color rgb="FF63BE7B"/>
        <color rgb="FFFFEB84"/>
        <color rgb="FFF8696B"/>
      </colorScale>
    </cfRule>
    <cfRule type="colorScale" priority="7174">
      <colorScale>
        <cfvo type="min"/>
        <cfvo type="percentile" val="50"/>
        <cfvo type="max"/>
        <color rgb="FF63BE7B"/>
        <color rgb="FFFFEB84"/>
        <color rgb="FFF8696B"/>
      </colorScale>
    </cfRule>
    <cfRule type="colorScale" priority="7173">
      <colorScale>
        <cfvo type="min"/>
        <cfvo type="percentile" val="50"/>
        <cfvo type="max"/>
        <color rgb="FF63BE7B"/>
        <color rgb="FFFFEB84"/>
        <color rgb="FFF8696B"/>
      </colorScale>
    </cfRule>
    <cfRule type="colorScale" priority="6843">
      <colorScale>
        <cfvo type="min"/>
        <cfvo type="percentile" val="50"/>
        <cfvo type="max"/>
        <color rgb="FF63BE7B"/>
        <color rgb="FFFFEB84"/>
        <color rgb="FFF8696B"/>
      </colorScale>
    </cfRule>
    <cfRule type="colorScale" priority="6039">
      <colorScale>
        <cfvo type="min"/>
        <cfvo type="percentile" val="50"/>
        <cfvo type="max"/>
        <color rgb="FF63BE7B"/>
        <color rgb="FFFFEB84"/>
        <color rgb="FFF8696B"/>
      </colorScale>
    </cfRule>
    <cfRule type="colorScale" priority="6850">
      <colorScale>
        <cfvo type="min"/>
        <cfvo type="percentile" val="50"/>
        <cfvo type="max"/>
        <color rgb="FF63BE7B"/>
        <color rgb="FFFFEB84"/>
        <color rgb="FFF8696B"/>
      </colorScale>
    </cfRule>
    <cfRule type="colorScale" priority="6849">
      <colorScale>
        <cfvo type="min"/>
        <cfvo type="percentile" val="50"/>
        <cfvo type="max"/>
        <color rgb="FF63BE7B"/>
        <color rgb="FFFFEB84"/>
        <color rgb="FFF8696B"/>
      </colorScale>
    </cfRule>
    <cfRule type="colorScale" priority="6848">
      <colorScale>
        <cfvo type="min"/>
        <cfvo type="percentile" val="50"/>
        <cfvo type="max"/>
        <color rgb="FF63BE7B"/>
        <color rgb="FFFFEB84"/>
        <color rgb="FFF8696B"/>
      </colorScale>
    </cfRule>
    <cfRule type="colorScale" priority="6847">
      <colorScale>
        <cfvo type="min"/>
        <cfvo type="percentile" val="50"/>
        <cfvo type="max"/>
        <color rgb="FF63BE7B"/>
        <color rgb="FFFFEB84"/>
        <color rgb="FFF8696B"/>
      </colorScale>
    </cfRule>
    <cfRule type="colorScale" priority="6846">
      <colorScale>
        <cfvo type="min"/>
        <cfvo type="percentile" val="50"/>
        <cfvo type="max"/>
        <color rgb="FF63BE7B"/>
        <color rgb="FFFFEB84"/>
        <color rgb="FFF8696B"/>
      </colorScale>
    </cfRule>
    <cfRule type="colorScale" priority="6845">
      <colorScale>
        <cfvo type="min"/>
        <cfvo type="percentile" val="50"/>
        <cfvo type="max"/>
        <color rgb="FF63BE7B"/>
        <color rgb="FFFFEB84"/>
        <color rgb="FFF8696B"/>
      </colorScale>
    </cfRule>
    <cfRule type="colorScale" priority="6844">
      <colorScale>
        <cfvo type="min"/>
        <cfvo type="percentile" val="50"/>
        <cfvo type="max"/>
        <color rgb="FF63BE7B"/>
        <color rgb="FFFFEB84"/>
        <color rgb="FFF8696B"/>
      </colorScale>
    </cfRule>
    <cfRule type="colorScale" priority="6049">
      <colorScale>
        <cfvo type="min"/>
        <cfvo type="percentile" val="50"/>
        <cfvo type="max"/>
        <color rgb="FF63BE7B"/>
        <color rgb="FFFFEB84"/>
        <color rgb="FFF8696B"/>
      </colorScale>
    </cfRule>
    <cfRule type="colorScale" priority="6842">
      <colorScale>
        <cfvo type="min"/>
        <cfvo type="percentile" val="50"/>
        <cfvo type="max"/>
        <color rgb="FF63BE7B"/>
        <color rgb="FFFFEB84"/>
        <color rgb="FFF8696B"/>
      </colorScale>
    </cfRule>
    <cfRule type="colorScale" priority="6841">
      <colorScale>
        <cfvo type="min"/>
        <cfvo type="percentile" val="50"/>
        <cfvo type="max"/>
        <color rgb="FF63BE7B"/>
        <color rgb="FFFFEB84"/>
        <color rgb="FFF8696B"/>
      </colorScale>
    </cfRule>
    <cfRule type="colorScale" priority="6840">
      <colorScale>
        <cfvo type="min"/>
        <cfvo type="percentile" val="50"/>
        <cfvo type="max"/>
        <color rgb="FF63BE7B"/>
        <color rgb="FFFFEB84"/>
        <color rgb="FFF8696B"/>
      </colorScale>
    </cfRule>
    <cfRule type="colorScale" priority="6839">
      <colorScale>
        <cfvo type="min"/>
        <cfvo type="percentile" val="50"/>
        <cfvo type="max"/>
        <color rgb="FF63BE7B"/>
        <color rgb="FFFFEB84"/>
        <color rgb="FFF8696B"/>
      </colorScale>
    </cfRule>
    <cfRule type="colorScale" priority="6838">
      <colorScale>
        <cfvo type="min"/>
        <cfvo type="percentile" val="50"/>
        <cfvo type="max"/>
        <color rgb="FF63BE7B"/>
        <color rgb="FFFFEB84"/>
        <color rgb="FFF8696B"/>
      </colorScale>
    </cfRule>
    <cfRule type="colorScale" priority="6837">
      <colorScale>
        <cfvo type="min"/>
        <cfvo type="percentile" val="50"/>
        <cfvo type="max"/>
        <color rgb="FF63BE7B"/>
        <color rgb="FFFFEB84"/>
        <color rgb="FFF8696B"/>
      </colorScale>
    </cfRule>
    <cfRule type="colorScale" priority="4040">
      <colorScale>
        <cfvo type="min"/>
        <cfvo type="percentile" val="50"/>
        <cfvo type="max"/>
        <color rgb="FF63BE7B"/>
        <color rgb="FFFFEB84"/>
        <color rgb="FFF8696B"/>
      </colorScale>
    </cfRule>
    <cfRule type="colorScale" priority="6836">
      <colorScale>
        <cfvo type="min"/>
        <cfvo type="percentile" val="50"/>
        <cfvo type="max"/>
        <color rgb="FF63BE7B"/>
        <color rgb="FFFFEB84"/>
        <color rgb="FFF8696B"/>
      </colorScale>
    </cfRule>
    <cfRule type="colorScale" priority="7250">
      <colorScale>
        <cfvo type="min"/>
        <cfvo type="percentile" val="50"/>
        <cfvo type="max"/>
        <color rgb="FF63BE7B"/>
        <color rgb="FFFFEB84"/>
        <color rgb="FFF8696B"/>
      </colorScale>
    </cfRule>
    <cfRule type="colorScale" priority="6047">
      <colorScale>
        <cfvo type="min"/>
        <cfvo type="percentile" val="50"/>
        <cfvo type="max"/>
        <color rgb="FF63BE7B"/>
        <color rgb="FFFFEB84"/>
        <color rgb="FFF8696B"/>
      </colorScale>
    </cfRule>
    <cfRule type="colorScale" priority="4039">
      <colorScale>
        <cfvo type="min"/>
        <cfvo type="percentile" val="50"/>
        <cfvo type="max"/>
        <color rgb="FF63BE7B"/>
        <color rgb="FFFFEB84"/>
        <color rgb="FFF8696B"/>
      </colorScale>
    </cfRule>
    <cfRule type="colorScale" priority="4038">
      <colorScale>
        <cfvo type="min"/>
        <cfvo type="percentile" val="50"/>
        <cfvo type="max"/>
        <color rgb="FF63BE7B"/>
        <color rgb="FFFFEB84"/>
        <color rgb="FFF8696B"/>
      </colorScale>
    </cfRule>
    <cfRule type="colorScale" priority="4037">
      <colorScale>
        <cfvo type="min"/>
        <cfvo type="percentile" val="50"/>
        <cfvo type="max"/>
        <color rgb="FF63BE7B"/>
        <color rgb="FFFFEB84"/>
        <color rgb="FFF8696B"/>
      </colorScale>
    </cfRule>
    <cfRule type="colorScale" priority="4036">
      <colorScale>
        <cfvo type="min"/>
        <cfvo type="percentile" val="50"/>
        <cfvo type="max"/>
        <color rgb="FF63BE7B"/>
        <color rgb="FFFFEB84"/>
        <color rgb="FFF8696B"/>
      </colorScale>
    </cfRule>
    <cfRule type="colorScale" priority="4035">
      <colorScale>
        <cfvo type="min"/>
        <cfvo type="percentile" val="50"/>
        <cfvo type="max"/>
        <color rgb="FF63BE7B"/>
        <color rgb="FFFFEB84"/>
        <color rgb="FFF8696B"/>
      </colorScale>
    </cfRule>
    <cfRule type="colorScale" priority="6835">
      <colorScale>
        <cfvo type="min"/>
        <cfvo type="percentile" val="50"/>
        <cfvo type="max"/>
        <color rgb="FF63BE7B"/>
        <color rgb="FFFFEB84"/>
        <color rgb="FFF8696B"/>
      </colorScale>
    </cfRule>
    <cfRule type="colorScale" priority="6834">
      <colorScale>
        <cfvo type="min"/>
        <cfvo type="percentile" val="50"/>
        <cfvo type="max"/>
        <color rgb="FF63BE7B"/>
        <color rgb="FFFFEB84"/>
        <color rgb="FFF8696B"/>
      </colorScale>
    </cfRule>
    <cfRule type="colorScale" priority="4015">
      <colorScale>
        <cfvo type="min"/>
        <cfvo type="percentile" val="50"/>
        <cfvo type="max"/>
        <color rgb="FF63BE7B"/>
        <color rgb="FFFFEB84"/>
        <color rgb="FFF8696B"/>
      </colorScale>
    </cfRule>
    <cfRule type="colorScale" priority="4034">
      <colorScale>
        <cfvo type="min"/>
        <cfvo type="percentile" val="50"/>
        <cfvo type="max"/>
        <color rgb="FF63BE7B"/>
        <color rgb="FFFFEB84"/>
        <color rgb="FFF8696B"/>
      </colorScale>
    </cfRule>
    <cfRule type="colorScale" priority="4033">
      <colorScale>
        <cfvo type="min"/>
        <cfvo type="percentile" val="50"/>
        <cfvo type="max"/>
        <color rgb="FF63BE7B"/>
        <color rgb="FFFFEB84"/>
        <color rgb="FFF8696B"/>
      </colorScale>
    </cfRule>
    <cfRule type="colorScale" priority="4032">
      <colorScale>
        <cfvo type="min"/>
        <cfvo type="percentile" val="50"/>
        <cfvo type="max"/>
        <color rgb="FF63BE7B"/>
        <color rgb="FFFFEB84"/>
        <color rgb="FFF8696B"/>
      </colorScale>
    </cfRule>
    <cfRule type="colorScale" priority="4031">
      <colorScale>
        <cfvo type="min"/>
        <cfvo type="percentile" val="50"/>
        <cfvo type="max"/>
        <color rgb="FF63BE7B"/>
        <color rgb="FFFFEB84"/>
        <color rgb="FFF8696B"/>
      </colorScale>
    </cfRule>
    <cfRule type="colorScale" priority="4030">
      <colorScale>
        <cfvo type="min"/>
        <cfvo type="percentile" val="50"/>
        <cfvo type="max"/>
        <color rgb="FF63BE7B"/>
        <color rgb="FFFFEB84"/>
        <color rgb="FFF8696B"/>
      </colorScale>
    </cfRule>
    <cfRule type="colorScale" priority="6046">
      <colorScale>
        <cfvo type="min"/>
        <cfvo type="percentile" val="50"/>
        <cfvo type="max"/>
        <color rgb="FF63BE7B"/>
        <color rgb="FFFFEB84"/>
        <color rgb="FFF8696B"/>
      </colorScale>
    </cfRule>
    <cfRule type="colorScale" priority="6045">
      <colorScale>
        <cfvo type="min"/>
        <cfvo type="percentile" val="50"/>
        <cfvo type="max"/>
        <color rgb="FF63BE7B"/>
        <color rgb="FFFFEB84"/>
        <color rgb="FFF8696B"/>
      </colorScale>
    </cfRule>
    <cfRule type="colorScale" priority="6044">
      <colorScale>
        <cfvo type="min"/>
        <cfvo type="percentile" val="50"/>
        <cfvo type="max"/>
        <color rgb="FF63BE7B"/>
        <color rgb="FFFFEB84"/>
        <color rgb="FFF8696B"/>
      </colorScale>
    </cfRule>
    <cfRule type="colorScale" priority="6043">
      <colorScale>
        <cfvo type="min"/>
        <cfvo type="percentile" val="50"/>
        <cfvo type="max"/>
        <color rgb="FF63BE7B"/>
        <color rgb="FFFFEB84"/>
        <color rgb="FFF8696B"/>
      </colorScale>
    </cfRule>
    <cfRule type="colorScale" priority="4029">
      <colorScale>
        <cfvo type="min"/>
        <cfvo type="percentile" val="50"/>
        <cfvo type="max"/>
        <color rgb="FF63BE7B"/>
        <color rgb="FFFFEB84"/>
        <color rgb="FFF8696B"/>
      </colorScale>
    </cfRule>
    <cfRule type="colorScale" priority="4028">
      <colorScale>
        <cfvo type="min"/>
        <cfvo type="percentile" val="50"/>
        <cfvo type="max"/>
        <color rgb="FF63BE7B"/>
        <color rgb="FFFFEB84"/>
        <color rgb="FFF8696B"/>
      </colorScale>
    </cfRule>
    <cfRule type="colorScale" priority="6042">
      <colorScale>
        <cfvo type="min"/>
        <cfvo type="percentile" val="50"/>
        <cfvo type="max"/>
        <color rgb="FF63BE7B"/>
        <color rgb="FFFFEB84"/>
        <color rgb="FFF8696B"/>
      </colorScale>
    </cfRule>
    <cfRule type="colorScale" priority="6041">
      <colorScale>
        <cfvo type="min"/>
        <cfvo type="percentile" val="50"/>
        <cfvo type="max"/>
        <color rgb="FF63BE7B"/>
        <color rgb="FFFFEB84"/>
        <color rgb="FFF8696B"/>
      </colorScale>
    </cfRule>
    <cfRule type="colorScale" priority="6038">
      <colorScale>
        <cfvo type="min"/>
        <cfvo type="percentile" val="50"/>
        <cfvo type="max"/>
        <color rgb="FF63BE7B"/>
        <color rgb="FFFFEB84"/>
        <color rgb="FFF8696B"/>
      </colorScale>
    </cfRule>
    <cfRule type="colorScale" priority="6037">
      <colorScale>
        <cfvo type="min"/>
        <cfvo type="percentile" val="50"/>
        <cfvo type="max"/>
        <color rgb="FF63BE7B"/>
        <color rgb="FFFFEB84"/>
        <color rgb="FFF8696B"/>
      </colorScale>
    </cfRule>
    <cfRule type="colorScale" priority="6040">
      <colorScale>
        <cfvo type="min"/>
        <cfvo type="percentile" val="50"/>
        <cfvo type="max"/>
        <color rgb="FF63BE7B"/>
        <color rgb="FFFFEB84"/>
        <color rgb="FFF8696B"/>
      </colorScale>
    </cfRule>
    <cfRule type="colorScale" priority="4027">
      <colorScale>
        <cfvo type="min"/>
        <cfvo type="percentile" val="50"/>
        <cfvo type="max"/>
        <color rgb="FF63BE7B"/>
        <color rgb="FFFFEB84"/>
        <color rgb="FFF8696B"/>
      </colorScale>
    </cfRule>
    <cfRule type="colorScale" priority="4026">
      <colorScale>
        <cfvo type="min"/>
        <cfvo type="percentile" val="50"/>
        <cfvo type="max"/>
        <color rgb="FF63BE7B"/>
        <color rgb="FFFFEB84"/>
        <color rgb="FFF8696B"/>
      </colorScale>
    </cfRule>
  </conditionalFormatting>
  <conditionalFormatting sqref="AE54:AE61">
    <cfRule type="colorScale" priority="28">
      <colorScale>
        <cfvo type="min"/>
        <cfvo type="percentile" val="50"/>
        <cfvo type="max"/>
        <color rgb="FF63BE7B"/>
        <color rgb="FFFFEB84"/>
        <color rgb="FFF8696B"/>
      </colorScale>
    </cfRule>
  </conditionalFormatting>
  <conditionalFormatting sqref="AE65:AE71">
    <cfRule type="colorScale" priority="12505">
      <colorScale>
        <cfvo type="min"/>
        <cfvo type="percentile" val="50"/>
        <cfvo type="max"/>
        <color rgb="FF63BE7B"/>
        <color rgb="FFFFEB84"/>
        <color rgb="FFF8696B"/>
      </colorScale>
    </cfRule>
    <cfRule type="colorScale" priority="12504">
      <colorScale>
        <cfvo type="min"/>
        <cfvo type="percentile" val="50"/>
        <cfvo type="max"/>
        <color rgb="FF63BE7B"/>
        <color rgb="FFFFEB84"/>
        <color rgb="FFF8696B"/>
      </colorScale>
    </cfRule>
    <cfRule type="colorScale" priority="12503">
      <colorScale>
        <cfvo type="min"/>
        <cfvo type="percentile" val="50"/>
        <cfvo type="max"/>
        <color rgb="FF63BE7B"/>
        <color rgb="FFFFEB84"/>
        <color rgb="FFF8696B"/>
      </colorScale>
    </cfRule>
  </conditionalFormatting>
  <conditionalFormatting sqref="AE65:AE80">
    <cfRule type="colorScale" priority="12580">
      <colorScale>
        <cfvo type="min"/>
        <cfvo type="percentile" val="50"/>
        <cfvo type="max"/>
        <color rgb="FF63BE7B"/>
        <color rgb="FFFFEB84"/>
        <color rgb="FFF8696B"/>
      </colorScale>
    </cfRule>
  </conditionalFormatting>
  <conditionalFormatting sqref="AE66:AE71">
    <cfRule type="colorScale" priority="12506">
      <colorScale>
        <cfvo type="min"/>
        <cfvo type="percentile" val="50"/>
        <cfvo type="max"/>
        <color rgb="FF63BE7B"/>
        <color rgb="FFFFEB84"/>
        <color rgb="FFF8696B"/>
      </colorScale>
    </cfRule>
  </conditionalFormatting>
  <conditionalFormatting sqref="AE72:AE80">
    <cfRule type="colorScale" priority="12389">
      <colorScale>
        <cfvo type="min"/>
        <cfvo type="percentile" val="50"/>
        <cfvo type="max"/>
        <color rgb="FF63BE7B"/>
        <color rgb="FFFFEB84"/>
        <color rgb="FFF8696B"/>
      </colorScale>
    </cfRule>
    <cfRule type="colorScale" priority="12388">
      <colorScale>
        <cfvo type="min"/>
        <cfvo type="percentile" val="50"/>
        <cfvo type="max"/>
        <color rgb="FF63BE7B"/>
        <color rgb="FFFFEB84"/>
        <color rgb="FFF8696B"/>
      </colorScale>
    </cfRule>
    <cfRule type="colorScale" priority="12387">
      <colorScale>
        <cfvo type="min"/>
        <cfvo type="percentile" val="50"/>
        <cfvo type="max"/>
        <color rgb="FF63BE7B"/>
        <color rgb="FFFFEB84"/>
        <color rgb="FFF8696B"/>
      </colorScale>
    </cfRule>
    <cfRule type="colorScale" priority="12386">
      <colorScale>
        <cfvo type="min"/>
        <cfvo type="percentile" val="50"/>
        <cfvo type="max"/>
        <color rgb="FF63BE7B"/>
        <color rgb="FFFFEB84"/>
        <color rgb="FFF8696B"/>
      </colorScale>
    </cfRule>
  </conditionalFormatting>
  <conditionalFormatting sqref="AE81:AE83">
    <cfRule type="colorScale" priority="12278">
      <colorScale>
        <cfvo type="min"/>
        <cfvo type="percentile" val="50"/>
        <cfvo type="max"/>
        <color rgb="FF63BE7B"/>
        <color rgb="FFFFEB84"/>
        <color rgb="FFF8696B"/>
      </colorScale>
    </cfRule>
    <cfRule type="colorScale" priority="12280">
      <colorScale>
        <cfvo type="min"/>
        <cfvo type="percentile" val="50"/>
        <cfvo type="max"/>
        <color rgb="FF63BE7B"/>
        <color rgb="FFFFEB84"/>
        <color rgb="FFF8696B"/>
      </colorScale>
    </cfRule>
    <cfRule type="colorScale" priority="12279">
      <colorScale>
        <cfvo type="min"/>
        <cfvo type="percentile" val="50"/>
        <cfvo type="max"/>
        <color rgb="FF63BE7B"/>
        <color rgb="FFFFEB84"/>
        <color rgb="FFF8696B"/>
      </colorScale>
    </cfRule>
    <cfRule type="colorScale" priority="12281">
      <colorScale>
        <cfvo type="min"/>
        <cfvo type="percentile" val="50"/>
        <cfvo type="max"/>
        <color rgb="FF63BE7B"/>
        <color rgb="FFFFEB84"/>
        <color rgb="FFF8696B"/>
      </colorScale>
    </cfRule>
  </conditionalFormatting>
  <conditionalFormatting sqref="AE84:AE91">
    <cfRule type="colorScale" priority="12106">
      <colorScale>
        <cfvo type="min"/>
        <cfvo type="percentile" val="50"/>
        <cfvo type="max"/>
        <color rgb="FF63BE7B"/>
        <color rgb="FFFFEB84"/>
        <color rgb="FFF8696B"/>
      </colorScale>
    </cfRule>
    <cfRule type="colorScale" priority="12105">
      <colorScale>
        <cfvo type="min"/>
        <cfvo type="percentile" val="50"/>
        <cfvo type="max"/>
        <color rgb="FF63BE7B"/>
        <color rgb="FFFFEB84"/>
        <color rgb="FFF8696B"/>
      </colorScale>
    </cfRule>
    <cfRule type="colorScale" priority="12103">
      <colorScale>
        <cfvo type="min"/>
        <cfvo type="percentile" val="50"/>
        <cfvo type="max"/>
        <color rgb="FF63BE7B"/>
        <color rgb="FFFFEB84"/>
        <color rgb="FFF8696B"/>
      </colorScale>
    </cfRule>
  </conditionalFormatting>
  <conditionalFormatting sqref="AE86">
    <cfRule type="colorScale" priority="12104">
      <colorScale>
        <cfvo type="min"/>
        <cfvo type="percentile" val="50"/>
        <cfvo type="max"/>
        <color rgb="FF63BE7B"/>
        <color rgb="FFFFEB84"/>
        <color rgb="FFF8696B"/>
      </colorScale>
    </cfRule>
  </conditionalFormatting>
  <conditionalFormatting sqref="AE96:AE102">
    <cfRule type="colorScale" priority="11897">
      <colorScale>
        <cfvo type="min"/>
        <cfvo type="percentile" val="50"/>
        <cfvo type="max"/>
        <color rgb="FF63BE7B"/>
        <color rgb="FFFFEB84"/>
        <color rgb="FFF8696B"/>
      </colorScale>
    </cfRule>
    <cfRule type="colorScale" priority="11898">
      <colorScale>
        <cfvo type="min"/>
        <cfvo type="percentile" val="50"/>
        <cfvo type="max"/>
        <color rgb="FF63BE7B"/>
        <color rgb="FFFFEB84"/>
        <color rgb="FFF8696B"/>
      </colorScale>
    </cfRule>
    <cfRule type="colorScale" priority="11899">
      <colorScale>
        <cfvo type="min"/>
        <cfvo type="percentile" val="50"/>
        <cfvo type="max"/>
        <color rgb="FF63BE7B"/>
        <color rgb="FFFFEB84"/>
        <color rgb="FFF8696B"/>
      </colorScale>
    </cfRule>
  </conditionalFormatting>
  <conditionalFormatting sqref="AE96:AE111">
    <cfRule type="colorScale" priority="11974">
      <colorScale>
        <cfvo type="min"/>
        <cfvo type="percentile" val="50"/>
        <cfvo type="max"/>
        <color rgb="FF63BE7B"/>
        <color rgb="FFFFEB84"/>
        <color rgb="FFF8696B"/>
      </colorScale>
    </cfRule>
  </conditionalFormatting>
  <conditionalFormatting sqref="AE97:AE102">
    <cfRule type="colorScale" priority="11900">
      <colorScale>
        <cfvo type="min"/>
        <cfvo type="percentile" val="50"/>
        <cfvo type="max"/>
        <color rgb="FF63BE7B"/>
        <color rgb="FFFFEB84"/>
        <color rgb="FFF8696B"/>
      </colorScale>
    </cfRule>
  </conditionalFormatting>
  <conditionalFormatting sqref="AE103:AE111">
    <cfRule type="colorScale" priority="11780">
      <colorScale>
        <cfvo type="min"/>
        <cfvo type="percentile" val="50"/>
        <cfvo type="max"/>
        <color rgb="FF63BE7B"/>
        <color rgb="FFFFEB84"/>
        <color rgb="FFF8696B"/>
      </colorScale>
    </cfRule>
    <cfRule type="colorScale" priority="11781">
      <colorScale>
        <cfvo type="min"/>
        <cfvo type="percentile" val="50"/>
        <cfvo type="max"/>
        <color rgb="FF63BE7B"/>
        <color rgb="FFFFEB84"/>
        <color rgb="FFF8696B"/>
      </colorScale>
    </cfRule>
    <cfRule type="colorScale" priority="11782">
      <colorScale>
        <cfvo type="min"/>
        <cfvo type="percentile" val="50"/>
        <cfvo type="max"/>
        <color rgb="FF63BE7B"/>
        <color rgb="FFFFEB84"/>
        <color rgb="FFF8696B"/>
      </colorScale>
    </cfRule>
    <cfRule type="colorScale" priority="11783">
      <colorScale>
        <cfvo type="min"/>
        <cfvo type="percentile" val="50"/>
        <cfvo type="max"/>
        <color rgb="FF63BE7B"/>
        <color rgb="FFFFEB84"/>
        <color rgb="FFF8696B"/>
      </colorScale>
    </cfRule>
  </conditionalFormatting>
  <conditionalFormatting sqref="AE112:AE114">
    <cfRule type="colorScale" priority="11678">
      <colorScale>
        <cfvo type="min"/>
        <cfvo type="percentile" val="50"/>
        <cfvo type="max"/>
        <color rgb="FF63BE7B"/>
        <color rgb="FFFFEB84"/>
        <color rgb="FFF8696B"/>
      </colorScale>
    </cfRule>
    <cfRule type="colorScale" priority="11677">
      <colorScale>
        <cfvo type="min"/>
        <cfvo type="percentile" val="50"/>
        <cfvo type="max"/>
        <color rgb="FF63BE7B"/>
        <color rgb="FFFFEB84"/>
        <color rgb="FFF8696B"/>
      </colorScale>
    </cfRule>
    <cfRule type="colorScale" priority="11676">
      <colorScale>
        <cfvo type="min"/>
        <cfvo type="percentile" val="50"/>
        <cfvo type="max"/>
        <color rgb="FF63BE7B"/>
        <color rgb="FFFFEB84"/>
        <color rgb="FFF8696B"/>
      </colorScale>
    </cfRule>
    <cfRule type="colorScale" priority="11675">
      <colorScale>
        <cfvo type="min"/>
        <cfvo type="percentile" val="50"/>
        <cfvo type="max"/>
        <color rgb="FF63BE7B"/>
        <color rgb="FFFFEB84"/>
        <color rgb="FFF8696B"/>
      </colorScale>
    </cfRule>
  </conditionalFormatting>
  <conditionalFormatting sqref="AE115:AE122">
    <cfRule type="colorScale" priority="11503">
      <colorScale>
        <cfvo type="min"/>
        <cfvo type="percentile" val="50"/>
        <cfvo type="max"/>
        <color rgb="FF63BE7B"/>
        <color rgb="FFFFEB84"/>
        <color rgb="FFF8696B"/>
      </colorScale>
    </cfRule>
    <cfRule type="colorScale" priority="11502">
      <colorScale>
        <cfvo type="min"/>
        <cfvo type="percentile" val="50"/>
        <cfvo type="max"/>
        <color rgb="FF63BE7B"/>
        <color rgb="FFFFEB84"/>
        <color rgb="FFF8696B"/>
      </colorScale>
    </cfRule>
    <cfRule type="colorScale" priority="11500">
      <colorScale>
        <cfvo type="min"/>
        <cfvo type="percentile" val="50"/>
        <cfvo type="max"/>
        <color rgb="FF63BE7B"/>
        <color rgb="FFFFEB84"/>
        <color rgb="FFF8696B"/>
      </colorScale>
    </cfRule>
  </conditionalFormatting>
  <conditionalFormatting sqref="AE117">
    <cfRule type="colorScale" priority="11501">
      <colorScale>
        <cfvo type="min"/>
        <cfvo type="percentile" val="50"/>
        <cfvo type="max"/>
        <color rgb="FF63BE7B"/>
        <color rgb="FFFFEB84"/>
        <color rgb="FFF8696B"/>
      </colorScale>
    </cfRule>
  </conditionalFormatting>
  <conditionalFormatting sqref="AE54:AF61">
    <cfRule type="colorScale" priority="26">
      <colorScale>
        <cfvo type="min"/>
        <cfvo type="percentile" val="50"/>
        <cfvo type="max"/>
        <color rgb="FF63BE7B"/>
        <color rgb="FFFFEB84"/>
        <color rgb="FFF8696B"/>
      </colorScale>
    </cfRule>
  </conditionalFormatting>
  <conditionalFormatting sqref="AF35:AF37">
    <cfRule type="colorScale" priority="9812">
      <colorScale>
        <cfvo type="min"/>
        <cfvo type="percentile" val="50"/>
        <cfvo type="max"/>
        <color rgb="FF63BE7B"/>
        <color rgb="FFFFEB84"/>
        <color rgb="FFF8696B"/>
      </colorScale>
    </cfRule>
    <cfRule type="colorScale" priority="10966">
      <colorScale>
        <cfvo type="min"/>
        <cfvo type="percentile" val="50"/>
        <cfvo type="max"/>
        <color rgb="FF63BE7B"/>
        <color rgb="FFFFEB84"/>
        <color rgb="FFF8696B"/>
      </colorScale>
    </cfRule>
    <cfRule type="colorScale" priority="9823">
      <colorScale>
        <cfvo type="min"/>
        <cfvo type="percentile" val="50"/>
        <cfvo type="max"/>
        <color rgb="FF63BE7B"/>
        <color rgb="FFFFEB84"/>
        <color rgb="FFF8696B"/>
      </colorScale>
    </cfRule>
    <cfRule type="colorScale" priority="9822">
      <colorScale>
        <cfvo type="min"/>
        <cfvo type="percentile" val="50"/>
        <cfvo type="max"/>
        <color rgb="FF63BE7B"/>
        <color rgb="FFFFEB84"/>
        <color rgb="FFF8696B"/>
      </colorScale>
    </cfRule>
    <cfRule type="colorScale" priority="9821">
      <colorScale>
        <cfvo type="min"/>
        <cfvo type="percentile" val="50"/>
        <cfvo type="max"/>
        <color rgb="FF63BE7B"/>
        <color rgb="FFFFEB84"/>
        <color rgb="FFF8696B"/>
      </colorScale>
    </cfRule>
    <cfRule type="colorScale" priority="9820">
      <colorScale>
        <cfvo type="min"/>
        <cfvo type="percentile" val="50"/>
        <cfvo type="max"/>
        <color rgb="FF63BE7B"/>
        <color rgb="FFFFEB84"/>
        <color rgb="FFF8696B"/>
      </colorScale>
    </cfRule>
    <cfRule type="colorScale" priority="9826">
      <colorScale>
        <cfvo type="min"/>
        <cfvo type="percentile" val="50"/>
        <cfvo type="max"/>
        <color rgb="FF63BE7B"/>
        <color rgb="FFFFEB84"/>
        <color rgb="FFF8696B"/>
      </colorScale>
    </cfRule>
    <cfRule type="colorScale" priority="9825">
      <colorScale>
        <cfvo type="min"/>
        <cfvo type="percentile" val="50"/>
        <cfvo type="max"/>
        <color rgb="FF63BE7B"/>
        <color rgb="FFFFEB84"/>
        <color rgb="FFF8696B"/>
      </colorScale>
    </cfRule>
  </conditionalFormatting>
  <conditionalFormatting sqref="AF35:AF41">
    <cfRule type="colorScale" priority="9835">
      <colorScale>
        <cfvo type="min"/>
        <cfvo type="percentile" val="50"/>
        <cfvo type="max"/>
        <color rgb="FF63BE7B"/>
        <color rgb="FFFFEB84"/>
        <color rgb="FFF8696B"/>
      </colorScale>
    </cfRule>
    <cfRule type="colorScale" priority="9836">
      <colorScale>
        <cfvo type="min"/>
        <cfvo type="percentile" val="50"/>
        <cfvo type="max"/>
        <color rgb="FF63BE7B"/>
        <color rgb="FFFFEB84"/>
        <color rgb="FFF8696B"/>
      </colorScale>
    </cfRule>
    <cfRule type="colorScale" priority="10970">
      <colorScale>
        <cfvo type="min"/>
        <cfvo type="percentile" val="50"/>
        <cfvo type="max"/>
        <color rgb="FF63BE7B"/>
        <color rgb="FFFFEB84"/>
        <color rgb="FFF8696B"/>
      </colorScale>
    </cfRule>
    <cfRule type="colorScale" priority="10969">
      <colorScale>
        <cfvo type="min"/>
        <cfvo type="percentile" val="50"/>
        <cfvo type="max"/>
        <color rgb="FF63BE7B"/>
        <color rgb="FFFFEB84"/>
        <color rgb="FFF8696B"/>
      </colorScale>
    </cfRule>
    <cfRule type="colorScale" priority="9816">
      <colorScale>
        <cfvo type="min"/>
        <cfvo type="percentile" val="50"/>
        <cfvo type="max"/>
        <color rgb="FF63BE7B"/>
        <color rgb="FFFFEB84"/>
        <color rgb="FFF8696B"/>
      </colorScale>
    </cfRule>
    <cfRule type="colorScale" priority="9817">
      <colorScale>
        <cfvo type="min"/>
        <cfvo type="percentile" val="50"/>
        <cfvo type="max"/>
        <color rgb="FF63BE7B"/>
        <color rgb="FFFFEB84"/>
        <color rgb="FFF8696B"/>
      </colorScale>
    </cfRule>
    <cfRule type="colorScale" priority="9818">
      <colorScale>
        <cfvo type="min"/>
        <cfvo type="percentile" val="50"/>
        <cfvo type="max"/>
        <color rgb="FF63BE7B"/>
        <color rgb="FFFFEB84"/>
        <color rgb="FFF8696B"/>
      </colorScale>
    </cfRule>
    <cfRule type="colorScale" priority="9819">
      <colorScale>
        <cfvo type="min"/>
        <cfvo type="percentile" val="50"/>
        <cfvo type="max"/>
        <color rgb="FF63BE7B"/>
        <color rgb="FFFFEB84"/>
        <color rgb="FFF8696B"/>
      </colorScale>
    </cfRule>
    <cfRule type="colorScale" priority="9313">
      <colorScale>
        <cfvo type="min"/>
        <cfvo type="percentile" val="50"/>
        <cfvo type="max"/>
        <color rgb="FFF8696B"/>
        <color rgb="FFFFEB84"/>
        <color rgb="FF63BE7B"/>
      </colorScale>
    </cfRule>
    <cfRule type="colorScale" priority="10980">
      <colorScale>
        <cfvo type="min"/>
        <cfvo type="percentile" val="50"/>
        <cfvo type="max"/>
        <color rgb="FF63BE7B"/>
        <color rgb="FFFFEB84"/>
        <color rgb="FFF8696B"/>
      </colorScale>
    </cfRule>
    <cfRule type="colorScale" priority="9813">
      <colorScale>
        <cfvo type="min"/>
        <cfvo type="percentile" val="50"/>
        <cfvo type="max"/>
        <color rgb="FF63BE7B"/>
        <color rgb="FFFFEB84"/>
        <color rgb="FFF8696B"/>
      </colorScale>
    </cfRule>
    <cfRule type="colorScale" priority="9811">
      <colorScale>
        <cfvo type="min"/>
        <cfvo type="percentile" val="50"/>
        <cfvo type="max"/>
        <color rgb="FF63BE7B"/>
        <color rgb="FFFFEB84"/>
        <color rgb="FFF8696B"/>
      </colorScale>
    </cfRule>
    <cfRule type="colorScale" priority="9810">
      <colorScale>
        <cfvo type="min"/>
        <cfvo type="percentile" val="50"/>
        <cfvo type="max"/>
        <color rgb="FF63BE7B"/>
        <color rgb="FFFFEB84"/>
        <color rgb="FFF8696B"/>
      </colorScale>
    </cfRule>
    <cfRule type="colorScale" priority="10972">
      <colorScale>
        <cfvo type="min"/>
        <cfvo type="percentile" val="50"/>
        <cfvo type="max"/>
        <color rgb="FF63BE7B"/>
        <color rgb="FFFFEB84"/>
        <color rgb="FFF8696B"/>
      </colorScale>
    </cfRule>
    <cfRule type="colorScale" priority="10973">
      <colorScale>
        <cfvo type="min"/>
        <cfvo type="percentile" val="50"/>
        <cfvo type="max"/>
        <color rgb="FF63BE7B"/>
        <color rgb="FFFFEB84"/>
        <color rgb="FFF8696B"/>
      </colorScale>
    </cfRule>
    <cfRule type="colorScale" priority="10974">
      <colorScale>
        <cfvo type="min"/>
        <cfvo type="percentile" val="50"/>
        <cfvo type="max"/>
        <color rgb="FF63BE7B"/>
        <color rgb="FFFFEB84"/>
        <color rgb="FFF8696B"/>
      </colorScale>
    </cfRule>
    <cfRule type="colorScale" priority="10975">
      <colorScale>
        <cfvo type="min"/>
        <cfvo type="percentile" val="50"/>
        <cfvo type="max"/>
        <color rgb="FF63BE7B"/>
        <color rgb="FFFFEB84"/>
        <color rgb="FFF8696B"/>
      </colorScale>
    </cfRule>
    <cfRule type="colorScale" priority="10976">
      <colorScale>
        <cfvo type="min"/>
        <cfvo type="percentile" val="50"/>
        <cfvo type="max"/>
        <color rgb="FF63BE7B"/>
        <color rgb="FFFFEB84"/>
        <color rgb="FFF8696B"/>
      </colorScale>
    </cfRule>
    <cfRule type="colorScale" priority="10977">
      <colorScale>
        <cfvo type="min"/>
        <cfvo type="percentile" val="50"/>
        <cfvo type="max"/>
        <color rgb="FF63BE7B"/>
        <color rgb="FFFFEB84"/>
        <color rgb="FFF8696B"/>
      </colorScale>
    </cfRule>
    <cfRule type="colorScale" priority="10978">
      <colorScale>
        <cfvo type="min"/>
        <cfvo type="percentile" val="50"/>
        <cfvo type="max"/>
        <color rgb="FF63BE7B"/>
        <color rgb="FFFFEB84"/>
        <color rgb="FFF8696B"/>
      </colorScale>
    </cfRule>
    <cfRule type="colorScale" priority="10979">
      <colorScale>
        <cfvo type="min"/>
        <cfvo type="percentile" val="50"/>
        <cfvo type="max"/>
        <color rgb="FF63BE7B"/>
        <color rgb="FFFFEB84"/>
        <color rgb="FFF8696B"/>
      </colorScale>
    </cfRule>
    <cfRule type="colorScale" priority="10981">
      <colorScale>
        <cfvo type="min"/>
        <cfvo type="percentile" val="50"/>
        <cfvo type="max"/>
        <color rgb="FF63BE7B"/>
        <color rgb="FFFFEB84"/>
        <color rgb="FFF8696B"/>
      </colorScale>
    </cfRule>
    <cfRule type="colorScale" priority="10982">
      <colorScale>
        <cfvo type="min"/>
        <cfvo type="percentile" val="50"/>
        <cfvo type="max"/>
        <color rgb="FF63BE7B"/>
        <color rgb="FFFFEB84"/>
        <color rgb="FFF8696B"/>
      </colorScale>
    </cfRule>
    <cfRule type="colorScale" priority="9814">
      <colorScale>
        <cfvo type="min"/>
        <cfvo type="percentile" val="50"/>
        <cfvo type="max"/>
        <color rgb="FF63BE7B"/>
        <color rgb="FFFFEB84"/>
        <color rgb="FFF8696B"/>
      </colorScale>
    </cfRule>
    <cfRule type="colorScale" priority="9815">
      <colorScale>
        <cfvo type="min"/>
        <cfvo type="percentile" val="50"/>
        <cfvo type="max"/>
        <color rgb="FF63BE7B"/>
        <color rgb="FFFFEB84"/>
        <color rgb="FFF8696B"/>
      </colorScale>
    </cfRule>
    <cfRule type="colorScale" priority="10964">
      <colorScale>
        <cfvo type="min"/>
        <cfvo type="percentile" val="50"/>
        <cfvo type="max"/>
        <color rgb="FF63BE7B"/>
        <color rgb="FFFFEB84"/>
        <color rgb="FFF8696B"/>
      </colorScale>
    </cfRule>
    <cfRule type="colorScale" priority="10965">
      <colorScale>
        <cfvo type="min"/>
        <cfvo type="percentile" val="50"/>
        <cfvo type="max"/>
        <color rgb="FF63BE7B"/>
        <color rgb="FFFFEB84"/>
        <color rgb="FFF8696B"/>
      </colorScale>
    </cfRule>
    <cfRule type="colorScale" priority="13109">
      <colorScale>
        <cfvo type="min"/>
        <cfvo type="percentile" val="50"/>
        <cfvo type="max"/>
        <color rgb="FF63BE7B"/>
        <color rgb="FFFFEB84"/>
        <color rgb="FFF8696B"/>
      </colorScale>
    </cfRule>
    <cfRule type="colorScale" priority="13108">
      <colorScale>
        <cfvo type="min"/>
        <cfvo type="percentile" val="50"/>
        <cfvo type="max"/>
        <color rgb="FF63BE7B"/>
        <color rgb="FFFFEB84"/>
        <color rgb="FFF8696B"/>
      </colorScale>
    </cfRule>
    <cfRule type="colorScale" priority="13107">
      <colorScale>
        <cfvo type="min"/>
        <cfvo type="percentile" val="50"/>
        <cfvo type="max"/>
        <color rgb="FF63BE7B"/>
        <color rgb="FFFFEB84"/>
        <color rgb="FFF8696B"/>
      </colorScale>
    </cfRule>
    <cfRule type="colorScale" priority="10967">
      <colorScale>
        <cfvo type="min"/>
        <cfvo type="percentile" val="50"/>
        <cfvo type="max"/>
        <color rgb="FF63BE7B"/>
        <color rgb="FFFFEB84"/>
        <color rgb="FFF8696B"/>
      </colorScale>
    </cfRule>
    <cfRule type="colorScale" priority="10968">
      <colorScale>
        <cfvo type="min"/>
        <cfvo type="percentile" val="50"/>
        <cfvo type="max"/>
        <color rgb="FF63BE7B"/>
        <color rgb="FFFFEB84"/>
        <color rgb="FFF8696B"/>
      </colorScale>
    </cfRule>
    <cfRule type="colorScale" priority="10971">
      <colorScale>
        <cfvo type="min"/>
        <cfvo type="percentile" val="50"/>
        <cfvo type="max"/>
        <color rgb="FF63BE7B"/>
        <color rgb="FFFFEB84"/>
        <color rgb="FFF8696B"/>
      </colorScale>
    </cfRule>
    <cfRule type="colorScale" priority="9827">
      <colorScale>
        <cfvo type="min"/>
        <cfvo type="percentile" val="50"/>
        <cfvo type="max"/>
        <color rgb="FF63BE7B"/>
        <color rgb="FFFFEB84"/>
        <color rgb="FFF8696B"/>
      </colorScale>
    </cfRule>
    <cfRule type="colorScale" priority="9828">
      <colorScale>
        <cfvo type="min"/>
        <cfvo type="percentile" val="50"/>
        <cfvo type="max"/>
        <color rgb="FF63BE7B"/>
        <color rgb="FFFFEB84"/>
        <color rgb="FFF8696B"/>
      </colorScale>
    </cfRule>
    <cfRule type="colorScale" priority="9829">
      <colorScale>
        <cfvo type="min"/>
        <cfvo type="percentile" val="50"/>
        <cfvo type="max"/>
        <color rgb="FF63BE7B"/>
        <color rgb="FFFFEB84"/>
        <color rgb="FFF8696B"/>
      </colorScale>
    </cfRule>
    <cfRule type="colorScale" priority="9830">
      <colorScale>
        <cfvo type="min"/>
        <cfvo type="percentile" val="50"/>
        <cfvo type="max"/>
        <color rgb="FF63BE7B"/>
        <color rgb="FFFFEB84"/>
        <color rgb="FFF8696B"/>
      </colorScale>
    </cfRule>
    <cfRule type="colorScale" priority="9831">
      <colorScale>
        <cfvo type="min"/>
        <cfvo type="percentile" val="50"/>
        <cfvo type="max"/>
        <color rgb="FF63BE7B"/>
        <color rgb="FFFFEB84"/>
        <color rgb="FFF8696B"/>
      </colorScale>
    </cfRule>
    <cfRule type="colorScale" priority="9832">
      <colorScale>
        <cfvo type="min"/>
        <cfvo type="percentile" val="50"/>
        <cfvo type="max"/>
        <color rgb="FF63BE7B"/>
        <color rgb="FFFFEB84"/>
        <color rgb="FFF8696B"/>
      </colorScale>
    </cfRule>
    <cfRule type="colorScale" priority="9833">
      <colorScale>
        <cfvo type="min"/>
        <cfvo type="percentile" val="50"/>
        <cfvo type="max"/>
        <color rgb="FF63BE7B"/>
        <color rgb="FFFFEB84"/>
        <color rgb="FFF8696B"/>
      </colorScale>
    </cfRule>
  </conditionalFormatting>
  <conditionalFormatting sqref="AF35:AF50">
    <cfRule type="colorScale" priority="13195">
      <colorScale>
        <cfvo type="min"/>
        <cfvo type="percentile" val="50"/>
        <cfvo type="max"/>
        <color rgb="FF63BE7B"/>
        <color rgb="FFFFEB84"/>
        <color rgb="FFF8696B"/>
      </colorScale>
    </cfRule>
  </conditionalFormatting>
  <conditionalFormatting sqref="AF36:AF37">
    <cfRule type="colorScale" priority="9824">
      <colorScale>
        <cfvo type="min"/>
        <cfvo type="percentile" val="50"/>
        <cfvo type="max"/>
        <color rgb="FF63BE7B"/>
        <color rgb="FFFFEB84"/>
        <color rgb="FFF8696B"/>
      </colorScale>
    </cfRule>
  </conditionalFormatting>
  <conditionalFormatting sqref="AF36:AF41">
    <cfRule type="colorScale" priority="9834">
      <colorScale>
        <cfvo type="min"/>
        <cfvo type="percentile" val="50"/>
        <cfvo type="max"/>
        <color rgb="FF63BE7B"/>
        <color rgb="FFFFEB84"/>
        <color rgb="FFF8696B"/>
      </colorScale>
    </cfRule>
    <cfRule type="colorScale" priority="13110">
      <colorScale>
        <cfvo type="min"/>
        <cfvo type="percentile" val="50"/>
        <cfvo type="max"/>
        <color rgb="FF63BE7B"/>
        <color rgb="FFFFEB84"/>
        <color rgb="FFF8696B"/>
      </colorScale>
    </cfRule>
  </conditionalFormatting>
  <conditionalFormatting sqref="AF42">
    <cfRule type="colorScale" priority="7343">
      <colorScale>
        <cfvo type="min"/>
        <cfvo type="percentile" val="50"/>
        <cfvo type="max"/>
        <color rgb="FFF8696B"/>
        <color rgb="FFFFEB84"/>
        <color rgb="FF63BE7B"/>
      </colorScale>
    </cfRule>
    <cfRule type="colorScale" priority="7360">
      <colorScale>
        <cfvo type="min"/>
        <cfvo type="percentile" val="50"/>
        <cfvo type="max"/>
        <color rgb="FF63BE7B"/>
        <color rgb="FFFFEB84"/>
        <color rgb="FFF8696B"/>
      </colorScale>
    </cfRule>
    <cfRule type="colorScale" priority="7355">
      <colorScale>
        <cfvo type="min"/>
        <cfvo type="percentile" val="50"/>
        <cfvo type="max"/>
        <color rgb="FFF8696B"/>
        <color rgb="FFFFEB84"/>
        <color rgb="FF63BE7B"/>
      </colorScale>
    </cfRule>
    <cfRule type="colorScale" priority="7344">
      <colorScale>
        <cfvo type="min"/>
        <cfvo type="percentile" val="50"/>
        <cfvo type="max"/>
        <color rgb="FFF8696B"/>
        <color rgb="FFFFEB84"/>
        <color rgb="FF63BE7B"/>
      </colorScale>
    </cfRule>
    <cfRule type="colorScale" priority="7345">
      <colorScale>
        <cfvo type="min"/>
        <cfvo type="percentile" val="50"/>
        <cfvo type="max"/>
        <color rgb="FF63BE7B"/>
        <color rgb="FFFFEB84"/>
        <color rgb="FFF8696B"/>
      </colorScale>
    </cfRule>
    <cfRule type="colorScale" priority="7348">
      <colorScale>
        <cfvo type="min"/>
        <cfvo type="percentile" val="50"/>
        <cfvo type="max"/>
        <color rgb="FF63BE7B"/>
        <color rgb="FFFFEB84"/>
        <color rgb="FFF8696B"/>
      </colorScale>
    </cfRule>
    <cfRule type="colorScale" priority="7346">
      <colorScale>
        <cfvo type="min"/>
        <cfvo type="percentile" val="50"/>
        <cfvo type="max"/>
        <color rgb="FF63BE7B"/>
        <color rgb="FFFFEB84"/>
        <color rgb="FFF8696B"/>
      </colorScale>
    </cfRule>
    <cfRule type="colorScale" priority="7349">
      <colorScale>
        <cfvo type="min"/>
        <cfvo type="percentile" val="50"/>
        <cfvo type="max"/>
        <color rgb="FF63BE7B"/>
        <color rgb="FFFFEB84"/>
        <color rgb="FFF8696B"/>
      </colorScale>
    </cfRule>
    <cfRule type="colorScale" priority="7350">
      <colorScale>
        <cfvo type="min"/>
        <cfvo type="percentile" val="50"/>
        <cfvo type="max"/>
        <color rgb="FF63BE7B"/>
        <color rgb="FFFFEB84"/>
        <color rgb="FFF8696B"/>
      </colorScale>
    </cfRule>
    <cfRule type="colorScale" priority="7351">
      <colorScale>
        <cfvo type="min"/>
        <cfvo type="percentile" val="50"/>
        <cfvo type="max"/>
        <color rgb="FF63BE7B"/>
        <color rgb="FFFFEB84"/>
        <color rgb="FFF8696B"/>
      </colorScale>
    </cfRule>
    <cfRule type="colorScale" priority="7352">
      <colorScale>
        <cfvo type="min"/>
        <cfvo type="percentile" val="50"/>
        <cfvo type="max"/>
        <color rgb="FF63BE7B"/>
        <color rgb="FFFFEB84"/>
        <color rgb="FFF8696B"/>
      </colorScale>
    </cfRule>
    <cfRule type="colorScale" priority="7353">
      <colorScale>
        <cfvo type="min"/>
        <cfvo type="percentile" val="50"/>
        <cfvo type="max"/>
        <color rgb="FF63BE7B"/>
        <color rgb="FFFFEB84"/>
        <color rgb="FFF8696B"/>
      </colorScale>
    </cfRule>
    <cfRule type="colorScale" priority="7354">
      <colorScale>
        <cfvo type="min"/>
        <cfvo type="percentile" val="50"/>
        <cfvo type="max"/>
        <color rgb="FFF8696B"/>
        <color rgb="FFFFEB84"/>
        <color rgb="FF63BE7B"/>
      </colorScale>
    </cfRule>
    <cfRule type="colorScale" priority="7356">
      <colorScale>
        <cfvo type="min"/>
        <cfvo type="percentile" val="50"/>
        <cfvo type="max"/>
        <color rgb="FF63BE7B"/>
        <color rgb="FFFFEB84"/>
        <color rgb="FFF8696B"/>
      </colorScale>
    </cfRule>
    <cfRule type="colorScale" priority="7357">
      <colorScale>
        <cfvo type="min"/>
        <cfvo type="percentile" val="50"/>
        <cfvo type="max"/>
        <color rgb="FFF8696B"/>
        <color rgb="FFFFEB84"/>
        <color rgb="FF63BE7B"/>
      </colorScale>
    </cfRule>
    <cfRule type="colorScale" priority="7358">
      <colorScale>
        <cfvo type="min"/>
        <cfvo type="percentile" val="50"/>
        <cfvo type="max"/>
        <color rgb="FF63BE7B"/>
        <color rgb="FFFFEB84"/>
        <color rgb="FFF8696B"/>
      </colorScale>
    </cfRule>
    <cfRule type="colorScale" priority="7359">
      <colorScale>
        <cfvo type="min"/>
        <cfvo type="percentile" val="50"/>
        <cfvo type="max"/>
        <color rgb="FF63BE7B"/>
        <color rgb="FFFFEB84"/>
        <color rgb="FFF8696B"/>
      </colorScale>
    </cfRule>
  </conditionalFormatting>
  <conditionalFormatting sqref="AF42:AF50">
    <cfRule type="colorScale" priority="12990">
      <colorScale>
        <cfvo type="min"/>
        <cfvo type="percentile" val="50"/>
        <cfvo type="max"/>
        <color rgb="FF63BE7B"/>
        <color rgb="FFFFEB84"/>
        <color rgb="FFF8696B"/>
      </colorScale>
    </cfRule>
    <cfRule type="colorScale" priority="12993">
      <colorScale>
        <cfvo type="min"/>
        <cfvo type="percentile" val="50"/>
        <cfvo type="max"/>
        <color rgb="FF63BE7B"/>
        <color rgb="FFFFEB84"/>
        <color rgb="FFF8696B"/>
      </colorScale>
    </cfRule>
    <cfRule type="colorScale" priority="12992">
      <colorScale>
        <cfvo type="min"/>
        <cfvo type="percentile" val="50"/>
        <cfvo type="max"/>
        <color rgb="FF63BE7B"/>
        <color rgb="FFFFEB84"/>
        <color rgb="FFF8696B"/>
      </colorScale>
    </cfRule>
    <cfRule type="colorScale" priority="7342">
      <colorScale>
        <cfvo type="min"/>
        <cfvo type="percentile" val="50"/>
        <cfvo type="max"/>
        <color rgb="FFF8696B"/>
        <color rgb="FFFFEB84"/>
        <color rgb="FF63BE7B"/>
      </colorScale>
    </cfRule>
    <cfRule type="colorScale" priority="7347">
      <colorScale>
        <cfvo type="min"/>
        <cfvo type="percentile" val="50"/>
        <cfvo type="max"/>
        <color rgb="FF63BE7B"/>
        <color rgb="FFFFEB84"/>
        <color rgb="FFF8696B"/>
      </colorScale>
    </cfRule>
    <cfRule type="colorScale" priority="12991">
      <colorScale>
        <cfvo type="min"/>
        <cfvo type="percentile" val="50"/>
        <cfvo type="max"/>
        <color rgb="FF63BE7B"/>
        <color rgb="FFFFEB84"/>
        <color rgb="FFF8696B"/>
      </colorScale>
    </cfRule>
  </conditionalFormatting>
  <conditionalFormatting sqref="AF42:AF51">
    <cfRule type="colorScale" priority="7443">
      <colorScale>
        <cfvo type="min"/>
        <cfvo type="percentile" val="50"/>
        <cfvo type="max"/>
        <color rgb="FF63BE7B"/>
        <color rgb="FFFFEB84"/>
        <color rgb="FFF8696B"/>
      </colorScale>
    </cfRule>
  </conditionalFormatting>
  <conditionalFormatting sqref="AF51:AF53">
    <cfRule type="colorScale" priority="1746">
      <colorScale>
        <cfvo type="min"/>
        <cfvo type="percentile" val="50"/>
        <cfvo type="max"/>
        <color rgb="FF63BE7B"/>
        <color rgb="FFFFEB84"/>
        <color rgb="FFF8696B"/>
      </colorScale>
    </cfRule>
    <cfRule type="colorScale" priority="1747">
      <colorScale>
        <cfvo type="min"/>
        <cfvo type="percentile" val="50"/>
        <cfvo type="max"/>
        <color rgb="FF63BE7B"/>
        <color rgb="FFFFEB84"/>
        <color rgb="FFF8696B"/>
      </colorScale>
    </cfRule>
    <cfRule type="colorScale" priority="12883">
      <colorScale>
        <cfvo type="min"/>
        <cfvo type="percentile" val="50"/>
        <cfvo type="max"/>
        <color rgb="FF63BE7B"/>
        <color rgb="FFFFEB84"/>
        <color rgb="FFF8696B"/>
      </colorScale>
    </cfRule>
    <cfRule type="colorScale" priority="12881">
      <colorScale>
        <cfvo type="min"/>
        <cfvo type="percentile" val="50"/>
        <cfvo type="max"/>
        <color rgb="FF63BE7B"/>
        <color rgb="FFFFEB84"/>
        <color rgb="FFF8696B"/>
      </colorScale>
    </cfRule>
    <cfRule type="colorScale" priority="12882">
      <colorScale>
        <cfvo type="min"/>
        <cfvo type="percentile" val="50"/>
        <cfvo type="max"/>
        <color rgb="FF63BE7B"/>
        <color rgb="FFFFEB84"/>
        <color rgb="FFF8696B"/>
      </colorScale>
    </cfRule>
    <cfRule type="colorScale" priority="4013">
      <colorScale>
        <cfvo type="min"/>
        <cfvo type="percentile" val="50"/>
        <cfvo type="max"/>
        <color rgb="FF63BE7B"/>
        <color rgb="FFFFEB84"/>
        <color rgb="FFF8696B"/>
      </colorScale>
    </cfRule>
    <cfRule type="colorScale" priority="4012">
      <colorScale>
        <cfvo type="min"/>
        <cfvo type="percentile" val="50"/>
        <cfvo type="max"/>
        <color rgb="FF63BE7B"/>
        <color rgb="FFFFEB84"/>
        <color rgb="FFF8696B"/>
      </colorScale>
    </cfRule>
    <cfRule type="colorScale" priority="3985">
      <colorScale>
        <cfvo type="min"/>
        <cfvo type="percentile" val="50"/>
        <cfvo type="max"/>
        <color rgb="FF63BE7B"/>
        <color rgb="FFFFEB84"/>
        <color rgb="FFF8696B"/>
      </colorScale>
    </cfRule>
    <cfRule type="colorScale" priority="1718">
      <colorScale>
        <cfvo type="min"/>
        <cfvo type="percentile" val="50"/>
        <cfvo type="max"/>
        <color rgb="FFF8696B"/>
        <color rgb="FFFFEB84"/>
        <color rgb="FF63BE7B"/>
      </colorScale>
    </cfRule>
    <cfRule type="colorScale" priority="12880">
      <colorScale>
        <cfvo type="min"/>
        <cfvo type="percentile" val="50"/>
        <cfvo type="max"/>
        <color rgb="FF63BE7B"/>
        <color rgb="FFFFEB84"/>
        <color rgb="FFF8696B"/>
      </colorScale>
    </cfRule>
  </conditionalFormatting>
  <conditionalFormatting sqref="AF52:AF53">
    <cfRule type="colorScale" priority="1877">
      <colorScale>
        <cfvo type="min"/>
        <cfvo type="percentile" val="50"/>
        <cfvo type="max"/>
        <color rgb="FF63BE7B"/>
        <color rgb="FFFFEB84"/>
        <color rgb="FFF8696B"/>
      </colorScale>
    </cfRule>
    <cfRule type="colorScale" priority="1878">
      <colorScale>
        <cfvo type="min"/>
        <cfvo type="percentile" val="50"/>
        <cfvo type="max"/>
        <color rgb="FF63BE7B"/>
        <color rgb="FFFFEB84"/>
        <color rgb="FFF8696B"/>
      </colorScale>
    </cfRule>
    <cfRule type="colorScale" priority="1879">
      <colorScale>
        <cfvo type="min"/>
        <cfvo type="percentile" val="50"/>
        <cfvo type="max"/>
        <color rgb="FF63BE7B"/>
        <color rgb="FFFFEB84"/>
        <color rgb="FFF8696B"/>
      </colorScale>
    </cfRule>
    <cfRule type="colorScale" priority="1880">
      <colorScale>
        <cfvo type="min"/>
        <cfvo type="percentile" val="50"/>
        <cfvo type="max"/>
        <color rgb="FF63BE7B"/>
        <color rgb="FFFFEB84"/>
        <color rgb="FFF8696B"/>
      </colorScale>
    </cfRule>
    <cfRule type="colorScale" priority="1881">
      <colorScale>
        <cfvo type="min"/>
        <cfvo type="percentile" val="50"/>
        <cfvo type="max"/>
        <color rgb="FF63BE7B"/>
        <color rgb="FFFFEB84"/>
        <color rgb="FFF8696B"/>
      </colorScale>
    </cfRule>
    <cfRule type="colorScale" priority="1882">
      <colorScale>
        <cfvo type="min"/>
        <cfvo type="percentile" val="50"/>
        <cfvo type="max"/>
        <color rgb="FF63BE7B"/>
        <color rgb="FFFFEB84"/>
        <color rgb="FFF8696B"/>
      </colorScale>
    </cfRule>
    <cfRule type="colorScale" priority="1883">
      <colorScale>
        <cfvo type="min"/>
        <cfvo type="percentile" val="50"/>
        <cfvo type="max"/>
        <color rgb="FF63BE7B"/>
        <color rgb="FFFFEB84"/>
        <color rgb="FFF8696B"/>
      </colorScale>
    </cfRule>
    <cfRule type="colorScale" priority="1719">
      <colorScale>
        <cfvo type="min"/>
        <cfvo type="percentile" val="50"/>
        <cfvo type="max"/>
        <color rgb="FF63BE7B"/>
        <color rgb="FFFFEB84"/>
        <color rgb="FFF8696B"/>
      </colorScale>
    </cfRule>
    <cfRule type="colorScale" priority="1720">
      <colorScale>
        <cfvo type="min"/>
        <cfvo type="percentile" val="50"/>
        <cfvo type="max"/>
        <color rgb="FF63BE7B"/>
        <color rgb="FFFFEB84"/>
        <color rgb="FFF8696B"/>
      </colorScale>
    </cfRule>
    <cfRule type="colorScale" priority="1721">
      <colorScale>
        <cfvo type="min"/>
        <cfvo type="percentile" val="50"/>
        <cfvo type="max"/>
        <color rgb="FF63BE7B"/>
        <color rgb="FFFFEB84"/>
        <color rgb="FFF8696B"/>
      </colorScale>
    </cfRule>
    <cfRule type="colorScale" priority="1722">
      <colorScale>
        <cfvo type="min"/>
        <cfvo type="percentile" val="50"/>
        <cfvo type="max"/>
        <color rgb="FF63BE7B"/>
        <color rgb="FFFFEB84"/>
        <color rgb="FFF8696B"/>
      </colorScale>
    </cfRule>
    <cfRule type="colorScale" priority="1723">
      <colorScale>
        <cfvo type="min"/>
        <cfvo type="percentile" val="50"/>
        <cfvo type="max"/>
        <color rgb="FF63BE7B"/>
        <color rgb="FFFFEB84"/>
        <color rgb="FFF8696B"/>
      </colorScale>
    </cfRule>
    <cfRule type="colorScale" priority="1724">
      <colorScale>
        <cfvo type="min"/>
        <cfvo type="percentile" val="50"/>
        <cfvo type="max"/>
        <color rgb="FF63BE7B"/>
        <color rgb="FFFFEB84"/>
        <color rgb="FFF8696B"/>
      </colorScale>
    </cfRule>
    <cfRule type="colorScale" priority="1725">
      <colorScale>
        <cfvo type="min"/>
        <cfvo type="percentile" val="50"/>
        <cfvo type="max"/>
        <color rgb="FF63BE7B"/>
        <color rgb="FFFFEB84"/>
        <color rgb="FFF8696B"/>
      </colorScale>
    </cfRule>
    <cfRule type="colorScale" priority="1726">
      <colorScale>
        <cfvo type="min"/>
        <cfvo type="percentile" val="50"/>
        <cfvo type="max"/>
        <color rgb="FF63BE7B"/>
        <color rgb="FFFFEB84"/>
        <color rgb="FFF8696B"/>
      </colorScale>
    </cfRule>
    <cfRule type="colorScale" priority="1727">
      <colorScale>
        <cfvo type="min"/>
        <cfvo type="percentile" val="50"/>
        <cfvo type="max"/>
        <color rgb="FF63BE7B"/>
        <color rgb="FFFFEB84"/>
        <color rgb="FFF8696B"/>
      </colorScale>
    </cfRule>
    <cfRule type="colorScale" priority="1728">
      <colorScale>
        <cfvo type="min"/>
        <cfvo type="percentile" val="50"/>
        <cfvo type="max"/>
        <color rgb="FF63BE7B"/>
        <color rgb="FFFFEB84"/>
        <color rgb="FFF8696B"/>
      </colorScale>
    </cfRule>
    <cfRule type="colorScale" priority="1729">
      <colorScale>
        <cfvo type="min"/>
        <cfvo type="percentile" val="50"/>
        <cfvo type="max"/>
        <color rgb="FF63BE7B"/>
        <color rgb="FFFFEB84"/>
        <color rgb="FFF8696B"/>
      </colorScale>
    </cfRule>
    <cfRule type="colorScale" priority="1730">
      <colorScale>
        <cfvo type="min"/>
        <cfvo type="percentile" val="50"/>
        <cfvo type="max"/>
        <color rgb="FF63BE7B"/>
        <color rgb="FFFFEB84"/>
        <color rgb="FFF8696B"/>
      </colorScale>
    </cfRule>
    <cfRule type="colorScale" priority="1731">
      <colorScale>
        <cfvo type="min"/>
        <cfvo type="percentile" val="50"/>
        <cfvo type="max"/>
        <color rgb="FF63BE7B"/>
        <color rgb="FFFFEB84"/>
        <color rgb="FFF8696B"/>
      </colorScale>
    </cfRule>
    <cfRule type="colorScale" priority="1732">
      <colorScale>
        <cfvo type="min"/>
        <cfvo type="percentile" val="50"/>
        <cfvo type="max"/>
        <color rgb="FF63BE7B"/>
        <color rgb="FFFFEB84"/>
        <color rgb="FFF8696B"/>
      </colorScale>
    </cfRule>
    <cfRule type="colorScale" priority="1733">
      <colorScale>
        <cfvo type="min"/>
        <cfvo type="percentile" val="50"/>
        <cfvo type="max"/>
        <color rgb="FF63BE7B"/>
        <color rgb="FFFFEB84"/>
        <color rgb="FFF8696B"/>
      </colorScale>
    </cfRule>
    <cfRule type="colorScale" priority="1734">
      <colorScale>
        <cfvo type="min"/>
        <cfvo type="percentile" val="50"/>
        <cfvo type="max"/>
        <color rgb="FF63BE7B"/>
        <color rgb="FFFFEB84"/>
        <color rgb="FFF8696B"/>
      </colorScale>
    </cfRule>
    <cfRule type="colorScale" priority="1735">
      <colorScale>
        <cfvo type="min"/>
        <cfvo type="percentile" val="50"/>
        <cfvo type="max"/>
        <color rgb="FF63BE7B"/>
        <color rgb="FFFFEB84"/>
        <color rgb="FFF8696B"/>
      </colorScale>
    </cfRule>
    <cfRule type="colorScale" priority="1736">
      <colorScale>
        <cfvo type="min"/>
        <cfvo type="percentile" val="50"/>
        <cfvo type="max"/>
        <color rgb="FF63BE7B"/>
        <color rgb="FFFFEB84"/>
        <color rgb="FFF8696B"/>
      </colorScale>
    </cfRule>
    <cfRule type="colorScale" priority="1737">
      <colorScale>
        <cfvo type="min"/>
        <cfvo type="percentile" val="50"/>
        <cfvo type="max"/>
        <color rgb="FF63BE7B"/>
        <color rgb="FFFFEB84"/>
        <color rgb="FFF8696B"/>
      </colorScale>
    </cfRule>
    <cfRule type="colorScale" priority="1738">
      <colorScale>
        <cfvo type="min"/>
        <cfvo type="percentile" val="50"/>
        <cfvo type="max"/>
        <color rgb="FF63BE7B"/>
        <color rgb="FFFFEB84"/>
        <color rgb="FFF8696B"/>
      </colorScale>
    </cfRule>
    <cfRule type="colorScale" priority="1739">
      <colorScale>
        <cfvo type="min"/>
        <cfvo type="percentile" val="50"/>
        <cfvo type="max"/>
        <color rgb="FF63BE7B"/>
        <color rgb="FFFFEB84"/>
        <color rgb="FFF8696B"/>
      </colorScale>
    </cfRule>
    <cfRule type="colorScale" priority="1740">
      <colorScale>
        <cfvo type="min"/>
        <cfvo type="percentile" val="50"/>
        <cfvo type="max"/>
        <color rgb="FF63BE7B"/>
        <color rgb="FFFFEB84"/>
        <color rgb="FFF8696B"/>
      </colorScale>
    </cfRule>
    <cfRule type="colorScale" priority="1741">
      <colorScale>
        <cfvo type="min"/>
        <cfvo type="percentile" val="50"/>
        <cfvo type="max"/>
        <color rgb="FF63BE7B"/>
        <color rgb="FFFFEB84"/>
        <color rgb="FFF8696B"/>
      </colorScale>
    </cfRule>
    <cfRule type="colorScale" priority="1742">
      <colorScale>
        <cfvo type="min"/>
        <cfvo type="percentile" val="50"/>
        <cfvo type="max"/>
        <color rgb="FF63BE7B"/>
        <color rgb="FFFFEB84"/>
        <color rgb="FFF8696B"/>
      </colorScale>
    </cfRule>
    <cfRule type="colorScale" priority="1743">
      <colorScale>
        <cfvo type="min"/>
        <cfvo type="percentile" val="50"/>
        <cfvo type="max"/>
        <color rgb="FF63BE7B"/>
        <color rgb="FFFFEB84"/>
        <color rgb="FFF8696B"/>
      </colorScale>
    </cfRule>
    <cfRule type="colorScale" priority="6031">
      <colorScale>
        <cfvo type="min"/>
        <cfvo type="percentile" val="50"/>
        <cfvo type="max"/>
        <color rgb="FF63BE7B"/>
        <color rgb="FFFFEB84"/>
        <color rgb="FFF8696B"/>
      </colorScale>
    </cfRule>
    <cfRule type="colorScale" priority="6030">
      <colorScale>
        <cfvo type="min"/>
        <cfvo type="percentile" val="50"/>
        <cfvo type="max"/>
        <color rgb="FF63BE7B"/>
        <color rgb="FFFFEB84"/>
        <color rgb="FFF8696B"/>
      </colorScale>
    </cfRule>
    <cfRule type="colorScale" priority="6029">
      <colorScale>
        <cfvo type="min"/>
        <cfvo type="percentile" val="50"/>
        <cfvo type="max"/>
        <color rgb="FF63BE7B"/>
        <color rgb="FFFFEB84"/>
        <color rgb="FFF8696B"/>
      </colorScale>
    </cfRule>
    <cfRule type="colorScale" priority="6028">
      <colorScale>
        <cfvo type="min"/>
        <cfvo type="percentile" val="50"/>
        <cfvo type="max"/>
        <color rgb="FF63BE7B"/>
        <color rgb="FFFFEB84"/>
        <color rgb="FFF8696B"/>
      </colorScale>
    </cfRule>
    <cfRule type="colorScale" priority="6027">
      <colorScale>
        <cfvo type="min"/>
        <cfvo type="percentile" val="50"/>
        <cfvo type="max"/>
        <color rgb="FF63BE7B"/>
        <color rgb="FFFFEB84"/>
        <color rgb="FFF8696B"/>
      </colorScale>
    </cfRule>
    <cfRule type="colorScale" priority="6026">
      <colorScale>
        <cfvo type="min"/>
        <cfvo type="percentile" val="50"/>
        <cfvo type="max"/>
        <color rgb="FF63BE7B"/>
        <color rgb="FFFFEB84"/>
        <color rgb="FFF8696B"/>
      </colorScale>
    </cfRule>
    <cfRule type="colorScale" priority="6025">
      <colorScale>
        <cfvo type="min"/>
        <cfvo type="percentile" val="50"/>
        <cfvo type="max"/>
        <color rgb="FF63BE7B"/>
        <color rgb="FFFFEB84"/>
        <color rgb="FFF8696B"/>
      </colorScale>
    </cfRule>
    <cfRule type="colorScale" priority="6024">
      <colorScale>
        <cfvo type="min"/>
        <cfvo type="percentile" val="50"/>
        <cfvo type="max"/>
        <color rgb="FF63BE7B"/>
        <color rgb="FFFFEB84"/>
        <color rgb="FFF8696B"/>
      </colorScale>
    </cfRule>
    <cfRule type="colorScale" priority="6023">
      <colorScale>
        <cfvo type="min"/>
        <cfvo type="percentile" val="50"/>
        <cfvo type="max"/>
        <color rgb="FF63BE7B"/>
        <color rgb="FFFFEB84"/>
        <color rgb="FFF8696B"/>
      </colorScale>
    </cfRule>
    <cfRule type="colorScale" priority="6022">
      <colorScale>
        <cfvo type="min"/>
        <cfvo type="percentile" val="50"/>
        <cfvo type="max"/>
        <color rgb="FF63BE7B"/>
        <color rgb="FFFFEB84"/>
        <color rgb="FFF8696B"/>
      </colorScale>
    </cfRule>
    <cfRule type="colorScale" priority="6021">
      <colorScale>
        <cfvo type="min"/>
        <cfvo type="percentile" val="50"/>
        <cfvo type="max"/>
        <color rgb="FF63BE7B"/>
        <color rgb="FFFFEB84"/>
        <color rgb="FFF8696B"/>
      </colorScale>
    </cfRule>
    <cfRule type="colorScale" priority="6020">
      <colorScale>
        <cfvo type="min"/>
        <cfvo type="percentile" val="50"/>
        <cfvo type="max"/>
        <color rgb="FF63BE7B"/>
        <color rgb="FFFFEB84"/>
        <color rgb="FFF8696B"/>
      </colorScale>
    </cfRule>
    <cfRule type="colorScale" priority="6019">
      <colorScale>
        <cfvo type="min"/>
        <cfvo type="percentile" val="50"/>
        <cfvo type="max"/>
        <color rgb="FF63BE7B"/>
        <color rgb="FFFFEB84"/>
        <color rgb="FFF8696B"/>
      </colorScale>
    </cfRule>
    <cfRule type="colorScale" priority="6018">
      <colorScale>
        <cfvo type="min"/>
        <cfvo type="percentile" val="50"/>
        <cfvo type="max"/>
        <color rgb="FF63BE7B"/>
        <color rgb="FFFFEB84"/>
        <color rgb="FFF8696B"/>
      </colorScale>
    </cfRule>
    <cfRule type="colorScale" priority="6017">
      <colorScale>
        <cfvo type="min"/>
        <cfvo type="percentile" val="50"/>
        <cfvo type="max"/>
        <color rgb="FF63BE7B"/>
        <color rgb="FFFFEB84"/>
        <color rgb="FFF8696B"/>
      </colorScale>
    </cfRule>
    <cfRule type="colorScale" priority="6016">
      <colorScale>
        <cfvo type="min"/>
        <cfvo type="percentile" val="50"/>
        <cfvo type="max"/>
        <color rgb="FF63BE7B"/>
        <color rgb="FFFFEB84"/>
        <color rgb="FFF8696B"/>
      </colorScale>
    </cfRule>
    <cfRule type="colorScale" priority="6015">
      <colorScale>
        <cfvo type="min"/>
        <cfvo type="percentile" val="50"/>
        <cfvo type="max"/>
        <color rgb="FF63BE7B"/>
        <color rgb="FFFFEB84"/>
        <color rgb="FFF8696B"/>
      </colorScale>
    </cfRule>
    <cfRule type="colorScale" priority="6014">
      <colorScale>
        <cfvo type="min"/>
        <cfvo type="percentile" val="50"/>
        <cfvo type="max"/>
        <color rgb="FF63BE7B"/>
        <color rgb="FFFFEB84"/>
        <color rgb="FFF8696B"/>
      </colorScale>
    </cfRule>
    <cfRule type="colorScale" priority="6013">
      <colorScale>
        <cfvo type="min"/>
        <cfvo type="percentile" val="50"/>
        <cfvo type="max"/>
        <color rgb="FF63BE7B"/>
        <color rgb="FFFFEB84"/>
        <color rgb="FFF8696B"/>
      </colorScale>
    </cfRule>
    <cfRule type="colorScale" priority="1884">
      <colorScale>
        <cfvo type="min"/>
        <cfvo type="percentile" val="50"/>
        <cfvo type="max"/>
        <color rgb="FF63BE7B"/>
        <color rgb="FFFFEB84"/>
        <color rgb="FFF8696B"/>
      </colorScale>
    </cfRule>
    <cfRule type="colorScale" priority="1885">
      <colorScale>
        <cfvo type="min"/>
        <cfvo type="percentile" val="50"/>
        <cfvo type="max"/>
        <color rgb="FF63BE7B"/>
        <color rgb="FFFFEB84"/>
        <color rgb="FFF8696B"/>
      </colorScale>
    </cfRule>
    <cfRule type="colorScale" priority="1886">
      <colorScale>
        <cfvo type="min"/>
        <cfvo type="percentile" val="50"/>
        <cfvo type="max"/>
        <color rgb="FF63BE7B"/>
        <color rgb="FFFFEB84"/>
        <color rgb="FFF8696B"/>
      </colorScale>
    </cfRule>
    <cfRule type="colorScale" priority="1887">
      <colorScale>
        <cfvo type="min"/>
        <cfvo type="percentile" val="50"/>
        <cfvo type="max"/>
        <color rgb="FF63BE7B"/>
        <color rgb="FFFFEB84"/>
        <color rgb="FFF8696B"/>
      </colorScale>
    </cfRule>
    <cfRule type="colorScale" priority="1888">
      <colorScale>
        <cfvo type="min"/>
        <cfvo type="percentile" val="50"/>
        <cfvo type="max"/>
        <color rgb="FF63BE7B"/>
        <color rgb="FFFFEB84"/>
        <color rgb="FFF8696B"/>
      </colorScale>
    </cfRule>
    <cfRule type="colorScale" priority="1889">
      <colorScale>
        <cfvo type="min"/>
        <cfvo type="percentile" val="50"/>
        <cfvo type="max"/>
        <color rgb="FF63BE7B"/>
        <color rgb="FFFFEB84"/>
        <color rgb="FFF8696B"/>
      </colorScale>
    </cfRule>
    <cfRule type="colorScale" priority="1890">
      <colorScale>
        <cfvo type="min"/>
        <cfvo type="percentile" val="50"/>
        <cfvo type="max"/>
        <color rgb="FF63BE7B"/>
        <color rgb="FFFFEB84"/>
        <color rgb="FFF8696B"/>
      </colorScale>
    </cfRule>
    <cfRule type="colorScale" priority="1891">
      <colorScale>
        <cfvo type="min"/>
        <cfvo type="percentile" val="50"/>
        <cfvo type="max"/>
        <color rgb="FF63BE7B"/>
        <color rgb="FFFFEB84"/>
        <color rgb="FFF8696B"/>
      </colorScale>
    </cfRule>
    <cfRule type="colorScale" priority="1892">
      <colorScale>
        <cfvo type="min"/>
        <cfvo type="percentile" val="50"/>
        <cfvo type="max"/>
        <color rgb="FF63BE7B"/>
        <color rgb="FFFFEB84"/>
        <color rgb="FFF8696B"/>
      </colorScale>
    </cfRule>
    <cfRule type="colorScale" priority="1893">
      <colorScale>
        <cfvo type="min"/>
        <cfvo type="percentile" val="50"/>
        <cfvo type="max"/>
        <color rgb="FF63BE7B"/>
        <color rgb="FFFFEB84"/>
        <color rgb="FFF8696B"/>
      </colorScale>
    </cfRule>
    <cfRule type="colorScale" priority="1766">
      <colorScale>
        <cfvo type="min"/>
        <cfvo type="percentile" val="50"/>
        <cfvo type="max"/>
        <color rgb="FF63BE7B"/>
        <color rgb="FFFFEB84"/>
        <color rgb="FFF8696B"/>
      </colorScale>
    </cfRule>
    <cfRule type="colorScale" priority="1767">
      <colorScale>
        <cfvo type="min"/>
        <cfvo type="percentile" val="50"/>
        <cfvo type="max"/>
        <color rgb="FF63BE7B"/>
        <color rgb="FFFFEB84"/>
        <color rgb="FFF8696B"/>
      </colorScale>
    </cfRule>
    <cfRule type="colorScale" priority="1768">
      <colorScale>
        <cfvo type="min"/>
        <cfvo type="percentile" val="50"/>
        <cfvo type="max"/>
        <color rgb="FF63BE7B"/>
        <color rgb="FFFFEB84"/>
        <color rgb="FFF8696B"/>
      </colorScale>
    </cfRule>
    <cfRule type="colorScale" priority="1769">
      <colorScale>
        <cfvo type="min"/>
        <cfvo type="percentile" val="50"/>
        <cfvo type="max"/>
        <color rgb="FF63BE7B"/>
        <color rgb="FFFFEB84"/>
        <color rgb="FFF8696B"/>
      </colorScale>
    </cfRule>
    <cfRule type="colorScale" priority="1770">
      <colorScale>
        <cfvo type="min"/>
        <cfvo type="percentile" val="50"/>
        <cfvo type="max"/>
        <color rgb="FF63BE7B"/>
        <color rgb="FFFFEB84"/>
        <color rgb="FFF8696B"/>
      </colorScale>
    </cfRule>
    <cfRule type="colorScale" priority="1771">
      <colorScale>
        <cfvo type="min"/>
        <cfvo type="percentile" val="50"/>
        <cfvo type="max"/>
        <color rgb="FF63BE7B"/>
        <color rgb="FFFFEB84"/>
        <color rgb="FFF8696B"/>
      </colorScale>
    </cfRule>
    <cfRule type="colorScale" priority="1772">
      <colorScale>
        <cfvo type="min"/>
        <cfvo type="percentile" val="50"/>
        <cfvo type="max"/>
        <color rgb="FF63BE7B"/>
        <color rgb="FFFFEB84"/>
        <color rgb="FFF8696B"/>
      </colorScale>
    </cfRule>
    <cfRule type="colorScale" priority="1773">
      <colorScale>
        <cfvo type="min"/>
        <cfvo type="percentile" val="50"/>
        <cfvo type="max"/>
        <color rgb="FF63BE7B"/>
        <color rgb="FFFFEB84"/>
        <color rgb="FFF8696B"/>
      </colorScale>
    </cfRule>
    <cfRule type="colorScale" priority="1774">
      <colorScale>
        <cfvo type="min"/>
        <cfvo type="percentile" val="50"/>
        <cfvo type="max"/>
        <color rgb="FF63BE7B"/>
        <color rgb="FFFFEB84"/>
        <color rgb="FFF8696B"/>
      </colorScale>
    </cfRule>
    <cfRule type="colorScale" priority="1775">
      <colorScale>
        <cfvo type="min"/>
        <cfvo type="percentile" val="50"/>
        <cfvo type="max"/>
        <color rgb="FF63BE7B"/>
        <color rgb="FFFFEB84"/>
        <color rgb="FFF8696B"/>
      </colorScale>
    </cfRule>
    <cfRule type="colorScale" priority="1776">
      <colorScale>
        <cfvo type="min"/>
        <cfvo type="percentile" val="50"/>
        <cfvo type="max"/>
        <color rgb="FF63BE7B"/>
        <color rgb="FFFFEB84"/>
        <color rgb="FFF8696B"/>
      </colorScale>
    </cfRule>
    <cfRule type="colorScale" priority="1777">
      <colorScale>
        <cfvo type="min"/>
        <cfvo type="percentile" val="50"/>
        <cfvo type="max"/>
        <color rgb="FF63BE7B"/>
        <color rgb="FFFFEB84"/>
        <color rgb="FFF8696B"/>
      </colorScale>
    </cfRule>
    <cfRule type="colorScale" priority="1778">
      <colorScale>
        <cfvo type="min"/>
        <cfvo type="percentile" val="50"/>
        <cfvo type="max"/>
        <color rgb="FF63BE7B"/>
        <color rgb="FFFFEB84"/>
        <color rgb="FFF8696B"/>
      </colorScale>
    </cfRule>
    <cfRule type="colorScale" priority="1779">
      <colorScale>
        <cfvo type="min"/>
        <cfvo type="percentile" val="50"/>
        <cfvo type="max"/>
        <color rgb="FF63BE7B"/>
        <color rgb="FFFFEB84"/>
        <color rgb="FFF8696B"/>
      </colorScale>
    </cfRule>
    <cfRule type="colorScale" priority="1894">
      <colorScale>
        <cfvo type="min"/>
        <cfvo type="percentile" val="50"/>
        <cfvo type="max"/>
        <color rgb="FF63BE7B"/>
        <color rgb="FFFFEB84"/>
        <color rgb="FFF8696B"/>
      </colorScale>
    </cfRule>
    <cfRule type="colorScale" priority="1895">
      <colorScale>
        <cfvo type="min"/>
        <cfvo type="percentile" val="50"/>
        <cfvo type="max"/>
        <color rgb="FF63BE7B"/>
        <color rgb="FFFFEB84"/>
        <color rgb="FFF8696B"/>
      </colorScale>
    </cfRule>
    <cfRule type="colorScale" priority="1896">
      <colorScale>
        <cfvo type="min"/>
        <cfvo type="percentile" val="50"/>
        <cfvo type="max"/>
        <color rgb="FF63BE7B"/>
        <color rgb="FFFFEB84"/>
        <color rgb="FFF8696B"/>
      </colorScale>
    </cfRule>
    <cfRule type="colorScale" priority="1897">
      <colorScale>
        <cfvo type="min"/>
        <cfvo type="percentile" val="50"/>
        <cfvo type="max"/>
        <color rgb="FF63BE7B"/>
        <color rgb="FFFFEB84"/>
        <color rgb="FFF8696B"/>
      </colorScale>
    </cfRule>
    <cfRule type="colorScale" priority="1898">
      <colorScale>
        <cfvo type="min"/>
        <cfvo type="percentile" val="50"/>
        <cfvo type="max"/>
        <color rgb="FF63BE7B"/>
        <color rgb="FFFFEB84"/>
        <color rgb="FFF8696B"/>
      </colorScale>
    </cfRule>
    <cfRule type="colorScale" priority="1780">
      <colorScale>
        <cfvo type="min"/>
        <cfvo type="percentile" val="50"/>
        <cfvo type="max"/>
        <color rgb="FF63BE7B"/>
        <color rgb="FFFFEB84"/>
        <color rgb="FFF8696B"/>
      </colorScale>
    </cfRule>
    <cfRule type="colorScale" priority="1781">
      <colorScale>
        <cfvo type="min"/>
        <cfvo type="percentile" val="50"/>
        <cfvo type="max"/>
        <color rgb="FF63BE7B"/>
        <color rgb="FFFFEB84"/>
        <color rgb="FFF8696B"/>
      </colorScale>
    </cfRule>
    <cfRule type="colorScale" priority="1782">
      <colorScale>
        <cfvo type="min"/>
        <cfvo type="percentile" val="50"/>
        <cfvo type="max"/>
        <color rgb="FF63BE7B"/>
        <color rgb="FFFFEB84"/>
        <color rgb="FFF8696B"/>
      </colorScale>
    </cfRule>
    <cfRule type="colorScale" priority="1783">
      <colorScale>
        <cfvo type="min"/>
        <cfvo type="percentile" val="50"/>
        <cfvo type="max"/>
        <color rgb="FF63BE7B"/>
        <color rgb="FFFFEB84"/>
        <color rgb="FFF8696B"/>
      </colorScale>
    </cfRule>
    <cfRule type="colorScale" priority="1784">
      <colorScale>
        <cfvo type="min"/>
        <cfvo type="percentile" val="50"/>
        <cfvo type="max"/>
        <color rgb="FF63BE7B"/>
        <color rgb="FFFFEB84"/>
        <color rgb="FFF8696B"/>
      </colorScale>
    </cfRule>
    <cfRule type="colorScale" priority="1785">
      <colorScale>
        <cfvo type="min"/>
        <cfvo type="percentile" val="50"/>
        <cfvo type="max"/>
        <color rgb="FF63BE7B"/>
        <color rgb="FFFFEB84"/>
        <color rgb="FFF8696B"/>
      </colorScale>
    </cfRule>
    <cfRule type="colorScale" priority="1899">
      <colorScale>
        <cfvo type="min"/>
        <cfvo type="percentile" val="50"/>
        <cfvo type="max"/>
        <color rgb="FF63BE7B"/>
        <color rgb="FFFFEB84"/>
        <color rgb="FFF8696B"/>
      </colorScale>
    </cfRule>
    <cfRule type="colorScale" priority="1900">
      <colorScale>
        <cfvo type="min"/>
        <cfvo type="percentile" val="50"/>
        <cfvo type="max"/>
        <color rgb="FF63BE7B"/>
        <color rgb="FFFFEB84"/>
        <color rgb="FFF8696B"/>
      </colorScale>
    </cfRule>
    <cfRule type="colorScale" priority="1901">
      <colorScale>
        <cfvo type="min"/>
        <cfvo type="percentile" val="50"/>
        <cfvo type="max"/>
        <color rgb="FF63BE7B"/>
        <color rgb="FFFFEB84"/>
        <color rgb="FFF8696B"/>
      </colorScale>
    </cfRule>
    <cfRule type="colorScale" priority="1902">
      <colorScale>
        <cfvo type="min"/>
        <cfvo type="percentile" val="50"/>
        <cfvo type="max"/>
        <color rgb="FF63BE7B"/>
        <color rgb="FFFFEB84"/>
        <color rgb="FFF8696B"/>
      </colorScale>
    </cfRule>
    <cfRule type="colorScale" priority="1903">
      <colorScale>
        <cfvo type="min"/>
        <cfvo type="percentile" val="50"/>
        <cfvo type="max"/>
        <color rgb="FF63BE7B"/>
        <color rgb="FFFFEB84"/>
        <color rgb="FFF8696B"/>
      </colorScale>
    </cfRule>
    <cfRule type="colorScale" priority="1904">
      <colorScale>
        <cfvo type="min"/>
        <cfvo type="percentile" val="50"/>
        <cfvo type="max"/>
        <color rgb="FF63BE7B"/>
        <color rgb="FFFFEB84"/>
        <color rgb="FFF8696B"/>
      </colorScale>
    </cfRule>
    <cfRule type="colorScale" priority="1905">
      <colorScale>
        <cfvo type="min"/>
        <cfvo type="percentile" val="50"/>
        <cfvo type="max"/>
        <color rgb="FF63BE7B"/>
        <color rgb="FFFFEB84"/>
        <color rgb="FFF8696B"/>
      </colorScale>
    </cfRule>
    <cfRule type="colorScale" priority="1906">
      <colorScale>
        <cfvo type="min"/>
        <cfvo type="percentile" val="50"/>
        <cfvo type="max"/>
        <color rgb="FF63BE7B"/>
        <color rgb="FFFFEB84"/>
        <color rgb="FFF8696B"/>
      </colorScale>
    </cfRule>
    <cfRule type="colorScale" priority="7168">
      <colorScale>
        <cfvo type="min"/>
        <cfvo type="percentile" val="50"/>
        <cfvo type="max"/>
        <color rgb="FF63BE7B"/>
        <color rgb="FFFFEB84"/>
        <color rgb="FFF8696B"/>
      </colorScale>
    </cfRule>
    <cfRule type="colorScale" priority="7169">
      <colorScale>
        <cfvo type="min"/>
        <cfvo type="percentile" val="50"/>
        <cfvo type="max"/>
        <color rgb="FF63BE7B"/>
        <color rgb="FFFFEB84"/>
        <color rgb="FFF8696B"/>
      </colorScale>
    </cfRule>
    <cfRule type="colorScale" priority="7170">
      <colorScale>
        <cfvo type="min"/>
        <cfvo type="percentile" val="50"/>
        <cfvo type="max"/>
        <color rgb="FF63BE7B"/>
        <color rgb="FFFFEB84"/>
        <color rgb="FFF8696B"/>
      </colorScale>
    </cfRule>
    <cfRule type="colorScale" priority="7171">
      <colorScale>
        <cfvo type="min"/>
        <cfvo type="percentile" val="50"/>
        <cfvo type="max"/>
        <color rgb="FF63BE7B"/>
        <color rgb="FFFFEB84"/>
        <color rgb="FFF8696B"/>
      </colorScale>
    </cfRule>
    <cfRule type="colorScale" priority="1907">
      <colorScale>
        <cfvo type="min"/>
        <cfvo type="percentile" val="50"/>
        <cfvo type="max"/>
        <color rgb="FF63BE7B"/>
        <color rgb="FFFFEB84"/>
        <color rgb="FFF8696B"/>
      </colorScale>
    </cfRule>
    <cfRule type="colorScale" priority="1908">
      <colorScale>
        <cfvo type="min"/>
        <cfvo type="percentile" val="50"/>
        <cfvo type="max"/>
        <color rgb="FF63BE7B"/>
        <color rgb="FFFFEB84"/>
        <color rgb="FFF8696B"/>
      </colorScale>
    </cfRule>
    <cfRule type="colorScale" priority="1909">
      <colorScale>
        <cfvo type="min"/>
        <cfvo type="percentile" val="50"/>
        <cfvo type="max"/>
        <color rgb="FF63BE7B"/>
        <color rgb="FFFFEB84"/>
        <color rgb="FFF8696B"/>
      </colorScale>
    </cfRule>
    <cfRule type="colorScale" priority="1910">
      <colorScale>
        <cfvo type="min"/>
        <cfvo type="percentile" val="50"/>
        <cfvo type="max"/>
        <color rgb="FF63BE7B"/>
        <color rgb="FFFFEB84"/>
        <color rgb="FFF8696B"/>
      </colorScale>
    </cfRule>
    <cfRule type="colorScale" priority="1911">
      <colorScale>
        <cfvo type="min"/>
        <cfvo type="percentile" val="50"/>
        <cfvo type="max"/>
        <color rgb="FF63BE7B"/>
        <color rgb="FFFFEB84"/>
        <color rgb="FFF8696B"/>
      </colorScale>
    </cfRule>
    <cfRule type="colorScale" priority="1912">
      <colorScale>
        <cfvo type="min"/>
        <cfvo type="percentile" val="50"/>
        <cfvo type="max"/>
        <color rgb="FF63BE7B"/>
        <color rgb="FFFFEB84"/>
        <color rgb="FFF8696B"/>
      </colorScale>
    </cfRule>
    <cfRule type="colorScale" priority="1913">
      <colorScale>
        <cfvo type="min"/>
        <cfvo type="percentile" val="50"/>
        <cfvo type="max"/>
        <color rgb="FF63BE7B"/>
        <color rgb="FFFFEB84"/>
        <color rgb="FFF8696B"/>
      </colorScale>
    </cfRule>
    <cfRule type="colorScale" priority="1914">
      <colorScale>
        <cfvo type="min"/>
        <cfvo type="percentile" val="50"/>
        <cfvo type="max"/>
        <color rgb="FF63BE7B"/>
        <color rgb="FFFFEB84"/>
        <color rgb="FFF8696B"/>
      </colorScale>
    </cfRule>
    <cfRule type="colorScale" priority="1915">
      <colorScale>
        <cfvo type="min"/>
        <cfvo type="percentile" val="50"/>
        <cfvo type="max"/>
        <color rgb="FF63BE7B"/>
        <color rgb="FFFFEB84"/>
        <color rgb="FFF8696B"/>
      </colorScale>
    </cfRule>
    <cfRule type="colorScale" priority="1916">
      <colorScale>
        <cfvo type="min"/>
        <cfvo type="percentile" val="50"/>
        <cfvo type="max"/>
        <color rgb="FFF8696B"/>
        <color rgb="FFFFEB84"/>
        <color rgb="FF63BE7B"/>
      </colorScale>
    </cfRule>
    <cfRule type="colorScale" priority="1917">
      <colorScale>
        <cfvo type="min"/>
        <cfvo type="percentile" val="50"/>
        <cfvo type="max"/>
        <color rgb="FF63BE7B"/>
        <color rgb="FFFFEB84"/>
        <color rgb="FFF8696B"/>
      </colorScale>
    </cfRule>
    <cfRule type="colorScale" priority="1918">
      <colorScale>
        <cfvo type="min"/>
        <cfvo type="percentile" val="50"/>
        <cfvo type="max"/>
        <color rgb="FF63BE7B"/>
        <color rgb="FFFFEB84"/>
        <color rgb="FFF8696B"/>
      </colorScale>
    </cfRule>
    <cfRule type="colorScale" priority="1919">
      <colorScale>
        <cfvo type="min"/>
        <cfvo type="percentile" val="50"/>
        <cfvo type="max"/>
        <color rgb="FF63BE7B"/>
        <color rgb="FFFFEB84"/>
        <color rgb="FFF8696B"/>
      </colorScale>
    </cfRule>
    <cfRule type="colorScale" priority="1920">
      <colorScale>
        <cfvo type="min"/>
        <cfvo type="percentile" val="50"/>
        <cfvo type="max"/>
        <color rgb="FF63BE7B"/>
        <color rgb="FFFFEB84"/>
        <color rgb="FFF8696B"/>
      </colorScale>
    </cfRule>
    <cfRule type="colorScale" priority="1921">
      <colorScale>
        <cfvo type="min"/>
        <cfvo type="percentile" val="50"/>
        <cfvo type="max"/>
        <color rgb="FF63BE7B"/>
        <color rgb="FFFFEB84"/>
        <color rgb="FFF8696B"/>
      </colorScale>
    </cfRule>
    <cfRule type="colorScale" priority="1922">
      <colorScale>
        <cfvo type="min"/>
        <cfvo type="percentile" val="50"/>
        <cfvo type="max"/>
        <color rgb="FF63BE7B"/>
        <color rgb="FFFFEB84"/>
        <color rgb="FFF8696B"/>
      </colorScale>
    </cfRule>
    <cfRule type="colorScale" priority="1923">
      <colorScale>
        <cfvo type="min"/>
        <cfvo type="percentile" val="50"/>
        <cfvo type="max"/>
        <color rgb="FF63BE7B"/>
        <color rgb="FFFFEB84"/>
        <color rgb="FFF8696B"/>
      </colorScale>
    </cfRule>
    <cfRule type="colorScale" priority="1924">
      <colorScale>
        <cfvo type="min"/>
        <cfvo type="percentile" val="50"/>
        <cfvo type="max"/>
        <color rgb="FF63BE7B"/>
        <color rgb="FFFFEB84"/>
        <color rgb="FFF8696B"/>
      </colorScale>
    </cfRule>
    <cfRule type="colorScale" priority="1925">
      <colorScale>
        <cfvo type="min"/>
        <cfvo type="percentile" val="50"/>
        <cfvo type="max"/>
        <color rgb="FF63BE7B"/>
        <color rgb="FFFFEB84"/>
        <color rgb="FFF8696B"/>
      </colorScale>
    </cfRule>
    <cfRule type="colorScale" priority="1926">
      <colorScale>
        <cfvo type="min"/>
        <cfvo type="percentile" val="50"/>
        <cfvo type="max"/>
        <color rgb="FF63BE7B"/>
        <color rgb="FFFFEB84"/>
        <color rgb="FFF8696B"/>
      </colorScale>
    </cfRule>
    <cfRule type="colorScale" priority="1927">
      <colorScale>
        <cfvo type="min"/>
        <cfvo type="percentile" val="50"/>
        <cfvo type="max"/>
        <color rgb="FF63BE7B"/>
        <color rgb="FFFFEB84"/>
        <color rgb="FFF8696B"/>
      </colorScale>
    </cfRule>
    <cfRule type="colorScale" priority="1928">
      <colorScale>
        <cfvo type="min"/>
        <cfvo type="percentile" val="50"/>
        <cfvo type="max"/>
        <color rgb="FF63BE7B"/>
        <color rgb="FFFFEB84"/>
        <color rgb="FFF8696B"/>
      </colorScale>
    </cfRule>
    <cfRule type="colorScale" priority="1929">
      <colorScale>
        <cfvo type="min"/>
        <cfvo type="percentile" val="50"/>
        <cfvo type="max"/>
        <color rgb="FF63BE7B"/>
        <color rgb="FFFFEB84"/>
        <color rgb="FFF8696B"/>
      </colorScale>
    </cfRule>
    <cfRule type="colorScale" priority="1930">
      <colorScale>
        <cfvo type="min"/>
        <cfvo type="percentile" val="50"/>
        <cfvo type="max"/>
        <color rgb="FF63BE7B"/>
        <color rgb="FFFFEB84"/>
        <color rgb="FFF8696B"/>
      </colorScale>
    </cfRule>
    <cfRule type="colorScale" priority="1931">
      <colorScale>
        <cfvo type="min"/>
        <cfvo type="percentile" val="50"/>
        <cfvo type="max"/>
        <color rgb="FF63BE7B"/>
        <color rgb="FFFFEB84"/>
        <color rgb="FFF8696B"/>
      </colorScale>
    </cfRule>
    <cfRule type="colorScale" priority="1932">
      <colorScale>
        <cfvo type="min"/>
        <cfvo type="percentile" val="50"/>
        <cfvo type="max"/>
        <color rgb="FF63BE7B"/>
        <color rgb="FFFFEB84"/>
        <color rgb="FFF8696B"/>
      </colorScale>
    </cfRule>
    <cfRule type="colorScale" priority="1933">
      <colorScale>
        <cfvo type="min"/>
        <cfvo type="percentile" val="50"/>
        <cfvo type="max"/>
        <color rgb="FF63BE7B"/>
        <color rgb="FFFFEB84"/>
        <color rgb="FFF8696B"/>
      </colorScale>
    </cfRule>
    <cfRule type="colorScale" priority="1934">
      <colorScale>
        <cfvo type="min"/>
        <cfvo type="percentile" val="50"/>
        <cfvo type="max"/>
        <color rgb="FF63BE7B"/>
        <color rgb="FFFFEB84"/>
        <color rgb="FFF8696B"/>
      </colorScale>
    </cfRule>
    <cfRule type="colorScale" priority="1935">
      <colorScale>
        <cfvo type="min"/>
        <cfvo type="percentile" val="50"/>
        <cfvo type="max"/>
        <color rgb="FF63BE7B"/>
        <color rgb="FFFFEB84"/>
        <color rgb="FFF8696B"/>
      </colorScale>
    </cfRule>
    <cfRule type="colorScale" priority="1936">
      <colorScale>
        <cfvo type="min"/>
        <cfvo type="percentile" val="50"/>
        <cfvo type="max"/>
        <color rgb="FF63BE7B"/>
        <color rgb="FFFFEB84"/>
        <color rgb="FFF8696B"/>
      </colorScale>
    </cfRule>
    <cfRule type="colorScale" priority="1937">
      <colorScale>
        <cfvo type="min"/>
        <cfvo type="percentile" val="50"/>
        <cfvo type="max"/>
        <color rgb="FF63BE7B"/>
        <color rgb="FFFFEB84"/>
        <color rgb="FFF8696B"/>
      </colorScale>
    </cfRule>
    <cfRule type="colorScale" priority="1938">
      <colorScale>
        <cfvo type="min"/>
        <cfvo type="percentile" val="50"/>
        <cfvo type="max"/>
        <color rgb="FF63BE7B"/>
        <color rgb="FFFFEB84"/>
        <color rgb="FFF8696B"/>
      </colorScale>
    </cfRule>
    <cfRule type="colorScale" priority="1939">
      <colorScale>
        <cfvo type="min"/>
        <cfvo type="percentile" val="50"/>
        <cfvo type="max"/>
        <color rgb="FF63BE7B"/>
        <color rgb="FFFFEB84"/>
        <color rgb="FFF8696B"/>
      </colorScale>
    </cfRule>
    <cfRule type="colorScale" priority="1940">
      <colorScale>
        <cfvo type="min"/>
        <cfvo type="percentile" val="50"/>
        <cfvo type="max"/>
        <color rgb="FF63BE7B"/>
        <color rgb="FFFFEB84"/>
        <color rgb="FFF8696B"/>
      </colorScale>
    </cfRule>
    <cfRule type="colorScale" priority="7249">
      <colorScale>
        <cfvo type="min"/>
        <cfvo type="percentile" val="50"/>
        <cfvo type="max"/>
        <color rgb="FF63BE7B"/>
        <color rgb="FFFFEB84"/>
        <color rgb="FFF8696B"/>
      </colorScale>
    </cfRule>
    <cfRule type="colorScale" priority="1941">
      <colorScale>
        <cfvo type="min"/>
        <cfvo type="percentile" val="50"/>
        <cfvo type="max"/>
        <color rgb="FF63BE7B"/>
        <color rgb="FFFFEB84"/>
        <color rgb="FFF8696B"/>
      </colorScale>
    </cfRule>
    <cfRule type="colorScale" priority="1942">
      <colorScale>
        <cfvo type="min"/>
        <cfvo type="percentile" val="50"/>
        <cfvo type="max"/>
        <color rgb="FF63BE7B"/>
        <color rgb="FFFFEB84"/>
        <color rgb="FFF8696B"/>
      </colorScale>
    </cfRule>
    <cfRule type="colorScale" priority="1943">
      <colorScale>
        <cfvo type="min"/>
        <cfvo type="percentile" val="50"/>
        <cfvo type="max"/>
        <color rgb="FF63BE7B"/>
        <color rgb="FFFFEB84"/>
        <color rgb="FFF8696B"/>
      </colorScale>
    </cfRule>
    <cfRule type="colorScale" priority="1944">
      <colorScale>
        <cfvo type="min"/>
        <cfvo type="percentile" val="50"/>
        <cfvo type="max"/>
        <color rgb="FF63BE7B"/>
        <color rgb="FFFFEB84"/>
        <color rgb="FFF8696B"/>
      </colorScale>
    </cfRule>
    <cfRule type="colorScale" priority="1945">
      <colorScale>
        <cfvo type="min"/>
        <cfvo type="percentile" val="50"/>
        <cfvo type="max"/>
        <color rgb="FF63BE7B"/>
        <color rgb="FFFFEB84"/>
        <color rgb="FFF8696B"/>
      </colorScale>
    </cfRule>
    <cfRule type="colorScale" priority="5911">
      <colorScale>
        <cfvo type="min"/>
        <cfvo type="percentile" val="50"/>
        <cfvo type="max"/>
        <color rgb="FFF8696B"/>
        <color rgb="FFFFEB84"/>
        <color rgb="FF63BE7B"/>
      </colorScale>
    </cfRule>
    <cfRule type="colorScale" priority="1946">
      <colorScale>
        <cfvo type="min"/>
        <cfvo type="percentile" val="50"/>
        <cfvo type="max"/>
        <color rgb="FF63BE7B"/>
        <color rgb="FFFFEB84"/>
        <color rgb="FFF8696B"/>
      </colorScale>
    </cfRule>
    <cfRule type="colorScale" priority="1947">
      <colorScale>
        <cfvo type="min"/>
        <cfvo type="percentile" val="50"/>
        <cfvo type="max"/>
        <color rgb="FF63BE7B"/>
        <color rgb="FFFFEB84"/>
        <color rgb="FFF8696B"/>
      </colorScale>
    </cfRule>
    <cfRule type="colorScale" priority="1948">
      <colorScale>
        <cfvo type="min"/>
        <cfvo type="percentile" val="50"/>
        <cfvo type="max"/>
        <color rgb="FF63BE7B"/>
        <color rgb="FFFFEB84"/>
        <color rgb="FFF8696B"/>
      </colorScale>
    </cfRule>
    <cfRule type="colorScale" priority="1949">
      <colorScale>
        <cfvo type="min"/>
        <cfvo type="percentile" val="50"/>
        <cfvo type="max"/>
        <color rgb="FF63BE7B"/>
        <color rgb="FFFFEB84"/>
        <color rgb="FFF8696B"/>
      </colorScale>
    </cfRule>
    <cfRule type="colorScale" priority="1950">
      <colorScale>
        <cfvo type="min"/>
        <cfvo type="percentile" val="50"/>
        <cfvo type="max"/>
        <color rgb="FF63BE7B"/>
        <color rgb="FFFFEB84"/>
        <color rgb="FFF8696B"/>
      </colorScale>
    </cfRule>
    <cfRule type="colorScale" priority="1951">
      <colorScale>
        <cfvo type="min"/>
        <cfvo type="percentile" val="50"/>
        <cfvo type="max"/>
        <color rgb="FF63BE7B"/>
        <color rgb="FFFFEB84"/>
        <color rgb="FFF8696B"/>
      </colorScale>
    </cfRule>
    <cfRule type="colorScale" priority="1952">
      <colorScale>
        <cfvo type="min"/>
        <cfvo type="percentile" val="50"/>
        <cfvo type="max"/>
        <color rgb="FF63BE7B"/>
        <color rgb="FFFFEB84"/>
        <color rgb="FFF8696B"/>
      </colorScale>
    </cfRule>
    <cfRule type="colorScale" priority="1953">
      <colorScale>
        <cfvo type="min"/>
        <cfvo type="percentile" val="50"/>
        <cfvo type="max"/>
        <color rgb="FF63BE7B"/>
        <color rgb="FFFFEB84"/>
        <color rgb="FFF8696B"/>
      </colorScale>
    </cfRule>
    <cfRule type="colorScale" priority="1954">
      <colorScale>
        <cfvo type="min"/>
        <cfvo type="percentile" val="50"/>
        <cfvo type="max"/>
        <color rgb="FF63BE7B"/>
        <color rgb="FFFFEB84"/>
        <color rgb="FFF8696B"/>
      </colorScale>
    </cfRule>
    <cfRule type="colorScale" priority="1955">
      <colorScale>
        <cfvo type="min"/>
        <cfvo type="percentile" val="50"/>
        <cfvo type="max"/>
        <color rgb="FF63BE7B"/>
        <color rgb="FFFFEB84"/>
        <color rgb="FFF8696B"/>
      </colorScale>
    </cfRule>
    <cfRule type="colorScale" priority="1956">
      <colorScale>
        <cfvo type="min"/>
        <cfvo type="percentile" val="50"/>
        <cfvo type="max"/>
        <color rgb="FF63BE7B"/>
        <color rgb="FFFFEB84"/>
        <color rgb="FFF8696B"/>
      </colorScale>
    </cfRule>
    <cfRule type="colorScale" priority="1957">
      <colorScale>
        <cfvo type="min"/>
        <cfvo type="percentile" val="50"/>
        <cfvo type="max"/>
        <color rgb="FF63BE7B"/>
        <color rgb="FFFFEB84"/>
        <color rgb="FFF8696B"/>
      </colorScale>
    </cfRule>
    <cfRule type="colorScale" priority="1958">
      <colorScale>
        <cfvo type="min"/>
        <cfvo type="percentile" val="50"/>
        <cfvo type="max"/>
        <color rgb="FF63BE7B"/>
        <color rgb="FFFFEB84"/>
        <color rgb="FFF8696B"/>
      </colorScale>
    </cfRule>
    <cfRule type="colorScale" priority="6815">
      <colorScale>
        <cfvo type="min"/>
        <cfvo type="percentile" val="50"/>
        <cfvo type="max"/>
        <color rgb="FF63BE7B"/>
        <color rgb="FFFFEB84"/>
        <color rgb="FFF8696B"/>
      </colorScale>
    </cfRule>
    <cfRule type="colorScale" priority="1960">
      <colorScale>
        <cfvo type="min"/>
        <cfvo type="percentile" val="50"/>
        <cfvo type="max"/>
        <color rgb="FF63BE7B"/>
        <color rgb="FFFFEB84"/>
        <color rgb="FFF8696B"/>
      </colorScale>
    </cfRule>
    <cfRule type="colorScale" priority="1961">
      <colorScale>
        <cfvo type="min"/>
        <cfvo type="percentile" val="50"/>
        <cfvo type="max"/>
        <color rgb="FF63BE7B"/>
        <color rgb="FFFFEB84"/>
        <color rgb="FFF8696B"/>
      </colorScale>
    </cfRule>
    <cfRule type="colorScale" priority="1962">
      <colorScale>
        <cfvo type="min"/>
        <cfvo type="percentile" val="50"/>
        <cfvo type="max"/>
        <color rgb="FF63BE7B"/>
        <color rgb="FFFFEB84"/>
        <color rgb="FFF8696B"/>
      </colorScale>
    </cfRule>
    <cfRule type="colorScale" priority="1963">
      <colorScale>
        <cfvo type="min"/>
        <cfvo type="percentile" val="50"/>
        <cfvo type="max"/>
        <color rgb="FF63BE7B"/>
        <color rgb="FFFFEB84"/>
        <color rgb="FFF8696B"/>
      </colorScale>
    </cfRule>
    <cfRule type="colorScale" priority="1964">
      <colorScale>
        <cfvo type="min"/>
        <cfvo type="percentile" val="50"/>
        <cfvo type="max"/>
        <color rgb="FF63BE7B"/>
        <color rgb="FFFFEB84"/>
        <color rgb="FFF8696B"/>
      </colorScale>
    </cfRule>
    <cfRule type="colorScale" priority="1965">
      <colorScale>
        <cfvo type="min"/>
        <cfvo type="percentile" val="50"/>
        <cfvo type="max"/>
        <color rgb="FF63BE7B"/>
        <color rgb="FFFFEB84"/>
        <color rgb="FFF8696B"/>
      </colorScale>
    </cfRule>
    <cfRule type="colorScale" priority="1966">
      <colorScale>
        <cfvo type="min"/>
        <cfvo type="percentile" val="50"/>
        <cfvo type="max"/>
        <color rgb="FF63BE7B"/>
        <color rgb="FFFFEB84"/>
        <color rgb="FFF8696B"/>
      </colorScale>
    </cfRule>
    <cfRule type="colorScale" priority="1967">
      <colorScale>
        <cfvo type="min"/>
        <cfvo type="percentile" val="50"/>
        <cfvo type="max"/>
        <color rgb="FF63BE7B"/>
        <color rgb="FFFFEB84"/>
        <color rgb="FFF8696B"/>
      </colorScale>
    </cfRule>
    <cfRule type="colorScale" priority="1968">
      <colorScale>
        <cfvo type="min"/>
        <cfvo type="percentile" val="50"/>
        <cfvo type="max"/>
        <color rgb="FF63BE7B"/>
        <color rgb="FFFFEB84"/>
        <color rgb="FFF8696B"/>
      </colorScale>
    </cfRule>
    <cfRule type="colorScale" priority="1969">
      <colorScale>
        <cfvo type="min"/>
        <cfvo type="percentile" val="50"/>
        <cfvo type="max"/>
        <color rgb="FF63BE7B"/>
        <color rgb="FFFFEB84"/>
        <color rgb="FFF8696B"/>
      </colorScale>
    </cfRule>
    <cfRule type="colorScale" priority="1970">
      <colorScale>
        <cfvo type="min"/>
        <cfvo type="percentile" val="50"/>
        <cfvo type="max"/>
        <color rgb="FF63BE7B"/>
        <color rgb="FFFFEB84"/>
        <color rgb="FFF8696B"/>
      </colorScale>
    </cfRule>
    <cfRule type="colorScale" priority="1971">
      <colorScale>
        <cfvo type="min"/>
        <cfvo type="percentile" val="50"/>
        <cfvo type="max"/>
        <color rgb="FF63BE7B"/>
        <color rgb="FFFFEB84"/>
        <color rgb="FFF8696B"/>
      </colorScale>
    </cfRule>
    <cfRule type="colorScale" priority="4011">
      <colorScale>
        <cfvo type="min"/>
        <cfvo type="percentile" val="50"/>
        <cfvo type="max"/>
        <color rgb="FF63BE7B"/>
        <color rgb="FFFFEB84"/>
        <color rgb="FFF8696B"/>
      </colorScale>
    </cfRule>
    <cfRule type="colorScale" priority="4010">
      <colorScale>
        <cfvo type="min"/>
        <cfvo type="percentile" val="50"/>
        <cfvo type="max"/>
        <color rgb="FF63BE7B"/>
        <color rgb="FFFFEB84"/>
        <color rgb="FFF8696B"/>
      </colorScale>
    </cfRule>
    <cfRule type="colorScale" priority="4009">
      <colorScale>
        <cfvo type="min"/>
        <cfvo type="percentile" val="50"/>
        <cfvo type="max"/>
        <color rgb="FF63BE7B"/>
        <color rgb="FFFFEB84"/>
        <color rgb="FFF8696B"/>
      </colorScale>
    </cfRule>
    <cfRule type="colorScale" priority="4008">
      <colorScale>
        <cfvo type="min"/>
        <cfvo type="percentile" val="50"/>
        <cfvo type="max"/>
        <color rgb="FF63BE7B"/>
        <color rgb="FFFFEB84"/>
        <color rgb="FFF8696B"/>
      </colorScale>
    </cfRule>
    <cfRule type="colorScale" priority="4007">
      <colorScale>
        <cfvo type="min"/>
        <cfvo type="percentile" val="50"/>
        <cfvo type="max"/>
        <color rgb="FF63BE7B"/>
        <color rgb="FFFFEB84"/>
        <color rgb="FFF8696B"/>
      </colorScale>
    </cfRule>
    <cfRule type="colorScale" priority="4006">
      <colorScale>
        <cfvo type="min"/>
        <cfvo type="percentile" val="50"/>
        <cfvo type="max"/>
        <color rgb="FF63BE7B"/>
        <color rgb="FFFFEB84"/>
        <color rgb="FFF8696B"/>
      </colorScale>
    </cfRule>
    <cfRule type="colorScale" priority="4005">
      <colorScale>
        <cfvo type="min"/>
        <cfvo type="percentile" val="50"/>
        <cfvo type="max"/>
        <color rgb="FF63BE7B"/>
        <color rgb="FFFFEB84"/>
        <color rgb="FFF8696B"/>
      </colorScale>
    </cfRule>
    <cfRule type="colorScale" priority="4004">
      <colorScale>
        <cfvo type="min"/>
        <cfvo type="percentile" val="50"/>
        <cfvo type="max"/>
        <color rgb="FF63BE7B"/>
        <color rgb="FFFFEB84"/>
        <color rgb="FFF8696B"/>
      </colorScale>
    </cfRule>
    <cfRule type="colorScale" priority="4003">
      <colorScale>
        <cfvo type="min"/>
        <cfvo type="percentile" val="50"/>
        <cfvo type="max"/>
        <color rgb="FF63BE7B"/>
        <color rgb="FFFFEB84"/>
        <color rgb="FFF8696B"/>
      </colorScale>
    </cfRule>
    <cfRule type="colorScale" priority="4002">
      <colorScale>
        <cfvo type="min"/>
        <cfvo type="percentile" val="50"/>
        <cfvo type="max"/>
        <color rgb="FF63BE7B"/>
        <color rgb="FFFFEB84"/>
        <color rgb="FFF8696B"/>
      </colorScale>
    </cfRule>
    <cfRule type="colorScale" priority="4001">
      <colorScale>
        <cfvo type="min"/>
        <cfvo type="percentile" val="50"/>
        <cfvo type="max"/>
        <color rgb="FF63BE7B"/>
        <color rgb="FFFFEB84"/>
        <color rgb="FFF8696B"/>
      </colorScale>
    </cfRule>
    <cfRule type="colorScale" priority="4000">
      <colorScale>
        <cfvo type="min"/>
        <cfvo type="percentile" val="50"/>
        <cfvo type="max"/>
        <color rgb="FF63BE7B"/>
        <color rgb="FFFFEB84"/>
        <color rgb="FFF8696B"/>
      </colorScale>
    </cfRule>
    <cfRule type="colorScale" priority="3999">
      <colorScale>
        <cfvo type="min"/>
        <cfvo type="percentile" val="50"/>
        <cfvo type="max"/>
        <color rgb="FF63BE7B"/>
        <color rgb="FFFFEB84"/>
        <color rgb="FFF8696B"/>
      </colorScale>
    </cfRule>
    <cfRule type="colorScale" priority="3998">
      <colorScale>
        <cfvo type="min"/>
        <cfvo type="percentile" val="50"/>
        <cfvo type="max"/>
        <color rgb="FF63BE7B"/>
        <color rgb="FFFFEB84"/>
        <color rgb="FFF8696B"/>
      </colorScale>
    </cfRule>
    <cfRule type="colorScale" priority="3997">
      <colorScale>
        <cfvo type="min"/>
        <cfvo type="percentile" val="50"/>
        <cfvo type="max"/>
        <color rgb="FF63BE7B"/>
        <color rgb="FFFFEB84"/>
        <color rgb="FFF8696B"/>
      </colorScale>
    </cfRule>
    <cfRule type="colorScale" priority="3996">
      <colorScale>
        <cfvo type="min"/>
        <cfvo type="percentile" val="50"/>
        <cfvo type="max"/>
        <color rgb="FF63BE7B"/>
        <color rgb="FFFFEB84"/>
        <color rgb="FFF8696B"/>
      </colorScale>
    </cfRule>
    <cfRule type="colorScale" priority="6816">
      <colorScale>
        <cfvo type="min"/>
        <cfvo type="percentile" val="50"/>
        <cfvo type="max"/>
        <color rgb="FF63BE7B"/>
        <color rgb="FFFFEB84"/>
        <color rgb="FFF8696B"/>
      </colorScale>
    </cfRule>
    <cfRule type="colorScale" priority="6817">
      <colorScale>
        <cfvo type="min"/>
        <cfvo type="percentile" val="50"/>
        <cfvo type="max"/>
        <color rgb="FF63BE7B"/>
        <color rgb="FFFFEB84"/>
        <color rgb="FFF8696B"/>
      </colorScale>
    </cfRule>
    <cfRule type="colorScale" priority="6818">
      <colorScale>
        <cfvo type="min"/>
        <cfvo type="percentile" val="50"/>
        <cfvo type="max"/>
        <color rgb="FF63BE7B"/>
        <color rgb="FFFFEB84"/>
        <color rgb="FFF8696B"/>
      </colorScale>
    </cfRule>
    <cfRule type="colorScale" priority="6819">
      <colorScale>
        <cfvo type="min"/>
        <cfvo type="percentile" val="50"/>
        <cfvo type="max"/>
        <color rgb="FF63BE7B"/>
        <color rgb="FFFFEB84"/>
        <color rgb="FFF8696B"/>
      </colorScale>
    </cfRule>
    <cfRule type="colorScale" priority="6820">
      <colorScale>
        <cfvo type="min"/>
        <cfvo type="percentile" val="50"/>
        <cfvo type="max"/>
        <color rgb="FF63BE7B"/>
        <color rgb="FFFFEB84"/>
        <color rgb="FFF8696B"/>
      </colorScale>
    </cfRule>
    <cfRule type="colorScale" priority="6821">
      <colorScale>
        <cfvo type="min"/>
        <cfvo type="percentile" val="50"/>
        <cfvo type="max"/>
        <color rgb="FF63BE7B"/>
        <color rgb="FFFFEB84"/>
        <color rgb="FFF8696B"/>
      </colorScale>
    </cfRule>
    <cfRule type="colorScale" priority="6822">
      <colorScale>
        <cfvo type="min"/>
        <cfvo type="percentile" val="50"/>
        <cfvo type="max"/>
        <color rgb="FF63BE7B"/>
        <color rgb="FFFFEB84"/>
        <color rgb="FFF8696B"/>
      </colorScale>
    </cfRule>
    <cfRule type="colorScale" priority="6823">
      <colorScale>
        <cfvo type="min"/>
        <cfvo type="percentile" val="50"/>
        <cfvo type="max"/>
        <color rgb="FF63BE7B"/>
        <color rgb="FFFFEB84"/>
        <color rgb="FFF8696B"/>
      </colorScale>
    </cfRule>
    <cfRule type="colorScale" priority="6824">
      <colorScale>
        <cfvo type="min"/>
        <cfvo type="percentile" val="50"/>
        <cfvo type="max"/>
        <color rgb="FF63BE7B"/>
        <color rgb="FFFFEB84"/>
        <color rgb="FFF8696B"/>
      </colorScale>
    </cfRule>
    <cfRule type="colorScale" priority="6825">
      <colorScale>
        <cfvo type="min"/>
        <cfvo type="percentile" val="50"/>
        <cfvo type="max"/>
        <color rgb="FF63BE7B"/>
        <color rgb="FFFFEB84"/>
        <color rgb="FFF8696B"/>
      </colorScale>
    </cfRule>
    <cfRule type="colorScale" priority="6826">
      <colorScale>
        <cfvo type="min"/>
        <cfvo type="percentile" val="50"/>
        <cfvo type="max"/>
        <color rgb="FF63BE7B"/>
        <color rgb="FFFFEB84"/>
        <color rgb="FFF8696B"/>
      </colorScale>
    </cfRule>
    <cfRule type="colorScale" priority="6827">
      <colorScale>
        <cfvo type="min"/>
        <cfvo type="percentile" val="50"/>
        <cfvo type="max"/>
        <color rgb="FF63BE7B"/>
        <color rgb="FFFFEB84"/>
        <color rgb="FFF8696B"/>
      </colorScale>
    </cfRule>
    <cfRule type="colorScale" priority="6828">
      <colorScale>
        <cfvo type="min"/>
        <cfvo type="percentile" val="50"/>
        <cfvo type="max"/>
        <color rgb="FF63BE7B"/>
        <color rgb="FFFFEB84"/>
        <color rgb="FFF8696B"/>
      </colorScale>
    </cfRule>
    <cfRule type="colorScale" priority="6829">
      <colorScale>
        <cfvo type="min"/>
        <cfvo type="percentile" val="50"/>
        <cfvo type="max"/>
        <color rgb="FF63BE7B"/>
        <color rgb="FFFFEB84"/>
        <color rgb="FFF8696B"/>
      </colorScale>
    </cfRule>
    <cfRule type="colorScale" priority="6830">
      <colorScale>
        <cfvo type="min"/>
        <cfvo type="percentile" val="50"/>
        <cfvo type="max"/>
        <color rgb="FF63BE7B"/>
        <color rgb="FFFFEB84"/>
        <color rgb="FFF8696B"/>
      </colorScale>
    </cfRule>
    <cfRule type="colorScale" priority="6831">
      <colorScale>
        <cfvo type="min"/>
        <cfvo type="percentile" val="50"/>
        <cfvo type="max"/>
        <color rgb="FF63BE7B"/>
        <color rgb="FFFFEB84"/>
        <color rgb="FFF8696B"/>
      </colorScale>
    </cfRule>
    <cfRule type="colorScale" priority="6832">
      <colorScale>
        <cfvo type="min"/>
        <cfvo type="percentile" val="50"/>
        <cfvo type="max"/>
        <color rgb="FF63BE7B"/>
        <color rgb="FFFFEB84"/>
        <color rgb="FFF8696B"/>
      </colorScale>
    </cfRule>
    <cfRule type="colorScale" priority="3995">
      <colorScale>
        <cfvo type="min"/>
        <cfvo type="percentile" val="50"/>
        <cfvo type="max"/>
        <color rgb="FF63BE7B"/>
        <color rgb="FFFFEB84"/>
        <color rgb="FFF8696B"/>
      </colorScale>
    </cfRule>
    <cfRule type="colorScale" priority="3994">
      <colorScale>
        <cfvo type="min"/>
        <cfvo type="percentile" val="50"/>
        <cfvo type="max"/>
        <color rgb="FF63BE7B"/>
        <color rgb="FFFFEB84"/>
        <color rgb="FFF8696B"/>
      </colorScale>
    </cfRule>
    <cfRule type="colorScale" priority="3993">
      <colorScale>
        <cfvo type="min"/>
        <cfvo type="percentile" val="50"/>
        <cfvo type="max"/>
        <color rgb="FF63BE7B"/>
        <color rgb="FFFFEB84"/>
        <color rgb="FFF8696B"/>
      </colorScale>
    </cfRule>
    <cfRule type="colorScale" priority="3992">
      <colorScale>
        <cfvo type="min"/>
        <cfvo type="percentile" val="50"/>
        <cfvo type="max"/>
        <color rgb="FF63BE7B"/>
        <color rgb="FFFFEB84"/>
        <color rgb="FFF8696B"/>
      </colorScale>
    </cfRule>
    <cfRule type="colorScale" priority="3991">
      <colorScale>
        <cfvo type="min"/>
        <cfvo type="percentile" val="50"/>
        <cfvo type="max"/>
        <color rgb="FF63BE7B"/>
        <color rgb="FFFFEB84"/>
        <color rgb="FFF8696B"/>
      </colorScale>
    </cfRule>
    <cfRule type="colorScale" priority="3990">
      <colorScale>
        <cfvo type="min"/>
        <cfvo type="percentile" val="50"/>
        <cfvo type="max"/>
        <color rgb="FF63BE7B"/>
        <color rgb="FFFFEB84"/>
        <color rgb="FFF8696B"/>
      </colorScale>
    </cfRule>
    <cfRule type="colorScale" priority="3989">
      <colorScale>
        <cfvo type="min"/>
        <cfvo type="percentile" val="50"/>
        <cfvo type="max"/>
        <color rgb="FF63BE7B"/>
        <color rgb="FFFFEB84"/>
        <color rgb="FFF8696B"/>
      </colorScale>
    </cfRule>
    <cfRule type="colorScale" priority="3988">
      <colorScale>
        <cfvo type="min"/>
        <cfvo type="percentile" val="50"/>
        <cfvo type="max"/>
        <color rgb="FF63BE7B"/>
        <color rgb="FFFFEB84"/>
        <color rgb="FFF8696B"/>
      </colorScale>
    </cfRule>
    <cfRule type="colorScale" priority="3987">
      <colorScale>
        <cfvo type="min"/>
        <cfvo type="percentile" val="50"/>
        <cfvo type="max"/>
        <color rgb="FF63BE7B"/>
        <color rgb="FFFFEB84"/>
        <color rgb="FFF8696B"/>
      </colorScale>
    </cfRule>
    <cfRule type="colorScale" priority="3986">
      <colorScale>
        <cfvo type="min"/>
        <cfvo type="percentile" val="50"/>
        <cfvo type="max"/>
        <color rgb="FF63BE7B"/>
        <color rgb="FFFFEB84"/>
        <color rgb="FFF8696B"/>
      </colorScale>
    </cfRule>
    <cfRule type="colorScale" priority="1786">
      <colorScale>
        <cfvo type="min"/>
        <cfvo type="percentile" val="50"/>
        <cfvo type="max"/>
        <color rgb="FF63BE7B"/>
        <color rgb="FFFFEB84"/>
        <color rgb="FFF8696B"/>
      </colorScale>
    </cfRule>
    <cfRule type="colorScale" priority="1787">
      <colorScale>
        <cfvo type="min"/>
        <cfvo type="percentile" val="50"/>
        <cfvo type="max"/>
        <color rgb="FFF8696B"/>
        <color rgb="FFFFEB84"/>
        <color rgb="FF63BE7B"/>
      </colorScale>
    </cfRule>
    <cfRule type="colorScale" priority="1788">
      <colorScale>
        <cfvo type="min"/>
        <cfvo type="percentile" val="50"/>
        <cfvo type="max"/>
        <color rgb="FF63BE7B"/>
        <color rgb="FFFFEB84"/>
        <color rgb="FFF8696B"/>
      </colorScale>
    </cfRule>
    <cfRule type="colorScale" priority="1789">
      <colorScale>
        <cfvo type="min"/>
        <cfvo type="percentile" val="50"/>
        <cfvo type="max"/>
        <color rgb="FF63BE7B"/>
        <color rgb="FFFFEB84"/>
        <color rgb="FFF8696B"/>
      </colorScale>
    </cfRule>
    <cfRule type="colorScale" priority="1790">
      <colorScale>
        <cfvo type="min"/>
        <cfvo type="percentile" val="50"/>
        <cfvo type="max"/>
        <color rgb="FF63BE7B"/>
        <color rgb="FFFFEB84"/>
        <color rgb="FFF8696B"/>
      </colorScale>
    </cfRule>
    <cfRule type="colorScale" priority="1791">
      <colorScale>
        <cfvo type="min"/>
        <cfvo type="percentile" val="50"/>
        <cfvo type="max"/>
        <color rgb="FF63BE7B"/>
        <color rgb="FFFFEB84"/>
        <color rgb="FFF8696B"/>
      </colorScale>
    </cfRule>
    <cfRule type="colorScale" priority="1792">
      <colorScale>
        <cfvo type="min"/>
        <cfvo type="percentile" val="50"/>
        <cfvo type="max"/>
        <color rgb="FF63BE7B"/>
        <color rgb="FFFFEB84"/>
        <color rgb="FFF8696B"/>
      </colorScale>
    </cfRule>
    <cfRule type="colorScale" priority="1793">
      <colorScale>
        <cfvo type="min"/>
        <cfvo type="percentile" val="50"/>
        <cfvo type="max"/>
        <color rgb="FF63BE7B"/>
        <color rgb="FFFFEB84"/>
        <color rgb="FFF8696B"/>
      </colorScale>
    </cfRule>
    <cfRule type="colorScale" priority="1794">
      <colorScale>
        <cfvo type="min"/>
        <cfvo type="percentile" val="50"/>
        <cfvo type="max"/>
        <color rgb="FF63BE7B"/>
        <color rgb="FFFFEB84"/>
        <color rgb="FFF8696B"/>
      </colorScale>
    </cfRule>
    <cfRule type="colorScale" priority="1795">
      <colorScale>
        <cfvo type="min"/>
        <cfvo type="percentile" val="50"/>
        <cfvo type="max"/>
        <color rgb="FF63BE7B"/>
        <color rgb="FFFFEB84"/>
        <color rgb="FFF8696B"/>
      </colorScale>
    </cfRule>
    <cfRule type="colorScale" priority="1796">
      <colorScale>
        <cfvo type="min"/>
        <cfvo type="percentile" val="50"/>
        <cfvo type="max"/>
        <color rgb="FF63BE7B"/>
        <color rgb="FFFFEB84"/>
        <color rgb="FFF8696B"/>
      </colorScale>
    </cfRule>
    <cfRule type="colorScale" priority="1797">
      <colorScale>
        <cfvo type="min"/>
        <cfvo type="percentile" val="50"/>
        <cfvo type="max"/>
        <color rgb="FF63BE7B"/>
        <color rgb="FFFFEB84"/>
        <color rgb="FFF8696B"/>
      </colorScale>
    </cfRule>
    <cfRule type="colorScale" priority="1798">
      <colorScale>
        <cfvo type="min"/>
        <cfvo type="percentile" val="50"/>
        <cfvo type="max"/>
        <color rgb="FF63BE7B"/>
        <color rgb="FFFFEB84"/>
        <color rgb="FFF8696B"/>
      </colorScale>
    </cfRule>
    <cfRule type="colorScale" priority="1744">
      <colorScale>
        <cfvo type="min"/>
        <cfvo type="percentile" val="50"/>
        <cfvo type="max"/>
        <color rgb="FF63BE7B"/>
        <color rgb="FFFFEB84"/>
        <color rgb="FFF8696B"/>
      </colorScale>
    </cfRule>
    <cfRule type="colorScale" priority="1799">
      <colorScale>
        <cfvo type="min"/>
        <cfvo type="percentile" val="50"/>
        <cfvo type="max"/>
        <color rgb="FF63BE7B"/>
        <color rgb="FFFFEB84"/>
        <color rgb="FFF8696B"/>
      </colorScale>
    </cfRule>
    <cfRule type="colorScale" priority="1800">
      <colorScale>
        <cfvo type="min"/>
        <cfvo type="percentile" val="50"/>
        <cfvo type="max"/>
        <color rgb="FF63BE7B"/>
        <color rgb="FFFFEB84"/>
        <color rgb="FFF8696B"/>
      </colorScale>
    </cfRule>
    <cfRule type="colorScale" priority="1801">
      <colorScale>
        <cfvo type="min"/>
        <cfvo type="percentile" val="50"/>
        <cfvo type="max"/>
        <color rgb="FF63BE7B"/>
        <color rgb="FFFFEB84"/>
        <color rgb="FFF8696B"/>
      </colorScale>
    </cfRule>
    <cfRule type="colorScale" priority="1802">
      <colorScale>
        <cfvo type="min"/>
        <cfvo type="percentile" val="50"/>
        <cfvo type="max"/>
        <color rgb="FF63BE7B"/>
        <color rgb="FFFFEB84"/>
        <color rgb="FFF8696B"/>
      </colorScale>
    </cfRule>
    <cfRule type="colorScale" priority="1803">
      <colorScale>
        <cfvo type="min"/>
        <cfvo type="percentile" val="50"/>
        <cfvo type="max"/>
        <color rgb="FF63BE7B"/>
        <color rgb="FFFFEB84"/>
        <color rgb="FFF8696B"/>
      </colorScale>
    </cfRule>
    <cfRule type="colorScale" priority="1804">
      <colorScale>
        <cfvo type="min"/>
        <cfvo type="percentile" val="50"/>
        <cfvo type="max"/>
        <color rgb="FF63BE7B"/>
        <color rgb="FFFFEB84"/>
        <color rgb="FFF8696B"/>
      </colorScale>
    </cfRule>
    <cfRule type="colorScale" priority="1805">
      <colorScale>
        <cfvo type="min"/>
        <cfvo type="percentile" val="50"/>
        <cfvo type="max"/>
        <color rgb="FF63BE7B"/>
        <color rgb="FFFFEB84"/>
        <color rgb="FFF8696B"/>
      </colorScale>
    </cfRule>
    <cfRule type="colorScale" priority="1806">
      <colorScale>
        <cfvo type="min"/>
        <cfvo type="percentile" val="50"/>
        <cfvo type="max"/>
        <color rgb="FF63BE7B"/>
        <color rgb="FFFFEB84"/>
        <color rgb="FFF8696B"/>
      </colorScale>
    </cfRule>
    <cfRule type="colorScale" priority="1807">
      <colorScale>
        <cfvo type="min"/>
        <cfvo type="percentile" val="50"/>
        <cfvo type="max"/>
        <color rgb="FF63BE7B"/>
        <color rgb="FFFFEB84"/>
        <color rgb="FFF8696B"/>
      </colorScale>
    </cfRule>
    <cfRule type="colorScale" priority="1808">
      <colorScale>
        <cfvo type="min"/>
        <cfvo type="percentile" val="50"/>
        <cfvo type="max"/>
        <color rgb="FF63BE7B"/>
        <color rgb="FFFFEB84"/>
        <color rgb="FFF8696B"/>
      </colorScale>
    </cfRule>
    <cfRule type="colorScale" priority="1809">
      <colorScale>
        <cfvo type="min"/>
        <cfvo type="percentile" val="50"/>
        <cfvo type="max"/>
        <color rgb="FF63BE7B"/>
        <color rgb="FFFFEB84"/>
        <color rgb="FFF8696B"/>
      </colorScale>
    </cfRule>
    <cfRule type="colorScale" priority="1810">
      <colorScale>
        <cfvo type="min"/>
        <cfvo type="percentile" val="50"/>
        <cfvo type="max"/>
        <color rgb="FF63BE7B"/>
        <color rgb="FFFFEB84"/>
        <color rgb="FFF8696B"/>
      </colorScale>
    </cfRule>
    <cfRule type="colorScale" priority="1811">
      <colorScale>
        <cfvo type="min"/>
        <cfvo type="percentile" val="50"/>
        <cfvo type="max"/>
        <color rgb="FF63BE7B"/>
        <color rgb="FFFFEB84"/>
        <color rgb="FFF8696B"/>
      </colorScale>
    </cfRule>
    <cfRule type="colorScale" priority="1812">
      <colorScale>
        <cfvo type="min"/>
        <cfvo type="percentile" val="50"/>
        <cfvo type="max"/>
        <color rgb="FF63BE7B"/>
        <color rgb="FFFFEB84"/>
        <color rgb="FFF8696B"/>
      </colorScale>
    </cfRule>
    <cfRule type="colorScale" priority="1813">
      <colorScale>
        <cfvo type="min"/>
        <cfvo type="percentile" val="50"/>
        <cfvo type="max"/>
        <color rgb="FF63BE7B"/>
        <color rgb="FFFFEB84"/>
        <color rgb="FFF8696B"/>
      </colorScale>
    </cfRule>
    <cfRule type="colorScale" priority="1814">
      <colorScale>
        <cfvo type="min"/>
        <cfvo type="percentile" val="50"/>
        <cfvo type="max"/>
        <color rgb="FF63BE7B"/>
        <color rgb="FFFFEB84"/>
        <color rgb="FFF8696B"/>
      </colorScale>
    </cfRule>
    <cfRule type="colorScale" priority="1815">
      <colorScale>
        <cfvo type="min"/>
        <cfvo type="percentile" val="50"/>
        <cfvo type="max"/>
        <color rgb="FF63BE7B"/>
        <color rgb="FFFFEB84"/>
        <color rgb="FFF8696B"/>
      </colorScale>
    </cfRule>
    <cfRule type="colorScale" priority="1816">
      <colorScale>
        <cfvo type="min"/>
        <cfvo type="percentile" val="50"/>
        <cfvo type="max"/>
        <color rgb="FF63BE7B"/>
        <color rgb="FFFFEB84"/>
        <color rgb="FFF8696B"/>
      </colorScale>
    </cfRule>
    <cfRule type="colorScale" priority="1817">
      <colorScale>
        <cfvo type="min"/>
        <cfvo type="percentile" val="50"/>
        <cfvo type="max"/>
        <color rgb="FF63BE7B"/>
        <color rgb="FFFFEB84"/>
        <color rgb="FFF8696B"/>
      </colorScale>
    </cfRule>
    <cfRule type="colorScale" priority="1818">
      <colorScale>
        <cfvo type="min"/>
        <cfvo type="percentile" val="50"/>
        <cfvo type="max"/>
        <color rgb="FF63BE7B"/>
        <color rgb="FFFFEB84"/>
        <color rgb="FFF8696B"/>
      </colorScale>
    </cfRule>
    <cfRule type="colorScale" priority="1819">
      <colorScale>
        <cfvo type="min"/>
        <cfvo type="percentile" val="50"/>
        <cfvo type="max"/>
        <color rgb="FF63BE7B"/>
        <color rgb="FFFFEB84"/>
        <color rgb="FFF8696B"/>
      </colorScale>
    </cfRule>
    <cfRule type="colorScale" priority="1820">
      <colorScale>
        <cfvo type="min"/>
        <cfvo type="percentile" val="50"/>
        <cfvo type="max"/>
        <color rgb="FF63BE7B"/>
        <color rgb="FFFFEB84"/>
        <color rgb="FFF8696B"/>
      </colorScale>
    </cfRule>
    <cfRule type="colorScale" priority="1821">
      <colorScale>
        <cfvo type="min"/>
        <cfvo type="percentile" val="50"/>
        <cfvo type="max"/>
        <color rgb="FF63BE7B"/>
        <color rgb="FFFFEB84"/>
        <color rgb="FFF8696B"/>
      </colorScale>
    </cfRule>
    <cfRule type="colorScale" priority="1822">
      <colorScale>
        <cfvo type="min"/>
        <cfvo type="percentile" val="50"/>
        <cfvo type="max"/>
        <color rgb="FF63BE7B"/>
        <color rgb="FFFFEB84"/>
        <color rgb="FFF8696B"/>
      </colorScale>
    </cfRule>
    <cfRule type="colorScale" priority="1823">
      <colorScale>
        <cfvo type="min"/>
        <cfvo type="percentile" val="50"/>
        <cfvo type="max"/>
        <color rgb="FF63BE7B"/>
        <color rgb="FFFFEB84"/>
        <color rgb="FFF8696B"/>
      </colorScale>
    </cfRule>
    <cfRule type="colorScale" priority="1824">
      <colorScale>
        <cfvo type="min"/>
        <cfvo type="percentile" val="50"/>
        <cfvo type="max"/>
        <color rgb="FF63BE7B"/>
        <color rgb="FFFFEB84"/>
        <color rgb="FFF8696B"/>
      </colorScale>
    </cfRule>
    <cfRule type="colorScale" priority="1825">
      <colorScale>
        <cfvo type="min"/>
        <cfvo type="percentile" val="50"/>
        <cfvo type="max"/>
        <color rgb="FF63BE7B"/>
        <color rgb="FFFFEB84"/>
        <color rgb="FFF8696B"/>
      </colorScale>
    </cfRule>
    <cfRule type="colorScale" priority="1826">
      <colorScale>
        <cfvo type="min"/>
        <cfvo type="percentile" val="50"/>
        <cfvo type="max"/>
        <color rgb="FF63BE7B"/>
        <color rgb="FFFFEB84"/>
        <color rgb="FFF8696B"/>
      </colorScale>
    </cfRule>
    <cfRule type="colorScale" priority="1827">
      <colorScale>
        <cfvo type="min"/>
        <cfvo type="percentile" val="50"/>
        <cfvo type="max"/>
        <color rgb="FF63BE7B"/>
        <color rgb="FFFFEB84"/>
        <color rgb="FFF8696B"/>
      </colorScale>
    </cfRule>
    <cfRule type="colorScale" priority="1828">
      <colorScale>
        <cfvo type="min"/>
        <cfvo type="percentile" val="50"/>
        <cfvo type="max"/>
        <color rgb="FF63BE7B"/>
        <color rgb="FFFFEB84"/>
        <color rgb="FFF8696B"/>
      </colorScale>
    </cfRule>
    <cfRule type="colorScale" priority="1829">
      <colorScale>
        <cfvo type="min"/>
        <cfvo type="percentile" val="50"/>
        <cfvo type="max"/>
        <color rgb="FF63BE7B"/>
        <color rgb="FFFFEB84"/>
        <color rgb="FFF8696B"/>
      </colorScale>
    </cfRule>
    <cfRule type="colorScale" priority="1830">
      <colorScale>
        <cfvo type="min"/>
        <cfvo type="percentile" val="50"/>
        <cfvo type="max"/>
        <color rgb="FF63BE7B"/>
        <color rgb="FFFFEB84"/>
        <color rgb="FFF8696B"/>
      </colorScale>
    </cfRule>
    <cfRule type="colorScale" priority="1831">
      <colorScale>
        <cfvo type="min"/>
        <cfvo type="percentile" val="50"/>
        <cfvo type="max"/>
        <color rgb="FF63BE7B"/>
        <color rgb="FFFFEB84"/>
        <color rgb="FFF8696B"/>
      </colorScale>
    </cfRule>
    <cfRule type="colorScale" priority="1832">
      <colorScale>
        <cfvo type="min"/>
        <cfvo type="percentile" val="50"/>
        <cfvo type="max"/>
        <color rgb="FF63BE7B"/>
        <color rgb="FFFFEB84"/>
        <color rgb="FFF8696B"/>
      </colorScale>
    </cfRule>
    <cfRule type="colorScale" priority="1833">
      <colorScale>
        <cfvo type="min"/>
        <cfvo type="percentile" val="50"/>
        <cfvo type="max"/>
        <color rgb="FF63BE7B"/>
        <color rgb="FFFFEB84"/>
        <color rgb="FFF8696B"/>
      </colorScale>
    </cfRule>
    <cfRule type="colorScale" priority="1834">
      <colorScale>
        <cfvo type="min"/>
        <cfvo type="percentile" val="50"/>
        <cfvo type="max"/>
        <color rgb="FF63BE7B"/>
        <color rgb="FFFFEB84"/>
        <color rgb="FFF8696B"/>
      </colorScale>
    </cfRule>
    <cfRule type="colorScale" priority="1835">
      <colorScale>
        <cfvo type="min"/>
        <cfvo type="percentile" val="50"/>
        <cfvo type="max"/>
        <color rgb="FFF8696B"/>
        <color rgb="FFFFEB84"/>
        <color rgb="FF63BE7B"/>
      </colorScale>
    </cfRule>
    <cfRule type="colorScale" priority="1836">
      <colorScale>
        <cfvo type="min"/>
        <cfvo type="percentile" val="50"/>
        <cfvo type="max"/>
        <color rgb="FF63BE7B"/>
        <color rgb="FFFFEB84"/>
        <color rgb="FFF8696B"/>
      </colorScale>
    </cfRule>
    <cfRule type="colorScale" priority="1837">
      <colorScale>
        <cfvo type="min"/>
        <cfvo type="percentile" val="50"/>
        <cfvo type="max"/>
        <color rgb="FF63BE7B"/>
        <color rgb="FFFFEB84"/>
        <color rgb="FFF8696B"/>
      </colorScale>
    </cfRule>
    <cfRule type="colorScale" priority="1838">
      <colorScale>
        <cfvo type="min"/>
        <cfvo type="percentile" val="50"/>
        <cfvo type="max"/>
        <color rgb="FF63BE7B"/>
        <color rgb="FFFFEB84"/>
        <color rgb="FFF8696B"/>
      </colorScale>
    </cfRule>
    <cfRule type="colorScale" priority="1839">
      <colorScale>
        <cfvo type="min"/>
        <cfvo type="percentile" val="50"/>
        <cfvo type="max"/>
        <color rgb="FF63BE7B"/>
        <color rgb="FFFFEB84"/>
        <color rgb="FFF8696B"/>
      </colorScale>
    </cfRule>
    <cfRule type="colorScale" priority="1840">
      <colorScale>
        <cfvo type="min"/>
        <cfvo type="percentile" val="50"/>
        <cfvo type="max"/>
        <color rgb="FF63BE7B"/>
        <color rgb="FFFFEB84"/>
        <color rgb="FFF8696B"/>
      </colorScale>
    </cfRule>
    <cfRule type="colorScale" priority="1841">
      <colorScale>
        <cfvo type="min"/>
        <cfvo type="percentile" val="50"/>
        <cfvo type="max"/>
        <color rgb="FF63BE7B"/>
        <color rgb="FFFFEB84"/>
        <color rgb="FFF8696B"/>
      </colorScale>
    </cfRule>
    <cfRule type="colorScale" priority="1842">
      <colorScale>
        <cfvo type="min"/>
        <cfvo type="percentile" val="50"/>
        <cfvo type="max"/>
        <color rgb="FF63BE7B"/>
        <color rgb="FFFFEB84"/>
        <color rgb="FFF8696B"/>
      </colorScale>
    </cfRule>
    <cfRule type="colorScale" priority="1843">
      <colorScale>
        <cfvo type="min"/>
        <cfvo type="percentile" val="50"/>
        <cfvo type="max"/>
        <color rgb="FF63BE7B"/>
        <color rgb="FFFFEB84"/>
        <color rgb="FFF8696B"/>
      </colorScale>
    </cfRule>
    <cfRule type="colorScale" priority="1844">
      <colorScale>
        <cfvo type="min"/>
        <cfvo type="percentile" val="50"/>
        <cfvo type="max"/>
        <color rgb="FF63BE7B"/>
        <color rgb="FFFFEB84"/>
        <color rgb="FFF8696B"/>
      </colorScale>
    </cfRule>
    <cfRule type="colorScale" priority="1845">
      <colorScale>
        <cfvo type="min"/>
        <cfvo type="percentile" val="50"/>
        <cfvo type="max"/>
        <color rgb="FF63BE7B"/>
        <color rgb="FFFFEB84"/>
        <color rgb="FFF8696B"/>
      </colorScale>
    </cfRule>
    <cfRule type="colorScale" priority="1846">
      <colorScale>
        <cfvo type="min"/>
        <cfvo type="percentile" val="50"/>
        <cfvo type="max"/>
        <color rgb="FF63BE7B"/>
        <color rgb="FFFFEB84"/>
        <color rgb="FFF8696B"/>
      </colorScale>
    </cfRule>
    <cfRule type="colorScale" priority="1847">
      <colorScale>
        <cfvo type="min"/>
        <cfvo type="percentile" val="50"/>
        <cfvo type="max"/>
        <color rgb="FF63BE7B"/>
        <color rgb="FFFFEB84"/>
        <color rgb="FFF8696B"/>
      </colorScale>
    </cfRule>
    <cfRule type="colorScale" priority="1848">
      <colorScale>
        <cfvo type="min"/>
        <cfvo type="percentile" val="50"/>
        <cfvo type="max"/>
        <color rgb="FF63BE7B"/>
        <color rgb="FFFFEB84"/>
        <color rgb="FFF8696B"/>
      </colorScale>
    </cfRule>
    <cfRule type="colorScale" priority="1849">
      <colorScale>
        <cfvo type="min"/>
        <cfvo type="percentile" val="50"/>
        <cfvo type="max"/>
        <color rgb="FF63BE7B"/>
        <color rgb="FFFFEB84"/>
        <color rgb="FFF8696B"/>
      </colorScale>
    </cfRule>
    <cfRule type="colorScale" priority="1850">
      <colorScale>
        <cfvo type="min"/>
        <cfvo type="percentile" val="50"/>
        <cfvo type="max"/>
        <color rgb="FF63BE7B"/>
        <color rgb="FFFFEB84"/>
        <color rgb="FFF8696B"/>
      </colorScale>
    </cfRule>
    <cfRule type="colorScale" priority="1851">
      <colorScale>
        <cfvo type="min"/>
        <cfvo type="percentile" val="50"/>
        <cfvo type="max"/>
        <color rgb="FF63BE7B"/>
        <color rgb="FFFFEB84"/>
        <color rgb="FFF8696B"/>
      </colorScale>
    </cfRule>
    <cfRule type="colorScale" priority="1852">
      <colorScale>
        <cfvo type="min"/>
        <cfvo type="percentile" val="50"/>
        <cfvo type="max"/>
        <color rgb="FF63BE7B"/>
        <color rgb="FFFFEB84"/>
        <color rgb="FFF8696B"/>
      </colorScale>
    </cfRule>
    <cfRule type="colorScale" priority="1853">
      <colorScale>
        <cfvo type="min"/>
        <cfvo type="percentile" val="50"/>
        <cfvo type="max"/>
        <color rgb="FF63BE7B"/>
        <color rgb="FFFFEB84"/>
        <color rgb="FFF8696B"/>
      </colorScale>
    </cfRule>
    <cfRule type="colorScale" priority="1854">
      <colorScale>
        <cfvo type="min"/>
        <cfvo type="percentile" val="50"/>
        <cfvo type="max"/>
        <color rgb="FF63BE7B"/>
        <color rgb="FFFFEB84"/>
        <color rgb="FFF8696B"/>
      </colorScale>
    </cfRule>
    <cfRule type="colorScale" priority="1855">
      <colorScale>
        <cfvo type="min"/>
        <cfvo type="percentile" val="50"/>
        <cfvo type="max"/>
        <color rgb="FF63BE7B"/>
        <color rgb="FFFFEB84"/>
        <color rgb="FFF8696B"/>
      </colorScale>
    </cfRule>
    <cfRule type="colorScale" priority="1856">
      <colorScale>
        <cfvo type="min"/>
        <cfvo type="percentile" val="50"/>
        <cfvo type="max"/>
        <color rgb="FF63BE7B"/>
        <color rgb="FFFFEB84"/>
        <color rgb="FFF8696B"/>
      </colorScale>
    </cfRule>
    <cfRule type="colorScale" priority="1857">
      <colorScale>
        <cfvo type="min"/>
        <cfvo type="percentile" val="50"/>
        <cfvo type="max"/>
        <color rgb="FF63BE7B"/>
        <color rgb="FFFFEB84"/>
        <color rgb="FFF8696B"/>
      </colorScale>
    </cfRule>
    <cfRule type="colorScale" priority="1858">
      <colorScale>
        <cfvo type="min"/>
        <cfvo type="percentile" val="50"/>
        <cfvo type="max"/>
        <color rgb="FF63BE7B"/>
        <color rgb="FFFFEB84"/>
        <color rgb="FFF8696B"/>
      </colorScale>
    </cfRule>
    <cfRule type="colorScale" priority="1859">
      <colorScale>
        <cfvo type="min"/>
        <cfvo type="percentile" val="50"/>
        <cfvo type="max"/>
        <color rgb="FF63BE7B"/>
        <color rgb="FFFFEB84"/>
        <color rgb="FFF8696B"/>
      </colorScale>
    </cfRule>
    <cfRule type="colorScale" priority="1860">
      <colorScale>
        <cfvo type="min"/>
        <cfvo type="percentile" val="50"/>
        <cfvo type="max"/>
        <color rgb="FF63BE7B"/>
        <color rgb="FFFFEB84"/>
        <color rgb="FFF8696B"/>
      </colorScale>
    </cfRule>
    <cfRule type="colorScale" priority="1861">
      <colorScale>
        <cfvo type="min"/>
        <cfvo type="percentile" val="50"/>
        <cfvo type="max"/>
        <color rgb="FF63BE7B"/>
        <color rgb="FFFFEB84"/>
        <color rgb="FFF8696B"/>
      </colorScale>
    </cfRule>
    <cfRule type="colorScale" priority="1862">
      <colorScale>
        <cfvo type="min"/>
        <cfvo type="percentile" val="50"/>
        <cfvo type="max"/>
        <color rgb="FF63BE7B"/>
        <color rgb="FFFFEB84"/>
        <color rgb="FFF8696B"/>
      </colorScale>
    </cfRule>
    <cfRule type="colorScale" priority="1863">
      <colorScale>
        <cfvo type="min"/>
        <cfvo type="percentile" val="50"/>
        <cfvo type="max"/>
        <color rgb="FF63BE7B"/>
        <color rgb="FFFFEB84"/>
        <color rgb="FFF8696B"/>
      </colorScale>
    </cfRule>
    <cfRule type="colorScale" priority="1864">
      <colorScale>
        <cfvo type="min"/>
        <cfvo type="percentile" val="50"/>
        <cfvo type="max"/>
        <color rgb="FF63BE7B"/>
        <color rgb="FFFFEB84"/>
        <color rgb="FFF8696B"/>
      </colorScale>
    </cfRule>
    <cfRule type="colorScale" priority="1865">
      <colorScale>
        <cfvo type="min"/>
        <cfvo type="percentile" val="50"/>
        <cfvo type="max"/>
        <color rgb="FF63BE7B"/>
        <color rgb="FFFFEB84"/>
        <color rgb="FFF8696B"/>
      </colorScale>
    </cfRule>
    <cfRule type="colorScale" priority="1866">
      <colorScale>
        <cfvo type="min"/>
        <cfvo type="percentile" val="50"/>
        <cfvo type="max"/>
        <color rgb="FF63BE7B"/>
        <color rgb="FFFFEB84"/>
        <color rgb="FFF8696B"/>
      </colorScale>
    </cfRule>
    <cfRule type="colorScale" priority="1959">
      <colorScale>
        <cfvo type="min"/>
        <cfvo type="percentile" val="50"/>
        <cfvo type="max"/>
        <color rgb="FF63BE7B"/>
        <color rgb="FFFFEB84"/>
        <color rgb="FFF8696B"/>
      </colorScale>
    </cfRule>
    <cfRule type="colorScale" priority="1867">
      <colorScale>
        <cfvo type="min"/>
        <cfvo type="percentile" val="50"/>
        <cfvo type="max"/>
        <color rgb="FF63BE7B"/>
        <color rgb="FFFFEB84"/>
        <color rgb="FFF8696B"/>
      </colorScale>
    </cfRule>
    <cfRule type="colorScale" priority="1868">
      <colorScale>
        <cfvo type="min"/>
        <cfvo type="percentile" val="50"/>
        <cfvo type="max"/>
        <color rgb="FF63BE7B"/>
        <color rgb="FFFFEB84"/>
        <color rgb="FFF8696B"/>
      </colorScale>
    </cfRule>
    <cfRule type="colorScale" priority="1869">
      <colorScale>
        <cfvo type="min"/>
        <cfvo type="percentile" val="50"/>
        <cfvo type="max"/>
        <color rgb="FF63BE7B"/>
        <color rgb="FFFFEB84"/>
        <color rgb="FFF8696B"/>
      </colorScale>
    </cfRule>
    <cfRule type="colorScale" priority="1870">
      <colorScale>
        <cfvo type="min"/>
        <cfvo type="percentile" val="50"/>
        <cfvo type="max"/>
        <color rgb="FF63BE7B"/>
        <color rgb="FFFFEB84"/>
        <color rgb="FFF8696B"/>
      </colorScale>
    </cfRule>
    <cfRule type="colorScale" priority="1871">
      <colorScale>
        <cfvo type="min"/>
        <cfvo type="percentile" val="50"/>
        <cfvo type="max"/>
        <color rgb="FF63BE7B"/>
        <color rgb="FFFFEB84"/>
        <color rgb="FFF8696B"/>
      </colorScale>
    </cfRule>
    <cfRule type="colorScale" priority="1872">
      <colorScale>
        <cfvo type="min"/>
        <cfvo type="percentile" val="50"/>
        <cfvo type="max"/>
        <color rgb="FF63BE7B"/>
        <color rgb="FFFFEB84"/>
        <color rgb="FFF8696B"/>
      </colorScale>
    </cfRule>
    <cfRule type="colorScale" priority="1873">
      <colorScale>
        <cfvo type="min"/>
        <cfvo type="percentile" val="50"/>
        <cfvo type="max"/>
        <color rgb="FF63BE7B"/>
        <color rgb="FFFFEB84"/>
        <color rgb="FFF8696B"/>
      </colorScale>
    </cfRule>
    <cfRule type="colorScale" priority="1874">
      <colorScale>
        <cfvo type="min"/>
        <cfvo type="percentile" val="50"/>
        <cfvo type="max"/>
        <color rgb="FF63BE7B"/>
        <color rgb="FFFFEB84"/>
        <color rgb="FFF8696B"/>
      </colorScale>
    </cfRule>
    <cfRule type="colorScale" priority="1745">
      <colorScale>
        <cfvo type="min"/>
        <cfvo type="percentile" val="50"/>
        <cfvo type="max"/>
        <color rgb="FF63BE7B"/>
        <color rgb="FFFFEB84"/>
        <color rgb="FFF8696B"/>
      </colorScale>
    </cfRule>
    <cfRule type="colorScale" priority="1748">
      <colorScale>
        <cfvo type="min"/>
        <cfvo type="percentile" val="50"/>
        <cfvo type="max"/>
        <color rgb="FFF8696B"/>
        <color rgb="FFFFEB84"/>
        <color rgb="FF63BE7B"/>
      </colorScale>
    </cfRule>
    <cfRule type="colorScale" priority="1749">
      <colorScale>
        <cfvo type="min"/>
        <cfvo type="percentile" val="50"/>
        <cfvo type="max"/>
        <color rgb="FF63BE7B"/>
        <color rgb="FFFFEB84"/>
        <color rgb="FFF8696B"/>
      </colorScale>
    </cfRule>
    <cfRule type="colorScale" priority="1750">
      <colorScale>
        <cfvo type="min"/>
        <cfvo type="percentile" val="50"/>
        <cfvo type="max"/>
        <color rgb="FF63BE7B"/>
        <color rgb="FFFFEB84"/>
        <color rgb="FFF8696B"/>
      </colorScale>
    </cfRule>
    <cfRule type="colorScale" priority="1751">
      <colorScale>
        <cfvo type="min"/>
        <cfvo type="percentile" val="50"/>
        <cfvo type="max"/>
        <color rgb="FF63BE7B"/>
        <color rgb="FFFFEB84"/>
        <color rgb="FFF8696B"/>
      </colorScale>
    </cfRule>
    <cfRule type="colorScale" priority="1752">
      <colorScale>
        <cfvo type="min"/>
        <cfvo type="percentile" val="50"/>
        <cfvo type="max"/>
        <color rgb="FF63BE7B"/>
        <color rgb="FFFFEB84"/>
        <color rgb="FFF8696B"/>
      </colorScale>
    </cfRule>
    <cfRule type="colorScale" priority="1753">
      <colorScale>
        <cfvo type="min"/>
        <cfvo type="percentile" val="50"/>
        <cfvo type="max"/>
        <color rgb="FF63BE7B"/>
        <color rgb="FFFFEB84"/>
        <color rgb="FFF8696B"/>
      </colorScale>
    </cfRule>
    <cfRule type="colorScale" priority="1754">
      <colorScale>
        <cfvo type="min"/>
        <cfvo type="percentile" val="50"/>
        <cfvo type="max"/>
        <color rgb="FF63BE7B"/>
        <color rgb="FFFFEB84"/>
        <color rgb="FFF8696B"/>
      </colorScale>
    </cfRule>
    <cfRule type="colorScale" priority="1755">
      <colorScale>
        <cfvo type="min"/>
        <cfvo type="percentile" val="50"/>
        <cfvo type="max"/>
        <color rgb="FF63BE7B"/>
        <color rgb="FFFFEB84"/>
        <color rgb="FFF8696B"/>
      </colorScale>
    </cfRule>
    <cfRule type="colorScale" priority="1756">
      <colorScale>
        <cfvo type="min"/>
        <cfvo type="percentile" val="50"/>
        <cfvo type="max"/>
        <color rgb="FF63BE7B"/>
        <color rgb="FFFFEB84"/>
        <color rgb="FFF8696B"/>
      </colorScale>
    </cfRule>
    <cfRule type="colorScale" priority="1757">
      <colorScale>
        <cfvo type="min"/>
        <cfvo type="percentile" val="50"/>
        <cfvo type="max"/>
        <color rgb="FF63BE7B"/>
        <color rgb="FFFFEB84"/>
        <color rgb="FFF8696B"/>
      </colorScale>
    </cfRule>
    <cfRule type="colorScale" priority="1758">
      <colorScale>
        <cfvo type="min"/>
        <cfvo type="percentile" val="50"/>
        <cfvo type="max"/>
        <color rgb="FF63BE7B"/>
        <color rgb="FFFFEB84"/>
        <color rgb="FFF8696B"/>
      </colorScale>
    </cfRule>
    <cfRule type="colorScale" priority="1759">
      <colorScale>
        <cfvo type="min"/>
        <cfvo type="percentile" val="50"/>
        <cfvo type="max"/>
        <color rgb="FF63BE7B"/>
        <color rgb="FFFFEB84"/>
        <color rgb="FFF8696B"/>
      </colorScale>
    </cfRule>
    <cfRule type="colorScale" priority="1760">
      <colorScale>
        <cfvo type="min"/>
        <cfvo type="percentile" val="50"/>
        <cfvo type="max"/>
        <color rgb="FF63BE7B"/>
        <color rgb="FFFFEB84"/>
        <color rgb="FFF8696B"/>
      </colorScale>
    </cfRule>
    <cfRule type="colorScale" priority="1761">
      <colorScale>
        <cfvo type="min"/>
        <cfvo type="percentile" val="50"/>
        <cfvo type="max"/>
        <color rgb="FF63BE7B"/>
        <color rgb="FFFFEB84"/>
        <color rgb="FFF8696B"/>
      </colorScale>
    </cfRule>
    <cfRule type="colorScale" priority="1762">
      <colorScale>
        <cfvo type="min"/>
        <cfvo type="percentile" val="50"/>
        <cfvo type="max"/>
        <color rgb="FF63BE7B"/>
        <color rgb="FFFFEB84"/>
        <color rgb="FFF8696B"/>
      </colorScale>
    </cfRule>
    <cfRule type="colorScale" priority="1763">
      <colorScale>
        <cfvo type="min"/>
        <cfvo type="percentile" val="50"/>
        <cfvo type="max"/>
        <color rgb="FF63BE7B"/>
        <color rgb="FFFFEB84"/>
        <color rgb="FFF8696B"/>
      </colorScale>
    </cfRule>
    <cfRule type="colorScale" priority="1764">
      <colorScale>
        <cfvo type="min"/>
        <cfvo type="percentile" val="50"/>
        <cfvo type="max"/>
        <color rgb="FF63BE7B"/>
        <color rgb="FFFFEB84"/>
        <color rgb="FFF8696B"/>
      </colorScale>
    </cfRule>
    <cfRule type="colorScale" priority="1765">
      <colorScale>
        <cfvo type="min"/>
        <cfvo type="percentile" val="50"/>
        <cfvo type="max"/>
        <color rgb="FF63BE7B"/>
        <color rgb="FFFFEB84"/>
        <color rgb="FFF8696B"/>
      </colorScale>
    </cfRule>
    <cfRule type="colorScale" priority="1875">
      <colorScale>
        <cfvo type="min"/>
        <cfvo type="percentile" val="50"/>
        <cfvo type="max"/>
        <color rgb="FF63BE7B"/>
        <color rgb="FFFFEB84"/>
        <color rgb="FFF8696B"/>
      </colorScale>
    </cfRule>
    <cfRule type="colorScale" priority="1876">
      <colorScale>
        <cfvo type="min"/>
        <cfvo type="percentile" val="50"/>
        <cfvo type="max"/>
        <color rgb="FF63BE7B"/>
        <color rgb="FFFFEB84"/>
        <color rgb="FFF8696B"/>
      </colorScale>
    </cfRule>
  </conditionalFormatting>
  <conditionalFormatting sqref="AF54:AF61">
    <cfRule type="colorScale" priority="27">
      <colorScale>
        <cfvo type="min"/>
        <cfvo type="percentile" val="50"/>
        <cfvo type="max"/>
        <color rgb="FF63BE7B"/>
        <color rgb="FFFFEB84"/>
        <color rgb="FFF8696B"/>
      </colorScale>
    </cfRule>
  </conditionalFormatting>
  <conditionalFormatting sqref="AG35:AG37">
    <cfRule type="colorScale" priority="10947">
      <colorScale>
        <cfvo type="min"/>
        <cfvo type="percentile" val="50"/>
        <cfvo type="max"/>
        <color rgb="FF63BE7B"/>
        <color rgb="FFFFEB84"/>
        <color rgb="FFF8696B"/>
      </colorScale>
    </cfRule>
  </conditionalFormatting>
  <conditionalFormatting sqref="AG35:AG41">
    <cfRule type="colorScale" priority="10946">
      <colorScale>
        <cfvo type="min"/>
        <cfvo type="percentile" val="50"/>
        <cfvo type="max"/>
        <color rgb="FF63BE7B"/>
        <color rgb="FFFFEB84"/>
        <color rgb="FFF8696B"/>
      </colorScale>
    </cfRule>
    <cfRule type="colorScale" priority="10960">
      <colorScale>
        <cfvo type="min"/>
        <cfvo type="percentile" val="50"/>
        <cfvo type="max"/>
        <color rgb="FF63BE7B"/>
        <color rgb="FFFFEB84"/>
        <color rgb="FFF8696B"/>
      </colorScale>
    </cfRule>
    <cfRule type="colorScale" priority="10959">
      <colorScale>
        <cfvo type="min"/>
        <cfvo type="percentile" val="50"/>
        <cfvo type="max"/>
        <color rgb="FF63BE7B"/>
        <color rgb="FFFFEB84"/>
        <color rgb="FFF8696B"/>
      </colorScale>
    </cfRule>
    <cfRule type="colorScale" priority="10958">
      <colorScale>
        <cfvo type="min"/>
        <cfvo type="percentile" val="50"/>
        <cfvo type="max"/>
        <color rgb="FF63BE7B"/>
        <color rgb="FFFFEB84"/>
        <color rgb="FFF8696B"/>
      </colorScale>
    </cfRule>
    <cfRule type="colorScale" priority="10957">
      <colorScale>
        <cfvo type="min"/>
        <cfvo type="percentile" val="50"/>
        <cfvo type="max"/>
        <color rgb="FF63BE7B"/>
        <color rgb="FFFFEB84"/>
        <color rgb="FFF8696B"/>
      </colorScale>
    </cfRule>
    <cfRule type="colorScale" priority="10956">
      <colorScale>
        <cfvo type="min"/>
        <cfvo type="percentile" val="50"/>
        <cfvo type="max"/>
        <color rgb="FF63BE7B"/>
        <color rgb="FFFFEB84"/>
        <color rgb="FFF8696B"/>
      </colorScale>
    </cfRule>
    <cfRule type="colorScale" priority="10955">
      <colorScale>
        <cfvo type="min"/>
        <cfvo type="percentile" val="50"/>
        <cfvo type="max"/>
        <color rgb="FF63BE7B"/>
        <color rgb="FFFFEB84"/>
        <color rgb="FFF8696B"/>
      </colorScale>
    </cfRule>
    <cfRule type="colorScale" priority="10954">
      <colorScale>
        <cfvo type="min"/>
        <cfvo type="percentile" val="50"/>
        <cfvo type="max"/>
        <color rgb="FF63BE7B"/>
        <color rgb="FFFFEB84"/>
        <color rgb="FFF8696B"/>
      </colorScale>
    </cfRule>
    <cfRule type="colorScale" priority="10953">
      <colorScale>
        <cfvo type="min"/>
        <cfvo type="percentile" val="50"/>
        <cfvo type="max"/>
        <color rgb="FF63BE7B"/>
        <color rgb="FFFFEB84"/>
        <color rgb="FFF8696B"/>
      </colorScale>
    </cfRule>
    <cfRule type="colorScale" priority="10952">
      <colorScale>
        <cfvo type="min"/>
        <cfvo type="percentile" val="50"/>
        <cfvo type="max"/>
        <color rgb="FF63BE7B"/>
        <color rgb="FFFFEB84"/>
        <color rgb="FFF8696B"/>
      </colorScale>
    </cfRule>
    <cfRule type="colorScale" priority="10951">
      <colorScale>
        <cfvo type="min"/>
        <cfvo type="percentile" val="50"/>
        <cfvo type="max"/>
        <color rgb="FF63BE7B"/>
        <color rgb="FFFFEB84"/>
        <color rgb="FFF8696B"/>
      </colorScale>
    </cfRule>
    <cfRule type="colorScale" priority="10950">
      <colorScale>
        <cfvo type="min"/>
        <cfvo type="percentile" val="50"/>
        <cfvo type="max"/>
        <color rgb="FF63BE7B"/>
        <color rgb="FFFFEB84"/>
        <color rgb="FFF8696B"/>
      </colorScale>
    </cfRule>
    <cfRule type="colorScale" priority="10949">
      <colorScale>
        <cfvo type="min"/>
        <cfvo type="percentile" val="50"/>
        <cfvo type="max"/>
        <color rgb="FF63BE7B"/>
        <color rgb="FFFFEB84"/>
        <color rgb="FFF8696B"/>
      </colorScale>
    </cfRule>
    <cfRule type="colorScale" priority="10948">
      <colorScale>
        <cfvo type="min"/>
        <cfvo type="percentile" val="50"/>
        <cfvo type="max"/>
        <color rgb="FF63BE7B"/>
        <color rgb="FFFFEB84"/>
        <color rgb="FFF8696B"/>
      </colorScale>
    </cfRule>
    <cfRule type="colorScale" priority="10945">
      <colorScale>
        <cfvo type="min"/>
        <cfvo type="percentile" val="50"/>
        <cfvo type="max"/>
        <color rgb="FF63BE7B"/>
        <color rgb="FFFFEB84"/>
        <color rgb="FFF8696B"/>
      </colorScale>
    </cfRule>
    <cfRule type="colorScale" priority="10963">
      <colorScale>
        <cfvo type="min"/>
        <cfvo type="percentile" val="50"/>
        <cfvo type="max"/>
        <color rgb="FF63BE7B"/>
        <color rgb="FFFFEB84"/>
        <color rgb="FFF8696B"/>
      </colorScale>
    </cfRule>
    <cfRule type="colorScale" priority="10962">
      <colorScale>
        <cfvo type="min"/>
        <cfvo type="percentile" val="50"/>
        <cfvo type="max"/>
        <color rgb="FF63BE7B"/>
        <color rgb="FFFFEB84"/>
        <color rgb="FFF8696B"/>
      </colorScale>
    </cfRule>
    <cfRule type="colorScale" priority="10961">
      <colorScale>
        <cfvo type="min"/>
        <cfvo type="percentile" val="50"/>
        <cfvo type="max"/>
        <color rgb="FF63BE7B"/>
        <color rgb="FFFFEB84"/>
        <color rgb="FFF8696B"/>
      </colorScale>
    </cfRule>
  </conditionalFormatting>
  <conditionalFormatting sqref="AG42:AG51">
    <cfRule type="colorScale" priority="7442">
      <colorScale>
        <cfvo type="min"/>
        <cfvo type="percentile" val="50"/>
        <cfvo type="max"/>
        <color rgb="FF63BE7B"/>
        <color rgb="FFFFEB84"/>
        <color rgb="FFF8696B"/>
      </colorScale>
    </cfRule>
  </conditionalFormatting>
  <conditionalFormatting sqref="AG51:AG53">
    <cfRule type="colorScale" priority="3984">
      <colorScale>
        <cfvo type="min"/>
        <cfvo type="percentile" val="50"/>
        <cfvo type="max"/>
        <color rgb="FF63BE7B"/>
        <color rgb="FFFFEB84"/>
        <color rgb="FFF8696B"/>
      </colorScale>
    </cfRule>
    <cfRule type="colorScale" priority="3983">
      <colorScale>
        <cfvo type="min"/>
        <cfvo type="percentile" val="50"/>
        <cfvo type="max"/>
        <color rgb="FF63BE7B"/>
        <color rgb="FFFFEB84"/>
        <color rgb="FFF8696B"/>
      </colorScale>
    </cfRule>
    <cfRule type="colorScale" priority="3956">
      <colorScale>
        <cfvo type="min"/>
        <cfvo type="percentile" val="50"/>
        <cfvo type="max"/>
        <color rgb="FF63BE7B"/>
        <color rgb="FFFFEB84"/>
        <color rgb="FFF8696B"/>
      </colorScale>
    </cfRule>
  </conditionalFormatting>
  <conditionalFormatting sqref="AG52:AG53">
    <cfRule type="colorScale" priority="6799">
      <colorScale>
        <cfvo type="min"/>
        <cfvo type="percentile" val="50"/>
        <cfvo type="max"/>
        <color rgb="FF63BE7B"/>
        <color rgb="FFFFEB84"/>
        <color rgb="FFF8696B"/>
      </colorScale>
    </cfRule>
    <cfRule type="colorScale" priority="6798">
      <colorScale>
        <cfvo type="min"/>
        <cfvo type="percentile" val="50"/>
        <cfvo type="max"/>
        <color rgb="FF63BE7B"/>
        <color rgb="FFFFEB84"/>
        <color rgb="FFF8696B"/>
      </colorScale>
    </cfRule>
    <cfRule type="colorScale" priority="6797">
      <colorScale>
        <cfvo type="min"/>
        <cfvo type="percentile" val="50"/>
        <cfvo type="max"/>
        <color rgb="FF63BE7B"/>
        <color rgb="FFFFEB84"/>
        <color rgb="FFF8696B"/>
      </colorScale>
    </cfRule>
    <cfRule type="colorScale" priority="6813">
      <colorScale>
        <cfvo type="min"/>
        <cfvo type="percentile" val="50"/>
        <cfvo type="max"/>
        <color rgb="FF63BE7B"/>
        <color rgb="FFFFEB84"/>
        <color rgb="FFF8696B"/>
      </colorScale>
    </cfRule>
    <cfRule type="colorScale" priority="6812">
      <colorScale>
        <cfvo type="min"/>
        <cfvo type="percentile" val="50"/>
        <cfvo type="max"/>
        <color rgb="FF63BE7B"/>
        <color rgb="FFFFEB84"/>
        <color rgb="FFF8696B"/>
      </colorScale>
    </cfRule>
    <cfRule type="colorScale" priority="6811">
      <colorScale>
        <cfvo type="min"/>
        <cfvo type="percentile" val="50"/>
        <cfvo type="max"/>
        <color rgb="FF63BE7B"/>
        <color rgb="FFFFEB84"/>
        <color rgb="FFF8696B"/>
      </colorScale>
    </cfRule>
    <cfRule type="colorScale" priority="6809">
      <colorScale>
        <cfvo type="min"/>
        <cfvo type="percentile" val="50"/>
        <cfvo type="max"/>
        <color rgb="FF63BE7B"/>
        <color rgb="FFFFEB84"/>
        <color rgb="FFF8696B"/>
      </colorScale>
    </cfRule>
    <cfRule type="colorScale" priority="6808">
      <colorScale>
        <cfvo type="min"/>
        <cfvo type="percentile" val="50"/>
        <cfvo type="max"/>
        <color rgb="FF63BE7B"/>
        <color rgb="FFFFEB84"/>
        <color rgb="FFF8696B"/>
      </colorScale>
    </cfRule>
    <cfRule type="colorScale" priority="3980">
      <colorScale>
        <cfvo type="min"/>
        <cfvo type="percentile" val="50"/>
        <cfvo type="max"/>
        <color rgb="FF63BE7B"/>
        <color rgb="FFFFEB84"/>
        <color rgb="FFF8696B"/>
      </colorScale>
    </cfRule>
    <cfRule type="colorScale" priority="6807">
      <colorScale>
        <cfvo type="min"/>
        <cfvo type="percentile" val="50"/>
        <cfvo type="max"/>
        <color rgb="FF63BE7B"/>
        <color rgb="FFFFEB84"/>
        <color rgb="FFF8696B"/>
      </colorScale>
    </cfRule>
    <cfRule type="colorScale" priority="6806">
      <colorScale>
        <cfvo type="min"/>
        <cfvo type="percentile" val="50"/>
        <cfvo type="max"/>
        <color rgb="FF63BE7B"/>
        <color rgb="FFFFEB84"/>
        <color rgb="FFF8696B"/>
      </colorScale>
    </cfRule>
    <cfRule type="colorScale" priority="6805">
      <colorScale>
        <cfvo type="min"/>
        <cfvo type="percentile" val="50"/>
        <cfvo type="max"/>
        <color rgb="FF63BE7B"/>
        <color rgb="FFFFEB84"/>
        <color rgb="FFF8696B"/>
      </colorScale>
    </cfRule>
    <cfRule type="colorScale" priority="3982">
      <colorScale>
        <cfvo type="min"/>
        <cfvo type="percentile" val="50"/>
        <cfvo type="max"/>
        <color rgb="FF63BE7B"/>
        <color rgb="FFFFEB84"/>
        <color rgb="FFF8696B"/>
      </colorScale>
    </cfRule>
    <cfRule type="colorScale" priority="6804">
      <colorScale>
        <cfvo type="min"/>
        <cfvo type="percentile" val="50"/>
        <cfvo type="max"/>
        <color rgb="FF63BE7B"/>
        <color rgb="FFFFEB84"/>
        <color rgb="FFF8696B"/>
      </colorScale>
    </cfRule>
    <cfRule type="colorScale" priority="6803">
      <colorScale>
        <cfvo type="min"/>
        <cfvo type="percentile" val="50"/>
        <cfvo type="max"/>
        <color rgb="FF63BE7B"/>
        <color rgb="FFFFEB84"/>
        <color rgb="FFF8696B"/>
      </colorScale>
    </cfRule>
    <cfRule type="colorScale" priority="3981">
      <colorScale>
        <cfvo type="min"/>
        <cfvo type="percentile" val="50"/>
        <cfvo type="max"/>
        <color rgb="FF63BE7B"/>
        <color rgb="FFFFEB84"/>
        <color rgb="FFF8696B"/>
      </colorScale>
    </cfRule>
    <cfRule type="colorScale" priority="3978">
      <colorScale>
        <cfvo type="min"/>
        <cfvo type="percentile" val="50"/>
        <cfvo type="max"/>
        <color rgb="FF63BE7B"/>
        <color rgb="FFFFEB84"/>
        <color rgb="FFF8696B"/>
      </colorScale>
    </cfRule>
    <cfRule type="colorScale" priority="6802">
      <colorScale>
        <cfvo type="min"/>
        <cfvo type="percentile" val="50"/>
        <cfvo type="max"/>
        <color rgb="FF63BE7B"/>
        <color rgb="FFFFEB84"/>
        <color rgb="FFF8696B"/>
      </colorScale>
    </cfRule>
    <cfRule type="colorScale" priority="6801">
      <colorScale>
        <cfvo type="min"/>
        <cfvo type="percentile" val="50"/>
        <cfvo type="max"/>
        <color rgb="FF63BE7B"/>
        <color rgb="FFFFEB84"/>
        <color rgb="FFF8696B"/>
      </colorScale>
    </cfRule>
    <cfRule type="colorScale" priority="6810">
      <colorScale>
        <cfvo type="min"/>
        <cfvo type="percentile" val="50"/>
        <cfvo type="max"/>
        <color rgb="FF63BE7B"/>
        <color rgb="FFFFEB84"/>
        <color rgb="FFF8696B"/>
      </colorScale>
    </cfRule>
    <cfRule type="colorScale" priority="6800">
      <colorScale>
        <cfvo type="min"/>
        <cfvo type="percentile" val="50"/>
        <cfvo type="max"/>
        <color rgb="FF63BE7B"/>
        <color rgb="FFFFEB84"/>
        <color rgb="FFF8696B"/>
      </colorScale>
    </cfRule>
    <cfRule type="colorScale" priority="3969">
      <colorScale>
        <cfvo type="min"/>
        <cfvo type="percentile" val="50"/>
        <cfvo type="max"/>
        <color rgb="FF63BE7B"/>
        <color rgb="FFFFEB84"/>
        <color rgb="FFF8696B"/>
      </colorScale>
    </cfRule>
    <cfRule type="colorScale" priority="3979">
      <colorScale>
        <cfvo type="min"/>
        <cfvo type="percentile" val="50"/>
        <cfvo type="max"/>
        <color rgb="FF63BE7B"/>
        <color rgb="FFFFEB84"/>
        <color rgb="FFF8696B"/>
      </colorScale>
    </cfRule>
    <cfRule type="colorScale" priority="3977">
      <colorScale>
        <cfvo type="min"/>
        <cfvo type="percentile" val="50"/>
        <cfvo type="max"/>
        <color rgb="FF63BE7B"/>
        <color rgb="FFFFEB84"/>
        <color rgb="FFF8696B"/>
      </colorScale>
    </cfRule>
    <cfRule type="colorScale" priority="3976">
      <colorScale>
        <cfvo type="min"/>
        <cfvo type="percentile" val="50"/>
        <cfvo type="max"/>
        <color rgb="FF63BE7B"/>
        <color rgb="FFFFEB84"/>
        <color rgb="FFF8696B"/>
      </colorScale>
    </cfRule>
    <cfRule type="colorScale" priority="3975">
      <colorScale>
        <cfvo type="min"/>
        <cfvo type="percentile" val="50"/>
        <cfvo type="max"/>
        <color rgb="FF63BE7B"/>
        <color rgb="FFFFEB84"/>
        <color rgb="FFF8696B"/>
      </colorScale>
    </cfRule>
    <cfRule type="colorScale" priority="3974">
      <colorScale>
        <cfvo type="min"/>
        <cfvo type="percentile" val="50"/>
        <cfvo type="max"/>
        <color rgb="FF63BE7B"/>
        <color rgb="FFFFEB84"/>
        <color rgb="FFF8696B"/>
      </colorScale>
    </cfRule>
    <cfRule type="colorScale" priority="3973">
      <colorScale>
        <cfvo type="min"/>
        <cfvo type="percentile" val="50"/>
        <cfvo type="max"/>
        <color rgb="FF63BE7B"/>
        <color rgb="FFFFEB84"/>
        <color rgb="FFF8696B"/>
      </colorScale>
    </cfRule>
    <cfRule type="colorScale" priority="3972">
      <colorScale>
        <cfvo type="min"/>
        <cfvo type="percentile" val="50"/>
        <cfvo type="max"/>
        <color rgb="FF63BE7B"/>
        <color rgb="FFFFEB84"/>
        <color rgb="FFF8696B"/>
      </colorScale>
    </cfRule>
    <cfRule type="colorScale" priority="3971">
      <colorScale>
        <cfvo type="min"/>
        <cfvo type="percentile" val="50"/>
        <cfvo type="max"/>
        <color rgb="FF63BE7B"/>
        <color rgb="FFFFEB84"/>
        <color rgb="FFF8696B"/>
      </colorScale>
    </cfRule>
    <cfRule type="colorScale" priority="3970">
      <colorScale>
        <cfvo type="min"/>
        <cfvo type="percentile" val="50"/>
        <cfvo type="max"/>
        <color rgb="FF63BE7B"/>
        <color rgb="FFFFEB84"/>
        <color rgb="FFF8696B"/>
      </colorScale>
    </cfRule>
    <cfRule type="colorScale" priority="3968">
      <colorScale>
        <cfvo type="min"/>
        <cfvo type="percentile" val="50"/>
        <cfvo type="max"/>
        <color rgb="FF63BE7B"/>
        <color rgb="FFFFEB84"/>
        <color rgb="FFF8696B"/>
      </colorScale>
    </cfRule>
    <cfRule type="colorScale" priority="3967">
      <colorScale>
        <cfvo type="min"/>
        <cfvo type="percentile" val="50"/>
        <cfvo type="max"/>
        <color rgb="FF63BE7B"/>
        <color rgb="FFFFEB84"/>
        <color rgb="FFF8696B"/>
      </colorScale>
    </cfRule>
    <cfRule type="colorScale" priority="3966">
      <colorScale>
        <cfvo type="min"/>
        <cfvo type="percentile" val="50"/>
        <cfvo type="max"/>
        <color rgb="FF63BE7B"/>
        <color rgb="FFFFEB84"/>
        <color rgb="FFF8696B"/>
      </colorScale>
    </cfRule>
    <cfRule type="colorScale" priority="3965">
      <colorScale>
        <cfvo type="min"/>
        <cfvo type="percentile" val="50"/>
        <cfvo type="max"/>
        <color rgb="FF63BE7B"/>
        <color rgb="FFFFEB84"/>
        <color rgb="FFF8696B"/>
      </colorScale>
    </cfRule>
    <cfRule type="colorScale" priority="3964">
      <colorScale>
        <cfvo type="min"/>
        <cfvo type="percentile" val="50"/>
        <cfvo type="max"/>
        <color rgb="FF63BE7B"/>
        <color rgb="FFFFEB84"/>
        <color rgb="FFF8696B"/>
      </colorScale>
    </cfRule>
    <cfRule type="colorScale" priority="3963">
      <colorScale>
        <cfvo type="min"/>
        <cfvo type="percentile" val="50"/>
        <cfvo type="max"/>
        <color rgb="FF63BE7B"/>
        <color rgb="FFFFEB84"/>
        <color rgb="FFF8696B"/>
      </colorScale>
    </cfRule>
    <cfRule type="colorScale" priority="3962">
      <colorScale>
        <cfvo type="min"/>
        <cfvo type="percentile" val="50"/>
        <cfvo type="max"/>
        <color rgb="FF63BE7B"/>
        <color rgb="FFFFEB84"/>
        <color rgb="FFF8696B"/>
      </colorScale>
    </cfRule>
    <cfRule type="colorScale" priority="3961">
      <colorScale>
        <cfvo type="min"/>
        <cfvo type="percentile" val="50"/>
        <cfvo type="max"/>
        <color rgb="FF63BE7B"/>
        <color rgb="FFFFEB84"/>
        <color rgb="FFF8696B"/>
      </colorScale>
    </cfRule>
    <cfRule type="colorScale" priority="3960">
      <colorScale>
        <cfvo type="min"/>
        <cfvo type="percentile" val="50"/>
        <cfvo type="max"/>
        <color rgb="FF63BE7B"/>
        <color rgb="FFFFEB84"/>
        <color rgb="FFF8696B"/>
      </colorScale>
    </cfRule>
    <cfRule type="colorScale" priority="3959">
      <colorScale>
        <cfvo type="min"/>
        <cfvo type="percentile" val="50"/>
        <cfvo type="max"/>
        <color rgb="FF63BE7B"/>
        <color rgb="FFFFEB84"/>
        <color rgb="FFF8696B"/>
      </colorScale>
    </cfRule>
    <cfRule type="colorScale" priority="3958">
      <colorScale>
        <cfvo type="min"/>
        <cfvo type="percentile" val="50"/>
        <cfvo type="max"/>
        <color rgb="FF63BE7B"/>
        <color rgb="FFFFEB84"/>
        <color rgb="FFF8696B"/>
      </colorScale>
    </cfRule>
    <cfRule type="colorScale" priority="3957">
      <colorScale>
        <cfvo type="min"/>
        <cfvo type="percentile" val="50"/>
        <cfvo type="max"/>
        <color rgb="FF63BE7B"/>
        <color rgb="FFFFEB84"/>
        <color rgb="FFF8696B"/>
      </colorScale>
    </cfRule>
    <cfRule type="colorScale" priority="6814">
      <colorScale>
        <cfvo type="min"/>
        <cfvo type="percentile" val="50"/>
        <cfvo type="max"/>
        <color rgb="FF63BE7B"/>
        <color rgb="FFFFEB84"/>
        <color rgb="FFF8696B"/>
      </colorScale>
    </cfRule>
  </conditionalFormatting>
  <conditionalFormatting sqref="AG54:AG61">
    <cfRule type="colorScale" priority="25">
      <colorScale>
        <cfvo type="min"/>
        <cfvo type="percentile" val="50"/>
        <cfvo type="max"/>
        <color rgb="FF63BE7B"/>
        <color rgb="FFFFEB84"/>
        <color rgb="FFF8696B"/>
      </colorScale>
    </cfRule>
  </conditionalFormatting>
  <conditionalFormatting sqref="AG65:AG71">
    <cfRule type="colorScale" priority="12500">
      <colorScale>
        <cfvo type="min"/>
        <cfvo type="percentile" val="50"/>
        <cfvo type="max"/>
        <color rgb="FF63BE7B"/>
        <color rgb="FFFFEB84"/>
        <color rgb="FFF8696B"/>
      </colorScale>
    </cfRule>
    <cfRule type="colorScale" priority="12501">
      <colorScale>
        <cfvo type="min"/>
        <cfvo type="percentile" val="50"/>
        <cfvo type="max"/>
        <color rgb="FF63BE7B"/>
        <color rgb="FFFFEB84"/>
        <color rgb="FFF8696B"/>
      </colorScale>
    </cfRule>
    <cfRule type="colorScale" priority="12499">
      <colorScale>
        <cfvo type="min"/>
        <cfvo type="percentile" val="50"/>
        <cfvo type="max"/>
        <color rgb="FF63BE7B"/>
        <color rgb="FFFFEB84"/>
        <color rgb="FFF8696B"/>
      </colorScale>
    </cfRule>
  </conditionalFormatting>
  <conditionalFormatting sqref="AG65:AG80">
    <cfRule type="colorScale" priority="12579">
      <colorScale>
        <cfvo type="min"/>
        <cfvo type="percentile" val="50"/>
        <cfvo type="max"/>
        <color rgb="FF63BE7B"/>
        <color rgb="FFFFEB84"/>
        <color rgb="FFF8696B"/>
      </colorScale>
    </cfRule>
  </conditionalFormatting>
  <conditionalFormatting sqref="AG66:AG71">
    <cfRule type="colorScale" priority="12502">
      <colorScale>
        <cfvo type="min"/>
        <cfvo type="percentile" val="50"/>
        <cfvo type="max"/>
        <color rgb="FF63BE7B"/>
        <color rgb="FFFFEB84"/>
        <color rgb="FFF8696B"/>
      </colorScale>
    </cfRule>
  </conditionalFormatting>
  <conditionalFormatting sqref="AG72:AG80">
    <cfRule type="colorScale" priority="12382">
      <colorScale>
        <cfvo type="min"/>
        <cfvo type="percentile" val="50"/>
        <cfvo type="max"/>
        <color rgb="FF63BE7B"/>
        <color rgb="FFFFEB84"/>
        <color rgb="FFF8696B"/>
      </colorScale>
    </cfRule>
    <cfRule type="colorScale" priority="12383">
      <colorScale>
        <cfvo type="min"/>
        <cfvo type="percentile" val="50"/>
        <cfvo type="max"/>
        <color rgb="FF63BE7B"/>
        <color rgb="FFFFEB84"/>
        <color rgb="FFF8696B"/>
      </colorScale>
    </cfRule>
    <cfRule type="colorScale" priority="12384">
      <colorScale>
        <cfvo type="min"/>
        <cfvo type="percentile" val="50"/>
        <cfvo type="max"/>
        <color rgb="FF63BE7B"/>
        <color rgb="FFFFEB84"/>
        <color rgb="FFF8696B"/>
      </colorScale>
    </cfRule>
    <cfRule type="colorScale" priority="12385">
      <colorScale>
        <cfvo type="min"/>
        <cfvo type="percentile" val="50"/>
        <cfvo type="max"/>
        <color rgb="FF63BE7B"/>
        <color rgb="FFFFEB84"/>
        <color rgb="FFF8696B"/>
      </colorScale>
    </cfRule>
  </conditionalFormatting>
  <conditionalFormatting sqref="AG81:AG83">
    <cfRule type="colorScale" priority="12274">
      <colorScale>
        <cfvo type="min"/>
        <cfvo type="percentile" val="50"/>
        <cfvo type="max"/>
        <color rgb="FF63BE7B"/>
        <color rgb="FFFFEB84"/>
        <color rgb="FFF8696B"/>
      </colorScale>
    </cfRule>
    <cfRule type="colorScale" priority="12276">
      <colorScale>
        <cfvo type="min"/>
        <cfvo type="percentile" val="50"/>
        <cfvo type="max"/>
        <color rgb="FF63BE7B"/>
        <color rgb="FFFFEB84"/>
        <color rgb="FFF8696B"/>
      </colorScale>
    </cfRule>
    <cfRule type="colorScale" priority="12275">
      <colorScale>
        <cfvo type="min"/>
        <cfvo type="percentile" val="50"/>
        <cfvo type="max"/>
        <color rgb="FF63BE7B"/>
        <color rgb="FFFFEB84"/>
        <color rgb="FFF8696B"/>
      </colorScale>
    </cfRule>
    <cfRule type="colorScale" priority="12277">
      <colorScale>
        <cfvo type="min"/>
        <cfvo type="percentile" val="50"/>
        <cfvo type="max"/>
        <color rgb="FF63BE7B"/>
        <color rgb="FFFFEB84"/>
        <color rgb="FFF8696B"/>
      </colorScale>
    </cfRule>
  </conditionalFormatting>
  <conditionalFormatting sqref="AG84:AG91">
    <cfRule type="colorScale" priority="12099">
      <colorScale>
        <cfvo type="min"/>
        <cfvo type="percentile" val="50"/>
        <cfvo type="max"/>
        <color rgb="FF63BE7B"/>
        <color rgb="FFFFEB84"/>
        <color rgb="FFF8696B"/>
      </colorScale>
    </cfRule>
    <cfRule type="colorScale" priority="12101">
      <colorScale>
        <cfvo type="min"/>
        <cfvo type="percentile" val="50"/>
        <cfvo type="max"/>
        <color rgb="FF63BE7B"/>
        <color rgb="FFFFEB84"/>
        <color rgb="FFF8696B"/>
      </colorScale>
    </cfRule>
    <cfRule type="colorScale" priority="12102">
      <colorScale>
        <cfvo type="min"/>
        <cfvo type="percentile" val="50"/>
        <cfvo type="max"/>
        <color rgb="FF63BE7B"/>
        <color rgb="FFFFEB84"/>
        <color rgb="FFF8696B"/>
      </colorScale>
    </cfRule>
  </conditionalFormatting>
  <conditionalFormatting sqref="AG86">
    <cfRule type="colorScale" priority="12100">
      <colorScale>
        <cfvo type="min"/>
        <cfvo type="percentile" val="50"/>
        <cfvo type="max"/>
        <color rgb="FF63BE7B"/>
        <color rgb="FFFFEB84"/>
        <color rgb="FFF8696B"/>
      </colorScale>
    </cfRule>
  </conditionalFormatting>
  <conditionalFormatting sqref="AG96:AG102">
    <cfRule type="colorScale" priority="11895">
      <colorScale>
        <cfvo type="min"/>
        <cfvo type="percentile" val="50"/>
        <cfvo type="max"/>
        <color rgb="FF63BE7B"/>
        <color rgb="FFFFEB84"/>
        <color rgb="FFF8696B"/>
      </colorScale>
    </cfRule>
    <cfRule type="colorScale" priority="11893">
      <colorScale>
        <cfvo type="min"/>
        <cfvo type="percentile" val="50"/>
        <cfvo type="max"/>
        <color rgb="FF63BE7B"/>
        <color rgb="FFFFEB84"/>
        <color rgb="FFF8696B"/>
      </colorScale>
    </cfRule>
    <cfRule type="colorScale" priority="11894">
      <colorScale>
        <cfvo type="min"/>
        <cfvo type="percentile" val="50"/>
        <cfvo type="max"/>
        <color rgb="FF63BE7B"/>
        <color rgb="FFFFEB84"/>
        <color rgb="FFF8696B"/>
      </colorScale>
    </cfRule>
  </conditionalFormatting>
  <conditionalFormatting sqref="AG96:AG111">
    <cfRule type="colorScale" priority="11973">
      <colorScale>
        <cfvo type="min"/>
        <cfvo type="percentile" val="50"/>
        <cfvo type="max"/>
        <color rgb="FF63BE7B"/>
        <color rgb="FFFFEB84"/>
        <color rgb="FFF8696B"/>
      </colorScale>
    </cfRule>
  </conditionalFormatting>
  <conditionalFormatting sqref="AG97:AG102">
    <cfRule type="colorScale" priority="11896">
      <colorScale>
        <cfvo type="min"/>
        <cfvo type="percentile" val="50"/>
        <cfvo type="max"/>
        <color rgb="FF63BE7B"/>
        <color rgb="FFFFEB84"/>
        <color rgb="FFF8696B"/>
      </colorScale>
    </cfRule>
  </conditionalFormatting>
  <conditionalFormatting sqref="AG103:AG111">
    <cfRule type="colorScale" priority="11778">
      <colorScale>
        <cfvo type="min"/>
        <cfvo type="percentile" val="50"/>
        <cfvo type="max"/>
        <color rgb="FF63BE7B"/>
        <color rgb="FFFFEB84"/>
        <color rgb="FFF8696B"/>
      </colorScale>
    </cfRule>
    <cfRule type="colorScale" priority="11776">
      <colorScale>
        <cfvo type="min"/>
        <cfvo type="percentile" val="50"/>
        <cfvo type="max"/>
        <color rgb="FF63BE7B"/>
        <color rgb="FFFFEB84"/>
        <color rgb="FFF8696B"/>
      </colorScale>
    </cfRule>
    <cfRule type="colorScale" priority="11777">
      <colorScale>
        <cfvo type="min"/>
        <cfvo type="percentile" val="50"/>
        <cfvo type="max"/>
        <color rgb="FF63BE7B"/>
        <color rgb="FFFFEB84"/>
        <color rgb="FFF8696B"/>
      </colorScale>
    </cfRule>
    <cfRule type="colorScale" priority="11779">
      <colorScale>
        <cfvo type="min"/>
        <cfvo type="percentile" val="50"/>
        <cfvo type="max"/>
        <color rgb="FF63BE7B"/>
        <color rgb="FFFFEB84"/>
        <color rgb="FFF8696B"/>
      </colorScale>
    </cfRule>
  </conditionalFormatting>
  <conditionalFormatting sqref="AG112:AG114">
    <cfRule type="colorScale" priority="11671">
      <colorScale>
        <cfvo type="min"/>
        <cfvo type="percentile" val="50"/>
        <cfvo type="max"/>
        <color rgb="FF63BE7B"/>
        <color rgb="FFFFEB84"/>
        <color rgb="FFF8696B"/>
      </colorScale>
    </cfRule>
    <cfRule type="colorScale" priority="11672">
      <colorScale>
        <cfvo type="min"/>
        <cfvo type="percentile" val="50"/>
        <cfvo type="max"/>
        <color rgb="FF63BE7B"/>
        <color rgb="FFFFEB84"/>
        <color rgb="FFF8696B"/>
      </colorScale>
    </cfRule>
    <cfRule type="colorScale" priority="11674">
      <colorScale>
        <cfvo type="min"/>
        <cfvo type="percentile" val="50"/>
        <cfvo type="max"/>
        <color rgb="FF63BE7B"/>
        <color rgb="FFFFEB84"/>
        <color rgb="FFF8696B"/>
      </colorScale>
    </cfRule>
    <cfRule type="colorScale" priority="11673">
      <colorScale>
        <cfvo type="min"/>
        <cfvo type="percentile" val="50"/>
        <cfvo type="max"/>
        <color rgb="FF63BE7B"/>
        <color rgb="FFFFEB84"/>
        <color rgb="FFF8696B"/>
      </colorScale>
    </cfRule>
  </conditionalFormatting>
  <conditionalFormatting sqref="AG115:AG122">
    <cfRule type="colorScale" priority="11498">
      <colorScale>
        <cfvo type="min"/>
        <cfvo type="percentile" val="50"/>
        <cfvo type="max"/>
        <color rgb="FF63BE7B"/>
        <color rgb="FFFFEB84"/>
        <color rgb="FFF8696B"/>
      </colorScale>
    </cfRule>
    <cfRule type="colorScale" priority="11496">
      <colorScale>
        <cfvo type="min"/>
        <cfvo type="percentile" val="50"/>
        <cfvo type="max"/>
        <color rgb="FF63BE7B"/>
        <color rgb="FFFFEB84"/>
        <color rgb="FFF8696B"/>
      </colorScale>
    </cfRule>
    <cfRule type="colorScale" priority="11499">
      <colorScale>
        <cfvo type="min"/>
        <cfvo type="percentile" val="50"/>
        <cfvo type="max"/>
        <color rgb="FF63BE7B"/>
        <color rgb="FFFFEB84"/>
        <color rgb="FFF8696B"/>
      </colorScale>
    </cfRule>
  </conditionalFormatting>
  <conditionalFormatting sqref="AG117">
    <cfRule type="colorScale" priority="11497">
      <colorScale>
        <cfvo type="min"/>
        <cfvo type="percentile" val="50"/>
        <cfvo type="max"/>
        <color rgb="FF63BE7B"/>
        <color rgb="FFFFEB84"/>
        <color rgb="FFF8696B"/>
      </colorScale>
    </cfRule>
  </conditionalFormatting>
  <conditionalFormatting sqref="AH35:AH37">
    <cfRule type="colorScale" priority="10928">
      <colorScale>
        <cfvo type="min"/>
        <cfvo type="percentile" val="50"/>
        <cfvo type="max"/>
        <color rgb="FF63BE7B"/>
        <color rgb="FFFFEB84"/>
        <color rgb="FFF8696B"/>
      </colorScale>
    </cfRule>
    <cfRule type="colorScale" priority="9785">
      <colorScale>
        <cfvo type="min"/>
        <cfvo type="percentile" val="50"/>
        <cfvo type="max"/>
        <color rgb="FF63BE7B"/>
        <color rgb="FFFFEB84"/>
        <color rgb="FFF8696B"/>
      </colorScale>
    </cfRule>
    <cfRule type="colorScale" priority="9799">
      <colorScale>
        <cfvo type="min"/>
        <cfvo type="percentile" val="50"/>
        <cfvo type="max"/>
        <color rgb="FF63BE7B"/>
        <color rgb="FFFFEB84"/>
        <color rgb="FFF8696B"/>
      </colorScale>
    </cfRule>
    <cfRule type="colorScale" priority="9798">
      <colorScale>
        <cfvo type="min"/>
        <cfvo type="percentile" val="50"/>
        <cfvo type="max"/>
        <color rgb="FF63BE7B"/>
        <color rgb="FFFFEB84"/>
        <color rgb="FFF8696B"/>
      </colorScale>
    </cfRule>
    <cfRule type="colorScale" priority="9796">
      <colorScale>
        <cfvo type="min"/>
        <cfvo type="percentile" val="50"/>
        <cfvo type="max"/>
        <color rgb="FF63BE7B"/>
        <color rgb="FFFFEB84"/>
        <color rgb="FFF8696B"/>
      </colorScale>
    </cfRule>
    <cfRule type="colorScale" priority="9795">
      <colorScale>
        <cfvo type="min"/>
        <cfvo type="percentile" val="50"/>
        <cfvo type="max"/>
        <color rgb="FF63BE7B"/>
        <color rgb="FFFFEB84"/>
        <color rgb="FFF8696B"/>
      </colorScale>
    </cfRule>
    <cfRule type="colorScale" priority="9794">
      <colorScale>
        <cfvo type="min"/>
        <cfvo type="percentile" val="50"/>
        <cfvo type="max"/>
        <color rgb="FF63BE7B"/>
        <color rgb="FFFFEB84"/>
        <color rgb="FFF8696B"/>
      </colorScale>
    </cfRule>
    <cfRule type="colorScale" priority="9793">
      <colorScale>
        <cfvo type="min"/>
        <cfvo type="percentile" val="50"/>
        <cfvo type="max"/>
        <color rgb="FF63BE7B"/>
        <color rgb="FFFFEB84"/>
        <color rgb="FFF8696B"/>
      </colorScale>
    </cfRule>
  </conditionalFormatting>
  <conditionalFormatting sqref="AH35:AH41 T35:T41 AH52:AH53 D35:D53 T52:T53">
    <cfRule type="colorScale" priority="13247">
      <colorScale>
        <cfvo type="min"/>
        <cfvo type="percentile" val="50"/>
        <cfvo type="max"/>
        <color rgb="FF63BE7B"/>
        <color rgb="FFFFEB84"/>
        <color rgb="FFF8696B"/>
      </colorScale>
    </cfRule>
  </conditionalFormatting>
  <conditionalFormatting sqref="AH35:AH41">
    <cfRule type="colorScale" priority="9789">
      <colorScale>
        <cfvo type="min"/>
        <cfvo type="percentile" val="50"/>
        <cfvo type="max"/>
        <color rgb="FF63BE7B"/>
        <color rgb="FFFFEB84"/>
        <color rgb="FFF8696B"/>
      </colorScale>
    </cfRule>
    <cfRule type="colorScale" priority="9787">
      <colorScale>
        <cfvo type="min"/>
        <cfvo type="percentile" val="50"/>
        <cfvo type="max"/>
        <color rgb="FF63BE7B"/>
        <color rgb="FFFFEB84"/>
        <color rgb="FFF8696B"/>
      </colorScale>
    </cfRule>
    <cfRule type="colorScale" priority="9786">
      <colorScale>
        <cfvo type="min"/>
        <cfvo type="percentile" val="50"/>
        <cfvo type="max"/>
        <color rgb="FF63BE7B"/>
        <color rgb="FFFFEB84"/>
        <color rgb="FFF8696B"/>
      </colorScale>
    </cfRule>
    <cfRule type="colorScale" priority="9784">
      <colorScale>
        <cfvo type="min"/>
        <cfvo type="percentile" val="50"/>
        <cfvo type="max"/>
        <color rgb="FF63BE7B"/>
        <color rgb="FFFFEB84"/>
        <color rgb="FFF8696B"/>
      </colorScale>
    </cfRule>
    <cfRule type="colorScale" priority="9783">
      <colorScale>
        <cfvo type="min"/>
        <cfvo type="percentile" val="50"/>
        <cfvo type="max"/>
        <color rgb="FF63BE7B"/>
        <color rgb="FFFFEB84"/>
        <color rgb="FFF8696B"/>
      </colorScale>
    </cfRule>
    <cfRule type="colorScale" priority="9809">
      <colorScale>
        <cfvo type="min"/>
        <cfvo type="percentile" val="50"/>
        <cfvo type="max"/>
        <color rgb="FF63BE7B"/>
        <color rgb="FFFFEB84"/>
        <color rgb="FFF8696B"/>
      </colorScale>
    </cfRule>
    <cfRule type="colorScale" priority="10944">
      <colorScale>
        <cfvo type="min"/>
        <cfvo type="percentile" val="50"/>
        <cfvo type="max"/>
        <color rgb="FF63BE7B"/>
        <color rgb="FFFFEB84"/>
        <color rgb="FFF8696B"/>
      </colorScale>
    </cfRule>
    <cfRule type="colorScale" priority="10933">
      <colorScale>
        <cfvo type="min"/>
        <cfvo type="percentile" val="50"/>
        <cfvo type="max"/>
        <color rgb="FF63BE7B"/>
        <color rgb="FFFFEB84"/>
        <color rgb="FFF8696B"/>
      </colorScale>
    </cfRule>
    <cfRule type="colorScale" priority="13105">
      <colorScale>
        <cfvo type="min"/>
        <cfvo type="percentile" val="50"/>
        <cfvo type="max"/>
        <color rgb="FF63BE7B"/>
        <color rgb="FFFFEB84"/>
        <color rgb="FFF8696B"/>
      </colorScale>
    </cfRule>
    <cfRule type="colorScale" priority="13104">
      <colorScale>
        <cfvo type="min"/>
        <cfvo type="percentile" val="50"/>
        <cfvo type="max"/>
        <color rgb="FF63BE7B"/>
        <color rgb="FFFFEB84"/>
        <color rgb="FFF8696B"/>
      </colorScale>
    </cfRule>
    <cfRule type="colorScale" priority="13103">
      <colorScale>
        <cfvo type="min"/>
        <cfvo type="percentile" val="50"/>
        <cfvo type="max"/>
        <color rgb="FF63BE7B"/>
        <color rgb="FFFFEB84"/>
        <color rgb="FFF8696B"/>
      </colorScale>
    </cfRule>
    <cfRule type="colorScale" priority="10932">
      <colorScale>
        <cfvo type="min"/>
        <cfvo type="percentile" val="50"/>
        <cfvo type="max"/>
        <color rgb="FF63BE7B"/>
        <color rgb="FFFFEB84"/>
        <color rgb="FFF8696B"/>
      </colorScale>
    </cfRule>
    <cfRule type="colorScale" priority="10943">
      <colorScale>
        <cfvo type="min"/>
        <cfvo type="percentile" val="50"/>
        <cfvo type="max"/>
        <color rgb="FF63BE7B"/>
        <color rgb="FFFFEB84"/>
        <color rgb="FFF8696B"/>
      </colorScale>
    </cfRule>
    <cfRule type="colorScale" priority="10931">
      <colorScale>
        <cfvo type="min"/>
        <cfvo type="percentile" val="50"/>
        <cfvo type="max"/>
        <color rgb="FF63BE7B"/>
        <color rgb="FFFFEB84"/>
        <color rgb="FFF8696B"/>
      </colorScale>
    </cfRule>
    <cfRule type="colorScale" priority="10929">
      <colorScale>
        <cfvo type="min"/>
        <cfvo type="percentile" val="50"/>
        <cfvo type="max"/>
        <color rgb="FF63BE7B"/>
        <color rgb="FFFFEB84"/>
        <color rgb="FFF8696B"/>
      </colorScale>
    </cfRule>
    <cfRule type="colorScale" priority="10927">
      <colorScale>
        <cfvo type="min"/>
        <cfvo type="percentile" val="50"/>
        <cfvo type="max"/>
        <color rgb="FF63BE7B"/>
        <color rgb="FFFFEB84"/>
        <color rgb="FFF8696B"/>
      </colorScale>
    </cfRule>
    <cfRule type="colorScale" priority="10926">
      <colorScale>
        <cfvo type="min"/>
        <cfvo type="percentile" val="50"/>
        <cfvo type="max"/>
        <color rgb="FF63BE7B"/>
        <color rgb="FFFFEB84"/>
        <color rgb="FFF8696B"/>
      </colorScale>
    </cfRule>
    <cfRule type="colorScale" priority="10940">
      <colorScale>
        <cfvo type="min"/>
        <cfvo type="percentile" val="50"/>
        <cfvo type="max"/>
        <color rgb="FF63BE7B"/>
        <color rgb="FFFFEB84"/>
        <color rgb="FFF8696B"/>
      </colorScale>
    </cfRule>
    <cfRule type="colorScale" priority="10930">
      <colorScale>
        <cfvo type="min"/>
        <cfvo type="percentile" val="50"/>
        <cfvo type="max"/>
        <color rgb="FF63BE7B"/>
        <color rgb="FFFFEB84"/>
        <color rgb="FFF8696B"/>
      </colorScale>
    </cfRule>
    <cfRule type="colorScale" priority="9808">
      <colorScale>
        <cfvo type="min"/>
        <cfvo type="percentile" val="50"/>
        <cfvo type="max"/>
        <color rgb="FF63BE7B"/>
        <color rgb="FFFFEB84"/>
        <color rgb="FFF8696B"/>
      </colorScale>
    </cfRule>
    <cfRule type="colorScale" priority="9806">
      <colorScale>
        <cfvo type="min"/>
        <cfvo type="percentile" val="50"/>
        <cfvo type="max"/>
        <color rgb="FF63BE7B"/>
        <color rgb="FFFFEB84"/>
        <color rgb="FFF8696B"/>
      </colorScale>
    </cfRule>
    <cfRule type="colorScale" priority="9805">
      <colorScale>
        <cfvo type="min"/>
        <cfvo type="percentile" val="50"/>
        <cfvo type="max"/>
        <color rgb="FF63BE7B"/>
        <color rgb="FFFFEB84"/>
        <color rgb="FFF8696B"/>
      </colorScale>
    </cfRule>
    <cfRule type="colorScale" priority="10941">
      <colorScale>
        <cfvo type="min"/>
        <cfvo type="percentile" val="50"/>
        <cfvo type="max"/>
        <color rgb="FF63BE7B"/>
        <color rgb="FFFFEB84"/>
        <color rgb="FFF8696B"/>
      </colorScale>
    </cfRule>
    <cfRule type="colorScale" priority="10939">
      <colorScale>
        <cfvo type="min"/>
        <cfvo type="percentile" val="50"/>
        <cfvo type="max"/>
        <color rgb="FF63BE7B"/>
        <color rgb="FFFFEB84"/>
        <color rgb="FFF8696B"/>
      </colorScale>
    </cfRule>
    <cfRule type="colorScale" priority="9804">
      <colorScale>
        <cfvo type="min"/>
        <cfvo type="percentile" val="50"/>
        <cfvo type="max"/>
        <color rgb="FF63BE7B"/>
        <color rgb="FFFFEB84"/>
        <color rgb="FFF8696B"/>
      </colorScale>
    </cfRule>
    <cfRule type="colorScale" priority="10938">
      <colorScale>
        <cfvo type="min"/>
        <cfvo type="percentile" val="50"/>
        <cfvo type="max"/>
        <color rgb="FF63BE7B"/>
        <color rgb="FFFFEB84"/>
        <color rgb="FFF8696B"/>
      </colorScale>
    </cfRule>
    <cfRule type="colorScale" priority="10937">
      <colorScale>
        <cfvo type="min"/>
        <cfvo type="percentile" val="50"/>
        <cfvo type="max"/>
        <color rgb="FF63BE7B"/>
        <color rgb="FFFFEB84"/>
        <color rgb="FFF8696B"/>
      </colorScale>
    </cfRule>
    <cfRule type="colorScale" priority="10936">
      <colorScale>
        <cfvo type="min"/>
        <cfvo type="percentile" val="50"/>
        <cfvo type="max"/>
        <color rgb="FF63BE7B"/>
        <color rgb="FFFFEB84"/>
        <color rgb="FFF8696B"/>
      </colorScale>
    </cfRule>
    <cfRule type="colorScale" priority="9803">
      <colorScale>
        <cfvo type="min"/>
        <cfvo type="percentile" val="50"/>
        <cfvo type="max"/>
        <color rgb="FF63BE7B"/>
        <color rgb="FFFFEB84"/>
        <color rgb="FFF8696B"/>
      </colorScale>
    </cfRule>
    <cfRule type="colorScale" priority="9802">
      <colorScale>
        <cfvo type="min"/>
        <cfvo type="percentile" val="50"/>
        <cfvo type="max"/>
        <color rgb="FF63BE7B"/>
        <color rgb="FFFFEB84"/>
        <color rgb="FFF8696B"/>
      </colorScale>
    </cfRule>
    <cfRule type="colorScale" priority="9801">
      <colorScale>
        <cfvo type="min"/>
        <cfvo type="percentile" val="50"/>
        <cfvo type="max"/>
        <color rgb="FF63BE7B"/>
        <color rgb="FFFFEB84"/>
        <color rgb="FFF8696B"/>
      </colorScale>
    </cfRule>
    <cfRule type="colorScale" priority="9788">
      <colorScale>
        <cfvo type="min"/>
        <cfvo type="percentile" val="50"/>
        <cfvo type="max"/>
        <color rgb="FF63BE7B"/>
        <color rgb="FFFFEB84"/>
        <color rgb="FFF8696B"/>
      </colorScale>
    </cfRule>
    <cfRule type="colorScale" priority="9800">
      <colorScale>
        <cfvo type="min"/>
        <cfvo type="percentile" val="50"/>
        <cfvo type="max"/>
        <color rgb="FF63BE7B"/>
        <color rgb="FFFFEB84"/>
        <color rgb="FFF8696B"/>
      </colorScale>
    </cfRule>
    <cfRule type="colorScale" priority="10942">
      <colorScale>
        <cfvo type="min"/>
        <cfvo type="percentile" val="50"/>
        <cfvo type="max"/>
        <color rgb="FF63BE7B"/>
        <color rgb="FFFFEB84"/>
        <color rgb="FFF8696B"/>
      </colorScale>
    </cfRule>
    <cfRule type="colorScale" priority="10935">
      <colorScale>
        <cfvo type="min"/>
        <cfvo type="percentile" val="50"/>
        <cfvo type="max"/>
        <color rgb="FF63BE7B"/>
        <color rgb="FFFFEB84"/>
        <color rgb="FFF8696B"/>
      </colorScale>
    </cfRule>
    <cfRule type="colorScale" priority="10934">
      <colorScale>
        <cfvo type="min"/>
        <cfvo type="percentile" val="50"/>
        <cfvo type="max"/>
        <color rgb="FF63BE7B"/>
        <color rgb="FFFFEB84"/>
        <color rgb="FFF8696B"/>
      </colorScale>
    </cfRule>
    <cfRule type="colorScale" priority="9792">
      <colorScale>
        <cfvo type="min"/>
        <cfvo type="percentile" val="50"/>
        <cfvo type="max"/>
        <color rgb="FF63BE7B"/>
        <color rgb="FFFFEB84"/>
        <color rgb="FFF8696B"/>
      </colorScale>
    </cfRule>
    <cfRule type="colorScale" priority="9791">
      <colorScale>
        <cfvo type="min"/>
        <cfvo type="percentile" val="50"/>
        <cfvo type="max"/>
        <color rgb="FF63BE7B"/>
        <color rgb="FFFFEB84"/>
        <color rgb="FFF8696B"/>
      </colorScale>
    </cfRule>
    <cfRule type="colorScale" priority="9790">
      <colorScale>
        <cfvo type="min"/>
        <cfvo type="percentile" val="50"/>
        <cfvo type="max"/>
        <color rgb="FF63BE7B"/>
        <color rgb="FFFFEB84"/>
        <color rgb="FFF8696B"/>
      </colorScale>
    </cfRule>
  </conditionalFormatting>
  <conditionalFormatting sqref="AH35:AH42">
    <cfRule type="colorScale" priority="13194">
      <colorScale>
        <cfvo type="min"/>
        <cfvo type="percentile" val="50"/>
        <cfvo type="max"/>
        <color rgb="FF63BE7B"/>
        <color rgb="FFFFEB84"/>
        <color rgb="FFF8696B"/>
      </colorScale>
    </cfRule>
  </conditionalFormatting>
  <conditionalFormatting sqref="AH36:AH37">
    <cfRule type="colorScale" priority="9797">
      <colorScale>
        <cfvo type="min"/>
        <cfvo type="percentile" val="50"/>
        <cfvo type="max"/>
        <color rgb="FF63BE7B"/>
        <color rgb="FFFFEB84"/>
        <color rgb="FFF8696B"/>
      </colorScale>
    </cfRule>
  </conditionalFormatting>
  <conditionalFormatting sqref="AH36:AH41">
    <cfRule type="colorScale" priority="9807">
      <colorScale>
        <cfvo type="min"/>
        <cfvo type="percentile" val="50"/>
        <cfvo type="max"/>
        <color rgb="FF63BE7B"/>
        <color rgb="FFFFEB84"/>
        <color rgb="FFF8696B"/>
      </colorScale>
    </cfRule>
    <cfRule type="colorScale" priority="13106">
      <colorScale>
        <cfvo type="min"/>
        <cfvo type="percentile" val="50"/>
        <cfvo type="max"/>
        <color rgb="FF63BE7B"/>
        <color rgb="FFFFEB84"/>
        <color rgb="FFF8696B"/>
      </colorScale>
    </cfRule>
  </conditionalFormatting>
  <conditionalFormatting sqref="AH42:AH50">
    <cfRule type="colorScale" priority="12989">
      <colorScale>
        <cfvo type="min"/>
        <cfvo type="percentile" val="50"/>
        <cfvo type="max"/>
        <color rgb="FF63BE7B"/>
        <color rgb="FFFFEB84"/>
        <color rgb="FFF8696B"/>
      </colorScale>
    </cfRule>
    <cfRule type="colorScale" priority="12988">
      <colorScale>
        <cfvo type="min"/>
        <cfvo type="percentile" val="50"/>
        <cfvo type="max"/>
        <color rgb="FF63BE7B"/>
        <color rgb="FFFFEB84"/>
        <color rgb="FFF8696B"/>
      </colorScale>
    </cfRule>
    <cfRule type="colorScale" priority="12987">
      <colorScale>
        <cfvo type="min"/>
        <cfvo type="percentile" val="50"/>
        <cfvo type="max"/>
        <color rgb="FF63BE7B"/>
        <color rgb="FFFFEB84"/>
        <color rgb="FFF8696B"/>
      </colorScale>
    </cfRule>
    <cfRule type="colorScale" priority="12986">
      <colorScale>
        <cfvo type="min"/>
        <cfvo type="percentile" val="50"/>
        <cfvo type="max"/>
        <color rgb="FF63BE7B"/>
        <color rgb="FFFFEB84"/>
        <color rgb="FFF8696B"/>
      </colorScale>
    </cfRule>
    <cfRule type="colorScale" priority="7441">
      <colorScale>
        <cfvo type="min"/>
        <cfvo type="percentile" val="50"/>
        <cfvo type="max"/>
        <color rgb="FF63BE7B"/>
        <color rgb="FFFFEB84"/>
        <color rgb="FFF8696B"/>
      </colorScale>
    </cfRule>
  </conditionalFormatting>
  <conditionalFormatting sqref="AH51:AH53">
    <cfRule type="colorScale" priority="3955">
      <colorScale>
        <cfvo type="min"/>
        <cfvo type="percentile" val="50"/>
        <cfvo type="max"/>
        <color rgb="FF63BE7B"/>
        <color rgb="FFFFEB84"/>
        <color rgb="FFF8696B"/>
      </colorScale>
    </cfRule>
    <cfRule type="colorScale" priority="12879">
      <colorScale>
        <cfvo type="min"/>
        <cfvo type="percentile" val="50"/>
        <cfvo type="max"/>
        <color rgb="FF63BE7B"/>
        <color rgb="FFFFEB84"/>
        <color rgb="FFF8696B"/>
      </colorScale>
    </cfRule>
    <cfRule type="colorScale" priority="3954">
      <colorScale>
        <cfvo type="min"/>
        <cfvo type="percentile" val="50"/>
        <cfvo type="max"/>
        <color rgb="FF63BE7B"/>
        <color rgb="FFFFEB84"/>
        <color rgb="FFF8696B"/>
      </colorScale>
    </cfRule>
    <cfRule type="colorScale" priority="12877">
      <colorScale>
        <cfvo type="min"/>
        <cfvo type="percentile" val="50"/>
        <cfvo type="max"/>
        <color rgb="FF63BE7B"/>
        <color rgb="FFFFEB84"/>
        <color rgb="FFF8696B"/>
      </colorScale>
    </cfRule>
    <cfRule type="colorScale" priority="12876">
      <colorScale>
        <cfvo type="min"/>
        <cfvo type="percentile" val="50"/>
        <cfvo type="max"/>
        <color rgb="FF63BE7B"/>
        <color rgb="FFFFEB84"/>
        <color rgb="FFF8696B"/>
      </colorScale>
    </cfRule>
    <cfRule type="colorScale" priority="12878">
      <colorScale>
        <cfvo type="min"/>
        <cfvo type="percentile" val="50"/>
        <cfvo type="max"/>
        <color rgb="FF63BE7B"/>
        <color rgb="FFFFEB84"/>
        <color rgb="FFF8696B"/>
      </colorScale>
    </cfRule>
    <cfRule type="colorScale" priority="3927">
      <colorScale>
        <cfvo type="min"/>
        <cfvo type="percentile" val="50"/>
        <cfvo type="max"/>
        <color rgb="FF63BE7B"/>
        <color rgb="FFFFEB84"/>
        <color rgb="FFF8696B"/>
      </colorScale>
    </cfRule>
  </conditionalFormatting>
  <conditionalFormatting sqref="AH52:AH53">
    <cfRule type="colorScale" priority="6792">
      <colorScale>
        <cfvo type="min"/>
        <cfvo type="percentile" val="50"/>
        <cfvo type="max"/>
        <color rgb="FF63BE7B"/>
        <color rgb="FFFFEB84"/>
        <color rgb="FFF8696B"/>
      </colorScale>
    </cfRule>
    <cfRule type="colorScale" priority="6793">
      <colorScale>
        <cfvo type="min"/>
        <cfvo type="percentile" val="50"/>
        <cfvo type="max"/>
        <color rgb="FF63BE7B"/>
        <color rgb="FFFFEB84"/>
        <color rgb="FFF8696B"/>
      </colorScale>
    </cfRule>
    <cfRule type="colorScale" priority="6794">
      <colorScale>
        <cfvo type="min"/>
        <cfvo type="percentile" val="50"/>
        <cfvo type="max"/>
        <color rgb="FF63BE7B"/>
        <color rgb="FFFFEB84"/>
        <color rgb="FFF8696B"/>
      </colorScale>
    </cfRule>
    <cfRule type="colorScale" priority="6795">
      <colorScale>
        <cfvo type="min"/>
        <cfvo type="percentile" val="50"/>
        <cfvo type="max"/>
        <color rgb="FF63BE7B"/>
        <color rgb="FFFFEB84"/>
        <color rgb="FFF8696B"/>
      </colorScale>
    </cfRule>
    <cfRule type="colorScale" priority="6012">
      <colorScale>
        <cfvo type="min"/>
        <cfvo type="percentile" val="50"/>
        <cfvo type="max"/>
        <color rgb="FF63BE7B"/>
        <color rgb="FFFFEB84"/>
        <color rgb="FFF8696B"/>
      </colorScale>
    </cfRule>
    <cfRule type="colorScale" priority="6011">
      <colorScale>
        <cfvo type="min"/>
        <cfvo type="percentile" val="50"/>
        <cfvo type="max"/>
        <color rgb="FF63BE7B"/>
        <color rgb="FFFFEB84"/>
        <color rgb="FFF8696B"/>
      </colorScale>
    </cfRule>
    <cfRule type="colorScale" priority="6010">
      <colorScale>
        <cfvo type="min"/>
        <cfvo type="percentile" val="50"/>
        <cfvo type="max"/>
        <color rgb="FF63BE7B"/>
        <color rgb="FFFFEB84"/>
        <color rgb="FFF8696B"/>
      </colorScale>
    </cfRule>
    <cfRule type="colorScale" priority="6009">
      <colorScale>
        <cfvo type="min"/>
        <cfvo type="percentile" val="50"/>
        <cfvo type="max"/>
        <color rgb="FF63BE7B"/>
        <color rgb="FFFFEB84"/>
        <color rgb="FFF8696B"/>
      </colorScale>
    </cfRule>
    <cfRule type="colorScale" priority="6008">
      <colorScale>
        <cfvo type="min"/>
        <cfvo type="percentile" val="50"/>
        <cfvo type="max"/>
        <color rgb="FF63BE7B"/>
        <color rgb="FFFFEB84"/>
        <color rgb="FFF8696B"/>
      </colorScale>
    </cfRule>
    <cfRule type="colorScale" priority="6007">
      <colorScale>
        <cfvo type="min"/>
        <cfvo type="percentile" val="50"/>
        <cfvo type="max"/>
        <color rgb="FF63BE7B"/>
        <color rgb="FFFFEB84"/>
        <color rgb="FFF8696B"/>
      </colorScale>
    </cfRule>
    <cfRule type="colorScale" priority="6006">
      <colorScale>
        <cfvo type="min"/>
        <cfvo type="percentile" val="50"/>
        <cfvo type="max"/>
        <color rgb="FF63BE7B"/>
        <color rgb="FFFFEB84"/>
        <color rgb="FFF8696B"/>
      </colorScale>
    </cfRule>
    <cfRule type="colorScale" priority="6005">
      <colorScale>
        <cfvo type="min"/>
        <cfvo type="percentile" val="50"/>
        <cfvo type="max"/>
        <color rgb="FF63BE7B"/>
        <color rgb="FFFFEB84"/>
        <color rgb="FFF8696B"/>
      </colorScale>
    </cfRule>
    <cfRule type="colorScale" priority="6004">
      <colorScale>
        <cfvo type="min"/>
        <cfvo type="percentile" val="50"/>
        <cfvo type="max"/>
        <color rgb="FF63BE7B"/>
        <color rgb="FFFFEB84"/>
        <color rgb="FFF8696B"/>
      </colorScale>
    </cfRule>
    <cfRule type="colorScale" priority="6003">
      <colorScale>
        <cfvo type="min"/>
        <cfvo type="percentile" val="50"/>
        <cfvo type="max"/>
        <color rgb="FF63BE7B"/>
        <color rgb="FFFFEB84"/>
        <color rgb="FFF8696B"/>
      </colorScale>
    </cfRule>
    <cfRule type="colorScale" priority="6002">
      <colorScale>
        <cfvo type="min"/>
        <cfvo type="percentile" val="50"/>
        <cfvo type="max"/>
        <color rgb="FF63BE7B"/>
        <color rgb="FFFFEB84"/>
        <color rgb="FFF8696B"/>
      </colorScale>
    </cfRule>
    <cfRule type="colorScale" priority="6001">
      <colorScale>
        <cfvo type="min"/>
        <cfvo type="percentile" val="50"/>
        <cfvo type="max"/>
        <color rgb="FF63BE7B"/>
        <color rgb="FFFFEB84"/>
        <color rgb="FFF8696B"/>
      </colorScale>
    </cfRule>
    <cfRule type="colorScale" priority="6000">
      <colorScale>
        <cfvo type="min"/>
        <cfvo type="percentile" val="50"/>
        <cfvo type="max"/>
        <color rgb="FF63BE7B"/>
        <color rgb="FFFFEB84"/>
        <color rgb="FFF8696B"/>
      </colorScale>
    </cfRule>
    <cfRule type="colorScale" priority="5999">
      <colorScale>
        <cfvo type="min"/>
        <cfvo type="percentile" val="50"/>
        <cfvo type="max"/>
        <color rgb="FF63BE7B"/>
        <color rgb="FFFFEB84"/>
        <color rgb="FFF8696B"/>
      </colorScale>
    </cfRule>
    <cfRule type="colorScale" priority="5998">
      <colorScale>
        <cfvo type="min"/>
        <cfvo type="percentile" val="50"/>
        <cfvo type="max"/>
        <color rgb="FF63BE7B"/>
        <color rgb="FFFFEB84"/>
        <color rgb="FFF8696B"/>
      </colorScale>
    </cfRule>
    <cfRule type="colorScale" priority="5997">
      <colorScale>
        <cfvo type="min"/>
        <cfvo type="percentile" val="50"/>
        <cfvo type="max"/>
        <color rgb="FF63BE7B"/>
        <color rgb="FFFFEB84"/>
        <color rgb="FFF8696B"/>
      </colorScale>
    </cfRule>
    <cfRule type="colorScale" priority="5996">
      <colorScale>
        <cfvo type="min"/>
        <cfvo type="percentile" val="50"/>
        <cfvo type="max"/>
        <color rgb="FF63BE7B"/>
        <color rgb="FFFFEB84"/>
        <color rgb="FFF8696B"/>
      </colorScale>
    </cfRule>
    <cfRule type="colorScale" priority="5995">
      <colorScale>
        <cfvo type="min"/>
        <cfvo type="percentile" val="50"/>
        <cfvo type="max"/>
        <color rgb="FF63BE7B"/>
        <color rgb="FFFFEB84"/>
        <color rgb="FFF8696B"/>
      </colorScale>
    </cfRule>
    <cfRule type="colorScale" priority="5994">
      <colorScale>
        <cfvo type="min"/>
        <cfvo type="percentile" val="50"/>
        <cfvo type="max"/>
        <color rgb="FF63BE7B"/>
        <color rgb="FFFFEB84"/>
        <color rgb="FFF8696B"/>
      </colorScale>
    </cfRule>
    <cfRule type="colorScale" priority="6796">
      <colorScale>
        <cfvo type="min"/>
        <cfvo type="percentile" val="50"/>
        <cfvo type="max"/>
        <color rgb="FF63BE7B"/>
        <color rgb="FFFFEB84"/>
        <color rgb="FFF8696B"/>
      </colorScale>
    </cfRule>
    <cfRule type="colorScale" priority="7248">
      <colorScale>
        <cfvo type="min"/>
        <cfvo type="percentile" val="50"/>
        <cfvo type="max"/>
        <color rgb="FF63BE7B"/>
        <color rgb="FFFFEB84"/>
        <color rgb="FFF8696B"/>
      </colorScale>
    </cfRule>
    <cfRule type="colorScale" priority="3928">
      <colorScale>
        <cfvo type="min"/>
        <cfvo type="percentile" val="50"/>
        <cfvo type="max"/>
        <color rgb="FF63BE7B"/>
        <color rgb="FFFFEB84"/>
        <color rgb="FFF8696B"/>
      </colorScale>
    </cfRule>
    <cfRule type="colorScale" priority="3929">
      <colorScale>
        <cfvo type="min"/>
        <cfvo type="percentile" val="50"/>
        <cfvo type="max"/>
        <color rgb="FF63BE7B"/>
        <color rgb="FFFFEB84"/>
        <color rgb="FFF8696B"/>
      </colorScale>
    </cfRule>
    <cfRule type="colorScale" priority="3930">
      <colorScale>
        <cfvo type="min"/>
        <cfvo type="percentile" val="50"/>
        <cfvo type="max"/>
        <color rgb="FF63BE7B"/>
        <color rgb="FFFFEB84"/>
        <color rgb="FFF8696B"/>
      </colorScale>
    </cfRule>
    <cfRule type="colorScale" priority="3931">
      <colorScale>
        <cfvo type="min"/>
        <cfvo type="percentile" val="50"/>
        <cfvo type="max"/>
        <color rgb="FF63BE7B"/>
        <color rgb="FFFFEB84"/>
        <color rgb="FFF8696B"/>
      </colorScale>
    </cfRule>
    <cfRule type="colorScale" priority="3932">
      <colorScale>
        <cfvo type="min"/>
        <cfvo type="percentile" val="50"/>
        <cfvo type="max"/>
        <color rgb="FF63BE7B"/>
        <color rgb="FFFFEB84"/>
        <color rgb="FFF8696B"/>
      </colorScale>
    </cfRule>
    <cfRule type="colorScale" priority="3933">
      <colorScale>
        <cfvo type="min"/>
        <cfvo type="percentile" val="50"/>
        <cfvo type="max"/>
        <color rgb="FF63BE7B"/>
        <color rgb="FFFFEB84"/>
        <color rgb="FFF8696B"/>
      </colorScale>
    </cfRule>
    <cfRule type="colorScale" priority="3934">
      <colorScale>
        <cfvo type="min"/>
        <cfvo type="percentile" val="50"/>
        <cfvo type="max"/>
        <color rgb="FF63BE7B"/>
        <color rgb="FFFFEB84"/>
        <color rgb="FFF8696B"/>
      </colorScale>
    </cfRule>
    <cfRule type="colorScale" priority="3935">
      <colorScale>
        <cfvo type="min"/>
        <cfvo type="percentile" val="50"/>
        <cfvo type="max"/>
        <color rgb="FF63BE7B"/>
        <color rgb="FFFFEB84"/>
        <color rgb="FFF8696B"/>
      </colorScale>
    </cfRule>
    <cfRule type="colorScale" priority="3936">
      <colorScale>
        <cfvo type="min"/>
        <cfvo type="percentile" val="50"/>
        <cfvo type="max"/>
        <color rgb="FF63BE7B"/>
        <color rgb="FFFFEB84"/>
        <color rgb="FFF8696B"/>
      </colorScale>
    </cfRule>
    <cfRule type="colorScale" priority="3937">
      <colorScale>
        <cfvo type="min"/>
        <cfvo type="percentile" val="50"/>
        <cfvo type="max"/>
        <color rgb="FF63BE7B"/>
        <color rgb="FFFFEB84"/>
        <color rgb="FFF8696B"/>
      </colorScale>
    </cfRule>
    <cfRule type="colorScale" priority="3938">
      <colorScale>
        <cfvo type="min"/>
        <cfvo type="percentile" val="50"/>
        <cfvo type="max"/>
        <color rgb="FF63BE7B"/>
        <color rgb="FFFFEB84"/>
        <color rgb="FFF8696B"/>
      </colorScale>
    </cfRule>
    <cfRule type="colorScale" priority="3939">
      <colorScale>
        <cfvo type="min"/>
        <cfvo type="percentile" val="50"/>
        <cfvo type="max"/>
        <color rgb="FF63BE7B"/>
        <color rgb="FFFFEB84"/>
        <color rgb="FFF8696B"/>
      </colorScale>
    </cfRule>
    <cfRule type="colorScale" priority="3940">
      <colorScale>
        <cfvo type="min"/>
        <cfvo type="percentile" val="50"/>
        <cfvo type="max"/>
        <color rgb="FF63BE7B"/>
        <color rgb="FFFFEB84"/>
        <color rgb="FFF8696B"/>
      </colorScale>
    </cfRule>
    <cfRule type="colorScale" priority="3941">
      <colorScale>
        <cfvo type="min"/>
        <cfvo type="percentile" val="50"/>
        <cfvo type="max"/>
        <color rgb="FF63BE7B"/>
        <color rgb="FFFFEB84"/>
        <color rgb="FFF8696B"/>
      </colorScale>
    </cfRule>
    <cfRule type="colorScale" priority="3942">
      <colorScale>
        <cfvo type="min"/>
        <cfvo type="percentile" val="50"/>
        <cfvo type="max"/>
        <color rgb="FF63BE7B"/>
        <color rgb="FFFFEB84"/>
        <color rgb="FFF8696B"/>
      </colorScale>
    </cfRule>
    <cfRule type="colorScale" priority="3943">
      <colorScale>
        <cfvo type="min"/>
        <cfvo type="percentile" val="50"/>
        <cfvo type="max"/>
        <color rgb="FF63BE7B"/>
        <color rgb="FFFFEB84"/>
        <color rgb="FFF8696B"/>
      </colorScale>
    </cfRule>
    <cfRule type="colorScale" priority="3944">
      <colorScale>
        <cfvo type="min"/>
        <cfvo type="percentile" val="50"/>
        <cfvo type="max"/>
        <color rgb="FF63BE7B"/>
        <color rgb="FFFFEB84"/>
        <color rgb="FFF8696B"/>
      </colorScale>
    </cfRule>
    <cfRule type="colorScale" priority="3945">
      <colorScale>
        <cfvo type="min"/>
        <cfvo type="percentile" val="50"/>
        <cfvo type="max"/>
        <color rgb="FF63BE7B"/>
        <color rgb="FFFFEB84"/>
        <color rgb="FFF8696B"/>
      </colorScale>
    </cfRule>
    <cfRule type="colorScale" priority="3946">
      <colorScale>
        <cfvo type="min"/>
        <cfvo type="percentile" val="50"/>
        <cfvo type="max"/>
        <color rgb="FF63BE7B"/>
        <color rgb="FFFFEB84"/>
        <color rgb="FFF8696B"/>
      </colorScale>
    </cfRule>
    <cfRule type="colorScale" priority="3947">
      <colorScale>
        <cfvo type="min"/>
        <cfvo type="percentile" val="50"/>
        <cfvo type="max"/>
        <color rgb="FF63BE7B"/>
        <color rgb="FFFFEB84"/>
        <color rgb="FFF8696B"/>
      </colorScale>
    </cfRule>
    <cfRule type="colorScale" priority="3948">
      <colorScale>
        <cfvo type="min"/>
        <cfvo type="percentile" val="50"/>
        <cfvo type="max"/>
        <color rgb="FF63BE7B"/>
        <color rgb="FFFFEB84"/>
        <color rgb="FFF8696B"/>
      </colorScale>
    </cfRule>
    <cfRule type="colorScale" priority="3949">
      <colorScale>
        <cfvo type="min"/>
        <cfvo type="percentile" val="50"/>
        <cfvo type="max"/>
        <color rgb="FF63BE7B"/>
        <color rgb="FFFFEB84"/>
        <color rgb="FFF8696B"/>
      </colorScale>
    </cfRule>
    <cfRule type="colorScale" priority="3950">
      <colorScale>
        <cfvo type="min"/>
        <cfvo type="percentile" val="50"/>
        <cfvo type="max"/>
        <color rgb="FF63BE7B"/>
        <color rgb="FFFFEB84"/>
        <color rgb="FFF8696B"/>
      </colorScale>
    </cfRule>
    <cfRule type="colorScale" priority="3951">
      <colorScale>
        <cfvo type="min"/>
        <cfvo type="percentile" val="50"/>
        <cfvo type="max"/>
        <color rgb="FF63BE7B"/>
        <color rgb="FFFFEB84"/>
        <color rgb="FFF8696B"/>
      </colorScale>
    </cfRule>
    <cfRule type="colorScale" priority="3952">
      <colorScale>
        <cfvo type="min"/>
        <cfvo type="percentile" val="50"/>
        <cfvo type="max"/>
        <color rgb="FF63BE7B"/>
        <color rgb="FFFFEB84"/>
        <color rgb="FFF8696B"/>
      </colorScale>
    </cfRule>
    <cfRule type="colorScale" priority="3953">
      <colorScale>
        <cfvo type="min"/>
        <cfvo type="percentile" val="50"/>
        <cfvo type="max"/>
        <color rgb="FF63BE7B"/>
        <color rgb="FFFFEB84"/>
        <color rgb="FFF8696B"/>
      </colorScale>
    </cfRule>
    <cfRule type="colorScale" priority="6779">
      <colorScale>
        <cfvo type="min"/>
        <cfvo type="percentile" val="50"/>
        <cfvo type="max"/>
        <color rgb="FF63BE7B"/>
        <color rgb="FFFFEB84"/>
        <color rgb="FFF8696B"/>
      </colorScale>
    </cfRule>
    <cfRule type="colorScale" priority="6780">
      <colorScale>
        <cfvo type="min"/>
        <cfvo type="percentile" val="50"/>
        <cfvo type="max"/>
        <color rgb="FF63BE7B"/>
        <color rgb="FFFFEB84"/>
        <color rgb="FFF8696B"/>
      </colorScale>
    </cfRule>
    <cfRule type="colorScale" priority="6781">
      <colorScale>
        <cfvo type="min"/>
        <cfvo type="percentile" val="50"/>
        <cfvo type="max"/>
        <color rgb="FF63BE7B"/>
        <color rgb="FFFFEB84"/>
        <color rgb="FFF8696B"/>
      </colorScale>
    </cfRule>
    <cfRule type="colorScale" priority="6782">
      <colorScale>
        <cfvo type="min"/>
        <cfvo type="percentile" val="50"/>
        <cfvo type="max"/>
        <color rgb="FF63BE7B"/>
        <color rgb="FFFFEB84"/>
        <color rgb="FFF8696B"/>
      </colorScale>
    </cfRule>
    <cfRule type="colorScale" priority="6783">
      <colorScale>
        <cfvo type="min"/>
        <cfvo type="percentile" val="50"/>
        <cfvo type="max"/>
        <color rgb="FF63BE7B"/>
        <color rgb="FFFFEB84"/>
        <color rgb="FFF8696B"/>
      </colorScale>
    </cfRule>
    <cfRule type="colorScale" priority="6784">
      <colorScale>
        <cfvo type="min"/>
        <cfvo type="percentile" val="50"/>
        <cfvo type="max"/>
        <color rgb="FF63BE7B"/>
        <color rgb="FFFFEB84"/>
        <color rgb="FFF8696B"/>
      </colorScale>
    </cfRule>
    <cfRule type="colorScale" priority="6785">
      <colorScale>
        <cfvo type="min"/>
        <cfvo type="percentile" val="50"/>
        <cfvo type="max"/>
        <color rgb="FF63BE7B"/>
        <color rgb="FFFFEB84"/>
        <color rgb="FFF8696B"/>
      </colorScale>
    </cfRule>
    <cfRule type="colorScale" priority="6786">
      <colorScale>
        <cfvo type="min"/>
        <cfvo type="percentile" val="50"/>
        <cfvo type="max"/>
        <color rgb="FF63BE7B"/>
        <color rgb="FFFFEB84"/>
        <color rgb="FFF8696B"/>
      </colorScale>
    </cfRule>
    <cfRule type="colorScale" priority="7164">
      <colorScale>
        <cfvo type="min"/>
        <cfvo type="percentile" val="50"/>
        <cfvo type="max"/>
        <color rgb="FF63BE7B"/>
        <color rgb="FFFFEB84"/>
        <color rgb="FFF8696B"/>
      </colorScale>
    </cfRule>
    <cfRule type="colorScale" priority="7165">
      <colorScale>
        <cfvo type="min"/>
        <cfvo type="percentile" val="50"/>
        <cfvo type="max"/>
        <color rgb="FF63BE7B"/>
        <color rgb="FFFFEB84"/>
        <color rgb="FFF8696B"/>
      </colorScale>
    </cfRule>
    <cfRule type="colorScale" priority="7166">
      <colorScale>
        <cfvo type="min"/>
        <cfvo type="percentile" val="50"/>
        <cfvo type="max"/>
        <color rgb="FF63BE7B"/>
        <color rgb="FFFFEB84"/>
        <color rgb="FFF8696B"/>
      </colorScale>
    </cfRule>
    <cfRule type="colorScale" priority="7167">
      <colorScale>
        <cfvo type="min"/>
        <cfvo type="percentile" val="50"/>
        <cfvo type="max"/>
        <color rgb="FF63BE7B"/>
        <color rgb="FFFFEB84"/>
        <color rgb="FFF8696B"/>
      </colorScale>
    </cfRule>
    <cfRule type="colorScale" priority="6787">
      <colorScale>
        <cfvo type="min"/>
        <cfvo type="percentile" val="50"/>
        <cfvo type="max"/>
        <color rgb="FF63BE7B"/>
        <color rgb="FFFFEB84"/>
        <color rgb="FFF8696B"/>
      </colorScale>
    </cfRule>
    <cfRule type="colorScale" priority="6788">
      <colorScale>
        <cfvo type="min"/>
        <cfvo type="percentile" val="50"/>
        <cfvo type="max"/>
        <color rgb="FF63BE7B"/>
        <color rgb="FFFFEB84"/>
        <color rgb="FFF8696B"/>
      </colorScale>
    </cfRule>
    <cfRule type="colorScale" priority="6789">
      <colorScale>
        <cfvo type="min"/>
        <cfvo type="percentile" val="50"/>
        <cfvo type="max"/>
        <color rgb="FF63BE7B"/>
        <color rgb="FFFFEB84"/>
        <color rgb="FFF8696B"/>
      </colorScale>
    </cfRule>
    <cfRule type="colorScale" priority="6790">
      <colorScale>
        <cfvo type="min"/>
        <cfvo type="percentile" val="50"/>
        <cfvo type="max"/>
        <color rgb="FF63BE7B"/>
        <color rgb="FFFFEB84"/>
        <color rgb="FFF8696B"/>
      </colorScale>
    </cfRule>
    <cfRule type="colorScale" priority="6791">
      <colorScale>
        <cfvo type="min"/>
        <cfvo type="percentile" val="50"/>
        <cfvo type="max"/>
        <color rgb="FF63BE7B"/>
        <color rgb="FFFFEB84"/>
        <color rgb="FFF8696B"/>
      </colorScale>
    </cfRule>
  </conditionalFormatting>
  <conditionalFormatting sqref="AH54:AH61">
    <cfRule type="colorScale" priority="24">
      <colorScale>
        <cfvo type="min"/>
        <cfvo type="percentile" val="50"/>
        <cfvo type="max"/>
        <color rgb="FF63BE7B"/>
        <color rgb="FFFFEB84"/>
        <color rgb="FFF8696B"/>
      </colorScale>
    </cfRule>
  </conditionalFormatting>
  <conditionalFormatting sqref="AH65:AH71">
    <cfRule type="colorScale" priority="12496">
      <colorScale>
        <cfvo type="min"/>
        <cfvo type="percentile" val="50"/>
        <cfvo type="max"/>
        <color rgb="FF63BE7B"/>
        <color rgb="FFFFEB84"/>
        <color rgb="FFF8696B"/>
      </colorScale>
    </cfRule>
    <cfRule type="colorScale" priority="12497">
      <colorScale>
        <cfvo type="min"/>
        <cfvo type="percentile" val="50"/>
        <cfvo type="max"/>
        <color rgb="FF63BE7B"/>
        <color rgb="FFFFEB84"/>
        <color rgb="FFF8696B"/>
      </colorScale>
    </cfRule>
    <cfRule type="colorScale" priority="12495">
      <colorScale>
        <cfvo type="min"/>
        <cfvo type="percentile" val="50"/>
        <cfvo type="max"/>
        <color rgb="FF63BE7B"/>
        <color rgb="FFFFEB84"/>
        <color rgb="FFF8696B"/>
      </colorScale>
    </cfRule>
  </conditionalFormatting>
  <conditionalFormatting sqref="AH65:AH80">
    <cfRule type="colorScale" priority="12578">
      <colorScale>
        <cfvo type="min"/>
        <cfvo type="percentile" val="50"/>
        <cfvo type="max"/>
        <color rgb="FF63BE7B"/>
        <color rgb="FFFFEB84"/>
        <color rgb="FFF8696B"/>
      </colorScale>
    </cfRule>
  </conditionalFormatting>
  <conditionalFormatting sqref="AH66:AH71">
    <cfRule type="colorScale" priority="12498">
      <colorScale>
        <cfvo type="min"/>
        <cfvo type="percentile" val="50"/>
        <cfvo type="max"/>
        <color rgb="FF63BE7B"/>
        <color rgb="FFFFEB84"/>
        <color rgb="FFF8696B"/>
      </colorScale>
    </cfRule>
  </conditionalFormatting>
  <conditionalFormatting sqref="AH72:AH80">
    <cfRule type="colorScale" priority="12378">
      <colorScale>
        <cfvo type="min"/>
        <cfvo type="percentile" val="50"/>
        <cfvo type="max"/>
        <color rgb="FF63BE7B"/>
        <color rgb="FFFFEB84"/>
        <color rgb="FFF8696B"/>
      </colorScale>
    </cfRule>
    <cfRule type="colorScale" priority="12381">
      <colorScale>
        <cfvo type="min"/>
        <cfvo type="percentile" val="50"/>
        <cfvo type="max"/>
        <color rgb="FF63BE7B"/>
        <color rgb="FFFFEB84"/>
        <color rgb="FFF8696B"/>
      </colorScale>
    </cfRule>
    <cfRule type="colorScale" priority="12379">
      <colorScale>
        <cfvo type="min"/>
        <cfvo type="percentile" val="50"/>
        <cfvo type="max"/>
        <color rgb="FF63BE7B"/>
        <color rgb="FFFFEB84"/>
        <color rgb="FFF8696B"/>
      </colorScale>
    </cfRule>
    <cfRule type="colorScale" priority="12380">
      <colorScale>
        <cfvo type="min"/>
        <cfvo type="percentile" val="50"/>
        <cfvo type="max"/>
        <color rgb="FF63BE7B"/>
        <color rgb="FFFFEB84"/>
        <color rgb="FFF8696B"/>
      </colorScale>
    </cfRule>
  </conditionalFormatting>
  <conditionalFormatting sqref="AH81:AH83">
    <cfRule type="colorScale" priority="12273">
      <colorScale>
        <cfvo type="min"/>
        <cfvo type="percentile" val="50"/>
        <cfvo type="max"/>
        <color rgb="FF63BE7B"/>
        <color rgb="FFFFEB84"/>
        <color rgb="FFF8696B"/>
      </colorScale>
    </cfRule>
    <cfRule type="colorScale" priority="12272">
      <colorScale>
        <cfvo type="min"/>
        <cfvo type="percentile" val="50"/>
        <cfvo type="max"/>
        <color rgb="FF63BE7B"/>
        <color rgb="FFFFEB84"/>
        <color rgb="FFF8696B"/>
      </colorScale>
    </cfRule>
    <cfRule type="colorScale" priority="12271">
      <colorScale>
        <cfvo type="min"/>
        <cfvo type="percentile" val="50"/>
        <cfvo type="max"/>
        <color rgb="FF63BE7B"/>
        <color rgb="FFFFEB84"/>
        <color rgb="FFF8696B"/>
      </colorScale>
    </cfRule>
    <cfRule type="colorScale" priority="12270">
      <colorScale>
        <cfvo type="min"/>
        <cfvo type="percentile" val="50"/>
        <cfvo type="max"/>
        <color rgb="FF63BE7B"/>
        <color rgb="FFFFEB84"/>
        <color rgb="FFF8696B"/>
      </colorScale>
    </cfRule>
  </conditionalFormatting>
  <conditionalFormatting sqref="AH84:AH91">
    <cfRule type="colorScale" priority="12098">
      <colorScale>
        <cfvo type="min"/>
        <cfvo type="percentile" val="50"/>
        <cfvo type="max"/>
        <color rgb="FF63BE7B"/>
        <color rgb="FFFFEB84"/>
        <color rgb="FFF8696B"/>
      </colorScale>
    </cfRule>
    <cfRule type="colorScale" priority="12097">
      <colorScale>
        <cfvo type="min"/>
        <cfvo type="percentile" val="50"/>
        <cfvo type="max"/>
        <color rgb="FF63BE7B"/>
        <color rgb="FFFFEB84"/>
        <color rgb="FFF8696B"/>
      </colorScale>
    </cfRule>
    <cfRule type="colorScale" priority="12095">
      <colorScale>
        <cfvo type="min"/>
        <cfvo type="percentile" val="50"/>
        <cfvo type="max"/>
        <color rgb="FF63BE7B"/>
        <color rgb="FFFFEB84"/>
        <color rgb="FFF8696B"/>
      </colorScale>
    </cfRule>
  </conditionalFormatting>
  <conditionalFormatting sqref="AH86">
    <cfRule type="colorScale" priority="12096">
      <colorScale>
        <cfvo type="min"/>
        <cfvo type="percentile" val="50"/>
        <cfvo type="max"/>
        <color rgb="FF63BE7B"/>
        <color rgb="FFFFEB84"/>
        <color rgb="FFF8696B"/>
      </colorScale>
    </cfRule>
  </conditionalFormatting>
  <conditionalFormatting sqref="AH96:AH102">
    <cfRule type="colorScale" priority="11891">
      <colorScale>
        <cfvo type="min"/>
        <cfvo type="percentile" val="50"/>
        <cfvo type="max"/>
        <color rgb="FF63BE7B"/>
        <color rgb="FFFFEB84"/>
        <color rgb="FFF8696B"/>
      </colorScale>
    </cfRule>
    <cfRule type="colorScale" priority="11890">
      <colorScale>
        <cfvo type="min"/>
        <cfvo type="percentile" val="50"/>
        <cfvo type="max"/>
        <color rgb="FF63BE7B"/>
        <color rgb="FFFFEB84"/>
        <color rgb="FFF8696B"/>
      </colorScale>
    </cfRule>
    <cfRule type="colorScale" priority="11889">
      <colorScale>
        <cfvo type="min"/>
        <cfvo type="percentile" val="50"/>
        <cfvo type="max"/>
        <color rgb="FF63BE7B"/>
        <color rgb="FFFFEB84"/>
        <color rgb="FFF8696B"/>
      </colorScale>
    </cfRule>
  </conditionalFormatting>
  <conditionalFormatting sqref="AH96:AH111">
    <cfRule type="colorScale" priority="11972">
      <colorScale>
        <cfvo type="min"/>
        <cfvo type="percentile" val="50"/>
        <cfvo type="max"/>
        <color rgb="FF63BE7B"/>
        <color rgb="FFFFEB84"/>
        <color rgb="FFF8696B"/>
      </colorScale>
    </cfRule>
  </conditionalFormatting>
  <conditionalFormatting sqref="AH97:AH102">
    <cfRule type="colorScale" priority="11892">
      <colorScale>
        <cfvo type="min"/>
        <cfvo type="percentile" val="50"/>
        <cfvo type="max"/>
        <color rgb="FF63BE7B"/>
        <color rgb="FFFFEB84"/>
        <color rgb="FFF8696B"/>
      </colorScale>
    </cfRule>
  </conditionalFormatting>
  <conditionalFormatting sqref="AH103:AH111">
    <cfRule type="colorScale" priority="11772">
      <colorScale>
        <cfvo type="min"/>
        <cfvo type="percentile" val="50"/>
        <cfvo type="max"/>
        <color rgb="FF63BE7B"/>
        <color rgb="FFFFEB84"/>
        <color rgb="FFF8696B"/>
      </colorScale>
    </cfRule>
    <cfRule type="colorScale" priority="11773">
      <colorScale>
        <cfvo type="min"/>
        <cfvo type="percentile" val="50"/>
        <cfvo type="max"/>
        <color rgb="FF63BE7B"/>
        <color rgb="FFFFEB84"/>
        <color rgb="FFF8696B"/>
      </colorScale>
    </cfRule>
    <cfRule type="colorScale" priority="11775">
      <colorScale>
        <cfvo type="min"/>
        <cfvo type="percentile" val="50"/>
        <cfvo type="max"/>
        <color rgb="FF63BE7B"/>
        <color rgb="FFFFEB84"/>
        <color rgb="FFF8696B"/>
      </colorScale>
    </cfRule>
    <cfRule type="colorScale" priority="11774">
      <colorScale>
        <cfvo type="min"/>
        <cfvo type="percentile" val="50"/>
        <cfvo type="max"/>
        <color rgb="FF63BE7B"/>
        <color rgb="FFFFEB84"/>
        <color rgb="FFF8696B"/>
      </colorScale>
    </cfRule>
  </conditionalFormatting>
  <conditionalFormatting sqref="AH112:AH114">
    <cfRule type="colorScale" priority="11669">
      <colorScale>
        <cfvo type="min"/>
        <cfvo type="percentile" val="50"/>
        <cfvo type="max"/>
        <color rgb="FF63BE7B"/>
        <color rgb="FFFFEB84"/>
        <color rgb="FFF8696B"/>
      </colorScale>
    </cfRule>
    <cfRule type="colorScale" priority="11667">
      <colorScale>
        <cfvo type="min"/>
        <cfvo type="percentile" val="50"/>
        <cfvo type="max"/>
        <color rgb="FF63BE7B"/>
        <color rgb="FFFFEB84"/>
        <color rgb="FFF8696B"/>
      </colorScale>
    </cfRule>
    <cfRule type="colorScale" priority="11668">
      <colorScale>
        <cfvo type="min"/>
        <cfvo type="percentile" val="50"/>
        <cfvo type="max"/>
        <color rgb="FF63BE7B"/>
        <color rgb="FFFFEB84"/>
        <color rgb="FFF8696B"/>
      </colorScale>
    </cfRule>
    <cfRule type="colorScale" priority="11670">
      <colorScale>
        <cfvo type="min"/>
        <cfvo type="percentile" val="50"/>
        <cfvo type="max"/>
        <color rgb="FF63BE7B"/>
        <color rgb="FFFFEB84"/>
        <color rgb="FFF8696B"/>
      </colorScale>
    </cfRule>
  </conditionalFormatting>
  <conditionalFormatting sqref="AH115:AH122">
    <cfRule type="colorScale" priority="11492">
      <colorScale>
        <cfvo type="min"/>
        <cfvo type="percentile" val="50"/>
        <cfvo type="max"/>
        <color rgb="FF63BE7B"/>
        <color rgb="FFFFEB84"/>
        <color rgb="FFF8696B"/>
      </colorScale>
    </cfRule>
    <cfRule type="colorScale" priority="11494">
      <colorScale>
        <cfvo type="min"/>
        <cfvo type="percentile" val="50"/>
        <cfvo type="max"/>
        <color rgb="FF63BE7B"/>
        <color rgb="FFFFEB84"/>
        <color rgb="FFF8696B"/>
      </colorScale>
    </cfRule>
    <cfRule type="colorScale" priority="11495">
      <colorScale>
        <cfvo type="min"/>
        <cfvo type="percentile" val="50"/>
        <cfvo type="max"/>
        <color rgb="FF63BE7B"/>
        <color rgb="FFFFEB84"/>
        <color rgb="FFF8696B"/>
      </colorScale>
    </cfRule>
  </conditionalFormatting>
  <conditionalFormatting sqref="AH117">
    <cfRule type="colorScale" priority="11493">
      <colorScale>
        <cfvo type="min"/>
        <cfvo type="percentile" val="50"/>
        <cfvo type="max"/>
        <color rgb="FF63BE7B"/>
        <color rgb="FFFFEB84"/>
        <color rgb="FFF8696B"/>
      </colorScale>
    </cfRule>
  </conditionalFormatting>
  <conditionalFormatting sqref="AI35:AI37">
    <cfRule type="colorScale" priority="10909">
      <colorScale>
        <cfvo type="min"/>
        <cfvo type="percentile" val="50"/>
        <cfvo type="max"/>
        <color rgb="FF63BE7B"/>
        <color rgb="FFFFEB84"/>
        <color rgb="FFF8696B"/>
      </colorScale>
    </cfRule>
  </conditionalFormatting>
  <conditionalFormatting sqref="AI35:AI41 E35:E50 U35:U41">
    <cfRule type="colorScale" priority="13066">
      <colorScale>
        <cfvo type="min"/>
        <cfvo type="percentile" val="50"/>
        <cfvo type="max"/>
        <color rgb="FF63BE7B"/>
        <color rgb="FFFFEB84"/>
        <color rgb="FFF8696B"/>
      </colorScale>
    </cfRule>
    <cfRule type="colorScale" priority="13221">
      <colorScale>
        <cfvo type="min"/>
        <cfvo type="percentile" val="50"/>
        <cfvo type="max"/>
        <color rgb="FF63BE7B"/>
        <color rgb="FFFFEB84"/>
        <color rgb="FFF8696B"/>
      </colorScale>
    </cfRule>
    <cfRule type="colorScale" priority="13068">
      <colorScale>
        <cfvo type="min"/>
        <cfvo type="percentile" val="50"/>
        <cfvo type="max"/>
        <color rgb="FF63BE7B"/>
        <color rgb="FFFFEB84"/>
        <color rgb="FFF8696B"/>
      </colorScale>
    </cfRule>
    <cfRule type="colorScale" priority="13067">
      <colorScale>
        <cfvo type="min"/>
        <cfvo type="percentile" val="50"/>
        <cfvo type="max"/>
        <color rgb="FF63BE7B"/>
        <color rgb="FFFFEB84"/>
        <color rgb="FFF8696B"/>
      </colorScale>
    </cfRule>
    <cfRule type="colorScale" priority="13069">
      <colorScale>
        <cfvo type="min"/>
        <cfvo type="percentile" val="50"/>
        <cfvo type="max"/>
        <color rgb="FF63BE7B"/>
        <color rgb="FFFFEB84"/>
        <color rgb="FFF8696B"/>
      </colorScale>
    </cfRule>
  </conditionalFormatting>
  <conditionalFormatting sqref="AI35:AI41 U35:U41 E35:E53 U51:U53 AI51:AI53">
    <cfRule type="colorScale" priority="13246">
      <colorScale>
        <cfvo type="min"/>
        <cfvo type="percentile" val="50"/>
        <cfvo type="max"/>
        <color rgb="FF63BE7B"/>
        <color rgb="FFFFEB84"/>
        <color rgb="FFF8696B"/>
      </colorScale>
    </cfRule>
    <cfRule type="colorScale" priority="14585">
      <colorScale>
        <cfvo type="min"/>
        <cfvo type="percentile" val="50"/>
        <cfvo type="max"/>
        <color rgb="FF63BE7B"/>
        <color rgb="FFFFEB84"/>
        <color rgb="FFF8696B"/>
      </colorScale>
    </cfRule>
  </conditionalFormatting>
  <conditionalFormatting sqref="AI35:AI41">
    <cfRule type="colorScale" priority="10917">
      <colorScale>
        <cfvo type="min"/>
        <cfvo type="percentile" val="50"/>
        <cfvo type="max"/>
        <color rgb="FF63BE7B"/>
        <color rgb="FFFFEB84"/>
        <color rgb="FFF8696B"/>
      </colorScale>
    </cfRule>
    <cfRule type="colorScale" priority="10918">
      <colorScale>
        <cfvo type="min"/>
        <cfvo type="percentile" val="50"/>
        <cfvo type="max"/>
        <color rgb="FF63BE7B"/>
        <color rgb="FFFFEB84"/>
        <color rgb="FFF8696B"/>
      </colorScale>
    </cfRule>
    <cfRule type="colorScale" priority="10919">
      <colorScale>
        <cfvo type="min"/>
        <cfvo type="percentile" val="50"/>
        <cfvo type="max"/>
        <color rgb="FF63BE7B"/>
        <color rgb="FFFFEB84"/>
        <color rgb="FFF8696B"/>
      </colorScale>
    </cfRule>
    <cfRule type="colorScale" priority="10920">
      <colorScale>
        <cfvo type="min"/>
        <cfvo type="percentile" val="50"/>
        <cfvo type="max"/>
        <color rgb="FF63BE7B"/>
        <color rgb="FFFFEB84"/>
        <color rgb="FFF8696B"/>
      </colorScale>
    </cfRule>
    <cfRule type="colorScale" priority="10921">
      <colorScale>
        <cfvo type="min"/>
        <cfvo type="percentile" val="50"/>
        <cfvo type="max"/>
        <color rgb="FF63BE7B"/>
        <color rgb="FFFFEB84"/>
        <color rgb="FFF8696B"/>
      </colorScale>
    </cfRule>
    <cfRule type="colorScale" priority="10922">
      <colorScale>
        <cfvo type="min"/>
        <cfvo type="percentile" val="50"/>
        <cfvo type="max"/>
        <color rgb="FF63BE7B"/>
        <color rgb="FFFFEB84"/>
        <color rgb="FFF8696B"/>
      </colorScale>
    </cfRule>
    <cfRule type="colorScale" priority="10923">
      <colorScale>
        <cfvo type="min"/>
        <cfvo type="percentile" val="50"/>
        <cfvo type="max"/>
        <color rgb="FF63BE7B"/>
        <color rgb="FFFFEB84"/>
        <color rgb="FFF8696B"/>
      </colorScale>
    </cfRule>
    <cfRule type="colorScale" priority="10925">
      <colorScale>
        <cfvo type="min"/>
        <cfvo type="percentile" val="50"/>
        <cfvo type="max"/>
        <color rgb="FF63BE7B"/>
        <color rgb="FFFFEB84"/>
        <color rgb="FFF8696B"/>
      </colorScale>
    </cfRule>
    <cfRule type="colorScale" priority="10908">
      <colorScale>
        <cfvo type="min"/>
        <cfvo type="percentile" val="50"/>
        <cfvo type="max"/>
        <color rgb="FF63BE7B"/>
        <color rgb="FFFFEB84"/>
        <color rgb="FFF8696B"/>
      </colorScale>
    </cfRule>
    <cfRule type="colorScale" priority="10907">
      <colorScale>
        <cfvo type="min"/>
        <cfvo type="percentile" val="50"/>
        <cfvo type="max"/>
        <color rgb="FF63BE7B"/>
        <color rgb="FFFFEB84"/>
        <color rgb="FFF8696B"/>
      </colorScale>
    </cfRule>
    <cfRule type="colorScale" priority="10911">
      <colorScale>
        <cfvo type="min"/>
        <cfvo type="percentile" val="50"/>
        <cfvo type="max"/>
        <color rgb="FF63BE7B"/>
        <color rgb="FFFFEB84"/>
        <color rgb="FFF8696B"/>
      </colorScale>
    </cfRule>
    <cfRule type="colorScale" priority="10910">
      <colorScale>
        <cfvo type="min"/>
        <cfvo type="percentile" val="50"/>
        <cfvo type="max"/>
        <color rgb="FF63BE7B"/>
        <color rgb="FFFFEB84"/>
        <color rgb="FFF8696B"/>
      </colorScale>
    </cfRule>
    <cfRule type="colorScale" priority="10912">
      <colorScale>
        <cfvo type="min"/>
        <cfvo type="percentile" val="50"/>
        <cfvo type="max"/>
        <color rgb="FF63BE7B"/>
        <color rgb="FFFFEB84"/>
        <color rgb="FFF8696B"/>
      </colorScale>
    </cfRule>
    <cfRule type="colorScale" priority="10913">
      <colorScale>
        <cfvo type="min"/>
        <cfvo type="percentile" val="50"/>
        <cfvo type="max"/>
        <color rgb="FF63BE7B"/>
        <color rgb="FFFFEB84"/>
        <color rgb="FFF8696B"/>
      </colorScale>
    </cfRule>
    <cfRule type="colorScale" priority="10924">
      <colorScale>
        <cfvo type="min"/>
        <cfvo type="percentile" val="50"/>
        <cfvo type="max"/>
        <color rgb="FF63BE7B"/>
        <color rgb="FFFFEB84"/>
        <color rgb="FFF8696B"/>
      </colorScale>
    </cfRule>
    <cfRule type="colorScale" priority="10914">
      <colorScale>
        <cfvo type="min"/>
        <cfvo type="percentile" val="50"/>
        <cfvo type="max"/>
        <color rgb="FF63BE7B"/>
        <color rgb="FFFFEB84"/>
        <color rgb="FFF8696B"/>
      </colorScale>
    </cfRule>
    <cfRule type="colorScale" priority="10915">
      <colorScale>
        <cfvo type="min"/>
        <cfvo type="percentile" val="50"/>
        <cfvo type="max"/>
        <color rgb="FF63BE7B"/>
        <color rgb="FFFFEB84"/>
        <color rgb="FFF8696B"/>
      </colorScale>
    </cfRule>
    <cfRule type="colorScale" priority="13095">
      <colorScale>
        <cfvo type="min"/>
        <cfvo type="percentile" val="50"/>
        <cfvo type="max"/>
        <color rgb="FF63BE7B"/>
        <color rgb="FFFFEB84"/>
        <color rgb="FFF8696B"/>
      </colorScale>
    </cfRule>
    <cfRule type="colorScale" priority="13096">
      <colorScale>
        <cfvo type="min"/>
        <cfvo type="percentile" val="50"/>
        <cfvo type="max"/>
        <color rgb="FF63BE7B"/>
        <color rgb="FFFFEB84"/>
        <color rgb="FFF8696B"/>
      </colorScale>
    </cfRule>
    <cfRule type="colorScale" priority="13097">
      <colorScale>
        <cfvo type="min"/>
        <cfvo type="percentile" val="50"/>
        <cfvo type="max"/>
        <color rgb="FF63BE7B"/>
        <color rgb="FFFFEB84"/>
        <color rgb="FFF8696B"/>
      </colorScale>
    </cfRule>
    <cfRule type="colorScale" priority="9311">
      <colorScale>
        <cfvo type="min"/>
        <cfvo type="percentile" val="50"/>
        <cfvo type="max"/>
        <color rgb="FFF8696B"/>
        <color rgb="FFFFEB84"/>
        <color rgb="FF63BE7B"/>
      </colorScale>
    </cfRule>
    <cfRule type="colorScale" priority="10916">
      <colorScale>
        <cfvo type="min"/>
        <cfvo type="percentile" val="50"/>
        <cfvo type="max"/>
        <color rgb="FF63BE7B"/>
        <color rgb="FFFFEB84"/>
        <color rgb="FFF8696B"/>
      </colorScale>
    </cfRule>
  </conditionalFormatting>
  <conditionalFormatting sqref="AI36:AI41">
    <cfRule type="colorScale" priority="13098">
      <colorScale>
        <cfvo type="min"/>
        <cfvo type="percentile" val="50"/>
        <cfvo type="max"/>
        <color rgb="FF63BE7B"/>
        <color rgb="FFFFEB84"/>
        <color rgb="FFF8696B"/>
      </colorScale>
    </cfRule>
  </conditionalFormatting>
  <conditionalFormatting sqref="AI42">
    <cfRule type="colorScale" priority="7329">
      <colorScale>
        <cfvo type="min"/>
        <cfvo type="percentile" val="50"/>
        <cfvo type="max"/>
        <color rgb="FF63BE7B"/>
        <color rgb="FFFFEB84"/>
        <color rgb="FFF8696B"/>
      </colorScale>
    </cfRule>
    <cfRule type="colorScale" priority="7335">
      <colorScale>
        <cfvo type="min"/>
        <cfvo type="percentile" val="50"/>
        <cfvo type="max"/>
        <color rgb="FFF8696B"/>
        <color rgb="FFFFEB84"/>
        <color rgb="FF63BE7B"/>
      </colorScale>
    </cfRule>
    <cfRule type="colorScale" priority="7327">
      <colorScale>
        <cfvo type="min"/>
        <cfvo type="percentile" val="50"/>
        <cfvo type="max"/>
        <color rgb="FF63BE7B"/>
        <color rgb="FFFFEB84"/>
        <color rgb="FFF8696B"/>
      </colorScale>
    </cfRule>
    <cfRule type="colorScale" priority="7326">
      <colorScale>
        <cfvo type="min"/>
        <cfvo type="percentile" val="50"/>
        <cfvo type="max"/>
        <color rgb="FF63BE7B"/>
        <color rgb="FFFFEB84"/>
        <color rgb="FFF8696B"/>
      </colorScale>
    </cfRule>
    <cfRule type="colorScale" priority="7325">
      <colorScale>
        <cfvo type="min"/>
        <cfvo type="percentile" val="50"/>
        <cfvo type="max"/>
        <color rgb="FFF8696B"/>
        <color rgb="FFFFEB84"/>
        <color rgb="FF63BE7B"/>
      </colorScale>
    </cfRule>
    <cfRule type="colorScale" priority="7324">
      <colorScale>
        <cfvo type="min"/>
        <cfvo type="percentile" val="50"/>
        <cfvo type="max"/>
        <color rgb="FFF8696B"/>
        <color rgb="FFFFEB84"/>
        <color rgb="FF63BE7B"/>
      </colorScale>
    </cfRule>
    <cfRule type="colorScale" priority="7334">
      <colorScale>
        <cfvo type="min"/>
        <cfvo type="percentile" val="50"/>
        <cfvo type="max"/>
        <color rgb="FF63BE7B"/>
        <color rgb="FFFFEB84"/>
        <color rgb="FFF8696B"/>
      </colorScale>
    </cfRule>
    <cfRule type="colorScale" priority="7333">
      <colorScale>
        <cfvo type="min"/>
        <cfvo type="percentile" val="50"/>
        <cfvo type="max"/>
        <color rgb="FF63BE7B"/>
        <color rgb="FFFFEB84"/>
        <color rgb="FFF8696B"/>
      </colorScale>
    </cfRule>
    <cfRule type="colorScale" priority="7332">
      <colorScale>
        <cfvo type="min"/>
        <cfvo type="percentile" val="50"/>
        <cfvo type="max"/>
        <color rgb="FF63BE7B"/>
        <color rgb="FFFFEB84"/>
        <color rgb="FFF8696B"/>
      </colorScale>
    </cfRule>
    <cfRule type="colorScale" priority="7331">
      <colorScale>
        <cfvo type="min"/>
        <cfvo type="percentile" val="50"/>
        <cfvo type="max"/>
        <color rgb="FF63BE7B"/>
        <color rgb="FFFFEB84"/>
        <color rgb="FFF8696B"/>
      </colorScale>
    </cfRule>
    <cfRule type="colorScale" priority="7330">
      <colorScale>
        <cfvo type="min"/>
        <cfvo type="percentile" val="50"/>
        <cfvo type="max"/>
        <color rgb="FF63BE7B"/>
        <color rgb="FFFFEB84"/>
        <color rgb="FFF8696B"/>
      </colorScale>
    </cfRule>
    <cfRule type="colorScale" priority="7341">
      <colorScale>
        <cfvo type="min"/>
        <cfvo type="percentile" val="50"/>
        <cfvo type="max"/>
        <color rgb="FF63BE7B"/>
        <color rgb="FFFFEB84"/>
        <color rgb="FFF8696B"/>
      </colorScale>
    </cfRule>
    <cfRule type="colorScale" priority="7340">
      <colorScale>
        <cfvo type="min"/>
        <cfvo type="percentile" val="50"/>
        <cfvo type="max"/>
        <color rgb="FF63BE7B"/>
        <color rgb="FFFFEB84"/>
        <color rgb="FFF8696B"/>
      </colorScale>
    </cfRule>
    <cfRule type="colorScale" priority="7339">
      <colorScale>
        <cfvo type="min"/>
        <cfvo type="percentile" val="50"/>
        <cfvo type="max"/>
        <color rgb="FF63BE7B"/>
        <color rgb="FFFFEB84"/>
        <color rgb="FFF8696B"/>
      </colorScale>
    </cfRule>
    <cfRule type="colorScale" priority="7338">
      <colorScale>
        <cfvo type="min"/>
        <cfvo type="percentile" val="50"/>
        <cfvo type="max"/>
        <color rgb="FFF8696B"/>
        <color rgb="FFFFEB84"/>
        <color rgb="FF63BE7B"/>
      </colorScale>
    </cfRule>
    <cfRule type="colorScale" priority="7337">
      <colorScale>
        <cfvo type="min"/>
        <cfvo type="percentile" val="50"/>
        <cfvo type="max"/>
        <color rgb="FF63BE7B"/>
        <color rgb="FFFFEB84"/>
        <color rgb="FFF8696B"/>
      </colorScale>
    </cfRule>
    <cfRule type="colorScale" priority="7336">
      <colorScale>
        <cfvo type="min"/>
        <cfvo type="percentile" val="50"/>
        <cfvo type="max"/>
        <color rgb="FFF8696B"/>
        <color rgb="FFFFEB84"/>
        <color rgb="FF63BE7B"/>
      </colorScale>
    </cfRule>
  </conditionalFormatting>
  <conditionalFormatting sqref="AI42:AI50">
    <cfRule type="colorScale" priority="7328">
      <colorScale>
        <cfvo type="min"/>
        <cfvo type="percentile" val="50"/>
        <cfvo type="max"/>
        <color rgb="FF63BE7B"/>
        <color rgb="FFFFEB84"/>
        <color rgb="FFF8696B"/>
      </colorScale>
    </cfRule>
    <cfRule type="colorScale" priority="7323">
      <colorScale>
        <cfvo type="min"/>
        <cfvo type="percentile" val="50"/>
        <cfvo type="max"/>
        <color rgb="FFF8696B"/>
        <color rgb="FFFFEB84"/>
        <color rgb="FF63BE7B"/>
      </colorScale>
    </cfRule>
    <cfRule type="colorScale" priority="12977">
      <colorScale>
        <cfvo type="min"/>
        <cfvo type="percentile" val="50"/>
        <cfvo type="max"/>
        <color rgb="FF63BE7B"/>
        <color rgb="FFFFEB84"/>
        <color rgb="FFF8696B"/>
      </colorScale>
    </cfRule>
    <cfRule type="colorScale" priority="12976">
      <colorScale>
        <cfvo type="min"/>
        <cfvo type="percentile" val="50"/>
        <cfvo type="max"/>
        <color rgb="FF63BE7B"/>
        <color rgb="FFFFEB84"/>
        <color rgb="FFF8696B"/>
      </colorScale>
    </cfRule>
    <cfRule type="colorScale" priority="12974">
      <colorScale>
        <cfvo type="min"/>
        <cfvo type="percentile" val="50"/>
        <cfvo type="max"/>
        <color rgb="FF63BE7B"/>
        <color rgb="FFFFEB84"/>
        <color rgb="FFF8696B"/>
      </colorScale>
    </cfRule>
    <cfRule type="colorScale" priority="12975">
      <colorScale>
        <cfvo type="min"/>
        <cfvo type="percentile" val="50"/>
        <cfvo type="max"/>
        <color rgb="FF63BE7B"/>
        <color rgb="FFFFEB84"/>
        <color rgb="FFF8696B"/>
      </colorScale>
    </cfRule>
    <cfRule type="colorScale" priority="7440">
      <colorScale>
        <cfvo type="min"/>
        <cfvo type="percentile" val="50"/>
        <cfvo type="max"/>
        <color rgb="FF63BE7B"/>
        <color rgb="FFFFEB84"/>
        <color rgb="FFF8696B"/>
      </colorScale>
    </cfRule>
  </conditionalFormatting>
  <conditionalFormatting sqref="AI44:AI50">
    <cfRule type="colorScale" priority="12985">
      <colorScale>
        <cfvo type="min"/>
        <cfvo type="percentile" val="50"/>
        <cfvo type="max"/>
        <color rgb="FF63BE7B"/>
        <color rgb="FFFFEB84"/>
        <color rgb="FFF8696B"/>
      </colorScale>
    </cfRule>
    <cfRule type="colorScale" priority="12984">
      <colorScale>
        <cfvo type="min"/>
        <cfvo type="percentile" val="50"/>
        <cfvo type="max"/>
        <color rgb="FF63BE7B"/>
        <color rgb="FFFFEB84"/>
        <color rgb="FFF8696B"/>
      </colorScale>
    </cfRule>
    <cfRule type="colorScale" priority="12983">
      <colorScale>
        <cfvo type="min"/>
        <cfvo type="percentile" val="50"/>
        <cfvo type="max"/>
        <color rgb="FF63BE7B"/>
        <color rgb="FFFFEB84"/>
        <color rgb="FFF8696B"/>
      </colorScale>
    </cfRule>
    <cfRule type="colorScale" priority="12982">
      <colorScale>
        <cfvo type="min"/>
        <cfvo type="percentile" val="50"/>
        <cfvo type="max"/>
        <color rgb="FF63BE7B"/>
        <color rgb="FFFFEB84"/>
        <color rgb="FFF8696B"/>
      </colorScale>
    </cfRule>
  </conditionalFormatting>
  <conditionalFormatting sqref="AI51:AI53">
    <cfRule type="colorScale" priority="3905">
      <colorScale>
        <cfvo type="min"/>
        <cfvo type="percentile" val="50"/>
        <cfvo type="max"/>
        <color rgb="FF63BE7B"/>
        <color rgb="FFFFEB84"/>
        <color rgb="FFF8696B"/>
      </colorScale>
    </cfRule>
    <cfRule type="colorScale" priority="1972">
      <colorScale>
        <cfvo type="min"/>
        <cfvo type="percentile" val="50"/>
        <cfvo type="max"/>
        <color rgb="FFF8696B"/>
        <color rgb="FFFFEB84"/>
        <color rgb="FF63BE7B"/>
      </colorScale>
    </cfRule>
    <cfRule type="colorScale" priority="2001">
      <colorScale>
        <cfvo type="min"/>
        <cfvo type="percentile" val="50"/>
        <cfvo type="max"/>
        <color rgb="FF63BE7B"/>
        <color rgb="FFFFEB84"/>
        <color rgb="FFF8696B"/>
      </colorScale>
    </cfRule>
    <cfRule type="colorScale" priority="2000">
      <colorScale>
        <cfvo type="min"/>
        <cfvo type="percentile" val="50"/>
        <cfvo type="max"/>
        <color rgb="FF63BE7B"/>
        <color rgb="FFFFEB84"/>
        <color rgb="FFF8696B"/>
      </colorScale>
    </cfRule>
  </conditionalFormatting>
  <conditionalFormatting sqref="AI52:AI53">
    <cfRule type="colorScale" priority="1982">
      <colorScale>
        <cfvo type="min"/>
        <cfvo type="percentile" val="50"/>
        <cfvo type="max"/>
        <color rgb="FF63BE7B"/>
        <color rgb="FFFFEB84"/>
        <color rgb="FFF8696B"/>
      </colorScale>
    </cfRule>
    <cfRule type="colorScale" priority="1981">
      <colorScale>
        <cfvo type="min"/>
        <cfvo type="percentile" val="50"/>
        <cfvo type="max"/>
        <color rgb="FF63BE7B"/>
        <color rgb="FFFFEB84"/>
        <color rgb="FFF8696B"/>
      </colorScale>
    </cfRule>
    <cfRule type="colorScale" priority="1980">
      <colorScale>
        <cfvo type="min"/>
        <cfvo type="percentile" val="50"/>
        <cfvo type="max"/>
        <color rgb="FF63BE7B"/>
        <color rgb="FFFFEB84"/>
        <color rgb="FFF8696B"/>
      </colorScale>
    </cfRule>
    <cfRule type="colorScale" priority="1979">
      <colorScale>
        <cfvo type="min"/>
        <cfvo type="percentile" val="50"/>
        <cfvo type="max"/>
        <color rgb="FF63BE7B"/>
        <color rgb="FFFFEB84"/>
        <color rgb="FFF8696B"/>
      </colorScale>
    </cfRule>
    <cfRule type="colorScale" priority="1978">
      <colorScale>
        <cfvo type="min"/>
        <cfvo type="percentile" val="50"/>
        <cfvo type="max"/>
        <color rgb="FF63BE7B"/>
        <color rgb="FFFFEB84"/>
        <color rgb="FFF8696B"/>
      </colorScale>
    </cfRule>
    <cfRule type="colorScale" priority="2182">
      <colorScale>
        <cfvo type="min"/>
        <cfvo type="percentile" val="50"/>
        <cfvo type="max"/>
        <color rgb="FF63BE7B"/>
        <color rgb="FFFFEB84"/>
        <color rgb="FFF8696B"/>
      </colorScale>
    </cfRule>
    <cfRule type="colorScale" priority="2183">
      <colorScale>
        <cfvo type="min"/>
        <cfvo type="percentile" val="50"/>
        <cfvo type="max"/>
        <color rgb="FF63BE7B"/>
        <color rgb="FFFFEB84"/>
        <color rgb="FFF8696B"/>
      </colorScale>
    </cfRule>
    <cfRule type="colorScale" priority="2184">
      <colorScale>
        <cfvo type="min"/>
        <cfvo type="percentile" val="50"/>
        <cfvo type="max"/>
        <color rgb="FF63BE7B"/>
        <color rgb="FFFFEB84"/>
        <color rgb="FFF8696B"/>
      </colorScale>
    </cfRule>
    <cfRule type="colorScale" priority="2185">
      <colorScale>
        <cfvo type="min"/>
        <cfvo type="percentile" val="50"/>
        <cfvo type="max"/>
        <color rgb="FF63BE7B"/>
        <color rgb="FFFFEB84"/>
        <color rgb="FFF8696B"/>
      </colorScale>
    </cfRule>
    <cfRule type="colorScale" priority="2186">
      <colorScale>
        <cfvo type="min"/>
        <cfvo type="percentile" val="50"/>
        <cfvo type="max"/>
        <color rgb="FF63BE7B"/>
        <color rgb="FFFFEB84"/>
        <color rgb="FFF8696B"/>
      </colorScale>
    </cfRule>
    <cfRule type="colorScale" priority="2187">
      <colorScale>
        <cfvo type="min"/>
        <cfvo type="percentile" val="50"/>
        <cfvo type="max"/>
        <color rgb="FF63BE7B"/>
        <color rgb="FFFFEB84"/>
        <color rgb="FFF8696B"/>
      </colorScale>
    </cfRule>
    <cfRule type="colorScale" priority="2188">
      <colorScale>
        <cfvo type="min"/>
        <cfvo type="percentile" val="50"/>
        <cfvo type="max"/>
        <color rgb="FF63BE7B"/>
        <color rgb="FFFFEB84"/>
        <color rgb="FFF8696B"/>
      </colorScale>
    </cfRule>
    <cfRule type="colorScale" priority="2189">
      <colorScale>
        <cfvo type="min"/>
        <cfvo type="percentile" val="50"/>
        <cfvo type="max"/>
        <color rgb="FF63BE7B"/>
        <color rgb="FFFFEB84"/>
        <color rgb="FFF8696B"/>
      </colorScale>
    </cfRule>
    <cfRule type="colorScale" priority="2190">
      <colorScale>
        <cfvo type="min"/>
        <cfvo type="percentile" val="50"/>
        <cfvo type="max"/>
        <color rgb="FF63BE7B"/>
        <color rgb="FFFFEB84"/>
        <color rgb="FFF8696B"/>
      </colorScale>
    </cfRule>
    <cfRule type="colorScale" priority="2191">
      <colorScale>
        <cfvo type="min"/>
        <cfvo type="percentile" val="50"/>
        <cfvo type="max"/>
        <color rgb="FF63BE7B"/>
        <color rgb="FFFFEB84"/>
        <color rgb="FFF8696B"/>
      </colorScale>
    </cfRule>
    <cfRule type="colorScale" priority="2192">
      <colorScale>
        <cfvo type="min"/>
        <cfvo type="percentile" val="50"/>
        <cfvo type="max"/>
        <color rgb="FF63BE7B"/>
        <color rgb="FFFFEB84"/>
        <color rgb="FFF8696B"/>
      </colorScale>
    </cfRule>
    <cfRule type="colorScale" priority="2193">
      <colorScale>
        <cfvo type="min"/>
        <cfvo type="percentile" val="50"/>
        <cfvo type="max"/>
        <color rgb="FF63BE7B"/>
        <color rgb="FFFFEB84"/>
        <color rgb="FFF8696B"/>
      </colorScale>
    </cfRule>
    <cfRule type="colorScale" priority="2194">
      <colorScale>
        <cfvo type="min"/>
        <cfvo type="percentile" val="50"/>
        <cfvo type="max"/>
        <color rgb="FF63BE7B"/>
        <color rgb="FFFFEB84"/>
        <color rgb="FFF8696B"/>
      </colorScale>
    </cfRule>
    <cfRule type="colorScale" priority="2195">
      <colorScale>
        <cfvo type="min"/>
        <cfvo type="percentile" val="50"/>
        <cfvo type="max"/>
        <color rgb="FF63BE7B"/>
        <color rgb="FFFFEB84"/>
        <color rgb="FFF8696B"/>
      </colorScale>
    </cfRule>
    <cfRule type="colorScale" priority="2196">
      <colorScale>
        <cfvo type="min"/>
        <cfvo type="percentile" val="50"/>
        <cfvo type="max"/>
        <color rgb="FF63BE7B"/>
        <color rgb="FFFFEB84"/>
        <color rgb="FFF8696B"/>
      </colorScale>
    </cfRule>
    <cfRule type="colorScale" priority="5909">
      <colorScale>
        <cfvo type="min"/>
        <cfvo type="percentile" val="50"/>
        <cfvo type="max"/>
        <color rgb="FFF8696B"/>
        <color rgb="FFFFEB84"/>
        <color rgb="FF63BE7B"/>
      </colorScale>
    </cfRule>
    <cfRule type="colorScale" priority="2197">
      <colorScale>
        <cfvo type="min"/>
        <cfvo type="percentile" val="50"/>
        <cfvo type="max"/>
        <color rgb="FF63BE7B"/>
        <color rgb="FFFFEB84"/>
        <color rgb="FFF8696B"/>
      </colorScale>
    </cfRule>
    <cfRule type="colorScale" priority="2198">
      <colorScale>
        <cfvo type="min"/>
        <cfvo type="percentile" val="50"/>
        <cfvo type="max"/>
        <color rgb="FF63BE7B"/>
        <color rgb="FFFFEB84"/>
        <color rgb="FFF8696B"/>
      </colorScale>
    </cfRule>
    <cfRule type="colorScale" priority="2199">
      <colorScale>
        <cfvo type="min"/>
        <cfvo type="percentile" val="50"/>
        <cfvo type="max"/>
        <color rgb="FF63BE7B"/>
        <color rgb="FFFFEB84"/>
        <color rgb="FFF8696B"/>
      </colorScale>
    </cfRule>
    <cfRule type="colorScale" priority="2200">
      <colorScale>
        <cfvo type="min"/>
        <cfvo type="percentile" val="50"/>
        <cfvo type="max"/>
        <color rgb="FF63BE7B"/>
        <color rgb="FFFFEB84"/>
        <color rgb="FFF8696B"/>
      </colorScale>
    </cfRule>
    <cfRule type="colorScale" priority="2201">
      <colorScale>
        <cfvo type="min"/>
        <cfvo type="percentile" val="50"/>
        <cfvo type="max"/>
        <color rgb="FF63BE7B"/>
        <color rgb="FFFFEB84"/>
        <color rgb="FFF8696B"/>
      </colorScale>
    </cfRule>
    <cfRule type="colorScale" priority="2202">
      <colorScale>
        <cfvo type="min"/>
        <cfvo type="percentile" val="50"/>
        <cfvo type="max"/>
        <color rgb="FF63BE7B"/>
        <color rgb="FFFFEB84"/>
        <color rgb="FFF8696B"/>
      </colorScale>
    </cfRule>
    <cfRule type="colorScale" priority="2203">
      <colorScale>
        <cfvo type="min"/>
        <cfvo type="percentile" val="50"/>
        <cfvo type="max"/>
        <color rgb="FF63BE7B"/>
        <color rgb="FFFFEB84"/>
        <color rgb="FFF8696B"/>
      </colorScale>
    </cfRule>
    <cfRule type="colorScale" priority="2204">
      <colorScale>
        <cfvo type="min"/>
        <cfvo type="percentile" val="50"/>
        <cfvo type="max"/>
        <color rgb="FF63BE7B"/>
        <color rgb="FFFFEB84"/>
        <color rgb="FFF8696B"/>
      </colorScale>
    </cfRule>
    <cfRule type="colorScale" priority="2205">
      <colorScale>
        <cfvo type="min"/>
        <cfvo type="percentile" val="50"/>
        <cfvo type="max"/>
        <color rgb="FF63BE7B"/>
        <color rgb="FFFFEB84"/>
        <color rgb="FFF8696B"/>
      </colorScale>
    </cfRule>
    <cfRule type="colorScale" priority="2206">
      <colorScale>
        <cfvo type="min"/>
        <cfvo type="percentile" val="50"/>
        <cfvo type="max"/>
        <color rgb="FF63BE7B"/>
        <color rgb="FFFFEB84"/>
        <color rgb="FFF8696B"/>
      </colorScale>
    </cfRule>
    <cfRule type="colorScale" priority="2207">
      <colorScale>
        <cfvo type="min"/>
        <cfvo type="percentile" val="50"/>
        <cfvo type="max"/>
        <color rgb="FF63BE7B"/>
        <color rgb="FFFFEB84"/>
        <color rgb="FFF8696B"/>
      </colorScale>
    </cfRule>
    <cfRule type="colorScale" priority="2208">
      <colorScale>
        <cfvo type="min"/>
        <cfvo type="percentile" val="50"/>
        <cfvo type="max"/>
        <color rgb="FF63BE7B"/>
        <color rgb="FFFFEB84"/>
        <color rgb="FFF8696B"/>
      </colorScale>
    </cfRule>
    <cfRule type="colorScale" priority="2210">
      <colorScale>
        <cfvo type="min"/>
        <cfvo type="percentile" val="50"/>
        <cfvo type="max"/>
        <color rgb="FF63BE7B"/>
        <color rgb="FFFFEB84"/>
        <color rgb="FFF8696B"/>
      </colorScale>
    </cfRule>
    <cfRule type="colorScale" priority="2211">
      <colorScale>
        <cfvo type="min"/>
        <cfvo type="percentile" val="50"/>
        <cfvo type="max"/>
        <color rgb="FF63BE7B"/>
        <color rgb="FFFFEB84"/>
        <color rgb="FFF8696B"/>
      </colorScale>
    </cfRule>
    <cfRule type="colorScale" priority="2212">
      <colorScale>
        <cfvo type="min"/>
        <cfvo type="percentile" val="50"/>
        <cfvo type="max"/>
        <color rgb="FF63BE7B"/>
        <color rgb="FFFFEB84"/>
        <color rgb="FFF8696B"/>
      </colorScale>
    </cfRule>
    <cfRule type="colorScale" priority="2213">
      <colorScale>
        <cfvo type="min"/>
        <cfvo type="percentile" val="50"/>
        <cfvo type="max"/>
        <color rgb="FF63BE7B"/>
        <color rgb="FFFFEB84"/>
        <color rgb="FFF8696B"/>
      </colorScale>
    </cfRule>
    <cfRule type="colorScale" priority="2214">
      <colorScale>
        <cfvo type="min"/>
        <cfvo type="percentile" val="50"/>
        <cfvo type="max"/>
        <color rgb="FF63BE7B"/>
        <color rgb="FFFFEB84"/>
        <color rgb="FFF8696B"/>
      </colorScale>
    </cfRule>
    <cfRule type="colorScale" priority="2215">
      <colorScale>
        <cfvo type="min"/>
        <cfvo type="percentile" val="50"/>
        <cfvo type="max"/>
        <color rgb="FF63BE7B"/>
        <color rgb="FFFFEB84"/>
        <color rgb="FFF8696B"/>
      </colorScale>
    </cfRule>
    <cfRule type="colorScale" priority="2216">
      <colorScale>
        <cfvo type="min"/>
        <cfvo type="percentile" val="50"/>
        <cfvo type="max"/>
        <color rgb="FF63BE7B"/>
        <color rgb="FFFFEB84"/>
        <color rgb="FFF8696B"/>
      </colorScale>
    </cfRule>
    <cfRule type="colorScale" priority="2217">
      <colorScale>
        <cfvo type="min"/>
        <cfvo type="percentile" val="50"/>
        <cfvo type="max"/>
        <color rgb="FF63BE7B"/>
        <color rgb="FFFFEB84"/>
        <color rgb="FFF8696B"/>
      </colorScale>
    </cfRule>
    <cfRule type="colorScale" priority="2218">
      <colorScale>
        <cfvo type="min"/>
        <cfvo type="percentile" val="50"/>
        <cfvo type="max"/>
        <color rgb="FF63BE7B"/>
        <color rgb="FFFFEB84"/>
        <color rgb="FFF8696B"/>
      </colorScale>
    </cfRule>
    <cfRule type="colorScale" priority="2219">
      <colorScale>
        <cfvo type="min"/>
        <cfvo type="percentile" val="50"/>
        <cfvo type="max"/>
        <color rgb="FF63BE7B"/>
        <color rgb="FFFFEB84"/>
        <color rgb="FFF8696B"/>
      </colorScale>
    </cfRule>
    <cfRule type="colorScale" priority="2220">
      <colorScale>
        <cfvo type="min"/>
        <cfvo type="percentile" val="50"/>
        <cfvo type="max"/>
        <color rgb="FF63BE7B"/>
        <color rgb="FFFFEB84"/>
        <color rgb="FFF8696B"/>
      </colorScale>
    </cfRule>
    <cfRule type="colorScale" priority="2221">
      <colorScale>
        <cfvo type="min"/>
        <cfvo type="percentile" val="50"/>
        <cfvo type="max"/>
        <color rgb="FF63BE7B"/>
        <color rgb="FFFFEB84"/>
        <color rgb="FFF8696B"/>
      </colorScale>
    </cfRule>
    <cfRule type="colorScale" priority="2222">
      <colorScale>
        <cfvo type="min"/>
        <cfvo type="percentile" val="50"/>
        <cfvo type="max"/>
        <color rgb="FF63BE7B"/>
        <color rgb="FFFFEB84"/>
        <color rgb="FFF8696B"/>
      </colorScale>
    </cfRule>
    <cfRule type="colorScale" priority="2223">
      <colorScale>
        <cfvo type="min"/>
        <cfvo type="percentile" val="50"/>
        <cfvo type="max"/>
        <color rgb="FF63BE7B"/>
        <color rgb="FFFFEB84"/>
        <color rgb="FFF8696B"/>
      </colorScale>
    </cfRule>
    <cfRule type="colorScale" priority="2224">
      <colorScale>
        <cfvo type="min"/>
        <cfvo type="percentile" val="50"/>
        <cfvo type="max"/>
        <color rgb="FF63BE7B"/>
        <color rgb="FFFFEB84"/>
        <color rgb="FFF8696B"/>
      </colorScale>
    </cfRule>
    <cfRule type="colorScale" priority="2225">
      <colorScale>
        <cfvo type="min"/>
        <cfvo type="percentile" val="50"/>
        <cfvo type="max"/>
        <color rgb="FF63BE7B"/>
        <color rgb="FFFFEB84"/>
        <color rgb="FFF8696B"/>
      </colorScale>
    </cfRule>
    <cfRule type="colorScale" priority="1977">
      <colorScale>
        <cfvo type="min"/>
        <cfvo type="percentile" val="50"/>
        <cfvo type="max"/>
        <color rgb="FF63BE7B"/>
        <color rgb="FFFFEB84"/>
        <color rgb="FFF8696B"/>
      </colorScale>
    </cfRule>
    <cfRule type="colorScale" priority="1976">
      <colorScale>
        <cfvo type="min"/>
        <cfvo type="percentile" val="50"/>
        <cfvo type="max"/>
        <color rgb="FF63BE7B"/>
        <color rgb="FFFFEB84"/>
        <color rgb="FFF8696B"/>
      </colorScale>
    </cfRule>
    <cfRule type="colorScale" priority="1975">
      <colorScale>
        <cfvo type="min"/>
        <cfvo type="percentile" val="50"/>
        <cfvo type="max"/>
        <color rgb="FF63BE7B"/>
        <color rgb="FFFFEB84"/>
        <color rgb="FFF8696B"/>
      </colorScale>
    </cfRule>
    <cfRule type="colorScale" priority="1974">
      <colorScale>
        <cfvo type="min"/>
        <cfvo type="percentile" val="50"/>
        <cfvo type="max"/>
        <color rgb="FF63BE7B"/>
        <color rgb="FFFFEB84"/>
        <color rgb="FFF8696B"/>
      </colorScale>
    </cfRule>
    <cfRule type="colorScale" priority="7156">
      <colorScale>
        <cfvo type="min"/>
        <cfvo type="percentile" val="50"/>
        <cfvo type="max"/>
        <color rgb="FF63BE7B"/>
        <color rgb="FFFFEB84"/>
        <color rgb="FFF8696B"/>
      </colorScale>
    </cfRule>
    <cfRule type="colorScale" priority="7157">
      <colorScale>
        <cfvo type="min"/>
        <cfvo type="percentile" val="50"/>
        <cfvo type="max"/>
        <color rgb="FF63BE7B"/>
        <color rgb="FFFFEB84"/>
        <color rgb="FFF8696B"/>
      </colorScale>
    </cfRule>
    <cfRule type="colorScale" priority="7158">
      <colorScale>
        <cfvo type="min"/>
        <cfvo type="percentile" val="50"/>
        <cfvo type="max"/>
        <color rgb="FF63BE7B"/>
        <color rgb="FFFFEB84"/>
        <color rgb="FFF8696B"/>
      </colorScale>
    </cfRule>
    <cfRule type="colorScale" priority="7159">
      <colorScale>
        <cfvo type="min"/>
        <cfvo type="percentile" val="50"/>
        <cfvo type="max"/>
        <color rgb="FF63BE7B"/>
        <color rgb="FFFFEB84"/>
        <color rgb="FFF8696B"/>
      </colorScale>
    </cfRule>
    <cfRule type="colorScale" priority="2209">
      <colorScale>
        <cfvo type="min"/>
        <cfvo type="percentile" val="50"/>
        <cfvo type="max"/>
        <color rgb="FF63BE7B"/>
        <color rgb="FFFFEB84"/>
        <color rgb="FFF8696B"/>
      </colorScale>
    </cfRule>
    <cfRule type="colorScale" priority="6778">
      <colorScale>
        <cfvo type="min"/>
        <cfvo type="percentile" val="50"/>
        <cfvo type="max"/>
        <color rgb="FF63BE7B"/>
        <color rgb="FFFFEB84"/>
        <color rgb="FFF8696B"/>
      </colorScale>
    </cfRule>
    <cfRule type="colorScale" priority="3926">
      <colorScale>
        <cfvo type="min"/>
        <cfvo type="percentile" val="50"/>
        <cfvo type="max"/>
        <color rgb="FF63BE7B"/>
        <color rgb="FFFFEB84"/>
        <color rgb="FFF8696B"/>
      </colorScale>
    </cfRule>
    <cfRule type="colorScale" priority="6761">
      <colorScale>
        <cfvo type="min"/>
        <cfvo type="percentile" val="50"/>
        <cfvo type="max"/>
        <color rgb="FF63BE7B"/>
        <color rgb="FFFFEB84"/>
        <color rgb="FFF8696B"/>
      </colorScale>
    </cfRule>
    <cfRule type="colorScale" priority="6762">
      <colorScale>
        <cfvo type="min"/>
        <cfvo type="percentile" val="50"/>
        <cfvo type="max"/>
        <color rgb="FF63BE7B"/>
        <color rgb="FFFFEB84"/>
        <color rgb="FFF8696B"/>
      </colorScale>
    </cfRule>
    <cfRule type="colorScale" priority="6763">
      <colorScale>
        <cfvo type="min"/>
        <cfvo type="percentile" val="50"/>
        <cfvo type="max"/>
        <color rgb="FF63BE7B"/>
        <color rgb="FFFFEB84"/>
        <color rgb="FFF8696B"/>
      </colorScale>
    </cfRule>
    <cfRule type="colorScale" priority="6764">
      <colorScale>
        <cfvo type="min"/>
        <cfvo type="percentile" val="50"/>
        <cfvo type="max"/>
        <color rgb="FF63BE7B"/>
        <color rgb="FFFFEB84"/>
        <color rgb="FFF8696B"/>
      </colorScale>
    </cfRule>
    <cfRule type="colorScale" priority="6765">
      <colorScale>
        <cfvo type="min"/>
        <cfvo type="percentile" val="50"/>
        <cfvo type="max"/>
        <color rgb="FF63BE7B"/>
        <color rgb="FFFFEB84"/>
        <color rgb="FFF8696B"/>
      </colorScale>
    </cfRule>
    <cfRule type="colorScale" priority="6766">
      <colorScale>
        <cfvo type="min"/>
        <cfvo type="percentile" val="50"/>
        <cfvo type="max"/>
        <color rgb="FF63BE7B"/>
        <color rgb="FFFFEB84"/>
        <color rgb="FFF8696B"/>
      </colorScale>
    </cfRule>
    <cfRule type="colorScale" priority="6767">
      <colorScale>
        <cfvo type="min"/>
        <cfvo type="percentile" val="50"/>
        <cfvo type="max"/>
        <color rgb="FF63BE7B"/>
        <color rgb="FFFFEB84"/>
        <color rgb="FFF8696B"/>
      </colorScale>
    </cfRule>
    <cfRule type="colorScale" priority="6768">
      <colorScale>
        <cfvo type="min"/>
        <cfvo type="percentile" val="50"/>
        <cfvo type="max"/>
        <color rgb="FF63BE7B"/>
        <color rgb="FFFFEB84"/>
        <color rgb="FFF8696B"/>
      </colorScale>
    </cfRule>
    <cfRule type="colorScale" priority="6769">
      <colorScale>
        <cfvo type="min"/>
        <cfvo type="percentile" val="50"/>
        <cfvo type="max"/>
        <color rgb="FF63BE7B"/>
        <color rgb="FFFFEB84"/>
        <color rgb="FFF8696B"/>
      </colorScale>
    </cfRule>
    <cfRule type="colorScale" priority="6770">
      <colorScale>
        <cfvo type="min"/>
        <cfvo type="percentile" val="50"/>
        <cfvo type="max"/>
        <color rgb="FF63BE7B"/>
        <color rgb="FFFFEB84"/>
        <color rgb="FFF8696B"/>
      </colorScale>
    </cfRule>
    <cfRule type="colorScale" priority="6771">
      <colorScale>
        <cfvo type="min"/>
        <cfvo type="percentile" val="50"/>
        <cfvo type="max"/>
        <color rgb="FF63BE7B"/>
        <color rgb="FFFFEB84"/>
        <color rgb="FFF8696B"/>
      </colorScale>
    </cfRule>
    <cfRule type="colorScale" priority="6772">
      <colorScale>
        <cfvo type="min"/>
        <cfvo type="percentile" val="50"/>
        <cfvo type="max"/>
        <color rgb="FF63BE7B"/>
        <color rgb="FFFFEB84"/>
        <color rgb="FFF8696B"/>
      </colorScale>
    </cfRule>
    <cfRule type="colorScale" priority="6773">
      <colorScale>
        <cfvo type="min"/>
        <cfvo type="percentile" val="50"/>
        <cfvo type="max"/>
        <color rgb="FF63BE7B"/>
        <color rgb="FFFFEB84"/>
        <color rgb="FFF8696B"/>
      </colorScale>
    </cfRule>
    <cfRule type="colorScale" priority="6774">
      <colorScale>
        <cfvo type="min"/>
        <cfvo type="percentile" val="50"/>
        <cfvo type="max"/>
        <color rgb="FF63BE7B"/>
        <color rgb="FFFFEB84"/>
        <color rgb="FFF8696B"/>
      </colorScale>
    </cfRule>
    <cfRule type="colorScale" priority="6775">
      <colorScale>
        <cfvo type="min"/>
        <cfvo type="percentile" val="50"/>
        <cfvo type="max"/>
        <color rgb="FF63BE7B"/>
        <color rgb="FFFFEB84"/>
        <color rgb="FFF8696B"/>
      </colorScale>
    </cfRule>
    <cfRule type="colorScale" priority="6776">
      <colorScale>
        <cfvo type="min"/>
        <cfvo type="percentile" val="50"/>
        <cfvo type="max"/>
        <color rgb="FF63BE7B"/>
        <color rgb="FFFFEB84"/>
        <color rgb="FFF8696B"/>
      </colorScale>
    </cfRule>
    <cfRule type="colorScale" priority="6777">
      <colorScale>
        <cfvo type="min"/>
        <cfvo type="percentile" val="50"/>
        <cfvo type="max"/>
        <color rgb="FF63BE7B"/>
        <color rgb="FFFFEB84"/>
        <color rgb="FFF8696B"/>
      </colorScale>
    </cfRule>
    <cfRule type="colorScale" priority="3925">
      <colorScale>
        <cfvo type="min"/>
        <cfvo type="percentile" val="50"/>
        <cfvo type="max"/>
        <color rgb="FF63BE7B"/>
        <color rgb="FFFFEB84"/>
        <color rgb="FFF8696B"/>
      </colorScale>
    </cfRule>
    <cfRule type="colorScale" priority="3924">
      <colorScale>
        <cfvo type="min"/>
        <cfvo type="percentile" val="50"/>
        <cfvo type="max"/>
        <color rgb="FF63BE7B"/>
        <color rgb="FFFFEB84"/>
        <color rgb="FFF8696B"/>
      </colorScale>
    </cfRule>
    <cfRule type="colorScale" priority="3923">
      <colorScale>
        <cfvo type="min"/>
        <cfvo type="percentile" val="50"/>
        <cfvo type="max"/>
        <color rgb="FF63BE7B"/>
        <color rgb="FFFFEB84"/>
        <color rgb="FFF8696B"/>
      </colorScale>
    </cfRule>
    <cfRule type="colorScale" priority="3922">
      <colorScale>
        <cfvo type="min"/>
        <cfvo type="percentile" val="50"/>
        <cfvo type="max"/>
        <color rgb="FF63BE7B"/>
        <color rgb="FFFFEB84"/>
        <color rgb="FFF8696B"/>
      </colorScale>
    </cfRule>
    <cfRule type="colorScale" priority="3921">
      <colorScale>
        <cfvo type="min"/>
        <cfvo type="percentile" val="50"/>
        <cfvo type="max"/>
        <color rgb="FF63BE7B"/>
        <color rgb="FFFFEB84"/>
        <color rgb="FFF8696B"/>
      </colorScale>
    </cfRule>
    <cfRule type="colorScale" priority="3920">
      <colorScale>
        <cfvo type="min"/>
        <cfvo type="percentile" val="50"/>
        <cfvo type="max"/>
        <color rgb="FF63BE7B"/>
        <color rgb="FFFFEB84"/>
        <color rgb="FFF8696B"/>
      </colorScale>
    </cfRule>
    <cfRule type="colorScale" priority="3919">
      <colorScale>
        <cfvo type="min"/>
        <cfvo type="percentile" val="50"/>
        <cfvo type="max"/>
        <color rgb="FF63BE7B"/>
        <color rgb="FFFFEB84"/>
        <color rgb="FFF8696B"/>
      </colorScale>
    </cfRule>
    <cfRule type="colorScale" priority="3918">
      <colorScale>
        <cfvo type="min"/>
        <cfvo type="percentile" val="50"/>
        <cfvo type="max"/>
        <color rgb="FF63BE7B"/>
        <color rgb="FFFFEB84"/>
        <color rgb="FFF8696B"/>
      </colorScale>
    </cfRule>
    <cfRule type="colorScale" priority="3917">
      <colorScale>
        <cfvo type="min"/>
        <cfvo type="percentile" val="50"/>
        <cfvo type="max"/>
        <color rgb="FF63BE7B"/>
        <color rgb="FFFFEB84"/>
        <color rgb="FFF8696B"/>
      </colorScale>
    </cfRule>
    <cfRule type="colorScale" priority="3916">
      <colorScale>
        <cfvo type="min"/>
        <cfvo type="percentile" val="50"/>
        <cfvo type="max"/>
        <color rgb="FF63BE7B"/>
        <color rgb="FFFFEB84"/>
        <color rgb="FFF8696B"/>
      </colorScale>
    </cfRule>
    <cfRule type="colorScale" priority="3915">
      <colorScale>
        <cfvo type="min"/>
        <cfvo type="percentile" val="50"/>
        <cfvo type="max"/>
        <color rgb="FF63BE7B"/>
        <color rgb="FFFFEB84"/>
        <color rgb="FFF8696B"/>
      </colorScale>
    </cfRule>
    <cfRule type="colorScale" priority="3914">
      <colorScale>
        <cfvo type="min"/>
        <cfvo type="percentile" val="50"/>
        <cfvo type="max"/>
        <color rgb="FF63BE7B"/>
        <color rgb="FFFFEB84"/>
        <color rgb="FFF8696B"/>
      </colorScale>
    </cfRule>
    <cfRule type="colorScale" priority="3913">
      <colorScale>
        <cfvo type="min"/>
        <cfvo type="percentile" val="50"/>
        <cfvo type="max"/>
        <color rgb="FF63BE7B"/>
        <color rgb="FFFFEB84"/>
        <color rgb="FFF8696B"/>
      </colorScale>
    </cfRule>
    <cfRule type="colorScale" priority="3912">
      <colorScale>
        <cfvo type="min"/>
        <cfvo type="percentile" val="50"/>
        <cfvo type="max"/>
        <color rgb="FF63BE7B"/>
        <color rgb="FFFFEB84"/>
        <color rgb="FFF8696B"/>
      </colorScale>
    </cfRule>
    <cfRule type="colorScale" priority="3911">
      <colorScale>
        <cfvo type="min"/>
        <cfvo type="percentile" val="50"/>
        <cfvo type="max"/>
        <color rgb="FF63BE7B"/>
        <color rgb="FFFFEB84"/>
        <color rgb="FFF8696B"/>
      </colorScale>
    </cfRule>
    <cfRule type="colorScale" priority="3910">
      <colorScale>
        <cfvo type="min"/>
        <cfvo type="percentile" val="50"/>
        <cfvo type="max"/>
        <color rgb="FF63BE7B"/>
        <color rgb="FFFFEB84"/>
        <color rgb="FFF8696B"/>
      </colorScale>
    </cfRule>
    <cfRule type="colorScale" priority="2109">
      <colorScale>
        <cfvo type="min"/>
        <cfvo type="percentile" val="50"/>
        <cfvo type="max"/>
        <color rgb="FF63BE7B"/>
        <color rgb="FFFFEB84"/>
        <color rgb="FFF8696B"/>
      </colorScale>
    </cfRule>
    <cfRule type="colorScale" priority="3909">
      <colorScale>
        <cfvo type="min"/>
        <cfvo type="percentile" val="50"/>
        <cfvo type="max"/>
        <color rgb="FF63BE7B"/>
        <color rgb="FFFFEB84"/>
        <color rgb="FFF8696B"/>
      </colorScale>
    </cfRule>
    <cfRule type="colorScale" priority="3908">
      <colorScale>
        <cfvo type="min"/>
        <cfvo type="percentile" val="50"/>
        <cfvo type="max"/>
        <color rgb="FF63BE7B"/>
        <color rgb="FFFFEB84"/>
        <color rgb="FFF8696B"/>
      </colorScale>
    </cfRule>
    <cfRule type="colorScale" priority="3907">
      <colorScale>
        <cfvo type="min"/>
        <cfvo type="percentile" val="50"/>
        <cfvo type="max"/>
        <color rgb="FF63BE7B"/>
        <color rgb="FFFFEB84"/>
        <color rgb="FFF8696B"/>
      </colorScale>
    </cfRule>
    <cfRule type="colorScale" priority="3906">
      <colorScale>
        <cfvo type="min"/>
        <cfvo type="percentile" val="50"/>
        <cfvo type="max"/>
        <color rgb="FF63BE7B"/>
        <color rgb="FFFFEB84"/>
        <color rgb="FFF8696B"/>
      </colorScale>
    </cfRule>
    <cfRule type="colorScale" priority="1999">
      <colorScale>
        <cfvo type="min"/>
        <cfvo type="percentile" val="50"/>
        <cfvo type="max"/>
        <color rgb="FF63BE7B"/>
        <color rgb="FFFFEB84"/>
        <color rgb="FFF8696B"/>
      </colorScale>
    </cfRule>
    <cfRule type="colorScale" priority="2002">
      <colorScale>
        <cfvo type="min"/>
        <cfvo type="percentile" val="50"/>
        <cfvo type="max"/>
        <color rgb="FFF8696B"/>
        <color rgb="FFFFEB84"/>
        <color rgb="FF63BE7B"/>
      </colorScale>
    </cfRule>
    <cfRule type="colorScale" priority="2003">
      <colorScale>
        <cfvo type="min"/>
        <cfvo type="percentile" val="50"/>
        <cfvo type="max"/>
        <color rgb="FF63BE7B"/>
        <color rgb="FFFFEB84"/>
        <color rgb="FFF8696B"/>
      </colorScale>
    </cfRule>
    <cfRule type="colorScale" priority="2004">
      <colorScale>
        <cfvo type="min"/>
        <cfvo type="percentile" val="50"/>
        <cfvo type="max"/>
        <color rgb="FF63BE7B"/>
        <color rgb="FFFFEB84"/>
        <color rgb="FFF8696B"/>
      </colorScale>
    </cfRule>
    <cfRule type="colorScale" priority="2005">
      <colorScale>
        <cfvo type="min"/>
        <cfvo type="percentile" val="50"/>
        <cfvo type="max"/>
        <color rgb="FF63BE7B"/>
        <color rgb="FFFFEB84"/>
        <color rgb="FFF8696B"/>
      </colorScale>
    </cfRule>
    <cfRule type="colorScale" priority="2006">
      <colorScale>
        <cfvo type="min"/>
        <cfvo type="percentile" val="50"/>
        <cfvo type="max"/>
        <color rgb="FF63BE7B"/>
        <color rgb="FFFFEB84"/>
        <color rgb="FFF8696B"/>
      </colorScale>
    </cfRule>
    <cfRule type="colorScale" priority="2007">
      <colorScale>
        <cfvo type="min"/>
        <cfvo type="percentile" val="50"/>
        <cfvo type="max"/>
        <color rgb="FF63BE7B"/>
        <color rgb="FFFFEB84"/>
        <color rgb="FFF8696B"/>
      </colorScale>
    </cfRule>
    <cfRule type="colorScale" priority="2008">
      <colorScale>
        <cfvo type="min"/>
        <cfvo type="percentile" val="50"/>
        <cfvo type="max"/>
        <color rgb="FF63BE7B"/>
        <color rgb="FFFFEB84"/>
        <color rgb="FFF8696B"/>
      </colorScale>
    </cfRule>
    <cfRule type="colorScale" priority="2009">
      <colorScale>
        <cfvo type="min"/>
        <cfvo type="percentile" val="50"/>
        <cfvo type="max"/>
        <color rgb="FF63BE7B"/>
        <color rgb="FFFFEB84"/>
        <color rgb="FFF8696B"/>
      </colorScale>
    </cfRule>
    <cfRule type="colorScale" priority="2010">
      <colorScale>
        <cfvo type="min"/>
        <cfvo type="percentile" val="50"/>
        <cfvo type="max"/>
        <color rgb="FF63BE7B"/>
        <color rgb="FFFFEB84"/>
        <color rgb="FFF8696B"/>
      </colorScale>
    </cfRule>
    <cfRule type="colorScale" priority="2011">
      <colorScale>
        <cfvo type="min"/>
        <cfvo type="percentile" val="50"/>
        <cfvo type="max"/>
        <color rgb="FF63BE7B"/>
        <color rgb="FFFFEB84"/>
        <color rgb="FFF8696B"/>
      </colorScale>
    </cfRule>
    <cfRule type="colorScale" priority="2176">
      <colorScale>
        <cfvo type="min"/>
        <cfvo type="percentile" val="50"/>
        <cfvo type="max"/>
        <color rgb="FF63BE7B"/>
        <color rgb="FFFFEB84"/>
        <color rgb="FFF8696B"/>
      </colorScale>
    </cfRule>
    <cfRule type="colorScale" priority="2043">
      <colorScale>
        <cfvo type="min"/>
        <cfvo type="percentile" val="50"/>
        <cfvo type="max"/>
        <color rgb="FF63BE7B"/>
        <color rgb="FFFFEB84"/>
        <color rgb="FFF8696B"/>
      </colorScale>
    </cfRule>
    <cfRule type="colorScale" priority="2044">
      <colorScale>
        <cfvo type="min"/>
        <cfvo type="percentile" val="50"/>
        <cfvo type="max"/>
        <color rgb="FF63BE7B"/>
        <color rgb="FFFFEB84"/>
        <color rgb="FFF8696B"/>
      </colorScale>
    </cfRule>
    <cfRule type="colorScale" priority="2045">
      <colorScale>
        <cfvo type="min"/>
        <cfvo type="percentile" val="50"/>
        <cfvo type="max"/>
        <color rgb="FF63BE7B"/>
        <color rgb="FFFFEB84"/>
        <color rgb="FFF8696B"/>
      </colorScale>
    </cfRule>
    <cfRule type="colorScale" priority="2046">
      <colorScale>
        <cfvo type="min"/>
        <cfvo type="percentile" val="50"/>
        <cfvo type="max"/>
        <color rgb="FF63BE7B"/>
        <color rgb="FFFFEB84"/>
        <color rgb="FFF8696B"/>
      </colorScale>
    </cfRule>
    <cfRule type="colorScale" priority="2047">
      <colorScale>
        <cfvo type="min"/>
        <cfvo type="percentile" val="50"/>
        <cfvo type="max"/>
        <color rgb="FF63BE7B"/>
        <color rgb="FFFFEB84"/>
        <color rgb="FFF8696B"/>
      </colorScale>
    </cfRule>
    <cfRule type="colorScale" priority="2048">
      <colorScale>
        <cfvo type="min"/>
        <cfvo type="percentile" val="50"/>
        <cfvo type="max"/>
        <color rgb="FF63BE7B"/>
        <color rgb="FFFFEB84"/>
        <color rgb="FFF8696B"/>
      </colorScale>
    </cfRule>
    <cfRule type="colorScale" priority="2049">
      <colorScale>
        <cfvo type="min"/>
        <cfvo type="percentile" val="50"/>
        <cfvo type="max"/>
        <color rgb="FF63BE7B"/>
        <color rgb="FFFFEB84"/>
        <color rgb="FFF8696B"/>
      </colorScale>
    </cfRule>
    <cfRule type="colorScale" priority="2050">
      <colorScale>
        <cfvo type="min"/>
        <cfvo type="percentile" val="50"/>
        <cfvo type="max"/>
        <color rgb="FF63BE7B"/>
        <color rgb="FFFFEB84"/>
        <color rgb="FFF8696B"/>
      </colorScale>
    </cfRule>
    <cfRule type="colorScale" priority="2051">
      <colorScale>
        <cfvo type="min"/>
        <cfvo type="percentile" val="50"/>
        <cfvo type="max"/>
        <color rgb="FF63BE7B"/>
        <color rgb="FFFFEB84"/>
        <color rgb="FFF8696B"/>
      </colorScale>
    </cfRule>
    <cfRule type="colorScale" priority="2052">
      <colorScale>
        <cfvo type="min"/>
        <cfvo type="percentile" val="50"/>
        <cfvo type="max"/>
        <color rgb="FF63BE7B"/>
        <color rgb="FFFFEB84"/>
        <color rgb="FFF8696B"/>
      </colorScale>
    </cfRule>
    <cfRule type="colorScale" priority="2053">
      <colorScale>
        <cfvo type="min"/>
        <cfvo type="percentile" val="50"/>
        <cfvo type="max"/>
        <color rgb="FF63BE7B"/>
        <color rgb="FFFFEB84"/>
        <color rgb="FFF8696B"/>
      </colorScale>
    </cfRule>
    <cfRule type="colorScale" priority="2054">
      <colorScale>
        <cfvo type="min"/>
        <cfvo type="percentile" val="50"/>
        <cfvo type="max"/>
        <color rgb="FF63BE7B"/>
        <color rgb="FFFFEB84"/>
        <color rgb="FFF8696B"/>
      </colorScale>
    </cfRule>
    <cfRule type="colorScale" priority="2055">
      <colorScale>
        <cfvo type="min"/>
        <cfvo type="percentile" val="50"/>
        <cfvo type="max"/>
        <color rgb="FF63BE7B"/>
        <color rgb="FFFFEB84"/>
        <color rgb="FFF8696B"/>
      </colorScale>
    </cfRule>
    <cfRule type="colorScale" priority="2056">
      <colorScale>
        <cfvo type="min"/>
        <cfvo type="percentile" val="50"/>
        <cfvo type="max"/>
        <color rgb="FF63BE7B"/>
        <color rgb="FFFFEB84"/>
        <color rgb="FFF8696B"/>
      </colorScale>
    </cfRule>
    <cfRule type="colorScale" priority="2057">
      <colorScale>
        <cfvo type="min"/>
        <cfvo type="percentile" val="50"/>
        <cfvo type="max"/>
        <color rgb="FF63BE7B"/>
        <color rgb="FFFFEB84"/>
        <color rgb="FFF8696B"/>
      </colorScale>
    </cfRule>
    <cfRule type="colorScale" priority="2058">
      <colorScale>
        <cfvo type="min"/>
        <cfvo type="percentile" val="50"/>
        <cfvo type="max"/>
        <color rgb="FF63BE7B"/>
        <color rgb="FFFFEB84"/>
        <color rgb="FFF8696B"/>
      </colorScale>
    </cfRule>
    <cfRule type="colorScale" priority="2059">
      <colorScale>
        <cfvo type="min"/>
        <cfvo type="percentile" val="50"/>
        <cfvo type="max"/>
        <color rgb="FF63BE7B"/>
        <color rgb="FFFFEB84"/>
        <color rgb="FFF8696B"/>
      </colorScale>
    </cfRule>
    <cfRule type="colorScale" priority="2060">
      <colorScale>
        <cfvo type="min"/>
        <cfvo type="percentile" val="50"/>
        <cfvo type="max"/>
        <color rgb="FF63BE7B"/>
        <color rgb="FFFFEB84"/>
        <color rgb="FFF8696B"/>
      </colorScale>
    </cfRule>
    <cfRule type="colorScale" priority="2061">
      <colorScale>
        <cfvo type="min"/>
        <cfvo type="percentile" val="50"/>
        <cfvo type="max"/>
        <color rgb="FF63BE7B"/>
        <color rgb="FFFFEB84"/>
        <color rgb="FFF8696B"/>
      </colorScale>
    </cfRule>
    <cfRule type="colorScale" priority="2062">
      <colorScale>
        <cfvo type="min"/>
        <cfvo type="percentile" val="50"/>
        <cfvo type="max"/>
        <color rgb="FF63BE7B"/>
        <color rgb="FFFFEB84"/>
        <color rgb="FFF8696B"/>
      </colorScale>
    </cfRule>
    <cfRule type="colorScale" priority="2063">
      <colorScale>
        <cfvo type="min"/>
        <cfvo type="percentile" val="50"/>
        <cfvo type="max"/>
        <color rgb="FF63BE7B"/>
        <color rgb="FFFFEB84"/>
        <color rgb="FFF8696B"/>
      </colorScale>
    </cfRule>
    <cfRule type="colorScale" priority="2064">
      <colorScale>
        <cfvo type="min"/>
        <cfvo type="percentile" val="50"/>
        <cfvo type="max"/>
        <color rgb="FF63BE7B"/>
        <color rgb="FFFFEB84"/>
        <color rgb="FFF8696B"/>
      </colorScale>
    </cfRule>
    <cfRule type="colorScale" priority="2065">
      <colorScale>
        <cfvo type="min"/>
        <cfvo type="percentile" val="50"/>
        <cfvo type="max"/>
        <color rgb="FF63BE7B"/>
        <color rgb="FFFFEB84"/>
        <color rgb="FFF8696B"/>
      </colorScale>
    </cfRule>
    <cfRule type="colorScale" priority="2066">
      <colorScale>
        <cfvo type="min"/>
        <cfvo type="percentile" val="50"/>
        <cfvo type="max"/>
        <color rgb="FF63BE7B"/>
        <color rgb="FFFFEB84"/>
        <color rgb="FFF8696B"/>
      </colorScale>
    </cfRule>
    <cfRule type="colorScale" priority="2067">
      <colorScale>
        <cfvo type="min"/>
        <cfvo type="percentile" val="50"/>
        <cfvo type="max"/>
        <color rgb="FF63BE7B"/>
        <color rgb="FFFFEB84"/>
        <color rgb="FFF8696B"/>
      </colorScale>
    </cfRule>
    <cfRule type="colorScale" priority="2068">
      <colorScale>
        <cfvo type="min"/>
        <cfvo type="percentile" val="50"/>
        <cfvo type="max"/>
        <color rgb="FF63BE7B"/>
        <color rgb="FFFFEB84"/>
        <color rgb="FFF8696B"/>
      </colorScale>
    </cfRule>
    <cfRule type="colorScale" priority="2069">
      <colorScale>
        <cfvo type="min"/>
        <cfvo type="percentile" val="50"/>
        <cfvo type="max"/>
        <color rgb="FF63BE7B"/>
        <color rgb="FFFFEB84"/>
        <color rgb="FFF8696B"/>
      </colorScale>
    </cfRule>
    <cfRule type="colorScale" priority="2070">
      <colorScale>
        <cfvo type="min"/>
        <cfvo type="percentile" val="50"/>
        <cfvo type="max"/>
        <color rgb="FF63BE7B"/>
        <color rgb="FFFFEB84"/>
        <color rgb="FFF8696B"/>
      </colorScale>
    </cfRule>
    <cfRule type="colorScale" priority="2071">
      <colorScale>
        <cfvo type="min"/>
        <cfvo type="percentile" val="50"/>
        <cfvo type="max"/>
        <color rgb="FF63BE7B"/>
        <color rgb="FFFFEB84"/>
        <color rgb="FFF8696B"/>
      </colorScale>
    </cfRule>
    <cfRule type="colorScale" priority="2072">
      <colorScale>
        <cfvo type="min"/>
        <cfvo type="percentile" val="50"/>
        <cfvo type="max"/>
        <color rgb="FF63BE7B"/>
        <color rgb="FFFFEB84"/>
        <color rgb="FFF8696B"/>
      </colorScale>
    </cfRule>
    <cfRule type="colorScale" priority="2073">
      <colorScale>
        <cfvo type="min"/>
        <cfvo type="percentile" val="50"/>
        <cfvo type="max"/>
        <color rgb="FF63BE7B"/>
        <color rgb="FFFFEB84"/>
        <color rgb="FFF8696B"/>
      </colorScale>
    </cfRule>
    <cfRule type="colorScale" priority="2074">
      <colorScale>
        <cfvo type="min"/>
        <cfvo type="percentile" val="50"/>
        <cfvo type="max"/>
        <color rgb="FF63BE7B"/>
        <color rgb="FFFFEB84"/>
        <color rgb="FFF8696B"/>
      </colorScale>
    </cfRule>
    <cfRule type="colorScale" priority="2075">
      <colorScale>
        <cfvo type="min"/>
        <cfvo type="percentile" val="50"/>
        <cfvo type="max"/>
        <color rgb="FF63BE7B"/>
        <color rgb="FFFFEB84"/>
        <color rgb="FFF8696B"/>
      </colorScale>
    </cfRule>
    <cfRule type="colorScale" priority="2076">
      <colorScale>
        <cfvo type="min"/>
        <cfvo type="percentile" val="50"/>
        <cfvo type="max"/>
        <color rgb="FF63BE7B"/>
        <color rgb="FFFFEB84"/>
        <color rgb="FFF8696B"/>
      </colorScale>
    </cfRule>
    <cfRule type="colorScale" priority="2030">
      <colorScale>
        <cfvo type="min"/>
        <cfvo type="percentile" val="50"/>
        <cfvo type="max"/>
        <color rgb="FF63BE7B"/>
        <color rgb="FFFFEB84"/>
        <color rgb="FFF8696B"/>
      </colorScale>
    </cfRule>
    <cfRule type="colorScale" priority="1998">
      <colorScale>
        <cfvo type="min"/>
        <cfvo type="percentile" val="50"/>
        <cfvo type="max"/>
        <color rgb="FF63BE7B"/>
        <color rgb="FFFFEB84"/>
        <color rgb="FFF8696B"/>
      </colorScale>
    </cfRule>
    <cfRule type="colorScale" priority="2029">
      <colorScale>
        <cfvo type="min"/>
        <cfvo type="percentile" val="50"/>
        <cfvo type="max"/>
        <color rgb="FF63BE7B"/>
        <color rgb="FFFFEB84"/>
        <color rgb="FFF8696B"/>
      </colorScale>
    </cfRule>
    <cfRule type="colorScale" priority="2031">
      <colorScale>
        <cfvo type="min"/>
        <cfvo type="percentile" val="50"/>
        <cfvo type="max"/>
        <color rgb="FF63BE7B"/>
        <color rgb="FFFFEB84"/>
        <color rgb="FFF8696B"/>
      </colorScale>
    </cfRule>
    <cfRule type="colorScale" priority="2028">
      <colorScale>
        <cfvo type="min"/>
        <cfvo type="percentile" val="50"/>
        <cfvo type="max"/>
        <color rgb="FF63BE7B"/>
        <color rgb="FFFFEB84"/>
        <color rgb="FFF8696B"/>
      </colorScale>
    </cfRule>
    <cfRule type="colorScale" priority="2032">
      <colorScale>
        <cfvo type="min"/>
        <cfvo type="percentile" val="50"/>
        <cfvo type="max"/>
        <color rgb="FF63BE7B"/>
        <color rgb="FFFFEB84"/>
        <color rgb="FFF8696B"/>
      </colorScale>
    </cfRule>
    <cfRule type="colorScale" priority="2033">
      <colorScale>
        <cfvo type="min"/>
        <cfvo type="percentile" val="50"/>
        <cfvo type="max"/>
        <color rgb="FF63BE7B"/>
        <color rgb="FFFFEB84"/>
        <color rgb="FFF8696B"/>
      </colorScale>
    </cfRule>
    <cfRule type="colorScale" priority="2034">
      <colorScale>
        <cfvo type="min"/>
        <cfvo type="percentile" val="50"/>
        <cfvo type="max"/>
        <color rgb="FF63BE7B"/>
        <color rgb="FFFFEB84"/>
        <color rgb="FFF8696B"/>
      </colorScale>
    </cfRule>
    <cfRule type="colorScale" priority="2027">
      <colorScale>
        <cfvo type="min"/>
        <cfvo type="percentile" val="50"/>
        <cfvo type="max"/>
        <color rgb="FF63BE7B"/>
        <color rgb="FFFFEB84"/>
        <color rgb="FFF8696B"/>
      </colorScale>
    </cfRule>
    <cfRule type="colorScale" priority="2026">
      <colorScale>
        <cfvo type="min"/>
        <cfvo type="percentile" val="50"/>
        <cfvo type="max"/>
        <color rgb="FF63BE7B"/>
        <color rgb="FFFFEB84"/>
        <color rgb="FFF8696B"/>
      </colorScale>
    </cfRule>
    <cfRule type="colorScale" priority="2025">
      <colorScale>
        <cfvo type="min"/>
        <cfvo type="percentile" val="50"/>
        <cfvo type="max"/>
        <color rgb="FF63BE7B"/>
        <color rgb="FFFFEB84"/>
        <color rgb="FFF8696B"/>
      </colorScale>
    </cfRule>
    <cfRule type="colorScale" priority="2024">
      <colorScale>
        <cfvo type="min"/>
        <cfvo type="percentile" val="50"/>
        <cfvo type="max"/>
        <color rgb="FF63BE7B"/>
        <color rgb="FFFFEB84"/>
        <color rgb="FFF8696B"/>
      </colorScale>
    </cfRule>
    <cfRule type="colorScale" priority="2023">
      <colorScale>
        <cfvo type="min"/>
        <cfvo type="percentile" val="50"/>
        <cfvo type="max"/>
        <color rgb="FF63BE7B"/>
        <color rgb="FFFFEB84"/>
        <color rgb="FFF8696B"/>
      </colorScale>
    </cfRule>
    <cfRule type="colorScale" priority="2022">
      <colorScale>
        <cfvo type="min"/>
        <cfvo type="percentile" val="50"/>
        <cfvo type="max"/>
        <color rgb="FF63BE7B"/>
        <color rgb="FFFFEB84"/>
        <color rgb="FFF8696B"/>
      </colorScale>
    </cfRule>
    <cfRule type="colorScale" priority="2021">
      <colorScale>
        <cfvo type="min"/>
        <cfvo type="percentile" val="50"/>
        <cfvo type="max"/>
        <color rgb="FF63BE7B"/>
        <color rgb="FFFFEB84"/>
        <color rgb="FFF8696B"/>
      </colorScale>
    </cfRule>
    <cfRule type="colorScale" priority="2020">
      <colorScale>
        <cfvo type="min"/>
        <cfvo type="percentile" val="50"/>
        <cfvo type="max"/>
        <color rgb="FF63BE7B"/>
        <color rgb="FFFFEB84"/>
        <color rgb="FFF8696B"/>
      </colorScale>
    </cfRule>
    <cfRule type="colorScale" priority="2019">
      <colorScale>
        <cfvo type="min"/>
        <cfvo type="percentile" val="50"/>
        <cfvo type="max"/>
        <color rgb="FF63BE7B"/>
        <color rgb="FFFFEB84"/>
        <color rgb="FFF8696B"/>
      </colorScale>
    </cfRule>
    <cfRule type="colorScale" priority="1973">
      <colorScale>
        <cfvo type="min"/>
        <cfvo type="percentile" val="50"/>
        <cfvo type="max"/>
        <color rgb="FF63BE7B"/>
        <color rgb="FFFFEB84"/>
        <color rgb="FFF8696B"/>
      </colorScale>
    </cfRule>
    <cfRule type="colorScale" priority="2018">
      <colorScale>
        <cfvo type="min"/>
        <cfvo type="percentile" val="50"/>
        <cfvo type="max"/>
        <color rgb="FF63BE7B"/>
        <color rgb="FFFFEB84"/>
        <color rgb="FFF8696B"/>
      </colorScale>
    </cfRule>
    <cfRule type="colorScale" priority="2017">
      <colorScale>
        <cfvo type="min"/>
        <cfvo type="percentile" val="50"/>
        <cfvo type="max"/>
        <color rgb="FF63BE7B"/>
        <color rgb="FFFFEB84"/>
        <color rgb="FFF8696B"/>
      </colorScale>
    </cfRule>
    <cfRule type="colorScale" priority="2016">
      <colorScale>
        <cfvo type="min"/>
        <cfvo type="percentile" val="50"/>
        <cfvo type="max"/>
        <color rgb="FF63BE7B"/>
        <color rgb="FFFFEB84"/>
        <color rgb="FFF8696B"/>
      </colorScale>
    </cfRule>
    <cfRule type="colorScale" priority="1997">
      <colorScale>
        <cfvo type="min"/>
        <cfvo type="percentile" val="50"/>
        <cfvo type="max"/>
        <color rgb="FF63BE7B"/>
        <color rgb="FFFFEB84"/>
        <color rgb="FFF8696B"/>
      </colorScale>
    </cfRule>
    <cfRule type="colorScale" priority="1996">
      <colorScale>
        <cfvo type="min"/>
        <cfvo type="percentile" val="50"/>
        <cfvo type="max"/>
        <color rgb="FF63BE7B"/>
        <color rgb="FFFFEB84"/>
        <color rgb="FFF8696B"/>
      </colorScale>
    </cfRule>
    <cfRule type="colorScale" priority="1995">
      <colorScale>
        <cfvo type="min"/>
        <cfvo type="percentile" val="50"/>
        <cfvo type="max"/>
        <color rgb="FF63BE7B"/>
        <color rgb="FFFFEB84"/>
        <color rgb="FFF8696B"/>
      </colorScale>
    </cfRule>
    <cfRule type="colorScale" priority="2077">
      <colorScale>
        <cfvo type="min"/>
        <cfvo type="percentile" val="50"/>
        <cfvo type="max"/>
        <color rgb="FF63BE7B"/>
        <color rgb="FFFFEB84"/>
        <color rgb="FFF8696B"/>
      </colorScale>
    </cfRule>
    <cfRule type="colorScale" priority="2078">
      <colorScale>
        <cfvo type="min"/>
        <cfvo type="percentile" val="50"/>
        <cfvo type="max"/>
        <color rgb="FF63BE7B"/>
        <color rgb="FFFFEB84"/>
        <color rgb="FFF8696B"/>
      </colorScale>
    </cfRule>
    <cfRule type="colorScale" priority="2079">
      <colorScale>
        <cfvo type="min"/>
        <cfvo type="percentile" val="50"/>
        <cfvo type="max"/>
        <color rgb="FF63BE7B"/>
        <color rgb="FFFFEB84"/>
        <color rgb="FFF8696B"/>
      </colorScale>
    </cfRule>
    <cfRule type="colorScale" priority="2080">
      <colorScale>
        <cfvo type="min"/>
        <cfvo type="percentile" val="50"/>
        <cfvo type="max"/>
        <color rgb="FF63BE7B"/>
        <color rgb="FFFFEB84"/>
        <color rgb="FFF8696B"/>
      </colorScale>
    </cfRule>
    <cfRule type="colorScale" priority="2081">
      <colorScale>
        <cfvo type="min"/>
        <cfvo type="percentile" val="50"/>
        <cfvo type="max"/>
        <color rgb="FF63BE7B"/>
        <color rgb="FFFFEB84"/>
        <color rgb="FFF8696B"/>
      </colorScale>
    </cfRule>
    <cfRule type="colorScale" priority="2082">
      <colorScale>
        <cfvo type="min"/>
        <cfvo type="percentile" val="50"/>
        <cfvo type="max"/>
        <color rgb="FF63BE7B"/>
        <color rgb="FFFFEB84"/>
        <color rgb="FFF8696B"/>
      </colorScale>
    </cfRule>
    <cfRule type="colorScale" priority="2083">
      <colorScale>
        <cfvo type="min"/>
        <cfvo type="percentile" val="50"/>
        <cfvo type="max"/>
        <color rgb="FF63BE7B"/>
        <color rgb="FFFFEB84"/>
        <color rgb="FFF8696B"/>
      </colorScale>
    </cfRule>
    <cfRule type="colorScale" priority="2084">
      <colorScale>
        <cfvo type="min"/>
        <cfvo type="percentile" val="50"/>
        <cfvo type="max"/>
        <color rgb="FF63BE7B"/>
        <color rgb="FFFFEB84"/>
        <color rgb="FFF8696B"/>
      </colorScale>
    </cfRule>
    <cfRule type="colorScale" priority="2085">
      <colorScale>
        <cfvo type="min"/>
        <cfvo type="percentile" val="50"/>
        <cfvo type="max"/>
        <color rgb="FF63BE7B"/>
        <color rgb="FFFFEB84"/>
        <color rgb="FFF8696B"/>
      </colorScale>
    </cfRule>
    <cfRule type="colorScale" priority="2086">
      <colorScale>
        <cfvo type="min"/>
        <cfvo type="percentile" val="50"/>
        <cfvo type="max"/>
        <color rgb="FF63BE7B"/>
        <color rgb="FFFFEB84"/>
        <color rgb="FFF8696B"/>
      </colorScale>
    </cfRule>
    <cfRule type="colorScale" priority="2087">
      <colorScale>
        <cfvo type="min"/>
        <cfvo type="percentile" val="50"/>
        <cfvo type="max"/>
        <color rgb="FF63BE7B"/>
        <color rgb="FFFFEB84"/>
        <color rgb="FFF8696B"/>
      </colorScale>
    </cfRule>
    <cfRule type="colorScale" priority="2088">
      <colorScale>
        <cfvo type="min"/>
        <cfvo type="percentile" val="50"/>
        <cfvo type="max"/>
        <color rgb="FF63BE7B"/>
        <color rgb="FFFFEB84"/>
        <color rgb="FFF8696B"/>
      </colorScale>
    </cfRule>
    <cfRule type="colorScale" priority="2089">
      <colorScale>
        <cfvo type="min"/>
        <cfvo type="percentile" val="50"/>
        <cfvo type="max"/>
        <color rgb="FFF8696B"/>
        <color rgb="FFFFEB84"/>
        <color rgb="FF63BE7B"/>
      </colorScale>
    </cfRule>
    <cfRule type="colorScale" priority="2090">
      <colorScale>
        <cfvo type="min"/>
        <cfvo type="percentile" val="50"/>
        <cfvo type="max"/>
        <color rgb="FF63BE7B"/>
        <color rgb="FFFFEB84"/>
        <color rgb="FFF8696B"/>
      </colorScale>
    </cfRule>
    <cfRule type="colorScale" priority="2091">
      <colorScale>
        <cfvo type="min"/>
        <cfvo type="percentile" val="50"/>
        <cfvo type="max"/>
        <color rgb="FF63BE7B"/>
        <color rgb="FFFFEB84"/>
        <color rgb="FFF8696B"/>
      </colorScale>
    </cfRule>
    <cfRule type="colorScale" priority="2092">
      <colorScale>
        <cfvo type="min"/>
        <cfvo type="percentile" val="50"/>
        <cfvo type="max"/>
        <color rgb="FF63BE7B"/>
        <color rgb="FFFFEB84"/>
        <color rgb="FFF8696B"/>
      </colorScale>
    </cfRule>
    <cfRule type="colorScale" priority="2093">
      <colorScale>
        <cfvo type="min"/>
        <cfvo type="percentile" val="50"/>
        <cfvo type="max"/>
        <color rgb="FF63BE7B"/>
        <color rgb="FFFFEB84"/>
        <color rgb="FFF8696B"/>
      </colorScale>
    </cfRule>
    <cfRule type="colorScale" priority="2094">
      <colorScale>
        <cfvo type="min"/>
        <cfvo type="percentile" val="50"/>
        <cfvo type="max"/>
        <color rgb="FF63BE7B"/>
        <color rgb="FFFFEB84"/>
        <color rgb="FFF8696B"/>
      </colorScale>
    </cfRule>
    <cfRule type="colorScale" priority="2095">
      <colorScale>
        <cfvo type="min"/>
        <cfvo type="percentile" val="50"/>
        <cfvo type="max"/>
        <color rgb="FF63BE7B"/>
        <color rgb="FFFFEB84"/>
        <color rgb="FFF8696B"/>
      </colorScale>
    </cfRule>
    <cfRule type="colorScale" priority="2096">
      <colorScale>
        <cfvo type="min"/>
        <cfvo type="percentile" val="50"/>
        <cfvo type="max"/>
        <color rgb="FF63BE7B"/>
        <color rgb="FFFFEB84"/>
        <color rgb="FFF8696B"/>
      </colorScale>
    </cfRule>
    <cfRule type="colorScale" priority="2097">
      <colorScale>
        <cfvo type="min"/>
        <cfvo type="percentile" val="50"/>
        <cfvo type="max"/>
        <color rgb="FF63BE7B"/>
        <color rgb="FFFFEB84"/>
        <color rgb="FFF8696B"/>
      </colorScale>
    </cfRule>
    <cfRule type="colorScale" priority="2098">
      <colorScale>
        <cfvo type="min"/>
        <cfvo type="percentile" val="50"/>
        <cfvo type="max"/>
        <color rgb="FF63BE7B"/>
        <color rgb="FFFFEB84"/>
        <color rgb="FFF8696B"/>
      </colorScale>
    </cfRule>
    <cfRule type="colorScale" priority="2099">
      <colorScale>
        <cfvo type="min"/>
        <cfvo type="percentile" val="50"/>
        <cfvo type="max"/>
        <color rgb="FF63BE7B"/>
        <color rgb="FFFFEB84"/>
        <color rgb="FFF8696B"/>
      </colorScale>
    </cfRule>
    <cfRule type="colorScale" priority="2100">
      <colorScale>
        <cfvo type="min"/>
        <cfvo type="percentile" val="50"/>
        <cfvo type="max"/>
        <color rgb="FF63BE7B"/>
        <color rgb="FFFFEB84"/>
        <color rgb="FFF8696B"/>
      </colorScale>
    </cfRule>
    <cfRule type="colorScale" priority="2101">
      <colorScale>
        <cfvo type="min"/>
        <cfvo type="percentile" val="50"/>
        <cfvo type="max"/>
        <color rgb="FF63BE7B"/>
        <color rgb="FFFFEB84"/>
        <color rgb="FFF8696B"/>
      </colorScale>
    </cfRule>
    <cfRule type="colorScale" priority="2102">
      <colorScale>
        <cfvo type="min"/>
        <cfvo type="percentile" val="50"/>
        <cfvo type="max"/>
        <color rgb="FF63BE7B"/>
        <color rgb="FFFFEB84"/>
        <color rgb="FFF8696B"/>
      </colorScale>
    </cfRule>
    <cfRule type="colorScale" priority="2103">
      <colorScale>
        <cfvo type="min"/>
        <cfvo type="percentile" val="50"/>
        <cfvo type="max"/>
        <color rgb="FF63BE7B"/>
        <color rgb="FFFFEB84"/>
        <color rgb="FFF8696B"/>
      </colorScale>
    </cfRule>
    <cfRule type="colorScale" priority="2104">
      <colorScale>
        <cfvo type="min"/>
        <cfvo type="percentile" val="50"/>
        <cfvo type="max"/>
        <color rgb="FF63BE7B"/>
        <color rgb="FFFFEB84"/>
        <color rgb="FFF8696B"/>
      </colorScale>
    </cfRule>
    <cfRule type="colorScale" priority="2015">
      <colorScale>
        <cfvo type="min"/>
        <cfvo type="percentile" val="50"/>
        <cfvo type="max"/>
        <color rgb="FF63BE7B"/>
        <color rgb="FFFFEB84"/>
        <color rgb="FFF8696B"/>
      </colorScale>
    </cfRule>
    <cfRule type="colorScale" priority="2106">
      <colorScale>
        <cfvo type="min"/>
        <cfvo type="percentile" val="50"/>
        <cfvo type="max"/>
        <color rgb="FF63BE7B"/>
        <color rgb="FFFFEB84"/>
        <color rgb="FFF8696B"/>
      </colorScale>
    </cfRule>
    <cfRule type="colorScale" priority="2107">
      <colorScale>
        <cfvo type="min"/>
        <cfvo type="percentile" val="50"/>
        <cfvo type="max"/>
        <color rgb="FF63BE7B"/>
        <color rgb="FFFFEB84"/>
        <color rgb="FFF8696B"/>
      </colorScale>
    </cfRule>
    <cfRule type="colorScale" priority="2108">
      <colorScale>
        <cfvo type="min"/>
        <cfvo type="percentile" val="50"/>
        <cfvo type="max"/>
        <color rgb="FF63BE7B"/>
        <color rgb="FFFFEB84"/>
        <color rgb="FFF8696B"/>
      </colorScale>
    </cfRule>
    <cfRule type="colorScale" priority="2110">
      <colorScale>
        <cfvo type="min"/>
        <cfvo type="percentile" val="50"/>
        <cfvo type="max"/>
        <color rgb="FF63BE7B"/>
        <color rgb="FFFFEB84"/>
        <color rgb="FFF8696B"/>
      </colorScale>
    </cfRule>
    <cfRule type="colorScale" priority="2111">
      <colorScale>
        <cfvo type="min"/>
        <cfvo type="percentile" val="50"/>
        <cfvo type="max"/>
        <color rgb="FF63BE7B"/>
        <color rgb="FFFFEB84"/>
        <color rgb="FFF8696B"/>
      </colorScale>
    </cfRule>
    <cfRule type="colorScale" priority="2112">
      <colorScale>
        <cfvo type="min"/>
        <cfvo type="percentile" val="50"/>
        <cfvo type="max"/>
        <color rgb="FF63BE7B"/>
        <color rgb="FFFFEB84"/>
        <color rgb="FFF8696B"/>
      </colorScale>
    </cfRule>
    <cfRule type="colorScale" priority="2113">
      <colorScale>
        <cfvo type="min"/>
        <cfvo type="percentile" val="50"/>
        <cfvo type="max"/>
        <color rgb="FF63BE7B"/>
        <color rgb="FFFFEB84"/>
        <color rgb="FFF8696B"/>
      </colorScale>
    </cfRule>
    <cfRule type="colorScale" priority="2114">
      <colorScale>
        <cfvo type="min"/>
        <cfvo type="percentile" val="50"/>
        <cfvo type="max"/>
        <color rgb="FF63BE7B"/>
        <color rgb="FFFFEB84"/>
        <color rgb="FFF8696B"/>
      </colorScale>
    </cfRule>
    <cfRule type="colorScale" priority="2115">
      <colorScale>
        <cfvo type="min"/>
        <cfvo type="percentile" val="50"/>
        <cfvo type="max"/>
        <color rgb="FF63BE7B"/>
        <color rgb="FFFFEB84"/>
        <color rgb="FFF8696B"/>
      </colorScale>
    </cfRule>
    <cfRule type="colorScale" priority="2116">
      <colorScale>
        <cfvo type="min"/>
        <cfvo type="percentile" val="50"/>
        <cfvo type="max"/>
        <color rgb="FF63BE7B"/>
        <color rgb="FFFFEB84"/>
        <color rgb="FFF8696B"/>
      </colorScale>
    </cfRule>
    <cfRule type="colorScale" priority="2117">
      <colorScale>
        <cfvo type="min"/>
        <cfvo type="percentile" val="50"/>
        <cfvo type="max"/>
        <color rgb="FF63BE7B"/>
        <color rgb="FFFFEB84"/>
        <color rgb="FFF8696B"/>
      </colorScale>
    </cfRule>
    <cfRule type="colorScale" priority="2118">
      <colorScale>
        <cfvo type="min"/>
        <cfvo type="percentile" val="50"/>
        <cfvo type="max"/>
        <color rgb="FF63BE7B"/>
        <color rgb="FFFFEB84"/>
        <color rgb="FFF8696B"/>
      </colorScale>
    </cfRule>
    <cfRule type="colorScale" priority="2119">
      <colorScale>
        <cfvo type="min"/>
        <cfvo type="percentile" val="50"/>
        <cfvo type="max"/>
        <color rgb="FF63BE7B"/>
        <color rgb="FFFFEB84"/>
        <color rgb="FFF8696B"/>
      </colorScale>
    </cfRule>
    <cfRule type="colorScale" priority="2120">
      <colorScale>
        <cfvo type="min"/>
        <cfvo type="percentile" val="50"/>
        <cfvo type="max"/>
        <color rgb="FF63BE7B"/>
        <color rgb="FFFFEB84"/>
        <color rgb="FFF8696B"/>
      </colorScale>
    </cfRule>
    <cfRule type="colorScale" priority="2121">
      <colorScale>
        <cfvo type="min"/>
        <cfvo type="percentile" val="50"/>
        <cfvo type="max"/>
        <color rgb="FF63BE7B"/>
        <color rgb="FFFFEB84"/>
        <color rgb="FFF8696B"/>
      </colorScale>
    </cfRule>
    <cfRule type="colorScale" priority="2122">
      <colorScale>
        <cfvo type="min"/>
        <cfvo type="percentile" val="50"/>
        <cfvo type="max"/>
        <color rgb="FF63BE7B"/>
        <color rgb="FFFFEB84"/>
        <color rgb="FFF8696B"/>
      </colorScale>
    </cfRule>
    <cfRule type="colorScale" priority="2123">
      <colorScale>
        <cfvo type="min"/>
        <cfvo type="percentile" val="50"/>
        <cfvo type="max"/>
        <color rgb="FF63BE7B"/>
        <color rgb="FFFFEB84"/>
        <color rgb="FFF8696B"/>
      </colorScale>
    </cfRule>
    <cfRule type="colorScale" priority="2124">
      <colorScale>
        <cfvo type="min"/>
        <cfvo type="percentile" val="50"/>
        <cfvo type="max"/>
        <color rgb="FF63BE7B"/>
        <color rgb="FFFFEB84"/>
        <color rgb="FFF8696B"/>
      </colorScale>
    </cfRule>
    <cfRule type="colorScale" priority="2125">
      <colorScale>
        <cfvo type="min"/>
        <cfvo type="percentile" val="50"/>
        <cfvo type="max"/>
        <color rgb="FF63BE7B"/>
        <color rgb="FFFFEB84"/>
        <color rgb="FFF8696B"/>
      </colorScale>
    </cfRule>
    <cfRule type="colorScale" priority="2126">
      <colorScale>
        <cfvo type="min"/>
        <cfvo type="percentile" val="50"/>
        <cfvo type="max"/>
        <color rgb="FF63BE7B"/>
        <color rgb="FFFFEB84"/>
        <color rgb="FFF8696B"/>
      </colorScale>
    </cfRule>
    <cfRule type="colorScale" priority="2127">
      <colorScale>
        <cfvo type="min"/>
        <cfvo type="percentile" val="50"/>
        <cfvo type="max"/>
        <color rgb="FF63BE7B"/>
        <color rgb="FFFFEB84"/>
        <color rgb="FFF8696B"/>
      </colorScale>
    </cfRule>
    <cfRule type="colorScale" priority="2128">
      <colorScale>
        <cfvo type="min"/>
        <cfvo type="percentile" val="50"/>
        <cfvo type="max"/>
        <color rgb="FF63BE7B"/>
        <color rgb="FFFFEB84"/>
        <color rgb="FFF8696B"/>
      </colorScale>
    </cfRule>
    <cfRule type="colorScale" priority="2129">
      <colorScale>
        <cfvo type="min"/>
        <cfvo type="percentile" val="50"/>
        <cfvo type="max"/>
        <color rgb="FF63BE7B"/>
        <color rgb="FFFFEB84"/>
        <color rgb="FFF8696B"/>
      </colorScale>
    </cfRule>
    <cfRule type="colorScale" priority="2130">
      <colorScale>
        <cfvo type="min"/>
        <cfvo type="percentile" val="50"/>
        <cfvo type="max"/>
        <color rgb="FF63BE7B"/>
        <color rgb="FFFFEB84"/>
        <color rgb="FFF8696B"/>
      </colorScale>
    </cfRule>
    <cfRule type="colorScale" priority="2131">
      <colorScale>
        <cfvo type="min"/>
        <cfvo type="percentile" val="50"/>
        <cfvo type="max"/>
        <color rgb="FF63BE7B"/>
        <color rgb="FFFFEB84"/>
        <color rgb="FFF8696B"/>
      </colorScale>
    </cfRule>
    <cfRule type="colorScale" priority="2132">
      <colorScale>
        <cfvo type="min"/>
        <cfvo type="percentile" val="50"/>
        <cfvo type="max"/>
        <color rgb="FF63BE7B"/>
        <color rgb="FFFFEB84"/>
        <color rgb="FFF8696B"/>
      </colorScale>
    </cfRule>
    <cfRule type="colorScale" priority="2133">
      <colorScale>
        <cfvo type="min"/>
        <cfvo type="percentile" val="50"/>
        <cfvo type="max"/>
        <color rgb="FF63BE7B"/>
        <color rgb="FFFFEB84"/>
        <color rgb="FFF8696B"/>
      </colorScale>
    </cfRule>
    <cfRule type="colorScale" priority="2134">
      <colorScale>
        <cfvo type="min"/>
        <cfvo type="percentile" val="50"/>
        <cfvo type="max"/>
        <color rgb="FF63BE7B"/>
        <color rgb="FFFFEB84"/>
        <color rgb="FFF8696B"/>
      </colorScale>
    </cfRule>
    <cfRule type="colorScale" priority="2135">
      <colorScale>
        <cfvo type="min"/>
        <cfvo type="percentile" val="50"/>
        <cfvo type="max"/>
        <color rgb="FF63BE7B"/>
        <color rgb="FFFFEB84"/>
        <color rgb="FFF8696B"/>
      </colorScale>
    </cfRule>
    <cfRule type="colorScale" priority="2136">
      <colorScale>
        <cfvo type="min"/>
        <cfvo type="percentile" val="50"/>
        <cfvo type="max"/>
        <color rgb="FF63BE7B"/>
        <color rgb="FFFFEB84"/>
        <color rgb="FFF8696B"/>
      </colorScale>
    </cfRule>
    <cfRule type="colorScale" priority="2137">
      <colorScale>
        <cfvo type="min"/>
        <cfvo type="percentile" val="50"/>
        <cfvo type="max"/>
        <color rgb="FF63BE7B"/>
        <color rgb="FFFFEB84"/>
        <color rgb="FFF8696B"/>
      </colorScale>
    </cfRule>
    <cfRule type="colorScale" priority="2138">
      <colorScale>
        <cfvo type="min"/>
        <cfvo type="percentile" val="50"/>
        <cfvo type="max"/>
        <color rgb="FF63BE7B"/>
        <color rgb="FFFFEB84"/>
        <color rgb="FFF8696B"/>
      </colorScale>
    </cfRule>
    <cfRule type="colorScale" priority="2139">
      <colorScale>
        <cfvo type="min"/>
        <cfvo type="percentile" val="50"/>
        <cfvo type="max"/>
        <color rgb="FF63BE7B"/>
        <color rgb="FFFFEB84"/>
        <color rgb="FFF8696B"/>
      </colorScale>
    </cfRule>
    <cfRule type="colorScale" priority="2140">
      <colorScale>
        <cfvo type="min"/>
        <cfvo type="percentile" val="50"/>
        <cfvo type="max"/>
        <color rgb="FF63BE7B"/>
        <color rgb="FFFFEB84"/>
        <color rgb="FFF8696B"/>
      </colorScale>
    </cfRule>
    <cfRule type="colorScale" priority="2141">
      <colorScale>
        <cfvo type="min"/>
        <cfvo type="percentile" val="50"/>
        <cfvo type="max"/>
        <color rgb="FF63BE7B"/>
        <color rgb="FFFFEB84"/>
        <color rgb="FFF8696B"/>
      </colorScale>
    </cfRule>
    <cfRule type="colorScale" priority="2035">
      <colorScale>
        <cfvo type="min"/>
        <cfvo type="percentile" val="50"/>
        <cfvo type="max"/>
        <color rgb="FF63BE7B"/>
        <color rgb="FFFFEB84"/>
        <color rgb="FFF8696B"/>
      </colorScale>
    </cfRule>
    <cfRule type="colorScale" priority="2036">
      <colorScale>
        <cfvo type="min"/>
        <cfvo type="percentile" val="50"/>
        <cfvo type="max"/>
        <color rgb="FF63BE7B"/>
        <color rgb="FFFFEB84"/>
        <color rgb="FFF8696B"/>
      </colorScale>
    </cfRule>
    <cfRule type="colorScale" priority="2037">
      <colorScale>
        <cfvo type="min"/>
        <cfvo type="percentile" val="50"/>
        <cfvo type="max"/>
        <color rgb="FF63BE7B"/>
        <color rgb="FFFFEB84"/>
        <color rgb="FFF8696B"/>
      </colorScale>
    </cfRule>
    <cfRule type="colorScale" priority="2038">
      <colorScale>
        <cfvo type="min"/>
        <cfvo type="percentile" val="50"/>
        <cfvo type="max"/>
        <color rgb="FF63BE7B"/>
        <color rgb="FFFFEB84"/>
        <color rgb="FFF8696B"/>
      </colorScale>
    </cfRule>
    <cfRule type="colorScale" priority="2039">
      <colorScale>
        <cfvo type="min"/>
        <cfvo type="percentile" val="50"/>
        <cfvo type="max"/>
        <color rgb="FF63BE7B"/>
        <color rgb="FFFFEB84"/>
        <color rgb="FFF8696B"/>
      </colorScale>
    </cfRule>
    <cfRule type="colorScale" priority="2040">
      <colorScale>
        <cfvo type="min"/>
        <cfvo type="percentile" val="50"/>
        <cfvo type="max"/>
        <color rgb="FF63BE7B"/>
        <color rgb="FFFFEB84"/>
        <color rgb="FFF8696B"/>
      </colorScale>
    </cfRule>
    <cfRule type="colorScale" priority="2041">
      <colorScale>
        <cfvo type="min"/>
        <cfvo type="percentile" val="50"/>
        <cfvo type="max"/>
        <color rgb="FFF8696B"/>
        <color rgb="FFFFEB84"/>
        <color rgb="FF63BE7B"/>
      </colorScale>
    </cfRule>
    <cfRule type="colorScale" priority="2042">
      <colorScale>
        <cfvo type="min"/>
        <cfvo type="percentile" val="50"/>
        <cfvo type="max"/>
        <color rgb="FF63BE7B"/>
        <color rgb="FFFFEB84"/>
        <color rgb="FFF8696B"/>
      </colorScale>
    </cfRule>
    <cfRule type="colorScale" priority="2014">
      <colorScale>
        <cfvo type="min"/>
        <cfvo type="percentile" val="50"/>
        <cfvo type="max"/>
        <color rgb="FF63BE7B"/>
        <color rgb="FFFFEB84"/>
        <color rgb="FFF8696B"/>
      </colorScale>
    </cfRule>
    <cfRule type="colorScale" priority="1985">
      <colorScale>
        <cfvo type="min"/>
        <cfvo type="percentile" val="50"/>
        <cfvo type="max"/>
        <color rgb="FF63BE7B"/>
        <color rgb="FFFFEB84"/>
        <color rgb="FFF8696B"/>
      </colorScale>
    </cfRule>
    <cfRule type="colorScale" priority="1984">
      <colorScale>
        <cfvo type="min"/>
        <cfvo type="percentile" val="50"/>
        <cfvo type="max"/>
        <color rgb="FF63BE7B"/>
        <color rgb="FFFFEB84"/>
        <color rgb="FFF8696B"/>
      </colorScale>
    </cfRule>
    <cfRule type="colorScale" priority="2013">
      <colorScale>
        <cfvo type="min"/>
        <cfvo type="percentile" val="50"/>
        <cfvo type="max"/>
        <color rgb="FF63BE7B"/>
        <color rgb="FFFFEB84"/>
        <color rgb="FFF8696B"/>
      </colorScale>
    </cfRule>
    <cfRule type="colorScale" priority="2012">
      <colorScale>
        <cfvo type="min"/>
        <cfvo type="percentile" val="50"/>
        <cfvo type="max"/>
        <color rgb="FF63BE7B"/>
        <color rgb="FFFFEB84"/>
        <color rgb="FFF8696B"/>
      </colorScale>
    </cfRule>
    <cfRule type="colorScale" priority="2105">
      <colorScale>
        <cfvo type="min"/>
        <cfvo type="percentile" val="50"/>
        <cfvo type="max"/>
        <color rgb="FF63BE7B"/>
        <color rgb="FFFFEB84"/>
        <color rgb="FFF8696B"/>
      </colorScale>
    </cfRule>
    <cfRule type="colorScale" priority="1983">
      <colorScale>
        <cfvo type="min"/>
        <cfvo type="percentile" val="50"/>
        <cfvo type="max"/>
        <color rgb="FF63BE7B"/>
        <color rgb="FFFFEB84"/>
        <color rgb="FFF8696B"/>
      </colorScale>
    </cfRule>
    <cfRule type="colorScale" priority="2177">
      <colorScale>
        <cfvo type="min"/>
        <cfvo type="percentile" val="50"/>
        <cfvo type="max"/>
        <color rgb="FF63BE7B"/>
        <color rgb="FFFFEB84"/>
        <color rgb="FFF8696B"/>
      </colorScale>
    </cfRule>
    <cfRule type="colorScale" priority="1994">
      <colorScale>
        <cfvo type="min"/>
        <cfvo type="percentile" val="50"/>
        <cfvo type="max"/>
        <color rgb="FF63BE7B"/>
        <color rgb="FFFFEB84"/>
        <color rgb="FFF8696B"/>
      </colorScale>
    </cfRule>
    <cfRule type="colorScale" priority="1993">
      <colorScale>
        <cfvo type="min"/>
        <cfvo type="percentile" val="50"/>
        <cfvo type="max"/>
        <color rgb="FF63BE7B"/>
        <color rgb="FFFFEB84"/>
        <color rgb="FFF8696B"/>
      </colorScale>
    </cfRule>
    <cfRule type="colorScale" priority="1992">
      <colorScale>
        <cfvo type="min"/>
        <cfvo type="percentile" val="50"/>
        <cfvo type="max"/>
        <color rgb="FF63BE7B"/>
        <color rgb="FFFFEB84"/>
        <color rgb="FFF8696B"/>
      </colorScale>
    </cfRule>
    <cfRule type="colorScale" priority="1991">
      <colorScale>
        <cfvo type="min"/>
        <cfvo type="percentile" val="50"/>
        <cfvo type="max"/>
        <color rgb="FF63BE7B"/>
        <color rgb="FFFFEB84"/>
        <color rgb="FFF8696B"/>
      </colorScale>
    </cfRule>
    <cfRule type="colorScale" priority="1990">
      <colorScale>
        <cfvo type="min"/>
        <cfvo type="percentile" val="50"/>
        <cfvo type="max"/>
        <color rgb="FF63BE7B"/>
        <color rgb="FFFFEB84"/>
        <color rgb="FFF8696B"/>
      </colorScale>
    </cfRule>
    <cfRule type="colorScale" priority="1989">
      <colorScale>
        <cfvo type="min"/>
        <cfvo type="percentile" val="50"/>
        <cfvo type="max"/>
        <color rgb="FF63BE7B"/>
        <color rgb="FFFFEB84"/>
        <color rgb="FFF8696B"/>
      </colorScale>
    </cfRule>
    <cfRule type="colorScale" priority="1988">
      <colorScale>
        <cfvo type="min"/>
        <cfvo type="percentile" val="50"/>
        <cfvo type="max"/>
        <color rgb="FF63BE7B"/>
        <color rgb="FFFFEB84"/>
        <color rgb="FFF8696B"/>
      </colorScale>
    </cfRule>
    <cfRule type="colorScale" priority="1987">
      <colorScale>
        <cfvo type="min"/>
        <cfvo type="percentile" val="50"/>
        <cfvo type="max"/>
        <color rgb="FF63BE7B"/>
        <color rgb="FFFFEB84"/>
        <color rgb="FFF8696B"/>
      </colorScale>
    </cfRule>
    <cfRule type="colorScale" priority="2142">
      <colorScale>
        <cfvo type="min"/>
        <cfvo type="percentile" val="50"/>
        <cfvo type="max"/>
        <color rgb="FF63BE7B"/>
        <color rgb="FFFFEB84"/>
        <color rgb="FFF8696B"/>
      </colorScale>
    </cfRule>
    <cfRule type="colorScale" priority="2143">
      <colorScale>
        <cfvo type="min"/>
        <cfvo type="percentile" val="50"/>
        <cfvo type="max"/>
        <color rgb="FF63BE7B"/>
        <color rgb="FFFFEB84"/>
        <color rgb="FFF8696B"/>
      </colorScale>
    </cfRule>
    <cfRule type="colorScale" priority="2144">
      <colorScale>
        <cfvo type="min"/>
        <cfvo type="percentile" val="50"/>
        <cfvo type="max"/>
        <color rgb="FF63BE7B"/>
        <color rgb="FFFFEB84"/>
        <color rgb="FFF8696B"/>
      </colorScale>
    </cfRule>
    <cfRule type="colorScale" priority="2145">
      <colorScale>
        <cfvo type="min"/>
        <cfvo type="percentile" val="50"/>
        <cfvo type="max"/>
        <color rgb="FF63BE7B"/>
        <color rgb="FFFFEB84"/>
        <color rgb="FFF8696B"/>
      </colorScale>
    </cfRule>
    <cfRule type="colorScale" priority="2146">
      <colorScale>
        <cfvo type="min"/>
        <cfvo type="percentile" val="50"/>
        <cfvo type="max"/>
        <color rgb="FF63BE7B"/>
        <color rgb="FFFFEB84"/>
        <color rgb="FFF8696B"/>
      </colorScale>
    </cfRule>
    <cfRule type="colorScale" priority="2147">
      <colorScale>
        <cfvo type="min"/>
        <cfvo type="percentile" val="50"/>
        <cfvo type="max"/>
        <color rgb="FF63BE7B"/>
        <color rgb="FFFFEB84"/>
        <color rgb="FFF8696B"/>
      </colorScale>
    </cfRule>
    <cfRule type="colorScale" priority="2148">
      <colorScale>
        <cfvo type="min"/>
        <cfvo type="percentile" val="50"/>
        <cfvo type="max"/>
        <color rgb="FF63BE7B"/>
        <color rgb="FFFFEB84"/>
        <color rgb="FFF8696B"/>
      </colorScale>
    </cfRule>
    <cfRule type="colorScale" priority="2149">
      <colorScale>
        <cfvo type="min"/>
        <cfvo type="percentile" val="50"/>
        <cfvo type="max"/>
        <color rgb="FF63BE7B"/>
        <color rgb="FFFFEB84"/>
        <color rgb="FFF8696B"/>
      </colorScale>
    </cfRule>
    <cfRule type="colorScale" priority="2150">
      <colorScale>
        <cfvo type="min"/>
        <cfvo type="percentile" val="50"/>
        <cfvo type="max"/>
        <color rgb="FF63BE7B"/>
        <color rgb="FFFFEB84"/>
        <color rgb="FFF8696B"/>
      </colorScale>
    </cfRule>
    <cfRule type="colorScale" priority="2151">
      <colorScale>
        <cfvo type="min"/>
        <cfvo type="percentile" val="50"/>
        <cfvo type="max"/>
        <color rgb="FF63BE7B"/>
        <color rgb="FFFFEB84"/>
        <color rgb="FFF8696B"/>
      </colorScale>
    </cfRule>
    <cfRule type="colorScale" priority="2152">
      <colorScale>
        <cfvo type="min"/>
        <cfvo type="percentile" val="50"/>
        <cfvo type="max"/>
        <color rgb="FF63BE7B"/>
        <color rgb="FFFFEB84"/>
        <color rgb="FFF8696B"/>
      </colorScale>
    </cfRule>
    <cfRule type="colorScale" priority="2153">
      <colorScale>
        <cfvo type="min"/>
        <cfvo type="percentile" val="50"/>
        <cfvo type="max"/>
        <color rgb="FF63BE7B"/>
        <color rgb="FFFFEB84"/>
        <color rgb="FFF8696B"/>
      </colorScale>
    </cfRule>
    <cfRule type="colorScale" priority="2154">
      <colorScale>
        <cfvo type="min"/>
        <cfvo type="percentile" val="50"/>
        <cfvo type="max"/>
        <color rgb="FF63BE7B"/>
        <color rgb="FFFFEB84"/>
        <color rgb="FFF8696B"/>
      </colorScale>
    </cfRule>
    <cfRule type="colorScale" priority="2155">
      <colorScale>
        <cfvo type="min"/>
        <cfvo type="percentile" val="50"/>
        <cfvo type="max"/>
        <color rgb="FF63BE7B"/>
        <color rgb="FFFFEB84"/>
        <color rgb="FFF8696B"/>
      </colorScale>
    </cfRule>
    <cfRule type="colorScale" priority="2156">
      <colorScale>
        <cfvo type="min"/>
        <cfvo type="percentile" val="50"/>
        <cfvo type="max"/>
        <color rgb="FF63BE7B"/>
        <color rgb="FFFFEB84"/>
        <color rgb="FFF8696B"/>
      </colorScale>
    </cfRule>
    <cfRule type="colorScale" priority="2157">
      <colorScale>
        <cfvo type="min"/>
        <cfvo type="percentile" val="50"/>
        <cfvo type="max"/>
        <color rgb="FF63BE7B"/>
        <color rgb="FFFFEB84"/>
        <color rgb="FFF8696B"/>
      </colorScale>
    </cfRule>
    <cfRule type="colorScale" priority="2158">
      <colorScale>
        <cfvo type="min"/>
        <cfvo type="percentile" val="50"/>
        <cfvo type="max"/>
        <color rgb="FF63BE7B"/>
        <color rgb="FFFFEB84"/>
        <color rgb="FFF8696B"/>
      </colorScale>
    </cfRule>
    <cfRule type="colorScale" priority="2159">
      <colorScale>
        <cfvo type="min"/>
        <cfvo type="percentile" val="50"/>
        <cfvo type="max"/>
        <color rgb="FF63BE7B"/>
        <color rgb="FFFFEB84"/>
        <color rgb="FFF8696B"/>
      </colorScale>
    </cfRule>
    <cfRule type="colorScale" priority="2160">
      <colorScale>
        <cfvo type="min"/>
        <cfvo type="percentile" val="50"/>
        <cfvo type="max"/>
        <color rgb="FF63BE7B"/>
        <color rgb="FFFFEB84"/>
        <color rgb="FFF8696B"/>
      </colorScale>
    </cfRule>
    <cfRule type="colorScale" priority="2161">
      <colorScale>
        <cfvo type="min"/>
        <cfvo type="percentile" val="50"/>
        <cfvo type="max"/>
        <color rgb="FF63BE7B"/>
        <color rgb="FFFFEB84"/>
        <color rgb="FFF8696B"/>
      </colorScale>
    </cfRule>
    <cfRule type="colorScale" priority="2162">
      <colorScale>
        <cfvo type="min"/>
        <cfvo type="percentile" val="50"/>
        <cfvo type="max"/>
        <color rgb="FF63BE7B"/>
        <color rgb="FFFFEB84"/>
        <color rgb="FFF8696B"/>
      </colorScale>
    </cfRule>
    <cfRule type="colorScale" priority="2163">
      <colorScale>
        <cfvo type="min"/>
        <cfvo type="percentile" val="50"/>
        <cfvo type="max"/>
        <color rgb="FF63BE7B"/>
        <color rgb="FFFFEB84"/>
        <color rgb="FFF8696B"/>
      </colorScale>
    </cfRule>
    <cfRule type="colorScale" priority="2164">
      <colorScale>
        <cfvo type="min"/>
        <cfvo type="percentile" val="50"/>
        <cfvo type="max"/>
        <color rgb="FF63BE7B"/>
        <color rgb="FFFFEB84"/>
        <color rgb="FFF8696B"/>
      </colorScale>
    </cfRule>
    <cfRule type="colorScale" priority="2165">
      <colorScale>
        <cfvo type="min"/>
        <cfvo type="percentile" val="50"/>
        <cfvo type="max"/>
        <color rgb="FF63BE7B"/>
        <color rgb="FFFFEB84"/>
        <color rgb="FFF8696B"/>
      </colorScale>
    </cfRule>
    <cfRule type="colorScale" priority="2166">
      <colorScale>
        <cfvo type="min"/>
        <cfvo type="percentile" val="50"/>
        <cfvo type="max"/>
        <color rgb="FF63BE7B"/>
        <color rgb="FFFFEB84"/>
        <color rgb="FFF8696B"/>
      </colorScale>
    </cfRule>
    <cfRule type="colorScale" priority="2167">
      <colorScale>
        <cfvo type="min"/>
        <cfvo type="percentile" val="50"/>
        <cfvo type="max"/>
        <color rgb="FF63BE7B"/>
        <color rgb="FFFFEB84"/>
        <color rgb="FFF8696B"/>
      </colorScale>
    </cfRule>
    <cfRule type="colorScale" priority="2168">
      <colorScale>
        <cfvo type="min"/>
        <cfvo type="percentile" val="50"/>
        <cfvo type="max"/>
        <color rgb="FF63BE7B"/>
        <color rgb="FFFFEB84"/>
        <color rgb="FFF8696B"/>
      </colorScale>
    </cfRule>
    <cfRule type="colorScale" priority="2169">
      <colorScale>
        <cfvo type="min"/>
        <cfvo type="percentile" val="50"/>
        <cfvo type="max"/>
        <color rgb="FF63BE7B"/>
        <color rgb="FFFFEB84"/>
        <color rgb="FFF8696B"/>
      </colorScale>
    </cfRule>
    <cfRule type="colorScale" priority="2170">
      <colorScale>
        <cfvo type="min"/>
        <cfvo type="percentile" val="50"/>
        <cfvo type="max"/>
        <color rgb="FFF8696B"/>
        <color rgb="FFFFEB84"/>
        <color rgb="FF63BE7B"/>
      </colorScale>
    </cfRule>
    <cfRule type="colorScale" priority="2171">
      <colorScale>
        <cfvo type="min"/>
        <cfvo type="percentile" val="50"/>
        <cfvo type="max"/>
        <color rgb="FF63BE7B"/>
        <color rgb="FFFFEB84"/>
        <color rgb="FFF8696B"/>
      </colorScale>
    </cfRule>
    <cfRule type="colorScale" priority="2172">
      <colorScale>
        <cfvo type="min"/>
        <cfvo type="percentile" val="50"/>
        <cfvo type="max"/>
        <color rgb="FF63BE7B"/>
        <color rgb="FFFFEB84"/>
        <color rgb="FFF8696B"/>
      </colorScale>
    </cfRule>
    <cfRule type="colorScale" priority="2173">
      <colorScale>
        <cfvo type="min"/>
        <cfvo type="percentile" val="50"/>
        <cfvo type="max"/>
        <color rgb="FF63BE7B"/>
        <color rgb="FFFFEB84"/>
        <color rgb="FFF8696B"/>
      </colorScale>
    </cfRule>
    <cfRule type="colorScale" priority="2174">
      <colorScale>
        <cfvo type="min"/>
        <cfvo type="percentile" val="50"/>
        <cfvo type="max"/>
        <color rgb="FF63BE7B"/>
        <color rgb="FFFFEB84"/>
        <color rgb="FFF8696B"/>
      </colorScale>
    </cfRule>
    <cfRule type="colorScale" priority="2175">
      <colorScale>
        <cfvo type="min"/>
        <cfvo type="percentile" val="50"/>
        <cfvo type="max"/>
        <color rgb="FF63BE7B"/>
        <color rgb="FFFFEB84"/>
        <color rgb="FFF8696B"/>
      </colorScale>
    </cfRule>
    <cfRule type="colorScale" priority="1986">
      <colorScale>
        <cfvo type="min"/>
        <cfvo type="percentile" val="50"/>
        <cfvo type="max"/>
        <color rgb="FF63BE7B"/>
        <color rgb="FFFFEB84"/>
        <color rgb="FFF8696B"/>
      </colorScale>
    </cfRule>
    <cfRule type="colorScale" priority="2178">
      <colorScale>
        <cfvo type="min"/>
        <cfvo type="percentile" val="50"/>
        <cfvo type="max"/>
        <color rgb="FF63BE7B"/>
        <color rgb="FFFFEB84"/>
        <color rgb="FFF8696B"/>
      </colorScale>
    </cfRule>
    <cfRule type="colorScale" priority="2179">
      <colorScale>
        <cfvo type="min"/>
        <cfvo type="percentile" val="50"/>
        <cfvo type="max"/>
        <color rgb="FF63BE7B"/>
        <color rgb="FFFFEB84"/>
        <color rgb="FFF8696B"/>
      </colorScale>
    </cfRule>
    <cfRule type="colorScale" priority="2180">
      <colorScale>
        <cfvo type="min"/>
        <cfvo type="percentile" val="50"/>
        <cfvo type="max"/>
        <color rgb="FF63BE7B"/>
        <color rgb="FFFFEB84"/>
        <color rgb="FFF8696B"/>
      </colorScale>
    </cfRule>
    <cfRule type="colorScale" priority="2181">
      <colorScale>
        <cfvo type="min"/>
        <cfvo type="percentile" val="50"/>
        <cfvo type="max"/>
        <color rgb="FF63BE7B"/>
        <color rgb="FFFFEB84"/>
        <color rgb="FFF8696B"/>
      </colorScale>
    </cfRule>
  </conditionalFormatting>
  <conditionalFormatting sqref="AI54:AI61">
    <cfRule type="colorScale" priority="23">
      <colorScale>
        <cfvo type="min"/>
        <cfvo type="percentile" val="50"/>
        <cfvo type="max"/>
        <color rgb="FF63BE7B"/>
        <color rgb="FFFFEB84"/>
        <color rgb="FFF8696B"/>
      </colorScale>
    </cfRule>
    <cfRule type="colorScale" priority="4">
      <colorScale>
        <cfvo type="min"/>
        <cfvo type="percentile" val="50"/>
        <cfvo type="max"/>
        <color rgb="FFF8696B"/>
        <color rgb="FFFFEB84"/>
        <color rgb="FF63BE7B"/>
      </colorScale>
    </cfRule>
  </conditionalFormatting>
  <conditionalFormatting sqref="AI65:AI71">
    <cfRule type="colorScale" priority="12493">
      <colorScale>
        <cfvo type="min"/>
        <cfvo type="percentile" val="50"/>
        <cfvo type="max"/>
        <color rgb="FF63BE7B"/>
        <color rgb="FFFFEB84"/>
        <color rgb="FFF8696B"/>
      </colorScale>
    </cfRule>
    <cfRule type="colorScale" priority="12492">
      <colorScale>
        <cfvo type="min"/>
        <cfvo type="percentile" val="50"/>
        <cfvo type="max"/>
        <color rgb="FF63BE7B"/>
        <color rgb="FFFFEB84"/>
        <color rgb="FFF8696B"/>
      </colorScale>
    </cfRule>
    <cfRule type="colorScale" priority="12491">
      <colorScale>
        <cfvo type="min"/>
        <cfvo type="percentile" val="50"/>
        <cfvo type="max"/>
        <color rgb="FF63BE7B"/>
        <color rgb="FFFFEB84"/>
        <color rgb="FFF8696B"/>
      </colorScale>
    </cfRule>
  </conditionalFormatting>
  <conditionalFormatting sqref="AI65:AI80">
    <cfRule type="colorScale" priority="12577">
      <colorScale>
        <cfvo type="min"/>
        <cfvo type="percentile" val="50"/>
        <cfvo type="max"/>
        <color rgb="FF63BE7B"/>
        <color rgb="FFFFEB84"/>
        <color rgb="FFF8696B"/>
      </colorScale>
    </cfRule>
  </conditionalFormatting>
  <conditionalFormatting sqref="AI66:AI71">
    <cfRule type="colorScale" priority="12494">
      <colorScale>
        <cfvo type="min"/>
        <cfvo type="percentile" val="50"/>
        <cfvo type="max"/>
        <color rgb="FF63BE7B"/>
        <color rgb="FFFFEB84"/>
        <color rgb="FFF8696B"/>
      </colorScale>
    </cfRule>
  </conditionalFormatting>
  <conditionalFormatting sqref="AI72:AI80">
    <cfRule type="colorScale" priority="12374">
      <colorScale>
        <cfvo type="min"/>
        <cfvo type="percentile" val="50"/>
        <cfvo type="max"/>
        <color rgb="FF63BE7B"/>
        <color rgb="FFFFEB84"/>
        <color rgb="FFF8696B"/>
      </colorScale>
    </cfRule>
    <cfRule type="colorScale" priority="12375">
      <colorScale>
        <cfvo type="min"/>
        <cfvo type="percentile" val="50"/>
        <cfvo type="max"/>
        <color rgb="FF63BE7B"/>
        <color rgb="FFFFEB84"/>
        <color rgb="FFF8696B"/>
      </colorScale>
    </cfRule>
    <cfRule type="colorScale" priority="12376">
      <colorScale>
        <cfvo type="min"/>
        <cfvo type="percentile" val="50"/>
        <cfvo type="max"/>
        <color rgb="FF63BE7B"/>
        <color rgb="FFFFEB84"/>
        <color rgb="FFF8696B"/>
      </colorScale>
    </cfRule>
    <cfRule type="colorScale" priority="12377">
      <colorScale>
        <cfvo type="min"/>
        <cfvo type="percentile" val="50"/>
        <cfvo type="max"/>
        <color rgb="FF63BE7B"/>
        <color rgb="FFFFEB84"/>
        <color rgb="FFF8696B"/>
      </colorScale>
    </cfRule>
  </conditionalFormatting>
  <conditionalFormatting sqref="AI81:AI83">
    <cfRule type="colorScale" priority="12269">
      <colorScale>
        <cfvo type="min"/>
        <cfvo type="percentile" val="50"/>
        <cfvo type="max"/>
        <color rgb="FF63BE7B"/>
        <color rgb="FFFFEB84"/>
        <color rgb="FFF8696B"/>
      </colorScale>
    </cfRule>
    <cfRule type="colorScale" priority="12268">
      <colorScale>
        <cfvo type="min"/>
        <cfvo type="percentile" val="50"/>
        <cfvo type="max"/>
        <color rgb="FF63BE7B"/>
        <color rgb="FFFFEB84"/>
        <color rgb="FFF8696B"/>
      </colorScale>
    </cfRule>
    <cfRule type="colorScale" priority="12267">
      <colorScale>
        <cfvo type="min"/>
        <cfvo type="percentile" val="50"/>
        <cfvo type="max"/>
        <color rgb="FF63BE7B"/>
        <color rgb="FFFFEB84"/>
        <color rgb="FFF8696B"/>
      </colorScale>
    </cfRule>
    <cfRule type="colorScale" priority="12266">
      <colorScale>
        <cfvo type="min"/>
        <cfvo type="percentile" val="50"/>
        <cfvo type="max"/>
        <color rgb="FF63BE7B"/>
        <color rgb="FFFFEB84"/>
        <color rgb="FFF8696B"/>
      </colorScale>
    </cfRule>
  </conditionalFormatting>
  <conditionalFormatting sqref="AI84:AI91">
    <cfRule type="colorScale" priority="12093">
      <colorScale>
        <cfvo type="min"/>
        <cfvo type="percentile" val="50"/>
        <cfvo type="max"/>
        <color rgb="FF63BE7B"/>
        <color rgb="FFFFEB84"/>
        <color rgb="FFF8696B"/>
      </colorScale>
    </cfRule>
    <cfRule type="colorScale" priority="12094">
      <colorScale>
        <cfvo type="min"/>
        <cfvo type="percentile" val="50"/>
        <cfvo type="max"/>
        <color rgb="FF63BE7B"/>
        <color rgb="FFFFEB84"/>
        <color rgb="FFF8696B"/>
      </colorScale>
    </cfRule>
    <cfRule type="colorScale" priority="12091">
      <colorScale>
        <cfvo type="min"/>
        <cfvo type="percentile" val="50"/>
        <cfvo type="max"/>
        <color rgb="FF63BE7B"/>
        <color rgb="FFFFEB84"/>
        <color rgb="FFF8696B"/>
      </colorScale>
    </cfRule>
  </conditionalFormatting>
  <conditionalFormatting sqref="AI86">
    <cfRule type="colorScale" priority="12092">
      <colorScale>
        <cfvo type="min"/>
        <cfvo type="percentile" val="50"/>
        <cfvo type="max"/>
        <color rgb="FF63BE7B"/>
        <color rgb="FFFFEB84"/>
        <color rgb="FFF8696B"/>
      </colorScale>
    </cfRule>
  </conditionalFormatting>
  <conditionalFormatting sqref="AI96:AI102">
    <cfRule type="colorScale" priority="11886">
      <colorScale>
        <cfvo type="min"/>
        <cfvo type="percentile" val="50"/>
        <cfvo type="max"/>
        <color rgb="FF63BE7B"/>
        <color rgb="FFFFEB84"/>
        <color rgb="FFF8696B"/>
      </colorScale>
    </cfRule>
    <cfRule type="colorScale" priority="11887">
      <colorScale>
        <cfvo type="min"/>
        <cfvo type="percentile" val="50"/>
        <cfvo type="max"/>
        <color rgb="FF63BE7B"/>
        <color rgb="FFFFEB84"/>
        <color rgb="FFF8696B"/>
      </colorScale>
    </cfRule>
    <cfRule type="colorScale" priority="11885">
      <colorScale>
        <cfvo type="min"/>
        <cfvo type="percentile" val="50"/>
        <cfvo type="max"/>
        <color rgb="FF63BE7B"/>
        <color rgb="FFFFEB84"/>
        <color rgb="FFF8696B"/>
      </colorScale>
    </cfRule>
  </conditionalFormatting>
  <conditionalFormatting sqref="AI96:AI111">
    <cfRule type="colorScale" priority="11971">
      <colorScale>
        <cfvo type="min"/>
        <cfvo type="percentile" val="50"/>
        <cfvo type="max"/>
        <color rgb="FF63BE7B"/>
        <color rgb="FFFFEB84"/>
        <color rgb="FFF8696B"/>
      </colorScale>
    </cfRule>
  </conditionalFormatting>
  <conditionalFormatting sqref="AI97:AI102">
    <cfRule type="colorScale" priority="11888">
      <colorScale>
        <cfvo type="min"/>
        <cfvo type="percentile" val="50"/>
        <cfvo type="max"/>
        <color rgb="FF63BE7B"/>
        <color rgb="FFFFEB84"/>
        <color rgb="FFF8696B"/>
      </colorScale>
    </cfRule>
  </conditionalFormatting>
  <conditionalFormatting sqref="AI103:AI111">
    <cfRule type="colorScale" priority="11771">
      <colorScale>
        <cfvo type="min"/>
        <cfvo type="percentile" val="50"/>
        <cfvo type="max"/>
        <color rgb="FF63BE7B"/>
        <color rgb="FFFFEB84"/>
        <color rgb="FFF8696B"/>
      </colorScale>
    </cfRule>
    <cfRule type="colorScale" priority="11770">
      <colorScale>
        <cfvo type="min"/>
        <cfvo type="percentile" val="50"/>
        <cfvo type="max"/>
        <color rgb="FF63BE7B"/>
        <color rgb="FFFFEB84"/>
        <color rgb="FFF8696B"/>
      </colorScale>
    </cfRule>
    <cfRule type="colorScale" priority="11769">
      <colorScale>
        <cfvo type="min"/>
        <cfvo type="percentile" val="50"/>
        <cfvo type="max"/>
        <color rgb="FF63BE7B"/>
        <color rgb="FFFFEB84"/>
        <color rgb="FFF8696B"/>
      </colorScale>
    </cfRule>
    <cfRule type="colorScale" priority="11768">
      <colorScale>
        <cfvo type="min"/>
        <cfvo type="percentile" val="50"/>
        <cfvo type="max"/>
        <color rgb="FF63BE7B"/>
        <color rgb="FFFFEB84"/>
        <color rgb="FFF8696B"/>
      </colorScale>
    </cfRule>
  </conditionalFormatting>
  <conditionalFormatting sqref="AI112:AI114">
    <cfRule type="colorScale" priority="11665">
      <colorScale>
        <cfvo type="min"/>
        <cfvo type="percentile" val="50"/>
        <cfvo type="max"/>
        <color rgb="FF63BE7B"/>
        <color rgb="FFFFEB84"/>
        <color rgb="FFF8696B"/>
      </colorScale>
    </cfRule>
    <cfRule type="colorScale" priority="11664">
      <colorScale>
        <cfvo type="min"/>
        <cfvo type="percentile" val="50"/>
        <cfvo type="max"/>
        <color rgb="FF63BE7B"/>
        <color rgb="FFFFEB84"/>
        <color rgb="FFF8696B"/>
      </colorScale>
    </cfRule>
    <cfRule type="colorScale" priority="11666">
      <colorScale>
        <cfvo type="min"/>
        <cfvo type="percentile" val="50"/>
        <cfvo type="max"/>
        <color rgb="FF63BE7B"/>
        <color rgb="FFFFEB84"/>
        <color rgb="FFF8696B"/>
      </colorScale>
    </cfRule>
    <cfRule type="colorScale" priority="11663">
      <colorScale>
        <cfvo type="min"/>
        <cfvo type="percentile" val="50"/>
        <cfvo type="max"/>
        <color rgb="FF63BE7B"/>
        <color rgb="FFFFEB84"/>
        <color rgb="FFF8696B"/>
      </colorScale>
    </cfRule>
  </conditionalFormatting>
  <conditionalFormatting sqref="AI115:AI122">
    <cfRule type="colorScale" priority="11488">
      <colorScale>
        <cfvo type="min"/>
        <cfvo type="percentile" val="50"/>
        <cfvo type="max"/>
        <color rgb="FF63BE7B"/>
        <color rgb="FFFFEB84"/>
        <color rgb="FFF8696B"/>
      </colorScale>
    </cfRule>
    <cfRule type="colorScale" priority="11490">
      <colorScale>
        <cfvo type="min"/>
        <cfvo type="percentile" val="50"/>
        <cfvo type="max"/>
        <color rgb="FF63BE7B"/>
        <color rgb="FFFFEB84"/>
        <color rgb="FFF8696B"/>
      </colorScale>
    </cfRule>
    <cfRule type="colorScale" priority="11491">
      <colorScale>
        <cfvo type="min"/>
        <cfvo type="percentile" val="50"/>
        <cfvo type="max"/>
        <color rgb="FF63BE7B"/>
        <color rgb="FFFFEB84"/>
        <color rgb="FFF8696B"/>
      </colorScale>
    </cfRule>
  </conditionalFormatting>
  <conditionalFormatting sqref="AI117">
    <cfRule type="colorScale" priority="11489">
      <colorScale>
        <cfvo type="min"/>
        <cfvo type="percentile" val="50"/>
        <cfvo type="max"/>
        <color rgb="FF63BE7B"/>
        <color rgb="FFFFEB84"/>
        <color rgb="FFF8696B"/>
      </colorScale>
    </cfRule>
  </conditionalFormatting>
  <conditionalFormatting sqref="AJ35:AJ37">
    <cfRule type="colorScale" priority="8993">
      <colorScale>
        <cfvo type="min"/>
        <cfvo type="percentile" val="50"/>
        <cfvo type="max"/>
        <color rgb="FF63BE7B"/>
        <color rgb="FFFFEB84"/>
        <color rgb="FFF8696B"/>
      </colorScale>
    </cfRule>
    <cfRule type="colorScale" priority="8994">
      <colorScale>
        <cfvo type="min"/>
        <cfvo type="percentile" val="50"/>
        <cfvo type="max"/>
        <color rgb="FF63BE7B"/>
        <color rgb="FFFFEB84"/>
        <color rgb="FFF8696B"/>
      </colorScale>
    </cfRule>
    <cfRule type="colorScale" priority="8995">
      <colorScale>
        <cfvo type="min"/>
        <cfvo type="percentile" val="50"/>
        <cfvo type="max"/>
        <color rgb="FF63BE7B"/>
        <color rgb="FFFFEB84"/>
        <color rgb="FFF8696B"/>
      </colorScale>
    </cfRule>
    <cfRule type="colorScale" priority="8999">
      <colorScale>
        <cfvo type="min"/>
        <cfvo type="percentile" val="50"/>
        <cfvo type="max"/>
        <color rgb="FF63BE7B"/>
        <color rgb="FFFFEB84"/>
        <color rgb="FFF8696B"/>
      </colorScale>
    </cfRule>
    <cfRule type="colorScale" priority="8998">
      <colorScale>
        <cfvo type="min"/>
        <cfvo type="percentile" val="50"/>
        <cfvo type="max"/>
        <color rgb="FF63BE7B"/>
        <color rgb="FFFFEB84"/>
        <color rgb="FFF8696B"/>
      </colorScale>
    </cfRule>
    <cfRule type="colorScale" priority="9012">
      <colorScale>
        <cfvo type="min"/>
        <cfvo type="percentile" val="50"/>
        <cfvo type="max"/>
        <color rgb="FF63BE7B"/>
        <color rgb="FFFFEB84"/>
        <color rgb="FFF8696B"/>
      </colorScale>
    </cfRule>
    <cfRule type="colorScale" priority="9020">
      <colorScale>
        <cfvo type="min"/>
        <cfvo type="percentile" val="50"/>
        <cfvo type="max"/>
        <color rgb="FF63BE7B"/>
        <color rgb="FFFFEB84"/>
        <color rgb="FFF8696B"/>
      </colorScale>
    </cfRule>
    <cfRule type="colorScale" priority="9026">
      <colorScale>
        <cfvo type="min"/>
        <cfvo type="percentile" val="50"/>
        <cfvo type="max"/>
        <color rgb="FF63BE7B"/>
        <color rgb="FFFFEB84"/>
        <color rgb="FFF8696B"/>
      </colorScale>
    </cfRule>
    <cfRule type="colorScale" priority="9021">
      <colorScale>
        <cfvo type="min"/>
        <cfvo type="percentile" val="50"/>
        <cfvo type="max"/>
        <color rgb="FF63BE7B"/>
        <color rgb="FFFFEB84"/>
        <color rgb="FFF8696B"/>
      </colorScale>
    </cfRule>
    <cfRule type="colorScale" priority="9023">
      <colorScale>
        <cfvo type="min"/>
        <cfvo type="percentile" val="50"/>
        <cfvo type="max"/>
        <color rgb="FF63BE7B"/>
        <color rgb="FFFFEB84"/>
        <color rgb="FFF8696B"/>
      </colorScale>
    </cfRule>
    <cfRule type="colorScale" priority="8985">
      <colorScale>
        <cfvo type="min"/>
        <cfvo type="percentile" val="50"/>
        <cfvo type="max"/>
        <color rgb="FF63BE7B"/>
        <color rgb="FFFFEB84"/>
        <color rgb="FFF8696B"/>
      </colorScale>
    </cfRule>
    <cfRule type="colorScale" priority="10890">
      <colorScale>
        <cfvo type="min"/>
        <cfvo type="percentile" val="50"/>
        <cfvo type="max"/>
        <color rgb="FF63BE7B"/>
        <color rgb="FFFFEB84"/>
        <color rgb="FFF8696B"/>
      </colorScale>
    </cfRule>
    <cfRule type="colorScale" priority="8996">
      <colorScale>
        <cfvo type="min"/>
        <cfvo type="percentile" val="50"/>
        <cfvo type="max"/>
        <color rgb="FF63BE7B"/>
        <color rgb="FFFFEB84"/>
        <color rgb="FFF8696B"/>
      </colorScale>
    </cfRule>
    <cfRule type="colorScale" priority="9025">
      <colorScale>
        <cfvo type="min"/>
        <cfvo type="percentile" val="50"/>
        <cfvo type="max"/>
        <color rgb="FF63BE7B"/>
        <color rgb="FFFFEB84"/>
        <color rgb="FFF8696B"/>
      </colorScale>
    </cfRule>
    <cfRule type="colorScale" priority="9022">
      <colorScale>
        <cfvo type="min"/>
        <cfvo type="percentile" val="50"/>
        <cfvo type="max"/>
        <color rgb="FF63BE7B"/>
        <color rgb="FFFFEB84"/>
        <color rgb="FFF8696B"/>
      </colorScale>
    </cfRule>
  </conditionalFormatting>
  <conditionalFormatting sqref="AJ35:AJ41 F35:F50 V35:V41">
    <cfRule type="colorScale" priority="13220">
      <colorScale>
        <cfvo type="min"/>
        <cfvo type="percentile" val="50"/>
        <cfvo type="max"/>
        <color rgb="FF63BE7B"/>
        <color rgb="FFFFEB84"/>
        <color rgb="FFF8696B"/>
      </colorScale>
    </cfRule>
  </conditionalFormatting>
  <conditionalFormatting sqref="AJ35:AJ41 V35:V41 AJ52:AJ53 F35:F53 V52:V53">
    <cfRule type="colorScale" priority="13245">
      <colorScale>
        <cfvo type="min"/>
        <cfvo type="percentile" val="50"/>
        <cfvo type="max"/>
        <color rgb="FF63BE7B"/>
        <color rgb="FFFFEB84"/>
        <color rgb="FFF8696B"/>
      </colorScale>
    </cfRule>
  </conditionalFormatting>
  <conditionalFormatting sqref="AJ35:AJ41">
    <cfRule type="colorScale" priority="9014">
      <colorScale>
        <cfvo type="min"/>
        <cfvo type="percentile" val="50"/>
        <cfvo type="max"/>
        <color rgb="FF63BE7B"/>
        <color rgb="FFFFEB84"/>
        <color rgb="FFF8696B"/>
      </colorScale>
    </cfRule>
    <cfRule type="colorScale" priority="9015">
      <colorScale>
        <cfvo type="min"/>
        <cfvo type="percentile" val="50"/>
        <cfvo type="max"/>
        <color rgb="FF63BE7B"/>
        <color rgb="FFFFEB84"/>
        <color rgb="FFF8696B"/>
      </colorScale>
    </cfRule>
    <cfRule type="colorScale" priority="9016">
      <colorScale>
        <cfvo type="min"/>
        <cfvo type="percentile" val="50"/>
        <cfvo type="max"/>
        <color rgb="FF63BE7B"/>
        <color rgb="FFFFEB84"/>
        <color rgb="FFF8696B"/>
      </colorScale>
    </cfRule>
    <cfRule type="colorScale" priority="9017">
      <colorScale>
        <cfvo type="min"/>
        <cfvo type="percentile" val="50"/>
        <cfvo type="max"/>
        <color rgb="FF63BE7B"/>
        <color rgb="FFFFEB84"/>
        <color rgb="FFF8696B"/>
      </colorScale>
    </cfRule>
    <cfRule type="colorScale" priority="9018">
      <colorScale>
        <cfvo type="min"/>
        <cfvo type="percentile" val="50"/>
        <cfvo type="max"/>
        <color rgb="FF63BE7B"/>
        <color rgb="FFFFEB84"/>
        <color rgb="FFF8696B"/>
      </colorScale>
    </cfRule>
    <cfRule type="colorScale" priority="9019">
      <colorScale>
        <cfvo type="min"/>
        <cfvo type="percentile" val="50"/>
        <cfvo type="max"/>
        <color rgb="FF63BE7B"/>
        <color rgb="FFFFEB84"/>
        <color rgb="FFF8696B"/>
      </colorScale>
    </cfRule>
    <cfRule type="colorScale" priority="8984">
      <colorScale>
        <cfvo type="min"/>
        <cfvo type="percentile" val="50"/>
        <cfvo type="max"/>
        <color rgb="FF63BE7B"/>
        <color rgb="FFFFEB84"/>
        <color rgb="FFF8696B"/>
      </colorScale>
    </cfRule>
    <cfRule type="colorScale" priority="8983">
      <colorScale>
        <cfvo type="min"/>
        <cfvo type="percentile" val="50"/>
        <cfvo type="max"/>
        <color rgb="FF63BE7B"/>
        <color rgb="FFFFEB84"/>
        <color rgb="FFF8696B"/>
      </colorScale>
    </cfRule>
    <cfRule type="colorScale" priority="9031">
      <colorScale>
        <cfvo type="min"/>
        <cfvo type="percentile" val="50"/>
        <cfvo type="max"/>
        <color rgb="FF63BE7B"/>
        <color rgb="FFFFEB84"/>
        <color rgb="FFF8696B"/>
      </colorScale>
    </cfRule>
    <cfRule type="colorScale" priority="9030">
      <colorScale>
        <cfvo type="min"/>
        <cfvo type="percentile" val="50"/>
        <cfvo type="max"/>
        <color rgb="FF63BE7B"/>
        <color rgb="FFFFEB84"/>
        <color rgb="FFF8696B"/>
      </colorScale>
    </cfRule>
    <cfRule type="colorScale" priority="9029">
      <colorScale>
        <cfvo type="min"/>
        <cfvo type="percentile" val="50"/>
        <cfvo type="max"/>
        <color rgb="FF63BE7B"/>
        <color rgb="FFFFEB84"/>
        <color rgb="FFF8696B"/>
      </colorScale>
    </cfRule>
    <cfRule type="colorScale" priority="9028">
      <colorScale>
        <cfvo type="min"/>
        <cfvo type="percentile" val="50"/>
        <cfvo type="max"/>
        <color rgb="FF63BE7B"/>
        <color rgb="FFFFEB84"/>
        <color rgb="FFF8696B"/>
      </colorScale>
    </cfRule>
    <cfRule type="colorScale" priority="9000">
      <colorScale>
        <cfvo type="min"/>
        <cfvo type="percentile" val="50"/>
        <cfvo type="max"/>
        <color rgb="FF63BE7B"/>
        <color rgb="FFFFEB84"/>
        <color rgb="FFF8696B"/>
      </colorScale>
    </cfRule>
    <cfRule type="colorScale" priority="9001">
      <colorScale>
        <cfvo type="min"/>
        <cfvo type="percentile" val="50"/>
        <cfvo type="max"/>
        <color rgb="FF63BE7B"/>
        <color rgb="FFFFEB84"/>
        <color rgb="FFF8696B"/>
      </colorScale>
    </cfRule>
    <cfRule type="colorScale" priority="9002">
      <colorScale>
        <cfvo type="min"/>
        <cfvo type="percentile" val="50"/>
        <cfvo type="max"/>
        <color rgb="FF63BE7B"/>
        <color rgb="FFFFEB84"/>
        <color rgb="FFF8696B"/>
      </colorScale>
    </cfRule>
    <cfRule type="colorScale" priority="9003">
      <colorScale>
        <cfvo type="min"/>
        <cfvo type="percentile" val="50"/>
        <cfvo type="max"/>
        <color rgb="FF63BE7B"/>
        <color rgb="FFFFEB84"/>
        <color rgb="FFF8696B"/>
      </colorScale>
    </cfRule>
    <cfRule type="colorScale" priority="9004">
      <colorScale>
        <cfvo type="min"/>
        <cfvo type="percentile" val="50"/>
        <cfvo type="max"/>
        <color rgb="FF63BE7B"/>
        <color rgb="FFFFEB84"/>
        <color rgb="FFF8696B"/>
      </colorScale>
    </cfRule>
    <cfRule type="colorScale" priority="9005">
      <colorScale>
        <cfvo type="min"/>
        <cfvo type="percentile" val="50"/>
        <cfvo type="max"/>
        <color rgb="FF63BE7B"/>
        <color rgb="FFFFEB84"/>
        <color rgb="FFF8696B"/>
      </colorScale>
    </cfRule>
    <cfRule type="colorScale" priority="9006">
      <colorScale>
        <cfvo type="min"/>
        <cfvo type="percentile" val="50"/>
        <cfvo type="max"/>
        <color rgb="FF63BE7B"/>
        <color rgb="FFFFEB84"/>
        <color rgb="FFF8696B"/>
      </colorScale>
    </cfRule>
    <cfRule type="colorScale" priority="9027">
      <colorScale>
        <cfvo type="min"/>
        <cfvo type="percentile" val="50"/>
        <cfvo type="max"/>
        <color rgb="FF63BE7B"/>
        <color rgb="FFFFEB84"/>
        <color rgb="FFF8696B"/>
      </colorScale>
    </cfRule>
    <cfRule type="colorScale" priority="10888">
      <colorScale>
        <cfvo type="min"/>
        <cfvo type="percentile" val="50"/>
        <cfvo type="max"/>
        <color rgb="FF63BE7B"/>
        <color rgb="FFFFEB84"/>
        <color rgb="FFF8696B"/>
      </colorScale>
    </cfRule>
    <cfRule type="colorScale" priority="8986">
      <colorScale>
        <cfvo type="min"/>
        <cfvo type="percentile" val="50"/>
        <cfvo type="max"/>
        <color rgb="FF63BE7B"/>
        <color rgb="FFFFEB84"/>
        <color rgb="FFF8696B"/>
      </colorScale>
    </cfRule>
    <cfRule type="colorScale" priority="8987">
      <colorScale>
        <cfvo type="min"/>
        <cfvo type="percentile" val="50"/>
        <cfvo type="max"/>
        <color rgb="FF63BE7B"/>
        <color rgb="FFFFEB84"/>
        <color rgb="FFF8696B"/>
      </colorScale>
    </cfRule>
    <cfRule type="colorScale" priority="8988">
      <colorScale>
        <cfvo type="min"/>
        <cfvo type="percentile" val="50"/>
        <cfvo type="max"/>
        <color rgb="FF63BE7B"/>
        <color rgb="FFFFEB84"/>
        <color rgb="FFF8696B"/>
      </colorScale>
    </cfRule>
    <cfRule type="colorScale" priority="8989">
      <colorScale>
        <cfvo type="min"/>
        <cfvo type="percentile" val="50"/>
        <cfvo type="max"/>
        <color rgb="FF63BE7B"/>
        <color rgb="FFFFEB84"/>
        <color rgb="FFF8696B"/>
      </colorScale>
    </cfRule>
    <cfRule type="colorScale" priority="8990">
      <colorScale>
        <cfvo type="min"/>
        <cfvo type="percentile" val="50"/>
        <cfvo type="max"/>
        <color rgb="FF63BE7B"/>
        <color rgb="FFFFEB84"/>
        <color rgb="FFF8696B"/>
      </colorScale>
    </cfRule>
    <cfRule type="colorScale" priority="8991">
      <colorScale>
        <cfvo type="min"/>
        <cfvo type="percentile" val="50"/>
        <cfvo type="max"/>
        <color rgb="FF63BE7B"/>
        <color rgb="FFFFEB84"/>
        <color rgb="FFF8696B"/>
      </colorScale>
    </cfRule>
    <cfRule type="colorScale" priority="8992">
      <colorScale>
        <cfvo type="min"/>
        <cfvo type="percentile" val="50"/>
        <cfvo type="max"/>
        <color rgb="FF63BE7B"/>
        <color rgb="FFFFEB84"/>
        <color rgb="FFF8696B"/>
      </colorScale>
    </cfRule>
    <cfRule type="colorScale" priority="10906">
      <colorScale>
        <cfvo type="min"/>
        <cfvo type="percentile" val="50"/>
        <cfvo type="max"/>
        <color rgb="FF63BE7B"/>
        <color rgb="FFFFEB84"/>
        <color rgb="FFF8696B"/>
      </colorScale>
    </cfRule>
    <cfRule type="colorScale" priority="10905">
      <colorScale>
        <cfvo type="min"/>
        <cfvo type="percentile" val="50"/>
        <cfvo type="max"/>
        <color rgb="FF63BE7B"/>
        <color rgb="FFFFEB84"/>
        <color rgb="FFF8696B"/>
      </colorScale>
    </cfRule>
    <cfRule type="colorScale" priority="10904">
      <colorScale>
        <cfvo type="min"/>
        <cfvo type="percentile" val="50"/>
        <cfvo type="max"/>
        <color rgb="FF63BE7B"/>
        <color rgb="FFFFEB84"/>
        <color rgb="FFF8696B"/>
      </colorScale>
    </cfRule>
    <cfRule type="colorScale" priority="10903">
      <colorScale>
        <cfvo type="min"/>
        <cfvo type="percentile" val="50"/>
        <cfvo type="max"/>
        <color rgb="FF63BE7B"/>
        <color rgb="FFFFEB84"/>
        <color rgb="FFF8696B"/>
      </colorScale>
    </cfRule>
    <cfRule type="colorScale" priority="10902">
      <colorScale>
        <cfvo type="min"/>
        <cfvo type="percentile" val="50"/>
        <cfvo type="max"/>
        <color rgb="FF63BE7B"/>
        <color rgb="FFFFEB84"/>
        <color rgb="FFF8696B"/>
      </colorScale>
    </cfRule>
    <cfRule type="colorScale" priority="10901">
      <colorScale>
        <cfvo type="min"/>
        <cfvo type="percentile" val="50"/>
        <cfvo type="max"/>
        <color rgb="FF63BE7B"/>
        <color rgb="FFFFEB84"/>
        <color rgb="FFF8696B"/>
      </colorScale>
    </cfRule>
    <cfRule type="colorScale" priority="10900">
      <colorScale>
        <cfvo type="min"/>
        <cfvo type="percentile" val="50"/>
        <cfvo type="max"/>
        <color rgb="FF63BE7B"/>
        <color rgb="FFFFEB84"/>
        <color rgb="FFF8696B"/>
      </colorScale>
    </cfRule>
    <cfRule type="colorScale" priority="10899">
      <colorScale>
        <cfvo type="min"/>
        <cfvo type="percentile" val="50"/>
        <cfvo type="max"/>
        <color rgb="FF63BE7B"/>
        <color rgb="FFFFEB84"/>
        <color rgb="FFF8696B"/>
      </colorScale>
    </cfRule>
    <cfRule type="colorScale" priority="10898">
      <colorScale>
        <cfvo type="min"/>
        <cfvo type="percentile" val="50"/>
        <cfvo type="max"/>
        <color rgb="FF63BE7B"/>
        <color rgb="FFFFEB84"/>
        <color rgb="FFF8696B"/>
      </colorScale>
    </cfRule>
    <cfRule type="colorScale" priority="10897">
      <colorScale>
        <cfvo type="min"/>
        <cfvo type="percentile" val="50"/>
        <cfvo type="max"/>
        <color rgb="FF63BE7B"/>
        <color rgb="FFFFEB84"/>
        <color rgb="FFF8696B"/>
      </colorScale>
    </cfRule>
    <cfRule type="colorScale" priority="10896">
      <colorScale>
        <cfvo type="min"/>
        <cfvo type="percentile" val="50"/>
        <cfvo type="max"/>
        <color rgb="FF63BE7B"/>
        <color rgb="FFFFEB84"/>
        <color rgb="FFF8696B"/>
      </colorScale>
    </cfRule>
    <cfRule type="colorScale" priority="10894">
      <colorScale>
        <cfvo type="min"/>
        <cfvo type="percentile" val="50"/>
        <cfvo type="max"/>
        <color rgb="FF63BE7B"/>
        <color rgb="FFFFEB84"/>
        <color rgb="FFF8696B"/>
      </colorScale>
    </cfRule>
    <cfRule type="colorScale" priority="10893">
      <colorScale>
        <cfvo type="min"/>
        <cfvo type="percentile" val="50"/>
        <cfvo type="max"/>
        <color rgb="FF63BE7B"/>
        <color rgb="FFFFEB84"/>
        <color rgb="FFF8696B"/>
      </colorScale>
    </cfRule>
    <cfRule type="colorScale" priority="10889">
      <colorScale>
        <cfvo type="min"/>
        <cfvo type="percentile" val="50"/>
        <cfvo type="max"/>
        <color rgb="FF63BE7B"/>
        <color rgb="FFFFEB84"/>
        <color rgb="FFF8696B"/>
      </colorScale>
    </cfRule>
    <cfRule type="colorScale" priority="13101">
      <colorScale>
        <cfvo type="min"/>
        <cfvo type="percentile" val="50"/>
        <cfvo type="max"/>
        <color rgb="FF63BE7B"/>
        <color rgb="FFFFEB84"/>
        <color rgb="FFF8696B"/>
      </colorScale>
    </cfRule>
    <cfRule type="colorScale" priority="13100">
      <colorScale>
        <cfvo type="min"/>
        <cfvo type="percentile" val="50"/>
        <cfvo type="max"/>
        <color rgb="FF63BE7B"/>
        <color rgb="FFFFEB84"/>
        <color rgb="FFF8696B"/>
      </colorScale>
    </cfRule>
    <cfRule type="colorScale" priority="13099">
      <colorScale>
        <cfvo type="min"/>
        <cfvo type="percentile" val="50"/>
        <cfvo type="max"/>
        <color rgb="FF63BE7B"/>
        <color rgb="FFFFEB84"/>
        <color rgb="FFF8696B"/>
      </colorScale>
    </cfRule>
    <cfRule type="colorScale" priority="9036">
      <colorScale>
        <cfvo type="min"/>
        <cfvo type="percentile" val="50"/>
        <cfvo type="max"/>
        <color rgb="FF63BE7B"/>
        <color rgb="FFFFEB84"/>
        <color rgb="FFF8696B"/>
      </colorScale>
    </cfRule>
    <cfRule type="colorScale" priority="9035">
      <colorScale>
        <cfvo type="min"/>
        <cfvo type="percentile" val="50"/>
        <cfvo type="max"/>
        <color rgb="FF63BE7B"/>
        <color rgb="FFFFEB84"/>
        <color rgb="FFF8696B"/>
      </colorScale>
    </cfRule>
    <cfRule type="colorScale" priority="9033">
      <colorScale>
        <cfvo type="min"/>
        <cfvo type="percentile" val="50"/>
        <cfvo type="max"/>
        <color rgb="FF63BE7B"/>
        <color rgb="FFFFEB84"/>
        <color rgb="FFF8696B"/>
      </colorScale>
    </cfRule>
    <cfRule type="colorScale" priority="9032">
      <colorScale>
        <cfvo type="min"/>
        <cfvo type="percentile" val="50"/>
        <cfvo type="max"/>
        <color rgb="FF63BE7B"/>
        <color rgb="FFFFEB84"/>
        <color rgb="FFF8696B"/>
      </colorScale>
    </cfRule>
    <cfRule type="colorScale" priority="10891">
      <colorScale>
        <cfvo type="min"/>
        <cfvo type="percentile" val="50"/>
        <cfvo type="max"/>
        <color rgb="FF63BE7B"/>
        <color rgb="FFFFEB84"/>
        <color rgb="FFF8696B"/>
      </colorScale>
    </cfRule>
    <cfRule type="colorScale" priority="10895">
      <colorScale>
        <cfvo type="min"/>
        <cfvo type="percentile" val="50"/>
        <cfvo type="max"/>
        <color rgb="FF63BE7B"/>
        <color rgb="FFFFEB84"/>
        <color rgb="FFF8696B"/>
      </colorScale>
    </cfRule>
    <cfRule type="colorScale" priority="10892">
      <colorScale>
        <cfvo type="min"/>
        <cfvo type="percentile" val="50"/>
        <cfvo type="max"/>
        <color rgb="FF63BE7B"/>
        <color rgb="FFFFEB84"/>
        <color rgb="FFF8696B"/>
      </colorScale>
    </cfRule>
    <cfRule type="colorScale" priority="9008">
      <colorScale>
        <cfvo type="min"/>
        <cfvo type="percentile" val="50"/>
        <cfvo type="max"/>
        <color rgb="FF63BE7B"/>
        <color rgb="FFFFEB84"/>
        <color rgb="FFF8696B"/>
      </colorScale>
    </cfRule>
    <cfRule type="colorScale" priority="9009">
      <colorScale>
        <cfvo type="min"/>
        <cfvo type="percentile" val="50"/>
        <cfvo type="max"/>
        <color rgb="FF63BE7B"/>
        <color rgb="FFFFEB84"/>
        <color rgb="FFF8696B"/>
      </colorScale>
    </cfRule>
    <cfRule type="colorScale" priority="9010">
      <colorScale>
        <cfvo type="min"/>
        <cfvo type="percentile" val="50"/>
        <cfvo type="max"/>
        <color rgb="FF63BE7B"/>
        <color rgb="FFFFEB84"/>
        <color rgb="FFF8696B"/>
      </colorScale>
    </cfRule>
    <cfRule type="colorScale" priority="9011">
      <colorScale>
        <cfvo type="min"/>
        <cfvo type="percentile" val="50"/>
        <cfvo type="max"/>
        <color rgb="FF63BE7B"/>
        <color rgb="FFFFEB84"/>
        <color rgb="FFF8696B"/>
      </colorScale>
    </cfRule>
    <cfRule type="colorScale" priority="9013">
      <colorScale>
        <cfvo type="min"/>
        <cfvo type="percentile" val="50"/>
        <cfvo type="max"/>
        <color rgb="FF63BE7B"/>
        <color rgb="FFFFEB84"/>
        <color rgb="FFF8696B"/>
      </colorScale>
    </cfRule>
  </conditionalFormatting>
  <conditionalFormatting sqref="AJ36:AJ37">
    <cfRule type="colorScale" priority="8997">
      <colorScale>
        <cfvo type="min"/>
        <cfvo type="percentile" val="50"/>
        <cfvo type="max"/>
        <color rgb="FF63BE7B"/>
        <color rgb="FFFFEB84"/>
        <color rgb="FFF8696B"/>
      </colorScale>
    </cfRule>
    <cfRule type="colorScale" priority="9024">
      <colorScale>
        <cfvo type="min"/>
        <cfvo type="percentile" val="50"/>
        <cfvo type="max"/>
        <color rgb="FF63BE7B"/>
        <color rgb="FFFFEB84"/>
        <color rgb="FFF8696B"/>
      </colorScale>
    </cfRule>
  </conditionalFormatting>
  <conditionalFormatting sqref="AJ36:AJ41">
    <cfRule type="colorScale" priority="9034">
      <colorScale>
        <cfvo type="min"/>
        <cfvo type="percentile" val="50"/>
        <cfvo type="max"/>
        <color rgb="FF63BE7B"/>
        <color rgb="FFFFEB84"/>
        <color rgb="FFF8696B"/>
      </colorScale>
    </cfRule>
    <cfRule type="colorScale" priority="9007">
      <colorScale>
        <cfvo type="min"/>
        <cfvo type="percentile" val="50"/>
        <cfvo type="max"/>
        <color rgb="FF63BE7B"/>
        <color rgb="FFFFEB84"/>
        <color rgb="FFF8696B"/>
      </colorScale>
    </cfRule>
    <cfRule type="colorScale" priority="13102">
      <colorScale>
        <cfvo type="min"/>
        <cfvo type="percentile" val="50"/>
        <cfvo type="max"/>
        <color rgb="FF63BE7B"/>
        <color rgb="FFFFEB84"/>
        <color rgb="FFF8696B"/>
      </colorScale>
    </cfRule>
  </conditionalFormatting>
  <conditionalFormatting sqref="AJ42:AJ50">
    <cfRule type="colorScale" priority="12978">
      <colorScale>
        <cfvo type="min"/>
        <cfvo type="percentile" val="50"/>
        <cfvo type="max"/>
        <color rgb="FF63BE7B"/>
        <color rgb="FFFFEB84"/>
        <color rgb="FFF8696B"/>
      </colorScale>
    </cfRule>
    <cfRule type="colorScale" priority="12981">
      <colorScale>
        <cfvo type="min"/>
        <cfvo type="percentile" val="50"/>
        <cfvo type="max"/>
        <color rgb="FF63BE7B"/>
        <color rgb="FFFFEB84"/>
        <color rgb="FFF8696B"/>
      </colorScale>
    </cfRule>
    <cfRule type="colorScale" priority="12980">
      <colorScale>
        <cfvo type="min"/>
        <cfvo type="percentile" val="50"/>
        <cfvo type="max"/>
        <color rgb="FF63BE7B"/>
        <color rgb="FFFFEB84"/>
        <color rgb="FFF8696B"/>
      </colorScale>
    </cfRule>
    <cfRule type="colorScale" priority="12979">
      <colorScale>
        <cfvo type="min"/>
        <cfvo type="percentile" val="50"/>
        <cfvo type="max"/>
        <color rgb="FF63BE7B"/>
        <color rgb="FFFFEB84"/>
        <color rgb="FFF8696B"/>
      </colorScale>
    </cfRule>
    <cfRule type="colorScale" priority="7439">
      <colorScale>
        <cfvo type="min"/>
        <cfvo type="percentile" val="50"/>
        <cfvo type="max"/>
        <color rgb="FF63BE7B"/>
        <color rgb="FFFFEB84"/>
        <color rgb="FFF8696B"/>
      </colorScale>
    </cfRule>
  </conditionalFormatting>
  <conditionalFormatting sqref="AJ51:AJ53">
    <cfRule type="colorScale" priority="12873">
      <colorScale>
        <cfvo type="min"/>
        <cfvo type="percentile" val="50"/>
        <cfvo type="max"/>
        <color rgb="FF63BE7B"/>
        <color rgb="FFFFEB84"/>
        <color rgb="FFF8696B"/>
      </colorScale>
    </cfRule>
    <cfRule type="colorScale" priority="12872">
      <colorScale>
        <cfvo type="min"/>
        <cfvo type="percentile" val="50"/>
        <cfvo type="max"/>
        <color rgb="FF63BE7B"/>
        <color rgb="FFFFEB84"/>
        <color rgb="FFF8696B"/>
      </colorScale>
    </cfRule>
    <cfRule type="colorScale" priority="3903">
      <colorScale>
        <cfvo type="min"/>
        <cfvo type="percentile" val="50"/>
        <cfvo type="max"/>
        <color rgb="FF63BE7B"/>
        <color rgb="FFFFEB84"/>
        <color rgb="FFF8696B"/>
      </colorScale>
    </cfRule>
    <cfRule type="colorScale" priority="3904">
      <colorScale>
        <cfvo type="min"/>
        <cfvo type="percentile" val="50"/>
        <cfvo type="max"/>
        <color rgb="FF63BE7B"/>
        <color rgb="FFFFEB84"/>
        <color rgb="FFF8696B"/>
      </colorScale>
    </cfRule>
    <cfRule type="colorScale" priority="3876">
      <colorScale>
        <cfvo type="min"/>
        <cfvo type="percentile" val="50"/>
        <cfvo type="max"/>
        <color rgb="FF63BE7B"/>
        <color rgb="FFFFEB84"/>
        <color rgb="FFF8696B"/>
      </colorScale>
    </cfRule>
    <cfRule type="colorScale" priority="12875">
      <colorScale>
        <cfvo type="min"/>
        <cfvo type="percentile" val="50"/>
        <cfvo type="max"/>
        <color rgb="FF63BE7B"/>
        <color rgb="FFFFEB84"/>
        <color rgb="FFF8696B"/>
      </colorScale>
    </cfRule>
    <cfRule type="colorScale" priority="12874">
      <colorScale>
        <cfvo type="min"/>
        <cfvo type="percentile" val="50"/>
        <cfvo type="max"/>
        <color rgb="FF63BE7B"/>
        <color rgb="FFFFEB84"/>
        <color rgb="FFF8696B"/>
      </colorScale>
    </cfRule>
  </conditionalFormatting>
  <conditionalFormatting sqref="AJ52:AJ53 F52:F53 V52:V53">
    <cfRule type="colorScale" priority="7270">
      <colorScale>
        <cfvo type="min"/>
        <cfvo type="percentile" val="50"/>
        <cfvo type="max"/>
        <color rgb="FF63BE7B"/>
        <color rgb="FFFFEB84"/>
        <color rgb="FFF8696B"/>
      </colorScale>
    </cfRule>
  </conditionalFormatting>
  <conditionalFormatting sqref="AJ52:AJ53">
    <cfRule type="colorScale" priority="5752">
      <colorScale>
        <cfvo type="min"/>
        <cfvo type="percentile" val="50"/>
        <cfvo type="max"/>
        <color rgb="FF63BE7B"/>
        <color rgb="FFFFEB84"/>
        <color rgb="FFF8696B"/>
      </colorScale>
    </cfRule>
    <cfRule type="colorScale" priority="3884">
      <colorScale>
        <cfvo type="min"/>
        <cfvo type="percentile" val="50"/>
        <cfvo type="max"/>
        <color rgb="FF63BE7B"/>
        <color rgb="FFFFEB84"/>
        <color rgb="FFF8696B"/>
      </colorScale>
    </cfRule>
    <cfRule type="colorScale" priority="3883">
      <colorScale>
        <cfvo type="min"/>
        <cfvo type="percentile" val="50"/>
        <cfvo type="max"/>
        <color rgb="FF63BE7B"/>
        <color rgb="FFFFEB84"/>
        <color rgb="FFF8696B"/>
      </colorScale>
    </cfRule>
    <cfRule type="colorScale" priority="3882">
      <colorScale>
        <cfvo type="min"/>
        <cfvo type="percentile" val="50"/>
        <cfvo type="max"/>
        <color rgb="FF63BE7B"/>
        <color rgb="FFFFEB84"/>
        <color rgb="FFF8696B"/>
      </colorScale>
    </cfRule>
    <cfRule type="colorScale" priority="3881">
      <colorScale>
        <cfvo type="min"/>
        <cfvo type="percentile" val="50"/>
        <cfvo type="max"/>
        <color rgb="FF63BE7B"/>
        <color rgb="FFFFEB84"/>
        <color rgb="FFF8696B"/>
      </colorScale>
    </cfRule>
    <cfRule type="colorScale" priority="3880">
      <colorScale>
        <cfvo type="min"/>
        <cfvo type="percentile" val="50"/>
        <cfvo type="max"/>
        <color rgb="FF63BE7B"/>
        <color rgb="FFFFEB84"/>
        <color rgb="FFF8696B"/>
      </colorScale>
    </cfRule>
    <cfRule type="colorScale" priority="3879">
      <colorScale>
        <cfvo type="min"/>
        <cfvo type="percentile" val="50"/>
        <cfvo type="max"/>
        <color rgb="FF63BE7B"/>
        <color rgb="FFFFEB84"/>
        <color rgb="FFF8696B"/>
      </colorScale>
    </cfRule>
    <cfRule type="colorScale" priority="6759">
      <colorScale>
        <cfvo type="min"/>
        <cfvo type="percentile" val="50"/>
        <cfvo type="max"/>
        <color rgb="FF63BE7B"/>
        <color rgb="FFFFEB84"/>
        <color rgb="FFF8696B"/>
      </colorScale>
    </cfRule>
    <cfRule type="colorScale" priority="6760">
      <colorScale>
        <cfvo type="min"/>
        <cfvo type="percentile" val="50"/>
        <cfvo type="max"/>
        <color rgb="FF63BE7B"/>
        <color rgb="FFFFEB84"/>
        <color rgb="FFF8696B"/>
      </colorScale>
    </cfRule>
    <cfRule type="colorScale" priority="5721">
      <colorScale>
        <cfvo type="min"/>
        <cfvo type="percentile" val="50"/>
        <cfvo type="max"/>
        <color rgb="FF63BE7B"/>
        <color rgb="FFFFEB84"/>
        <color rgb="FFF8696B"/>
      </colorScale>
    </cfRule>
    <cfRule type="colorScale" priority="5720">
      <colorScale>
        <cfvo type="min"/>
        <cfvo type="percentile" val="50"/>
        <cfvo type="max"/>
        <color rgb="FF63BE7B"/>
        <color rgb="FFFFEB84"/>
        <color rgb="FFF8696B"/>
      </colorScale>
    </cfRule>
    <cfRule type="colorScale" priority="7163">
      <colorScale>
        <cfvo type="min"/>
        <cfvo type="percentile" val="50"/>
        <cfvo type="max"/>
        <color rgb="FF63BE7B"/>
        <color rgb="FFFFEB84"/>
        <color rgb="FFF8696B"/>
      </colorScale>
    </cfRule>
    <cfRule type="colorScale" priority="7162">
      <colorScale>
        <cfvo type="min"/>
        <cfvo type="percentile" val="50"/>
        <cfvo type="max"/>
        <color rgb="FF63BE7B"/>
        <color rgb="FFFFEB84"/>
        <color rgb="FFF8696B"/>
      </colorScale>
    </cfRule>
    <cfRule type="colorScale" priority="7161">
      <colorScale>
        <cfvo type="min"/>
        <cfvo type="percentile" val="50"/>
        <cfvo type="max"/>
        <color rgb="FF63BE7B"/>
        <color rgb="FFFFEB84"/>
        <color rgb="FFF8696B"/>
      </colorScale>
    </cfRule>
    <cfRule type="colorScale" priority="7160">
      <colorScale>
        <cfvo type="min"/>
        <cfvo type="percentile" val="50"/>
        <cfvo type="max"/>
        <color rgb="FF63BE7B"/>
        <color rgb="FFFFEB84"/>
        <color rgb="FFF8696B"/>
      </colorScale>
    </cfRule>
    <cfRule type="colorScale" priority="3877">
      <colorScale>
        <cfvo type="min"/>
        <cfvo type="percentile" val="50"/>
        <cfvo type="max"/>
        <color rgb="FF63BE7B"/>
        <color rgb="FFFFEB84"/>
        <color rgb="FFF8696B"/>
      </colorScale>
    </cfRule>
    <cfRule type="colorScale" priority="3902">
      <colorScale>
        <cfvo type="min"/>
        <cfvo type="percentile" val="50"/>
        <cfvo type="max"/>
        <color rgb="FF63BE7B"/>
        <color rgb="FFFFEB84"/>
        <color rgb="FFF8696B"/>
      </colorScale>
    </cfRule>
    <cfRule type="colorScale" priority="3889">
      <colorScale>
        <cfvo type="min"/>
        <cfvo type="percentile" val="50"/>
        <cfvo type="max"/>
        <color rgb="FF63BE7B"/>
        <color rgb="FFFFEB84"/>
        <color rgb="FFF8696B"/>
      </colorScale>
    </cfRule>
    <cfRule type="colorScale" priority="3901">
      <colorScale>
        <cfvo type="min"/>
        <cfvo type="percentile" val="50"/>
        <cfvo type="max"/>
        <color rgb="FF63BE7B"/>
        <color rgb="FFFFEB84"/>
        <color rgb="FFF8696B"/>
      </colorScale>
    </cfRule>
    <cfRule type="colorScale" priority="3900">
      <colorScale>
        <cfvo type="min"/>
        <cfvo type="percentile" val="50"/>
        <cfvo type="max"/>
        <color rgb="FF63BE7B"/>
        <color rgb="FFFFEB84"/>
        <color rgb="FFF8696B"/>
      </colorScale>
    </cfRule>
    <cfRule type="colorScale" priority="3899">
      <colorScale>
        <cfvo type="min"/>
        <cfvo type="percentile" val="50"/>
        <cfvo type="max"/>
        <color rgb="FF63BE7B"/>
        <color rgb="FFFFEB84"/>
        <color rgb="FFF8696B"/>
      </colorScale>
    </cfRule>
    <cfRule type="colorScale" priority="3898">
      <colorScale>
        <cfvo type="min"/>
        <cfvo type="percentile" val="50"/>
        <cfvo type="max"/>
        <color rgb="FF63BE7B"/>
        <color rgb="FFFFEB84"/>
        <color rgb="FFF8696B"/>
      </colorScale>
    </cfRule>
    <cfRule type="colorScale" priority="5753">
      <colorScale>
        <cfvo type="min"/>
        <cfvo type="percentile" val="50"/>
        <cfvo type="max"/>
        <color rgb="FF63BE7B"/>
        <color rgb="FFFFEB84"/>
        <color rgb="FFF8696B"/>
      </colorScale>
    </cfRule>
    <cfRule type="colorScale" priority="5751">
      <colorScale>
        <cfvo type="min"/>
        <cfvo type="percentile" val="50"/>
        <cfvo type="max"/>
        <color rgb="FF63BE7B"/>
        <color rgb="FFFFEB84"/>
        <color rgb="FFF8696B"/>
      </colorScale>
    </cfRule>
    <cfRule type="colorScale" priority="5750">
      <colorScale>
        <cfvo type="min"/>
        <cfvo type="percentile" val="50"/>
        <cfvo type="max"/>
        <color rgb="FF63BE7B"/>
        <color rgb="FFFFEB84"/>
        <color rgb="FFF8696B"/>
      </colorScale>
    </cfRule>
    <cfRule type="colorScale" priority="5749">
      <colorScale>
        <cfvo type="min"/>
        <cfvo type="percentile" val="50"/>
        <cfvo type="max"/>
        <color rgb="FF63BE7B"/>
        <color rgb="FFFFEB84"/>
        <color rgb="FFF8696B"/>
      </colorScale>
    </cfRule>
    <cfRule type="colorScale" priority="5748">
      <colorScale>
        <cfvo type="min"/>
        <cfvo type="percentile" val="50"/>
        <cfvo type="max"/>
        <color rgb="FF63BE7B"/>
        <color rgb="FFFFEB84"/>
        <color rgb="FFF8696B"/>
      </colorScale>
    </cfRule>
    <cfRule type="colorScale" priority="5747">
      <colorScale>
        <cfvo type="min"/>
        <cfvo type="percentile" val="50"/>
        <cfvo type="max"/>
        <color rgb="FF63BE7B"/>
        <color rgb="FFFFEB84"/>
        <color rgb="FFF8696B"/>
      </colorScale>
    </cfRule>
    <cfRule type="colorScale" priority="5746">
      <colorScale>
        <cfvo type="min"/>
        <cfvo type="percentile" val="50"/>
        <cfvo type="max"/>
        <color rgb="FF63BE7B"/>
        <color rgb="FFFFEB84"/>
        <color rgb="FFF8696B"/>
      </colorScale>
    </cfRule>
    <cfRule type="colorScale" priority="5745">
      <colorScale>
        <cfvo type="min"/>
        <cfvo type="percentile" val="50"/>
        <cfvo type="max"/>
        <color rgb="FF63BE7B"/>
        <color rgb="FFFFEB84"/>
        <color rgb="FFF8696B"/>
      </colorScale>
    </cfRule>
    <cfRule type="colorScale" priority="5744">
      <colorScale>
        <cfvo type="min"/>
        <cfvo type="percentile" val="50"/>
        <cfvo type="max"/>
        <color rgb="FF63BE7B"/>
        <color rgb="FFFFEB84"/>
        <color rgb="FFF8696B"/>
      </colorScale>
    </cfRule>
    <cfRule type="colorScale" priority="5743">
      <colorScale>
        <cfvo type="min"/>
        <cfvo type="percentile" val="50"/>
        <cfvo type="max"/>
        <color rgb="FF63BE7B"/>
        <color rgb="FFFFEB84"/>
        <color rgb="FFF8696B"/>
      </colorScale>
    </cfRule>
    <cfRule type="colorScale" priority="5742">
      <colorScale>
        <cfvo type="min"/>
        <cfvo type="percentile" val="50"/>
        <cfvo type="max"/>
        <color rgb="FF63BE7B"/>
        <color rgb="FFFFEB84"/>
        <color rgb="FFF8696B"/>
      </colorScale>
    </cfRule>
    <cfRule type="colorScale" priority="5741">
      <colorScale>
        <cfvo type="min"/>
        <cfvo type="percentile" val="50"/>
        <cfvo type="max"/>
        <color rgb="FF63BE7B"/>
        <color rgb="FFFFEB84"/>
        <color rgb="FFF8696B"/>
      </colorScale>
    </cfRule>
    <cfRule type="colorScale" priority="5740">
      <colorScale>
        <cfvo type="min"/>
        <cfvo type="percentile" val="50"/>
        <cfvo type="max"/>
        <color rgb="FF63BE7B"/>
        <color rgb="FFFFEB84"/>
        <color rgb="FFF8696B"/>
      </colorScale>
    </cfRule>
    <cfRule type="colorScale" priority="5739">
      <colorScale>
        <cfvo type="min"/>
        <cfvo type="percentile" val="50"/>
        <cfvo type="max"/>
        <color rgb="FF63BE7B"/>
        <color rgb="FFFFEB84"/>
        <color rgb="FFF8696B"/>
      </colorScale>
    </cfRule>
    <cfRule type="colorScale" priority="5738">
      <colorScale>
        <cfvo type="min"/>
        <cfvo type="percentile" val="50"/>
        <cfvo type="max"/>
        <color rgb="FF63BE7B"/>
        <color rgb="FFFFEB84"/>
        <color rgb="FFF8696B"/>
      </colorScale>
    </cfRule>
    <cfRule type="colorScale" priority="5737">
      <colorScale>
        <cfvo type="min"/>
        <cfvo type="percentile" val="50"/>
        <cfvo type="max"/>
        <color rgb="FF63BE7B"/>
        <color rgb="FFFFEB84"/>
        <color rgb="FFF8696B"/>
      </colorScale>
    </cfRule>
    <cfRule type="colorScale" priority="5736">
      <colorScale>
        <cfvo type="min"/>
        <cfvo type="percentile" val="50"/>
        <cfvo type="max"/>
        <color rgb="FF63BE7B"/>
        <color rgb="FFFFEB84"/>
        <color rgb="FFF8696B"/>
      </colorScale>
    </cfRule>
    <cfRule type="colorScale" priority="5735">
      <colorScale>
        <cfvo type="min"/>
        <cfvo type="percentile" val="50"/>
        <cfvo type="max"/>
        <color rgb="FF63BE7B"/>
        <color rgb="FFFFEB84"/>
        <color rgb="FFF8696B"/>
      </colorScale>
    </cfRule>
    <cfRule type="colorScale" priority="5734">
      <colorScale>
        <cfvo type="min"/>
        <cfvo type="percentile" val="50"/>
        <cfvo type="max"/>
        <color rgb="FF63BE7B"/>
        <color rgb="FFFFEB84"/>
        <color rgb="FFF8696B"/>
      </colorScale>
    </cfRule>
    <cfRule type="colorScale" priority="5733">
      <colorScale>
        <cfvo type="min"/>
        <cfvo type="percentile" val="50"/>
        <cfvo type="max"/>
        <color rgb="FF63BE7B"/>
        <color rgb="FFFFEB84"/>
        <color rgb="FFF8696B"/>
      </colorScale>
    </cfRule>
    <cfRule type="colorScale" priority="5732">
      <colorScale>
        <cfvo type="min"/>
        <cfvo type="percentile" val="50"/>
        <cfvo type="max"/>
        <color rgb="FF63BE7B"/>
        <color rgb="FFFFEB84"/>
        <color rgb="FFF8696B"/>
      </colorScale>
    </cfRule>
    <cfRule type="colorScale" priority="5731">
      <colorScale>
        <cfvo type="min"/>
        <cfvo type="percentile" val="50"/>
        <cfvo type="max"/>
        <color rgb="FF63BE7B"/>
        <color rgb="FFFFEB84"/>
        <color rgb="FFF8696B"/>
      </colorScale>
    </cfRule>
    <cfRule type="colorScale" priority="5730">
      <colorScale>
        <cfvo type="min"/>
        <cfvo type="percentile" val="50"/>
        <cfvo type="max"/>
        <color rgb="FF63BE7B"/>
        <color rgb="FFFFEB84"/>
        <color rgb="FFF8696B"/>
      </colorScale>
    </cfRule>
    <cfRule type="colorScale" priority="5729">
      <colorScale>
        <cfvo type="min"/>
        <cfvo type="percentile" val="50"/>
        <cfvo type="max"/>
        <color rgb="FF63BE7B"/>
        <color rgb="FFFFEB84"/>
        <color rgb="FFF8696B"/>
      </colorScale>
    </cfRule>
    <cfRule type="colorScale" priority="3897">
      <colorScale>
        <cfvo type="min"/>
        <cfvo type="percentile" val="50"/>
        <cfvo type="max"/>
        <color rgb="FF63BE7B"/>
        <color rgb="FFFFEB84"/>
        <color rgb="FFF8696B"/>
      </colorScale>
    </cfRule>
    <cfRule type="colorScale" priority="5727">
      <colorScale>
        <cfvo type="min"/>
        <cfvo type="percentile" val="50"/>
        <cfvo type="max"/>
        <color rgb="FF63BE7B"/>
        <color rgb="FFFFEB84"/>
        <color rgb="FFF8696B"/>
      </colorScale>
    </cfRule>
    <cfRule type="colorScale" priority="5726">
      <colorScale>
        <cfvo type="min"/>
        <cfvo type="percentile" val="50"/>
        <cfvo type="max"/>
        <color rgb="FF63BE7B"/>
        <color rgb="FFFFEB84"/>
        <color rgb="FFF8696B"/>
      </colorScale>
    </cfRule>
    <cfRule type="colorScale" priority="5725">
      <colorScale>
        <cfvo type="min"/>
        <cfvo type="percentile" val="50"/>
        <cfvo type="max"/>
        <color rgb="FF63BE7B"/>
        <color rgb="FFFFEB84"/>
        <color rgb="FFF8696B"/>
      </colorScale>
    </cfRule>
    <cfRule type="colorScale" priority="5724">
      <colorScale>
        <cfvo type="min"/>
        <cfvo type="percentile" val="50"/>
        <cfvo type="max"/>
        <color rgb="FF63BE7B"/>
        <color rgb="FFFFEB84"/>
        <color rgb="FFF8696B"/>
      </colorScale>
    </cfRule>
    <cfRule type="colorScale" priority="5723">
      <colorScale>
        <cfvo type="min"/>
        <cfvo type="percentile" val="50"/>
        <cfvo type="max"/>
        <color rgb="FF63BE7B"/>
        <color rgb="FFFFEB84"/>
        <color rgb="FFF8696B"/>
      </colorScale>
    </cfRule>
    <cfRule type="colorScale" priority="5722">
      <colorScale>
        <cfvo type="min"/>
        <cfvo type="percentile" val="50"/>
        <cfvo type="max"/>
        <color rgb="FF63BE7B"/>
        <color rgb="FFFFEB84"/>
        <color rgb="FFF8696B"/>
      </colorScale>
    </cfRule>
    <cfRule type="colorScale" priority="3878">
      <colorScale>
        <cfvo type="min"/>
        <cfvo type="percentile" val="50"/>
        <cfvo type="max"/>
        <color rgb="FF63BE7B"/>
        <color rgb="FFFFEB84"/>
        <color rgb="FFF8696B"/>
      </colorScale>
    </cfRule>
    <cfRule type="colorScale" priority="6752">
      <colorScale>
        <cfvo type="min"/>
        <cfvo type="percentile" val="50"/>
        <cfvo type="max"/>
        <color rgb="FF63BE7B"/>
        <color rgb="FFFFEB84"/>
        <color rgb="FFF8696B"/>
      </colorScale>
    </cfRule>
    <cfRule type="colorScale" priority="6751">
      <colorScale>
        <cfvo type="min"/>
        <cfvo type="percentile" val="50"/>
        <cfvo type="max"/>
        <color rgb="FF63BE7B"/>
        <color rgb="FFFFEB84"/>
        <color rgb="FFF8696B"/>
      </colorScale>
    </cfRule>
    <cfRule type="colorScale" priority="6750">
      <colorScale>
        <cfvo type="min"/>
        <cfvo type="percentile" val="50"/>
        <cfvo type="max"/>
        <color rgb="FF63BE7B"/>
        <color rgb="FFFFEB84"/>
        <color rgb="FFF8696B"/>
      </colorScale>
    </cfRule>
    <cfRule type="colorScale" priority="6749">
      <colorScale>
        <cfvo type="min"/>
        <cfvo type="percentile" val="50"/>
        <cfvo type="max"/>
        <color rgb="FF63BE7B"/>
        <color rgb="FFFFEB84"/>
        <color rgb="FFF8696B"/>
      </colorScale>
    </cfRule>
    <cfRule type="colorScale" priority="6748">
      <colorScale>
        <cfvo type="min"/>
        <cfvo type="percentile" val="50"/>
        <cfvo type="max"/>
        <color rgb="FF63BE7B"/>
        <color rgb="FFFFEB84"/>
        <color rgb="FFF8696B"/>
      </colorScale>
    </cfRule>
    <cfRule type="colorScale" priority="6747">
      <colorScale>
        <cfvo type="min"/>
        <cfvo type="percentile" val="50"/>
        <cfvo type="max"/>
        <color rgb="FF63BE7B"/>
        <color rgb="FFFFEB84"/>
        <color rgb="FFF8696B"/>
      </colorScale>
    </cfRule>
    <cfRule type="colorScale" priority="6746">
      <colorScale>
        <cfvo type="min"/>
        <cfvo type="percentile" val="50"/>
        <cfvo type="max"/>
        <color rgb="FF63BE7B"/>
        <color rgb="FFFFEB84"/>
        <color rgb="FFF8696B"/>
      </colorScale>
    </cfRule>
    <cfRule type="colorScale" priority="6745">
      <colorScale>
        <cfvo type="min"/>
        <cfvo type="percentile" val="50"/>
        <cfvo type="max"/>
        <color rgb="FF63BE7B"/>
        <color rgb="FFFFEB84"/>
        <color rgb="FFF8696B"/>
      </colorScale>
    </cfRule>
    <cfRule type="colorScale" priority="6744">
      <colorScale>
        <cfvo type="min"/>
        <cfvo type="percentile" val="50"/>
        <cfvo type="max"/>
        <color rgb="FF63BE7B"/>
        <color rgb="FFFFEB84"/>
        <color rgb="FFF8696B"/>
      </colorScale>
    </cfRule>
    <cfRule type="colorScale" priority="6743">
      <colorScale>
        <cfvo type="min"/>
        <cfvo type="percentile" val="50"/>
        <cfvo type="max"/>
        <color rgb="FF63BE7B"/>
        <color rgb="FFFFEB84"/>
        <color rgb="FFF8696B"/>
      </colorScale>
    </cfRule>
    <cfRule type="colorScale" priority="3896">
      <colorScale>
        <cfvo type="min"/>
        <cfvo type="percentile" val="50"/>
        <cfvo type="max"/>
        <color rgb="FF63BE7B"/>
        <color rgb="FFFFEB84"/>
        <color rgb="FFF8696B"/>
      </colorScale>
    </cfRule>
    <cfRule type="colorScale" priority="3895">
      <colorScale>
        <cfvo type="min"/>
        <cfvo type="percentile" val="50"/>
        <cfvo type="max"/>
        <color rgb="FF63BE7B"/>
        <color rgb="FFFFEB84"/>
        <color rgb="FFF8696B"/>
      </colorScale>
    </cfRule>
    <cfRule type="colorScale" priority="3894">
      <colorScale>
        <cfvo type="min"/>
        <cfvo type="percentile" val="50"/>
        <cfvo type="max"/>
        <color rgb="FF63BE7B"/>
        <color rgb="FFFFEB84"/>
        <color rgb="FFF8696B"/>
      </colorScale>
    </cfRule>
    <cfRule type="colorScale" priority="3893">
      <colorScale>
        <cfvo type="min"/>
        <cfvo type="percentile" val="50"/>
        <cfvo type="max"/>
        <color rgb="FF63BE7B"/>
        <color rgb="FFFFEB84"/>
        <color rgb="FFF8696B"/>
      </colorScale>
    </cfRule>
    <cfRule type="colorScale" priority="3892">
      <colorScale>
        <cfvo type="min"/>
        <cfvo type="percentile" val="50"/>
        <cfvo type="max"/>
        <color rgb="FF63BE7B"/>
        <color rgb="FFFFEB84"/>
        <color rgb="FFF8696B"/>
      </colorScale>
    </cfRule>
    <cfRule type="colorScale" priority="3891">
      <colorScale>
        <cfvo type="min"/>
        <cfvo type="percentile" val="50"/>
        <cfvo type="max"/>
        <color rgb="FF63BE7B"/>
        <color rgb="FFFFEB84"/>
        <color rgb="FFF8696B"/>
      </colorScale>
    </cfRule>
    <cfRule type="colorScale" priority="3890">
      <colorScale>
        <cfvo type="min"/>
        <cfvo type="percentile" val="50"/>
        <cfvo type="max"/>
        <color rgb="FF63BE7B"/>
        <color rgb="FFFFEB84"/>
        <color rgb="FFF8696B"/>
      </colorScale>
    </cfRule>
    <cfRule type="colorScale" priority="3888">
      <colorScale>
        <cfvo type="min"/>
        <cfvo type="percentile" val="50"/>
        <cfvo type="max"/>
        <color rgb="FF63BE7B"/>
        <color rgb="FFFFEB84"/>
        <color rgb="FFF8696B"/>
      </colorScale>
    </cfRule>
    <cfRule type="colorScale" priority="3887">
      <colorScale>
        <cfvo type="min"/>
        <cfvo type="percentile" val="50"/>
        <cfvo type="max"/>
        <color rgb="FF63BE7B"/>
        <color rgb="FFFFEB84"/>
        <color rgb="FFF8696B"/>
      </colorScale>
    </cfRule>
    <cfRule type="colorScale" priority="3886">
      <colorScale>
        <cfvo type="min"/>
        <cfvo type="percentile" val="50"/>
        <cfvo type="max"/>
        <color rgb="FF63BE7B"/>
        <color rgb="FFFFEB84"/>
        <color rgb="FFF8696B"/>
      </colorScale>
    </cfRule>
    <cfRule type="colorScale" priority="3885">
      <colorScale>
        <cfvo type="min"/>
        <cfvo type="percentile" val="50"/>
        <cfvo type="max"/>
        <color rgb="FF63BE7B"/>
        <color rgb="FFFFEB84"/>
        <color rgb="FFF8696B"/>
      </colorScale>
    </cfRule>
    <cfRule type="colorScale" priority="5719">
      <colorScale>
        <cfvo type="min"/>
        <cfvo type="percentile" val="50"/>
        <cfvo type="max"/>
        <color rgb="FF63BE7B"/>
        <color rgb="FFFFEB84"/>
        <color rgb="FFF8696B"/>
      </colorScale>
    </cfRule>
    <cfRule type="colorScale" priority="6758">
      <colorScale>
        <cfvo type="min"/>
        <cfvo type="percentile" val="50"/>
        <cfvo type="max"/>
        <color rgb="FF63BE7B"/>
        <color rgb="FFFFEB84"/>
        <color rgb="FFF8696B"/>
      </colorScale>
    </cfRule>
    <cfRule type="colorScale" priority="6757">
      <colorScale>
        <cfvo type="min"/>
        <cfvo type="percentile" val="50"/>
        <cfvo type="max"/>
        <color rgb="FF63BE7B"/>
        <color rgb="FFFFEB84"/>
        <color rgb="FFF8696B"/>
      </colorScale>
    </cfRule>
    <cfRule type="colorScale" priority="5718">
      <colorScale>
        <cfvo type="min"/>
        <cfvo type="percentile" val="50"/>
        <cfvo type="max"/>
        <color rgb="FF63BE7B"/>
        <color rgb="FFFFEB84"/>
        <color rgb="FFF8696B"/>
      </colorScale>
    </cfRule>
    <cfRule type="colorScale" priority="5717">
      <colorScale>
        <cfvo type="min"/>
        <cfvo type="percentile" val="50"/>
        <cfvo type="max"/>
        <color rgb="FF63BE7B"/>
        <color rgb="FFFFEB84"/>
        <color rgb="FFF8696B"/>
      </colorScale>
    </cfRule>
    <cfRule type="colorScale" priority="5728">
      <colorScale>
        <cfvo type="min"/>
        <cfvo type="percentile" val="50"/>
        <cfvo type="max"/>
        <color rgb="FF63BE7B"/>
        <color rgb="FFFFEB84"/>
        <color rgb="FFF8696B"/>
      </colorScale>
    </cfRule>
    <cfRule type="colorScale" priority="5716">
      <colorScale>
        <cfvo type="min"/>
        <cfvo type="percentile" val="50"/>
        <cfvo type="max"/>
        <color rgb="FF63BE7B"/>
        <color rgb="FFFFEB84"/>
        <color rgb="FFF8696B"/>
      </colorScale>
    </cfRule>
    <cfRule type="colorScale" priority="6756">
      <colorScale>
        <cfvo type="min"/>
        <cfvo type="percentile" val="50"/>
        <cfvo type="max"/>
        <color rgb="FF63BE7B"/>
        <color rgb="FFFFEB84"/>
        <color rgb="FFF8696B"/>
      </colorScale>
    </cfRule>
    <cfRule type="colorScale" priority="6755">
      <colorScale>
        <cfvo type="min"/>
        <cfvo type="percentile" val="50"/>
        <cfvo type="max"/>
        <color rgb="FF63BE7B"/>
        <color rgb="FFFFEB84"/>
        <color rgb="FFF8696B"/>
      </colorScale>
    </cfRule>
    <cfRule type="colorScale" priority="6754">
      <colorScale>
        <cfvo type="min"/>
        <cfvo type="percentile" val="50"/>
        <cfvo type="max"/>
        <color rgb="FF63BE7B"/>
        <color rgb="FFFFEB84"/>
        <color rgb="FFF8696B"/>
      </colorScale>
    </cfRule>
    <cfRule type="colorScale" priority="6753">
      <colorScale>
        <cfvo type="min"/>
        <cfvo type="percentile" val="50"/>
        <cfvo type="max"/>
        <color rgb="FF63BE7B"/>
        <color rgb="FFFFEB84"/>
        <color rgb="FFF8696B"/>
      </colorScale>
    </cfRule>
  </conditionalFormatting>
  <conditionalFormatting sqref="AJ54:AJ61">
    <cfRule type="colorScale" priority="22">
      <colorScale>
        <cfvo type="min"/>
        <cfvo type="percentile" val="50"/>
        <cfvo type="max"/>
        <color rgb="FF63BE7B"/>
        <color rgb="FFFFEB84"/>
        <color rgb="FFF8696B"/>
      </colorScale>
    </cfRule>
  </conditionalFormatting>
  <conditionalFormatting sqref="AK35:AK37">
    <cfRule type="colorScale" priority="8914">
      <colorScale>
        <cfvo type="min"/>
        <cfvo type="percentile" val="50"/>
        <cfvo type="max"/>
        <color rgb="FF63BE7B"/>
        <color rgb="FFFFEB84"/>
        <color rgb="FFF8696B"/>
      </colorScale>
    </cfRule>
    <cfRule type="colorScale" priority="8885">
      <colorScale>
        <cfvo type="min"/>
        <cfvo type="percentile" val="50"/>
        <cfvo type="max"/>
        <color rgb="FF63BE7B"/>
        <color rgb="FFFFEB84"/>
        <color rgb="FFF8696B"/>
      </colorScale>
    </cfRule>
    <cfRule type="colorScale" priority="8886">
      <colorScale>
        <cfvo type="min"/>
        <cfvo type="percentile" val="50"/>
        <cfvo type="max"/>
        <color rgb="FF63BE7B"/>
        <color rgb="FFFFEB84"/>
        <color rgb="FFF8696B"/>
      </colorScale>
    </cfRule>
    <cfRule type="colorScale" priority="8887">
      <colorScale>
        <cfvo type="min"/>
        <cfvo type="percentile" val="50"/>
        <cfvo type="max"/>
        <color rgb="FF63BE7B"/>
        <color rgb="FFFFEB84"/>
        <color rgb="FFF8696B"/>
      </colorScale>
    </cfRule>
    <cfRule type="colorScale" priority="8888">
      <colorScale>
        <cfvo type="min"/>
        <cfvo type="percentile" val="50"/>
        <cfvo type="max"/>
        <color rgb="FF63BE7B"/>
        <color rgb="FFFFEB84"/>
        <color rgb="FFF8696B"/>
      </colorScale>
    </cfRule>
    <cfRule type="colorScale" priority="10852">
      <colorScale>
        <cfvo type="min"/>
        <cfvo type="percentile" val="50"/>
        <cfvo type="max"/>
        <color rgb="FF63BE7B"/>
        <color rgb="FFFFEB84"/>
        <color rgb="FFF8696B"/>
      </colorScale>
    </cfRule>
    <cfRule type="colorScale" priority="8904">
      <colorScale>
        <cfvo type="min"/>
        <cfvo type="percentile" val="50"/>
        <cfvo type="max"/>
        <color rgb="FF63BE7B"/>
        <color rgb="FFFFEB84"/>
        <color rgb="FFF8696B"/>
      </colorScale>
    </cfRule>
    <cfRule type="colorScale" priority="8877">
      <colorScale>
        <cfvo type="min"/>
        <cfvo type="percentile" val="50"/>
        <cfvo type="max"/>
        <color rgb="FF63BE7B"/>
        <color rgb="FFFFEB84"/>
        <color rgb="FFF8696B"/>
      </colorScale>
    </cfRule>
    <cfRule type="colorScale" priority="8912">
      <colorScale>
        <cfvo type="min"/>
        <cfvo type="percentile" val="50"/>
        <cfvo type="max"/>
        <color rgb="FF63BE7B"/>
        <color rgb="FFFFEB84"/>
        <color rgb="FFF8696B"/>
      </colorScale>
    </cfRule>
    <cfRule type="colorScale" priority="8915">
      <colorScale>
        <cfvo type="min"/>
        <cfvo type="percentile" val="50"/>
        <cfvo type="max"/>
        <color rgb="FF63BE7B"/>
        <color rgb="FFFFEB84"/>
        <color rgb="FFF8696B"/>
      </colorScale>
    </cfRule>
    <cfRule type="colorScale" priority="8913">
      <colorScale>
        <cfvo type="min"/>
        <cfvo type="percentile" val="50"/>
        <cfvo type="max"/>
        <color rgb="FF63BE7B"/>
        <color rgb="FFFFEB84"/>
        <color rgb="FFF8696B"/>
      </colorScale>
    </cfRule>
    <cfRule type="colorScale" priority="8917">
      <colorScale>
        <cfvo type="min"/>
        <cfvo type="percentile" val="50"/>
        <cfvo type="max"/>
        <color rgb="FF63BE7B"/>
        <color rgb="FFFFEB84"/>
        <color rgb="FFF8696B"/>
      </colorScale>
    </cfRule>
    <cfRule type="colorScale" priority="8918">
      <colorScale>
        <cfvo type="min"/>
        <cfvo type="percentile" val="50"/>
        <cfvo type="max"/>
        <color rgb="FF63BE7B"/>
        <color rgb="FFFFEB84"/>
        <color rgb="FFF8696B"/>
      </colorScale>
    </cfRule>
    <cfRule type="colorScale" priority="8891">
      <colorScale>
        <cfvo type="min"/>
        <cfvo type="percentile" val="50"/>
        <cfvo type="max"/>
        <color rgb="FF63BE7B"/>
        <color rgb="FFFFEB84"/>
        <color rgb="FFF8696B"/>
      </colorScale>
    </cfRule>
    <cfRule type="colorScale" priority="8890">
      <colorScale>
        <cfvo type="min"/>
        <cfvo type="percentile" val="50"/>
        <cfvo type="max"/>
        <color rgb="FF63BE7B"/>
        <color rgb="FFFFEB84"/>
        <color rgb="FFF8696B"/>
      </colorScale>
    </cfRule>
  </conditionalFormatting>
  <conditionalFormatting sqref="AK35:AK41 H35:H50 X35:X41">
    <cfRule type="colorScale" priority="13219">
      <colorScale>
        <cfvo type="min"/>
        <cfvo type="percentile" val="50"/>
        <cfvo type="max"/>
        <color rgb="FF63BE7B"/>
        <color rgb="FFFFEB84"/>
        <color rgb="FFF8696B"/>
      </colorScale>
    </cfRule>
    <cfRule type="colorScale" priority="13064">
      <colorScale>
        <cfvo type="min"/>
        <cfvo type="percentile" val="50"/>
        <cfvo type="max"/>
        <color rgb="FF63BE7B"/>
        <color rgb="FFFFEB84"/>
        <color rgb="FFF8696B"/>
      </colorScale>
    </cfRule>
    <cfRule type="colorScale" priority="13063">
      <colorScale>
        <cfvo type="min"/>
        <cfvo type="percentile" val="50"/>
        <cfvo type="max"/>
        <color rgb="FF63BE7B"/>
        <color rgb="FFFFEB84"/>
        <color rgb="FFF8696B"/>
      </colorScale>
    </cfRule>
    <cfRule type="colorScale" priority="13062">
      <colorScale>
        <cfvo type="min"/>
        <cfvo type="percentile" val="50"/>
        <cfvo type="max"/>
        <color rgb="FF63BE7B"/>
        <color rgb="FFFFEB84"/>
        <color rgb="FFF8696B"/>
      </colorScale>
    </cfRule>
    <cfRule type="colorScale" priority="13065">
      <colorScale>
        <cfvo type="min"/>
        <cfvo type="percentile" val="50"/>
        <cfvo type="max"/>
        <color rgb="FF63BE7B"/>
        <color rgb="FFFFEB84"/>
        <color rgb="FFF8696B"/>
      </colorScale>
    </cfRule>
  </conditionalFormatting>
  <conditionalFormatting sqref="AK35:AK41 X35:X41 AK52:AK53 H35:H53 X52:X53">
    <cfRule type="colorScale" priority="13243">
      <colorScale>
        <cfvo type="min"/>
        <cfvo type="percentile" val="50"/>
        <cfvo type="max"/>
        <color rgb="FF63BE7B"/>
        <color rgb="FFFFEB84"/>
        <color rgb="FFF8696B"/>
      </colorScale>
    </cfRule>
  </conditionalFormatting>
  <conditionalFormatting sqref="AK35:AK41">
    <cfRule type="colorScale" priority="10859">
      <colorScale>
        <cfvo type="min"/>
        <cfvo type="percentile" val="50"/>
        <cfvo type="max"/>
        <color rgb="FF63BE7B"/>
        <color rgb="FFFFEB84"/>
        <color rgb="FFF8696B"/>
      </colorScale>
    </cfRule>
    <cfRule type="colorScale" priority="10858">
      <colorScale>
        <cfvo type="min"/>
        <cfvo type="percentile" val="50"/>
        <cfvo type="max"/>
        <color rgb="FF63BE7B"/>
        <color rgb="FFFFEB84"/>
        <color rgb="FFF8696B"/>
      </colorScale>
    </cfRule>
    <cfRule type="colorScale" priority="10857">
      <colorScale>
        <cfvo type="min"/>
        <cfvo type="percentile" val="50"/>
        <cfvo type="max"/>
        <color rgb="FF63BE7B"/>
        <color rgb="FFFFEB84"/>
        <color rgb="FFF8696B"/>
      </colorScale>
    </cfRule>
    <cfRule type="colorScale" priority="8878">
      <colorScale>
        <cfvo type="min"/>
        <cfvo type="percentile" val="50"/>
        <cfvo type="max"/>
        <color rgb="FF63BE7B"/>
        <color rgb="FFFFEB84"/>
        <color rgb="FFF8696B"/>
      </colorScale>
    </cfRule>
    <cfRule type="colorScale" priority="8879">
      <colorScale>
        <cfvo type="min"/>
        <cfvo type="percentile" val="50"/>
        <cfvo type="max"/>
        <color rgb="FF63BE7B"/>
        <color rgb="FFFFEB84"/>
        <color rgb="FFF8696B"/>
      </colorScale>
    </cfRule>
    <cfRule type="colorScale" priority="8880">
      <colorScale>
        <cfvo type="min"/>
        <cfvo type="percentile" val="50"/>
        <cfvo type="max"/>
        <color rgb="FF63BE7B"/>
        <color rgb="FFFFEB84"/>
        <color rgb="FFF8696B"/>
      </colorScale>
    </cfRule>
    <cfRule type="colorScale" priority="8881">
      <colorScale>
        <cfvo type="min"/>
        <cfvo type="percentile" val="50"/>
        <cfvo type="max"/>
        <color rgb="FF63BE7B"/>
        <color rgb="FFFFEB84"/>
        <color rgb="FFF8696B"/>
      </colorScale>
    </cfRule>
    <cfRule type="colorScale" priority="8882">
      <colorScale>
        <cfvo type="min"/>
        <cfvo type="percentile" val="50"/>
        <cfvo type="max"/>
        <color rgb="FF63BE7B"/>
        <color rgb="FFFFEB84"/>
        <color rgb="FFF8696B"/>
      </colorScale>
    </cfRule>
    <cfRule type="colorScale" priority="8883">
      <colorScale>
        <cfvo type="min"/>
        <cfvo type="percentile" val="50"/>
        <cfvo type="max"/>
        <color rgb="FF63BE7B"/>
        <color rgb="FFFFEB84"/>
        <color rgb="FFF8696B"/>
      </colorScale>
    </cfRule>
    <cfRule type="colorScale" priority="8884">
      <colorScale>
        <cfvo type="min"/>
        <cfvo type="percentile" val="50"/>
        <cfvo type="max"/>
        <color rgb="FF63BE7B"/>
        <color rgb="FFFFEB84"/>
        <color rgb="FFF8696B"/>
      </colorScale>
    </cfRule>
    <cfRule type="colorScale" priority="8897">
      <colorScale>
        <cfvo type="min"/>
        <cfvo type="percentile" val="50"/>
        <cfvo type="max"/>
        <color rgb="FF63BE7B"/>
        <color rgb="FFFFEB84"/>
        <color rgb="FFF8696B"/>
      </colorScale>
    </cfRule>
    <cfRule type="colorScale" priority="8911">
      <colorScale>
        <cfvo type="min"/>
        <cfvo type="percentile" val="50"/>
        <cfvo type="max"/>
        <color rgb="FF63BE7B"/>
        <color rgb="FFFFEB84"/>
        <color rgb="FFF8696B"/>
      </colorScale>
    </cfRule>
    <cfRule type="colorScale" priority="8896">
      <colorScale>
        <cfvo type="min"/>
        <cfvo type="percentile" val="50"/>
        <cfvo type="max"/>
        <color rgb="FF63BE7B"/>
        <color rgb="FFFFEB84"/>
        <color rgb="FFF8696B"/>
      </colorScale>
    </cfRule>
    <cfRule type="colorScale" priority="8924">
      <colorScale>
        <cfvo type="min"/>
        <cfvo type="percentile" val="50"/>
        <cfvo type="max"/>
        <color rgb="FF63BE7B"/>
        <color rgb="FFFFEB84"/>
        <color rgb="FFF8696B"/>
      </colorScale>
    </cfRule>
    <cfRule type="colorScale" priority="8876">
      <colorScale>
        <cfvo type="min"/>
        <cfvo type="percentile" val="50"/>
        <cfvo type="max"/>
        <color rgb="FF63BE7B"/>
        <color rgb="FFFFEB84"/>
        <color rgb="FFF8696B"/>
      </colorScale>
    </cfRule>
    <cfRule type="colorScale" priority="8875">
      <colorScale>
        <cfvo type="min"/>
        <cfvo type="percentile" val="50"/>
        <cfvo type="max"/>
        <color rgb="FF63BE7B"/>
        <color rgb="FFFFEB84"/>
        <color rgb="FFF8696B"/>
      </colorScale>
    </cfRule>
    <cfRule type="colorScale" priority="8905">
      <colorScale>
        <cfvo type="min"/>
        <cfvo type="percentile" val="50"/>
        <cfvo type="max"/>
        <color rgb="FF63BE7B"/>
        <color rgb="FFFFEB84"/>
        <color rgb="FFF8696B"/>
      </colorScale>
    </cfRule>
    <cfRule type="colorScale" priority="8928">
      <colorScale>
        <cfvo type="min"/>
        <cfvo type="percentile" val="50"/>
        <cfvo type="max"/>
        <color rgb="FF63BE7B"/>
        <color rgb="FFFFEB84"/>
        <color rgb="FFF8696B"/>
      </colorScale>
    </cfRule>
    <cfRule type="colorScale" priority="8906">
      <colorScale>
        <cfvo type="min"/>
        <cfvo type="percentile" val="50"/>
        <cfvo type="max"/>
        <color rgb="FF63BE7B"/>
        <color rgb="FFFFEB84"/>
        <color rgb="FFF8696B"/>
      </colorScale>
    </cfRule>
    <cfRule type="colorScale" priority="8907">
      <colorScale>
        <cfvo type="min"/>
        <cfvo type="percentile" val="50"/>
        <cfvo type="max"/>
        <color rgb="FF63BE7B"/>
        <color rgb="FFFFEB84"/>
        <color rgb="FFF8696B"/>
      </colorScale>
    </cfRule>
    <cfRule type="colorScale" priority="8901">
      <colorScale>
        <cfvo type="min"/>
        <cfvo type="percentile" val="50"/>
        <cfvo type="max"/>
        <color rgb="FF63BE7B"/>
        <color rgb="FFFFEB84"/>
        <color rgb="FFF8696B"/>
      </colorScale>
    </cfRule>
    <cfRule type="colorScale" priority="8902">
      <colorScale>
        <cfvo type="min"/>
        <cfvo type="percentile" val="50"/>
        <cfvo type="max"/>
        <color rgb="FF63BE7B"/>
        <color rgb="FFFFEB84"/>
        <color rgb="FFF8696B"/>
      </colorScale>
    </cfRule>
    <cfRule type="colorScale" priority="8895">
      <colorScale>
        <cfvo type="min"/>
        <cfvo type="percentile" val="50"/>
        <cfvo type="max"/>
        <color rgb="FF63BE7B"/>
        <color rgb="FFFFEB84"/>
        <color rgb="FFF8696B"/>
      </colorScale>
    </cfRule>
    <cfRule type="colorScale" priority="10850">
      <colorScale>
        <cfvo type="min"/>
        <cfvo type="percentile" val="50"/>
        <cfvo type="max"/>
        <color rgb="FF63BE7B"/>
        <color rgb="FFFFEB84"/>
        <color rgb="FFF8696B"/>
      </colorScale>
    </cfRule>
    <cfRule type="colorScale" priority="8922">
      <colorScale>
        <cfvo type="min"/>
        <cfvo type="percentile" val="50"/>
        <cfvo type="max"/>
        <color rgb="FF63BE7B"/>
        <color rgb="FFFFEB84"/>
        <color rgb="FFF8696B"/>
      </colorScale>
    </cfRule>
    <cfRule type="colorScale" priority="8908">
      <colorScale>
        <cfvo type="min"/>
        <cfvo type="percentile" val="50"/>
        <cfvo type="max"/>
        <color rgb="FF63BE7B"/>
        <color rgb="FFFFEB84"/>
        <color rgb="FFF8696B"/>
      </colorScale>
    </cfRule>
    <cfRule type="colorScale" priority="8909">
      <colorScale>
        <cfvo type="min"/>
        <cfvo type="percentile" val="50"/>
        <cfvo type="max"/>
        <color rgb="FF63BE7B"/>
        <color rgb="FFFFEB84"/>
        <color rgb="FFF8696B"/>
      </colorScale>
    </cfRule>
    <cfRule type="colorScale" priority="8894">
      <colorScale>
        <cfvo type="min"/>
        <cfvo type="percentile" val="50"/>
        <cfvo type="max"/>
        <color rgb="FF63BE7B"/>
        <color rgb="FFFFEB84"/>
        <color rgb="FFF8696B"/>
      </colorScale>
    </cfRule>
    <cfRule type="colorScale" priority="8893">
      <colorScale>
        <cfvo type="min"/>
        <cfvo type="percentile" val="50"/>
        <cfvo type="max"/>
        <color rgb="FF63BE7B"/>
        <color rgb="FFFFEB84"/>
        <color rgb="FFF8696B"/>
      </colorScale>
    </cfRule>
    <cfRule type="colorScale" priority="8892">
      <colorScale>
        <cfvo type="min"/>
        <cfvo type="percentile" val="50"/>
        <cfvo type="max"/>
        <color rgb="FF63BE7B"/>
        <color rgb="FFFFEB84"/>
        <color rgb="FFF8696B"/>
      </colorScale>
    </cfRule>
    <cfRule type="colorScale" priority="8927">
      <colorScale>
        <cfvo type="min"/>
        <cfvo type="percentile" val="50"/>
        <cfvo type="max"/>
        <color rgb="FF63BE7B"/>
        <color rgb="FFFFEB84"/>
        <color rgb="FFF8696B"/>
      </colorScale>
    </cfRule>
    <cfRule type="colorScale" priority="10853">
      <colorScale>
        <cfvo type="min"/>
        <cfvo type="percentile" val="50"/>
        <cfvo type="max"/>
        <color rgb="FF63BE7B"/>
        <color rgb="FFFFEB84"/>
        <color rgb="FFF8696B"/>
      </colorScale>
    </cfRule>
    <cfRule type="colorScale" priority="10854">
      <colorScale>
        <cfvo type="min"/>
        <cfvo type="percentile" val="50"/>
        <cfvo type="max"/>
        <color rgb="FF63BE7B"/>
        <color rgb="FFFFEB84"/>
        <color rgb="FFF8696B"/>
      </colorScale>
    </cfRule>
    <cfRule type="colorScale" priority="10855">
      <colorScale>
        <cfvo type="min"/>
        <cfvo type="percentile" val="50"/>
        <cfvo type="max"/>
        <color rgb="FF63BE7B"/>
        <color rgb="FFFFEB84"/>
        <color rgb="FFF8696B"/>
      </colorScale>
    </cfRule>
    <cfRule type="colorScale" priority="10865">
      <colorScale>
        <cfvo type="min"/>
        <cfvo type="percentile" val="50"/>
        <cfvo type="max"/>
        <color rgb="FF63BE7B"/>
        <color rgb="FFFFEB84"/>
        <color rgb="FFF8696B"/>
      </colorScale>
    </cfRule>
    <cfRule type="colorScale" priority="10864">
      <colorScale>
        <cfvo type="min"/>
        <cfvo type="percentile" val="50"/>
        <cfvo type="max"/>
        <color rgb="FF63BE7B"/>
        <color rgb="FFFFEB84"/>
        <color rgb="FFF8696B"/>
      </colorScale>
    </cfRule>
    <cfRule type="colorScale" priority="8919">
      <colorScale>
        <cfvo type="min"/>
        <cfvo type="percentile" val="50"/>
        <cfvo type="max"/>
        <color rgb="FF63BE7B"/>
        <color rgb="FFFFEB84"/>
        <color rgb="FFF8696B"/>
      </colorScale>
    </cfRule>
    <cfRule type="colorScale" priority="10863">
      <colorScale>
        <cfvo type="min"/>
        <cfvo type="percentile" val="50"/>
        <cfvo type="max"/>
        <color rgb="FF63BE7B"/>
        <color rgb="FFFFEB84"/>
        <color rgb="FFF8696B"/>
      </colorScale>
    </cfRule>
    <cfRule type="colorScale" priority="10862">
      <colorScale>
        <cfvo type="min"/>
        <cfvo type="percentile" val="50"/>
        <cfvo type="max"/>
        <color rgb="FF63BE7B"/>
        <color rgb="FFFFEB84"/>
        <color rgb="FFF8696B"/>
      </colorScale>
    </cfRule>
    <cfRule type="colorScale" priority="10851">
      <colorScale>
        <cfvo type="min"/>
        <cfvo type="percentile" val="50"/>
        <cfvo type="max"/>
        <color rgb="FF63BE7B"/>
        <color rgb="FFFFEB84"/>
        <color rgb="FFF8696B"/>
      </colorScale>
    </cfRule>
    <cfRule type="colorScale" priority="8910">
      <colorScale>
        <cfvo type="min"/>
        <cfvo type="percentile" val="50"/>
        <cfvo type="max"/>
        <color rgb="FF63BE7B"/>
        <color rgb="FFFFEB84"/>
        <color rgb="FFF8696B"/>
      </colorScale>
    </cfRule>
    <cfRule type="colorScale" priority="8900">
      <colorScale>
        <cfvo type="min"/>
        <cfvo type="percentile" val="50"/>
        <cfvo type="max"/>
        <color rgb="FF63BE7B"/>
        <color rgb="FFFFEB84"/>
        <color rgb="FFF8696B"/>
      </colorScale>
    </cfRule>
    <cfRule type="colorScale" priority="8920">
      <colorScale>
        <cfvo type="min"/>
        <cfvo type="percentile" val="50"/>
        <cfvo type="max"/>
        <color rgb="FF63BE7B"/>
        <color rgb="FFFFEB84"/>
        <color rgb="FFF8696B"/>
      </colorScale>
    </cfRule>
    <cfRule type="colorScale" priority="8921">
      <colorScale>
        <cfvo type="min"/>
        <cfvo type="percentile" val="50"/>
        <cfvo type="max"/>
        <color rgb="FF63BE7B"/>
        <color rgb="FFFFEB84"/>
        <color rgb="FFF8696B"/>
      </colorScale>
    </cfRule>
    <cfRule type="colorScale" priority="8923">
      <colorScale>
        <cfvo type="min"/>
        <cfvo type="percentile" val="50"/>
        <cfvo type="max"/>
        <color rgb="FF63BE7B"/>
        <color rgb="FFFFEB84"/>
        <color rgb="FFF8696B"/>
      </colorScale>
    </cfRule>
    <cfRule type="colorScale" priority="10861">
      <colorScale>
        <cfvo type="min"/>
        <cfvo type="percentile" val="50"/>
        <cfvo type="max"/>
        <color rgb="FF63BE7B"/>
        <color rgb="FFFFEB84"/>
        <color rgb="FFF8696B"/>
      </colorScale>
    </cfRule>
    <cfRule type="colorScale" priority="8925">
      <colorScale>
        <cfvo type="min"/>
        <cfvo type="percentile" val="50"/>
        <cfvo type="max"/>
        <color rgb="FF63BE7B"/>
        <color rgb="FFFFEB84"/>
        <color rgb="FFF8696B"/>
      </colorScale>
    </cfRule>
    <cfRule type="colorScale" priority="10866">
      <colorScale>
        <cfvo type="min"/>
        <cfvo type="percentile" val="50"/>
        <cfvo type="max"/>
        <color rgb="FF63BE7B"/>
        <color rgb="FFFFEB84"/>
        <color rgb="FFF8696B"/>
      </colorScale>
    </cfRule>
    <cfRule type="colorScale" priority="10867">
      <colorScale>
        <cfvo type="min"/>
        <cfvo type="percentile" val="50"/>
        <cfvo type="max"/>
        <color rgb="FF63BE7B"/>
        <color rgb="FFFFEB84"/>
        <color rgb="FFF8696B"/>
      </colorScale>
    </cfRule>
    <cfRule type="colorScale" priority="10868">
      <colorScale>
        <cfvo type="min"/>
        <cfvo type="percentile" val="50"/>
        <cfvo type="max"/>
        <color rgb="FF63BE7B"/>
        <color rgb="FFFFEB84"/>
        <color rgb="FFF8696B"/>
      </colorScale>
    </cfRule>
    <cfRule type="colorScale" priority="8903">
      <colorScale>
        <cfvo type="min"/>
        <cfvo type="percentile" val="50"/>
        <cfvo type="max"/>
        <color rgb="FF63BE7B"/>
        <color rgb="FFFFEB84"/>
        <color rgb="FFF8696B"/>
      </colorScale>
    </cfRule>
    <cfRule type="colorScale" priority="10860">
      <colorScale>
        <cfvo type="min"/>
        <cfvo type="percentile" val="50"/>
        <cfvo type="max"/>
        <color rgb="FF63BE7B"/>
        <color rgb="FFFFEB84"/>
        <color rgb="FFF8696B"/>
      </colorScale>
    </cfRule>
    <cfRule type="colorScale" priority="8898">
      <colorScale>
        <cfvo type="min"/>
        <cfvo type="percentile" val="50"/>
        <cfvo type="max"/>
        <color rgb="FF63BE7B"/>
        <color rgb="FFFFEB84"/>
        <color rgb="FFF8696B"/>
      </colorScale>
    </cfRule>
    <cfRule type="colorScale" priority="10856">
      <colorScale>
        <cfvo type="min"/>
        <cfvo type="percentile" val="50"/>
        <cfvo type="max"/>
        <color rgb="FF63BE7B"/>
        <color rgb="FFFFEB84"/>
        <color rgb="FFF8696B"/>
      </colorScale>
    </cfRule>
  </conditionalFormatting>
  <conditionalFormatting sqref="AK36:AK37">
    <cfRule type="colorScale" priority="8889">
      <colorScale>
        <cfvo type="min"/>
        <cfvo type="percentile" val="50"/>
        <cfvo type="max"/>
        <color rgb="FF63BE7B"/>
        <color rgb="FFFFEB84"/>
        <color rgb="FFF8696B"/>
      </colorScale>
    </cfRule>
    <cfRule type="colorScale" priority="8916">
      <colorScale>
        <cfvo type="min"/>
        <cfvo type="percentile" val="50"/>
        <cfvo type="max"/>
        <color rgb="FF63BE7B"/>
        <color rgb="FFFFEB84"/>
        <color rgb="FFF8696B"/>
      </colorScale>
    </cfRule>
  </conditionalFormatting>
  <conditionalFormatting sqref="AK36:AK41">
    <cfRule type="colorScale" priority="8899">
      <colorScale>
        <cfvo type="min"/>
        <cfvo type="percentile" val="50"/>
        <cfvo type="max"/>
        <color rgb="FF63BE7B"/>
        <color rgb="FFFFEB84"/>
        <color rgb="FFF8696B"/>
      </colorScale>
    </cfRule>
    <cfRule type="colorScale" priority="8926">
      <colorScale>
        <cfvo type="min"/>
        <cfvo type="percentile" val="50"/>
        <cfvo type="max"/>
        <color rgb="FF63BE7B"/>
        <color rgb="FFFFEB84"/>
        <color rgb="FFF8696B"/>
      </colorScale>
    </cfRule>
  </conditionalFormatting>
  <conditionalFormatting sqref="AK42:AK50">
    <cfRule type="colorScale" priority="7438">
      <colorScale>
        <cfvo type="min"/>
        <cfvo type="percentile" val="50"/>
        <cfvo type="max"/>
        <color rgb="FF63BE7B"/>
        <color rgb="FFFFEB84"/>
        <color rgb="FFF8696B"/>
      </colorScale>
    </cfRule>
  </conditionalFormatting>
  <conditionalFormatting sqref="AK51:AK53">
    <cfRule type="colorScale" priority="2226">
      <colorScale>
        <cfvo type="min"/>
        <cfvo type="percentile" val="50"/>
        <cfvo type="max"/>
        <color rgb="FFF8696B"/>
        <color rgb="FFFFEB84"/>
        <color rgb="FF63BE7B"/>
      </colorScale>
    </cfRule>
    <cfRule type="colorScale" priority="3875">
      <colorScale>
        <cfvo type="min"/>
        <cfvo type="percentile" val="50"/>
        <cfvo type="max"/>
        <color rgb="FF63BE7B"/>
        <color rgb="FFFFEB84"/>
        <color rgb="FFF8696B"/>
      </colorScale>
    </cfRule>
    <cfRule type="colorScale" priority="3874">
      <colorScale>
        <cfvo type="min"/>
        <cfvo type="percentile" val="50"/>
        <cfvo type="max"/>
        <color rgb="FF63BE7B"/>
        <color rgb="FFFFEB84"/>
        <color rgb="FFF8696B"/>
      </colorScale>
    </cfRule>
    <cfRule type="colorScale" priority="3847">
      <colorScale>
        <cfvo type="min"/>
        <cfvo type="percentile" val="50"/>
        <cfvo type="max"/>
        <color rgb="FF63BE7B"/>
        <color rgb="FFFFEB84"/>
        <color rgb="FFF8696B"/>
      </colorScale>
    </cfRule>
    <cfRule type="colorScale" priority="2255">
      <colorScale>
        <cfvo type="min"/>
        <cfvo type="percentile" val="50"/>
        <cfvo type="max"/>
        <color rgb="FF63BE7B"/>
        <color rgb="FFFFEB84"/>
        <color rgb="FFF8696B"/>
      </colorScale>
    </cfRule>
    <cfRule type="colorScale" priority="2254">
      <colorScale>
        <cfvo type="min"/>
        <cfvo type="percentile" val="50"/>
        <cfvo type="max"/>
        <color rgb="FF63BE7B"/>
        <color rgb="FFFFEB84"/>
        <color rgb="FFF8696B"/>
      </colorScale>
    </cfRule>
  </conditionalFormatting>
  <conditionalFormatting sqref="AK52:AK53 H52:H53 X52:X53">
    <cfRule type="colorScale" priority="7269">
      <colorScale>
        <cfvo type="min"/>
        <cfvo type="percentile" val="50"/>
        <cfvo type="max"/>
        <color rgb="FF63BE7B"/>
        <color rgb="FFFFEB84"/>
        <color rgb="FFF8696B"/>
      </colorScale>
    </cfRule>
    <cfRule type="colorScale" priority="7131">
      <colorScale>
        <cfvo type="min"/>
        <cfvo type="percentile" val="50"/>
        <cfvo type="max"/>
        <color rgb="FF63BE7B"/>
        <color rgb="FFFFEB84"/>
        <color rgb="FFF8696B"/>
      </colorScale>
    </cfRule>
    <cfRule type="colorScale" priority="7130">
      <colorScale>
        <cfvo type="min"/>
        <cfvo type="percentile" val="50"/>
        <cfvo type="max"/>
        <color rgb="FF63BE7B"/>
        <color rgb="FFFFEB84"/>
        <color rgb="FFF8696B"/>
      </colorScale>
    </cfRule>
    <cfRule type="colorScale" priority="7129">
      <colorScale>
        <cfvo type="min"/>
        <cfvo type="percentile" val="50"/>
        <cfvo type="max"/>
        <color rgb="FF63BE7B"/>
        <color rgb="FFFFEB84"/>
        <color rgb="FFF8696B"/>
      </colorScale>
    </cfRule>
    <cfRule type="colorScale" priority="7128">
      <colorScale>
        <cfvo type="min"/>
        <cfvo type="percentile" val="50"/>
        <cfvo type="max"/>
        <color rgb="FF63BE7B"/>
        <color rgb="FFFFEB84"/>
        <color rgb="FFF8696B"/>
      </colorScale>
    </cfRule>
  </conditionalFormatting>
  <conditionalFormatting sqref="AK52:AK53">
    <cfRule type="colorScale" priority="2270">
      <colorScale>
        <cfvo type="min"/>
        <cfvo type="percentile" val="50"/>
        <cfvo type="max"/>
        <color rgb="FF63BE7B"/>
        <color rgb="FFFFEB84"/>
        <color rgb="FFF8696B"/>
      </colorScale>
    </cfRule>
    <cfRule type="colorScale" priority="2271">
      <colorScale>
        <cfvo type="min"/>
        <cfvo type="percentile" val="50"/>
        <cfvo type="max"/>
        <color rgb="FF63BE7B"/>
        <color rgb="FFFFEB84"/>
        <color rgb="FFF8696B"/>
      </colorScale>
    </cfRule>
    <cfRule type="colorScale" priority="2272">
      <colorScale>
        <cfvo type="min"/>
        <cfvo type="percentile" val="50"/>
        <cfvo type="max"/>
        <color rgb="FF63BE7B"/>
        <color rgb="FFFFEB84"/>
        <color rgb="FFF8696B"/>
      </colorScale>
    </cfRule>
    <cfRule type="colorScale" priority="2273">
      <colorScale>
        <cfvo type="min"/>
        <cfvo type="percentile" val="50"/>
        <cfvo type="max"/>
        <color rgb="FF63BE7B"/>
        <color rgb="FFFFEB84"/>
        <color rgb="FFF8696B"/>
      </colorScale>
    </cfRule>
    <cfRule type="colorScale" priority="2274">
      <colorScale>
        <cfvo type="min"/>
        <cfvo type="percentile" val="50"/>
        <cfvo type="max"/>
        <color rgb="FF63BE7B"/>
        <color rgb="FFFFEB84"/>
        <color rgb="FFF8696B"/>
      </colorScale>
    </cfRule>
    <cfRule type="colorScale" priority="2275">
      <colorScale>
        <cfvo type="min"/>
        <cfvo type="percentile" val="50"/>
        <cfvo type="max"/>
        <color rgb="FF63BE7B"/>
        <color rgb="FFFFEB84"/>
        <color rgb="FFF8696B"/>
      </colorScale>
    </cfRule>
    <cfRule type="colorScale" priority="2276">
      <colorScale>
        <cfvo type="min"/>
        <cfvo type="percentile" val="50"/>
        <cfvo type="max"/>
        <color rgb="FF63BE7B"/>
        <color rgb="FFFFEB84"/>
        <color rgb="FFF8696B"/>
      </colorScale>
    </cfRule>
    <cfRule type="colorScale" priority="2277">
      <colorScale>
        <cfvo type="min"/>
        <cfvo type="percentile" val="50"/>
        <cfvo type="max"/>
        <color rgb="FF63BE7B"/>
        <color rgb="FFFFEB84"/>
        <color rgb="FFF8696B"/>
      </colorScale>
    </cfRule>
    <cfRule type="colorScale" priority="2278">
      <colorScale>
        <cfvo type="min"/>
        <cfvo type="percentile" val="50"/>
        <cfvo type="max"/>
        <color rgb="FF63BE7B"/>
        <color rgb="FFFFEB84"/>
        <color rgb="FFF8696B"/>
      </colorScale>
    </cfRule>
    <cfRule type="colorScale" priority="2279">
      <colorScale>
        <cfvo type="min"/>
        <cfvo type="percentile" val="50"/>
        <cfvo type="max"/>
        <color rgb="FF63BE7B"/>
        <color rgb="FFFFEB84"/>
        <color rgb="FFF8696B"/>
      </colorScale>
    </cfRule>
    <cfRule type="colorScale" priority="2280">
      <colorScale>
        <cfvo type="min"/>
        <cfvo type="percentile" val="50"/>
        <cfvo type="max"/>
        <color rgb="FF63BE7B"/>
        <color rgb="FFFFEB84"/>
        <color rgb="FFF8696B"/>
      </colorScale>
    </cfRule>
    <cfRule type="colorScale" priority="2281">
      <colorScale>
        <cfvo type="min"/>
        <cfvo type="percentile" val="50"/>
        <cfvo type="max"/>
        <color rgb="FF63BE7B"/>
        <color rgb="FFFFEB84"/>
        <color rgb="FFF8696B"/>
      </colorScale>
    </cfRule>
    <cfRule type="colorScale" priority="2282">
      <colorScale>
        <cfvo type="min"/>
        <cfvo type="percentile" val="50"/>
        <cfvo type="max"/>
        <color rgb="FF63BE7B"/>
        <color rgb="FFFFEB84"/>
        <color rgb="FFF8696B"/>
      </colorScale>
    </cfRule>
    <cfRule type="colorScale" priority="2283">
      <colorScale>
        <cfvo type="min"/>
        <cfvo type="percentile" val="50"/>
        <cfvo type="max"/>
        <color rgb="FF63BE7B"/>
        <color rgb="FFFFEB84"/>
        <color rgb="FFF8696B"/>
      </colorScale>
    </cfRule>
    <cfRule type="colorScale" priority="2284">
      <colorScale>
        <cfvo type="min"/>
        <cfvo type="percentile" val="50"/>
        <cfvo type="max"/>
        <color rgb="FF63BE7B"/>
        <color rgb="FFFFEB84"/>
        <color rgb="FFF8696B"/>
      </colorScale>
    </cfRule>
    <cfRule type="colorScale" priority="2285">
      <colorScale>
        <cfvo type="min"/>
        <cfvo type="percentile" val="50"/>
        <cfvo type="max"/>
        <color rgb="FF63BE7B"/>
        <color rgb="FFFFEB84"/>
        <color rgb="FFF8696B"/>
      </colorScale>
    </cfRule>
    <cfRule type="colorScale" priority="2286">
      <colorScale>
        <cfvo type="min"/>
        <cfvo type="percentile" val="50"/>
        <cfvo type="max"/>
        <color rgb="FF63BE7B"/>
        <color rgb="FFFFEB84"/>
        <color rgb="FFF8696B"/>
      </colorScale>
    </cfRule>
    <cfRule type="colorScale" priority="2287">
      <colorScale>
        <cfvo type="min"/>
        <cfvo type="percentile" val="50"/>
        <cfvo type="max"/>
        <color rgb="FF63BE7B"/>
        <color rgb="FFFFEB84"/>
        <color rgb="FFF8696B"/>
      </colorScale>
    </cfRule>
    <cfRule type="colorScale" priority="2288">
      <colorScale>
        <cfvo type="min"/>
        <cfvo type="percentile" val="50"/>
        <cfvo type="max"/>
        <color rgb="FF63BE7B"/>
        <color rgb="FFFFEB84"/>
        <color rgb="FFF8696B"/>
      </colorScale>
    </cfRule>
    <cfRule type="colorScale" priority="2289">
      <colorScale>
        <cfvo type="min"/>
        <cfvo type="percentile" val="50"/>
        <cfvo type="max"/>
        <color rgb="FF63BE7B"/>
        <color rgb="FFFFEB84"/>
        <color rgb="FFF8696B"/>
      </colorScale>
    </cfRule>
    <cfRule type="colorScale" priority="2290">
      <colorScale>
        <cfvo type="min"/>
        <cfvo type="percentile" val="50"/>
        <cfvo type="max"/>
        <color rgb="FF63BE7B"/>
        <color rgb="FFFFEB84"/>
        <color rgb="FFF8696B"/>
      </colorScale>
    </cfRule>
    <cfRule type="colorScale" priority="2291">
      <colorScale>
        <cfvo type="min"/>
        <cfvo type="percentile" val="50"/>
        <cfvo type="max"/>
        <color rgb="FF63BE7B"/>
        <color rgb="FFFFEB84"/>
        <color rgb="FFF8696B"/>
      </colorScale>
    </cfRule>
    <cfRule type="colorScale" priority="2292">
      <colorScale>
        <cfvo type="min"/>
        <cfvo type="percentile" val="50"/>
        <cfvo type="max"/>
        <color rgb="FF63BE7B"/>
        <color rgb="FFFFEB84"/>
        <color rgb="FFF8696B"/>
      </colorScale>
    </cfRule>
    <cfRule type="colorScale" priority="2293">
      <colorScale>
        <cfvo type="min"/>
        <cfvo type="percentile" val="50"/>
        <cfvo type="max"/>
        <color rgb="FF63BE7B"/>
        <color rgb="FFFFEB84"/>
        <color rgb="FFF8696B"/>
      </colorScale>
    </cfRule>
    <cfRule type="colorScale" priority="2294">
      <colorScale>
        <cfvo type="min"/>
        <cfvo type="percentile" val="50"/>
        <cfvo type="max"/>
        <color rgb="FF63BE7B"/>
        <color rgb="FFFFEB84"/>
        <color rgb="FFF8696B"/>
      </colorScale>
    </cfRule>
    <cfRule type="colorScale" priority="2295">
      <colorScale>
        <cfvo type="min"/>
        <cfvo type="percentile" val="50"/>
        <cfvo type="max"/>
        <color rgb="FFF8696B"/>
        <color rgb="FFFFEB84"/>
        <color rgb="FF63BE7B"/>
      </colorScale>
    </cfRule>
    <cfRule type="colorScale" priority="2296">
      <colorScale>
        <cfvo type="min"/>
        <cfvo type="percentile" val="50"/>
        <cfvo type="max"/>
        <color rgb="FF63BE7B"/>
        <color rgb="FFFFEB84"/>
        <color rgb="FFF8696B"/>
      </colorScale>
    </cfRule>
    <cfRule type="colorScale" priority="2297">
      <colorScale>
        <cfvo type="min"/>
        <cfvo type="percentile" val="50"/>
        <cfvo type="max"/>
        <color rgb="FF63BE7B"/>
        <color rgb="FFFFEB84"/>
        <color rgb="FFF8696B"/>
      </colorScale>
    </cfRule>
    <cfRule type="colorScale" priority="2298">
      <colorScale>
        <cfvo type="min"/>
        <cfvo type="percentile" val="50"/>
        <cfvo type="max"/>
        <color rgb="FF63BE7B"/>
        <color rgb="FFFFEB84"/>
        <color rgb="FFF8696B"/>
      </colorScale>
    </cfRule>
    <cfRule type="colorScale" priority="2299">
      <colorScale>
        <cfvo type="min"/>
        <cfvo type="percentile" val="50"/>
        <cfvo type="max"/>
        <color rgb="FF63BE7B"/>
        <color rgb="FFFFEB84"/>
        <color rgb="FFF8696B"/>
      </colorScale>
    </cfRule>
    <cfRule type="colorScale" priority="2300">
      <colorScale>
        <cfvo type="min"/>
        <cfvo type="percentile" val="50"/>
        <cfvo type="max"/>
        <color rgb="FF63BE7B"/>
        <color rgb="FFFFEB84"/>
        <color rgb="FFF8696B"/>
      </colorScale>
    </cfRule>
    <cfRule type="colorScale" priority="2301">
      <colorScale>
        <cfvo type="min"/>
        <cfvo type="percentile" val="50"/>
        <cfvo type="max"/>
        <color rgb="FF63BE7B"/>
        <color rgb="FFFFEB84"/>
        <color rgb="FFF8696B"/>
      </colorScale>
    </cfRule>
    <cfRule type="colorScale" priority="2302">
      <colorScale>
        <cfvo type="min"/>
        <cfvo type="percentile" val="50"/>
        <cfvo type="max"/>
        <color rgb="FF63BE7B"/>
        <color rgb="FFFFEB84"/>
        <color rgb="FFF8696B"/>
      </colorScale>
    </cfRule>
    <cfRule type="colorScale" priority="2303">
      <colorScale>
        <cfvo type="min"/>
        <cfvo type="percentile" val="50"/>
        <cfvo type="max"/>
        <color rgb="FF63BE7B"/>
        <color rgb="FFFFEB84"/>
        <color rgb="FFF8696B"/>
      </colorScale>
    </cfRule>
    <cfRule type="colorScale" priority="2304">
      <colorScale>
        <cfvo type="min"/>
        <cfvo type="percentile" val="50"/>
        <cfvo type="max"/>
        <color rgb="FF63BE7B"/>
        <color rgb="FFFFEB84"/>
        <color rgb="FFF8696B"/>
      </colorScale>
    </cfRule>
    <cfRule type="colorScale" priority="2305">
      <colorScale>
        <cfvo type="min"/>
        <cfvo type="percentile" val="50"/>
        <cfvo type="max"/>
        <color rgb="FF63BE7B"/>
        <color rgb="FFFFEB84"/>
        <color rgb="FFF8696B"/>
      </colorScale>
    </cfRule>
    <cfRule type="colorScale" priority="2306">
      <colorScale>
        <cfvo type="min"/>
        <cfvo type="percentile" val="50"/>
        <cfvo type="max"/>
        <color rgb="FF63BE7B"/>
        <color rgb="FFFFEB84"/>
        <color rgb="FFF8696B"/>
      </colorScale>
    </cfRule>
    <cfRule type="colorScale" priority="2307">
      <colorScale>
        <cfvo type="min"/>
        <cfvo type="percentile" val="50"/>
        <cfvo type="max"/>
        <color rgb="FF63BE7B"/>
        <color rgb="FFFFEB84"/>
        <color rgb="FFF8696B"/>
      </colorScale>
    </cfRule>
    <cfRule type="colorScale" priority="2308">
      <colorScale>
        <cfvo type="min"/>
        <cfvo type="percentile" val="50"/>
        <cfvo type="max"/>
        <color rgb="FF63BE7B"/>
        <color rgb="FFFFEB84"/>
        <color rgb="FFF8696B"/>
      </colorScale>
    </cfRule>
    <cfRule type="colorScale" priority="2261">
      <colorScale>
        <cfvo type="min"/>
        <cfvo type="percentile" val="50"/>
        <cfvo type="max"/>
        <color rgb="FF63BE7B"/>
        <color rgb="FFFFEB84"/>
        <color rgb="FFF8696B"/>
      </colorScale>
    </cfRule>
    <cfRule type="colorScale" priority="2260">
      <colorScale>
        <cfvo type="min"/>
        <cfvo type="percentile" val="50"/>
        <cfvo type="max"/>
        <color rgb="FF63BE7B"/>
        <color rgb="FFFFEB84"/>
        <color rgb="FFF8696B"/>
      </colorScale>
    </cfRule>
    <cfRule type="colorScale" priority="2259">
      <colorScale>
        <cfvo type="min"/>
        <cfvo type="percentile" val="50"/>
        <cfvo type="max"/>
        <color rgb="FF63BE7B"/>
        <color rgb="FFFFEB84"/>
        <color rgb="FFF8696B"/>
      </colorScale>
    </cfRule>
    <cfRule type="colorScale" priority="2258">
      <colorScale>
        <cfvo type="min"/>
        <cfvo type="percentile" val="50"/>
        <cfvo type="max"/>
        <color rgb="FF63BE7B"/>
        <color rgb="FFFFEB84"/>
        <color rgb="FFF8696B"/>
      </colorScale>
    </cfRule>
    <cfRule type="colorScale" priority="2257">
      <colorScale>
        <cfvo type="min"/>
        <cfvo type="percentile" val="50"/>
        <cfvo type="max"/>
        <color rgb="FF63BE7B"/>
        <color rgb="FFFFEB84"/>
        <color rgb="FFF8696B"/>
      </colorScale>
    </cfRule>
    <cfRule type="colorScale" priority="2256">
      <colorScale>
        <cfvo type="min"/>
        <cfvo type="percentile" val="50"/>
        <cfvo type="max"/>
        <color rgb="FFF8696B"/>
        <color rgb="FFFFEB84"/>
        <color rgb="FF63BE7B"/>
      </colorScale>
    </cfRule>
    <cfRule type="colorScale" priority="2309">
      <colorScale>
        <cfvo type="min"/>
        <cfvo type="percentile" val="50"/>
        <cfvo type="max"/>
        <color rgb="FF63BE7B"/>
        <color rgb="FFFFEB84"/>
        <color rgb="FFF8696B"/>
      </colorScale>
    </cfRule>
    <cfRule type="colorScale" priority="2310">
      <colorScale>
        <cfvo type="min"/>
        <cfvo type="percentile" val="50"/>
        <cfvo type="max"/>
        <color rgb="FF63BE7B"/>
        <color rgb="FFFFEB84"/>
        <color rgb="FFF8696B"/>
      </colorScale>
    </cfRule>
    <cfRule type="colorScale" priority="2311">
      <colorScale>
        <cfvo type="min"/>
        <cfvo type="percentile" val="50"/>
        <cfvo type="max"/>
        <color rgb="FF63BE7B"/>
        <color rgb="FFFFEB84"/>
        <color rgb="FFF8696B"/>
      </colorScale>
    </cfRule>
    <cfRule type="colorScale" priority="2312">
      <colorScale>
        <cfvo type="min"/>
        <cfvo type="percentile" val="50"/>
        <cfvo type="max"/>
        <color rgb="FF63BE7B"/>
        <color rgb="FFFFEB84"/>
        <color rgb="FFF8696B"/>
      </colorScale>
    </cfRule>
    <cfRule type="colorScale" priority="2313">
      <colorScale>
        <cfvo type="min"/>
        <cfvo type="percentile" val="50"/>
        <cfvo type="max"/>
        <color rgb="FF63BE7B"/>
        <color rgb="FFFFEB84"/>
        <color rgb="FFF8696B"/>
      </colorScale>
    </cfRule>
    <cfRule type="colorScale" priority="2314">
      <colorScale>
        <cfvo type="min"/>
        <cfvo type="percentile" val="50"/>
        <cfvo type="max"/>
        <color rgb="FF63BE7B"/>
        <color rgb="FFFFEB84"/>
        <color rgb="FFF8696B"/>
      </colorScale>
    </cfRule>
    <cfRule type="colorScale" priority="2315">
      <colorScale>
        <cfvo type="min"/>
        <cfvo type="percentile" val="50"/>
        <cfvo type="max"/>
        <color rgb="FF63BE7B"/>
        <color rgb="FFFFEB84"/>
        <color rgb="FFF8696B"/>
      </colorScale>
    </cfRule>
    <cfRule type="colorScale" priority="2316">
      <colorScale>
        <cfvo type="min"/>
        <cfvo type="percentile" val="50"/>
        <cfvo type="max"/>
        <color rgb="FF63BE7B"/>
        <color rgb="FFFFEB84"/>
        <color rgb="FFF8696B"/>
      </colorScale>
    </cfRule>
    <cfRule type="colorScale" priority="2317">
      <colorScale>
        <cfvo type="min"/>
        <cfvo type="percentile" val="50"/>
        <cfvo type="max"/>
        <color rgb="FF63BE7B"/>
        <color rgb="FFFFEB84"/>
        <color rgb="FFF8696B"/>
      </colorScale>
    </cfRule>
    <cfRule type="colorScale" priority="2318">
      <colorScale>
        <cfvo type="min"/>
        <cfvo type="percentile" val="50"/>
        <cfvo type="max"/>
        <color rgb="FF63BE7B"/>
        <color rgb="FFFFEB84"/>
        <color rgb="FFF8696B"/>
      </colorScale>
    </cfRule>
    <cfRule type="colorScale" priority="2319">
      <colorScale>
        <cfvo type="min"/>
        <cfvo type="percentile" val="50"/>
        <cfvo type="max"/>
        <color rgb="FF63BE7B"/>
        <color rgb="FFFFEB84"/>
        <color rgb="FFF8696B"/>
      </colorScale>
    </cfRule>
    <cfRule type="colorScale" priority="2320">
      <colorScale>
        <cfvo type="min"/>
        <cfvo type="percentile" val="50"/>
        <cfvo type="max"/>
        <color rgb="FF63BE7B"/>
        <color rgb="FFFFEB84"/>
        <color rgb="FFF8696B"/>
      </colorScale>
    </cfRule>
    <cfRule type="colorScale" priority="2321">
      <colorScale>
        <cfvo type="min"/>
        <cfvo type="percentile" val="50"/>
        <cfvo type="max"/>
        <color rgb="FF63BE7B"/>
        <color rgb="FFFFEB84"/>
        <color rgb="FFF8696B"/>
      </colorScale>
    </cfRule>
    <cfRule type="colorScale" priority="2322">
      <colorScale>
        <cfvo type="min"/>
        <cfvo type="percentile" val="50"/>
        <cfvo type="max"/>
        <color rgb="FF63BE7B"/>
        <color rgb="FFFFEB84"/>
        <color rgb="FFF8696B"/>
      </colorScale>
    </cfRule>
    <cfRule type="colorScale" priority="2323">
      <colorScale>
        <cfvo type="min"/>
        <cfvo type="percentile" val="50"/>
        <cfvo type="max"/>
        <color rgb="FF63BE7B"/>
        <color rgb="FFFFEB84"/>
        <color rgb="FFF8696B"/>
      </colorScale>
    </cfRule>
    <cfRule type="colorScale" priority="2324">
      <colorScale>
        <cfvo type="min"/>
        <cfvo type="percentile" val="50"/>
        <cfvo type="max"/>
        <color rgb="FF63BE7B"/>
        <color rgb="FFFFEB84"/>
        <color rgb="FFF8696B"/>
      </colorScale>
    </cfRule>
    <cfRule type="colorScale" priority="2325">
      <colorScale>
        <cfvo type="min"/>
        <cfvo type="percentile" val="50"/>
        <cfvo type="max"/>
        <color rgb="FF63BE7B"/>
        <color rgb="FFFFEB84"/>
        <color rgb="FFF8696B"/>
      </colorScale>
    </cfRule>
    <cfRule type="colorScale" priority="2326">
      <colorScale>
        <cfvo type="min"/>
        <cfvo type="percentile" val="50"/>
        <cfvo type="max"/>
        <color rgb="FF63BE7B"/>
        <color rgb="FFFFEB84"/>
        <color rgb="FFF8696B"/>
      </colorScale>
    </cfRule>
    <cfRule type="colorScale" priority="2327">
      <colorScale>
        <cfvo type="min"/>
        <cfvo type="percentile" val="50"/>
        <cfvo type="max"/>
        <color rgb="FF63BE7B"/>
        <color rgb="FFFFEB84"/>
        <color rgb="FFF8696B"/>
      </colorScale>
    </cfRule>
    <cfRule type="colorScale" priority="2328">
      <colorScale>
        <cfvo type="min"/>
        <cfvo type="percentile" val="50"/>
        <cfvo type="max"/>
        <color rgb="FF63BE7B"/>
        <color rgb="FFFFEB84"/>
        <color rgb="FFF8696B"/>
      </colorScale>
    </cfRule>
    <cfRule type="colorScale" priority="2329">
      <colorScale>
        <cfvo type="min"/>
        <cfvo type="percentile" val="50"/>
        <cfvo type="max"/>
        <color rgb="FF63BE7B"/>
        <color rgb="FFFFEB84"/>
        <color rgb="FFF8696B"/>
      </colorScale>
    </cfRule>
    <cfRule type="colorScale" priority="2330">
      <colorScale>
        <cfvo type="min"/>
        <cfvo type="percentile" val="50"/>
        <cfvo type="max"/>
        <color rgb="FF63BE7B"/>
        <color rgb="FFFFEB84"/>
        <color rgb="FFF8696B"/>
      </colorScale>
    </cfRule>
    <cfRule type="colorScale" priority="2253">
      <colorScale>
        <cfvo type="min"/>
        <cfvo type="percentile" val="50"/>
        <cfvo type="max"/>
        <color rgb="FF63BE7B"/>
        <color rgb="FFFFEB84"/>
        <color rgb="FFF8696B"/>
      </colorScale>
    </cfRule>
    <cfRule type="colorScale" priority="2252">
      <colorScale>
        <cfvo type="min"/>
        <cfvo type="percentile" val="50"/>
        <cfvo type="max"/>
        <color rgb="FF63BE7B"/>
        <color rgb="FFFFEB84"/>
        <color rgb="FFF8696B"/>
      </colorScale>
    </cfRule>
    <cfRule type="colorScale" priority="2251">
      <colorScale>
        <cfvo type="min"/>
        <cfvo type="percentile" val="50"/>
        <cfvo type="max"/>
        <color rgb="FF63BE7B"/>
        <color rgb="FFFFEB84"/>
        <color rgb="FFF8696B"/>
      </colorScale>
    </cfRule>
    <cfRule type="colorScale" priority="2250">
      <colorScale>
        <cfvo type="min"/>
        <cfvo type="percentile" val="50"/>
        <cfvo type="max"/>
        <color rgb="FF63BE7B"/>
        <color rgb="FFFFEB84"/>
        <color rgb="FFF8696B"/>
      </colorScale>
    </cfRule>
    <cfRule type="colorScale" priority="2249">
      <colorScale>
        <cfvo type="min"/>
        <cfvo type="percentile" val="50"/>
        <cfvo type="max"/>
        <color rgb="FF63BE7B"/>
        <color rgb="FFFFEB84"/>
        <color rgb="FFF8696B"/>
      </colorScale>
    </cfRule>
    <cfRule type="colorScale" priority="2248">
      <colorScale>
        <cfvo type="min"/>
        <cfvo type="percentile" val="50"/>
        <cfvo type="max"/>
        <color rgb="FF63BE7B"/>
        <color rgb="FFFFEB84"/>
        <color rgb="FFF8696B"/>
      </colorScale>
    </cfRule>
    <cfRule type="colorScale" priority="2247">
      <colorScale>
        <cfvo type="min"/>
        <cfvo type="percentile" val="50"/>
        <cfvo type="max"/>
        <color rgb="FF63BE7B"/>
        <color rgb="FFFFEB84"/>
        <color rgb="FFF8696B"/>
      </colorScale>
    </cfRule>
    <cfRule type="colorScale" priority="2246">
      <colorScale>
        <cfvo type="min"/>
        <cfvo type="percentile" val="50"/>
        <cfvo type="max"/>
        <color rgb="FF63BE7B"/>
        <color rgb="FFFFEB84"/>
        <color rgb="FFF8696B"/>
      </colorScale>
    </cfRule>
    <cfRule type="colorScale" priority="2245">
      <colorScale>
        <cfvo type="min"/>
        <cfvo type="percentile" val="50"/>
        <cfvo type="max"/>
        <color rgb="FF63BE7B"/>
        <color rgb="FFFFEB84"/>
        <color rgb="FFF8696B"/>
      </colorScale>
    </cfRule>
    <cfRule type="colorScale" priority="2244">
      <colorScale>
        <cfvo type="min"/>
        <cfvo type="percentile" val="50"/>
        <cfvo type="max"/>
        <color rgb="FF63BE7B"/>
        <color rgb="FFFFEB84"/>
        <color rgb="FFF8696B"/>
      </colorScale>
    </cfRule>
    <cfRule type="colorScale" priority="2243">
      <colorScale>
        <cfvo type="min"/>
        <cfvo type="percentile" val="50"/>
        <cfvo type="max"/>
        <color rgb="FF63BE7B"/>
        <color rgb="FFFFEB84"/>
        <color rgb="FFF8696B"/>
      </colorScale>
    </cfRule>
    <cfRule type="colorScale" priority="2242">
      <colorScale>
        <cfvo type="min"/>
        <cfvo type="percentile" val="50"/>
        <cfvo type="max"/>
        <color rgb="FF63BE7B"/>
        <color rgb="FFFFEB84"/>
        <color rgb="FFF8696B"/>
      </colorScale>
    </cfRule>
    <cfRule type="colorScale" priority="2241">
      <colorScale>
        <cfvo type="min"/>
        <cfvo type="percentile" val="50"/>
        <cfvo type="max"/>
        <color rgb="FF63BE7B"/>
        <color rgb="FFFFEB84"/>
        <color rgb="FFF8696B"/>
      </colorScale>
    </cfRule>
    <cfRule type="colorScale" priority="2240">
      <colorScale>
        <cfvo type="min"/>
        <cfvo type="percentile" val="50"/>
        <cfvo type="max"/>
        <color rgb="FF63BE7B"/>
        <color rgb="FFFFEB84"/>
        <color rgb="FFF8696B"/>
      </colorScale>
    </cfRule>
    <cfRule type="colorScale" priority="2239">
      <colorScale>
        <cfvo type="min"/>
        <cfvo type="percentile" val="50"/>
        <cfvo type="max"/>
        <color rgb="FF63BE7B"/>
        <color rgb="FFFFEB84"/>
        <color rgb="FFF8696B"/>
      </colorScale>
    </cfRule>
    <cfRule type="colorScale" priority="2238">
      <colorScale>
        <cfvo type="min"/>
        <cfvo type="percentile" val="50"/>
        <cfvo type="max"/>
        <color rgb="FF63BE7B"/>
        <color rgb="FFFFEB84"/>
        <color rgb="FFF8696B"/>
      </colorScale>
    </cfRule>
    <cfRule type="colorScale" priority="2237">
      <colorScale>
        <cfvo type="min"/>
        <cfvo type="percentile" val="50"/>
        <cfvo type="max"/>
        <color rgb="FF63BE7B"/>
        <color rgb="FFFFEB84"/>
        <color rgb="FFF8696B"/>
      </colorScale>
    </cfRule>
    <cfRule type="colorScale" priority="2236">
      <colorScale>
        <cfvo type="min"/>
        <cfvo type="percentile" val="50"/>
        <cfvo type="max"/>
        <color rgb="FF63BE7B"/>
        <color rgb="FFFFEB84"/>
        <color rgb="FFF8696B"/>
      </colorScale>
    </cfRule>
    <cfRule type="colorScale" priority="2235">
      <colorScale>
        <cfvo type="min"/>
        <cfvo type="percentile" val="50"/>
        <cfvo type="max"/>
        <color rgb="FF63BE7B"/>
        <color rgb="FFFFEB84"/>
        <color rgb="FFF8696B"/>
      </colorScale>
    </cfRule>
    <cfRule type="colorScale" priority="2234">
      <colorScale>
        <cfvo type="min"/>
        <cfvo type="percentile" val="50"/>
        <cfvo type="max"/>
        <color rgb="FF63BE7B"/>
        <color rgb="FFFFEB84"/>
        <color rgb="FFF8696B"/>
      </colorScale>
    </cfRule>
    <cfRule type="colorScale" priority="2233">
      <colorScale>
        <cfvo type="min"/>
        <cfvo type="percentile" val="50"/>
        <cfvo type="max"/>
        <color rgb="FF63BE7B"/>
        <color rgb="FFFFEB84"/>
        <color rgb="FFF8696B"/>
      </colorScale>
    </cfRule>
    <cfRule type="colorScale" priority="2232">
      <colorScale>
        <cfvo type="min"/>
        <cfvo type="percentile" val="50"/>
        <cfvo type="max"/>
        <color rgb="FF63BE7B"/>
        <color rgb="FFFFEB84"/>
        <color rgb="FFF8696B"/>
      </colorScale>
    </cfRule>
    <cfRule type="colorScale" priority="2231">
      <colorScale>
        <cfvo type="min"/>
        <cfvo type="percentile" val="50"/>
        <cfvo type="max"/>
        <color rgb="FF63BE7B"/>
        <color rgb="FFFFEB84"/>
        <color rgb="FFF8696B"/>
      </colorScale>
    </cfRule>
    <cfRule type="colorScale" priority="2230">
      <colorScale>
        <cfvo type="min"/>
        <cfvo type="percentile" val="50"/>
        <cfvo type="max"/>
        <color rgb="FF63BE7B"/>
        <color rgb="FFFFEB84"/>
        <color rgb="FFF8696B"/>
      </colorScale>
    </cfRule>
    <cfRule type="colorScale" priority="2262">
      <colorScale>
        <cfvo type="min"/>
        <cfvo type="percentile" val="50"/>
        <cfvo type="max"/>
        <color rgb="FF63BE7B"/>
        <color rgb="FFFFEB84"/>
        <color rgb="FFF8696B"/>
      </colorScale>
    </cfRule>
    <cfRule type="colorScale" priority="2229">
      <colorScale>
        <cfvo type="min"/>
        <cfvo type="percentile" val="50"/>
        <cfvo type="max"/>
        <color rgb="FF63BE7B"/>
        <color rgb="FFFFEB84"/>
        <color rgb="FFF8696B"/>
      </colorScale>
    </cfRule>
    <cfRule type="colorScale" priority="2228">
      <colorScale>
        <cfvo type="min"/>
        <cfvo type="percentile" val="50"/>
        <cfvo type="max"/>
        <color rgb="FF63BE7B"/>
        <color rgb="FFFFEB84"/>
        <color rgb="FFF8696B"/>
      </colorScale>
    </cfRule>
    <cfRule type="colorScale" priority="2227">
      <colorScale>
        <cfvo type="min"/>
        <cfvo type="percentile" val="50"/>
        <cfvo type="max"/>
        <color rgb="FF63BE7B"/>
        <color rgb="FFFFEB84"/>
        <color rgb="FFF8696B"/>
      </colorScale>
    </cfRule>
    <cfRule type="colorScale" priority="6742">
      <colorScale>
        <cfvo type="min"/>
        <cfvo type="percentile" val="50"/>
        <cfvo type="max"/>
        <color rgb="FF63BE7B"/>
        <color rgb="FFFFEB84"/>
        <color rgb="FFF8696B"/>
      </colorScale>
    </cfRule>
    <cfRule type="colorScale" priority="6741">
      <colorScale>
        <cfvo type="min"/>
        <cfvo type="percentile" val="50"/>
        <cfvo type="max"/>
        <color rgb="FF63BE7B"/>
        <color rgb="FFFFEB84"/>
        <color rgb="FFF8696B"/>
      </colorScale>
    </cfRule>
    <cfRule type="colorScale" priority="6740">
      <colorScale>
        <cfvo type="min"/>
        <cfvo type="percentile" val="50"/>
        <cfvo type="max"/>
        <color rgb="FF63BE7B"/>
        <color rgb="FFFFEB84"/>
        <color rgb="FFF8696B"/>
      </colorScale>
    </cfRule>
    <cfRule type="colorScale" priority="6739">
      <colorScale>
        <cfvo type="min"/>
        <cfvo type="percentile" val="50"/>
        <cfvo type="max"/>
        <color rgb="FF63BE7B"/>
        <color rgb="FFFFEB84"/>
        <color rgb="FFF8696B"/>
      </colorScale>
    </cfRule>
    <cfRule type="colorScale" priority="6738">
      <colorScale>
        <cfvo type="min"/>
        <cfvo type="percentile" val="50"/>
        <cfvo type="max"/>
        <color rgb="FF63BE7B"/>
        <color rgb="FFFFEB84"/>
        <color rgb="FFF8696B"/>
      </colorScale>
    </cfRule>
    <cfRule type="colorScale" priority="6737">
      <colorScale>
        <cfvo type="min"/>
        <cfvo type="percentile" val="50"/>
        <cfvo type="max"/>
        <color rgb="FF63BE7B"/>
        <color rgb="FFFFEB84"/>
        <color rgb="FFF8696B"/>
      </colorScale>
    </cfRule>
    <cfRule type="colorScale" priority="6736">
      <colorScale>
        <cfvo type="min"/>
        <cfvo type="percentile" val="50"/>
        <cfvo type="max"/>
        <color rgb="FF63BE7B"/>
        <color rgb="FFFFEB84"/>
        <color rgb="FFF8696B"/>
      </colorScale>
    </cfRule>
    <cfRule type="colorScale" priority="6735">
      <colorScale>
        <cfvo type="min"/>
        <cfvo type="percentile" val="50"/>
        <cfvo type="max"/>
        <color rgb="FF63BE7B"/>
        <color rgb="FFFFEB84"/>
        <color rgb="FFF8696B"/>
      </colorScale>
    </cfRule>
    <cfRule type="colorScale" priority="6734">
      <colorScale>
        <cfvo type="min"/>
        <cfvo type="percentile" val="50"/>
        <cfvo type="max"/>
        <color rgb="FF63BE7B"/>
        <color rgb="FFFFEB84"/>
        <color rgb="FFF8696B"/>
      </colorScale>
    </cfRule>
    <cfRule type="colorScale" priority="6733">
      <colorScale>
        <cfvo type="min"/>
        <cfvo type="percentile" val="50"/>
        <cfvo type="max"/>
        <color rgb="FF63BE7B"/>
        <color rgb="FFFFEB84"/>
        <color rgb="FFF8696B"/>
      </colorScale>
    </cfRule>
    <cfRule type="colorScale" priority="6732">
      <colorScale>
        <cfvo type="min"/>
        <cfvo type="percentile" val="50"/>
        <cfvo type="max"/>
        <color rgb="FF63BE7B"/>
        <color rgb="FFFFEB84"/>
        <color rgb="FFF8696B"/>
      </colorScale>
    </cfRule>
    <cfRule type="colorScale" priority="6731">
      <colorScale>
        <cfvo type="min"/>
        <cfvo type="percentile" val="50"/>
        <cfvo type="max"/>
        <color rgb="FF63BE7B"/>
        <color rgb="FFFFEB84"/>
        <color rgb="FFF8696B"/>
      </colorScale>
    </cfRule>
    <cfRule type="colorScale" priority="6730">
      <colorScale>
        <cfvo type="min"/>
        <cfvo type="percentile" val="50"/>
        <cfvo type="max"/>
        <color rgb="FF63BE7B"/>
        <color rgb="FFFFEB84"/>
        <color rgb="FFF8696B"/>
      </colorScale>
    </cfRule>
    <cfRule type="colorScale" priority="6729">
      <colorScale>
        <cfvo type="min"/>
        <cfvo type="percentile" val="50"/>
        <cfvo type="max"/>
        <color rgb="FF63BE7B"/>
        <color rgb="FFFFEB84"/>
        <color rgb="FFF8696B"/>
      </colorScale>
    </cfRule>
    <cfRule type="colorScale" priority="6728">
      <colorScale>
        <cfvo type="min"/>
        <cfvo type="percentile" val="50"/>
        <cfvo type="max"/>
        <color rgb="FF63BE7B"/>
        <color rgb="FFFFEB84"/>
        <color rgb="FFF8696B"/>
      </colorScale>
    </cfRule>
    <cfRule type="colorScale" priority="6727">
      <colorScale>
        <cfvo type="min"/>
        <cfvo type="percentile" val="50"/>
        <cfvo type="max"/>
        <color rgb="FF63BE7B"/>
        <color rgb="FFFFEB84"/>
        <color rgb="FFF8696B"/>
      </colorScale>
    </cfRule>
    <cfRule type="colorScale" priority="6726">
      <colorScale>
        <cfvo type="min"/>
        <cfvo type="percentile" val="50"/>
        <cfvo type="max"/>
        <color rgb="FF63BE7B"/>
        <color rgb="FFFFEB84"/>
        <color rgb="FFF8696B"/>
      </colorScale>
    </cfRule>
    <cfRule type="colorScale" priority="6725">
      <colorScale>
        <cfvo type="min"/>
        <cfvo type="percentile" val="50"/>
        <cfvo type="max"/>
        <color rgb="FF63BE7B"/>
        <color rgb="FFFFEB84"/>
        <color rgb="FFF8696B"/>
      </colorScale>
    </cfRule>
    <cfRule type="colorScale" priority="2451">
      <colorScale>
        <cfvo type="min"/>
        <cfvo type="percentile" val="50"/>
        <cfvo type="max"/>
        <color rgb="FF63BE7B"/>
        <color rgb="FFFFEB84"/>
        <color rgb="FFF8696B"/>
      </colorScale>
    </cfRule>
    <cfRule type="colorScale" priority="3873">
      <colorScale>
        <cfvo type="min"/>
        <cfvo type="percentile" val="50"/>
        <cfvo type="max"/>
        <color rgb="FF63BE7B"/>
        <color rgb="FFFFEB84"/>
        <color rgb="FFF8696B"/>
      </colorScale>
    </cfRule>
    <cfRule type="colorScale" priority="3872">
      <colorScale>
        <cfvo type="min"/>
        <cfvo type="percentile" val="50"/>
        <cfvo type="max"/>
        <color rgb="FF63BE7B"/>
        <color rgb="FFFFEB84"/>
        <color rgb="FFF8696B"/>
      </colorScale>
    </cfRule>
    <cfRule type="colorScale" priority="3871">
      <colorScale>
        <cfvo type="min"/>
        <cfvo type="percentile" val="50"/>
        <cfvo type="max"/>
        <color rgb="FF63BE7B"/>
        <color rgb="FFFFEB84"/>
        <color rgb="FFF8696B"/>
      </colorScale>
    </cfRule>
    <cfRule type="colorScale" priority="3870">
      <colorScale>
        <cfvo type="min"/>
        <cfvo type="percentile" val="50"/>
        <cfvo type="max"/>
        <color rgb="FF63BE7B"/>
        <color rgb="FFFFEB84"/>
        <color rgb="FFF8696B"/>
      </colorScale>
    </cfRule>
    <cfRule type="colorScale" priority="3869">
      <colorScale>
        <cfvo type="min"/>
        <cfvo type="percentile" val="50"/>
        <cfvo type="max"/>
        <color rgb="FF63BE7B"/>
        <color rgb="FFFFEB84"/>
        <color rgb="FFF8696B"/>
      </colorScale>
    </cfRule>
    <cfRule type="colorScale" priority="3868">
      <colorScale>
        <cfvo type="min"/>
        <cfvo type="percentile" val="50"/>
        <cfvo type="max"/>
        <color rgb="FF63BE7B"/>
        <color rgb="FFFFEB84"/>
        <color rgb="FFF8696B"/>
      </colorScale>
    </cfRule>
    <cfRule type="colorScale" priority="3867">
      <colorScale>
        <cfvo type="min"/>
        <cfvo type="percentile" val="50"/>
        <cfvo type="max"/>
        <color rgb="FF63BE7B"/>
        <color rgb="FFFFEB84"/>
        <color rgb="FFF8696B"/>
      </colorScale>
    </cfRule>
    <cfRule type="colorScale" priority="3866">
      <colorScale>
        <cfvo type="min"/>
        <cfvo type="percentile" val="50"/>
        <cfvo type="max"/>
        <color rgb="FF63BE7B"/>
        <color rgb="FFFFEB84"/>
        <color rgb="FFF8696B"/>
      </colorScale>
    </cfRule>
    <cfRule type="colorScale" priority="3865">
      <colorScale>
        <cfvo type="min"/>
        <cfvo type="percentile" val="50"/>
        <cfvo type="max"/>
        <color rgb="FF63BE7B"/>
        <color rgb="FFFFEB84"/>
        <color rgb="FFF8696B"/>
      </colorScale>
    </cfRule>
    <cfRule type="colorScale" priority="3864">
      <colorScale>
        <cfvo type="min"/>
        <cfvo type="percentile" val="50"/>
        <cfvo type="max"/>
        <color rgb="FF63BE7B"/>
        <color rgb="FFFFEB84"/>
        <color rgb="FFF8696B"/>
      </colorScale>
    </cfRule>
    <cfRule type="colorScale" priority="3863">
      <colorScale>
        <cfvo type="min"/>
        <cfvo type="percentile" val="50"/>
        <cfvo type="max"/>
        <color rgb="FF63BE7B"/>
        <color rgb="FFFFEB84"/>
        <color rgb="FFF8696B"/>
      </colorScale>
    </cfRule>
    <cfRule type="colorScale" priority="3862">
      <colorScale>
        <cfvo type="min"/>
        <cfvo type="percentile" val="50"/>
        <cfvo type="max"/>
        <color rgb="FF63BE7B"/>
        <color rgb="FFFFEB84"/>
        <color rgb="FFF8696B"/>
      </colorScale>
    </cfRule>
    <cfRule type="colorScale" priority="3861">
      <colorScale>
        <cfvo type="min"/>
        <cfvo type="percentile" val="50"/>
        <cfvo type="max"/>
        <color rgb="FF63BE7B"/>
        <color rgb="FFFFEB84"/>
        <color rgb="FFF8696B"/>
      </colorScale>
    </cfRule>
    <cfRule type="colorScale" priority="3860">
      <colorScale>
        <cfvo type="min"/>
        <cfvo type="percentile" val="50"/>
        <cfvo type="max"/>
        <color rgb="FF63BE7B"/>
        <color rgb="FFFFEB84"/>
        <color rgb="FFF8696B"/>
      </colorScale>
    </cfRule>
    <cfRule type="colorScale" priority="3859">
      <colorScale>
        <cfvo type="min"/>
        <cfvo type="percentile" val="50"/>
        <cfvo type="max"/>
        <color rgb="FF63BE7B"/>
        <color rgb="FFFFEB84"/>
        <color rgb="FFF8696B"/>
      </colorScale>
    </cfRule>
    <cfRule type="colorScale" priority="3858">
      <colorScale>
        <cfvo type="min"/>
        <cfvo type="percentile" val="50"/>
        <cfvo type="max"/>
        <color rgb="FF63BE7B"/>
        <color rgb="FFFFEB84"/>
        <color rgb="FFF8696B"/>
      </colorScale>
    </cfRule>
    <cfRule type="colorScale" priority="3857">
      <colorScale>
        <cfvo type="min"/>
        <cfvo type="percentile" val="50"/>
        <cfvo type="max"/>
        <color rgb="FF63BE7B"/>
        <color rgb="FFFFEB84"/>
        <color rgb="FFF8696B"/>
      </colorScale>
    </cfRule>
    <cfRule type="colorScale" priority="3856">
      <colorScale>
        <cfvo type="min"/>
        <cfvo type="percentile" val="50"/>
        <cfvo type="max"/>
        <color rgb="FF63BE7B"/>
        <color rgb="FFFFEB84"/>
        <color rgb="FFF8696B"/>
      </colorScale>
    </cfRule>
    <cfRule type="colorScale" priority="3855">
      <colorScale>
        <cfvo type="min"/>
        <cfvo type="percentile" val="50"/>
        <cfvo type="max"/>
        <color rgb="FF63BE7B"/>
        <color rgb="FFFFEB84"/>
        <color rgb="FFF8696B"/>
      </colorScale>
    </cfRule>
    <cfRule type="colorScale" priority="3854">
      <colorScale>
        <cfvo type="min"/>
        <cfvo type="percentile" val="50"/>
        <cfvo type="max"/>
        <color rgb="FF63BE7B"/>
        <color rgb="FFFFEB84"/>
        <color rgb="FFF8696B"/>
      </colorScale>
    </cfRule>
    <cfRule type="colorScale" priority="3853">
      <colorScale>
        <cfvo type="min"/>
        <cfvo type="percentile" val="50"/>
        <cfvo type="max"/>
        <color rgb="FF63BE7B"/>
        <color rgb="FFFFEB84"/>
        <color rgb="FFF8696B"/>
      </colorScale>
    </cfRule>
    <cfRule type="colorScale" priority="3852">
      <colorScale>
        <cfvo type="min"/>
        <cfvo type="percentile" val="50"/>
        <cfvo type="max"/>
        <color rgb="FF63BE7B"/>
        <color rgb="FFFFEB84"/>
        <color rgb="FFF8696B"/>
      </colorScale>
    </cfRule>
    <cfRule type="colorScale" priority="3851">
      <colorScale>
        <cfvo type="min"/>
        <cfvo type="percentile" val="50"/>
        <cfvo type="max"/>
        <color rgb="FF63BE7B"/>
        <color rgb="FFFFEB84"/>
        <color rgb="FFF8696B"/>
      </colorScale>
    </cfRule>
    <cfRule type="colorScale" priority="3850">
      <colorScale>
        <cfvo type="min"/>
        <cfvo type="percentile" val="50"/>
        <cfvo type="max"/>
        <color rgb="FF63BE7B"/>
        <color rgb="FFFFEB84"/>
        <color rgb="FFF8696B"/>
      </colorScale>
    </cfRule>
    <cfRule type="colorScale" priority="3849">
      <colorScale>
        <cfvo type="min"/>
        <cfvo type="percentile" val="50"/>
        <cfvo type="max"/>
        <color rgb="FF63BE7B"/>
        <color rgb="FFFFEB84"/>
        <color rgb="FFF8696B"/>
      </colorScale>
    </cfRule>
    <cfRule type="colorScale" priority="3848">
      <colorScale>
        <cfvo type="min"/>
        <cfvo type="percentile" val="50"/>
        <cfvo type="max"/>
        <color rgb="FF63BE7B"/>
        <color rgb="FFFFEB84"/>
        <color rgb="FFF8696B"/>
      </colorScale>
    </cfRule>
    <cfRule type="colorScale" priority="2331">
      <colorScale>
        <cfvo type="min"/>
        <cfvo type="percentile" val="50"/>
        <cfvo type="max"/>
        <color rgb="FF63BE7B"/>
        <color rgb="FFFFEB84"/>
        <color rgb="FFF8696B"/>
      </colorScale>
    </cfRule>
    <cfRule type="colorScale" priority="2332">
      <colorScale>
        <cfvo type="min"/>
        <cfvo type="percentile" val="50"/>
        <cfvo type="max"/>
        <color rgb="FF63BE7B"/>
        <color rgb="FFFFEB84"/>
        <color rgb="FFF8696B"/>
      </colorScale>
    </cfRule>
    <cfRule type="colorScale" priority="2333">
      <colorScale>
        <cfvo type="min"/>
        <cfvo type="percentile" val="50"/>
        <cfvo type="max"/>
        <color rgb="FF63BE7B"/>
        <color rgb="FFFFEB84"/>
        <color rgb="FFF8696B"/>
      </colorScale>
    </cfRule>
    <cfRule type="colorScale" priority="2334">
      <colorScale>
        <cfvo type="min"/>
        <cfvo type="percentile" val="50"/>
        <cfvo type="max"/>
        <color rgb="FF63BE7B"/>
        <color rgb="FFFFEB84"/>
        <color rgb="FFF8696B"/>
      </colorScale>
    </cfRule>
    <cfRule type="colorScale" priority="2335">
      <colorScale>
        <cfvo type="min"/>
        <cfvo type="percentile" val="50"/>
        <cfvo type="max"/>
        <color rgb="FF63BE7B"/>
        <color rgb="FFFFEB84"/>
        <color rgb="FFF8696B"/>
      </colorScale>
    </cfRule>
    <cfRule type="colorScale" priority="2336">
      <colorScale>
        <cfvo type="min"/>
        <cfvo type="percentile" val="50"/>
        <cfvo type="max"/>
        <color rgb="FF63BE7B"/>
        <color rgb="FFFFEB84"/>
        <color rgb="FFF8696B"/>
      </colorScale>
    </cfRule>
    <cfRule type="colorScale" priority="2337">
      <colorScale>
        <cfvo type="min"/>
        <cfvo type="percentile" val="50"/>
        <cfvo type="max"/>
        <color rgb="FF63BE7B"/>
        <color rgb="FFFFEB84"/>
        <color rgb="FFF8696B"/>
      </colorScale>
    </cfRule>
    <cfRule type="colorScale" priority="2338">
      <colorScale>
        <cfvo type="min"/>
        <cfvo type="percentile" val="50"/>
        <cfvo type="max"/>
        <color rgb="FF63BE7B"/>
        <color rgb="FFFFEB84"/>
        <color rgb="FFF8696B"/>
      </colorScale>
    </cfRule>
    <cfRule type="colorScale" priority="2339">
      <colorScale>
        <cfvo type="min"/>
        <cfvo type="percentile" val="50"/>
        <cfvo type="max"/>
        <color rgb="FF63BE7B"/>
        <color rgb="FFFFEB84"/>
        <color rgb="FFF8696B"/>
      </colorScale>
    </cfRule>
    <cfRule type="colorScale" priority="2340">
      <colorScale>
        <cfvo type="min"/>
        <cfvo type="percentile" val="50"/>
        <cfvo type="max"/>
        <color rgb="FF63BE7B"/>
        <color rgb="FFFFEB84"/>
        <color rgb="FFF8696B"/>
      </colorScale>
    </cfRule>
    <cfRule type="colorScale" priority="2341">
      <colorScale>
        <cfvo type="min"/>
        <cfvo type="percentile" val="50"/>
        <cfvo type="max"/>
        <color rgb="FF63BE7B"/>
        <color rgb="FFFFEB84"/>
        <color rgb="FFF8696B"/>
      </colorScale>
    </cfRule>
    <cfRule type="colorScale" priority="2342">
      <colorScale>
        <cfvo type="min"/>
        <cfvo type="percentile" val="50"/>
        <cfvo type="max"/>
        <color rgb="FF63BE7B"/>
        <color rgb="FFFFEB84"/>
        <color rgb="FFF8696B"/>
      </colorScale>
    </cfRule>
    <cfRule type="colorScale" priority="2343">
      <colorScale>
        <cfvo type="min"/>
        <cfvo type="percentile" val="50"/>
        <cfvo type="max"/>
        <color rgb="FFF8696B"/>
        <color rgb="FFFFEB84"/>
        <color rgb="FF63BE7B"/>
      </colorScale>
    </cfRule>
    <cfRule type="colorScale" priority="2344">
      <colorScale>
        <cfvo type="min"/>
        <cfvo type="percentile" val="50"/>
        <cfvo type="max"/>
        <color rgb="FF63BE7B"/>
        <color rgb="FFFFEB84"/>
        <color rgb="FFF8696B"/>
      </colorScale>
    </cfRule>
    <cfRule type="colorScale" priority="2345">
      <colorScale>
        <cfvo type="min"/>
        <cfvo type="percentile" val="50"/>
        <cfvo type="max"/>
        <color rgb="FF63BE7B"/>
        <color rgb="FFFFEB84"/>
        <color rgb="FFF8696B"/>
      </colorScale>
    </cfRule>
    <cfRule type="colorScale" priority="2346">
      <colorScale>
        <cfvo type="min"/>
        <cfvo type="percentile" val="50"/>
        <cfvo type="max"/>
        <color rgb="FF63BE7B"/>
        <color rgb="FFFFEB84"/>
        <color rgb="FFF8696B"/>
      </colorScale>
    </cfRule>
    <cfRule type="colorScale" priority="2347">
      <colorScale>
        <cfvo type="min"/>
        <cfvo type="percentile" val="50"/>
        <cfvo type="max"/>
        <color rgb="FF63BE7B"/>
        <color rgb="FFFFEB84"/>
        <color rgb="FFF8696B"/>
      </colorScale>
    </cfRule>
    <cfRule type="colorScale" priority="2348">
      <colorScale>
        <cfvo type="min"/>
        <cfvo type="percentile" val="50"/>
        <cfvo type="max"/>
        <color rgb="FF63BE7B"/>
        <color rgb="FFFFEB84"/>
        <color rgb="FFF8696B"/>
      </colorScale>
    </cfRule>
    <cfRule type="colorScale" priority="2349">
      <colorScale>
        <cfvo type="min"/>
        <cfvo type="percentile" val="50"/>
        <cfvo type="max"/>
        <color rgb="FF63BE7B"/>
        <color rgb="FFFFEB84"/>
        <color rgb="FFF8696B"/>
      </colorScale>
    </cfRule>
    <cfRule type="colorScale" priority="2350">
      <colorScale>
        <cfvo type="min"/>
        <cfvo type="percentile" val="50"/>
        <cfvo type="max"/>
        <color rgb="FF63BE7B"/>
        <color rgb="FFFFEB84"/>
        <color rgb="FFF8696B"/>
      </colorScale>
    </cfRule>
    <cfRule type="colorScale" priority="2351">
      <colorScale>
        <cfvo type="min"/>
        <cfvo type="percentile" val="50"/>
        <cfvo type="max"/>
        <color rgb="FF63BE7B"/>
        <color rgb="FFFFEB84"/>
        <color rgb="FFF8696B"/>
      </colorScale>
    </cfRule>
    <cfRule type="colorScale" priority="2352">
      <colorScale>
        <cfvo type="min"/>
        <cfvo type="percentile" val="50"/>
        <cfvo type="max"/>
        <color rgb="FF63BE7B"/>
        <color rgb="FFFFEB84"/>
        <color rgb="FFF8696B"/>
      </colorScale>
    </cfRule>
    <cfRule type="colorScale" priority="2353">
      <colorScale>
        <cfvo type="min"/>
        <cfvo type="percentile" val="50"/>
        <cfvo type="max"/>
        <color rgb="FF63BE7B"/>
        <color rgb="FFFFEB84"/>
        <color rgb="FFF8696B"/>
      </colorScale>
    </cfRule>
    <cfRule type="colorScale" priority="2354">
      <colorScale>
        <cfvo type="min"/>
        <cfvo type="percentile" val="50"/>
        <cfvo type="max"/>
        <color rgb="FF63BE7B"/>
        <color rgb="FFFFEB84"/>
        <color rgb="FFF8696B"/>
      </colorScale>
    </cfRule>
    <cfRule type="colorScale" priority="2355">
      <colorScale>
        <cfvo type="min"/>
        <cfvo type="percentile" val="50"/>
        <cfvo type="max"/>
        <color rgb="FF63BE7B"/>
        <color rgb="FFFFEB84"/>
        <color rgb="FFF8696B"/>
      </colorScale>
    </cfRule>
    <cfRule type="colorScale" priority="2356">
      <colorScale>
        <cfvo type="min"/>
        <cfvo type="percentile" val="50"/>
        <cfvo type="max"/>
        <color rgb="FF63BE7B"/>
        <color rgb="FFFFEB84"/>
        <color rgb="FFF8696B"/>
      </colorScale>
    </cfRule>
    <cfRule type="colorScale" priority="2357">
      <colorScale>
        <cfvo type="min"/>
        <cfvo type="percentile" val="50"/>
        <cfvo type="max"/>
        <color rgb="FF63BE7B"/>
        <color rgb="FFFFEB84"/>
        <color rgb="FFF8696B"/>
      </colorScale>
    </cfRule>
    <cfRule type="colorScale" priority="2358">
      <colorScale>
        <cfvo type="min"/>
        <cfvo type="percentile" val="50"/>
        <cfvo type="max"/>
        <color rgb="FF63BE7B"/>
        <color rgb="FFFFEB84"/>
        <color rgb="FFF8696B"/>
      </colorScale>
    </cfRule>
    <cfRule type="colorScale" priority="2359">
      <colorScale>
        <cfvo type="min"/>
        <cfvo type="percentile" val="50"/>
        <cfvo type="max"/>
        <color rgb="FF63BE7B"/>
        <color rgb="FFFFEB84"/>
        <color rgb="FFF8696B"/>
      </colorScale>
    </cfRule>
    <cfRule type="colorScale" priority="2360">
      <colorScale>
        <cfvo type="min"/>
        <cfvo type="percentile" val="50"/>
        <cfvo type="max"/>
        <color rgb="FF63BE7B"/>
        <color rgb="FFFFEB84"/>
        <color rgb="FFF8696B"/>
      </colorScale>
    </cfRule>
    <cfRule type="colorScale" priority="2361">
      <colorScale>
        <cfvo type="min"/>
        <cfvo type="percentile" val="50"/>
        <cfvo type="max"/>
        <color rgb="FF63BE7B"/>
        <color rgb="FFFFEB84"/>
        <color rgb="FFF8696B"/>
      </colorScale>
    </cfRule>
    <cfRule type="colorScale" priority="2362">
      <colorScale>
        <cfvo type="min"/>
        <cfvo type="percentile" val="50"/>
        <cfvo type="max"/>
        <color rgb="FF63BE7B"/>
        <color rgb="FFFFEB84"/>
        <color rgb="FFF8696B"/>
      </colorScale>
    </cfRule>
    <cfRule type="colorScale" priority="2363">
      <colorScale>
        <cfvo type="min"/>
        <cfvo type="percentile" val="50"/>
        <cfvo type="max"/>
        <color rgb="FF63BE7B"/>
        <color rgb="FFFFEB84"/>
        <color rgb="FFF8696B"/>
      </colorScale>
    </cfRule>
    <cfRule type="colorScale" priority="2364">
      <colorScale>
        <cfvo type="min"/>
        <cfvo type="percentile" val="50"/>
        <cfvo type="max"/>
        <color rgb="FF63BE7B"/>
        <color rgb="FFFFEB84"/>
        <color rgb="FFF8696B"/>
      </colorScale>
    </cfRule>
    <cfRule type="colorScale" priority="2365">
      <colorScale>
        <cfvo type="min"/>
        <cfvo type="percentile" val="50"/>
        <cfvo type="max"/>
        <color rgb="FF63BE7B"/>
        <color rgb="FFFFEB84"/>
        <color rgb="FFF8696B"/>
      </colorScale>
    </cfRule>
    <cfRule type="colorScale" priority="2366">
      <colorScale>
        <cfvo type="min"/>
        <cfvo type="percentile" val="50"/>
        <cfvo type="max"/>
        <color rgb="FF63BE7B"/>
        <color rgb="FFFFEB84"/>
        <color rgb="FFF8696B"/>
      </colorScale>
    </cfRule>
    <cfRule type="colorScale" priority="2367">
      <colorScale>
        <cfvo type="min"/>
        <cfvo type="percentile" val="50"/>
        <cfvo type="max"/>
        <color rgb="FF63BE7B"/>
        <color rgb="FFFFEB84"/>
        <color rgb="FFF8696B"/>
      </colorScale>
    </cfRule>
    <cfRule type="colorScale" priority="2368">
      <colorScale>
        <cfvo type="min"/>
        <cfvo type="percentile" val="50"/>
        <cfvo type="max"/>
        <color rgb="FF63BE7B"/>
        <color rgb="FFFFEB84"/>
        <color rgb="FFF8696B"/>
      </colorScale>
    </cfRule>
    <cfRule type="colorScale" priority="2369">
      <colorScale>
        <cfvo type="min"/>
        <cfvo type="percentile" val="50"/>
        <cfvo type="max"/>
        <color rgb="FF63BE7B"/>
        <color rgb="FFFFEB84"/>
        <color rgb="FFF8696B"/>
      </colorScale>
    </cfRule>
    <cfRule type="colorScale" priority="2370">
      <colorScale>
        <cfvo type="min"/>
        <cfvo type="percentile" val="50"/>
        <cfvo type="max"/>
        <color rgb="FF63BE7B"/>
        <color rgb="FFFFEB84"/>
        <color rgb="FFF8696B"/>
      </colorScale>
    </cfRule>
    <cfRule type="colorScale" priority="2371">
      <colorScale>
        <cfvo type="min"/>
        <cfvo type="percentile" val="50"/>
        <cfvo type="max"/>
        <color rgb="FF63BE7B"/>
        <color rgb="FFFFEB84"/>
        <color rgb="FFF8696B"/>
      </colorScale>
    </cfRule>
    <cfRule type="colorScale" priority="2372">
      <colorScale>
        <cfvo type="min"/>
        <cfvo type="percentile" val="50"/>
        <cfvo type="max"/>
        <color rgb="FF63BE7B"/>
        <color rgb="FFFFEB84"/>
        <color rgb="FFF8696B"/>
      </colorScale>
    </cfRule>
    <cfRule type="colorScale" priority="2373">
      <colorScale>
        <cfvo type="min"/>
        <cfvo type="percentile" val="50"/>
        <cfvo type="max"/>
        <color rgb="FF63BE7B"/>
        <color rgb="FFFFEB84"/>
        <color rgb="FFF8696B"/>
      </colorScale>
    </cfRule>
    <cfRule type="colorScale" priority="2374">
      <colorScale>
        <cfvo type="min"/>
        <cfvo type="percentile" val="50"/>
        <cfvo type="max"/>
        <color rgb="FF63BE7B"/>
        <color rgb="FFFFEB84"/>
        <color rgb="FFF8696B"/>
      </colorScale>
    </cfRule>
    <cfRule type="colorScale" priority="2375">
      <colorScale>
        <cfvo type="min"/>
        <cfvo type="percentile" val="50"/>
        <cfvo type="max"/>
        <color rgb="FF63BE7B"/>
        <color rgb="FFFFEB84"/>
        <color rgb="FFF8696B"/>
      </colorScale>
    </cfRule>
    <cfRule type="colorScale" priority="2376">
      <colorScale>
        <cfvo type="min"/>
        <cfvo type="percentile" val="50"/>
        <cfvo type="max"/>
        <color rgb="FF63BE7B"/>
        <color rgb="FFFFEB84"/>
        <color rgb="FFF8696B"/>
      </colorScale>
    </cfRule>
    <cfRule type="colorScale" priority="2377">
      <colorScale>
        <cfvo type="min"/>
        <cfvo type="percentile" val="50"/>
        <cfvo type="max"/>
        <color rgb="FF63BE7B"/>
        <color rgb="FFFFEB84"/>
        <color rgb="FFF8696B"/>
      </colorScale>
    </cfRule>
    <cfRule type="colorScale" priority="2378">
      <colorScale>
        <cfvo type="min"/>
        <cfvo type="percentile" val="50"/>
        <cfvo type="max"/>
        <color rgb="FF63BE7B"/>
        <color rgb="FFFFEB84"/>
        <color rgb="FFF8696B"/>
      </colorScale>
    </cfRule>
    <cfRule type="colorScale" priority="2379">
      <colorScale>
        <cfvo type="min"/>
        <cfvo type="percentile" val="50"/>
        <cfvo type="max"/>
        <color rgb="FF63BE7B"/>
        <color rgb="FFFFEB84"/>
        <color rgb="FFF8696B"/>
      </colorScale>
    </cfRule>
    <cfRule type="colorScale" priority="2380">
      <colorScale>
        <cfvo type="min"/>
        <cfvo type="percentile" val="50"/>
        <cfvo type="max"/>
        <color rgb="FF63BE7B"/>
        <color rgb="FFFFEB84"/>
        <color rgb="FFF8696B"/>
      </colorScale>
    </cfRule>
    <cfRule type="colorScale" priority="2381">
      <colorScale>
        <cfvo type="min"/>
        <cfvo type="percentile" val="50"/>
        <cfvo type="max"/>
        <color rgb="FF63BE7B"/>
        <color rgb="FFFFEB84"/>
        <color rgb="FFF8696B"/>
      </colorScale>
    </cfRule>
    <cfRule type="colorScale" priority="2382">
      <colorScale>
        <cfvo type="min"/>
        <cfvo type="percentile" val="50"/>
        <cfvo type="max"/>
        <color rgb="FF63BE7B"/>
        <color rgb="FFFFEB84"/>
        <color rgb="FFF8696B"/>
      </colorScale>
    </cfRule>
    <cfRule type="colorScale" priority="2383">
      <colorScale>
        <cfvo type="min"/>
        <cfvo type="percentile" val="50"/>
        <cfvo type="max"/>
        <color rgb="FF63BE7B"/>
        <color rgb="FFFFEB84"/>
        <color rgb="FFF8696B"/>
      </colorScale>
    </cfRule>
    <cfRule type="colorScale" priority="2384">
      <colorScale>
        <cfvo type="min"/>
        <cfvo type="percentile" val="50"/>
        <cfvo type="max"/>
        <color rgb="FF63BE7B"/>
        <color rgb="FFFFEB84"/>
        <color rgb="FFF8696B"/>
      </colorScale>
    </cfRule>
    <cfRule type="colorScale" priority="2385">
      <colorScale>
        <cfvo type="min"/>
        <cfvo type="percentile" val="50"/>
        <cfvo type="max"/>
        <color rgb="FF63BE7B"/>
        <color rgb="FFFFEB84"/>
        <color rgb="FFF8696B"/>
      </colorScale>
    </cfRule>
    <cfRule type="colorScale" priority="2386">
      <colorScale>
        <cfvo type="min"/>
        <cfvo type="percentile" val="50"/>
        <cfvo type="max"/>
        <color rgb="FF63BE7B"/>
        <color rgb="FFFFEB84"/>
        <color rgb="FFF8696B"/>
      </colorScale>
    </cfRule>
    <cfRule type="colorScale" priority="2387">
      <colorScale>
        <cfvo type="min"/>
        <cfvo type="percentile" val="50"/>
        <cfvo type="max"/>
        <color rgb="FF63BE7B"/>
        <color rgb="FFFFEB84"/>
        <color rgb="FFF8696B"/>
      </colorScale>
    </cfRule>
    <cfRule type="colorScale" priority="2388">
      <colorScale>
        <cfvo type="min"/>
        <cfvo type="percentile" val="50"/>
        <cfvo type="max"/>
        <color rgb="FF63BE7B"/>
        <color rgb="FFFFEB84"/>
        <color rgb="FFF8696B"/>
      </colorScale>
    </cfRule>
    <cfRule type="colorScale" priority="2389">
      <colorScale>
        <cfvo type="min"/>
        <cfvo type="percentile" val="50"/>
        <cfvo type="max"/>
        <color rgb="FF63BE7B"/>
        <color rgb="FFFFEB84"/>
        <color rgb="FFF8696B"/>
      </colorScale>
    </cfRule>
    <cfRule type="colorScale" priority="2390">
      <colorScale>
        <cfvo type="min"/>
        <cfvo type="percentile" val="50"/>
        <cfvo type="max"/>
        <color rgb="FF63BE7B"/>
        <color rgb="FFFFEB84"/>
        <color rgb="FFF8696B"/>
      </colorScale>
    </cfRule>
    <cfRule type="colorScale" priority="2391">
      <colorScale>
        <cfvo type="min"/>
        <cfvo type="percentile" val="50"/>
        <cfvo type="max"/>
        <color rgb="FF63BE7B"/>
        <color rgb="FFFFEB84"/>
        <color rgb="FFF8696B"/>
      </colorScale>
    </cfRule>
    <cfRule type="colorScale" priority="2392">
      <colorScale>
        <cfvo type="min"/>
        <cfvo type="percentile" val="50"/>
        <cfvo type="max"/>
        <color rgb="FF63BE7B"/>
        <color rgb="FFFFEB84"/>
        <color rgb="FFF8696B"/>
      </colorScale>
    </cfRule>
    <cfRule type="colorScale" priority="2393">
      <colorScale>
        <cfvo type="min"/>
        <cfvo type="percentile" val="50"/>
        <cfvo type="max"/>
        <color rgb="FF63BE7B"/>
        <color rgb="FFFFEB84"/>
        <color rgb="FFF8696B"/>
      </colorScale>
    </cfRule>
    <cfRule type="colorScale" priority="2394">
      <colorScale>
        <cfvo type="min"/>
        <cfvo type="percentile" val="50"/>
        <cfvo type="max"/>
        <color rgb="FF63BE7B"/>
        <color rgb="FFFFEB84"/>
        <color rgb="FFF8696B"/>
      </colorScale>
    </cfRule>
    <cfRule type="colorScale" priority="2395">
      <colorScale>
        <cfvo type="min"/>
        <cfvo type="percentile" val="50"/>
        <cfvo type="max"/>
        <color rgb="FF63BE7B"/>
        <color rgb="FFFFEB84"/>
        <color rgb="FFF8696B"/>
      </colorScale>
    </cfRule>
    <cfRule type="colorScale" priority="2396">
      <colorScale>
        <cfvo type="min"/>
        <cfvo type="percentile" val="50"/>
        <cfvo type="max"/>
        <color rgb="FF63BE7B"/>
        <color rgb="FFFFEB84"/>
        <color rgb="FFF8696B"/>
      </colorScale>
    </cfRule>
    <cfRule type="colorScale" priority="2397">
      <colorScale>
        <cfvo type="min"/>
        <cfvo type="percentile" val="50"/>
        <cfvo type="max"/>
        <color rgb="FF63BE7B"/>
        <color rgb="FFFFEB84"/>
        <color rgb="FFF8696B"/>
      </colorScale>
    </cfRule>
    <cfRule type="colorScale" priority="2398">
      <colorScale>
        <cfvo type="min"/>
        <cfvo type="percentile" val="50"/>
        <cfvo type="max"/>
        <color rgb="FF63BE7B"/>
        <color rgb="FFFFEB84"/>
        <color rgb="FFF8696B"/>
      </colorScale>
    </cfRule>
    <cfRule type="colorScale" priority="2399">
      <colorScale>
        <cfvo type="min"/>
        <cfvo type="percentile" val="50"/>
        <cfvo type="max"/>
        <color rgb="FF63BE7B"/>
        <color rgb="FFFFEB84"/>
        <color rgb="FFF8696B"/>
      </colorScale>
    </cfRule>
    <cfRule type="colorScale" priority="2400">
      <colorScale>
        <cfvo type="min"/>
        <cfvo type="percentile" val="50"/>
        <cfvo type="max"/>
        <color rgb="FF63BE7B"/>
        <color rgb="FFFFEB84"/>
        <color rgb="FFF8696B"/>
      </colorScale>
    </cfRule>
    <cfRule type="colorScale" priority="2401">
      <colorScale>
        <cfvo type="min"/>
        <cfvo type="percentile" val="50"/>
        <cfvo type="max"/>
        <color rgb="FF63BE7B"/>
        <color rgb="FFFFEB84"/>
        <color rgb="FFF8696B"/>
      </colorScale>
    </cfRule>
    <cfRule type="colorScale" priority="2402">
      <colorScale>
        <cfvo type="min"/>
        <cfvo type="percentile" val="50"/>
        <cfvo type="max"/>
        <color rgb="FF63BE7B"/>
        <color rgb="FFFFEB84"/>
        <color rgb="FFF8696B"/>
      </colorScale>
    </cfRule>
    <cfRule type="colorScale" priority="2404">
      <colorScale>
        <cfvo type="min"/>
        <cfvo type="percentile" val="50"/>
        <cfvo type="max"/>
        <color rgb="FF63BE7B"/>
        <color rgb="FFFFEB84"/>
        <color rgb="FFF8696B"/>
      </colorScale>
    </cfRule>
    <cfRule type="colorScale" priority="2405">
      <colorScale>
        <cfvo type="min"/>
        <cfvo type="percentile" val="50"/>
        <cfvo type="max"/>
        <color rgb="FF63BE7B"/>
        <color rgb="FFFFEB84"/>
        <color rgb="FFF8696B"/>
      </colorScale>
    </cfRule>
    <cfRule type="colorScale" priority="2406">
      <colorScale>
        <cfvo type="min"/>
        <cfvo type="percentile" val="50"/>
        <cfvo type="max"/>
        <color rgb="FF63BE7B"/>
        <color rgb="FFFFEB84"/>
        <color rgb="FFF8696B"/>
      </colorScale>
    </cfRule>
    <cfRule type="colorScale" priority="2407">
      <colorScale>
        <cfvo type="min"/>
        <cfvo type="percentile" val="50"/>
        <cfvo type="max"/>
        <color rgb="FF63BE7B"/>
        <color rgb="FFFFEB84"/>
        <color rgb="FFF8696B"/>
      </colorScale>
    </cfRule>
    <cfRule type="colorScale" priority="2408">
      <colorScale>
        <cfvo type="min"/>
        <cfvo type="percentile" val="50"/>
        <cfvo type="max"/>
        <color rgb="FF63BE7B"/>
        <color rgb="FFFFEB84"/>
        <color rgb="FFF8696B"/>
      </colorScale>
    </cfRule>
    <cfRule type="colorScale" priority="2409">
      <colorScale>
        <cfvo type="min"/>
        <cfvo type="percentile" val="50"/>
        <cfvo type="max"/>
        <color rgb="FF63BE7B"/>
        <color rgb="FFFFEB84"/>
        <color rgb="FFF8696B"/>
      </colorScale>
    </cfRule>
    <cfRule type="colorScale" priority="2410">
      <colorScale>
        <cfvo type="min"/>
        <cfvo type="percentile" val="50"/>
        <cfvo type="max"/>
        <color rgb="FF63BE7B"/>
        <color rgb="FFFFEB84"/>
        <color rgb="FFF8696B"/>
      </colorScale>
    </cfRule>
    <cfRule type="colorScale" priority="2411">
      <colorScale>
        <cfvo type="min"/>
        <cfvo type="percentile" val="50"/>
        <cfvo type="max"/>
        <color rgb="FF63BE7B"/>
        <color rgb="FFFFEB84"/>
        <color rgb="FFF8696B"/>
      </colorScale>
    </cfRule>
    <cfRule type="colorScale" priority="2412">
      <colorScale>
        <cfvo type="min"/>
        <cfvo type="percentile" val="50"/>
        <cfvo type="max"/>
        <color rgb="FF63BE7B"/>
        <color rgb="FFFFEB84"/>
        <color rgb="FFF8696B"/>
      </colorScale>
    </cfRule>
    <cfRule type="colorScale" priority="2413">
      <colorScale>
        <cfvo type="min"/>
        <cfvo type="percentile" val="50"/>
        <cfvo type="max"/>
        <color rgb="FF63BE7B"/>
        <color rgb="FFFFEB84"/>
        <color rgb="FFF8696B"/>
      </colorScale>
    </cfRule>
    <cfRule type="colorScale" priority="2414">
      <colorScale>
        <cfvo type="min"/>
        <cfvo type="percentile" val="50"/>
        <cfvo type="max"/>
        <color rgb="FF63BE7B"/>
        <color rgb="FFFFEB84"/>
        <color rgb="FFF8696B"/>
      </colorScale>
    </cfRule>
    <cfRule type="colorScale" priority="2415">
      <colorScale>
        <cfvo type="min"/>
        <cfvo type="percentile" val="50"/>
        <cfvo type="max"/>
        <color rgb="FF63BE7B"/>
        <color rgb="FFFFEB84"/>
        <color rgb="FFF8696B"/>
      </colorScale>
    </cfRule>
    <cfRule type="colorScale" priority="2416">
      <colorScale>
        <cfvo type="min"/>
        <cfvo type="percentile" val="50"/>
        <cfvo type="max"/>
        <color rgb="FF63BE7B"/>
        <color rgb="FFFFEB84"/>
        <color rgb="FFF8696B"/>
      </colorScale>
    </cfRule>
    <cfRule type="colorScale" priority="2417">
      <colorScale>
        <cfvo type="min"/>
        <cfvo type="percentile" val="50"/>
        <cfvo type="max"/>
        <color rgb="FF63BE7B"/>
        <color rgb="FFFFEB84"/>
        <color rgb="FFF8696B"/>
      </colorScale>
    </cfRule>
    <cfRule type="colorScale" priority="2418">
      <colorScale>
        <cfvo type="min"/>
        <cfvo type="percentile" val="50"/>
        <cfvo type="max"/>
        <color rgb="FF63BE7B"/>
        <color rgb="FFFFEB84"/>
        <color rgb="FFF8696B"/>
      </colorScale>
    </cfRule>
    <cfRule type="colorScale" priority="2419">
      <colorScale>
        <cfvo type="min"/>
        <cfvo type="percentile" val="50"/>
        <cfvo type="max"/>
        <color rgb="FF63BE7B"/>
        <color rgb="FFFFEB84"/>
        <color rgb="FFF8696B"/>
      </colorScale>
    </cfRule>
    <cfRule type="colorScale" priority="2420">
      <colorScale>
        <cfvo type="min"/>
        <cfvo type="percentile" val="50"/>
        <cfvo type="max"/>
        <color rgb="FF63BE7B"/>
        <color rgb="FFFFEB84"/>
        <color rgb="FFF8696B"/>
      </colorScale>
    </cfRule>
    <cfRule type="colorScale" priority="2421">
      <colorScale>
        <cfvo type="min"/>
        <cfvo type="percentile" val="50"/>
        <cfvo type="max"/>
        <color rgb="FF63BE7B"/>
        <color rgb="FFFFEB84"/>
        <color rgb="FFF8696B"/>
      </colorScale>
    </cfRule>
    <cfRule type="colorScale" priority="2422">
      <colorScale>
        <cfvo type="min"/>
        <cfvo type="percentile" val="50"/>
        <cfvo type="max"/>
        <color rgb="FF63BE7B"/>
        <color rgb="FFFFEB84"/>
        <color rgb="FFF8696B"/>
      </colorScale>
    </cfRule>
    <cfRule type="colorScale" priority="2423">
      <colorScale>
        <cfvo type="min"/>
        <cfvo type="percentile" val="50"/>
        <cfvo type="max"/>
        <color rgb="FF63BE7B"/>
        <color rgb="FFFFEB84"/>
        <color rgb="FFF8696B"/>
      </colorScale>
    </cfRule>
    <cfRule type="colorScale" priority="2424">
      <colorScale>
        <cfvo type="min"/>
        <cfvo type="percentile" val="50"/>
        <cfvo type="max"/>
        <color rgb="FFF8696B"/>
        <color rgb="FFFFEB84"/>
        <color rgb="FF63BE7B"/>
      </colorScale>
    </cfRule>
    <cfRule type="colorScale" priority="2425">
      <colorScale>
        <cfvo type="min"/>
        <cfvo type="percentile" val="50"/>
        <cfvo type="max"/>
        <color rgb="FF63BE7B"/>
        <color rgb="FFFFEB84"/>
        <color rgb="FFF8696B"/>
      </colorScale>
    </cfRule>
    <cfRule type="colorScale" priority="2426">
      <colorScale>
        <cfvo type="min"/>
        <cfvo type="percentile" val="50"/>
        <cfvo type="max"/>
        <color rgb="FF63BE7B"/>
        <color rgb="FFFFEB84"/>
        <color rgb="FFF8696B"/>
      </colorScale>
    </cfRule>
    <cfRule type="colorScale" priority="2427">
      <colorScale>
        <cfvo type="min"/>
        <cfvo type="percentile" val="50"/>
        <cfvo type="max"/>
        <color rgb="FF63BE7B"/>
        <color rgb="FFFFEB84"/>
        <color rgb="FFF8696B"/>
      </colorScale>
    </cfRule>
    <cfRule type="colorScale" priority="2428">
      <colorScale>
        <cfvo type="min"/>
        <cfvo type="percentile" val="50"/>
        <cfvo type="max"/>
        <color rgb="FF63BE7B"/>
        <color rgb="FFFFEB84"/>
        <color rgb="FFF8696B"/>
      </colorScale>
    </cfRule>
    <cfRule type="colorScale" priority="2429">
      <colorScale>
        <cfvo type="min"/>
        <cfvo type="percentile" val="50"/>
        <cfvo type="max"/>
        <color rgb="FF63BE7B"/>
        <color rgb="FFFFEB84"/>
        <color rgb="FFF8696B"/>
      </colorScale>
    </cfRule>
    <cfRule type="colorScale" priority="2430">
      <colorScale>
        <cfvo type="min"/>
        <cfvo type="percentile" val="50"/>
        <cfvo type="max"/>
        <color rgb="FF63BE7B"/>
        <color rgb="FFFFEB84"/>
        <color rgb="FFF8696B"/>
      </colorScale>
    </cfRule>
    <cfRule type="colorScale" priority="2431">
      <colorScale>
        <cfvo type="min"/>
        <cfvo type="percentile" val="50"/>
        <cfvo type="max"/>
        <color rgb="FF63BE7B"/>
        <color rgb="FFFFEB84"/>
        <color rgb="FFF8696B"/>
      </colorScale>
    </cfRule>
    <cfRule type="colorScale" priority="2432">
      <colorScale>
        <cfvo type="min"/>
        <cfvo type="percentile" val="50"/>
        <cfvo type="max"/>
        <color rgb="FF63BE7B"/>
        <color rgb="FFFFEB84"/>
        <color rgb="FFF8696B"/>
      </colorScale>
    </cfRule>
    <cfRule type="colorScale" priority="2433">
      <colorScale>
        <cfvo type="min"/>
        <cfvo type="percentile" val="50"/>
        <cfvo type="max"/>
        <color rgb="FF63BE7B"/>
        <color rgb="FFFFEB84"/>
        <color rgb="FFF8696B"/>
      </colorScale>
    </cfRule>
    <cfRule type="colorScale" priority="2434">
      <colorScale>
        <cfvo type="min"/>
        <cfvo type="percentile" val="50"/>
        <cfvo type="max"/>
        <color rgb="FF63BE7B"/>
        <color rgb="FFFFEB84"/>
        <color rgb="FFF8696B"/>
      </colorScale>
    </cfRule>
    <cfRule type="colorScale" priority="2435">
      <colorScale>
        <cfvo type="min"/>
        <cfvo type="percentile" val="50"/>
        <cfvo type="max"/>
        <color rgb="FF63BE7B"/>
        <color rgb="FFFFEB84"/>
        <color rgb="FFF8696B"/>
      </colorScale>
    </cfRule>
    <cfRule type="colorScale" priority="2436">
      <colorScale>
        <cfvo type="min"/>
        <cfvo type="percentile" val="50"/>
        <cfvo type="max"/>
        <color rgb="FF63BE7B"/>
        <color rgb="FFFFEB84"/>
        <color rgb="FFF8696B"/>
      </colorScale>
    </cfRule>
    <cfRule type="colorScale" priority="2437">
      <colorScale>
        <cfvo type="min"/>
        <cfvo type="percentile" val="50"/>
        <cfvo type="max"/>
        <color rgb="FF63BE7B"/>
        <color rgb="FFFFEB84"/>
        <color rgb="FFF8696B"/>
      </colorScale>
    </cfRule>
    <cfRule type="colorScale" priority="2438">
      <colorScale>
        <cfvo type="min"/>
        <cfvo type="percentile" val="50"/>
        <cfvo type="max"/>
        <color rgb="FF63BE7B"/>
        <color rgb="FFFFEB84"/>
        <color rgb="FFF8696B"/>
      </colorScale>
    </cfRule>
    <cfRule type="colorScale" priority="2439">
      <colorScale>
        <cfvo type="min"/>
        <cfvo type="percentile" val="50"/>
        <cfvo type="max"/>
        <color rgb="FF63BE7B"/>
        <color rgb="FFFFEB84"/>
        <color rgb="FFF8696B"/>
      </colorScale>
    </cfRule>
    <cfRule type="colorScale" priority="2440">
      <colorScale>
        <cfvo type="min"/>
        <cfvo type="percentile" val="50"/>
        <cfvo type="max"/>
        <color rgb="FF63BE7B"/>
        <color rgb="FFFFEB84"/>
        <color rgb="FFF8696B"/>
      </colorScale>
    </cfRule>
    <cfRule type="colorScale" priority="2441">
      <colorScale>
        <cfvo type="min"/>
        <cfvo type="percentile" val="50"/>
        <cfvo type="max"/>
        <color rgb="FF63BE7B"/>
        <color rgb="FFFFEB84"/>
        <color rgb="FFF8696B"/>
      </colorScale>
    </cfRule>
    <cfRule type="colorScale" priority="2442">
      <colorScale>
        <cfvo type="min"/>
        <cfvo type="percentile" val="50"/>
        <cfvo type="max"/>
        <color rgb="FF63BE7B"/>
        <color rgb="FFFFEB84"/>
        <color rgb="FFF8696B"/>
      </colorScale>
    </cfRule>
    <cfRule type="colorScale" priority="2443">
      <colorScale>
        <cfvo type="min"/>
        <cfvo type="percentile" val="50"/>
        <cfvo type="max"/>
        <color rgb="FF63BE7B"/>
        <color rgb="FFFFEB84"/>
        <color rgb="FFF8696B"/>
      </colorScale>
    </cfRule>
    <cfRule type="colorScale" priority="2444">
      <colorScale>
        <cfvo type="min"/>
        <cfvo type="percentile" val="50"/>
        <cfvo type="max"/>
        <color rgb="FF63BE7B"/>
        <color rgb="FFFFEB84"/>
        <color rgb="FFF8696B"/>
      </colorScale>
    </cfRule>
    <cfRule type="colorScale" priority="2445">
      <colorScale>
        <cfvo type="min"/>
        <cfvo type="percentile" val="50"/>
        <cfvo type="max"/>
        <color rgb="FF63BE7B"/>
        <color rgb="FFFFEB84"/>
        <color rgb="FFF8696B"/>
      </colorScale>
    </cfRule>
    <cfRule type="colorScale" priority="2446">
      <colorScale>
        <cfvo type="min"/>
        <cfvo type="percentile" val="50"/>
        <cfvo type="max"/>
        <color rgb="FF63BE7B"/>
        <color rgb="FFFFEB84"/>
        <color rgb="FFF8696B"/>
      </colorScale>
    </cfRule>
    <cfRule type="colorScale" priority="2447">
      <colorScale>
        <cfvo type="min"/>
        <cfvo type="percentile" val="50"/>
        <cfvo type="max"/>
        <color rgb="FF63BE7B"/>
        <color rgb="FFFFEB84"/>
        <color rgb="FFF8696B"/>
      </colorScale>
    </cfRule>
    <cfRule type="colorScale" priority="2448">
      <colorScale>
        <cfvo type="min"/>
        <cfvo type="percentile" val="50"/>
        <cfvo type="max"/>
        <color rgb="FF63BE7B"/>
        <color rgb="FFFFEB84"/>
        <color rgb="FFF8696B"/>
      </colorScale>
    </cfRule>
    <cfRule type="colorScale" priority="2449">
      <colorScale>
        <cfvo type="min"/>
        <cfvo type="percentile" val="50"/>
        <cfvo type="max"/>
        <color rgb="FF63BE7B"/>
        <color rgb="FFFFEB84"/>
        <color rgb="FFF8696B"/>
      </colorScale>
    </cfRule>
    <cfRule type="colorScale" priority="2450">
      <colorScale>
        <cfvo type="min"/>
        <cfvo type="percentile" val="50"/>
        <cfvo type="max"/>
        <color rgb="FF63BE7B"/>
        <color rgb="FFFFEB84"/>
        <color rgb="FFF8696B"/>
      </colorScale>
    </cfRule>
    <cfRule type="colorScale" priority="2452">
      <colorScale>
        <cfvo type="min"/>
        <cfvo type="percentile" val="50"/>
        <cfvo type="max"/>
        <color rgb="FF63BE7B"/>
        <color rgb="FFFFEB84"/>
        <color rgb="FFF8696B"/>
      </colorScale>
    </cfRule>
    <cfRule type="colorScale" priority="2453">
      <colorScale>
        <cfvo type="min"/>
        <cfvo type="percentile" val="50"/>
        <cfvo type="max"/>
        <color rgb="FF63BE7B"/>
        <color rgb="FFFFEB84"/>
        <color rgb="FFF8696B"/>
      </colorScale>
    </cfRule>
    <cfRule type="colorScale" priority="2454">
      <colorScale>
        <cfvo type="min"/>
        <cfvo type="percentile" val="50"/>
        <cfvo type="max"/>
        <color rgb="FF63BE7B"/>
        <color rgb="FFFFEB84"/>
        <color rgb="FFF8696B"/>
      </colorScale>
    </cfRule>
    <cfRule type="colorScale" priority="2455">
      <colorScale>
        <cfvo type="min"/>
        <cfvo type="percentile" val="50"/>
        <cfvo type="max"/>
        <color rgb="FF63BE7B"/>
        <color rgb="FFFFEB84"/>
        <color rgb="FFF8696B"/>
      </colorScale>
    </cfRule>
    <cfRule type="colorScale" priority="2456">
      <colorScale>
        <cfvo type="min"/>
        <cfvo type="percentile" val="50"/>
        <cfvo type="max"/>
        <color rgb="FF63BE7B"/>
        <color rgb="FFFFEB84"/>
        <color rgb="FFF8696B"/>
      </colorScale>
    </cfRule>
    <cfRule type="colorScale" priority="2457">
      <colorScale>
        <cfvo type="min"/>
        <cfvo type="percentile" val="50"/>
        <cfvo type="max"/>
        <color rgb="FF63BE7B"/>
        <color rgb="FFFFEB84"/>
        <color rgb="FFF8696B"/>
      </colorScale>
    </cfRule>
    <cfRule type="colorScale" priority="2458">
      <colorScale>
        <cfvo type="min"/>
        <cfvo type="percentile" val="50"/>
        <cfvo type="max"/>
        <color rgb="FF63BE7B"/>
        <color rgb="FFFFEB84"/>
        <color rgb="FFF8696B"/>
      </colorScale>
    </cfRule>
    <cfRule type="colorScale" priority="2459">
      <colorScale>
        <cfvo type="min"/>
        <cfvo type="percentile" val="50"/>
        <cfvo type="max"/>
        <color rgb="FF63BE7B"/>
        <color rgb="FFFFEB84"/>
        <color rgb="FFF8696B"/>
      </colorScale>
    </cfRule>
    <cfRule type="colorScale" priority="2460">
      <colorScale>
        <cfvo type="min"/>
        <cfvo type="percentile" val="50"/>
        <cfvo type="max"/>
        <color rgb="FF63BE7B"/>
        <color rgb="FFFFEB84"/>
        <color rgb="FFF8696B"/>
      </colorScale>
    </cfRule>
    <cfRule type="colorScale" priority="2461">
      <colorScale>
        <cfvo type="min"/>
        <cfvo type="percentile" val="50"/>
        <cfvo type="max"/>
        <color rgb="FF63BE7B"/>
        <color rgb="FFFFEB84"/>
        <color rgb="FFF8696B"/>
      </colorScale>
    </cfRule>
    <cfRule type="colorScale" priority="2462">
      <colorScale>
        <cfvo type="min"/>
        <cfvo type="percentile" val="50"/>
        <cfvo type="max"/>
        <color rgb="FF63BE7B"/>
        <color rgb="FFFFEB84"/>
        <color rgb="FFF8696B"/>
      </colorScale>
    </cfRule>
    <cfRule type="colorScale" priority="2463">
      <colorScale>
        <cfvo type="min"/>
        <cfvo type="percentile" val="50"/>
        <cfvo type="max"/>
        <color rgb="FF63BE7B"/>
        <color rgb="FFFFEB84"/>
        <color rgb="FFF8696B"/>
      </colorScale>
    </cfRule>
    <cfRule type="colorScale" priority="2464">
      <colorScale>
        <cfvo type="min"/>
        <cfvo type="percentile" val="50"/>
        <cfvo type="max"/>
        <color rgb="FF63BE7B"/>
        <color rgb="FFFFEB84"/>
        <color rgb="FFF8696B"/>
      </colorScale>
    </cfRule>
    <cfRule type="colorScale" priority="2465">
      <colorScale>
        <cfvo type="min"/>
        <cfvo type="percentile" val="50"/>
        <cfvo type="max"/>
        <color rgb="FF63BE7B"/>
        <color rgb="FFFFEB84"/>
        <color rgb="FFF8696B"/>
      </colorScale>
    </cfRule>
    <cfRule type="colorScale" priority="2466">
      <colorScale>
        <cfvo type="min"/>
        <cfvo type="percentile" val="50"/>
        <cfvo type="max"/>
        <color rgb="FF63BE7B"/>
        <color rgb="FFFFEB84"/>
        <color rgb="FFF8696B"/>
      </colorScale>
    </cfRule>
    <cfRule type="colorScale" priority="2467">
      <colorScale>
        <cfvo type="min"/>
        <cfvo type="percentile" val="50"/>
        <cfvo type="max"/>
        <color rgb="FF63BE7B"/>
        <color rgb="FFFFEB84"/>
        <color rgb="FFF8696B"/>
      </colorScale>
    </cfRule>
    <cfRule type="colorScale" priority="2468">
      <colorScale>
        <cfvo type="min"/>
        <cfvo type="percentile" val="50"/>
        <cfvo type="max"/>
        <color rgb="FF63BE7B"/>
        <color rgb="FFFFEB84"/>
        <color rgb="FFF8696B"/>
      </colorScale>
    </cfRule>
    <cfRule type="colorScale" priority="2469">
      <colorScale>
        <cfvo type="min"/>
        <cfvo type="percentile" val="50"/>
        <cfvo type="max"/>
        <color rgb="FF63BE7B"/>
        <color rgb="FFFFEB84"/>
        <color rgb="FFF8696B"/>
      </colorScale>
    </cfRule>
    <cfRule type="colorScale" priority="2470">
      <colorScale>
        <cfvo type="min"/>
        <cfvo type="percentile" val="50"/>
        <cfvo type="max"/>
        <color rgb="FF63BE7B"/>
        <color rgb="FFFFEB84"/>
        <color rgb="FFF8696B"/>
      </colorScale>
    </cfRule>
    <cfRule type="colorScale" priority="2471">
      <colorScale>
        <cfvo type="min"/>
        <cfvo type="percentile" val="50"/>
        <cfvo type="max"/>
        <color rgb="FF63BE7B"/>
        <color rgb="FFFFEB84"/>
        <color rgb="FFF8696B"/>
      </colorScale>
    </cfRule>
    <cfRule type="colorScale" priority="2472">
      <colorScale>
        <cfvo type="min"/>
        <cfvo type="percentile" val="50"/>
        <cfvo type="max"/>
        <color rgb="FF63BE7B"/>
        <color rgb="FFFFEB84"/>
        <color rgb="FFF8696B"/>
      </colorScale>
    </cfRule>
    <cfRule type="colorScale" priority="2473">
      <colorScale>
        <cfvo type="min"/>
        <cfvo type="percentile" val="50"/>
        <cfvo type="max"/>
        <color rgb="FF63BE7B"/>
        <color rgb="FFFFEB84"/>
        <color rgb="FFF8696B"/>
      </colorScale>
    </cfRule>
    <cfRule type="colorScale" priority="2474">
      <colorScale>
        <cfvo type="min"/>
        <cfvo type="percentile" val="50"/>
        <cfvo type="max"/>
        <color rgb="FF63BE7B"/>
        <color rgb="FFFFEB84"/>
        <color rgb="FFF8696B"/>
      </colorScale>
    </cfRule>
    <cfRule type="colorScale" priority="2475">
      <colorScale>
        <cfvo type="min"/>
        <cfvo type="percentile" val="50"/>
        <cfvo type="max"/>
        <color rgb="FF63BE7B"/>
        <color rgb="FFFFEB84"/>
        <color rgb="FFF8696B"/>
      </colorScale>
    </cfRule>
    <cfRule type="colorScale" priority="2476">
      <colorScale>
        <cfvo type="min"/>
        <cfvo type="percentile" val="50"/>
        <cfvo type="max"/>
        <color rgb="FF63BE7B"/>
        <color rgb="FFFFEB84"/>
        <color rgb="FFF8696B"/>
      </colorScale>
    </cfRule>
    <cfRule type="colorScale" priority="2477">
      <colorScale>
        <cfvo type="min"/>
        <cfvo type="percentile" val="50"/>
        <cfvo type="max"/>
        <color rgb="FF63BE7B"/>
        <color rgb="FFFFEB84"/>
        <color rgb="FFF8696B"/>
      </colorScale>
    </cfRule>
    <cfRule type="colorScale" priority="2478">
      <colorScale>
        <cfvo type="min"/>
        <cfvo type="percentile" val="50"/>
        <cfvo type="max"/>
        <color rgb="FF63BE7B"/>
        <color rgb="FFFFEB84"/>
        <color rgb="FFF8696B"/>
      </colorScale>
    </cfRule>
    <cfRule type="colorScale" priority="2479">
      <colorScale>
        <cfvo type="min"/>
        <cfvo type="percentile" val="50"/>
        <cfvo type="max"/>
        <color rgb="FF63BE7B"/>
        <color rgb="FFFFEB84"/>
        <color rgb="FFF8696B"/>
      </colorScale>
    </cfRule>
    <cfRule type="colorScale" priority="5640">
      <colorScale>
        <cfvo type="min"/>
        <cfvo type="percentile" val="50"/>
        <cfvo type="max"/>
        <color rgb="FF63BE7B"/>
        <color rgb="FFFFEB84"/>
        <color rgb="FFF8696B"/>
      </colorScale>
    </cfRule>
    <cfRule type="colorScale" priority="5641">
      <colorScale>
        <cfvo type="min"/>
        <cfvo type="percentile" val="50"/>
        <cfvo type="max"/>
        <color rgb="FF63BE7B"/>
        <color rgb="FFFFEB84"/>
        <color rgb="FFF8696B"/>
      </colorScale>
    </cfRule>
    <cfRule type="colorScale" priority="5642">
      <colorScale>
        <cfvo type="min"/>
        <cfvo type="percentile" val="50"/>
        <cfvo type="max"/>
        <color rgb="FF63BE7B"/>
        <color rgb="FFFFEB84"/>
        <color rgb="FFF8696B"/>
      </colorScale>
    </cfRule>
    <cfRule type="colorScale" priority="5643">
      <colorScale>
        <cfvo type="min"/>
        <cfvo type="percentile" val="50"/>
        <cfvo type="max"/>
        <color rgb="FF63BE7B"/>
        <color rgb="FFFFEB84"/>
        <color rgb="FFF8696B"/>
      </colorScale>
    </cfRule>
    <cfRule type="colorScale" priority="5644">
      <colorScale>
        <cfvo type="min"/>
        <cfvo type="percentile" val="50"/>
        <cfvo type="max"/>
        <color rgb="FF63BE7B"/>
        <color rgb="FFFFEB84"/>
        <color rgb="FFF8696B"/>
      </colorScale>
    </cfRule>
    <cfRule type="colorScale" priority="5645">
      <colorScale>
        <cfvo type="min"/>
        <cfvo type="percentile" val="50"/>
        <cfvo type="max"/>
        <color rgb="FF63BE7B"/>
        <color rgb="FFFFEB84"/>
        <color rgb="FFF8696B"/>
      </colorScale>
    </cfRule>
    <cfRule type="colorScale" priority="5646">
      <colorScale>
        <cfvo type="min"/>
        <cfvo type="percentile" val="50"/>
        <cfvo type="max"/>
        <color rgb="FF63BE7B"/>
        <color rgb="FFFFEB84"/>
        <color rgb="FFF8696B"/>
      </colorScale>
    </cfRule>
    <cfRule type="colorScale" priority="5647">
      <colorScale>
        <cfvo type="min"/>
        <cfvo type="percentile" val="50"/>
        <cfvo type="max"/>
        <color rgb="FF63BE7B"/>
        <color rgb="FFFFEB84"/>
        <color rgb="FFF8696B"/>
      </colorScale>
    </cfRule>
    <cfRule type="colorScale" priority="5648">
      <colorScale>
        <cfvo type="min"/>
        <cfvo type="percentile" val="50"/>
        <cfvo type="max"/>
        <color rgb="FF63BE7B"/>
        <color rgb="FFFFEB84"/>
        <color rgb="FFF8696B"/>
      </colorScale>
    </cfRule>
    <cfRule type="colorScale" priority="5649">
      <colorScale>
        <cfvo type="min"/>
        <cfvo type="percentile" val="50"/>
        <cfvo type="max"/>
        <color rgb="FF63BE7B"/>
        <color rgb="FFFFEB84"/>
        <color rgb="FFF8696B"/>
      </colorScale>
    </cfRule>
    <cfRule type="colorScale" priority="5650">
      <colorScale>
        <cfvo type="min"/>
        <cfvo type="percentile" val="50"/>
        <cfvo type="max"/>
        <color rgb="FF63BE7B"/>
        <color rgb="FFFFEB84"/>
        <color rgb="FFF8696B"/>
      </colorScale>
    </cfRule>
    <cfRule type="colorScale" priority="5651">
      <colorScale>
        <cfvo type="min"/>
        <cfvo type="percentile" val="50"/>
        <cfvo type="max"/>
        <color rgb="FF63BE7B"/>
        <color rgb="FFFFEB84"/>
        <color rgb="FFF8696B"/>
      </colorScale>
    </cfRule>
    <cfRule type="colorScale" priority="5652">
      <colorScale>
        <cfvo type="min"/>
        <cfvo type="percentile" val="50"/>
        <cfvo type="max"/>
        <color rgb="FF63BE7B"/>
        <color rgb="FFFFEB84"/>
        <color rgb="FFF8696B"/>
      </colorScale>
    </cfRule>
    <cfRule type="colorScale" priority="5653">
      <colorScale>
        <cfvo type="min"/>
        <cfvo type="percentile" val="50"/>
        <cfvo type="max"/>
        <color rgb="FF63BE7B"/>
        <color rgb="FFFFEB84"/>
        <color rgb="FFF8696B"/>
      </colorScale>
    </cfRule>
    <cfRule type="colorScale" priority="5654">
      <colorScale>
        <cfvo type="min"/>
        <cfvo type="percentile" val="50"/>
        <cfvo type="max"/>
        <color rgb="FF63BE7B"/>
        <color rgb="FFFFEB84"/>
        <color rgb="FFF8696B"/>
      </colorScale>
    </cfRule>
    <cfRule type="colorScale" priority="5655">
      <colorScale>
        <cfvo type="min"/>
        <cfvo type="percentile" val="50"/>
        <cfvo type="max"/>
        <color rgb="FF63BE7B"/>
        <color rgb="FFFFEB84"/>
        <color rgb="FFF8696B"/>
      </colorScale>
    </cfRule>
    <cfRule type="colorScale" priority="5656">
      <colorScale>
        <cfvo type="min"/>
        <cfvo type="percentile" val="50"/>
        <cfvo type="max"/>
        <color rgb="FF63BE7B"/>
        <color rgb="FFFFEB84"/>
        <color rgb="FFF8696B"/>
      </colorScale>
    </cfRule>
    <cfRule type="colorScale" priority="5657">
      <colorScale>
        <cfvo type="min"/>
        <cfvo type="percentile" val="50"/>
        <cfvo type="max"/>
        <color rgb="FF63BE7B"/>
        <color rgb="FFFFEB84"/>
        <color rgb="FFF8696B"/>
      </colorScale>
    </cfRule>
    <cfRule type="colorScale" priority="5658">
      <colorScale>
        <cfvo type="min"/>
        <cfvo type="percentile" val="50"/>
        <cfvo type="max"/>
        <color rgb="FF63BE7B"/>
        <color rgb="FFFFEB84"/>
        <color rgb="FFF8696B"/>
      </colorScale>
    </cfRule>
    <cfRule type="colorScale" priority="5659">
      <colorScale>
        <cfvo type="min"/>
        <cfvo type="percentile" val="50"/>
        <cfvo type="max"/>
        <color rgb="FF63BE7B"/>
        <color rgb="FFFFEB84"/>
        <color rgb="FFF8696B"/>
      </colorScale>
    </cfRule>
    <cfRule type="colorScale" priority="5660">
      <colorScale>
        <cfvo type="min"/>
        <cfvo type="percentile" val="50"/>
        <cfvo type="max"/>
        <color rgb="FF63BE7B"/>
        <color rgb="FFFFEB84"/>
        <color rgb="FFF8696B"/>
      </colorScale>
    </cfRule>
    <cfRule type="colorScale" priority="5661">
      <colorScale>
        <cfvo type="min"/>
        <cfvo type="percentile" val="50"/>
        <cfvo type="max"/>
        <color rgb="FF63BE7B"/>
        <color rgb="FFFFEB84"/>
        <color rgb="FFF8696B"/>
      </colorScale>
    </cfRule>
    <cfRule type="colorScale" priority="5662">
      <colorScale>
        <cfvo type="min"/>
        <cfvo type="percentile" val="50"/>
        <cfvo type="max"/>
        <color rgb="FF63BE7B"/>
        <color rgb="FFFFEB84"/>
        <color rgb="FFF8696B"/>
      </colorScale>
    </cfRule>
    <cfRule type="colorScale" priority="5663">
      <colorScale>
        <cfvo type="min"/>
        <cfvo type="percentile" val="50"/>
        <cfvo type="max"/>
        <color rgb="FF63BE7B"/>
        <color rgb="FFFFEB84"/>
        <color rgb="FFF8696B"/>
      </colorScale>
    </cfRule>
    <cfRule type="colorScale" priority="5664">
      <colorScale>
        <cfvo type="min"/>
        <cfvo type="percentile" val="50"/>
        <cfvo type="max"/>
        <color rgb="FF63BE7B"/>
        <color rgb="FFFFEB84"/>
        <color rgb="FFF8696B"/>
      </colorScale>
    </cfRule>
    <cfRule type="colorScale" priority="5665">
      <colorScale>
        <cfvo type="min"/>
        <cfvo type="percentile" val="50"/>
        <cfvo type="max"/>
        <color rgb="FF63BE7B"/>
        <color rgb="FFFFEB84"/>
        <color rgb="FFF8696B"/>
      </colorScale>
    </cfRule>
    <cfRule type="colorScale" priority="5666">
      <colorScale>
        <cfvo type="min"/>
        <cfvo type="percentile" val="50"/>
        <cfvo type="max"/>
        <color rgb="FF63BE7B"/>
        <color rgb="FFFFEB84"/>
        <color rgb="FFF8696B"/>
      </colorScale>
    </cfRule>
    <cfRule type="colorScale" priority="5667">
      <colorScale>
        <cfvo type="min"/>
        <cfvo type="percentile" val="50"/>
        <cfvo type="max"/>
        <color rgb="FF63BE7B"/>
        <color rgb="FFFFEB84"/>
        <color rgb="FFF8696B"/>
      </colorScale>
    </cfRule>
    <cfRule type="colorScale" priority="5668">
      <colorScale>
        <cfvo type="min"/>
        <cfvo type="percentile" val="50"/>
        <cfvo type="max"/>
        <color rgb="FF63BE7B"/>
        <color rgb="FFFFEB84"/>
        <color rgb="FFF8696B"/>
      </colorScale>
    </cfRule>
    <cfRule type="colorScale" priority="5669">
      <colorScale>
        <cfvo type="min"/>
        <cfvo type="percentile" val="50"/>
        <cfvo type="max"/>
        <color rgb="FF63BE7B"/>
        <color rgb="FFFFEB84"/>
        <color rgb="FFF8696B"/>
      </colorScale>
    </cfRule>
    <cfRule type="colorScale" priority="5670">
      <colorScale>
        <cfvo type="min"/>
        <cfvo type="percentile" val="50"/>
        <cfvo type="max"/>
        <color rgb="FF63BE7B"/>
        <color rgb="FFFFEB84"/>
        <color rgb="FFF8696B"/>
      </colorScale>
    </cfRule>
    <cfRule type="colorScale" priority="5671">
      <colorScale>
        <cfvo type="min"/>
        <cfvo type="percentile" val="50"/>
        <cfvo type="max"/>
        <color rgb="FF63BE7B"/>
        <color rgb="FFFFEB84"/>
        <color rgb="FFF8696B"/>
      </colorScale>
    </cfRule>
    <cfRule type="colorScale" priority="5672">
      <colorScale>
        <cfvo type="min"/>
        <cfvo type="percentile" val="50"/>
        <cfvo type="max"/>
        <color rgb="FF63BE7B"/>
        <color rgb="FFFFEB84"/>
        <color rgb="FFF8696B"/>
      </colorScale>
    </cfRule>
    <cfRule type="colorScale" priority="5673">
      <colorScale>
        <cfvo type="min"/>
        <cfvo type="percentile" val="50"/>
        <cfvo type="max"/>
        <color rgb="FF63BE7B"/>
        <color rgb="FFFFEB84"/>
        <color rgb="FFF8696B"/>
      </colorScale>
    </cfRule>
    <cfRule type="colorScale" priority="2264">
      <colorScale>
        <cfvo type="min"/>
        <cfvo type="percentile" val="50"/>
        <cfvo type="max"/>
        <color rgb="FF63BE7B"/>
        <color rgb="FFFFEB84"/>
        <color rgb="FFF8696B"/>
      </colorScale>
    </cfRule>
    <cfRule type="colorScale" priority="2263">
      <colorScale>
        <cfvo type="min"/>
        <cfvo type="percentile" val="50"/>
        <cfvo type="max"/>
        <color rgb="FF63BE7B"/>
        <color rgb="FFFFEB84"/>
        <color rgb="FFF8696B"/>
      </colorScale>
    </cfRule>
    <cfRule type="colorScale" priority="2265">
      <colorScale>
        <cfvo type="min"/>
        <cfvo type="percentile" val="50"/>
        <cfvo type="max"/>
        <color rgb="FF63BE7B"/>
        <color rgb="FFFFEB84"/>
        <color rgb="FFF8696B"/>
      </colorScale>
    </cfRule>
    <cfRule type="colorScale" priority="2266">
      <colorScale>
        <cfvo type="min"/>
        <cfvo type="percentile" val="50"/>
        <cfvo type="max"/>
        <color rgb="FF63BE7B"/>
        <color rgb="FFFFEB84"/>
        <color rgb="FFF8696B"/>
      </colorScale>
    </cfRule>
    <cfRule type="colorScale" priority="2267">
      <colorScale>
        <cfvo type="min"/>
        <cfvo type="percentile" val="50"/>
        <cfvo type="max"/>
        <color rgb="FF63BE7B"/>
        <color rgb="FFFFEB84"/>
        <color rgb="FFF8696B"/>
      </colorScale>
    </cfRule>
    <cfRule type="colorScale" priority="2268">
      <colorScale>
        <cfvo type="min"/>
        <cfvo type="percentile" val="50"/>
        <cfvo type="max"/>
        <color rgb="FF63BE7B"/>
        <color rgb="FFFFEB84"/>
        <color rgb="FFF8696B"/>
      </colorScale>
    </cfRule>
    <cfRule type="colorScale" priority="2269">
      <colorScale>
        <cfvo type="min"/>
        <cfvo type="percentile" val="50"/>
        <cfvo type="max"/>
        <color rgb="FF63BE7B"/>
        <color rgb="FFFFEB84"/>
        <color rgb="FFF8696B"/>
      </colorScale>
    </cfRule>
    <cfRule type="colorScale" priority="5674">
      <colorScale>
        <cfvo type="min"/>
        <cfvo type="percentile" val="50"/>
        <cfvo type="max"/>
        <color rgb="FF63BE7B"/>
        <color rgb="FFFFEB84"/>
        <color rgb="FFF8696B"/>
      </colorScale>
    </cfRule>
    <cfRule type="colorScale" priority="5675">
      <colorScale>
        <cfvo type="min"/>
        <cfvo type="percentile" val="50"/>
        <cfvo type="max"/>
        <color rgb="FF63BE7B"/>
        <color rgb="FFFFEB84"/>
        <color rgb="FFF8696B"/>
      </colorScale>
    </cfRule>
    <cfRule type="colorScale" priority="5676">
      <colorScale>
        <cfvo type="min"/>
        <cfvo type="percentile" val="50"/>
        <cfvo type="max"/>
        <color rgb="FF63BE7B"/>
        <color rgb="FFFFEB84"/>
        <color rgb="FFF8696B"/>
      </colorScale>
    </cfRule>
    <cfRule type="colorScale" priority="5677">
      <colorScale>
        <cfvo type="min"/>
        <cfvo type="percentile" val="50"/>
        <cfvo type="max"/>
        <color rgb="FF63BE7B"/>
        <color rgb="FFFFEB84"/>
        <color rgb="FFF8696B"/>
      </colorScale>
    </cfRule>
    <cfRule type="colorScale" priority="2403">
      <colorScale>
        <cfvo type="min"/>
        <cfvo type="percentile" val="50"/>
        <cfvo type="max"/>
        <color rgb="FF63BE7B"/>
        <color rgb="FFFFEB84"/>
        <color rgb="FFF8696B"/>
      </colorScale>
    </cfRule>
  </conditionalFormatting>
  <conditionalFormatting sqref="AK54:AK61">
    <cfRule type="colorScale" priority="21">
      <colorScale>
        <cfvo type="min"/>
        <cfvo type="percentile" val="50"/>
        <cfvo type="max"/>
        <color rgb="FF63BE7B"/>
        <color rgb="FFFFEB84"/>
        <color rgb="FFF8696B"/>
      </colorScale>
    </cfRule>
  </conditionalFormatting>
  <conditionalFormatting sqref="AK65:AK71">
    <cfRule type="colorScale" priority="12489">
      <colorScale>
        <cfvo type="min"/>
        <cfvo type="percentile" val="50"/>
        <cfvo type="max"/>
        <color rgb="FF63BE7B"/>
        <color rgb="FFFFEB84"/>
        <color rgb="FFF8696B"/>
      </colorScale>
    </cfRule>
    <cfRule type="colorScale" priority="12488">
      <colorScale>
        <cfvo type="min"/>
        <cfvo type="percentile" val="50"/>
        <cfvo type="max"/>
        <color rgb="FF63BE7B"/>
        <color rgb="FFFFEB84"/>
        <color rgb="FFF8696B"/>
      </colorScale>
    </cfRule>
    <cfRule type="colorScale" priority="12487">
      <colorScale>
        <cfvo type="min"/>
        <cfvo type="percentile" val="50"/>
        <cfvo type="max"/>
        <color rgb="FF63BE7B"/>
        <color rgb="FFFFEB84"/>
        <color rgb="FFF8696B"/>
      </colorScale>
    </cfRule>
  </conditionalFormatting>
  <conditionalFormatting sqref="AK65:AK72">
    <cfRule type="colorScale" priority="12576">
      <colorScale>
        <cfvo type="min"/>
        <cfvo type="percentile" val="50"/>
        <cfvo type="max"/>
        <color rgb="FF63BE7B"/>
        <color rgb="FFFFEB84"/>
        <color rgb="FFF8696B"/>
      </colorScale>
    </cfRule>
  </conditionalFormatting>
  <conditionalFormatting sqref="AK66:AK71">
    <cfRule type="colorScale" priority="12490">
      <colorScale>
        <cfvo type="min"/>
        <cfvo type="percentile" val="50"/>
        <cfvo type="max"/>
        <color rgb="FF63BE7B"/>
        <color rgb="FFFFEB84"/>
        <color rgb="FFF8696B"/>
      </colorScale>
    </cfRule>
  </conditionalFormatting>
  <conditionalFormatting sqref="AK72:AK80">
    <cfRule type="colorScale" priority="12370">
      <colorScale>
        <cfvo type="min"/>
        <cfvo type="percentile" val="50"/>
        <cfvo type="max"/>
        <color rgb="FF63BE7B"/>
        <color rgb="FFFFEB84"/>
        <color rgb="FFF8696B"/>
      </colorScale>
    </cfRule>
    <cfRule type="colorScale" priority="12373">
      <colorScale>
        <cfvo type="min"/>
        <cfvo type="percentile" val="50"/>
        <cfvo type="max"/>
        <color rgb="FF63BE7B"/>
        <color rgb="FFFFEB84"/>
        <color rgb="FFF8696B"/>
      </colorScale>
    </cfRule>
    <cfRule type="colorScale" priority="12371">
      <colorScale>
        <cfvo type="min"/>
        <cfvo type="percentile" val="50"/>
        <cfvo type="max"/>
        <color rgb="FF63BE7B"/>
        <color rgb="FFFFEB84"/>
        <color rgb="FFF8696B"/>
      </colorScale>
    </cfRule>
    <cfRule type="colorScale" priority="12372">
      <colorScale>
        <cfvo type="min"/>
        <cfvo type="percentile" val="50"/>
        <cfvo type="max"/>
        <color rgb="FF63BE7B"/>
        <color rgb="FFFFEB84"/>
        <color rgb="FFF8696B"/>
      </colorScale>
    </cfRule>
  </conditionalFormatting>
  <conditionalFormatting sqref="AK81:AK83">
    <cfRule type="colorScale" priority="12265">
      <colorScale>
        <cfvo type="min"/>
        <cfvo type="percentile" val="50"/>
        <cfvo type="max"/>
        <color rgb="FF63BE7B"/>
        <color rgb="FFFFEB84"/>
        <color rgb="FFF8696B"/>
      </colorScale>
    </cfRule>
    <cfRule type="colorScale" priority="12264">
      <colorScale>
        <cfvo type="min"/>
        <cfvo type="percentile" val="50"/>
        <cfvo type="max"/>
        <color rgb="FF63BE7B"/>
        <color rgb="FFFFEB84"/>
        <color rgb="FFF8696B"/>
      </colorScale>
    </cfRule>
    <cfRule type="colorScale" priority="12263">
      <colorScale>
        <cfvo type="min"/>
        <cfvo type="percentile" val="50"/>
        <cfvo type="max"/>
        <color rgb="FF63BE7B"/>
        <color rgb="FFFFEB84"/>
        <color rgb="FFF8696B"/>
      </colorScale>
    </cfRule>
    <cfRule type="colorScale" priority="12262">
      <colorScale>
        <cfvo type="min"/>
        <cfvo type="percentile" val="50"/>
        <cfvo type="max"/>
        <color rgb="FF63BE7B"/>
        <color rgb="FFFFEB84"/>
        <color rgb="FFF8696B"/>
      </colorScale>
    </cfRule>
  </conditionalFormatting>
  <conditionalFormatting sqref="AK84:AK91">
    <cfRule type="colorScale" priority="12089">
      <colorScale>
        <cfvo type="min"/>
        <cfvo type="percentile" val="50"/>
        <cfvo type="max"/>
        <color rgb="FF63BE7B"/>
        <color rgb="FFFFEB84"/>
        <color rgb="FFF8696B"/>
      </colorScale>
    </cfRule>
    <cfRule type="colorScale" priority="12090">
      <colorScale>
        <cfvo type="min"/>
        <cfvo type="percentile" val="50"/>
        <cfvo type="max"/>
        <color rgb="FF63BE7B"/>
        <color rgb="FFFFEB84"/>
        <color rgb="FFF8696B"/>
      </colorScale>
    </cfRule>
    <cfRule type="colorScale" priority="12087">
      <colorScale>
        <cfvo type="min"/>
        <cfvo type="percentile" val="50"/>
        <cfvo type="max"/>
        <color rgb="FF63BE7B"/>
        <color rgb="FFFFEB84"/>
        <color rgb="FFF8696B"/>
      </colorScale>
    </cfRule>
  </conditionalFormatting>
  <conditionalFormatting sqref="AK86">
    <cfRule type="colorScale" priority="12088">
      <colorScale>
        <cfvo type="min"/>
        <cfvo type="percentile" val="50"/>
        <cfvo type="max"/>
        <color rgb="FF63BE7B"/>
        <color rgb="FFFFEB84"/>
        <color rgb="FFF8696B"/>
      </colorScale>
    </cfRule>
  </conditionalFormatting>
  <conditionalFormatting sqref="AK96:AK102">
    <cfRule type="colorScale" priority="11883">
      <colorScale>
        <cfvo type="min"/>
        <cfvo type="percentile" val="50"/>
        <cfvo type="max"/>
        <color rgb="FF63BE7B"/>
        <color rgb="FFFFEB84"/>
        <color rgb="FFF8696B"/>
      </colorScale>
    </cfRule>
    <cfRule type="colorScale" priority="11881">
      <colorScale>
        <cfvo type="min"/>
        <cfvo type="percentile" val="50"/>
        <cfvo type="max"/>
        <color rgb="FF63BE7B"/>
        <color rgb="FFFFEB84"/>
        <color rgb="FFF8696B"/>
      </colorScale>
    </cfRule>
    <cfRule type="colorScale" priority="11882">
      <colorScale>
        <cfvo type="min"/>
        <cfvo type="percentile" val="50"/>
        <cfvo type="max"/>
        <color rgb="FF63BE7B"/>
        <color rgb="FFFFEB84"/>
        <color rgb="FFF8696B"/>
      </colorScale>
    </cfRule>
  </conditionalFormatting>
  <conditionalFormatting sqref="AK96:AK103">
    <cfRule type="colorScale" priority="11970">
      <colorScale>
        <cfvo type="min"/>
        <cfvo type="percentile" val="50"/>
        <cfvo type="max"/>
        <color rgb="FF63BE7B"/>
        <color rgb="FFFFEB84"/>
        <color rgb="FFF8696B"/>
      </colorScale>
    </cfRule>
  </conditionalFormatting>
  <conditionalFormatting sqref="AK97:AK102">
    <cfRule type="colorScale" priority="11884">
      <colorScale>
        <cfvo type="min"/>
        <cfvo type="percentile" val="50"/>
        <cfvo type="max"/>
        <color rgb="FF63BE7B"/>
        <color rgb="FFFFEB84"/>
        <color rgb="FFF8696B"/>
      </colorScale>
    </cfRule>
  </conditionalFormatting>
  <conditionalFormatting sqref="AK103:AK111">
    <cfRule type="colorScale" priority="11766">
      <colorScale>
        <cfvo type="min"/>
        <cfvo type="percentile" val="50"/>
        <cfvo type="max"/>
        <color rgb="FF63BE7B"/>
        <color rgb="FFFFEB84"/>
        <color rgb="FFF8696B"/>
      </colorScale>
    </cfRule>
    <cfRule type="colorScale" priority="11765">
      <colorScale>
        <cfvo type="min"/>
        <cfvo type="percentile" val="50"/>
        <cfvo type="max"/>
        <color rgb="FF63BE7B"/>
        <color rgb="FFFFEB84"/>
        <color rgb="FFF8696B"/>
      </colorScale>
    </cfRule>
    <cfRule type="colorScale" priority="11764">
      <colorScale>
        <cfvo type="min"/>
        <cfvo type="percentile" val="50"/>
        <cfvo type="max"/>
        <color rgb="FF63BE7B"/>
        <color rgb="FFFFEB84"/>
        <color rgb="FFF8696B"/>
      </colorScale>
    </cfRule>
    <cfRule type="colorScale" priority="11767">
      <colorScale>
        <cfvo type="min"/>
        <cfvo type="percentile" val="50"/>
        <cfvo type="max"/>
        <color rgb="FF63BE7B"/>
        <color rgb="FFFFEB84"/>
        <color rgb="FFF8696B"/>
      </colorScale>
    </cfRule>
  </conditionalFormatting>
  <conditionalFormatting sqref="AK112:AK114">
    <cfRule type="colorScale" priority="11659">
      <colorScale>
        <cfvo type="min"/>
        <cfvo type="percentile" val="50"/>
        <cfvo type="max"/>
        <color rgb="FF63BE7B"/>
        <color rgb="FFFFEB84"/>
        <color rgb="FFF8696B"/>
      </colorScale>
    </cfRule>
    <cfRule type="colorScale" priority="11661">
      <colorScale>
        <cfvo type="min"/>
        <cfvo type="percentile" val="50"/>
        <cfvo type="max"/>
        <color rgb="FF63BE7B"/>
        <color rgb="FFFFEB84"/>
        <color rgb="FFF8696B"/>
      </colorScale>
    </cfRule>
    <cfRule type="colorScale" priority="11662">
      <colorScale>
        <cfvo type="min"/>
        <cfvo type="percentile" val="50"/>
        <cfvo type="max"/>
        <color rgb="FF63BE7B"/>
        <color rgb="FFFFEB84"/>
        <color rgb="FFF8696B"/>
      </colorScale>
    </cfRule>
    <cfRule type="colorScale" priority="11660">
      <colorScale>
        <cfvo type="min"/>
        <cfvo type="percentile" val="50"/>
        <cfvo type="max"/>
        <color rgb="FF63BE7B"/>
        <color rgb="FFFFEB84"/>
        <color rgb="FFF8696B"/>
      </colorScale>
    </cfRule>
  </conditionalFormatting>
  <conditionalFormatting sqref="AK115:AK122">
    <cfRule type="colorScale" priority="11484">
      <colorScale>
        <cfvo type="min"/>
        <cfvo type="percentile" val="50"/>
        <cfvo type="max"/>
        <color rgb="FF63BE7B"/>
        <color rgb="FFFFEB84"/>
        <color rgb="FFF8696B"/>
      </colorScale>
    </cfRule>
    <cfRule type="colorScale" priority="11486">
      <colorScale>
        <cfvo type="min"/>
        <cfvo type="percentile" val="50"/>
        <cfvo type="max"/>
        <color rgb="FF63BE7B"/>
        <color rgb="FFFFEB84"/>
        <color rgb="FFF8696B"/>
      </colorScale>
    </cfRule>
    <cfRule type="colorScale" priority="11487">
      <colorScale>
        <cfvo type="min"/>
        <cfvo type="percentile" val="50"/>
        <cfvo type="max"/>
        <color rgb="FF63BE7B"/>
        <color rgb="FFFFEB84"/>
        <color rgb="FFF8696B"/>
      </colorScale>
    </cfRule>
  </conditionalFormatting>
  <conditionalFormatting sqref="AK117">
    <cfRule type="colorScale" priority="11485">
      <colorScale>
        <cfvo type="min"/>
        <cfvo type="percentile" val="50"/>
        <cfvo type="max"/>
        <color rgb="FF63BE7B"/>
        <color rgb="FFFFEB84"/>
        <color rgb="FFF8696B"/>
      </colorScale>
    </cfRule>
  </conditionalFormatting>
  <conditionalFormatting sqref="AK35:AN37">
    <cfRule type="colorScale" priority="15549">
      <colorScale>
        <cfvo type="min"/>
        <cfvo type="percentile" val="50"/>
        <cfvo type="max"/>
        <color rgb="FF63BE7B"/>
        <color rgb="FFFFEB84"/>
        <color rgb="FFF8696B"/>
      </colorScale>
    </cfRule>
  </conditionalFormatting>
  <conditionalFormatting sqref="AK35:AN41">
    <cfRule type="colorScale" priority="15559">
      <colorScale>
        <cfvo type="min"/>
        <cfvo type="percentile" val="50"/>
        <cfvo type="max"/>
        <color rgb="FF63BE7B"/>
        <color rgb="FFFFEB84"/>
        <color rgb="FFF8696B"/>
      </colorScale>
    </cfRule>
    <cfRule type="colorScale" priority="15563">
      <colorScale>
        <cfvo type="min"/>
        <cfvo type="percentile" val="50"/>
        <cfvo type="max"/>
        <color rgb="FF63BE7B"/>
        <color rgb="FFFFEB84"/>
        <color rgb="FFF8696B"/>
      </colorScale>
    </cfRule>
    <cfRule type="colorScale" priority="15567">
      <colorScale>
        <cfvo type="min"/>
        <cfvo type="percentile" val="50"/>
        <cfvo type="max"/>
        <color rgb="FF63BE7B"/>
        <color rgb="FFFFEB84"/>
        <color rgb="FFF8696B"/>
      </colorScale>
    </cfRule>
    <cfRule type="colorScale" priority="15555">
      <colorScale>
        <cfvo type="min"/>
        <cfvo type="percentile" val="50"/>
        <cfvo type="max"/>
        <color rgb="FF63BE7B"/>
        <color rgb="FFFFEB84"/>
        <color rgb="FFF8696B"/>
      </colorScale>
    </cfRule>
    <cfRule type="colorScale" priority="15556">
      <colorScale>
        <cfvo type="min"/>
        <cfvo type="percentile" val="50"/>
        <cfvo type="max"/>
        <color rgb="FF63BE7B"/>
        <color rgb="FFFFEB84"/>
        <color rgb="FFF8696B"/>
      </colorScale>
    </cfRule>
    <cfRule type="colorScale" priority="15565">
      <colorScale>
        <cfvo type="min"/>
        <cfvo type="percentile" val="50"/>
        <cfvo type="max"/>
        <color rgb="FF63BE7B"/>
        <color rgb="FFFFEB84"/>
        <color rgb="FFF8696B"/>
      </colorScale>
    </cfRule>
    <cfRule type="colorScale" priority="15564">
      <colorScale>
        <cfvo type="min"/>
        <cfvo type="percentile" val="50"/>
        <cfvo type="max"/>
        <color rgb="FF63BE7B"/>
        <color rgb="FFFFEB84"/>
        <color rgb="FFF8696B"/>
      </colorScale>
    </cfRule>
    <cfRule type="colorScale" priority="15561">
      <colorScale>
        <cfvo type="min"/>
        <cfvo type="percentile" val="50"/>
        <cfvo type="max"/>
        <color rgb="FF63BE7B"/>
        <color rgb="FFFFEB84"/>
        <color rgb="FFF8696B"/>
      </colorScale>
    </cfRule>
    <cfRule type="colorScale" priority="15562">
      <colorScale>
        <cfvo type="min"/>
        <cfvo type="percentile" val="50"/>
        <cfvo type="max"/>
        <color rgb="FF63BE7B"/>
        <color rgb="FFFFEB84"/>
        <color rgb="FFF8696B"/>
      </colorScale>
    </cfRule>
    <cfRule type="colorScale" priority="15550">
      <colorScale>
        <cfvo type="min"/>
        <cfvo type="percentile" val="50"/>
        <cfvo type="max"/>
        <color rgb="FF63BE7B"/>
        <color rgb="FFFFEB84"/>
        <color rgb="FFF8696B"/>
      </colorScale>
    </cfRule>
    <cfRule type="colorScale" priority="15551">
      <colorScale>
        <cfvo type="min"/>
        <cfvo type="percentile" val="50"/>
        <cfvo type="max"/>
        <color rgb="FF63BE7B"/>
        <color rgb="FFFFEB84"/>
        <color rgb="FFF8696B"/>
      </colorScale>
    </cfRule>
    <cfRule type="colorScale" priority="15552">
      <colorScale>
        <cfvo type="min"/>
        <cfvo type="percentile" val="50"/>
        <cfvo type="max"/>
        <color rgb="FF63BE7B"/>
        <color rgb="FFFFEB84"/>
        <color rgb="FFF8696B"/>
      </colorScale>
    </cfRule>
    <cfRule type="colorScale" priority="15553">
      <colorScale>
        <cfvo type="min"/>
        <cfvo type="percentile" val="50"/>
        <cfvo type="max"/>
        <color rgb="FF63BE7B"/>
        <color rgb="FFFFEB84"/>
        <color rgb="FFF8696B"/>
      </colorScale>
    </cfRule>
    <cfRule type="colorScale" priority="15560">
      <colorScale>
        <cfvo type="min"/>
        <cfvo type="percentile" val="50"/>
        <cfvo type="max"/>
        <color rgb="FF63BE7B"/>
        <color rgb="FFFFEB84"/>
        <color rgb="FFF8696B"/>
      </colorScale>
    </cfRule>
    <cfRule type="colorScale" priority="15557">
      <colorScale>
        <cfvo type="min"/>
        <cfvo type="percentile" val="50"/>
        <cfvo type="max"/>
        <color rgb="FF63BE7B"/>
        <color rgb="FFFFEB84"/>
        <color rgb="FFF8696B"/>
      </colorScale>
    </cfRule>
    <cfRule type="colorScale" priority="15566">
      <colorScale>
        <cfvo type="min"/>
        <cfvo type="percentile" val="50"/>
        <cfvo type="max"/>
        <color rgb="FF63BE7B"/>
        <color rgb="FFFFEB84"/>
        <color rgb="FFF8696B"/>
      </colorScale>
    </cfRule>
    <cfRule type="colorScale" priority="15554">
      <colorScale>
        <cfvo type="min"/>
        <cfvo type="percentile" val="50"/>
        <cfvo type="max"/>
        <color rgb="FF63BE7B"/>
        <color rgb="FFFFEB84"/>
        <color rgb="FFF8696B"/>
      </colorScale>
    </cfRule>
    <cfRule type="colorScale" priority="15558">
      <colorScale>
        <cfvo type="min"/>
        <cfvo type="percentile" val="50"/>
        <cfvo type="max"/>
        <color rgb="FF63BE7B"/>
        <color rgb="FFFFEB84"/>
        <color rgb="FFF8696B"/>
      </colorScale>
    </cfRule>
  </conditionalFormatting>
  <conditionalFormatting sqref="AK52:AN53">
    <cfRule type="colorScale" priority="7284">
      <colorScale>
        <cfvo type="min"/>
        <cfvo type="percentile" val="50"/>
        <cfvo type="max"/>
        <color rgb="FF63BE7B"/>
        <color rgb="FFFFEB84"/>
        <color rgb="FFF8696B"/>
      </colorScale>
    </cfRule>
    <cfRule type="colorScale" priority="7285">
      <colorScale>
        <cfvo type="min"/>
        <cfvo type="percentile" val="50"/>
        <cfvo type="max"/>
        <color rgb="FF63BE7B"/>
        <color rgb="FFFFEB84"/>
        <color rgb="FFF8696B"/>
      </colorScale>
    </cfRule>
    <cfRule type="colorScale" priority="7286">
      <colorScale>
        <cfvo type="min"/>
        <cfvo type="percentile" val="50"/>
        <cfvo type="max"/>
        <color rgb="FF63BE7B"/>
        <color rgb="FFFFEB84"/>
        <color rgb="FFF8696B"/>
      </colorScale>
    </cfRule>
    <cfRule type="colorScale" priority="7287">
      <colorScale>
        <cfvo type="min"/>
        <cfvo type="percentile" val="50"/>
        <cfvo type="max"/>
        <color rgb="FF63BE7B"/>
        <color rgb="FFFFEB84"/>
        <color rgb="FFF8696B"/>
      </colorScale>
    </cfRule>
    <cfRule type="colorScale" priority="7300">
      <colorScale>
        <cfvo type="min"/>
        <cfvo type="percentile" val="50"/>
        <cfvo type="max"/>
        <color rgb="FF63BE7B"/>
        <color rgb="FFFFEB84"/>
        <color rgb="FFF8696B"/>
      </colorScale>
    </cfRule>
    <cfRule type="colorScale" priority="7291">
      <colorScale>
        <cfvo type="min"/>
        <cfvo type="percentile" val="50"/>
        <cfvo type="max"/>
        <color rgb="FF63BE7B"/>
        <color rgb="FFFFEB84"/>
        <color rgb="FFF8696B"/>
      </colorScale>
    </cfRule>
    <cfRule type="colorScale" priority="7295">
      <colorScale>
        <cfvo type="min"/>
        <cfvo type="percentile" val="50"/>
        <cfvo type="max"/>
        <color rgb="FF63BE7B"/>
        <color rgb="FFFFEB84"/>
        <color rgb="FFF8696B"/>
      </colorScale>
    </cfRule>
    <cfRule type="colorScale" priority="7297">
      <colorScale>
        <cfvo type="min"/>
        <cfvo type="percentile" val="50"/>
        <cfvo type="max"/>
        <color rgb="FF63BE7B"/>
        <color rgb="FFFFEB84"/>
        <color rgb="FFF8696B"/>
      </colorScale>
    </cfRule>
    <cfRule type="colorScale" priority="7294">
      <colorScale>
        <cfvo type="min"/>
        <cfvo type="percentile" val="50"/>
        <cfvo type="max"/>
        <color rgb="FF63BE7B"/>
        <color rgb="FFFFEB84"/>
        <color rgb="FFF8696B"/>
      </colorScale>
    </cfRule>
    <cfRule type="colorScale" priority="7290">
      <colorScale>
        <cfvo type="min"/>
        <cfvo type="percentile" val="50"/>
        <cfvo type="max"/>
        <color rgb="FF63BE7B"/>
        <color rgb="FFFFEB84"/>
        <color rgb="FFF8696B"/>
      </colorScale>
    </cfRule>
    <cfRule type="colorScale" priority="7289">
      <colorScale>
        <cfvo type="min"/>
        <cfvo type="percentile" val="50"/>
        <cfvo type="max"/>
        <color rgb="FF63BE7B"/>
        <color rgb="FFFFEB84"/>
        <color rgb="FFF8696B"/>
      </colorScale>
    </cfRule>
    <cfRule type="colorScale" priority="7292">
      <colorScale>
        <cfvo type="min"/>
        <cfvo type="percentile" val="50"/>
        <cfvo type="max"/>
        <color rgb="FF63BE7B"/>
        <color rgb="FFFFEB84"/>
        <color rgb="FFF8696B"/>
      </colorScale>
    </cfRule>
    <cfRule type="colorScale" priority="7288">
      <colorScale>
        <cfvo type="min"/>
        <cfvo type="percentile" val="50"/>
        <cfvo type="max"/>
        <color rgb="FF63BE7B"/>
        <color rgb="FFFFEB84"/>
        <color rgb="FFF8696B"/>
      </colorScale>
    </cfRule>
    <cfRule type="colorScale" priority="7299">
      <colorScale>
        <cfvo type="min"/>
        <cfvo type="percentile" val="50"/>
        <cfvo type="max"/>
        <color rgb="FF63BE7B"/>
        <color rgb="FFFFEB84"/>
        <color rgb="FFF8696B"/>
      </colorScale>
    </cfRule>
    <cfRule type="colorScale" priority="7293">
      <colorScale>
        <cfvo type="min"/>
        <cfvo type="percentile" val="50"/>
        <cfvo type="max"/>
        <color rgb="FF63BE7B"/>
        <color rgb="FFFFEB84"/>
        <color rgb="FFF8696B"/>
      </colorScale>
    </cfRule>
    <cfRule type="colorScale" priority="7298">
      <colorScale>
        <cfvo type="min"/>
        <cfvo type="percentile" val="50"/>
        <cfvo type="max"/>
        <color rgb="FF63BE7B"/>
        <color rgb="FFFFEB84"/>
        <color rgb="FFF8696B"/>
      </colorScale>
    </cfRule>
    <cfRule type="colorScale" priority="7296">
      <colorScale>
        <cfvo type="min"/>
        <cfvo type="percentile" val="50"/>
        <cfvo type="max"/>
        <color rgb="FF63BE7B"/>
        <color rgb="FFFFEB84"/>
        <color rgb="FFF8696B"/>
      </colorScale>
    </cfRule>
    <cfRule type="colorScale" priority="7301">
      <colorScale>
        <cfvo type="min"/>
        <cfvo type="percentile" val="50"/>
        <cfvo type="max"/>
        <color rgb="FF63BE7B"/>
        <color rgb="FFFFEB84"/>
        <color rgb="FFF8696B"/>
      </colorScale>
    </cfRule>
  </conditionalFormatting>
  <conditionalFormatting sqref="AL35:AL37">
    <cfRule type="colorScale" priority="8861">
      <colorScale>
        <cfvo type="min"/>
        <cfvo type="percentile" val="50"/>
        <cfvo type="max"/>
        <color rgb="FF63BE7B"/>
        <color rgb="FFFFEB84"/>
        <color rgb="FFF8696B"/>
      </colorScale>
    </cfRule>
    <cfRule type="colorScale" priority="8860">
      <colorScale>
        <cfvo type="min"/>
        <cfvo type="percentile" val="50"/>
        <cfvo type="max"/>
        <color rgb="FF63BE7B"/>
        <color rgb="FFFFEB84"/>
        <color rgb="FFF8696B"/>
      </colorScale>
    </cfRule>
    <cfRule type="colorScale" priority="8859">
      <colorScale>
        <cfvo type="min"/>
        <cfvo type="percentile" val="50"/>
        <cfvo type="max"/>
        <color rgb="FF63BE7B"/>
        <color rgb="FFFFEB84"/>
        <color rgb="FFF8696B"/>
      </colorScale>
    </cfRule>
    <cfRule type="colorScale" priority="8858">
      <colorScale>
        <cfvo type="min"/>
        <cfvo type="percentile" val="50"/>
        <cfvo type="max"/>
        <color rgb="FF63BE7B"/>
        <color rgb="FFFFEB84"/>
        <color rgb="FFF8696B"/>
      </colorScale>
    </cfRule>
    <cfRule type="colorScale" priority="8850">
      <colorScale>
        <cfvo type="min"/>
        <cfvo type="percentile" val="50"/>
        <cfvo type="max"/>
        <color rgb="FF63BE7B"/>
        <color rgb="FFFFEB84"/>
        <color rgb="FFF8696B"/>
      </colorScale>
    </cfRule>
    <cfRule type="colorScale" priority="9766">
      <colorScale>
        <cfvo type="min"/>
        <cfvo type="percentile" val="50"/>
        <cfvo type="max"/>
        <color rgb="FF63BE7B"/>
        <color rgb="FFFFEB84"/>
        <color rgb="FFF8696B"/>
      </colorScale>
    </cfRule>
    <cfRule type="colorScale" priority="9758">
      <colorScale>
        <cfvo type="min"/>
        <cfvo type="percentile" val="50"/>
        <cfvo type="max"/>
        <color rgb="FF63BE7B"/>
        <color rgb="FFFFEB84"/>
        <color rgb="FFF8696B"/>
      </colorScale>
    </cfRule>
    <cfRule type="colorScale" priority="9767">
      <colorScale>
        <cfvo type="min"/>
        <cfvo type="percentile" val="50"/>
        <cfvo type="max"/>
        <color rgb="FF63BE7B"/>
        <color rgb="FFFFEB84"/>
        <color rgb="FFF8696B"/>
      </colorScale>
    </cfRule>
    <cfRule type="colorScale" priority="9768">
      <colorScale>
        <cfvo type="min"/>
        <cfvo type="percentile" val="50"/>
        <cfvo type="max"/>
        <color rgb="FF63BE7B"/>
        <color rgb="FFFFEB84"/>
        <color rgb="FFF8696B"/>
      </colorScale>
    </cfRule>
    <cfRule type="colorScale" priority="9769">
      <colorScale>
        <cfvo type="min"/>
        <cfvo type="percentile" val="50"/>
        <cfvo type="max"/>
        <color rgb="FF63BE7B"/>
        <color rgb="FFFFEB84"/>
        <color rgb="FFF8696B"/>
      </colorScale>
    </cfRule>
    <cfRule type="colorScale" priority="9771">
      <colorScale>
        <cfvo type="min"/>
        <cfvo type="percentile" val="50"/>
        <cfvo type="max"/>
        <color rgb="FF63BE7B"/>
        <color rgb="FFFFEB84"/>
        <color rgb="FFF8696B"/>
      </colorScale>
    </cfRule>
    <cfRule type="colorScale" priority="9772">
      <colorScale>
        <cfvo type="min"/>
        <cfvo type="percentile" val="50"/>
        <cfvo type="max"/>
        <color rgb="FF63BE7B"/>
        <color rgb="FFFFEB84"/>
        <color rgb="FFF8696B"/>
      </colorScale>
    </cfRule>
    <cfRule type="colorScale" priority="8837">
      <colorScale>
        <cfvo type="min"/>
        <cfvo type="percentile" val="50"/>
        <cfvo type="max"/>
        <color rgb="FF63BE7B"/>
        <color rgb="FFFFEB84"/>
        <color rgb="FFF8696B"/>
      </colorScale>
    </cfRule>
    <cfRule type="colorScale" priority="8836">
      <colorScale>
        <cfvo type="min"/>
        <cfvo type="percentile" val="50"/>
        <cfvo type="max"/>
        <color rgb="FF63BE7B"/>
        <color rgb="FFFFEB84"/>
        <color rgb="FFF8696B"/>
      </colorScale>
    </cfRule>
    <cfRule type="colorScale" priority="8834">
      <colorScale>
        <cfvo type="min"/>
        <cfvo type="percentile" val="50"/>
        <cfvo type="max"/>
        <color rgb="FF63BE7B"/>
        <color rgb="FFFFEB84"/>
        <color rgb="FFF8696B"/>
      </colorScale>
    </cfRule>
    <cfRule type="colorScale" priority="8832">
      <colorScale>
        <cfvo type="min"/>
        <cfvo type="percentile" val="50"/>
        <cfvo type="max"/>
        <color rgb="FF63BE7B"/>
        <color rgb="FFFFEB84"/>
        <color rgb="FFF8696B"/>
      </colorScale>
    </cfRule>
    <cfRule type="colorScale" priority="8831">
      <colorScale>
        <cfvo type="min"/>
        <cfvo type="percentile" val="50"/>
        <cfvo type="max"/>
        <color rgb="FF63BE7B"/>
        <color rgb="FFFFEB84"/>
        <color rgb="FFF8696B"/>
      </colorScale>
    </cfRule>
    <cfRule type="colorScale" priority="8823">
      <colorScale>
        <cfvo type="min"/>
        <cfvo type="percentile" val="50"/>
        <cfvo type="max"/>
        <color rgb="FF63BE7B"/>
        <color rgb="FFFFEB84"/>
        <color rgb="FFF8696B"/>
      </colorScale>
    </cfRule>
    <cfRule type="colorScale" priority="8833">
      <colorScale>
        <cfvo type="min"/>
        <cfvo type="percentile" val="50"/>
        <cfvo type="max"/>
        <color rgb="FF63BE7B"/>
        <color rgb="FFFFEB84"/>
        <color rgb="FFF8696B"/>
      </colorScale>
    </cfRule>
    <cfRule type="colorScale" priority="10833">
      <colorScale>
        <cfvo type="min"/>
        <cfvo type="percentile" val="50"/>
        <cfvo type="max"/>
        <color rgb="FF63BE7B"/>
        <color rgb="FFFFEB84"/>
        <color rgb="FFF8696B"/>
      </colorScale>
    </cfRule>
    <cfRule type="colorScale" priority="8864">
      <colorScale>
        <cfvo type="min"/>
        <cfvo type="percentile" val="50"/>
        <cfvo type="max"/>
        <color rgb="FF63BE7B"/>
        <color rgb="FFFFEB84"/>
        <color rgb="FFF8696B"/>
      </colorScale>
    </cfRule>
    <cfRule type="colorScale" priority="8863">
      <colorScale>
        <cfvo type="min"/>
        <cfvo type="percentile" val="50"/>
        <cfvo type="max"/>
        <color rgb="FF63BE7B"/>
        <color rgb="FFFFEB84"/>
        <color rgb="FFF8696B"/>
      </colorScale>
    </cfRule>
  </conditionalFormatting>
  <conditionalFormatting sqref="AL35:AL41 I35:I50 Y35:Y41">
    <cfRule type="colorScale" priority="13059">
      <colorScale>
        <cfvo type="min"/>
        <cfvo type="percentile" val="50"/>
        <cfvo type="max"/>
        <color rgb="FF63BE7B"/>
        <color rgb="FFFFEB84"/>
        <color rgb="FFF8696B"/>
      </colorScale>
    </cfRule>
    <cfRule type="colorScale" priority="13061">
      <colorScale>
        <cfvo type="min"/>
        <cfvo type="percentile" val="50"/>
        <cfvo type="max"/>
        <color rgb="FF63BE7B"/>
        <color rgb="FFFFEB84"/>
        <color rgb="FFF8696B"/>
      </colorScale>
    </cfRule>
    <cfRule type="colorScale" priority="13060">
      <colorScale>
        <cfvo type="min"/>
        <cfvo type="percentile" val="50"/>
        <cfvo type="max"/>
        <color rgb="FF63BE7B"/>
        <color rgb="FFFFEB84"/>
        <color rgb="FFF8696B"/>
      </colorScale>
    </cfRule>
    <cfRule type="colorScale" priority="13058">
      <colorScale>
        <cfvo type="min"/>
        <cfvo type="percentile" val="50"/>
        <cfvo type="max"/>
        <color rgb="FF63BE7B"/>
        <color rgb="FFFFEB84"/>
        <color rgb="FFF8696B"/>
      </colorScale>
    </cfRule>
    <cfRule type="colorScale" priority="13218">
      <colorScale>
        <cfvo type="min"/>
        <cfvo type="percentile" val="50"/>
        <cfvo type="max"/>
        <color rgb="FF63BE7B"/>
        <color rgb="FFFFEB84"/>
        <color rgb="FFF8696B"/>
      </colorScale>
    </cfRule>
  </conditionalFormatting>
  <conditionalFormatting sqref="AL35:AL41">
    <cfRule type="colorScale" priority="8829">
      <colorScale>
        <cfvo type="min"/>
        <cfvo type="percentile" val="50"/>
        <cfvo type="max"/>
        <color rgb="FF63BE7B"/>
        <color rgb="FFFFEB84"/>
        <color rgb="FFF8696B"/>
      </colorScale>
    </cfRule>
    <cfRule type="colorScale" priority="8828">
      <colorScale>
        <cfvo type="min"/>
        <cfvo type="percentile" val="50"/>
        <cfvo type="max"/>
        <color rgb="FF63BE7B"/>
        <color rgb="FFFFEB84"/>
        <color rgb="FFF8696B"/>
      </colorScale>
    </cfRule>
    <cfRule type="colorScale" priority="8827">
      <colorScale>
        <cfvo type="min"/>
        <cfvo type="percentile" val="50"/>
        <cfvo type="max"/>
        <color rgb="FF63BE7B"/>
        <color rgb="FFFFEB84"/>
        <color rgb="FFF8696B"/>
      </colorScale>
    </cfRule>
    <cfRule type="colorScale" priority="8826">
      <colorScale>
        <cfvo type="min"/>
        <cfvo type="percentile" val="50"/>
        <cfvo type="max"/>
        <color rgb="FF63BE7B"/>
        <color rgb="FFFFEB84"/>
        <color rgb="FFF8696B"/>
      </colorScale>
    </cfRule>
    <cfRule type="colorScale" priority="8825">
      <colorScale>
        <cfvo type="min"/>
        <cfvo type="percentile" val="50"/>
        <cfvo type="max"/>
        <color rgb="FF63BE7B"/>
        <color rgb="FFFFEB84"/>
        <color rgb="FFF8696B"/>
      </colorScale>
    </cfRule>
    <cfRule type="colorScale" priority="8824">
      <colorScale>
        <cfvo type="min"/>
        <cfvo type="percentile" val="50"/>
        <cfvo type="max"/>
        <color rgb="FF63BE7B"/>
        <color rgb="FFFFEB84"/>
        <color rgb="FFF8696B"/>
      </colorScale>
    </cfRule>
    <cfRule type="colorScale" priority="8853">
      <colorScale>
        <cfvo type="min"/>
        <cfvo type="percentile" val="50"/>
        <cfvo type="max"/>
        <color rgb="FF63BE7B"/>
        <color rgb="FFFFEB84"/>
        <color rgb="FFF8696B"/>
      </colorScale>
    </cfRule>
    <cfRule type="colorScale" priority="8854">
      <colorScale>
        <cfvo type="min"/>
        <cfvo type="percentile" val="50"/>
        <cfvo type="max"/>
        <color rgb="FF63BE7B"/>
        <color rgb="FFFFEB84"/>
        <color rgb="FFF8696B"/>
      </colorScale>
    </cfRule>
    <cfRule type="colorScale" priority="10849">
      <colorScale>
        <cfvo type="min"/>
        <cfvo type="percentile" val="50"/>
        <cfvo type="max"/>
        <color rgb="FF63BE7B"/>
        <color rgb="FFFFEB84"/>
        <color rgb="FFF8696B"/>
      </colorScale>
    </cfRule>
    <cfRule type="colorScale" priority="10848">
      <colorScale>
        <cfvo type="min"/>
        <cfvo type="percentile" val="50"/>
        <cfvo type="max"/>
        <color rgb="FF63BE7B"/>
        <color rgb="FFFFEB84"/>
        <color rgb="FFF8696B"/>
      </colorScale>
    </cfRule>
    <cfRule type="colorScale" priority="10847">
      <colorScale>
        <cfvo type="min"/>
        <cfvo type="percentile" val="50"/>
        <cfvo type="max"/>
        <color rgb="FF63BE7B"/>
        <color rgb="FFFFEB84"/>
        <color rgb="FFF8696B"/>
      </colorScale>
    </cfRule>
    <cfRule type="colorScale" priority="10846">
      <colorScale>
        <cfvo type="min"/>
        <cfvo type="percentile" val="50"/>
        <cfvo type="max"/>
        <color rgb="FF63BE7B"/>
        <color rgb="FFFFEB84"/>
        <color rgb="FFF8696B"/>
      </colorScale>
    </cfRule>
    <cfRule type="colorScale" priority="10845">
      <colorScale>
        <cfvo type="min"/>
        <cfvo type="percentile" val="50"/>
        <cfvo type="max"/>
        <color rgb="FF63BE7B"/>
        <color rgb="FFFFEB84"/>
        <color rgb="FFF8696B"/>
      </colorScale>
    </cfRule>
    <cfRule type="colorScale" priority="10844">
      <colorScale>
        <cfvo type="min"/>
        <cfvo type="percentile" val="50"/>
        <cfvo type="max"/>
        <color rgb="FF63BE7B"/>
        <color rgb="FFFFEB84"/>
        <color rgb="FFF8696B"/>
      </colorScale>
    </cfRule>
    <cfRule type="colorScale" priority="10843">
      <colorScale>
        <cfvo type="min"/>
        <cfvo type="percentile" val="50"/>
        <cfvo type="max"/>
        <color rgb="FF63BE7B"/>
        <color rgb="FFFFEB84"/>
        <color rgb="FFF8696B"/>
      </colorScale>
    </cfRule>
    <cfRule type="colorScale" priority="8855">
      <colorScale>
        <cfvo type="min"/>
        <cfvo type="percentile" val="50"/>
        <cfvo type="max"/>
        <color rgb="FF63BE7B"/>
        <color rgb="FFFFEB84"/>
        <color rgb="FFF8696B"/>
      </colorScale>
    </cfRule>
    <cfRule type="colorScale" priority="8856">
      <colorScale>
        <cfvo type="min"/>
        <cfvo type="percentile" val="50"/>
        <cfvo type="max"/>
        <color rgb="FF63BE7B"/>
        <color rgb="FFFFEB84"/>
        <color rgb="FFF8696B"/>
      </colorScale>
    </cfRule>
    <cfRule type="colorScale" priority="8857">
      <colorScale>
        <cfvo type="min"/>
        <cfvo type="percentile" val="50"/>
        <cfvo type="max"/>
        <color rgb="FF63BE7B"/>
        <color rgb="FFFFEB84"/>
        <color rgb="FFF8696B"/>
      </colorScale>
    </cfRule>
    <cfRule type="colorScale" priority="10831">
      <colorScale>
        <cfvo type="min"/>
        <cfvo type="percentile" val="50"/>
        <cfvo type="max"/>
        <color rgb="FF63BE7B"/>
        <color rgb="FFFFEB84"/>
        <color rgb="FFF8696B"/>
      </colorScale>
    </cfRule>
    <cfRule type="colorScale" priority="8821">
      <colorScale>
        <cfvo type="min"/>
        <cfvo type="percentile" val="50"/>
        <cfvo type="max"/>
        <color rgb="FF63BE7B"/>
        <color rgb="FFFFEB84"/>
        <color rgb="FFF8696B"/>
      </colorScale>
    </cfRule>
    <cfRule type="colorScale" priority="8865">
      <colorScale>
        <cfvo type="min"/>
        <cfvo type="percentile" val="50"/>
        <cfvo type="max"/>
        <color rgb="FF63BE7B"/>
        <color rgb="FFFFEB84"/>
        <color rgb="FFF8696B"/>
      </colorScale>
    </cfRule>
    <cfRule type="colorScale" priority="8866">
      <colorScale>
        <cfvo type="min"/>
        <cfvo type="percentile" val="50"/>
        <cfvo type="max"/>
        <color rgb="FF63BE7B"/>
        <color rgb="FFFFEB84"/>
        <color rgb="FFF8696B"/>
      </colorScale>
    </cfRule>
    <cfRule type="colorScale" priority="8867">
      <colorScale>
        <cfvo type="min"/>
        <cfvo type="percentile" val="50"/>
        <cfvo type="max"/>
        <color rgb="FF63BE7B"/>
        <color rgb="FFFFEB84"/>
        <color rgb="FFF8696B"/>
      </colorScale>
    </cfRule>
    <cfRule type="colorScale" priority="8868">
      <colorScale>
        <cfvo type="min"/>
        <cfvo type="percentile" val="50"/>
        <cfvo type="max"/>
        <color rgb="FF63BE7B"/>
        <color rgb="FFFFEB84"/>
        <color rgb="FFF8696B"/>
      </colorScale>
    </cfRule>
    <cfRule type="colorScale" priority="13091">
      <colorScale>
        <cfvo type="min"/>
        <cfvo type="percentile" val="50"/>
        <cfvo type="max"/>
        <color rgb="FF63BE7B"/>
        <color rgb="FFFFEB84"/>
        <color rgb="FFF8696B"/>
      </colorScale>
    </cfRule>
    <cfRule type="colorScale" priority="13092">
      <colorScale>
        <cfvo type="min"/>
        <cfvo type="percentile" val="50"/>
        <cfvo type="max"/>
        <color rgb="FF63BE7B"/>
        <color rgb="FFFFEB84"/>
        <color rgb="FFF8696B"/>
      </colorScale>
    </cfRule>
    <cfRule type="colorScale" priority="13093">
      <colorScale>
        <cfvo type="min"/>
        <cfvo type="percentile" val="50"/>
        <cfvo type="max"/>
        <color rgb="FF63BE7B"/>
        <color rgb="FFFFEB84"/>
        <color rgb="FFF8696B"/>
      </colorScale>
    </cfRule>
    <cfRule type="colorScale" priority="10839">
      <colorScale>
        <cfvo type="min"/>
        <cfvo type="percentile" val="50"/>
        <cfvo type="max"/>
        <color rgb="FF63BE7B"/>
        <color rgb="FFFFEB84"/>
        <color rgb="FFF8696B"/>
      </colorScale>
    </cfRule>
    <cfRule type="colorScale" priority="8869">
      <colorScale>
        <cfvo type="min"/>
        <cfvo type="percentile" val="50"/>
        <cfvo type="max"/>
        <color rgb="FF63BE7B"/>
        <color rgb="FFFFEB84"/>
        <color rgb="FFF8696B"/>
      </colorScale>
    </cfRule>
    <cfRule type="colorScale" priority="8870">
      <colorScale>
        <cfvo type="min"/>
        <cfvo type="percentile" val="50"/>
        <cfvo type="max"/>
        <color rgb="FF63BE7B"/>
        <color rgb="FFFFEB84"/>
        <color rgb="FFF8696B"/>
      </colorScale>
    </cfRule>
    <cfRule type="colorScale" priority="8871">
      <colorScale>
        <cfvo type="min"/>
        <cfvo type="percentile" val="50"/>
        <cfvo type="max"/>
        <color rgb="FF63BE7B"/>
        <color rgb="FFFFEB84"/>
        <color rgb="FFF8696B"/>
      </colorScale>
    </cfRule>
    <cfRule type="colorScale" priority="10840">
      <colorScale>
        <cfvo type="min"/>
        <cfvo type="percentile" val="50"/>
        <cfvo type="max"/>
        <color rgb="FF63BE7B"/>
        <color rgb="FFFFEB84"/>
        <color rgb="FFF8696B"/>
      </colorScale>
    </cfRule>
    <cfRule type="colorScale" priority="8873">
      <colorScale>
        <cfvo type="min"/>
        <cfvo type="percentile" val="50"/>
        <cfvo type="max"/>
        <color rgb="FF63BE7B"/>
        <color rgb="FFFFEB84"/>
        <color rgb="FFF8696B"/>
      </colorScale>
    </cfRule>
    <cfRule type="colorScale" priority="8874">
      <colorScale>
        <cfvo type="min"/>
        <cfvo type="percentile" val="50"/>
        <cfvo type="max"/>
        <color rgb="FF63BE7B"/>
        <color rgb="FFFFEB84"/>
        <color rgb="FFF8696B"/>
      </colorScale>
    </cfRule>
    <cfRule type="colorScale" priority="10832">
      <colorScale>
        <cfvo type="min"/>
        <cfvo type="percentile" val="50"/>
        <cfvo type="max"/>
        <color rgb="FF63BE7B"/>
        <color rgb="FFFFEB84"/>
        <color rgb="FFF8696B"/>
      </colorScale>
    </cfRule>
    <cfRule type="colorScale" priority="10834">
      <colorScale>
        <cfvo type="min"/>
        <cfvo type="percentile" val="50"/>
        <cfvo type="max"/>
        <color rgb="FF63BE7B"/>
        <color rgb="FFFFEB84"/>
        <color rgb="FFF8696B"/>
      </colorScale>
    </cfRule>
    <cfRule type="colorScale" priority="10841">
      <colorScale>
        <cfvo type="min"/>
        <cfvo type="percentile" val="50"/>
        <cfvo type="max"/>
        <color rgb="FF63BE7B"/>
        <color rgb="FFFFEB84"/>
        <color rgb="FFF8696B"/>
      </colorScale>
    </cfRule>
    <cfRule type="colorScale" priority="10842">
      <colorScale>
        <cfvo type="min"/>
        <cfvo type="percentile" val="50"/>
        <cfvo type="max"/>
        <color rgb="FF63BE7B"/>
        <color rgb="FFFFEB84"/>
        <color rgb="FFF8696B"/>
      </colorScale>
    </cfRule>
    <cfRule type="colorScale" priority="10835">
      <colorScale>
        <cfvo type="min"/>
        <cfvo type="percentile" val="50"/>
        <cfvo type="max"/>
        <color rgb="FF63BE7B"/>
        <color rgb="FFFFEB84"/>
        <color rgb="FFF8696B"/>
      </colorScale>
    </cfRule>
    <cfRule type="colorScale" priority="10836">
      <colorScale>
        <cfvo type="min"/>
        <cfvo type="percentile" val="50"/>
        <cfvo type="max"/>
        <color rgb="FF63BE7B"/>
        <color rgb="FFFFEB84"/>
        <color rgb="FFF8696B"/>
      </colorScale>
    </cfRule>
    <cfRule type="colorScale" priority="10837">
      <colorScale>
        <cfvo type="min"/>
        <cfvo type="percentile" val="50"/>
        <cfvo type="max"/>
        <color rgb="FF63BE7B"/>
        <color rgb="FFFFEB84"/>
        <color rgb="FFF8696B"/>
      </colorScale>
    </cfRule>
    <cfRule type="colorScale" priority="9756">
      <colorScale>
        <cfvo type="min"/>
        <cfvo type="percentile" val="50"/>
        <cfvo type="max"/>
        <color rgb="FF63BE7B"/>
        <color rgb="FFFFEB84"/>
        <color rgb="FFF8696B"/>
      </colorScale>
    </cfRule>
    <cfRule type="colorScale" priority="9757">
      <colorScale>
        <cfvo type="min"/>
        <cfvo type="percentile" val="50"/>
        <cfvo type="max"/>
        <color rgb="FF63BE7B"/>
        <color rgb="FFFFEB84"/>
        <color rgb="FFF8696B"/>
      </colorScale>
    </cfRule>
    <cfRule type="colorScale" priority="9759">
      <colorScale>
        <cfvo type="min"/>
        <cfvo type="percentile" val="50"/>
        <cfvo type="max"/>
        <color rgb="FF63BE7B"/>
        <color rgb="FFFFEB84"/>
        <color rgb="FFF8696B"/>
      </colorScale>
    </cfRule>
    <cfRule type="colorScale" priority="9760">
      <colorScale>
        <cfvo type="min"/>
        <cfvo type="percentile" val="50"/>
        <cfvo type="max"/>
        <color rgb="FF63BE7B"/>
        <color rgb="FFFFEB84"/>
        <color rgb="FFF8696B"/>
      </colorScale>
    </cfRule>
    <cfRule type="colorScale" priority="9761">
      <colorScale>
        <cfvo type="min"/>
        <cfvo type="percentile" val="50"/>
        <cfvo type="max"/>
        <color rgb="FF63BE7B"/>
        <color rgb="FFFFEB84"/>
        <color rgb="FFF8696B"/>
      </colorScale>
    </cfRule>
    <cfRule type="colorScale" priority="9762">
      <colorScale>
        <cfvo type="min"/>
        <cfvo type="percentile" val="50"/>
        <cfvo type="max"/>
        <color rgb="FF63BE7B"/>
        <color rgb="FFFFEB84"/>
        <color rgb="FFF8696B"/>
      </colorScale>
    </cfRule>
    <cfRule type="colorScale" priority="9763">
      <colorScale>
        <cfvo type="min"/>
        <cfvo type="percentile" val="50"/>
        <cfvo type="max"/>
        <color rgb="FF63BE7B"/>
        <color rgb="FFFFEB84"/>
        <color rgb="FFF8696B"/>
      </colorScale>
    </cfRule>
    <cfRule type="colorScale" priority="9764">
      <colorScale>
        <cfvo type="min"/>
        <cfvo type="percentile" val="50"/>
        <cfvo type="max"/>
        <color rgb="FF63BE7B"/>
        <color rgb="FFFFEB84"/>
        <color rgb="FFF8696B"/>
      </colorScale>
    </cfRule>
    <cfRule type="colorScale" priority="9765">
      <colorScale>
        <cfvo type="min"/>
        <cfvo type="percentile" val="50"/>
        <cfvo type="max"/>
        <color rgb="FF63BE7B"/>
        <color rgb="FFFFEB84"/>
        <color rgb="FFF8696B"/>
      </colorScale>
    </cfRule>
    <cfRule type="colorScale" priority="10838">
      <colorScale>
        <cfvo type="min"/>
        <cfvo type="percentile" val="50"/>
        <cfvo type="max"/>
        <color rgb="FF63BE7B"/>
        <color rgb="FFFFEB84"/>
        <color rgb="FFF8696B"/>
      </colorScale>
    </cfRule>
    <cfRule type="colorScale" priority="8844">
      <colorScale>
        <cfvo type="min"/>
        <cfvo type="percentile" val="50"/>
        <cfvo type="max"/>
        <color rgb="FF63BE7B"/>
        <color rgb="FFFFEB84"/>
        <color rgb="FFF8696B"/>
      </colorScale>
    </cfRule>
    <cfRule type="colorScale" priority="8843">
      <colorScale>
        <cfvo type="min"/>
        <cfvo type="percentile" val="50"/>
        <cfvo type="max"/>
        <color rgb="FF63BE7B"/>
        <color rgb="FFFFEB84"/>
        <color rgb="FFF8696B"/>
      </colorScale>
    </cfRule>
    <cfRule type="colorScale" priority="8842">
      <colorScale>
        <cfvo type="min"/>
        <cfvo type="percentile" val="50"/>
        <cfvo type="max"/>
        <color rgb="FF63BE7B"/>
        <color rgb="FFFFEB84"/>
        <color rgb="FFF8696B"/>
      </colorScale>
    </cfRule>
    <cfRule type="colorScale" priority="8841">
      <colorScale>
        <cfvo type="min"/>
        <cfvo type="percentile" val="50"/>
        <cfvo type="max"/>
        <color rgb="FF63BE7B"/>
        <color rgb="FFFFEB84"/>
        <color rgb="FFF8696B"/>
      </colorScale>
    </cfRule>
    <cfRule type="colorScale" priority="8847">
      <colorScale>
        <cfvo type="min"/>
        <cfvo type="percentile" val="50"/>
        <cfvo type="max"/>
        <color rgb="FF63BE7B"/>
        <color rgb="FFFFEB84"/>
        <color rgb="FFF8696B"/>
      </colorScale>
    </cfRule>
    <cfRule type="colorScale" priority="9773">
      <colorScale>
        <cfvo type="min"/>
        <cfvo type="percentile" val="50"/>
        <cfvo type="max"/>
        <color rgb="FF63BE7B"/>
        <color rgb="FFFFEB84"/>
        <color rgb="FFF8696B"/>
      </colorScale>
    </cfRule>
    <cfRule type="colorScale" priority="9774">
      <colorScale>
        <cfvo type="min"/>
        <cfvo type="percentile" val="50"/>
        <cfvo type="max"/>
        <color rgb="FF63BE7B"/>
        <color rgb="FFFFEB84"/>
        <color rgb="FFF8696B"/>
      </colorScale>
    </cfRule>
    <cfRule type="colorScale" priority="9775">
      <colorScale>
        <cfvo type="min"/>
        <cfvo type="percentile" val="50"/>
        <cfvo type="max"/>
        <color rgb="FF63BE7B"/>
        <color rgb="FFFFEB84"/>
        <color rgb="FFF8696B"/>
      </colorScale>
    </cfRule>
    <cfRule type="colorScale" priority="9776">
      <colorScale>
        <cfvo type="min"/>
        <cfvo type="percentile" val="50"/>
        <cfvo type="max"/>
        <color rgb="FF63BE7B"/>
        <color rgb="FFFFEB84"/>
        <color rgb="FFF8696B"/>
      </colorScale>
    </cfRule>
    <cfRule type="colorScale" priority="9777">
      <colorScale>
        <cfvo type="min"/>
        <cfvo type="percentile" val="50"/>
        <cfvo type="max"/>
        <color rgb="FF63BE7B"/>
        <color rgb="FFFFEB84"/>
        <color rgb="FFF8696B"/>
      </colorScale>
    </cfRule>
    <cfRule type="colorScale" priority="9778">
      <colorScale>
        <cfvo type="min"/>
        <cfvo type="percentile" val="50"/>
        <cfvo type="max"/>
        <color rgb="FF63BE7B"/>
        <color rgb="FFFFEB84"/>
        <color rgb="FFF8696B"/>
      </colorScale>
    </cfRule>
    <cfRule type="colorScale" priority="9779">
      <colorScale>
        <cfvo type="min"/>
        <cfvo type="percentile" val="50"/>
        <cfvo type="max"/>
        <color rgb="FF63BE7B"/>
        <color rgb="FFFFEB84"/>
        <color rgb="FFF8696B"/>
      </colorScale>
    </cfRule>
    <cfRule type="colorScale" priority="9781">
      <colorScale>
        <cfvo type="min"/>
        <cfvo type="percentile" val="50"/>
        <cfvo type="max"/>
        <color rgb="FF63BE7B"/>
        <color rgb="FFFFEB84"/>
        <color rgb="FFF8696B"/>
      </colorScale>
    </cfRule>
    <cfRule type="colorScale" priority="9782">
      <colorScale>
        <cfvo type="min"/>
        <cfvo type="percentile" val="50"/>
        <cfvo type="max"/>
        <color rgb="FF63BE7B"/>
        <color rgb="FFFFEB84"/>
        <color rgb="FFF8696B"/>
      </colorScale>
    </cfRule>
    <cfRule type="colorScale" priority="8840">
      <colorScale>
        <cfvo type="min"/>
        <cfvo type="percentile" val="50"/>
        <cfvo type="max"/>
        <color rgb="FF63BE7B"/>
        <color rgb="FFFFEB84"/>
        <color rgb="FFF8696B"/>
      </colorScale>
    </cfRule>
    <cfRule type="colorScale" priority="8839">
      <colorScale>
        <cfvo type="min"/>
        <cfvo type="percentile" val="50"/>
        <cfvo type="max"/>
        <color rgb="FF63BE7B"/>
        <color rgb="FFFFEB84"/>
        <color rgb="FFF8696B"/>
      </colorScale>
    </cfRule>
    <cfRule type="colorScale" priority="8838">
      <colorScale>
        <cfvo type="min"/>
        <cfvo type="percentile" val="50"/>
        <cfvo type="max"/>
        <color rgb="FF63BE7B"/>
        <color rgb="FFFFEB84"/>
        <color rgb="FFF8696B"/>
      </colorScale>
    </cfRule>
    <cfRule type="colorScale" priority="8848">
      <colorScale>
        <cfvo type="min"/>
        <cfvo type="percentile" val="50"/>
        <cfvo type="max"/>
        <color rgb="FF63BE7B"/>
        <color rgb="FFFFEB84"/>
        <color rgb="FFF8696B"/>
      </colorScale>
    </cfRule>
    <cfRule type="colorScale" priority="8849">
      <colorScale>
        <cfvo type="min"/>
        <cfvo type="percentile" val="50"/>
        <cfvo type="max"/>
        <color rgb="FF63BE7B"/>
        <color rgb="FFFFEB84"/>
        <color rgb="FFF8696B"/>
      </colorScale>
    </cfRule>
    <cfRule type="colorScale" priority="8822">
      <colorScale>
        <cfvo type="min"/>
        <cfvo type="percentile" val="50"/>
        <cfvo type="max"/>
        <color rgb="FF63BE7B"/>
        <color rgb="FFFFEB84"/>
        <color rgb="FFF8696B"/>
      </colorScale>
    </cfRule>
    <cfRule type="colorScale" priority="8851">
      <colorScale>
        <cfvo type="min"/>
        <cfvo type="percentile" val="50"/>
        <cfvo type="max"/>
        <color rgb="FF63BE7B"/>
        <color rgb="FFFFEB84"/>
        <color rgb="FFF8696B"/>
      </colorScale>
    </cfRule>
    <cfRule type="colorScale" priority="8846">
      <colorScale>
        <cfvo type="min"/>
        <cfvo type="percentile" val="50"/>
        <cfvo type="max"/>
        <color rgb="FF63BE7B"/>
        <color rgb="FFFFEB84"/>
        <color rgb="FFF8696B"/>
      </colorScale>
    </cfRule>
    <cfRule type="colorScale" priority="8852">
      <colorScale>
        <cfvo type="min"/>
        <cfvo type="percentile" val="50"/>
        <cfvo type="max"/>
        <color rgb="FF63BE7B"/>
        <color rgb="FFFFEB84"/>
        <color rgb="FFF8696B"/>
      </colorScale>
    </cfRule>
    <cfRule type="colorScale" priority="8830">
      <colorScale>
        <cfvo type="min"/>
        <cfvo type="percentile" val="50"/>
        <cfvo type="max"/>
        <color rgb="FF63BE7B"/>
        <color rgb="FFFFEB84"/>
        <color rgb="FFF8696B"/>
      </colorScale>
    </cfRule>
  </conditionalFormatting>
  <conditionalFormatting sqref="AL36:AL37">
    <cfRule type="colorScale" priority="8862">
      <colorScale>
        <cfvo type="min"/>
        <cfvo type="percentile" val="50"/>
        <cfvo type="max"/>
        <color rgb="FF63BE7B"/>
        <color rgb="FFFFEB84"/>
        <color rgb="FFF8696B"/>
      </colorScale>
    </cfRule>
    <cfRule type="colorScale" priority="9770">
      <colorScale>
        <cfvo type="min"/>
        <cfvo type="percentile" val="50"/>
        <cfvo type="max"/>
        <color rgb="FF63BE7B"/>
        <color rgb="FFFFEB84"/>
        <color rgb="FFF8696B"/>
      </colorScale>
    </cfRule>
    <cfRule type="colorScale" priority="8835">
      <colorScale>
        <cfvo type="min"/>
        <cfvo type="percentile" val="50"/>
        <cfvo type="max"/>
        <color rgb="FF63BE7B"/>
        <color rgb="FFFFEB84"/>
        <color rgb="FFF8696B"/>
      </colorScale>
    </cfRule>
  </conditionalFormatting>
  <conditionalFormatting sqref="AL36:AL41">
    <cfRule type="colorScale" priority="13094">
      <colorScale>
        <cfvo type="min"/>
        <cfvo type="percentile" val="50"/>
        <cfvo type="max"/>
        <color rgb="FF63BE7B"/>
        <color rgb="FFFFEB84"/>
        <color rgb="FFF8696B"/>
      </colorScale>
    </cfRule>
    <cfRule type="colorScale" priority="8872">
      <colorScale>
        <cfvo type="min"/>
        <cfvo type="percentile" val="50"/>
        <cfvo type="max"/>
        <color rgb="FF63BE7B"/>
        <color rgb="FFFFEB84"/>
        <color rgb="FFF8696B"/>
      </colorScale>
    </cfRule>
    <cfRule type="colorScale" priority="8845">
      <colorScale>
        <cfvo type="min"/>
        <cfvo type="percentile" val="50"/>
        <cfvo type="max"/>
        <color rgb="FF63BE7B"/>
        <color rgb="FFFFEB84"/>
        <color rgb="FFF8696B"/>
      </colorScale>
    </cfRule>
    <cfRule type="colorScale" priority="9780">
      <colorScale>
        <cfvo type="min"/>
        <cfvo type="percentile" val="50"/>
        <cfvo type="max"/>
        <color rgb="FF63BE7B"/>
        <color rgb="FFFFEB84"/>
        <color rgb="FFF8696B"/>
      </colorScale>
    </cfRule>
  </conditionalFormatting>
  <conditionalFormatting sqref="AL42:AL50">
    <cfRule type="colorScale" priority="12969">
      <colorScale>
        <cfvo type="min"/>
        <cfvo type="percentile" val="50"/>
        <cfvo type="max"/>
        <color rgb="FF63BE7B"/>
        <color rgb="FFFFEB84"/>
        <color rgb="FFF8696B"/>
      </colorScale>
    </cfRule>
    <cfRule type="colorScale" priority="12968">
      <colorScale>
        <cfvo type="min"/>
        <cfvo type="percentile" val="50"/>
        <cfvo type="max"/>
        <color rgb="FF63BE7B"/>
        <color rgb="FFFFEB84"/>
        <color rgb="FFF8696B"/>
      </colorScale>
    </cfRule>
    <cfRule type="colorScale" priority="12967">
      <colorScale>
        <cfvo type="min"/>
        <cfvo type="percentile" val="50"/>
        <cfvo type="max"/>
        <color rgb="FF63BE7B"/>
        <color rgb="FFFFEB84"/>
        <color rgb="FFF8696B"/>
      </colorScale>
    </cfRule>
    <cfRule type="colorScale" priority="12966">
      <colorScale>
        <cfvo type="min"/>
        <cfvo type="percentile" val="50"/>
        <cfvo type="max"/>
        <color rgb="FF63BE7B"/>
        <color rgb="FFFFEB84"/>
        <color rgb="FFF8696B"/>
      </colorScale>
    </cfRule>
  </conditionalFormatting>
  <conditionalFormatting sqref="AL42:AL51">
    <cfRule type="colorScale" priority="7437">
      <colorScale>
        <cfvo type="min"/>
        <cfvo type="percentile" val="50"/>
        <cfvo type="max"/>
        <color rgb="FF63BE7B"/>
        <color rgb="FFFFEB84"/>
        <color rgb="FFF8696B"/>
      </colorScale>
    </cfRule>
  </conditionalFormatting>
  <conditionalFormatting sqref="AL51:AL53">
    <cfRule type="colorScale" priority="3846">
      <colorScale>
        <cfvo type="min"/>
        <cfvo type="percentile" val="50"/>
        <cfvo type="max"/>
        <color rgb="FF63BE7B"/>
        <color rgb="FFFFEB84"/>
        <color rgb="FFF8696B"/>
      </colorScale>
    </cfRule>
    <cfRule type="colorScale" priority="3845">
      <colorScale>
        <cfvo type="min"/>
        <cfvo type="percentile" val="50"/>
        <cfvo type="max"/>
        <color rgb="FF63BE7B"/>
        <color rgb="FFFFEB84"/>
        <color rgb="FFF8696B"/>
      </colorScale>
    </cfRule>
    <cfRule type="colorScale" priority="3818">
      <colorScale>
        <cfvo type="min"/>
        <cfvo type="percentile" val="50"/>
        <cfvo type="max"/>
        <color rgb="FF63BE7B"/>
        <color rgb="FFFFEB84"/>
        <color rgb="FFF8696B"/>
      </colorScale>
    </cfRule>
    <cfRule type="colorScale" priority="12868">
      <colorScale>
        <cfvo type="min"/>
        <cfvo type="percentile" val="50"/>
        <cfvo type="max"/>
        <color rgb="FF63BE7B"/>
        <color rgb="FFFFEB84"/>
        <color rgb="FFF8696B"/>
      </colorScale>
    </cfRule>
    <cfRule type="colorScale" priority="12869">
      <colorScale>
        <cfvo type="min"/>
        <cfvo type="percentile" val="50"/>
        <cfvo type="max"/>
        <color rgb="FF63BE7B"/>
        <color rgb="FFFFEB84"/>
        <color rgb="FFF8696B"/>
      </colorScale>
    </cfRule>
    <cfRule type="colorScale" priority="12870">
      <colorScale>
        <cfvo type="min"/>
        <cfvo type="percentile" val="50"/>
        <cfvo type="max"/>
        <color rgb="FF63BE7B"/>
        <color rgb="FFFFEB84"/>
        <color rgb="FFF8696B"/>
      </colorScale>
    </cfRule>
    <cfRule type="colorScale" priority="12871">
      <colorScale>
        <cfvo type="min"/>
        <cfvo type="percentile" val="50"/>
        <cfvo type="max"/>
        <color rgb="FF63BE7B"/>
        <color rgb="FFFFEB84"/>
        <color rgb="FFF8696B"/>
      </colorScale>
    </cfRule>
  </conditionalFormatting>
  <conditionalFormatting sqref="AL52:AL53 I52:I53 Y52:Y53">
    <cfRule type="colorScale" priority="7124">
      <colorScale>
        <cfvo type="min"/>
        <cfvo type="percentile" val="50"/>
        <cfvo type="max"/>
        <color rgb="FF63BE7B"/>
        <color rgb="FFFFEB84"/>
        <color rgb="FFF8696B"/>
      </colorScale>
    </cfRule>
    <cfRule type="colorScale" priority="7125">
      <colorScale>
        <cfvo type="min"/>
        <cfvo type="percentile" val="50"/>
        <cfvo type="max"/>
        <color rgb="FF63BE7B"/>
        <color rgb="FFFFEB84"/>
        <color rgb="FFF8696B"/>
      </colorScale>
    </cfRule>
    <cfRule type="colorScale" priority="7126">
      <colorScale>
        <cfvo type="min"/>
        <cfvo type="percentile" val="50"/>
        <cfvo type="max"/>
        <color rgb="FF63BE7B"/>
        <color rgb="FFFFEB84"/>
        <color rgb="FFF8696B"/>
      </colorScale>
    </cfRule>
    <cfRule type="colorScale" priority="7127">
      <colorScale>
        <cfvo type="min"/>
        <cfvo type="percentile" val="50"/>
        <cfvo type="max"/>
        <color rgb="FF63BE7B"/>
        <color rgb="FFFFEB84"/>
        <color rgb="FFF8696B"/>
      </colorScale>
    </cfRule>
    <cfRule type="colorScale" priority="7268">
      <colorScale>
        <cfvo type="min"/>
        <cfvo type="percentile" val="50"/>
        <cfvo type="max"/>
        <color rgb="FF63BE7B"/>
        <color rgb="FFFFEB84"/>
        <color rgb="FFF8696B"/>
      </colorScale>
    </cfRule>
  </conditionalFormatting>
  <conditionalFormatting sqref="AL52:AL53">
    <cfRule type="colorScale" priority="5624">
      <colorScale>
        <cfvo type="min"/>
        <cfvo type="percentile" val="50"/>
        <cfvo type="max"/>
        <color rgb="FF63BE7B"/>
        <color rgb="FFFFEB84"/>
        <color rgb="FFF8696B"/>
      </colorScale>
    </cfRule>
    <cfRule type="colorScale" priority="5623">
      <colorScale>
        <cfvo type="min"/>
        <cfvo type="percentile" val="50"/>
        <cfvo type="max"/>
        <color rgb="FF63BE7B"/>
        <color rgb="FFFFEB84"/>
        <color rgb="FFF8696B"/>
      </colorScale>
    </cfRule>
    <cfRule type="colorScale" priority="5622">
      <colorScale>
        <cfvo type="min"/>
        <cfvo type="percentile" val="50"/>
        <cfvo type="max"/>
        <color rgb="FF63BE7B"/>
        <color rgb="FFFFEB84"/>
        <color rgb="FFF8696B"/>
      </colorScale>
    </cfRule>
    <cfRule type="colorScale" priority="5621">
      <colorScale>
        <cfvo type="min"/>
        <cfvo type="percentile" val="50"/>
        <cfvo type="max"/>
        <color rgb="FF63BE7B"/>
        <color rgb="FFFFEB84"/>
        <color rgb="FFF8696B"/>
      </colorScale>
    </cfRule>
    <cfRule type="colorScale" priority="5620">
      <colorScale>
        <cfvo type="min"/>
        <cfvo type="percentile" val="50"/>
        <cfvo type="max"/>
        <color rgb="FF63BE7B"/>
        <color rgb="FFFFEB84"/>
        <color rgb="FFF8696B"/>
      </colorScale>
    </cfRule>
    <cfRule type="colorScale" priority="5619">
      <colorScale>
        <cfvo type="min"/>
        <cfvo type="percentile" val="50"/>
        <cfvo type="max"/>
        <color rgb="FF63BE7B"/>
        <color rgb="FFFFEB84"/>
        <color rgb="FFF8696B"/>
      </colorScale>
    </cfRule>
    <cfRule type="colorScale" priority="5618">
      <colorScale>
        <cfvo type="min"/>
        <cfvo type="percentile" val="50"/>
        <cfvo type="max"/>
        <color rgb="FF63BE7B"/>
        <color rgb="FFFFEB84"/>
        <color rgb="FFF8696B"/>
      </colorScale>
    </cfRule>
    <cfRule type="colorScale" priority="5617">
      <colorScale>
        <cfvo type="min"/>
        <cfvo type="percentile" val="50"/>
        <cfvo type="max"/>
        <color rgb="FF63BE7B"/>
        <color rgb="FFFFEB84"/>
        <color rgb="FFF8696B"/>
      </colorScale>
    </cfRule>
    <cfRule type="colorScale" priority="5616">
      <colorScale>
        <cfvo type="min"/>
        <cfvo type="percentile" val="50"/>
        <cfvo type="max"/>
        <color rgb="FF63BE7B"/>
        <color rgb="FFFFEB84"/>
        <color rgb="FFF8696B"/>
      </colorScale>
    </cfRule>
    <cfRule type="colorScale" priority="5993">
      <colorScale>
        <cfvo type="min"/>
        <cfvo type="percentile" val="50"/>
        <cfvo type="max"/>
        <color rgb="FF63BE7B"/>
        <color rgb="FFFFEB84"/>
        <color rgb="FFF8696B"/>
      </colorScale>
    </cfRule>
    <cfRule type="colorScale" priority="5992">
      <colorScale>
        <cfvo type="min"/>
        <cfvo type="percentile" val="50"/>
        <cfvo type="max"/>
        <color rgb="FF63BE7B"/>
        <color rgb="FFFFEB84"/>
        <color rgb="FFF8696B"/>
      </colorScale>
    </cfRule>
    <cfRule type="colorScale" priority="5991">
      <colorScale>
        <cfvo type="min"/>
        <cfvo type="percentile" val="50"/>
        <cfvo type="max"/>
        <color rgb="FF63BE7B"/>
        <color rgb="FFFFEB84"/>
        <color rgb="FFF8696B"/>
      </colorScale>
    </cfRule>
    <cfRule type="colorScale" priority="5990">
      <colorScale>
        <cfvo type="min"/>
        <cfvo type="percentile" val="50"/>
        <cfvo type="max"/>
        <color rgb="FF63BE7B"/>
        <color rgb="FFFFEB84"/>
        <color rgb="FFF8696B"/>
      </colorScale>
    </cfRule>
    <cfRule type="colorScale" priority="5989">
      <colorScale>
        <cfvo type="min"/>
        <cfvo type="percentile" val="50"/>
        <cfvo type="max"/>
        <color rgb="FF63BE7B"/>
        <color rgb="FFFFEB84"/>
        <color rgb="FFF8696B"/>
      </colorScale>
    </cfRule>
    <cfRule type="colorScale" priority="5988">
      <colorScale>
        <cfvo type="min"/>
        <cfvo type="percentile" val="50"/>
        <cfvo type="max"/>
        <color rgb="FF63BE7B"/>
        <color rgb="FFFFEB84"/>
        <color rgb="FFF8696B"/>
      </colorScale>
    </cfRule>
    <cfRule type="colorScale" priority="5987">
      <colorScale>
        <cfvo type="min"/>
        <cfvo type="percentile" val="50"/>
        <cfvo type="max"/>
        <color rgb="FF63BE7B"/>
        <color rgb="FFFFEB84"/>
        <color rgb="FFF8696B"/>
      </colorScale>
    </cfRule>
    <cfRule type="colorScale" priority="5986">
      <colorScale>
        <cfvo type="min"/>
        <cfvo type="percentile" val="50"/>
        <cfvo type="max"/>
        <color rgb="FF63BE7B"/>
        <color rgb="FFFFEB84"/>
        <color rgb="FFF8696B"/>
      </colorScale>
    </cfRule>
    <cfRule type="colorScale" priority="5985">
      <colorScale>
        <cfvo type="min"/>
        <cfvo type="percentile" val="50"/>
        <cfvo type="max"/>
        <color rgb="FF63BE7B"/>
        <color rgb="FFFFEB84"/>
        <color rgb="FFF8696B"/>
      </colorScale>
    </cfRule>
    <cfRule type="colorScale" priority="5984">
      <colorScale>
        <cfvo type="min"/>
        <cfvo type="percentile" val="50"/>
        <cfvo type="max"/>
        <color rgb="FF63BE7B"/>
        <color rgb="FFFFEB84"/>
        <color rgb="FFF8696B"/>
      </colorScale>
    </cfRule>
    <cfRule type="colorScale" priority="5983">
      <colorScale>
        <cfvo type="min"/>
        <cfvo type="percentile" val="50"/>
        <cfvo type="max"/>
        <color rgb="FF63BE7B"/>
        <color rgb="FFFFEB84"/>
        <color rgb="FFF8696B"/>
      </colorScale>
    </cfRule>
    <cfRule type="colorScale" priority="5982">
      <colorScale>
        <cfvo type="min"/>
        <cfvo type="percentile" val="50"/>
        <cfvo type="max"/>
        <color rgb="FF63BE7B"/>
        <color rgb="FFFFEB84"/>
        <color rgb="FFF8696B"/>
      </colorScale>
    </cfRule>
    <cfRule type="colorScale" priority="5981">
      <colorScale>
        <cfvo type="min"/>
        <cfvo type="percentile" val="50"/>
        <cfvo type="max"/>
        <color rgb="FF63BE7B"/>
        <color rgb="FFFFEB84"/>
        <color rgb="FFF8696B"/>
      </colorScale>
    </cfRule>
    <cfRule type="colorScale" priority="5980">
      <colorScale>
        <cfvo type="min"/>
        <cfvo type="percentile" val="50"/>
        <cfvo type="max"/>
        <color rgb="FF63BE7B"/>
        <color rgb="FFFFEB84"/>
        <color rgb="FFF8696B"/>
      </colorScale>
    </cfRule>
    <cfRule type="colorScale" priority="5979">
      <colorScale>
        <cfvo type="min"/>
        <cfvo type="percentile" val="50"/>
        <cfvo type="max"/>
        <color rgb="FF63BE7B"/>
        <color rgb="FFFFEB84"/>
        <color rgb="FFF8696B"/>
      </colorScale>
    </cfRule>
    <cfRule type="colorScale" priority="5978">
      <colorScale>
        <cfvo type="min"/>
        <cfvo type="percentile" val="50"/>
        <cfvo type="max"/>
        <color rgb="FF63BE7B"/>
        <color rgb="FFFFEB84"/>
        <color rgb="FFF8696B"/>
      </colorScale>
    </cfRule>
    <cfRule type="colorScale" priority="5977">
      <colorScale>
        <cfvo type="min"/>
        <cfvo type="percentile" val="50"/>
        <cfvo type="max"/>
        <color rgb="FF63BE7B"/>
        <color rgb="FFFFEB84"/>
        <color rgb="FFF8696B"/>
      </colorScale>
    </cfRule>
    <cfRule type="colorScale" priority="5976">
      <colorScale>
        <cfvo type="min"/>
        <cfvo type="percentile" val="50"/>
        <cfvo type="max"/>
        <color rgb="FF63BE7B"/>
        <color rgb="FFFFEB84"/>
        <color rgb="FFF8696B"/>
      </colorScale>
    </cfRule>
    <cfRule type="colorScale" priority="5975">
      <colorScale>
        <cfvo type="min"/>
        <cfvo type="percentile" val="50"/>
        <cfvo type="max"/>
        <color rgb="FF63BE7B"/>
        <color rgb="FFFFEB84"/>
        <color rgb="FFF8696B"/>
      </colorScale>
    </cfRule>
    <cfRule type="colorScale" priority="5615">
      <colorScale>
        <cfvo type="min"/>
        <cfvo type="percentile" val="50"/>
        <cfvo type="max"/>
        <color rgb="FF63BE7B"/>
        <color rgb="FFFFEB84"/>
        <color rgb="FFF8696B"/>
      </colorScale>
    </cfRule>
    <cfRule type="colorScale" priority="5614">
      <colorScale>
        <cfvo type="min"/>
        <cfvo type="percentile" val="50"/>
        <cfvo type="max"/>
        <color rgb="FF63BE7B"/>
        <color rgb="FFFFEB84"/>
        <color rgb="FFF8696B"/>
      </colorScale>
    </cfRule>
    <cfRule type="colorScale" priority="5613">
      <colorScale>
        <cfvo type="min"/>
        <cfvo type="percentile" val="50"/>
        <cfvo type="max"/>
        <color rgb="FF63BE7B"/>
        <color rgb="FFFFEB84"/>
        <color rgb="FFF8696B"/>
      </colorScale>
    </cfRule>
    <cfRule type="colorScale" priority="5612">
      <colorScale>
        <cfvo type="min"/>
        <cfvo type="percentile" val="50"/>
        <cfvo type="max"/>
        <color rgb="FF63BE7B"/>
        <color rgb="FFFFEB84"/>
        <color rgb="FFF8696B"/>
      </colorScale>
    </cfRule>
    <cfRule type="colorScale" priority="5611">
      <colorScale>
        <cfvo type="min"/>
        <cfvo type="percentile" val="50"/>
        <cfvo type="max"/>
        <color rgb="FF63BE7B"/>
        <color rgb="FFFFEB84"/>
        <color rgb="FFF8696B"/>
      </colorScale>
    </cfRule>
    <cfRule type="colorScale" priority="5610">
      <colorScale>
        <cfvo type="min"/>
        <cfvo type="percentile" val="50"/>
        <cfvo type="max"/>
        <color rgb="FF63BE7B"/>
        <color rgb="FFFFEB84"/>
        <color rgb="FFF8696B"/>
      </colorScale>
    </cfRule>
    <cfRule type="colorScale" priority="5609">
      <colorScale>
        <cfvo type="min"/>
        <cfvo type="percentile" val="50"/>
        <cfvo type="max"/>
        <color rgb="FF63BE7B"/>
        <color rgb="FFFFEB84"/>
        <color rgb="FFF8696B"/>
      </colorScale>
    </cfRule>
    <cfRule type="colorScale" priority="5608">
      <colorScale>
        <cfvo type="min"/>
        <cfvo type="percentile" val="50"/>
        <cfvo type="max"/>
        <color rgb="FF63BE7B"/>
        <color rgb="FFFFEB84"/>
        <color rgb="FFF8696B"/>
      </colorScale>
    </cfRule>
    <cfRule type="colorScale" priority="5607">
      <colorScale>
        <cfvo type="min"/>
        <cfvo type="percentile" val="50"/>
        <cfvo type="max"/>
        <color rgb="FF63BE7B"/>
        <color rgb="FFFFEB84"/>
        <color rgb="FFF8696B"/>
      </colorScale>
    </cfRule>
    <cfRule type="colorScale" priority="5606">
      <colorScale>
        <cfvo type="min"/>
        <cfvo type="percentile" val="50"/>
        <cfvo type="max"/>
        <color rgb="FF63BE7B"/>
        <color rgb="FFFFEB84"/>
        <color rgb="FFF8696B"/>
      </colorScale>
    </cfRule>
    <cfRule type="colorScale" priority="5605">
      <colorScale>
        <cfvo type="min"/>
        <cfvo type="percentile" val="50"/>
        <cfvo type="max"/>
        <color rgb="FF63BE7B"/>
        <color rgb="FFFFEB84"/>
        <color rgb="FFF8696B"/>
      </colorScale>
    </cfRule>
    <cfRule type="colorScale" priority="5604">
      <colorScale>
        <cfvo type="min"/>
        <cfvo type="percentile" val="50"/>
        <cfvo type="max"/>
        <color rgb="FF63BE7B"/>
        <color rgb="FFFFEB84"/>
        <color rgb="FFF8696B"/>
      </colorScale>
    </cfRule>
    <cfRule type="colorScale" priority="5603">
      <colorScale>
        <cfvo type="min"/>
        <cfvo type="percentile" val="50"/>
        <cfvo type="max"/>
        <color rgb="FF63BE7B"/>
        <color rgb="FFFFEB84"/>
        <color rgb="FFF8696B"/>
      </colorScale>
    </cfRule>
    <cfRule type="colorScale" priority="5602">
      <colorScale>
        <cfvo type="min"/>
        <cfvo type="percentile" val="50"/>
        <cfvo type="max"/>
        <color rgb="FF63BE7B"/>
        <color rgb="FFFFEB84"/>
        <color rgb="FFF8696B"/>
      </colorScale>
    </cfRule>
    <cfRule type="colorScale" priority="7152">
      <colorScale>
        <cfvo type="min"/>
        <cfvo type="percentile" val="50"/>
        <cfvo type="max"/>
        <color rgb="FF63BE7B"/>
        <color rgb="FFFFEB84"/>
        <color rgb="FFF8696B"/>
      </colorScale>
    </cfRule>
    <cfRule type="colorScale" priority="7153">
      <colorScale>
        <cfvo type="min"/>
        <cfvo type="percentile" val="50"/>
        <cfvo type="max"/>
        <color rgb="FF63BE7B"/>
        <color rgb="FFFFEB84"/>
        <color rgb="FFF8696B"/>
      </colorScale>
    </cfRule>
    <cfRule type="colorScale" priority="7154">
      <colorScale>
        <cfvo type="min"/>
        <cfvo type="percentile" val="50"/>
        <cfvo type="max"/>
        <color rgb="FF63BE7B"/>
        <color rgb="FFFFEB84"/>
        <color rgb="FFF8696B"/>
      </colorScale>
    </cfRule>
    <cfRule type="colorScale" priority="7155">
      <colorScale>
        <cfvo type="min"/>
        <cfvo type="percentile" val="50"/>
        <cfvo type="max"/>
        <color rgb="FF63BE7B"/>
        <color rgb="FFFFEB84"/>
        <color rgb="FFF8696B"/>
      </colorScale>
    </cfRule>
    <cfRule type="colorScale" priority="3844">
      <colorScale>
        <cfvo type="min"/>
        <cfvo type="percentile" val="50"/>
        <cfvo type="max"/>
        <color rgb="FF63BE7B"/>
        <color rgb="FFFFEB84"/>
        <color rgb="FFF8696B"/>
      </colorScale>
    </cfRule>
    <cfRule type="colorScale" priority="3843">
      <colorScale>
        <cfvo type="min"/>
        <cfvo type="percentile" val="50"/>
        <cfvo type="max"/>
        <color rgb="FF63BE7B"/>
        <color rgb="FFFFEB84"/>
        <color rgb="FFF8696B"/>
      </colorScale>
    </cfRule>
    <cfRule type="colorScale" priority="3842">
      <colorScale>
        <cfvo type="min"/>
        <cfvo type="percentile" val="50"/>
        <cfvo type="max"/>
        <color rgb="FF63BE7B"/>
        <color rgb="FFFFEB84"/>
        <color rgb="FFF8696B"/>
      </colorScale>
    </cfRule>
    <cfRule type="colorScale" priority="3841">
      <colorScale>
        <cfvo type="min"/>
        <cfvo type="percentile" val="50"/>
        <cfvo type="max"/>
        <color rgb="FF63BE7B"/>
        <color rgb="FFFFEB84"/>
        <color rgb="FFF8696B"/>
      </colorScale>
    </cfRule>
    <cfRule type="colorScale" priority="3840">
      <colorScale>
        <cfvo type="min"/>
        <cfvo type="percentile" val="50"/>
        <cfvo type="max"/>
        <color rgb="FF63BE7B"/>
        <color rgb="FFFFEB84"/>
        <color rgb="FFF8696B"/>
      </colorScale>
    </cfRule>
    <cfRule type="colorScale" priority="3839">
      <colorScale>
        <cfvo type="min"/>
        <cfvo type="percentile" val="50"/>
        <cfvo type="max"/>
        <color rgb="FF63BE7B"/>
        <color rgb="FFFFEB84"/>
        <color rgb="FFF8696B"/>
      </colorScale>
    </cfRule>
    <cfRule type="colorScale" priority="3837">
      <colorScale>
        <cfvo type="min"/>
        <cfvo type="percentile" val="50"/>
        <cfvo type="max"/>
        <color rgb="FF63BE7B"/>
        <color rgb="FFFFEB84"/>
        <color rgb="FFF8696B"/>
      </colorScale>
    </cfRule>
    <cfRule type="colorScale" priority="3836">
      <colorScale>
        <cfvo type="min"/>
        <cfvo type="percentile" val="50"/>
        <cfvo type="max"/>
        <color rgb="FF63BE7B"/>
        <color rgb="FFFFEB84"/>
        <color rgb="FFF8696B"/>
      </colorScale>
    </cfRule>
    <cfRule type="colorScale" priority="3835">
      <colorScale>
        <cfvo type="min"/>
        <cfvo type="percentile" val="50"/>
        <cfvo type="max"/>
        <color rgb="FF63BE7B"/>
        <color rgb="FFFFEB84"/>
        <color rgb="FFF8696B"/>
      </colorScale>
    </cfRule>
    <cfRule type="colorScale" priority="3834">
      <colorScale>
        <cfvo type="min"/>
        <cfvo type="percentile" val="50"/>
        <cfvo type="max"/>
        <color rgb="FF63BE7B"/>
        <color rgb="FFFFEB84"/>
        <color rgb="FFF8696B"/>
      </colorScale>
    </cfRule>
    <cfRule type="colorScale" priority="3833">
      <colorScale>
        <cfvo type="min"/>
        <cfvo type="percentile" val="50"/>
        <cfvo type="max"/>
        <color rgb="FF63BE7B"/>
        <color rgb="FFFFEB84"/>
        <color rgb="FFF8696B"/>
      </colorScale>
    </cfRule>
    <cfRule type="colorScale" priority="3832">
      <colorScale>
        <cfvo type="min"/>
        <cfvo type="percentile" val="50"/>
        <cfvo type="max"/>
        <color rgb="FF63BE7B"/>
        <color rgb="FFFFEB84"/>
        <color rgb="FFF8696B"/>
      </colorScale>
    </cfRule>
    <cfRule type="colorScale" priority="3831">
      <colorScale>
        <cfvo type="min"/>
        <cfvo type="percentile" val="50"/>
        <cfvo type="max"/>
        <color rgb="FF63BE7B"/>
        <color rgb="FFFFEB84"/>
        <color rgb="FFF8696B"/>
      </colorScale>
    </cfRule>
    <cfRule type="colorScale" priority="3830">
      <colorScale>
        <cfvo type="min"/>
        <cfvo type="percentile" val="50"/>
        <cfvo type="max"/>
        <color rgb="FF63BE7B"/>
        <color rgb="FFFFEB84"/>
        <color rgb="FFF8696B"/>
      </colorScale>
    </cfRule>
    <cfRule type="colorScale" priority="3829">
      <colorScale>
        <cfvo type="min"/>
        <cfvo type="percentile" val="50"/>
        <cfvo type="max"/>
        <color rgb="FF63BE7B"/>
        <color rgb="FFFFEB84"/>
        <color rgb="FFF8696B"/>
      </colorScale>
    </cfRule>
    <cfRule type="colorScale" priority="3828">
      <colorScale>
        <cfvo type="min"/>
        <cfvo type="percentile" val="50"/>
        <cfvo type="max"/>
        <color rgb="FF63BE7B"/>
        <color rgb="FFFFEB84"/>
        <color rgb="FFF8696B"/>
      </colorScale>
    </cfRule>
    <cfRule type="colorScale" priority="3827">
      <colorScale>
        <cfvo type="min"/>
        <cfvo type="percentile" val="50"/>
        <cfvo type="max"/>
        <color rgb="FF63BE7B"/>
        <color rgb="FFFFEB84"/>
        <color rgb="FFF8696B"/>
      </colorScale>
    </cfRule>
    <cfRule type="colorScale" priority="3826">
      <colorScale>
        <cfvo type="min"/>
        <cfvo type="percentile" val="50"/>
        <cfvo type="max"/>
        <color rgb="FF63BE7B"/>
        <color rgb="FFFFEB84"/>
        <color rgb="FFF8696B"/>
      </colorScale>
    </cfRule>
    <cfRule type="colorScale" priority="3825">
      <colorScale>
        <cfvo type="min"/>
        <cfvo type="percentile" val="50"/>
        <cfvo type="max"/>
        <color rgb="FF63BE7B"/>
        <color rgb="FFFFEB84"/>
        <color rgb="FFF8696B"/>
      </colorScale>
    </cfRule>
    <cfRule type="colorScale" priority="3824">
      <colorScale>
        <cfvo type="min"/>
        <cfvo type="percentile" val="50"/>
        <cfvo type="max"/>
        <color rgb="FF63BE7B"/>
        <color rgb="FFFFEB84"/>
        <color rgb="FFF8696B"/>
      </colorScale>
    </cfRule>
    <cfRule type="colorScale" priority="3823">
      <colorScale>
        <cfvo type="min"/>
        <cfvo type="percentile" val="50"/>
        <cfvo type="max"/>
        <color rgb="FF63BE7B"/>
        <color rgb="FFFFEB84"/>
        <color rgb="FFF8696B"/>
      </colorScale>
    </cfRule>
    <cfRule type="colorScale" priority="3822">
      <colorScale>
        <cfvo type="min"/>
        <cfvo type="percentile" val="50"/>
        <cfvo type="max"/>
        <color rgb="FF63BE7B"/>
        <color rgb="FFFFEB84"/>
        <color rgb="FFF8696B"/>
      </colorScale>
    </cfRule>
    <cfRule type="colorScale" priority="3821">
      <colorScale>
        <cfvo type="min"/>
        <cfvo type="percentile" val="50"/>
        <cfvo type="max"/>
        <color rgb="FF63BE7B"/>
        <color rgb="FFFFEB84"/>
        <color rgb="FFF8696B"/>
      </colorScale>
    </cfRule>
    <cfRule type="colorScale" priority="3820">
      <colorScale>
        <cfvo type="min"/>
        <cfvo type="percentile" val="50"/>
        <cfvo type="max"/>
        <color rgb="FF63BE7B"/>
        <color rgb="FFFFEB84"/>
        <color rgb="FFF8696B"/>
      </colorScale>
    </cfRule>
    <cfRule type="colorScale" priority="3819">
      <colorScale>
        <cfvo type="min"/>
        <cfvo type="percentile" val="50"/>
        <cfvo type="max"/>
        <color rgb="FF63BE7B"/>
        <color rgb="FFFFEB84"/>
        <color rgb="FFF8696B"/>
      </colorScale>
    </cfRule>
    <cfRule type="colorScale" priority="3838">
      <colorScale>
        <cfvo type="min"/>
        <cfvo type="percentile" val="50"/>
        <cfvo type="max"/>
        <color rgb="FF63BE7B"/>
        <color rgb="FFFFEB84"/>
        <color rgb="FFF8696B"/>
      </colorScale>
    </cfRule>
    <cfRule type="colorScale" priority="6707">
      <colorScale>
        <cfvo type="min"/>
        <cfvo type="percentile" val="50"/>
        <cfvo type="max"/>
        <color rgb="FF63BE7B"/>
        <color rgb="FFFFEB84"/>
        <color rgb="FFF8696B"/>
      </colorScale>
    </cfRule>
    <cfRule type="colorScale" priority="6708">
      <colorScale>
        <cfvo type="min"/>
        <cfvo type="percentile" val="50"/>
        <cfvo type="max"/>
        <color rgb="FF63BE7B"/>
        <color rgb="FFFFEB84"/>
        <color rgb="FFF8696B"/>
      </colorScale>
    </cfRule>
    <cfRule type="colorScale" priority="6709">
      <colorScale>
        <cfvo type="min"/>
        <cfvo type="percentile" val="50"/>
        <cfvo type="max"/>
        <color rgb="FF63BE7B"/>
        <color rgb="FFFFEB84"/>
        <color rgb="FFF8696B"/>
      </colorScale>
    </cfRule>
    <cfRule type="colorScale" priority="6710">
      <colorScale>
        <cfvo type="min"/>
        <cfvo type="percentile" val="50"/>
        <cfvo type="max"/>
        <color rgb="FF63BE7B"/>
        <color rgb="FFFFEB84"/>
        <color rgb="FFF8696B"/>
      </colorScale>
    </cfRule>
    <cfRule type="colorScale" priority="6711">
      <colorScale>
        <cfvo type="min"/>
        <cfvo type="percentile" val="50"/>
        <cfvo type="max"/>
        <color rgb="FF63BE7B"/>
        <color rgb="FFFFEB84"/>
        <color rgb="FFF8696B"/>
      </colorScale>
    </cfRule>
    <cfRule type="colorScale" priority="6712">
      <colorScale>
        <cfvo type="min"/>
        <cfvo type="percentile" val="50"/>
        <cfvo type="max"/>
        <color rgb="FF63BE7B"/>
        <color rgb="FFFFEB84"/>
        <color rgb="FFF8696B"/>
      </colorScale>
    </cfRule>
    <cfRule type="colorScale" priority="6713">
      <colorScale>
        <cfvo type="min"/>
        <cfvo type="percentile" val="50"/>
        <cfvo type="max"/>
        <color rgb="FF63BE7B"/>
        <color rgb="FFFFEB84"/>
        <color rgb="FFF8696B"/>
      </colorScale>
    </cfRule>
    <cfRule type="colorScale" priority="6714">
      <colorScale>
        <cfvo type="min"/>
        <cfvo type="percentile" val="50"/>
        <cfvo type="max"/>
        <color rgb="FF63BE7B"/>
        <color rgb="FFFFEB84"/>
        <color rgb="FFF8696B"/>
      </colorScale>
    </cfRule>
    <cfRule type="colorScale" priority="6715">
      <colorScale>
        <cfvo type="min"/>
        <cfvo type="percentile" val="50"/>
        <cfvo type="max"/>
        <color rgb="FF63BE7B"/>
        <color rgb="FFFFEB84"/>
        <color rgb="FFF8696B"/>
      </colorScale>
    </cfRule>
    <cfRule type="colorScale" priority="6716">
      <colorScale>
        <cfvo type="min"/>
        <cfvo type="percentile" val="50"/>
        <cfvo type="max"/>
        <color rgb="FF63BE7B"/>
        <color rgb="FFFFEB84"/>
        <color rgb="FFF8696B"/>
      </colorScale>
    </cfRule>
    <cfRule type="colorScale" priority="6717">
      <colorScale>
        <cfvo type="min"/>
        <cfvo type="percentile" val="50"/>
        <cfvo type="max"/>
        <color rgb="FF63BE7B"/>
        <color rgb="FFFFEB84"/>
        <color rgb="FFF8696B"/>
      </colorScale>
    </cfRule>
    <cfRule type="colorScale" priority="6718">
      <colorScale>
        <cfvo type="min"/>
        <cfvo type="percentile" val="50"/>
        <cfvo type="max"/>
        <color rgb="FF63BE7B"/>
        <color rgb="FFFFEB84"/>
        <color rgb="FFF8696B"/>
      </colorScale>
    </cfRule>
    <cfRule type="colorScale" priority="6719">
      <colorScale>
        <cfvo type="min"/>
        <cfvo type="percentile" val="50"/>
        <cfvo type="max"/>
        <color rgb="FF63BE7B"/>
        <color rgb="FFFFEB84"/>
        <color rgb="FFF8696B"/>
      </colorScale>
    </cfRule>
    <cfRule type="colorScale" priority="6720">
      <colorScale>
        <cfvo type="min"/>
        <cfvo type="percentile" val="50"/>
        <cfvo type="max"/>
        <color rgb="FF63BE7B"/>
        <color rgb="FFFFEB84"/>
        <color rgb="FFF8696B"/>
      </colorScale>
    </cfRule>
    <cfRule type="colorScale" priority="6721">
      <colorScale>
        <cfvo type="min"/>
        <cfvo type="percentile" val="50"/>
        <cfvo type="max"/>
        <color rgb="FF63BE7B"/>
        <color rgb="FFFFEB84"/>
        <color rgb="FFF8696B"/>
      </colorScale>
    </cfRule>
    <cfRule type="colorScale" priority="6722">
      <colorScale>
        <cfvo type="min"/>
        <cfvo type="percentile" val="50"/>
        <cfvo type="max"/>
        <color rgb="FF63BE7B"/>
        <color rgb="FFFFEB84"/>
        <color rgb="FFF8696B"/>
      </colorScale>
    </cfRule>
    <cfRule type="colorScale" priority="6723">
      <colorScale>
        <cfvo type="min"/>
        <cfvo type="percentile" val="50"/>
        <cfvo type="max"/>
        <color rgb="FF63BE7B"/>
        <color rgb="FFFFEB84"/>
        <color rgb="FFF8696B"/>
      </colorScale>
    </cfRule>
    <cfRule type="colorScale" priority="6724">
      <colorScale>
        <cfvo type="min"/>
        <cfvo type="percentile" val="50"/>
        <cfvo type="max"/>
        <color rgb="FF63BE7B"/>
        <color rgb="FFFFEB84"/>
        <color rgb="FFF8696B"/>
      </colorScale>
    </cfRule>
    <cfRule type="colorScale" priority="5639">
      <colorScale>
        <cfvo type="min"/>
        <cfvo type="percentile" val="50"/>
        <cfvo type="max"/>
        <color rgb="FF63BE7B"/>
        <color rgb="FFFFEB84"/>
        <color rgb="FFF8696B"/>
      </colorScale>
    </cfRule>
    <cfRule type="colorScale" priority="5638">
      <colorScale>
        <cfvo type="min"/>
        <cfvo type="percentile" val="50"/>
        <cfvo type="max"/>
        <color rgb="FF63BE7B"/>
        <color rgb="FFFFEB84"/>
        <color rgb="FFF8696B"/>
      </colorScale>
    </cfRule>
    <cfRule type="colorScale" priority="5637">
      <colorScale>
        <cfvo type="min"/>
        <cfvo type="percentile" val="50"/>
        <cfvo type="max"/>
        <color rgb="FF63BE7B"/>
        <color rgb="FFFFEB84"/>
        <color rgb="FFF8696B"/>
      </colorScale>
    </cfRule>
    <cfRule type="colorScale" priority="5636">
      <colorScale>
        <cfvo type="min"/>
        <cfvo type="percentile" val="50"/>
        <cfvo type="max"/>
        <color rgb="FF63BE7B"/>
        <color rgb="FFFFEB84"/>
        <color rgb="FFF8696B"/>
      </colorScale>
    </cfRule>
    <cfRule type="colorScale" priority="5635">
      <colorScale>
        <cfvo type="min"/>
        <cfvo type="percentile" val="50"/>
        <cfvo type="max"/>
        <color rgb="FF63BE7B"/>
        <color rgb="FFFFEB84"/>
        <color rgb="FFF8696B"/>
      </colorScale>
    </cfRule>
    <cfRule type="colorScale" priority="5634">
      <colorScale>
        <cfvo type="min"/>
        <cfvo type="percentile" val="50"/>
        <cfvo type="max"/>
        <color rgb="FF63BE7B"/>
        <color rgb="FFFFEB84"/>
        <color rgb="FFF8696B"/>
      </colorScale>
    </cfRule>
    <cfRule type="colorScale" priority="5633">
      <colorScale>
        <cfvo type="min"/>
        <cfvo type="percentile" val="50"/>
        <cfvo type="max"/>
        <color rgb="FF63BE7B"/>
        <color rgb="FFFFEB84"/>
        <color rgb="FFF8696B"/>
      </colorScale>
    </cfRule>
    <cfRule type="colorScale" priority="5632">
      <colorScale>
        <cfvo type="min"/>
        <cfvo type="percentile" val="50"/>
        <cfvo type="max"/>
        <color rgb="FF63BE7B"/>
        <color rgb="FFFFEB84"/>
        <color rgb="FFF8696B"/>
      </colorScale>
    </cfRule>
    <cfRule type="colorScale" priority="5631">
      <colorScale>
        <cfvo type="min"/>
        <cfvo type="percentile" val="50"/>
        <cfvo type="max"/>
        <color rgb="FF63BE7B"/>
        <color rgb="FFFFEB84"/>
        <color rgb="FFF8696B"/>
      </colorScale>
    </cfRule>
    <cfRule type="colorScale" priority="5630">
      <colorScale>
        <cfvo type="min"/>
        <cfvo type="percentile" val="50"/>
        <cfvo type="max"/>
        <color rgb="FF63BE7B"/>
        <color rgb="FFFFEB84"/>
        <color rgb="FFF8696B"/>
      </colorScale>
    </cfRule>
    <cfRule type="colorScale" priority="5629">
      <colorScale>
        <cfvo type="min"/>
        <cfvo type="percentile" val="50"/>
        <cfvo type="max"/>
        <color rgb="FF63BE7B"/>
        <color rgb="FFFFEB84"/>
        <color rgb="FFF8696B"/>
      </colorScale>
    </cfRule>
    <cfRule type="colorScale" priority="5628">
      <colorScale>
        <cfvo type="min"/>
        <cfvo type="percentile" val="50"/>
        <cfvo type="max"/>
        <color rgb="FF63BE7B"/>
        <color rgb="FFFFEB84"/>
        <color rgb="FFF8696B"/>
      </colorScale>
    </cfRule>
    <cfRule type="colorScale" priority="5627">
      <colorScale>
        <cfvo type="min"/>
        <cfvo type="percentile" val="50"/>
        <cfvo type="max"/>
        <color rgb="FF63BE7B"/>
        <color rgb="FFFFEB84"/>
        <color rgb="FFF8696B"/>
      </colorScale>
    </cfRule>
    <cfRule type="colorScale" priority="5626">
      <colorScale>
        <cfvo type="min"/>
        <cfvo type="percentile" val="50"/>
        <cfvo type="max"/>
        <color rgb="FF63BE7B"/>
        <color rgb="FFFFEB84"/>
        <color rgb="FFF8696B"/>
      </colorScale>
    </cfRule>
    <cfRule type="colorScale" priority="5625">
      <colorScale>
        <cfvo type="min"/>
        <cfvo type="percentile" val="50"/>
        <cfvo type="max"/>
        <color rgb="FF63BE7B"/>
        <color rgb="FFFFEB84"/>
        <color rgb="FFF8696B"/>
      </colorScale>
    </cfRule>
  </conditionalFormatting>
  <conditionalFormatting sqref="AL54:AL61">
    <cfRule type="colorScale" priority="20">
      <colorScale>
        <cfvo type="min"/>
        <cfvo type="percentile" val="50"/>
        <cfvo type="max"/>
        <color rgb="FF63BE7B"/>
        <color rgb="FFFFEB84"/>
        <color rgb="FFF8696B"/>
      </colorScale>
    </cfRule>
  </conditionalFormatting>
  <conditionalFormatting sqref="AL65:AL71">
    <cfRule type="colorScale" priority="12479">
      <colorScale>
        <cfvo type="min"/>
        <cfvo type="percentile" val="50"/>
        <cfvo type="max"/>
        <color rgb="FF63BE7B"/>
        <color rgb="FFFFEB84"/>
        <color rgb="FFF8696B"/>
      </colorScale>
    </cfRule>
    <cfRule type="colorScale" priority="12480">
      <colorScale>
        <cfvo type="min"/>
        <cfvo type="percentile" val="50"/>
        <cfvo type="max"/>
        <color rgb="FF63BE7B"/>
        <color rgb="FFFFEB84"/>
        <color rgb="FFF8696B"/>
      </colorScale>
    </cfRule>
    <cfRule type="colorScale" priority="12481">
      <colorScale>
        <cfvo type="min"/>
        <cfvo type="percentile" val="50"/>
        <cfvo type="max"/>
        <color rgb="FF63BE7B"/>
        <color rgb="FFFFEB84"/>
        <color rgb="FFF8696B"/>
      </colorScale>
    </cfRule>
  </conditionalFormatting>
  <conditionalFormatting sqref="AL66:AL71">
    <cfRule type="colorScale" priority="12482">
      <colorScale>
        <cfvo type="min"/>
        <cfvo type="percentile" val="50"/>
        <cfvo type="max"/>
        <color rgb="FF63BE7B"/>
        <color rgb="FFFFEB84"/>
        <color rgb="FFF8696B"/>
      </colorScale>
    </cfRule>
  </conditionalFormatting>
  <conditionalFormatting sqref="AL72:AL80">
    <cfRule type="colorScale" priority="12361">
      <colorScale>
        <cfvo type="min"/>
        <cfvo type="percentile" val="50"/>
        <cfvo type="max"/>
        <color rgb="FF63BE7B"/>
        <color rgb="FFFFEB84"/>
        <color rgb="FFF8696B"/>
      </colorScale>
    </cfRule>
    <cfRule type="colorScale" priority="12360">
      <colorScale>
        <cfvo type="min"/>
        <cfvo type="percentile" val="50"/>
        <cfvo type="max"/>
        <color rgb="FF63BE7B"/>
        <color rgb="FFFFEB84"/>
        <color rgb="FFF8696B"/>
      </colorScale>
    </cfRule>
    <cfRule type="colorScale" priority="12358">
      <colorScale>
        <cfvo type="min"/>
        <cfvo type="percentile" val="50"/>
        <cfvo type="max"/>
        <color rgb="FF63BE7B"/>
        <color rgb="FFFFEB84"/>
        <color rgb="FFF8696B"/>
      </colorScale>
    </cfRule>
    <cfRule type="colorScale" priority="12359">
      <colorScale>
        <cfvo type="min"/>
        <cfvo type="percentile" val="50"/>
        <cfvo type="max"/>
        <color rgb="FF63BE7B"/>
        <color rgb="FFFFEB84"/>
        <color rgb="FFF8696B"/>
      </colorScale>
    </cfRule>
  </conditionalFormatting>
  <conditionalFormatting sqref="AL74:AL80">
    <cfRule type="colorScale" priority="12366">
      <colorScale>
        <cfvo type="min"/>
        <cfvo type="percentile" val="50"/>
        <cfvo type="max"/>
        <color rgb="FF63BE7B"/>
        <color rgb="FFFFEB84"/>
        <color rgb="FFF8696B"/>
      </colorScale>
    </cfRule>
    <cfRule type="colorScale" priority="12367">
      <colorScale>
        <cfvo type="min"/>
        <cfvo type="percentile" val="50"/>
        <cfvo type="max"/>
        <color rgb="FF63BE7B"/>
        <color rgb="FFFFEB84"/>
        <color rgb="FFF8696B"/>
      </colorScale>
    </cfRule>
    <cfRule type="colorScale" priority="12368">
      <colorScale>
        <cfvo type="min"/>
        <cfvo type="percentile" val="50"/>
        <cfvo type="max"/>
        <color rgb="FF63BE7B"/>
        <color rgb="FFFFEB84"/>
        <color rgb="FFF8696B"/>
      </colorScale>
    </cfRule>
    <cfRule type="colorScale" priority="12369">
      <colorScale>
        <cfvo type="min"/>
        <cfvo type="percentile" val="50"/>
        <cfvo type="max"/>
        <color rgb="FF63BE7B"/>
        <color rgb="FFFFEB84"/>
        <color rgb="FFF8696B"/>
      </colorScale>
    </cfRule>
  </conditionalFormatting>
  <conditionalFormatting sqref="AL84:AL91">
    <cfRule type="colorScale" priority="12085">
      <colorScale>
        <cfvo type="min"/>
        <cfvo type="percentile" val="50"/>
        <cfvo type="max"/>
        <color rgb="FF63BE7B"/>
        <color rgb="FFFFEB84"/>
        <color rgb="FFF8696B"/>
      </colorScale>
    </cfRule>
    <cfRule type="colorScale" priority="12083">
      <colorScale>
        <cfvo type="min"/>
        <cfvo type="percentile" val="50"/>
        <cfvo type="max"/>
        <color rgb="FF63BE7B"/>
        <color rgb="FFFFEB84"/>
        <color rgb="FFF8696B"/>
      </colorScale>
    </cfRule>
    <cfRule type="colorScale" priority="12086">
      <colorScale>
        <cfvo type="min"/>
        <cfvo type="percentile" val="50"/>
        <cfvo type="max"/>
        <color rgb="FF63BE7B"/>
        <color rgb="FFFFEB84"/>
        <color rgb="FFF8696B"/>
      </colorScale>
    </cfRule>
  </conditionalFormatting>
  <conditionalFormatting sqref="AL86">
    <cfRule type="colorScale" priority="12084">
      <colorScale>
        <cfvo type="min"/>
        <cfvo type="percentile" val="50"/>
        <cfvo type="max"/>
        <color rgb="FF63BE7B"/>
        <color rgb="FFFFEB84"/>
        <color rgb="FFF8696B"/>
      </colorScale>
    </cfRule>
  </conditionalFormatting>
  <conditionalFormatting sqref="AL96:AL102">
    <cfRule type="colorScale" priority="11873">
      <colorScale>
        <cfvo type="min"/>
        <cfvo type="percentile" val="50"/>
        <cfvo type="max"/>
        <color rgb="FF63BE7B"/>
        <color rgb="FFFFEB84"/>
        <color rgb="FFF8696B"/>
      </colorScale>
    </cfRule>
    <cfRule type="colorScale" priority="11874">
      <colorScale>
        <cfvo type="min"/>
        <cfvo type="percentile" val="50"/>
        <cfvo type="max"/>
        <color rgb="FF63BE7B"/>
        <color rgb="FFFFEB84"/>
        <color rgb="FFF8696B"/>
      </colorScale>
    </cfRule>
    <cfRule type="colorScale" priority="11875">
      <colorScale>
        <cfvo type="min"/>
        <cfvo type="percentile" val="50"/>
        <cfvo type="max"/>
        <color rgb="FF63BE7B"/>
        <color rgb="FFFFEB84"/>
        <color rgb="FFF8696B"/>
      </colorScale>
    </cfRule>
  </conditionalFormatting>
  <conditionalFormatting sqref="AL97:AL102">
    <cfRule type="colorScale" priority="11876">
      <colorScale>
        <cfvo type="min"/>
        <cfvo type="percentile" val="50"/>
        <cfvo type="max"/>
        <color rgb="FF63BE7B"/>
        <color rgb="FFFFEB84"/>
        <color rgb="FFF8696B"/>
      </colorScale>
    </cfRule>
  </conditionalFormatting>
  <conditionalFormatting sqref="AL103:AL111">
    <cfRule type="colorScale" priority="11755">
      <colorScale>
        <cfvo type="min"/>
        <cfvo type="percentile" val="50"/>
        <cfvo type="max"/>
        <color rgb="FF63BE7B"/>
        <color rgb="FFFFEB84"/>
        <color rgb="FFF8696B"/>
      </colorScale>
    </cfRule>
    <cfRule type="colorScale" priority="11754">
      <colorScale>
        <cfvo type="min"/>
        <cfvo type="percentile" val="50"/>
        <cfvo type="max"/>
        <color rgb="FF63BE7B"/>
        <color rgb="FFFFEB84"/>
        <color rgb="FFF8696B"/>
      </colorScale>
    </cfRule>
    <cfRule type="colorScale" priority="11753">
      <colorScale>
        <cfvo type="min"/>
        <cfvo type="percentile" val="50"/>
        <cfvo type="max"/>
        <color rgb="FF63BE7B"/>
        <color rgb="FFFFEB84"/>
        <color rgb="FFF8696B"/>
      </colorScale>
    </cfRule>
    <cfRule type="colorScale" priority="11752">
      <colorScale>
        <cfvo type="min"/>
        <cfvo type="percentile" val="50"/>
        <cfvo type="max"/>
        <color rgb="FF63BE7B"/>
        <color rgb="FFFFEB84"/>
        <color rgb="FFF8696B"/>
      </colorScale>
    </cfRule>
  </conditionalFormatting>
  <conditionalFormatting sqref="AL105:AL111">
    <cfRule type="colorScale" priority="11763">
      <colorScale>
        <cfvo type="min"/>
        <cfvo type="percentile" val="50"/>
        <cfvo type="max"/>
        <color rgb="FF63BE7B"/>
        <color rgb="FFFFEB84"/>
        <color rgb="FFF8696B"/>
      </colorScale>
    </cfRule>
    <cfRule type="colorScale" priority="11762">
      <colorScale>
        <cfvo type="min"/>
        <cfvo type="percentile" val="50"/>
        <cfvo type="max"/>
        <color rgb="FF63BE7B"/>
        <color rgb="FFFFEB84"/>
        <color rgb="FFF8696B"/>
      </colorScale>
    </cfRule>
    <cfRule type="colorScale" priority="11761">
      <colorScale>
        <cfvo type="min"/>
        <cfvo type="percentile" val="50"/>
        <cfvo type="max"/>
        <color rgb="FF63BE7B"/>
        <color rgb="FFFFEB84"/>
        <color rgb="FFF8696B"/>
      </colorScale>
    </cfRule>
    <cfRule type="colorScale" priority="11760">
      <colorScale>
        <cfvo type="min"/>
        <cfvo type="percentile" val="50"/>
        <cfvo type="max"/>
        <color rgb="FF63BE7B"/>
        <color rgb="FFFFEB84"/>
        <color rgb="FFF8696B"/>
      </colorScale>
    </cfRule>
  </conditionalFormatting>
  <conditionalFormatting sqref="AL115:AL122">
    <cfRule type="colorScale" priority="11483">
      <colorScale>
        <cfvo type="min"/>
        <cfvo type="percentile" val="50"/>
        <cfvo type="max"/>
        <color rgb="FF63BE7B"/>
        <color rgb="FFFFEB84"/>
        <color rgb="FFF8696B"/>
      </colorScale>
    </cfRule>
    <cfRule type="colorScale" priority="11482">
      <colorScale>
        <cfvo type="min"/>
        <cfvo type="percentile" val="50"/>
        <cfvo type="max"/>
        <color rgb="FF63BE7B"/>
        <color rgb="FFFFEB84"/>
        <color rgb="FFF8696B"/>
      </colorScale>
    </cfRule>
    <cfRule type="colorScale" priority="11480">
      <colorScale>
        <cfvo type="min"/>
        <cfvo type="percentile" val="50"/>
        <cfvo type="max"/>
        <color rgb="FF63BE7B"/>
        <color rgb="FFFFEB84"/>
        <color rgb="FFF8696B"/>
      </colorScale>
    </cfRule>
  </conditionalFormatting>
  <conditionalFormatting sqref="AL117">
    <cfRule type="colorScale" priority="11481">
      <colorScale>
        <cfvo type="min"/>
        <cfvo type="percentile" val="50"/>
        <cfvo type="max"/>
        <color rgb="FF63BE7B"/>
        <color rgb="FFFFEB84"/>
        <color rgb="FFF8696B"/>
      </colorScale>
    </cfRule>
  </conditionalFormatting>
  <conditionalFormatting sqref="AM35:AM37">
    <cfRule type="colorScale" priority="8013">
      <colorScale>
        <cfvo type="min"/>
        <cfvo type="percentile" val="50"/>
        <cfvo type="max"/>
        <color rgb="FF63BE7B"/>
        <color rgb="FFFFEB84"/>
        <color rgb="FFF8696B"/>
      </colorScale>
    </cfRule>
    <cfRule type="colorScale" priority="8014">
      <colorScale>
        <cfvo type="min"/>
        <cfvo type="percentile" val="50"/>
        <cfvo type="max"/>
        <color rgb="FF63BE7B"/>
        <color rgb="FFFFEB84"/>
        <color rgb="FFF8696B"/>
      </colorScale>
    </cfRule>
    <cfRule type="colorScale" priority="7982">
      <colorScale>
        <cfvo type="min"/>
        <cfvo type="percentile" val="50"/>
        <cfvo type="max"/>
        <color rgb="FF63BE7B"/>
        <color rgb="FFFFEB84"/>
        <color rgb="FFF8696B"/>
      </colorScale>
    </cfRule>
    <cfRule type="colorScale" priority="8775">
      <colorScale>
        <cfvo type="min"/>
        <cfvo type="percentile" val="50"/>
        <cfvo type="max"/>
        <color rgb="FF63BE7B"/>
        <color rgb="FFFFEB84"/>
        <color rgb="FFF8696B"/>
      </colorScale>
    </cfRule>
    <cfRule type="colorScale" priority="8016">
      <colorScale>
        <cfvo type="min"/>
        <cfvo type="percentile" val="50"/>
        <cfvo type="max"/>
        <color rgb="FF63BE7B"/>
        <color rgb="FFFFEB84"/>
        <color rgb="FFF8696B"/>
      </colorScale>
    </cfRule>
    <cfRule type="colorScale" priority="8017">
      <colorScale>
        <cfvo type="min"/>
        <cfvo type="percentile" val="50"/>
        <cfvo type="max"/>
        <color rgb="FF63BE7B"/>
        <color rgb="FFFFEB84"/>
        <color rgb="FFF8696B"/>
      </colorScale>
    </cfRule>
    <cfRule type="colorScale" priority="8783">
      <colorScale>
        <cfvo type="min"/>
        <cfvo type="percentile" val="50"/>
        <cfvo type="max"/>
        <color rgb="FF63BE7B"/>
        <color rgb="FFFFEB84"/>
        <color rgb="FFF8696B"/>
      </colorScale>
    </cfRule>
    <cfRule type="colorScale" priority="8784">
      <colorScale>
        <cfvo type="min"/>
        <cfvo type="percentile" val="50"/>
        <cfvo type="max"/>
        <color rgb="FF63BE7B"/>
        <color rgb="FFFFEB84"/>
        <color rgb="FFF8696B"/>
      </colorScale>
    </cfRule>
    <cfRule type="colorScale" priority="8812">
      <colorScale>
        <cfvo type="min"/>
        <cfvo type="percentile" val="50"/>
        <cfvo type="max"/>
        <color rgb="FF63BE7B"/>
        <color rgb="FFFFEB84"/>
        <color rgb="FFF8696B"/>
      </colorScale>
    </cfRule>
    <cfRule type="colorScale" priority="8813">
      <colorScale>
        <cfvo type="min"/>
        <cfvo type="percentile" val="50"/>
        <cfvo type="max"/>
        <color rgb="FF63BE7B"/>
        <color rgb="FFFFEB84"/>
        <color rgb="FFF8696B"/>
      </colorScale>
    </cfRule>
    <cfRule type="colorScale" priority="8785">
      <colorScale>
        <cfvo type="min"/>
        <cfvo type="percentile" val="50"/>
        <cfvo type="max"/>
        <color rgb="FF63BE7B"/>
        <color rgb="FFFFEB84"/>
        <color rgb="FFF8696B"/>
      </colorScale>
    </cfRule>
    <cfRule type="colorScale" priority="8815">
      <colorScale>
        <cfvo type="min"/>
        <cfvo type="percentile" val="50"/>
        <cfvo type="max"/>
        <color rgb="FF63BE7B"/>
        <color rgb="FFFFEB84"/>
        <color rgb="FFF8696B"/>
      </colorScale>
    </cfRule>
    <cfRule type="colorScale" priority="8786">
      <colorScale>
        <cfvo type="min"/>
        <cfvo type="percentile" val="50"/>
        <cfvo type="max"/>
        <color rgb="FF63BE7B"/>
        <color rgb="FFFFEB84"/>
        <color rgb="FFF8696B"/>
      </colorScale>
    </cfRule>
    <cfRule type="colorScale" priority="7964">
      <colorScale>
        <cfvo type="min"/>
        <cfvo type="percentile" val="50"/>
        <cfvo type="max"/>
        <color rgb="FF63BE7B"/>
        <color rgb="FFFFEB84"/>
        <color rgb="FFF8696B"/>
      </colorScale>
    </cfRule>
    <cfRule type="colorScale" priority="8789">
      <colorScale>
        <cfvo type="min"/>
        <cfvo type="percentile" val="50"/>
        <cfvo type="max"/>
        <color rgb="FF63BE7B"/>
        <color rgb="FFFFEB84"/>
        <color rgb="FFF8696B"/>
      </colorScale>
    </cfRule>
    <cfRule type="colorScale" priority="8802">
      <colorScale>
        <cfvo type="min"/>
        <cfvo type="percentile" val="50"/>
        <cfvo type="max"/>
        <color rgb="FF63BE7B"/>
        <color rgb="FFFFEB84"/>
        <color rgb="FFF8696B"/>
      </colorScale>
    </cfRule>
    <cfRule type="colorScale" priority="8810">
      <colorScale>
        <cfvo type="min"/>
        <cfvo type="percentile" val="50"/>
        <cfvo type="max"/>
        <color rgb="FF63BE7B"/>
        <color rgb="FFFFEB84"/>
        <color rgb="FFF8696B"/>
      </colorScale>
    </cfRule>
    <cfRule type="colorScale" priority="8816">
      <colorScale>
        <cfvo type="min"/>
        <cfvo type="percentile" val="50"/>
        <cfvo type="max"/>
        <color rgb="FF63BE7B"/>
        <color rgb="FFFFEB84"/>
        <color rgb="FFF8696B"/>
      </colorScale>
    </cfRule>
    <cfRule type="colorScale" priority="8811">
      <colorScale>
        <cfvo type="min"/>
        <cfvo type="percentile" val="50"/>
        <cfvo type="max"/>
        <color rgb="FF63BE7B"/>
        <color rgb="FFFFEB84"/>
        <color rgb="FFF8696B"/>
      </colorScale>
    </cfRule>
    <cfRule type="colorScale" priority="7955">
      <colorScale>
        <cfvo type="min"/>
        <cfvo type="percentile" val="50"/>
        <cfvo type="max"/>
        <color rgb="FF63BE7B"/>
        <color rgb="FFFFEB84"/>
        <color rgb="FFF8696B"/>
      </colorScale>
    </cfRule>
    <cfRule type="colorScale" priority="8003">
      <colorScale>
        <cfvo type="min"/>
        <cfvo type="percentile" val="50"/>
        <cfvo type="max"/>
        <color rgb="FF63BE7B"/>
        <color rgb="FFFFEB84"/>
        <color rgb="FFF8696B"/>
      </colorScale>
    </cfRule>
    <cfRule type="colorScale" priority="8788">
      <colorScale>
        <cfvo type="min"/>
        <cfvo type="percentile" val="50"/>
        <cfvo type="max"/>
        <color rgb="FF63BE7B"/>
        <color rgb="FFFFEB84"/>
        <color rgb="FFF8696B"/>
      </colorScale>
    </cfRule>
    <cfRule type="colorScale" priority="10814">
      <colorScale>
        <cfvo type="min"/>
        <cfvo type="percentile" val="50"/>
        <cfvo type="max"/>
        <color rgb="FF63BE7B"/>
        <color rgb="FFFFEB84"/>
        <color rgb="FFF8696B"/>
      </colorScale>
    </cfRule>
    <cfRule type="colorScale" priority="7963">
      <colorScale>
        <cfvo type="min"/>
        <cfvo type="percentile" val="50"/>
        <cfvo type="max"/>
        <color rgb="FF63BE7B"/>
        <color rgb="FFFFEB84"/>
        <color rgb="FFF8696B"/>
      </colorScale>
    </cfRule>
    <cfRule type="colorScale" priority="7965">
      <colorScale>
        <cfvo type="min"/>
        <cfvo type="percentile" val="50"/>
        <cfvo type="max"/>
        <color rgb="FF63BE7B"/>
        <color rgb="FFFFEB84"/>
        <color rgb="FFF8696B"/>
      </colorScale>
    </cfRule>
    <cfRule type="colorScale" priority="7966">
      <colorScale>
        <cfvo type="min"/>
        <cfvo type="percentile" val="50"/>
        <cfvo type="max"/>
        <color rgb="FF63BE7B"/>
        <color rgb="FFFFEB84"/>
        <color rgb="FFF8696B"/>
      </colorScale>
    </cfRule>
    <cfRule type="colorScale" priority="7968">
      <colorScale>
        <cfvo type="min"/>
        <cfvo type="percentile" val="50"/>
        <cfvo type="max"/>
        <color rgb="FF63BE7B"/>
        <color rgb="FFFFEB84"/>
        <color rgb="FFF8696B"/>
      </colorScale>
    </cfRule>
    <cfRule type="colorScale" priority="7969">
      <colorScale>
        <cfvo type="min"/>
        <cfvo type="percentile" val="50"/>
        <cfvo type="max"/>
        <color rgb="FF63BE7B"/>
        <color rgb="FFFFEB84"/>
        <color rgb="FFF8696B"/>
      </colorScale>
    </cfRule>
    <cfRule type="colorScale" priority="8011">
      <colorScale>
        <cfvo type="min"/>
        <cfvo type="percentile" val="50"/>
        <cfvo type="max"/>
        <color rgb="FF63BE7B"/>
        <color rgb="FFFFEB84"/>
        <color rgb="FFF8696B"/>
      </colorScale>
    </cfRule>
    <cfRule type="colorScale" priority="8012">
      <colorScale>
        <cfvo type="min"/>
        <cfvo type="percentile" val="50"/>
        <cfvo type="max"/>
        <color rgb="FF63BE7B"/>
        <color rgb="FFFFEB84"/>
        <color rgb="FFF8696B"/>
      </colorScale>
    </cfRule>
  </conditionalFormatting>
  <conditionalFormatting sqref="AM35:AM40">
    <cfRule type="colorScale" priority="8002">
      <colorScale>
        <cfvo type="min"/>
        <cfvo type="percentile" val="50"/>
        <cfvo type="max"/>
        <color rgb="FF63BE7B"/>
        <color rgb="FFFFEB84"/>
        <color rgb="FFF8696B"/>
      </colorScale>
    </cfRule>
    <cfRule type="colorScale" priority="8005">
      <colorScale>
        <cfvo type="min"/>
        <cfvo type="percentile" val="50"/>
        <cfvo type="max"/>
        <color rgb="FF63BE7B"/>
        <color rgb="FFFFEB84"/>
        <color rgb="FFF8696B"/>
      </colorScale>
    </cfRule>
    <cfRule type="colorScale" priority="8006">
      <colorScale>
        <cfvo type="min"/>
        <cfvo type="percentile" val="50"/>
        <cfvo type="max"/>
        <color rgb="FF63BE7B"/>
        <color rgb="FFFFEB84"/>
        <color rgb="FFF8696B"/>
      </colorScale>
    </cfRule>
    <cfRule type="colorScale" priority="8007">
      <colorScale>
        <cfvo type="min"/>
        <cfvo type="percentile" val="50"/>
        <cfvo type="max"/>
        <color rgb="FF63BE7B"/>
        <color rgb="FFFFEB84"/>
        <color rgb="FFF8696B"/>
      </colorScale>
    </cfRule>
    <cfRule type="colorScale" priority="8008">
      <colorScale>
        <cfvo type="min"/>
        <cfvo type="percentile" val="50"/>
        <cfvo type="max"/>
        <color rgb="FF63BE7B"/>
        <color rgb="FFFFEB84"/>
        <color rgb="FFF8696B"/>
      </colorScale>
    </cfRule>
    <cfRule type="colorScale" priority="8009">
      <colorScale>
        <cfvo type="min"/>
        <cfvo type="percentile" val="50"/>
        <cfvo type="max"/>
        <color rgb="FF63BE7B"/>
        <color rgb="FFFFEB84"/>
        <color rgb="FFF8696B"/>
      </colorScale>
    </cfRule>
    <cfRule type="colorScale" priority="8001">
      <colorScale>
        <cfvo type="min"/>
        <cfvo type="percentile" val="50"/>
        <cfvo type="max"/>
        <color rgb="FF63BE7B"/>
        <color rgb="FFFFEB84"/>
        <color rgb="FFF8696B"/>
      </colorScale>
    </cfRule>
    <cfRule type="colorScale" priority="8010">
      <colorScale>
        <cfvo type="min"/>
        <cfvo type="percentile" val="50"/>
        <cfvo type="max"/>
        <color rgb="FF63BE7B"/>
        <color rgb="FFFFEB84"/>
        <color rgb="FFF8696B"/>
      </colorScale>
    </cfRule>
    <cfRule type="colorScale" priority="8004">
      <colorScale>
        <cfvo type="min"/>
        <cfvo type="percentile" val="50"/>
        <cfvo type="max"/>
        <color rgb="FF63BE7B"/>
        <color rgb="FFFFEB84"/>
        <color rgb="FFF8696B"/>
      </colorScale>
    </cfRule>
  </conditionalFormatting>
  <conditionalFormatting sqref="AM35:AM41">
    <cfRule type="colorScale" priority="7989">
      <colorScale>
        <cfvo type="min"/>
        <cfvo type="percentile" val="50"/>
        <cfvo type="max"/>
        <color rgb="FF63BE7B"/>
        <color rgb="FFFFEB84"/>
        <color rgb="FFF8696B"/>
      </colorScale>
    </cfRule>
    <cfRule type="colorScale" priority="7990">
      <colorScale>
        <cfvo type="min"/>
        <cfvo type="percentile" val="50"/>
        <cfvo type="max"/>
        <color rgb="FF63BE7B"/>
        <color rgb="FFFFEB84"/>
        <color rgb="FFF8696B"/>
      </colorScale>
    </cfRule>
    <cfRule type="colorScale" priority="7991">
      <colorScale>
        <cfvo type="min"/>
        <cfvo type="percentile" val="50"/>
        <cfvo type="max"/>
        <color rgb="FF63BE7B"/>
        <color rgb="FFFFEB84"/>
        <color rgb="FFF8696B"/>
      </colorScale>
    </cfRule>
    <cfRule type="colorScale" priority="7992">
      <colorScale>
        <cfvo type="min"/>
        <cfvo type="percentile" val="50"/>
        <cfvo type="max"/>
        <color rgb="FF63BE7B"/>
        <color rgb="FFFFEB84"/>
        <color rgb="FFF8696B"/>
      </colorScale>
    </cfRule>
    <cfRule type="colorScale" priority="7993">
      <colorScale>
        <cfvo type="min"/>
        <cfvo type="percentile" val="50"/>
        <cfvo type="max"/>
        <color rgb="FF63BE7B"/>
        <color rgb="FFFFEB84"/>
        <color rgb="FFF8696B"/>
      </colorScale>
    </cfRule>
    <cfRule type="colorScale" priority="7994">
      <colorScale>
        <cfvo type="min"/>
        <cfvo type="percentile" val="50"/>
        <cfvo type="max"/>
        <color rgb="FF63BE7B"/>
        <color rgb="FFFFEB84"/>
        <color rgb="FFF8696B"/>
      </colorScale>
    </cfRule>
    <cfRule type="colorScale" priority="7995">
      <colorScale>
        <cfvo type="min"/>
        <cfvo type="percentile" val="50"/>
        <cfvo type="max"/>
        <color rgb="FF63BE7B"/>
        <color rgb="FFFFEB84"/>
        <color rgb="FFF8696B"/>
      </colorScale>
    </cfRule>
    <cfRule type="colorScale" priority="7972">
      <colorScale>
        <cfvo type="min"/>
        <cfvo type="percentile" val="50"/>
        <cfvo type="max"/>
        <color rgb="FF63BE7B"/>
        <color rgb="FFFFEB84"/>
        <color rgb="FFF8696B"/>
      </colorScale>
    </cfRule>
    <cfRule type="colorScale" priority="7996">
      <colorScale>
        <cfvo type="min"/>
        <cfvo type="percentile" val="50"/>
        <cfvo type="max"/>
        <color rgb="FF63BE7B"/>
        <color rgb="FFFFEB84"/>
        <color rgb="FFF8696B"/>
      </colorScale>
    </cfRule>
    <cfRule type="colorScale" priority="7973">
      <colorScale>
        <cfvo type="min"/>
        <cfvo type="percentile" val="50"/>
        <cfvo type="max"/>
        <color rgb="FF63BE7B"/>
        <color rgb="FFFFEB84"/>
        <color rgb="FFF8696B"/>
      </colorScale>
    </cfRule>
    <cfRule type="colorScale" priority="7998">
      <colorScale>
        <cfvo type="min"/>
        <cfvo type="percentile" val="50"/>
        <cfvo type="max"/>
        <color rgb="FF63BE7B"/>
        <color rgb="FFFFEB84"/>
        <color rgb="FFF8696B"/>
      </colorScale>
    </cfRule>
    <cfRule type="colorScale" priority="7999">
      <colorScale>
        <cfvo type="min"/>
        <cfvo type="percentile" val="50"/>
        <cfvo type="max"/>
        <color rgb="FF63BE7B"/>
        <color rgb="FFFFEB84"/>
        <color rgb="FFF8696B"/>
      </colorScale>
    </cfRule>
    <cfRule type="colorScale" priority="8000">
      <colorScale>
        <cfvo type="min"/>
        <cfvo type="percentile" val="50"/>
        <cfvo type="max"/>
        <color rgb="FFF8696B"/>
        <color rgb="FFFFEB84"/>
        <color rgb="FF63BE7B"/>
      </colorScale>
    </cfRule>
    <cfRule type="colorScale" priority="7988">
      <colorScale>
        <cfvo type="min"/>
        <cfvo type="percentile" val="50"/>
        <cfvo type="max"/>
        <color rgb="FF63BE7B"/>
        <color rgb="FFFFEB84"/>
        <color rgb="FFF8696B"/>
      </colorScale>
    </cfRule>
    <cfRule type="colorScale" priority="7974">
      <colorScale>
        <cfvo type="min"/>
        <cfvo type="percentile" val="50"/>
        <cfvo type="max"/>
        <color rgb="FF63BE7B"/>
        <color rgb="FFFFEB84"/>
        <color rgb="FFF8696B"/>
      </colorScale>
    </cfRule>
    <cfRule type="colorScale" priority="7975">
      <colorScale>
        <cfvo type="min"/>
        <cfvo type="percentile" val="50"/>
        <cfvo type="max"/>
        <color rgb="FF63BE7B"/>
        <color rgb="FFFFEB84"/>
        <color rgb="FFF8696B"/>
      </colorScale>
    </cfRule>
    <cfRule type="colorScale" priority="9312">
      <colorScale>
        <cfvo type="min"/>
        <cfvo type="percentile" val="50"/>
        <cfvo type="max"/>
        <color rgb="FFF8696B"/>
        <color rgb="FFFFEB84"/>
        <color rgb="FF63BE7B"/>
      </colorScale>
    </cfRule>
    <cfRule type="colorScale" priority="8018">
      <colorScale>
        <cfvo type="min"/>
        <cfvo type="percentile" val="50"/>
        <cfvo type="max"/>
        <color rgb="FF63BE7B"/>
        <color rgb="FFFFEB84"/>
        <color rgb="FFF8696B"/>
      </colorScale>
    </cfRule>
    <cfRule type="colorScale" priority="8019">
      <colorScale>
        <cfvo type="min"/>
        <cfvo type="percentile" val="50"/>
        <cfvo type="max"/>
        <color rgb="FF63BE7B"/>
        <color rgb="FFFFEB84"/>
        <color rgb="FFF8696B"/>
      </colorScale>
    </cfRule>
    <cfRule type="colorScale" priority="8020">
      <colorScale>
        <cfvo type="min"/>
        <cfvo type="percentile" val="50"/>
        <cfvo type="max"/>
        <color rgb="FF63BE7B"/>
        <color rgb="FFFFEB84"/>
        <color rgb="FFF8696B"/>
      </colorScale>
    </cfRule>
    <cfRule type="colorScale" priority="7976">
      <colorScale>
        <cfvo type="min"/>
        <cfvo type="percentile" val="50"/>
        <cfvo type="max"/>
        <color rgb="FF63BE7B"/>
        <color rgb="FFFFEB84"/>
        <color rgb="FFF8696B"/>
      </colorScale>
    </cfRule>
    <cfRule type="colorScale" priority="8022">
      <colorScale>
        <cfvo type="min"/>
        <cfvo type="percentile" val="50"/>
        <cfvo type="max"/>
        <color rgb="FF63BE7B"/>
        <color rgb="FFFFEB84"/>
        <color rgb="FFF8696B"/>
      </colorScale>
    </cfRule>
    <cfRule type="colorScale" priority="8023">
      <colorScale>
        <cfvo type="min"/>
        <cfvo type="percentile" val="50"/>
        <cfvo type="max"/>
        <color rgb="FF63BE7B"/>
        <color rgb="FFFFEB84"/>
        <color rgb="FFF8696B"/>
      </colorScale>
    </cfRule>
    <cfRule type="colorScale" priority="7978">
      <colorScale>
        <cfvo type="min"/>
        <cfvo type="percentile" val="50"/>
        <cfvo type="max"/>
        <color rgb="FF63BE7B"/>
        <color rgb="FFFFEB84"/>
        <color rgb="FFF8696B"/>
      </colorScale>
    </cfRule>
    <cfRule type="colorScale" priority="8817">
      <colorScale>
        <cfvo type="min"/>
        <cfvo type="percentile" val="50"/>
        <cfvo type="max"/>
        <color rgb="FF63BE7B"/>
        <color rgb="FFFFEB84"/>
        <color rgb="FFF8696B"/>
      </colorScale>
    </cfRule>
    <cfRule type="colorScale" priority="8818">
      <colorScale>
        <cfvo type="min"/>
        <cfvo type="percentile" val="50"/>
        <cfvo type="max"/>
        <color rgb="FF63BE7B"/>
        <color rgb="FFFFEB84"/>
        <color rgb="FFF8696B"/>
      </colorScale>
    </cfRule>
    <cfRule type="colorScale" priority="8819">
      <colorScale>
        <cfvo type="min"/>
        <cfvo type="percentile" val="50"/>
        <cfvo type="max"/>
        <color rgb="FF63BE7B"/>
        <color rgb="FFFFEB84"/>
        <color rgb="FFF8696B"/>
      </colorScale>
    </cfRule>
    <cfRule type="colorScale" priority="7979">
      <colorScale>
        <cfvo type="min"/>
        <cfvo type="percentile" val="50"/>
        <cfvo type="max"/>
        <color rgb="FF63BE7B"/>
        <color rgb="FFFFEB84"/>
        <color rgb="FFF8696B"/>
      </colorScale>
    </cfRule>
    <cfRule type="colorScale" priority="7980">
      <colorScale>
        <cfvo type="min"/>
        <cfvo type="percentile" val="50"/>
        <cfvo type="max"/>
        <color rgb="FF63BE7B"/>
        <color rgb="FFFFEB84"/>
        <color rgb="FFF8696B"/>
      </colorScale>
    </cfRule>
    <cfRule type="colorScale" priority="7981">
      <colorScale>
        <cfvo type="min"/>
        <cfvo type="percentile" val="50"/>
        <cfvo type="max"/>
        <color rgb="FF63BE7B"/>
        <color rgb="FFFFEB84"/>
        <color rgb="FFF8696B"/>
      </colorScale>
    </cfRule>
    <cfRule type="colorScale" priority="7983">
      <colorScale>
        <cfvo type="min"/>
        <cfvo type="percentile" val="50"/>
        <cfvo type="max"/>
        <color rgb="FF63BE7B"/>
        <color rgb="FFFFEB84"/>
        <color rgb="FFF8696B"/>
      </colorScale>
    </cfRule>
    <cfRule type="colorScale" priority="7984">
      <colorScale>
        <cfvo type="min"/>
        <cfvo type="percentile" val="50"/>
        <cfvo type="max"/>
        <color rgb="FF63BE7B"/>
        <color rgb="FFFFEB84"/>
        <color rgb="FFF8696B"/>
      </colorScale>
    </cfRule>
    <cfRule type="colorScale" priority="8773">
      <colorScale>
        <cfvo type="min"/>
        <cfvo type="percentile" val="50"/>
        <cfvo type="max"/>
        <color rgb="FF63BE7B"/>
        <color rgb="FFFFEB84"/>
        <color rgb="FFF8696B"/>
      </colorScale>
    </cfRule>
    <cfRule type="colorScale" priority="8774">
      <colorScale>
        <cfvo type="min"/>
        <cfvo type="percentile" val="50"/>
        <cfvo type="max"/>
        <color rgb="FF63BE7B"/>
        <color rgb="FFFFEB84"/>
        <color rgb="FFF8696B"/>
      </colorScale>
    </cfRule>
    <cfRule type="colorScale" priority="8782">
      <colorScale>
        <cfvo type="min"/>
        <cfvo type="percentile" val="50"/>
        <cfvo type="max"/>
        <color rgb="FF63BE7B"/>
        <color rgb="FFFFEB84"/>
        <color rgb="FFF8696B"/>
      </colorScale>
    </cfRule>
    <cfRule type="colorScale" priority="8781">
      <colorScale>
        <cfvo type="min"/>
        <cfvo type="percentile" val="50"/>
        <cfvo type="max"/>
        <color rgb="FF63BE7B"/>
        <color rgb="FFFFEB84"/>
        <color rgb="FFF8696B"/>
      </colorScale>
    </cfRule>
    <cfRule type="colorScale" priority="8780">
      <colorScale>
        <cfvo type="min"/>
        <cfvo type="percentile" val="50"/>
        <cfvo type="max"/>
        <color rgb="FF63BE7B"/>
        <color rgb="FFFFEB84"/>
        <color rgb="FFF8696B"/>
      </colorScale>
    </cfRule>
    <cfRule type="colorScale" priority="8800">
      <colorScale>
        <cfvo type="min"/>
        <cfvo type="percentile" val="50"/>
        <cfvo type="max"/>
        <color rgb="FF63BE7B"/>
        <color rgb="FFFFEB84"/>
        <color rgb="FFF8696B"/>
      </colorScale>
    </cfRule>
    <cfRule type="colorScale" priority="7985">
      <colorScale>
        <cfvo type="min"/>
        <cfvo type="percentile" val="50"/>
        <cfvo type="max"/>
        <color rgb="FF63BE7B"/>
        <color rgb="FFFFEB84"/>
        <color rgb="FFF8696B"/>
      </colorScale>
    </cfRule>
    <cfRule type="colorScale" priority="7986">
      <colorScale>
        <cfvo type="min"/>
        <cfvo type="percentile" val="50"/>
        <cfvo type="max"/>
        <color rgb="FF63BE7B"/>
        <color rgb="FFFFEB84"/>
        <color rgb="FFF8696B"/>
      </colorScale>
    </cfRule>
    <cfRule type="colorScale" priority="7987">
      <colorScale>
        <cfvo type="min"/>
        <cfvo type="percentile" val="50"/>
        <cfvo type="max"/>
        <color rgb="FF63BE7B"/>
        <color rgb="FFFFEB84"/>
        <color rgb="FFF8696B"/>
      </colorScale>
    </cfRule>
    <cfRule type="colorScale" priority="8801">
      <colorScale>
        <cfvo type="min"/>
        <cfvo type="percentile" val="50"/>
        <cfvo type="max"/>
        <color rgb="FF63BE7B"/>
        <color rgb="FFFFEB84"/>
        <color rgb="FFF8696B"/>
      </colorScale>
    </cfRule>
    <cfRule type="colorScale" priority="8790">
      <colorScale>
        <cfvo type="min"/>
        <cfvo type="percentile" val="50"/>
        <cfvo type="max"/>
        <color rgb="FF63BE7B"/>
        <color rgb="FFFFEB84"/>
        <color rgb="FFF8696B"/>
      </colorScale>
    </cfRule>
    <cfRule type="colorScale" priority="8803">
      <colorScale>
        <cfvo type="min"/>
        <cfvo type="percentile" val="50"/>
        <cfvo type="max"/>
        <color rgb="FF63BE7B"/>
        <color rgb="FFFFEB84"/>
        <color rgb="FFF8696B"/>
      </colorScale>
    </cfRule>
    <cfRule type="colorScale" priority="8779">
      <colorScale>
        <cfvo type="min"/>
        <cfvo type="percentile" val="50"/>
        <cfvo type="max"/>
        <color rgb="FF63BE7B"/>
        <color rgb="FFFFEB84"/>
        <color rgb="FFF8696B"/>
      </colorScale>
    </cfRule>
    <cfRule type="colorScale" priority="8778">
      <colorScale>
        <cfvo type="min"/>
        <cfvo type="percentile" val="50"/>
        <cfvo type="max"/>
        <color rgb="FF63BE7B"/>
        <color rgb="FFFFEB84"/>
        <color rgb="FFF8696B"/>
      </colorScale>
    </cfRule>
    <cfRule type="colorScale" priority="8777">
      <colorScale>
        <cfvo type="min"/>
        <cfvo type="percentile" val="50"/>
        <cfvo type="max"/>
        <color rgb="FF63BE7B"/>
        <color rgb="FFFFEB84"/>
        <color rgb="FFF8696B"/>
      </colorScale>
    </cfRule>
    <cfRule type="colorScale" priority="8776">
      <colorScale>
        <cfvo type="min"/>
        <cfvo type="percentile" val="50"/>
        <cfvo type="max"/>
        <color rgb="FF63BE7B"/>
        <color rgb="FFFFEB84"/>
        <color rgb="FFF8696B"/>
      </colorScale>
    </cfRule>
    <cfRule type="colorScale" priority="8804">
      <colorScale>
        <cfvo type="min"/>
        <cfvo type="percentile" val="50"/>
        <cfvo type="max"/>
        <color rgb="FF63BE7B"/>
        <color rgb="FFFFEB84"/>
        <color rgb="FFF8696B"/>
      </colorScale>
    </cfRule>
    <cfRule type="colorScale" priority="8805">
      <colorScale>
        <cfvo type="min"/>
        <cfvo type="percentile" val="50"/>
        <cfvo type="max"/>
        <color rgb="FF63BE7B"/>
        <color rgb="FFFFEB84"/>
        <color rgb="FFF8696B"/>
      </colorScale>
    </cfRule>
    <cfRule type="colorScale" priority="8806">
      <colorScale>
        <cfvo type="min"/>
        <cfvo type="percentile" val="50"/>
        <cfvo type="max"/>
        <color rgb="FF63BE7B"/>
        <color rgb="FFFFEB84"/>
        <color rgb="FFF8696B"/>
      </colorScale>
    </cfRule>
    <cfRule type="colorScale" priority="10830">
      <colorScale>
        <cfvo type="min"/>
        <cfvo type="percentile" val="50"/>
        <cfvo type="max"/>
        <color rgb="FF63BE7B"/>
        <color rgb="FFFFEB84"/>
        <color rgb="FFF8696B"/>
      </colorScale>
    </cfRule>
    <cfRule type="colorScale" priority="10829">
      <colorScale>
        <cfvo type="min"/>
        <cfvo type="percentile" val="50"/>
        <cfvo type="max"/>
        <color rgb="FF63BE7B"/>
        <color rgb="FFFFEB84"/>
        <color rgb="FFF8696B"/>
      </colorScale>
    </cfRule>
    <cfRule type="colorScale" priority="10828">
      <colorScale>
        <cfvo type="min"/>
        <cfvo type="percentile" val="50"/>
        <cfvo type="max"/>
        <color rgb="FF63BE7B"/>
        <color rgb="FFFFEB84"/>
        <color rgb="FFF8696B"/>
      </colorScale>
    </cfRule>
    <cfRule type="colorScale" priority="10827">
      <colorScale>
        <cfvo type="min"/>
        <cfvo type="percentile" val="50"/>
        <cfvo type="max"/>
        <color rgb="FF63BE7B"/>
        <color rgb="FFFFEB84"/>
        <color rgb="FFF8696B"/>
      </colorScale>
    </cfRule>
    <cfRule type="colorScale" priority="10826">
      <colorScale>
        <cfvo type="min"/>
        <cfvo type="percentile" val="50"/>
        <cfvo type="max"/>
        <color rgb="FF63BE7B"/>
        <color rgb="FFFFEB84"/>
        <color rgb="FFF8696B"/>
      </colorScale>
    </cfRule>
    <cfRule type="colorScale" priority="10825">
      <colorScale>
        <cfvo type="min"/>
        <cfvo type="percentile" val="50"/>
        <cfvo type="max"/>
        <color rgb="FF63BE7B"/>
        <color rgb="FFFFEB84"/>
        <color rgb="FFF8696B"/>
      </colorScale>
    </cfRule>
    <cfRule type="colorScale" priority="10824">
      <colorScale>
        <cfvo type="min"/>
        <cfvo type="percentile" val="50"/>
        <cfvo type="max"/>
        <color rgb="FF63BE7B"/>
        <color rgb="FFFFEB84"/>
        <color rgb="FFF8696B"/>
      </colorScale>
    </cfRule>
    <cfRule type="colorScale" priority="10823">
      <colorScale>
        <cfvo type="min"/>
        <cfvo type="percentile" val="50"/>
        <cfvo type="max"/>
        <color rgb="FF63BE7B"/>
        <color rgb="FFFFEB84"/>
        <color rgb="FFF8696B"/>
      </colorScale>
    </cfRule>
    <cfRule type="colorScale" priority="10822">
      <colorScale>
        <cfvo type="min"/>
        <cfvo type="percentile" val="50"/>
        <cfvo type="max"/>
        <color rgb="FF63BE7B"/>
        <color rgb="FFFFEB84"/>
        <color rgb="FFF8696B"/>
      </colorScale>
    </cfRule>
    <cfRule type="colorScale" priority="10821">
      <colorScale>
        <cfvo type="min"/>
        <cfvo type="percentile" val="50"/>
        <cfvo type="max"/>
        <color rgb="FF63BE7B"/>
        <color rgb="FFFFEB84"/>
        <color rgb="FFF8696B"/>
      </colorScale>
    </cfRule>
    <cfRule type="colorScale" priority="8807">
      <colorScale>
        <cfvo type="min"/>
        <cfvo type="percentile" val="50"/>
        <cfvo type="max"/>
        <color rgb="FF63BE7B"/>
        <color rgb="FFFFEB84"/>
        <color rgb="FFF8696B"/>
      </colorScale>
    </cfRule>
    <cfRule type="colorScale" priority="8808">
      <colorScale>
        <cfvo type="min"/>
        <cfvo type="percentile" val="50"/>
        <cfvo type="max"/>
        <color rgb="FF63BE7B"/>
        <color rgb="FFFFEB84"/>
        <color rgb="FFF8696B"/>
      </colorScale>
    </cfRule>
    <cfRule type="colorScale" priority="8809">
      <colorScale>
        <cfvo type="min"/>
        <cfvo type="percentile" val="50"/>
        <cfvo type="max"/>
        <color rgb="FF63BE7B"/>
        <color rgb="FFFFEB84"/>
        <color rgb="FFF8696B"/>
      </colorScale>
    </cfRule>
    <cfRule type="colorScale" priority="8791">
      <colorScale>
        <cfvo type="min"/>
        <cfvo type="percentile" val="50"/>
        <cfvo type="max"/>
        <color rgb="FF63BE7B"/>
        <color rgb="FFFFEB84"/>
        <color rgb="FFF8696B"/>
      </colorScale>
    </cfRule>
    <cfRule type="colorScale" priority="8792">
      <colorScale>
        <cfvo type="min"/>
        <cfvo type="percentile" val="50"/>
        <cfvo type="max"/>
        <color rgb="FF63BE7B"/>
        <color rgb="FFFFEB84"/>
        <color rgb="FFF8696B"/>
      </colorScale>
    </cfRule>
    <cfRule type="colorScale" priority="7952">
      <colorScale>
        <cfvo type="min"/>
        <cfvo type="percentile" val="50"/>
        <cfvo type="max"/>
        <color rgb="FFF8696B"/>
        <color rgb="FFFFEB84"/>
        <color rgb="FF63BE7B"/>
      </colorScale>
    </cfRule>
    <cfRule type="colorScale" priority="7953">
      <colorScale>
        <cfvo type="min"/>
        <cfvo type="percentile" val="50"/>
        <cfvo type="max"/>
        <color rgb="FF63BE7B"/>
        <color rgb="FFFFEB84"/>
        <color rgb="FFF8696B"/>
      </colorScale>
    </cfRule>
    <cfRule type="colorScale" priority="7954">
      <colorScale>
        <cfvo type="min"/>
        <cfvo type="percentile" val="50"/>
        <cfvo type="max"/>
        <color rgb="FF63BE7B"/>
        <color rgb="FFFFEB84"/>
        <color rgb="FFF8696B"/>
      </colorScale>
    </cfRule>
    <cfRule type="colorScale" priority="10820">
      <colorScale>
        <cfvo type="min"/>
        <cfvo type="percentile" val="50"/>
        <cfvo type="max"/>
        <color rgb="FF63BE7B"/>
        <color rgb="FFFFEB84"/>
        <color rgb="FFF8696B"/>
      </colorScale>
    </cfRule>
    <cfRule type="colorScale" priority="10819">
      <colorScale>
        <cfvo type="min"/>
        <cfvo type="percentile" val="50"/>
        <cfvo type="max"/>
        <color rgb="FF63BE7B"/>
        <color rgb="FFFFEB84"/>
        <color rgb="FFF8696B"/>
      </colorScale>
    </cfRule>
    <cfRule type="colorScale" priority="10818">
      <colorScale>
        <cfvo type="min"/>
        <cfvo type="percentile" val="50"/>
        <cfvo type="max"/>
        <color rgb="FF63BE7B"/>
        <color rgb="FFFFEB84"/>
        <color rgb="FFF8696B"/>
      </colorScale>
    </cfRule>
    <cfRule type="colorScale" priority="10817">
      <colorScale>
        <cfvo type="min"/>
        <cfvo type="percentile" val="50"/>
        <cfvo type="max"/>
        <color rgb="FF63BE7B"/>
        <color rgb="FFFFEB84"/>
        <color rgb="FFF8696B"/>
      </colorScale>
    </cfRule>
    <cfRule type="colorScale" priority="10816">
      <colorScale>
        <cfvo type="min"/>
        <cfvo type="percentile" val="50"/>
        <cfvo type="max"/>
        <color rgb="FF63BE7B"/>
        <color rgb="FFFFEB84"/>
        <color rgb="FFF8696B"/>
      </colorScale>
    </cfRule>
    <cfRule type="colorScale" priority="8793">
      <colorScale>
        <cfvo type="min"/>
        <cfvo type="percentile" val="50"/>
        <cfvo type="max"/>
        <color rgb="FF63BE7B"/>
        <color rgb="FFFFEB84"/>
        <color rgb="FFF8696B"/>
      </colorScale>
    </cfRule>
    <cfRule type="colorScale" priority="10815">
      <colorScale>
        <cfvo type="min"/>
        <cfvo type="percentile" val="50"/>
        <cfvo type="max"/>
        <color rgb="FF63BE7B"/>
        <color rgb="FFFFEB84"/>
        <color rgb="FFF8696B"/>
      </colorScale>
    </cfRule>
    <cfRule type="colorScale" priority="8794">
      <colorScale>
        <cfvo type="min"/>
        <cfvo type="percentile" val="50"/>
        <cfvo type="max"/>
        <color rgb="FF63BE7B"/>
        <color rgb="FFFFEB84"/>
        <color rgb="FFF8696B"/>
      </colorScale>
    </cfRule>
    <cfRule type="colorScale" priority="10813">
      <colorScale>
        <cfvo type="min"/>
        <cfvo type="percentile" val="50"/>
        <cfvo type="max"/>
        <color rgb="FF63BE7B"/>
        <color rgb="FFFFEB84"/>
        <color rgb="FFF8696B"/>
      </colorScale>
    </cfRule>
    <cfRule type="colorScale" priority="10812">
      <colorScale>
        <cfvo type="min"/>
        <cfvo type="percentile" val="50"/>
        <cfvo type="max"/>
        <color rgb="FF63BE7B"/>
        <color rgb="FFFFEB84"/>
        <color rgb="FFF8696B"/>
      </colorScale>
    </cfRule>
    <cfRule type="colorScale" priority="7956">
      <colorScale>
        <cfvo type="min"/>
        <cfvo type="percentile" val="50"/>
        <cfvo type="max"/>
        <color rgb="FF63BE7B"/>
        <color rgb="FFFFEB84"/>
        <color rgb="FFF8696B"/>
      </colorScale>
    </cfRule>
    <cfRule type="colorScale" priority="7957">
      <colorScale>
        <cfvo type="min"/>
        <cfvo type="percentile" val="50"/>
        <cfvo type="max"/>
        <color rgb="FF63BE7B"/>
        <color rgb="FFFFEB84"/>
        <color rgb="FFF8696B"/>
      </colorScale>
    </cfRule>
    <cfRule type="colorScale" priority="7958">
      <colorScale>
        <cfvo type="min"/>
        <cfvo type="percentile" val="50"/>
        <cfvo type="max"/>
        <color rgb="FF63BE7B"/>
        <color rgb="FFFFEB84"/>
        <color rgb="FFF8696B"/>
      </colorScale>
    </cfRule>
    <cfRule type="colorScale" priority="7959">
      <colorScale>
        <cfvo type="min"/>
        <cfvo type="percentile" val="50"/>
        <cfvo type="max"/>
        <color rgb="FF63BE7B"/>
        <color rgb="FFFFEB84"/>
        <color rgb="FFF8696B"/>
      </colorScale>
    </cfRule>
    <cfRule type="colorScale" priority="7960">
      <colorScale>
        <cfvo type="min"/>
        <cfvo type="percentile" val="50"/>
        <cfvo type="max"/>
        <color rgb="FF63BE7B"/>
        <color rgb="FFFFEB84"/>
        <color rgb="FFF8696B"/>
      </colorScale>
    </cfRule>
    <cfRule type="colorScale" priority="7961">
      <colorScale>
        <cfvo type="min"/>
        <cfvo type="percentile" val="50"/>
        <cfvo type="max"/>
        <color rgb="FF63BE7B"/>
        <color rgb="FFFFEB84"/>
        <color rgb="FFF8696B"/>
      </colorScale>
    </cfRule>
    <cfRule type="colorScale" priority="7962">
      <colorScale>
        <cfvo type="min"/>
        <cfvo type="percentile" val="50"/>
        <cfvo type="max"/>
        <color rgb="FF63BE7B"/>
        <color rgb="FFFFEB84"/>
        <color rgb="FFF8696B"/>
      </colorScale>
    </cfRule>
    <cfRule type="colorScale" priority="8795">
      <colorScale>
        <cfvo type="min"/>
        <cfvo type="percentile" val="50"/>
        <cfvo type="max"/>
        <color rgb="FF63BE7B"/>
        <color rgb="FFFFEB84"/>
        <color rgb="FFF8696B"/>
      </colorScale>
    </cfRule>
    <cfRule type="colorScale" priority="8796">
      <colorScale>
        <cfvo type="min"/>
        <cfvo type="percentile" val="50"/>
        <cfvo type="max"/>
        <color rgb="FF63BE7B"/>
        <color rgb="FFFFEB84"/>
        <color rgb="FFF8696B"/>
      </colorScale>
    </cfRule>
    <cfRule type="colorScale" priority="8798">
      <colorScale>
        <cfvo type="min"/>
        <cfvo type="percentile" val="50"/>
        <cfvo type="max"/>
        <color rgb="FF63BE7B"/>
        <color rgb="FFFFEB84"/>
        <color rgb="FFF8696B"/>
      </colorScale>
    </cfRule>
    <cfRule type="colorScale" priority="8799">
      <colorScale>
        <cfvo type="min"/>
        <cfvo type="percentile" val="50"/>
        <cfvo type="max"/>
        <color rgb="FF63BE7B"/>
        <color rgb="FFFFEB84"/>
        <color rgb="FFF8696B"/>
      </colorScale>
    </cfRule>
    <cfRule type="colorScale" priority="7970">
      <colorScale>
        <cfvo type="min"/>
        <cfvo type="percentile" val="50"/>
        <cfvo type="max"/>
        <color rgb="FF63BE7B"/>
        <color rgb="FFFFEB84"/>
        <color rgb="FFF8696B"/>
      </colorScale>
    </cfRule>
    <cfRule type="colorScale" priority="7971">
      <colorScale>
        <cfvo type="min"/>
        <cfvo type="percentile" val="50"/>
        <cfvo type="max"/>
        <color rgb="FF63BE7B"/>
        <color rgb="FFFFEB84"/>
        <color rgb="FFF8696B"/>
      </colorScale>
    </cfRule>
  </conditionalFormatting>
  <conditionalFormatting sqref="AM36:AM37">
    <cfRule type="colorScale" priority="8814">
      <colorScale>
        <cfvo type="min"/>
        <cfvo type="percentile" val="50"/>
        <cfvo type="max"/>
        <color rgb="FF63BE7B"/>
        <color rgb="FFFFEB84"/>
        <color rgb="FFF8696B"/>
      </colorScale>
    </cfRule>
    <cfRule type="colorScale" priority="8015">
      <colorScale>
        <cfvo type="min"/>
        <cfvo type="percentile" val="50"/>
        <cfvo type="max"/>
        <color rgb="FF63BE7B"/>
        <color rgb="FFFFEB84"/>
        <color rgb="FFF8696B"/>
      </colorScale>
    </cfRule>
    <cfRule type="colorScale" priority="8787">
      <colorScale>
        <cfvo type="min"/>
        <cfvo type="percentile" val="50"/>
        <cfvo type="max"/>
        <color rgb="FF63BE7B"/>
        <color rgb="FFFFEB84"/>
        <color rgb="FFF8696B"/>
      </colorScale>
    </cfRule>
    <cfRule type="colorScale" priority="7967">
      <colorScale>
        <cfvo type="min"/>
        <cfvo type="percentile" val="50"/>
        <cfvo type="max"/>
        <color rgb="FF63BE7B"/>
        <color rgb="FFFFEB84"/>
        <color rgb="FFF8696B"/>
      </colorScale>
    </cfRule>
  </conditionalFormatting>
  <conditionalFormatting sqref="AM36:AM41">
    <cfRule type="colorScale" priority="7997">
      <colorScale>
        <cfvo type="min"/>
        <cfvo type="percentile" val="50"/>
        <cfvo type="max"/>
        <color rgb="FF63BE7B"/>
        <color rgb="FFFFEB84"/>
        <color rgb="FFF8696B"/>
      </colorScale>
    </cfRule>
    <cfRule type="colorScale" priority="8021">
      <colorScale>
        <cfvo type="min"/>
        <cfvo type="percentile" val="50"/>
        <cfvo type="max"/>
        <color rgb="FF63BE7B"/>
        <color rgb="FFFFEB84"/>
        <color rgb="FFF8696B"/>
      </colorScale>
    </cfRule>
    <cfRule type="colorScale" priority="8820">
      <colorScale>
        <cfvo type="min"/>
        <cfvo type="percentile" val="50"/>
        <cfvo type="max"/>
        <color rgb="FF63BE7B"/>
        <color rgb="FFFFEB84"/>
        <color rgb="FFF8696B"/>
      </colorScale>
    </cfRule>
    <cfRule type="colorScale" priority="7977">
      <colorScale>
        <cfvo type="min"/>
        <cfvo type="percentile" val="50"/>
        <cfvo type="max"/>
        <color rgb="FF63BE7B"/>
        <color rgb="FFFFEB84"/>
        <color rgb="FFF8696B"/>
      </colorScale>
    </cfRule>
    <cfRule type="colorScale" priority="8797">
      <colorScale>
        <cfvo type="min"/>
        <cfvo type="percentile" val="50"/>
        <cfvo type="max"/>
        <color rgb="FF63BE7B"/>
        <color rgb="FFFFEB84"/>
        <color rgb="FFF8696B"/>
      </colorScale>
    </cfRule>
  </conditionalFormatting>
  <conditionalFormatting sqref="AM42:AM44">
    <cfRule type="colorScale" priority="12961">
      <colorScale>
        <cfvo type="min"/>
        <cfvo type="percentile" val="50"/>
        <cfvo type="max"/>
        <color rgb="FF63BE7B"/>
        <color rgb="FFFFEB84"/>
        <color rgb="FFF8696B"/>
      </colorScale>
    </cfRule>
    <cfRule type="colorScale" priority="12960">
      <colorScale>
        <cfvo type="min"/>
        <cfvo type="percentile" val="50"/>
        <cfvo type="max"/>
        <color rgb="FF63BE7B"/>
        <color rgb="FFFFEB84"/>
        <color rgb="FFF8696B"/>
      </colorScale>
    </cfRule>
    <cfRule type="colorScale" priority="12959">
      <colorScale>
        <cfvo type="min"/>
        <cfvo type="percentile" val="50"/>
        <cfvo type="max"/>
        <color rgb="FF63BE7B"/>
        <color rgb="FFFFEB84"/>
        <color rgb="FFF8696B"/>
      </colorScale>
    </cfRule>
    <cfRule type="colorScale" priority="12958">
      <colorScale>
        <cfvo type="min"/>
        <cfvo type="percentile" val="50"/>
        <cfvo type="max"/>
        <color rgb="FF63BE7B"/>
        <color rgb="FFFFEB84"/>
        <color rgb="FFF8696B"/>
      </colorScale>
    </cfRule>
  </conditionalFormatting>
  <conditionalFormatting sqref="AM42:AM50">
    <cfRule type="colorScale" priority="7436">
      <colorScale>
        <cfvo type="min"/>
        <cfvo type="percentile" val="50"/>
        <cfvo type="max"/>
        <color rgb="FF63BE7B"/>
        <color rgb="FFFFEB84"/>
        <color rgb="FFF8696B"/>
      </colorScale>
    </cfRule>
  </conditionalFormatting>
  <conditionalFormatting sqref="AM51:AM53">
    <cfRule type="colorScale" priority="3816">
      <colorScale>
        <cfvo type="min"/>
        <cfvo type="percentile" val="50"/>
        <cfvo type="max"/>
        <color rgb="FF63BE7B"/>
        <color rgb="FFFFEB84"/>
        <color rgb="FFF8696B"/>
      </colorScale>
    </cfRule>
    <cfRule type="colorScale" priority="3817">
      <colorScale>
        <cfvo type="min"/>
        <cfvo type="percentile" val="50"/>
        <cfvo type="max"/>
        <color rgb="FF63BE7B"/>
        <color rgb="FFFFEB84"/>
        <color rgb="FFF8696B"/>
      </colorScale>
    </cfRule>
    <cfRule type="colorScale" priority="2509">
      <colorScale>
        <cfvo type="min"/>
        <cfvo type="percentile" val="50"/>
        <cfvo type="max"/>
        <color rgb="FF63BE7B"/>
        <color rgb="FFFFEB84"/>
        <color rgb="FFF8696B"/>
      </colorScale>
    </cfRule>
    <cfRule type="colorScale" priority="2508">
      <colorScale>
        <cfvo type="min"/>
        <cfvo type="percentile" val="50"/>
        <cfvo type="max"/>
        <color rgb="FF63BE7B"/>
        <color rgb="FFFFEB84"/>
        <color rgb="FFF8696B"/>
      </colorScale>
    </cfRule>
    <cfRule type="colorScale" priority="2480">
      <colorScale>
        <cfvo type="min"/>
        <cfvo type="percentile" val="50"/>
        <cfvo type="max"/>
        <color rgb="FFF8696B"/>
        <color rgb="FFFFEB84"/>
        <color rgb="FF63BE7B"/>
      </colorScale>
    </cfRule>
    <cfRule type="colorScale" priority="3789">
      <colorScale>
        <cfvo type="min"/>
        <cfvo type="percentile" val="50"/>
        <cfvo type="max"/>
        <color rgb="FF63BE7B"/>
        <color rgb="FFFFEB84"/>
        <color rgb="FFF8696B"/>
      </colorScale>
    </cfRule>
  </conditionalFormatting>
  <conditionalFormatting sqref="AM52:AM53">
    <cfRule type="colorScale" priority="2595">
      <colorScale>
        <cfvo type="min"/>
        <cfvo type="percentile" val="50"/>
        <cfvo type="max"/>
        <color rgb="FF63BE7B"/>
        <color rgb="FFFFEB84"/>
        <color rgb="FFF8696B"/>
      </colorScale>
    </cfRule>
    <cfRule type="colorScale" priority="2594">
      <colorScale>
        <cfvo type="min"/>
        <cfvo type="percentile" val="50"/>
        <cfvo type="max"/>
        <color rgb="FF63BE7B"/>
        <color rgb="FFFFEB84"/>
        <color rgb="FFF8696B"/>
      </colorScale>
    </cfRule>
    <cfRule type="colorScale" priority="2593">
      <colorScale>
        <cfvo type="min"/>
        <cfvo type="percentile" val="50"/>
        <cfvo type="max"/>
        <color rgb="FF63BE7B"/>
        <color rgb="FFFFEB84"/>
        <color rgb="FFF8696B"/>
      </colorScale>
    </cfRule>
    <cfRule type="colorScale" priority="2592">
      <colorScale>
        <cfvo type="min"/>
        <cfvo type="percentile" val="50"/>
        <cfvo type="max"/>
        <color rgb="FF63BE7B"/>
        <color rgb="FFFFEB84"/>
        <color rgb="FFF8696B"/>
      </colorScale>
    </cfRule>
    <cfRule type="colorScale" priority="5006">
      <colorScale>
        <cfvo type="min"/>
        <cfvo type="percentile" val="50"/>
        <cfvo type="max"/>
        <color rgb="FF63BE7B"/>
        <color rgb="FFFFEB84"/>
        <color rgb="FFF8696B"/>
      </colorScale>
    </cfRule>
    <cfRule type="colorScale" priority="5005">
      <colorScale>
        <cfvo type="min"/>
        <cfvo type="percentile" val="50"/>
        <cfvo type="max"/>
        <color rgb="FF63BE7B"/>
        <color rgb="FFFFEB84"/>
        <color rgb="FFF8696B"/>
      </colorScale>
    </cfRule>
    <cfRule type="colorScale" priority="5004">
      <colorScale>
        <cfvo type="min"/>
        <cfvo type="percentile" val="50"/>
        <cfvo type="max"/>
        <color rgb="FF63BE7B"/>
        <color rgb="FFFFEB84"/>
        <color rgb="FFF8696B"/>
      </colorScale>
    </cfRule>
    <cfRule type="colorScale" priority="2591">
      <colorScale>
        <cfvo type="min"/>
        <cfvo type="percentile" val="50"/>
        <cfvo type="max"/>
        <color rgb="FF63BE7B"/>
        <color rgb="FFFFEB84"/>
        <color rgb="FFF8696B"/>
      </colorScale>
    </cfRule>
    <cfRule type="colorScale" priority="2590">
      <colorScale>
        <cfvo type="min"/>
        <cfvo type="percentile" val="50"/>
        <cfvo type="max"/>
        <color rgb="FF63BE7B"/>
        <color rgb="FFFFEB84"/>
        <color rgb="FFF8696B"/>
      </colorScale>
    </cfRule>
    <cfRule type="colorScale" priority="2589">
      <colorScale>
        <cfvo type="min"/>
        <cfvo type="percentile" val="50"/>
        <cfvo type="max"/>
        <color rgb="FF63BE7B"/>
        <color rgb="FFFFEB84"/>
        <color rgb="FFF8696B"/>
      </colorScale>
    </cfRule>
    <cfRule type="colorScale" priority="2588">
      <colorScale>
        <cfvo type="min"/>
        <cfvo type="percentile" val="50"/>
        <cfvo type="max"/>
        <color rgb="FF63BE7B"/>
        <color rgb="FFFFEB84"/>
        <color rgb="FFF8696B"/>
      </colorScale>
    </cfRule>
    <cfRule type="colorScale" priority="2587">
      <colorScale>
        <cfvo type="min"/>
        <cfvo type="percentile" val="50"/>
        <cfvo type="max"/>
        <color rgb="FF63BE7B"/>
        <color rgb="FFFFEB84"/>
        <color rgb="FFF8696B"/>
      </colorScale>
    </cfRule>
    <cfRule type="colorScale" priority="2586">
      <colorScale>
        <cfvo type="min"/>
        <cfvo type="percentile" val="50"/>
        <cfvo type="max"/>
        <color rgb="FF63BE7B"/>
        <color rgb="FFFFEB84"/>
        <color rgb="FFF8696B"/>
      </colorScale>
    </cfRule>
    <cfRule type="colorScale" priority="2585">
      <colorScale>
        <cfvo type="min"/>
        <cfvo type="percentile" val="50"/>
        <cfvo type="max"/>
        <color rgb="FF63BE7B"/>
        <color rgb="FFFFEB84"/>
        <color rgb="FFF8696B"/>
      </colorScale>
    </cfRule>
    <cfRule type="colorScale" priority="2584">
      <colorScale>
        <cfvo type="min"/>
        <cfvo type="percentile" val="50"/>
        <cfvo type="max"/>
        <color rgb="FF63BE7B"/>
        <color rgb="FFFFEB84"/>
        <color rgb="FFF8696B"/>
      </colorScale>
    </cfRule>
    <cfRule type="colorScale" priority="2583">
      <colorScale>
        <cfvo type="min"/>
        <cfvo type="percentile" val="50"/>
        <cfvo type="max"/>
        <color rgb="FF63BE7B"/>
        <color rgb="FFFFEB84"/>
        <color rgb="FFF8696B"/>
      </colorScale>
    </cfRule>
    <cfRule type="colorScale" priority="2582">
      <colorScale>
        <cfvo type="min"/>
        <cfvo type="percentile" val="50"/>
        <cfvo type="max"/>
        <color rgb="FF63BE7B"/>
        <color rgb="FFFFEB84"/>
        <color rgb="FFF8696B"/>
      </colorScale>
    </cfRule>
    <cfRule type="colorScale" priority="2581">
      <colorScale>
        <cfvo type="min"/>
        <cfvo type="percentile" val="50"/>
        <cfvo type="max"/>
        <color rgb="FF63BE7B"/>
        <color rgb="FFFFEB84"/>
        <color rgb="FFF8696B"/>
      </colorScale>
    </cfRule>
    <cfRule type="colorScale" priority="2580">
      <colorScale>
        <cfvo type="min"/>
        <cfvo type="percentile" val="50"/>
        <cfvo type="max"/>
        <color rgb="FF63BE7B"/>
        <color rgb="FFFFEB84"/>
        <color rgb="FFF8696B"/>
      </colorScale>
    </cfRule>
    <cfRule type="colorScale" priority="2579">
      <colorScale>
        <cfvo type="min"/>
        <cfvo type="percentile" val="50"/>
        <cfvo type="max"/>
        <color rgb="FF63BE7B"/>
        <color rgb="FFFFEB84"/>
        <color rgb="FFF8696B"/>
      </colorScale>
    </cfRule>
    <cfRule type="colorScale" priority="2578">
      <colorScale>
        <cfvo type="min"/>
        <cfvo type="percentile" val="50"/>
        <cfvo type="max"/>
        <color rgb="FF63BE7B"/>
        <color rgb="FFFFEB84"/>
        <color rgb="FFF8696B"/>
      </colorScale>
    </cfRule>
    <cfRule type="colorScale" priority="2577">
      <colorScale>
        <cfvo type="min"/>
        <cfvo type="percentile" val="50"/>
        <cfvo type="max"/>
        <color rgb="FF63BE7B"/>
        <color rgb="FFFFEB84"/>
        <color rgb="FFF8696B"/>
      </colorScale>
    </cfRule>
    <cfRule type="colorScale" priority="2576">
      <colorScale>
        <cfvo type="min"/>
        <cfvo type="percentile" val="50"/>
        <cfvo type="max"/>
        <color rgb="FF63BE7B"/>
        <color rgb="FFFFEB84"/>
        <color rgb="FFF8696B"/>
      </colorScale>
    </cfRule>
    <cfRule type="colorScale" priority="2575">
      <colorScale>
        <cfvo type="min"/>
        <cfvo type="percentile" val="50"/>
        <cfvo type="max"/>
        <color rgb="FF63BE7B"/>
        <color rgb="FFFFEB84"/>
        <color rgb="FFF8696B"/>
      </colorScale>
    </cfRule>
    <cfRule type="colorScale" priority="2574">
      <colorScale>
        <cfvo type="min"/>
        <cfvo type="percentile" val="50"/>
        <cfvo type="max"/>
        <color rgb="FF63BE7B"/>
        <color rgb="FFFFEB84"/>
        <color rgb="FFF8696B"/>
      </colorScale>
    </cfRule>
    <cfRule type="colorScale" priority="2573">
      <colorScale>
        <cfvo type="min"/>
        <cfvo type="percentile" val="50"/>
        <cfvo type="max"/>
        <color rgb="FF63BE7B"/>
        <color rgb="FFFFEB84"/>
        <color rgb="FFF8696B"/>
      </colorScale>
    </cfRule>
    <cfRule type="colorScale" priority="5910">
      <colorScale>
        <cfvo type="min"/>
        <cfvo type="percentile" val="50"/>
        <cfvo type="max"/>
        <color rgb="FFF8696B"/>
        <color rgb="FFFFEB84"/>
        <color rgb="FF63BE7B"/>
      </colorScale>
    </cfRule>
    <cfRule type="colorScale" priority="5003">
      <colorScale>
        <cfvo type="min"/>
        <cfvo type="percentile" val="50"/>
        <cfvo type="max"/>
        <color rgb="FF63BE7B"/>
        <color rgb="FFFFEB84"/>
        <color rgb="FFF8696B"/>
      </colorScale>
    </cfRule>
    <cfRule type="colorScale" priority="2572">
      <colorScale>
        <cfvo type="min"/>
        <cfvo type="percentile" val="50"/>
        <cfvo type="max"/>
        <color rgb="FF63BE7B"/>
        <color rgb="FFFFEB84"/>
        <color rgb="FFF8696B"/>
      </colorScale>
    </cfRule>
    <cfRule type="colorScale" priority="2571">
      <colorScale>
        <cfvo type="min"/>
        <cfvo type="percentile" val="50"/>
        <cfvo type="max"/>
        <color rgb="FF63BE7B"/>
        <color rgb="FFFFEB84"/>
        <color rgb="FFF8696B"/>
      </colorScale>
    </cfRule>
    <cfRule type="colorScale" priority="2570">
      <colorScale>
        <cfvo type="min"/>
        <cfvo type="percentile" val="50"/>
        <cfvo type="max"/>
        <color rgb="FF63BE7B"/>
        <color rgb="FFFFEB84"/>
        <color rgb="FFF8696B"/>
      </colorScale>
    </cfRule>
    <cfRule type="colorScale" priority="2569">
      <colorScale>
        <cfvo type="min"/>
        <cfvo type="percentile" val="50"/>
        <cfvo type="max"/>
        <color rgb="FF63BE7B"/>
        <color rgb="FFFFEB84"/>
        <color rgb="FFF8696B"/>
      </colorScale>
    </cfRule>
    <cfRule type="colorScale" priority="5002">
      <colorScale>
        <cfvo type="min"/>
        <cfvo type="percentile" val="50"/>
        <cfvo type="max"/>
        <color rgb="FF63BE7B"/>
        <color rgb="FFFFEB84"/>
        <color rgb="FFF8696B"/>
      </colorScale>
    </cfRule>
    <cfRule type="colorScale" priority="5001">
      <colorScale>
        <cfvo type="min"/>
        <cfvo type="percentile" val="50"/>
        <cfvo type="max"/>
        <color rgb="FF63BE7B"/>
        <color rgb="FFFFEB84"/>
        <color rgb="FFF8696B"/>
      </colorScale>
    </cfRule>
    <cfRule type="colorScale" priority="5000">
      <colorScale>
        <cfvo type="min"/>
        <cfvo type="percentile" val="50"/>
        <cfvo type="max"/>
        <color rgb="FF63BE7B"/>
        <color rgb="FFFFEB84"/>
        <color rgb="FFF8696B"/>
      </colorScale>
    </cfRule>
    <cfRule type="colorScale" priority="4999">
      <colorScale>
        <cfvo type="min"/>
        <cfvo type="percentile" val="50"/>
        <cfvo type="max"/>
        <color rgb="FF63BE7B"/>
        <color rgb="FFFFEB84"/>
        <color rgb="FFF8696B"/>
      </colorScale>
    </cfRule>
    <cfRule type="colorScale" priority="4998">
      <colorScale>
        <cfvo type="min"/>
        <cfvo type="percentile" val="50"/>
        <cfvo type="max"/>
        <color rgb="FF63BE7B"/>
        <color rgb="FFFFEB84"/>
        <color rgb="FFF8696B"/>
      </colorScale>
    </cfRule>
    <cfRule type="colorScale" priority="5579">
      <colorScale>
        <cfvo type="min"/>
        <cfvo type="percentile" val="50"/>
        <cfvo type="max"/>
        <color rgb="FF63BE7B"/>
        <color rgb="FFFFEB84"/>
        <color rgb="FFF8696B"/>
      </colorScale>
    </cfRule>
    <cfRule type="colorScale" priority="4997">
      <colorScale>
        <cfvo type="min"/>
        <cfvo type="percentile" val="50"/>
        <cfvo type="max"/>
        <color rgb="FF63BE7B"/>
        <color rgb="FFFFEB84"/>
        <color rgb="FFF8696B"/>
      </colorScale>
    </cfRule>
    <cfRule type="colorScale" priority="4996">
      <colorScale>
        <cfvo type="min"/>
        <cfvo type="percentile" val="50"/>
        <cfvo type="max"/>
        <color rgb="FF63BE7B"/>
        <color rgb="FFFFEB84"/>
        <color rgb="FFF8696B"/>
      </colorScale>
    </cfRule>
    <cfRule type="colorScale" priority="4995">
      <colorScale>
        <cfvo type="min"/>
        <cfvo type="percentile" val="50"/>
        <cfvo type="max"/>
        <color rgb="FF63BE7B"/>
        <color rgb="FFFFEB84"/>
        <color rgb="FFF8696B"/>
      </colorScale>
    </cfRule>
    <cfRule type="colorScale" priority="4994">
      <colorScale>
        <cfvo type="min"/>
        <cfvo type="percentile" val="50"/>
        <cfvo type="max"/>
        <color rgb="FF63BE7B"/>
        <color rgb="FFFFEB84"/>
        <color rgb="FFF8696B"/>
      </colorScale>
    </cfRule>
    <cfRule type="colorScale" priority="4993">
      <colorScale>
        <cfvo type="min"/>
        <cfvo type="percentile" val="50"/>
        <cfvo type="max"/>
        <color rgb="FF63BE7B"/>
        <color rgb="FFFFEB84"/>
        <color rgb="FFF8696B"/>
      </colorScale>
    </cfRule>
    <cfRule type="colorScale" priority="4992">
      <colorScale>
        <cfvo type="min"/>
        <cfvo type="percentile" val="50"/>
        <cfvo type="max"/>
        <color rgb="FF63BE7B"/>
        <color rgb="FFFFEB84"/>
        <color rgb="FFF8696B"/>
      </colorScale>
    </cfRule>
    <cfRule type="colorScale" priority="4991">
      <colorScale>
        <cfvo type="min"/>
        <cfvo type="percentile" val="50"/>
        <cfvo type="max"/>
        <color rgb="FF63BE7B"/>
        <color rgb="FFFFEB84"/>
        <color rgb="FFF8696B"/>
      </colorScale>
    </cfRule>
    <cfRule type="colorScale" priority="4990">
      <colorScale>
        <cfvo type="min"/>
        <cfvo type="percentile" val="50"/>
        <cfvo type="max"/>
        <color rgb="FF63BE7B"/>
        <color rgb="FFFFEB84"/>
        <color rgb="FFF8696B"/>
      </colorScale>
    </cfRule>
    <cfRule type="colorScale" priority="4989">
      <colorScale>
        <cfvo type="min"/>
        <cfvo type="percentile" val="50"/>
        <cfvo type="max"/>
        <color rgb="FF63BE7B"/>
        <color rgb="FFFFEB84"/>
        <color rgb="FFF8696B"/>
      </colorScale>
    </cfRule>
    <cfRule type="colorScale" priority="4988">
      <colorScale>
        <cfvo type="min"/>
        <cfvo type="percentile" val="50"/>
        <cfvo type="max"/>
        <color rgb="FF63BE7B"/>
        <color rgb="FFFFEB84"/>
        <color rgb="FFF8696B"/>
      </colorScale>
    </cfRule>
    <cfRule type="colorScale" priority="4987">
      <colorScale>
        <cfvo type="min"/>
        <cfvo type="percentile" val="50"/>
        <cfvo type="max"/>
        <color rgb="FF63BE7B"/>
        <color rgb="FFFFEB84"/>
        <color rgb="FFF8696B"/>
      </colorScale>
    </cfRule>
    <cfRule type="colorScale" priority="4986">
      <colorScale>
        <cfvo type="min"/>
        <cfvo type="percentile" val="50"/>
        <cfvo type="max"/>
        <color rgb="FF63BE7B"/>
        <color rgb="FFFFEB84"/>
        <color rgb="FFF8696B"/>
      </colorScale>
    </cfRule>
    <cfRule type="colorScale" priority="4985">
      <colorScale>
        <cfvo type="min"/>
        <cfvo type="percentile" val="50"/>
        <cfvo type="max"/>
        <color rgb="FF63BE7B"/>
        <color rgb="FFFFEB84"/>
        <color rgb="FFF8696B"/>
      </colorScale>
    </cfRule>
    <cfRule type="colorScale" priority="4984">
      <colorScale>
        <cfvo type="min"/>
        <cfvo type="percentile" val="50"/>
        <cfvo type="max"/>
        <color rgb="FF63BE7B"/>
        <color rgb="FFFFEB84"/>
        <color rgb="FFF8696B"/>
      </colorScale>
    </cfRule>
    <cfRule type="colorScale" priority="4983">
      <colorScale>
        <cfvo type="min"/>
        <cfvo type="percentile" val="50"/>
        <cfvo type="max"/>
        <color rgb="FFF8696B"/>
        <color rgb="FFFFEB84"/>
        <color rgb="FF63BE7B"/>
      </colorScale>
    </cfRule>
    <cfRule type="colorScale" priority="3808">
      <colorScale>
        <cfvo type="min"/>
        <cfvo type="percentile" val="50"/>
        <cfvo type="max"/>
        <color rgb="FF63BE7B"/>
        <color rgb="FFFFEB84"/>
        <color rgb="FFF8696B"/>
      </colorScale>
    </cfRule>
    <cfRule type="colorScale" priority="3809">
      <colorScale>
        <cfvo type="min"/>
        <cfvo type="percentile" val="50"/>
        <cfvo type="max"/>
        <color rgb="FF63BE7B"/>
        <color rgb="FFFFEB84"/>
        <color rgb="FFF8696B"/>
      </colorScale>
    </cfRule>
    <cfRule type="colorScale" priority="3810">
      <colorScale>
        <cfvo type="min"/>
        <cfvo type="percentile" val="50"/>
        <cfvo type="max"/>
        <color rgb="FF63BE7B"/>
        <color rgb="FFFFEB84"/>
        <color rgb="FFF8696B"/>
      </colorScale>
    </cfRule>
    <cfRule type="colorScale" priority="3811">
      <colorScale>
        <cfvo type="min"/>
        <cfvo type="percentile" val="50"/>
        <cfvo type="max"/>
        <color rgb="FF63BE7B"/>
        <color rgb="FFFFEB84"/>
        <color rgb="FFF8696B"/>
      </colorScale>
    </cfRule>
    <cfRule type="colorScale" priority="3812">
      <colorScale>
        <cfvo type="min"/>
        <cfvo type="percentile" val="50"/>
        <cfvo type="max"/>
        <color rgb="FF63BE7B"/>
        <color rgb="FFFFEB84"/>
        <color rgb="FFF8696B"/>
      </colorScale>
    </cfRule>
    <cfRule type="colorScale" priority="3813">
      <colorScale>
        <cfvo type="min"/>
        <cfvo type="percentile" val="50"/>
        <cfvo type="max"/>
        <color rgb="FF63BE7B"/>
        <color rgb="FFFFEB84"/>
        <color rgb="FFF8696B"/>
      </colorScale>
    </cfRule>
    <cfRule type="colorScale" priority="3814">
      <colorScale>
        <cfvo type="min"/>
        <cfvo type="percentile" val="50"/>
        <cfvo type="max"/>
        <color rgb="FF63BE7B"/>
        <color rgb="FFFFEB84"/>
        <color rgb="FFF8696B"/>
      </colorScale>
    </cfRule>
    <cfRule type="colorScale" priority="3815">
      <colorScale>
        <cfvo type="min"/>
        <cfvo type="percentile" val="50"/>
        <cfvo type="max"/>
        <color rgb="FF63BE7B"/>
        <color rgb="FFFFEB84"/>
        <color rgb="FFF8696B"/>
      </colorScale>
    </cfRule>
    <cfRule type="colorScale" priority="2568">
      <colorScale>
        <cfvo type="min"/>
        <cfvo type="percentile" val="50"/>
        <cfvo type="max"/>
        <color rgb="FF63BE7B"/>
        <color rgb="FFFFEB84"/>
        <color rgb="FFF8696B"/>
      </colorScale>
    </cfRule>
    <cfRule type="colorScale" priority="2567">
      <colorScale>
        <cfvo type="min"/>
        <cfvo type="percentile" val="50"/>
        <cfvo type="max"/>
        <color rgb="FF63BE7B"/>
        <color rgb="FFFFEB84"/>
        <color rgb="FFF8696B"/>
      </colorScale>
    </cfRule>
    <cfRule type="colorScale" priority="2566">
      <colorScale>
        <cfvo type="min"/>
        <cfvo type="percentile" val="50"/>
        <cfvo type="max"/>
        <color rgb="FF63BE7B"/>
        <color rgb="FFFFEB84"/>
        <color rgb="FFF8696B"/>
      </colorScale>
    </cfRule>
    <cfRule type="colorScale" priority="2565">
      <colorScale>
        <cfvo type="min"/>
        <cfvo type="percentile" val="50"/>
        <cfvo type="max"/>
        <color rgb="FF63BE7B"/>
        <color rgb="FFFFEB84"/>
        <color rgb="FFF8696B"/>
      </colorScale>
    </cfRule>
    <cfRule type="colorScale" priority="2564">
      <colorScale>
        <cfvo type="min"/>
        <cfvo type="percentile" val="50"/>
        <cfvo type="max"/>
        <color rgb="FF63BE7B"/>
        <color rgb="FFFFEB84"/>
        <color rgb="FFF8696B"/>
      </colorScale>
    </cfRule>
    <cfRule type="colorScale" priority="2563">
      <colorScale>
        <cfvo type="min"/>
        <cfvo type="percentile" val="50"/>
        <cfvo type="max"/>
        <color rgb="FF63BE7B"/>
        <color rgb="FFFFEB84"/>
        <color rgb="FFF8696B"/>
      </colorScale>
    </cfRule>
    <cfRule type="colorScale" priority="2562">
      <colorScale>
        <cfvo type="min"/>
        <cfvo type="percentile" val="50"/>
        <cfvo type="max"/>
        <color rgb="FF63BE7B"/>
        <color rgb="FFFFEB84"/>
        <color rgb="FFF8696B"/>
      </colorScale>
    </cfRule>
    <cfRule type="colorScale" priority="2561">
      <colorScale>
        <cfvo type="min"/>
        <cfvo type="percentile" val="50"/>
        <cfvo type="max"/>
        <color rgb="FF63BE7B"/>
        <color rgb="FFFFEB84"/>
        <color rgb="FFF8696B"/>
      </colorScale>
    </cfRule>
    <cfRule type="colorScale" priority="2560">
      <colorScale>
        <cfvo type="min"/>
        <cfvo type="percentile" val="50"/>
        <cfvo type="max"/>
        <color rgb="FF63BE7B"/>
        <color rgb="FFFFEB84"/>
        <color rgb="FFF8696B"/>
      </colorScale>
    </cfRule>
    <cfRule type="colorScale" priority="2596">
      <colorScale>
        <cfvo type="min"/>
        <cfvo type="percentile" val="50"/>
        <cfvo type="max"/>
        <color rgb="FF63BE7B"/>
        <color rgb="FFFFEB84"/>
        <color rgb="FFF8696B"/>
      </colorScale>
    </cfRule>
    <cfRule type="colorScale" priority="2559">
      <colorScale>
        <cfvo type="min"/>
        <cfvo type="percentile" val="50"/>
        <cfvo type="max"/>
        <color rgb="FF63BE7B"/>
        <color rgb="FFFFEB84"/>
        <color rgb="FFF8696B"/>
      </colorScale>
    </cfRule>
    <cfRule type="colorScale" priority="2558">
      <colorScale>
        <cfvo type="min"/>
        <cfvo type="percentile" val="50"/>
        <cfvo type="max"/>
        <color rgb="FF63BE7B"/>
        <color rgb="FFFFEB84"/>
        <color rgb="FFF8696B"/>
      </colorScale>
    </cfRule>
    <cfRule type="colorScale" priority="2557">
      <colorScale>
        <cfvo type="min"/>
        <cfvo type="percentile" val="50"/>
        <cfvo type="max"/>
        <color rgb="FF63BE7B"/>
        <color rgb="FFFFEB84"/>
        <color rgb="FFF8696B"/>
      </colorScale>
    </cfRule>
    <cfRule type="colorScale" priority="2556">
      <colorScale>
        <cfvo type="min"/>
        <cfvo type="percentile" val="50"/>
        <cfvo type="max"/>
        <color rgb="FF63BE7B"/>
        <color rgb="FFFFEB84"/>
        <color rgb="FFF8696B"/>
      </colorScale>
    </cfRule>
    <cfRule type="colorScale" priority="2555">
      <colorScale>
        <cfvo type="min"/>
        <cfvo type="percentile" val="50"/>
        <cfvo type="max"/>
        <color rgb="FF63BE7B"/>
        <color rgb="FFFFEB84"/>
        <color rgb="FFF8696B"/>
      </colorScale>
    </cfRule>
    <cfRule type="colorScale" priority="2554">
      <colorScale>
        <cfvo type="min"/>
        <cfvo type="percentile" val="50"/>
        <cfvo type="max"/>
        <color rgb="FF63BE7B"/>
        <color rgb="FFFFEB84"/>
        <color rgb="FFF8696B"/>
      </colorScale>
    </cfRule>
    <cfRule type="colorScale" priority="2553">
      <colorScale>
        <cfvo type="min"/>
        <cfvo type="percentile" val="50"/>
        <cfvo type="max"/>
        <color rgb="FF63BE7B"/>
        <color rgb="FFFFEB84"/>
        <color rgb="FFF8696B"/>
      </colorScale>
    </cfRule>
    <cfRule type="colorScale" priority="2552">
      <colorScale>
        <cfvo type="min"/>
        <cfvo type="percentile" val="50"/>
        <cfvo type="max"/>
        <color rgb="FF63BE7B"/>
        <color rgb="FFFFEB84"/>
        <color rgb="FFF8696B"/>
      </colorScale>
    </cfRule>
    <cfRule type="colorScale" priority="2551">
      <colorScale>
        <cfvo type="min"/>
        <cfvo type="percentile" val="50"/>
        <cfvo type="max"/>
        <color rgb="FF63BE7B"/>
        <color rgb="FFFFEB84"/>
        <color rgb="FFF8696B"/>
      </colorScale>
    </cfRule>
    <cfRule type="colorScale" priority="6689">
      <colorScale>
        <cfvo type="min"/>
        <cfvo type="percentile" val="50"/>
        <cfvo type="max"/>
        <color rgb="FF63BE7B"/>
        <color rgb="FFFFEB84"/>
        <color rgb="FFF8696B"/>
      </colorScale>
    </cfRule>
    <cfRule type="colorScale" priority="6690">
      <colorScale>
        <cfvo type="min"/>
        <cfvo type="percentile" val="50"/>
        <cfvo type="max"/>
        <color rgb="FF63BE7B"/>
        <color rgb="FFFFEB84"/>
        <color rgb="FFF8696B"/>
      </colorScale>
    </cfRule>
    <cfRule type="colorScale" priority="6691">
      <colorScale>
        <cfvo type="min"/>
        <cfvo type="percentile" val="50"/>
        <cfvo type="max"/>
        <color rgb="FF63BE7B"/>
        <color rgb="FFFFEB84"/>
        <color rgb="FFF8696B"/>
      </colorScale>
    </cfRule>
    <cfRule type="colorScale" priority="6692">
      <colorScale>
        <cfvo type="min"/>
        <cfvo type="percentile" val="50"/>
        <cfvo type="max"/>
        <color rgb="FF63BE7B"/>
        <color rgb="FFFFEB84"/>
        <color rgb="FFF8696B"/>
      </colorScale>
    </cfRule>
    <cfRule type="colorScale" priority="6693">
      <colorScale>
        <cfvo type="min"/>
        <cfvo type="percentile" val="50"/>
        <cfvo type="max"/>
        <color rgb="FF63BE7B"/>
        <color rgb="FFFFEB84"/>
        <color rgb="FFF8696B"/>
      </colorScale>
    </cfRule>
    <cfRule type="colorScale" priority="6694">
      <colorScale>
        <cfvo type="min"/>
        <cfvo type="percentile" val="50"/>
        <cfvo type="max"/>
        <color rgb="FF63BE7B"/>
        <color rgb="FFFFEB84"/>
        <color rgb="FFF8696B"/>
      </colorScale>
    </cfRule>
    <cfRule type="colorScale" priority="6695">
      <colorScale>
        <cfvo type="min"/>
        <cfvo type="percentile" val="50"/>
        <cfvo type="max"/>
        <color rgb="FF63BE7B"/>
        <color rgb="FFFFEB84"/>
        <color rgb="FFF8696B"/>
      </colorScale>
    </cfRule>
    <cfRule type="colorScale" priority="6696">
      <colorScale>
        <cfvo type="min"/>
        <cfvo type="percentile" val="50"/>
        <cfvo type="max"/>
        <color rgb="FF63BE7B"/>
        <color rgb="FFFFEB84"/>
        <color rgb="FFF8696B"/>
      </colorScale>
    </cfRule>
    <cfRule type="colorScale" priority="6697">
      <colorScale>
        <cfvo type="min"/>
        <cfvo type="percentile" val="50"/>
        <cfvo type="max"/>
        <color rgb="FF63BE7B"/>
        <color rgb="FFFFEB84"/>
        <color rgb="FFF8696B"/>
      </colorScale>
    </cfRule>
    <cfRule type="colorScale" priority="6698">
      <colorScale>
        <cfvo type="min"/>
        <cfvo type="percentile" val="50"/>
        <cfvo type="max"/>
        <color rgb="FF63BE7B"/>
        <color rgb="FFFFEB84"/>
        <color rgb="FFF8696B"/>
      </colorScale>
    </cfRule>
    <cfRule type="colorScale" priority="6699">
      <colorScale>
        <cfvo type="min"/>
        <cfvo type="percentile" val="50"/>
        <cfvo type="max"/>
        <color rgb="FF63BE7B"/>
        <color rgb="FFFFEB84"/>
        <color rgb="FFF8696B"/>
      </colorScale>
    </cfRule>
    <cfRule type="colorScale" priority="6700">
      <colorScale>
        <cfvo type="min"/>
        <cfvo type="percentile" val="50"/>
        <cfvo type="max"/>
        <color rgb="FF63BE7B"/>
        <color rgb="FFFFEB84"/>
        <color rgb="FFF8696B"/>
      </colorScale>
    </cfRule>
    <cfRule type="colorScale" priority="2550">
      <colorScale>
        <cfvo type="min"/>
        <cfvo type="percentile" val="50"/>
        <cfvo type="max"/>
        <color rgb="FF63BE7B"/>
        <color rgb="FFFFEB84"/>
        <color rgb="FFF8696B"/>
      </colorScale>
    </cfRule>
    <cfRule type="colorScale" priority="2549">
      <colorScale>
        <cfvo type="min"/>
        <cfvo type="percentile" val="50"/>
        <cfvo type="max"/>
        <color rgb="FFF8696B"/>
        <color rgb="FFFFEB84"/>
        <color rgb="FF63BE7B"/>
      </colorScale>
    </cfRule>
    <cfRule type="colorScale" priority="2548">
      <colorScale>
        <cfvo type="min"/>
        <cfvo type="percentile" val="50"/>
        <cfvo type="max"/>
        <color rgb="FF63BE7B"/>
        <color rgb="FFFFEB84"/>
        <color rgb="FFF8696B"/>
      </colorScale>
    </cfRule>
    <cfRule type="colorScale" priority="6701">
      <colorScale>
        <cfvo type="min"/>
        <cfvo type="percentile" val="50"/>
        <cfvo type="max"/>
        <color rgb="FF63BE7B"/>
        <color rgb="FFFFEB84"/>
        <color rgb="FFF8696B"/>
      </colorScale>
    </cfRule>
    <cfRule type="colorScale" priority="6702">
      <colorScale>
        <cfvo type="min"/>
        <cfvo type="percentile" val="50"/>
        <cfvo type="max"/>
        <color rgb="FF63BE7B"/>
        <color rgb="FFFFEB84"/>
        <color rgb="FFF8696B"/>
      </colorScale>
    </cfRule>
    <cfRule type="colorScale" priority="6703">
      <colorScale>
        <cfvo type="min"/>
        <cfvo type="percentile" val="50"/>
        <cfvo type="max"/>
        <color rgb="FF63BE7B"/>
        <color rgb="FFFFEB84"/>
        <color rgb="FFF8696B"/>
      </colorScale>
    </cfRule>
    <cfRule type="colorScale" priority="6704">
      <colorScale>
        <cfvo type="min"/>
        <cfvo type="percentile" val="50"/>
        <cfvo type="max"/>
        <color rgb="FF63BE7B"/>
        <color rgb="FFFFEB84"/>
        <color rgb="FFF8696B"/>
      </colorScale>
    </cfRule>
    <cfRule type="colorScale" priority="6705">
      <colorScale>
        <cfvo type="min"/>
        <cfvo type="percentile" val="50"/>
        <cfvo type="max"/>
        <color rgb="FF63BE7B"/>
        <color rgb="FFFFEB84"/>
        <color rgb="FFF8696B"/>
      </colorScale>
    </cfRule>
    <cfRule type="colorScale" priority="6706">
      <colorScale>
        <cfvo type="min"/>
        <cfvo type="percentile" val="50"/>
        <cfvo type="max"/>
        <color rgb="FF63BE7B"/>
        <color rgb="FFFFEB84"/>
        <color rgb="FFF8696B"/>
      </colorScale>
    </cfRule>
    <cfRule type="colorScale" priority="2547">
      <colorScale>
        <cfvo type="min"/>
        <cfvo type="percentile" val="50"/>
        <cfvo type="max"/>
        <color rgb="FF63BE7B"/>
        <color rgb="FFFFEB84"/>
        <color rgb="FFF8696B"/>
      </colorScale>
    </cfRule>
    <cfRule type="colorScale" priority="2546">
      <colorScale>
        <cfvo type="min"/>
        <cfvo type="percentile" val="50"/>
        <cfvo type="max"/>
        <color rgb="FF63BE7B"/>
        <color rgb="FFFFEB84"/>
        <color rgb="FFF8696B"/>
      </colorScale>
    </cfRule>
    <cfRule type="colorScale" priority="2545">
      <colorScale>
        <cfvo type="min"/>
        <cfvo type="percentile" val="50"/>
        <cfvo type="max"/>
        <color rgb="FF63BE7B"/>
        <color rgb="FFFFEB84"/>
        <color rgb="FFF8696B"/>
      </colorScale>
    </cfRule>
    <cfRule type="colorScale" priority="5601">
      <colorScale>
        <cfvo type="min"/>
        <cfvo type="percentile" val="50"/>
        <cfvo type="max"/>
        <color rgb="FF63BE7B"/>
        <color rgb="FFFFEB84"/>
        <color rgb="FFF8696B"/>
      </colorScale>
    </cfRule>
    <cfRule type="colorScale" priority="5600">
      <colorScale>
        <cfvo type="min"/>
        <cfvo type="percentile" val="50"/>
        <cfvo type="max"/>
        <color rgb="FF63BE7B"/>
        <color rgb="FFFFEB84"/>
        <color rgb="FFF8696B"/>
      </colorScale>
    </cfRule>
    <cfRule type="colorScale" priority="5599">
      <colorScale>
        <cfvo type="min"/>
        <cfvo type="percentile" val="50"/>
        <cfvo type="max"/>
        <color rgb="FF63BE7B"/>
        <color rgb="FFFFEB84"/>
        <color rgb="FFF8696B"/>
      </colorScale>
    </cfRule>
    <cfRule type="colorScale" priority="5598">
      <colorScale>
        <cfvo type="min"/>
        <cfvo type="percentile" val="50"/>
        <cfvo type="max"/>
        <color rgb="FF63BE7B"/>
        <color rgb="FFFFEB84"/>
        <color rgb="FFF8696B"/>
      </colorScale>
    </cfRule>
    <cfRule type="colorScale" priority="5597">
      <colorScale>
        <cfvo type="min"/>
        <cfvo type="percentile" val="50"/>
        <cfvo type="max"/>
        <color rgb="FF63BE7B"/>
        <color rgb="FFFFEB84"/>
        <color rgb="FFF8696B"/>
      </colorScale>
    </cfRule>
    <cfRule type="colorScale" priority="5596">
      <colorScale>
        <cfvo type="min"/>
        <cfvo type="percentile" val="50"/>
        <cfvo type="max"/>
        <color rgb="FF63BE7B"/>
        <color rgb="FFFFEB84"/>
        <color rgb="FFF8696B"/>
      </colorScale>
    </cfRule>
    <cfRule type="colorScale" priority="5595">
      <colorScale>
        <cfvo type="min"/>
        <cfvo type="percentile" val="50"/>
        <cfvo type="max"/>
        <color rgb="FF63BE7B"/>
        <color rgb="FFFFEB84"/>
        <color rgb="FFF8696B"/>
      </colorScale>
    </cfRule>
    <cfRule type="colorScale" priority="5594">
      <colorScale>
        <cfvo type="min"/>
        <cfvo type="percentile" val="50"/>
        <cfvo type="max"/>
        <color rgb="FF63BE7B"/>
        <color rgb="FFFFEB84"/>
        <color rgb="FFF8696B"/>
      </colorScale>
    </cfRule>
    <cfRule type="colorScale" priority="5593">
      <colorScale>
        <cfvo type="min"/>
        <cfvo type="percentile" val="50"/>
        <cfvo type="max"/>
        <color rgb="FF63BE7B"/>
        <color rgb="FFFFEB84"/>
        <color rgb="FFF8696B"/>
      </colorScale>
    </cfRule>
    <cfRule type="colorScale" priority="5592">
      <colorScale>
        <cfvo type="min"/>
        <cfvo type="percentile" val="50"/>
        <cfvo type="max"/>
        <color rgb="FF63BE7B"/>
        <color rgb="FFFFEB84"/>
        <color rgb="FFF8696B"/>
      </colorScale>
    </cfRule>
    <cfRule type="colorScale" priority="5591">
      <colorScale>
        <cfvo type="min"/>
        <cfvo type="percentile" val="50"/>
        <cfvo type="max"/>
        <color rgb="FF63BE7B"/>
        <color rgb="FFFFEB84"/>
        <color rgb="FFF8696B"/>
      </colorScale>
    </cfRule>
    <cfRule type="colorScale" priority="5590">
      <colorScale>
        <cfvo type="min"/>
        <cfvo type="percentile" val="50"/>
        <cfvo type="max"/>
        <color rgb="FF63BE7B"/>
        <color rgb="FFFFEB84"/>
        <color rgb="FFF8696B"/>
      </colorScale>
    </cfRule>
    <cfRule type="colorScale" priority="5589">
      <colorScale>
        <cfvo type="min"/>
        <cfvo type="percentile" val="50"/>
        <cfvo type="max"/>
        <color rgb="FF63BE7B"/>
        <color rgb="FFFFEB84"/>
        <color rgb="FFF8696B"/>
      </colorScale>
    </cfRule>
    <cfRule type="colorScale" priority="5588">
      <colorScale>
        <cfvo type="min"/>
        <cfvo type="percentile" val="50"/>
        <cfvo type="max"/>
        <color rgb="FF63BE7B"/>
        <color rgb="FFFFEB84"/>
        <color rgb="FFF8696B"/>
      </colorScale>
    </cfRule>
    <cfRule type="colorScale" priority="5587">
      <colorScale>
        <cfvo type="min"/>
        <cfvo type="percentile" val="50"/>
        <cfvo type="max"/>
        <color rgb="FF63BE7B"/>
        <color rgb="FFFFEB84"/>
        <color rgb="FFF8696B"/>
      </colorScale>
    </cfRule>
    <cfRule type="colorScale" priority="5586">
      <colorScale>
        <cfvo type="min"/>
        <cfvo type="percentile" val="50"/>
        <cfvo type="max"/>
        <color rgb="FF63BE7B"/>
        <color rgb="FFFFEB84"/>
        <color rgb="FFF8696B"/>
      </colorScale>
    </cfRule>
    <cfRule type="colorScale" priority="5585">
      <colorScale>
        <cfvo type="min"/>
        <cfvo type="percentile" val="50"/>
        <cfvo type="max"/>
        <color rgb="FF63BE7B"/>
        <color rgb="FFFFEB84"/>
        <color rgb="FFF8696B"/>
      </colorScale>
    </cfRule>
    <cfRule type="colorScale" priority="5584">
      <colorScale>
        <cfvo type="min"/>
        <cfvo type="percentile" val="50"/>
        <cfvo type="max"/>
        <color rgb="FF63BE7B"/>
        <color rgb="FFFFEB84"/>
        <color rgb="FFF8696B"/>
      </colorScale>
    </cfRule>
    <cfRule type="colorScale" priority="5583">
      <colorScale>
        <cfvo type="min"/>
        <cfvo type="percentile" val="50"/>
        <cfvo type="max"/>
        <color rgb="FF63BE7B"/>
        <color rgb="FFFFEB84"/>
        <color rgb="FFF8696B"/>
      </colorScale>
    </cfRule>
    <cfRule type="colorScale" priority="5582">
      <colorScale>
        <cfvo type="min"/>
        <cfvo type="percentile" val="50"/>
        <cfvo type="max"/>
        <color rgb="FF63BE7B"/>
        <color rgb="FFFFEB84"/>
        <color rgb="FFF8696B"/>
      </colorScale>
    </cfRule>
    <cfRule type="colorScale" priority="5581">
      <colorScale>
        <cfvo type="min"/>
        <cfvo type="percentile" val="50"/>
        <cfvo type="max"/>
        <color rgb="FF63BE7B"/>
        <color rgb="FFFFEB84"/>
        <color rgb="FFF8696B"/>
      </colorScale>
    </cfRule>
    <cfRule type="colorScale" priority="5580">
      <colorScale>
        <cfvo type="min"/>
        <cfvo type="percentile" val="50"/>
        <cfvo type="max"/>
        <color rgb="FF63BE7B"/>
        <color rgb="FFFFEB84"/>
        <color rgb="FFF8696B"/>
      </colorScale>
    </cfRule>
    <cfRule type="colorScale" priority="5578">
      <colorScale>
        <cfvo type="min"/>
        <cfvo type="percentile" val="50"/>
        <cfvo type="max"/>
        <color rgb="FF63BE7B"/>
        <color rgb="FFFFEB84"/>
        <color rgb="FFF8696B"/>
      </colorScale>
    </cfRule>
    <cfRule type="colorScale" priority="5577">
      <colorScale>
        <cfvo type="min"/>
        <cfvo type="percentile" val="50"/>
        <cfvo type="max"/>
        <color rgb="FF63BE7B"/>
        <color rgb="FFFFEB84"/>
        <color rgb="FFF8696B"/>
      </colorScale>
    </cfRule>
    <cfRule type="colorScale" priority="5576">
      <colorScale>
        <cfvo type="min"/>
        <cfvo type="percentile" val="50"/>
        <cfvo type="max"/>
        <color rgb="FF63BE7B"/>
        <color rgb="FFFFEB84"/>
        <color rgb="FFF8696B"/>
      </colorScale>
    </cfRule>
    <cfRule type="colorScale" priority="5575">
      <colorScale>
        <cfvo type="min"/>
        <cfvo type="percentile" val="50"/>
        <cfvo type="max"/>
        <color rgb="FF63BE7B"/>
        <color rgb="FFFFEB84"/>
        <color rgb="FFF8696B"/>
      </colorScale>
    </cfRule>
    <cfRule type="colorScale" priority="5574">
      <colorScale>
        <cfvo type="min"/>
        <cfvo type="percentile" val="50"/>
        <cfvo type="max"/>
        <color rgb="FF63BE7B"/>
        <color rgb="FFFFEB84"/>
        <color rgb="FFF8696B"/>
      </colorScale>
    </cfRule>
    <cfRule type="colorScale" priority="2544">
      <colorScale>
        <cfvo type="min"/>
        <cfvo type="percentile" val="50"/>
        <cfvo type="max"/>
        <color rgb="FF63BE7B"/>
        <color rgb="FFFFEB84"/>
        <color rgb="FFF8696B"/>
      </colorScale>
    </cfRule>
    <cfRule type="colorScale" priority="2543">
      <colorScale>
        <cfvo type="min"/>
        <cfvo type="percentile" val="50"/>
        <cfvo type="max"/>
        <color rgb="FF63BE7B"/>
        <color rgb="FFFFEB84"/>
        <color rgb="FFF8696B"/>
      </colorScale>
    </cfRule>
    <cfRule type="colorScale" priority="2542">
      <colorScale>
        <cfvo type="min"/>
        <cfvo type="percentile" val="50"/>
        <cfvo type="max"/>
        <color rgb="FF63BE7B"/>
        <color rgb="FFFFEB84"/>
        <color rgb="FFF8696B"/>
      </colorScale>
    </cfRule>
    <cfRule type="colorScale" priority="2541">
      <colorScale>
        <cfvo type="min"/>
        <cfvo type="percentile" val="50"/>
        <cfvo type="max"/>
        <color rgb="FF63BE7B"/>
        <color rgb="FFFFEB84"/>
        <color rgb="FFF8696B"/>
      </colorScale>
    </cfRule>
    <cfRule type="colorScale" priority="2540">
      <colorScale>
        <cfvo type="min"/>
        <cfvo type="percentile" val="50"/>
        <cfvo type="max"/>
        <color rgb="FF63BE7B"/>
        <color rgb="FFFFEB84"/>
        <color rgb="FFF8696B"/>
      </colorScale>
    </cfRule>
    <cfRule type="colorScale" priority="2539">
      <colorScale>
        <cfvo type="min"/>
        <cfvo type="percentile" val="50"/>
        <cfvo type="max"/>
        <color rgb="FF63BE7B"/>
        <color rgb="FFFFEB84"/>
        <color rgb="FFF8696B"/>
      </colorScale>
    </cfRule>
    <cfRule type="colorScale" priority="3804">
      <colorScale>
        <cfvo type="min"/>
        <cfvo type="percentile" val="50"/>
        <cfvo type="max"/>
        <color rgb="FF63BE7B"/>
        <color rgb="FFFFEB84"/>
        <color rgb="FFF8696B"/>
      </colorScale>
    </cfRule>
    <cfRule type="colorScale" priority="3803">
      <colorScale>
        <cfvo type="min"/>
        <cfvo type="percentile" val="50"/>
        <cfvo type="max"/>
        <color rgb="FF63BE7B"/>
        <color rgb="FFFFEB84"/>
        <color rgb="FFF8696B"/>
      </colorScale>
    </cfRule>
    <cfRule type="colorScale" priority="3802">
      <colorScale>
        <cfvo type="min"/>
        <cfvo type="percentile" val="50"/>
        <cfvo type="max"/>
        <color rgb="FF63BE7B"/>
        <color rgb="FFFFEB84"/>
        <color rgb="FFF8696B"/>
      </colorScale>
    </cfRule>
    <cfRule type="colorScale" priority="3801">
      <colorScale>
        <cfvo type="min"/>
        <cfvo type="percentile" val="50"/>
        <cfvo type="max"/>
        <color rgb="FF63BE7B"/>
        <color rgb="FFFFEB84"/>
        <color rgb="FFF8696B"/>
      </colorScale>
    </cfRule>
    <cfRule type="colorScale" priority="3800">
      <colorScale>
        <cfvo type="min"/>
        <cfvo type="percentile" val="50"/>
        <cfvo type="max"/>
        <color rgb="FF63BE7B"/>
        <color rgb="FFFFEB84"/>
        <color rgb="FFF8696B"/>
      </colorScale>
    </cfRule>
    <cfRule type="colorScale" priority="3799">
      <colorScale>
        <cfvo type="min"/>
        <cfvo type="percentile" val="50"/>
        <cfvo type="max"/>
        <color rgb="FF63BE7B"/>
        <color rgb="FFFFEB84"/>
        <color rgb="FFF8696B"/>
      </colorScale>
    </cfRule>
    <cfRule type="colorScale" priority="3798">
      <colorScale>
        <cfvo type="min"/>
        <cfvo type="percentile" val="50"/>
        <cfvo type="max"/>
        <color rgb="FF63BE7B"/>
        <color rgb="FFFFEB84"/>
        <color rgb="FFF8696B"/>
      </colorScale>
    </cfRule>
    <cfRule type="colorScale" priority="3797">
      <colorScale>
        <cfvo type="min"/>
        <cfvo type="percentile" val="50"/>
        <cfvo type="max"/>
        <color rgb="FF63BE7B"/>
        <color rgb="FFFFEB84"/>
        <color rgb="FFF8696B"/>
      </colorScale>
    </cfRule>
    <cfRule type="colorScale" priority="3796">
      <colorScale>
        <cfvo type="min"/>
        <cfvo type="percentile" val="50"/>
        <cfvo type="max"/>
        <color rgb="FF63BE7B"/>
        <color rgb="FFFFEB84"/>
        <color rgb="FFF8696B"/>
      </colorScale>
    </cfRule>
    <cfRule type="colorScale" priority="3795">
      <colorScale>
        <cfvo type="min"/>
        <cfvo type="percentile" val="50"/>
        <cfvo type="max"/>
        <color rgb="FF63BE7B"/>
        <color rgb="FFFFEB84"/>
        <color rgb="FFF8696B"/>
      </colorScale>
    </cfRule>
    <cfRule type="colorScale" priority="3794">
      <colorScale>
        <cfvo type="min"/>
        <cfvo type="percentile" val="50"/>
        <cfvo type="max"/>
        <color rgb="FF63BE7B"/>
        <color rgb="FFFFEB84"/>
        <color rgb="FFF8696B"/>
      </colorScale>
    </cfRule>
    <cfRule type="colorScale" priority="3793">
      <colorScale>
        <cfvo type="min"/>
        <cfvo type="percentile" val="50"/>
        <cfvo type="max"/>
        <color rgb="FF63BE7B"/>
        <color rgb="FFFFEB84"/>
        <color rgb="FFF8696B"/>
      </colorScale>
    </cfRule>
    <cfRule type="colorScale" priority="3792">
      <colorScale>
        <cfvo type="min"/>
        <cfvo type="percentile" val="50"/>
        <cfvo type="max"/>
        <color rgb="FF63BE7B"/>
        <color rgb="FFFFEB84"/>
        <color rgb="FFF8696B"/>
      </colorScale>
    </cfRule>
    <cfRule type="colorScale" priority="3791">
      <colorScale>
        <cfvo type="min"/>
        <cfvo type="percentile" val="50"/>
        <cfvo type="max"/>
        <color rgb="FF63BE7B"/>
        <color rgb="FFFFEB84"/>
        <color rgb="FFF8696B"/>
      </colorScale>
    </cfRule>
    <cfRule type="colorScale" priority="3790">
      <colorScale>
        <cfvo type="min"/>
        <cfvo type="percentile" val="50"/>
        <cfvo type="max"/>
        <color rgb="FF63BE7B"/>
        <color rgb="FFFFEB84"/>
        <color rgb="FFF8696B"/>
      </colorScale>
    </cfRule>
    <cfRule type="colorScale" priority="2538">
      <colorScale>
        <cfvo type="min"/>
        <cfvo type="percentile" val="50"/>
        <cfvo type="max"/>
        <color rgb="FF63BE7B"/>
        <color rgb="FFFFEB84"/>
        <color rgb="FFF8696B"/>
      </colorScale>
    </cfRule>
    <cfRule type="colorScale" priority="2537">
      <colorScale>
        <cfvo type="min"/>
        <cfvo type="percentile" val="50"/>
        <cfvo type="max"/>
        <color rgb="FF63BE7B"/>
        <color rgb="FFFFEB84"/>
        <color rgb="FFF8696B"/>
      </colorScale>
    </cfRule>
    <cfRule type="colorScale" priority="2536">
      <colorScale>
        <cfvo type="min"/>
        <cfvo type="percentile" val="50"/>
        <cfvo type="max"/>
        <color rgb="FF63BE7B"/>
        <color rgb="FFFFEB84"/>
        <color rgb="FFF8696B"/>
      </colorScale>
    </cfRule>
    <cfRule type="colorScale" priority="2535">
      <colorScale>
        <cfvo type="min"/>
        <cfvo type="percentile" val="50"/>
        <cfvo type="max"/>
        <color rgb="FF63BE7B"/>
        <color rgb="FFFFEB84"/>
        <color rgb="FFF8696B"/>
      </colorScale>
    </cfRule>
    <cfRule type="colorScale" priority="2534">
      <colorScale>
        <cfvo type="min"/>
        <cfvo type="percentile" val="50"/>
        <cfvo type="max"/>
        <color rgb="FF63BE7B"/>
        <color rgb="FFFFEB84"/>
        <color rgb="FFF8696B"/>
      </colorScale>
    </cfRule>
    <cfRule type="colorScale" priority="2533">
      <colorScale>
        <cfvo type="min"/>
        <cfvo type="percentile" val="50"/>
        <cfvo type="max"/>
        <color rgb="FF63BE7B"/>
        <color rgb="FFFFEB84"/>
        <color rgb="FFF8696B"/>
      </colorScale>
    </cfRule>
    <cfRule type="colorScale" priority="2481">
      <colorScale>
        <cfvo type="min"/>
        <cfvo type="percentile" val="50"/>
        <cfvo type="max"/>
        <color rgb="FF63BE7B"/>
        <color rgb="FFFFEB84"/>
        <color rgb="FFF8696B"/>
      </colorScale>
    </cfRule>
    <cfRule type="colorScale" priority="2482">
      <colorScale>
        <cfvo type="min"/>
        <cfvo type="percentile" val="50"/>
        <cfvo type="max"/>
        <color rgb="FF63BE7B"/>
        <color rgb="FFFFEB84"/>
        <color rgb="FFF8696B"/>
      </colorScale>
    </cfRule>
    <cfRule type="colorScale" priority="2483">
      <colorScale>
        <cfvo type="min"/>
        <cfvo type="percentile" val="50"/>
        <cfvo type="max"/>
        <color rgb="FF63BE7B"/>
        <color rgb="FFFFEB84"/>
        <color rgb="FFF8696B"/>
      </colorScale>
    </cfRule>
    <cfRule type="colorScale" priority="2484">
      <colorScale>
        <cfvo type="min"/>
        <cfvo type="percentile" val="50"/>
        <cfvo type="max"/>
        <color rgb="FF63BE7B"/>
        <color rgb="FFFFEB84"/>
        <color rgb="FFF8696B"/>
      </colorScale>
    </cfRule>
    <cfRule type="colorScale" priority="2485">
      <colorScale>
        <cfvo type="min"/>
        <cfvo type="percentile" val="50"/>
        <cfvo type="max"/>
        <color rgb="FF63BE7B"/>
        <color rgb="FFFFEB84"/>
        <color rgb="FFF8696B"/>
      </colorScale>
    </cfRule>
    <cfRule type="colorScale" priority="2486">
      <colorScale>
        <cfvo type="min"/>
        <cfvo type="percentile" val="50"/>
        <cfvo type="max"/>
        <color rgb="FF63BE7B"/>
        <color rgb="FFFFEB84"/>
        <color rgb="FFF8696B"/>
      </colorScale>
    </cfRule>
    <cfRule type="colorScale" priority="2487">
      <colorScale>
        <cfvo type="min"/>
        <cfvo type="percentile" val="50"/>
        <cfvo type="max"/>
        <color rgb="FF63BE7B"/>
        <color rgb="FFFFEB84"/>
        <color rgb="FFF8696B"/>
      </colorScale>
    </cfRule>
    <cfRule type="colorScale" priority="2488">
      <colorScale>
        <cfvo type="min"/>
        <cfvo type="percentile" val="50"/>
        <cfvo type="max"/>
        <color rgb="FF63BE7B"/>
        <color rgb="FFFFEB84"/>
        <color rgb="FFF8696B"/>
      </colorScale>
    </cfRule>
    <cfRule type="colorScale" priority="2489">
      <colorScale>
        <cfvo type="min"/>
        <cfvo type="percentile" val="50"/>
        <cfvo type="max"/>
        <color rgb="FF63BE7B"/>
        <color rgb="FFFFEB84"/>
        <color rgb="FFF8696B"/>
      </colorScale>
    </cfRule>
    <cfRule type="colorScale" priority="2490">
      <colorScale>
        <cfvo type="min"/>
        <cfvo type="percentile" val="50"/>
        <cfvo type="max"/>
        <color rgb="FF63BE7B"/>
        <color rgb="FFFFEB84"/>
        <color rgb="FFF8696B"/>
      </colorScale>
    </cfRule>
    <cfRule type="colorScale" priority="3805">
      <colorScale>
        <cfvo type="min"/>
        <cfvo type="percentile" val="50"/>
        <cfvo type="max"/>
        <color rgb="FF63BE7B"/>
        <color rgb="FFFFEB84"/>
        <color rgb="FFF8696B"/>
      </colorScale>
    </cfRule>
    <cfRule type="colorScale" priority="2532">
      <colorScale>
        <cfvo type="min"/>
        <cfvo type="percentile" val="50"/>
        <cfvo type="max"/>
        <color rgb="FF63BE7B"/>
        <color rgb="FFFFEB84"/>
        <color rgb="FFF8696B"/>
      </colorScale>
    </cfRule>
    <cfRule type="colorScale" priority="2531">
      <colorScale>
        <cfvo type="min"/>
        <cfvo type="percentile" val="50"/>
        <cfvo type="max"/>
        <color rgb="FF63BE7B"/>
        <color rgb="FFFFEB84"/>
        <color rgb="FFF8696B"/>
      </colorScale>
    </cfRule>
    <cfRule type="colorScale" priority="2491">
      <colorScale>
        <cfvo type="min"/>
        <cfvo type="percentile" val="50"/>
        <cfvo type="max"/>
        <color rgb="FF63BE7B"/>
        <color rgb="FFFFEB84"/>
        <color rgb="FFF8696B"/>
      </colorScale>
    </cfRule>
    <cfRule type="colorScale" priority="2530">
      <colorScale>
        <cfvo type="min"/>
        <cfvo type="percentile" val="50"/>
        <cfvo type="max"/>
        <color rgb="FF63BE7B"/>
        <color rgb="FFFFEB84"/>
        <color rgb="FFF8696B"/>
      </colorScale>
    </cfRule>
    <cfRule type="colorScale" priority="2529">
      <colorScale>
        <cfvo type="min"/>
        <cfvo type="percentile" val="50"/>
        <cfvo type="max"/>
        <color rgb="FF63BE7B"/>
        <color rgb="FFFFEB84"/>
        <color rgb="FFF8696B"/>
      </colorScale>
    </cfRule>
    <cfRule type="colorScale" priority="2528">
      <colorScale>
        <cfvo type="min"/>
        <cfvo type="percentile" val="50"/>
        <cfvo type="max"/>
        <color rgb="FF63BE7B"/>
        <color rgb="FFFFEB84"/>
        <color rgb="FFF8696B"/>
      </colorScale>
    </cfRule>
    <cfRule type="colorScale" priority="2527">
      <colorScale>
        <cfvo type="min"/>
        <cfvo type="percentile" val="50"/>
        <cfvo type="max"/>
        <color rgb="FF63BE7B"/>
        <color rgb="FFFFEB84"/>
        <color rgb="FFF8696B"/>
      </colorScale>
    </cfRule>
    <cfRule type="colorScale" priority="2526">
      <colorScale>
        <cfvo type="min"/>
        <cfvo type="percentile" val="50"/>
        <cfvo type="max"/>
        <color rgb="FF63BE7B"/>
        <color rgb="FFFFEB84"/>
        <color rgb="FFF8696B"/>
      </colorScale>
    </cfRule>
    <cfRule type="colorScale" priority="2525">
      <colorScale>
        <cfvo type="min"/>
        <cfvo type="percentile" val="50"/>
        <cfvo type="max"/>
        <color rgb="FF63BE7B"/>
        <color rgb="FFFFEB84"/>
        <color rgb="FFF8696B"/>
      </colorScale>
    </cfRule>
    <cfRule type="colorScale" priority="2514">
      <colorScale>
        <cfvo type="min"/>
        <cfvo type="percentile" val="50"/>
        <cfvo type="max"/>
        <color rgb="FF63BE7B"/>
        <color rgb="FFFFEB84"/>
        <color rgb="FFF8696B"/>
      </colorScale>
    </cfRule>
    <cfRule type="colorScale" priority="2492">
      <colorScale>
        <cfvo type="min"/>
        <cfvo type="percentile" val="50"/>
        <cfvo type="max"/>
        <color rgb="FF63BE7B"/>
        <color rgb="FFFFEB84"/>
        <color rgb="FFF8696B"/>
      </colorScale>
    </cfRule>
    <cfRule type="colorScale" priority="2701">
      <colorScale>
        <cfvo type="min"/>
        <cfvo type="percentile" val="50"/>
        <cfvo type="max"/>
        <color rgb="FF63BE7B"/>
        <color rgb="FFFFEB84"/>
        <color rgb="FFF8696B"/>
      </colorScale>
    </cfRule>
    <cfRule type="colorScale" priority="2733">
      <colorScale>
        <cfvo type="min"/>
        <cfvo type="percentile" val="50"/>
        <cfvo type="max"/>
        <color rgb="FF63BE7B"/>
        <color rgb="FFFFEB84"/>
        <color rgb="FFF8696B"/>
      </colorScale>
    </cfRule>
    <cfRule type="colorScale" priority="2732">
      <colorScale>
        <cfvo type="min"/>
        <cfvo type="percentile" val="50"/>
        <cfvo type="max"/>
        <color rgb="FF63BE7B"/>
        <color rgb="FFFFEB84"/>
        <color rgb="FFF8696B"/>
      </colorScale>
    </cfRule>
    <cfRule type="colorScale" priority="2731">
      <colorScale>
        <cfvo type="min"/>
        <cfvo type="percentile" val="50"/>
        <cfvo type="max"/>
        <color rgb="FF63BE7B"/>
        <color rgb="FFFFEB84"/>
        <color rgb="FFF8696B"/>
      </colorScale>
    </cfRule>
    <cfRule type="colorScale" priority="2730">
      <colorScale>
        <cfvo type="min"/>
        <cfvo type="percentile" val="50"/>
        <cfvo type="max"/>
        <color rgb="FF63BE7B"/>
        <color rgb="FFFFEB84"/>
        <color rgb="FFF8696B"/>
      </colorScale>
    </cfRule>
    <cfRule type="colorScale" priority="2729">
      <colorScale>
        <cfvo type="min"/>
        <cfvo type="percentile" val="50"/>
        <cfvo type="max"/>
        <color rgb="FF63BE7B"/>
        <color rgb="FFFFEB84"/>
        <color rgb="FFF8696B"/>
      </colorScale>
    </cfRule>
    <cfRule type="colorScale" priority="2728">
      <colorScale>
        <cfvo type="min"/>
        <cfvo type="percentile" val="50"/>
        <cfvo type="max"/>
        <color rgb="FF63BE7B"/>
        <color rgb="FFFFEB84"/>
        <color rgb="FFF8696B"/>
      </colorScale>
    </cfRule>
    <cfRule type="colorScale" priority="2727">
      <colorScale>
        <cfvo type="min"/>
        <cfvo type="percentile" val="50"/>
        <cfvo type="max"/>
        <color rgb="FF63BE7B"/>
        <color rgb="FFFFEB84"/>
        <color rgb="FFF8696B"/>
      </colorScale>
    </cfRule>
    <cfRule type="colorScale" priority="2726">
      <colorScale>
        <cfvo type="min"/>
        <cfvo type="percentile" val="50"/>
        <cfvo type="max"/>
        <color rgb="FF63BE7B"/>
        <color rgb="FFFFEB84"/>
        <color rgb="FFF8696B"/>
      </colorScale>
    </cfRule>
    <cfRule type="colorScale" priority="2725">
      <colorScale>
        <cfvo type="min"/>
        <cfvo type="percentile" val="50"/>
        <cfvo type="max"/>
        <color rgb="FF63BE7B"/>
        <color rgb="FFFFEB84"/>
        <color rgb="FFF8696B"/>
      </colorScale>
    </cfRule>
    <cfRule type="colorScale" priority="2724">
      <colorScale>
        <cfvo type="min"/>
        <cfvo type="percentile" val="50"/>
        <cfvo type="max"/>
        <color rgb="FF63BE7B"/>
        <color rgb="FFFFEB84"/>
        <color rgb="FFF8696B"/>
      </colorScale>
    </cfRule>
    <cfRule type="colorScale" priority="2723">
      <colorScale>
        <cfvo type="min"/>
        <cfvo type="percentile" val="50"/>
        <cfvo type="max"/>
        <color rgb="FF63BE7B"/>
        <color rgb="FFFFEB84"/>
        <color rgb="FFF8696B"/>
      </colorScale>
    </cfRule>
    <cfRule type="colorScale" priority="2722">
      <colorScale>
        <cfvo type="min"/>
        <cfvo type="percentile" val="50"/>
        <cfvo type="max"/>
        <color rgb="FF63BE7B"/>
        <color rgb="FFFFEB84"/>
        <color rgb="FFF8696B"/>
      </colorScale>
    </cfRule>
    <cfRule type="colorScale" priority="2721">
      <colorScale>
        <cfvo type="min"/>
        <cfvo type="percentile" val="50"/>
        <cfvo type="max"/>
        <color rgb="FF63BE7B"/>
        <color rgb="FFFFEB84"/>
        <color rgb="FFF8696B"/>
      </colorScale>
    </cfRule>
    <cfRule type="colorScale" priority="2720">
      <colorScale>
        <cfvo type="min"/>
        <cfvo type="percentile" val="50"/>
        <cfvo type="max"/>
        <color rgb="FF63BE7B"/>
        <color rgb="FFFFEB84"/>
        <color rgb="FFF8696B"/>
      </colorScale>
    </cfRule>
    <cfRule type="colorScale" priority="2719">
      <colorScale>
        <cfvo type="min"/>
        <cfvo type="percentile" val="50"/>
        <cfvo type="max"/>
        <color rgb="FF63BE7B"/>
        <color rgb="FFFFEB84"/>
        <color rgb="FFF8696B"/>
      </colorScale>
    </cfRule>
    <cfRule type="colorScale" priority="2718">
      <colorScale>
        <cfvo type="min"/>
        <cfvo type="percentile" val="50"/>
        <cfvo type="max"/>
        <color rgb="FF63BE7B"/>
        <color rgb="FFFFEB84"/>
        <color rgb="FFF8696B"/>
      </colorScale>
    </cfRule>
    <cfRule type="colorScale" priority="2717">
      <colorScale>
        <cfvo type="min"/>
        <cfvo type="percentile" val="50"/>
        <cfvo type="max"/>
        <color rgb="FF63BE7B"/>
        <color rgb="FFFFEB84"/>
        <color rgb="FFF8696B"/>
      </colorScale>
    </cfRule>
    <cfRule type="colorScale" priority="2716">
      <colorScale>
        <cfvo type="min"/>
        <cfvo type="percentile" val="50"/>
        <cfvo type="max"/>
        <color rgb="FF63BE7B"/>
        <color rgb="FFFFEB84"/>
        <color rgb="FFF8696B"/>
      </colorScale>
    </cfRule>
    <cfRule type="colorScale" priority="2493">
      <colorScale>
        <cfvo type="min"/>
        <cfvo type="percentile" val="50"/>
        <cfvo type="max"/>
        <color rgb="FF63BE7B"/>
        <color rgb="FFFFEB84"/>
        <color rgb="FFF8696B"/>
      </colorScale>
    </cfRule>
    <cfRule type="colorScale" priority="2494">
      <colorScale>
        <cfvo type="min"/>
        <cfvo type="percentile" val="50"/>
        <cfvo type="max"/>
        <color rgb="FF63BE7B"/>
        <color rgb="FFFFEB84"/>
        <color rgb="FFF8696B"/>
      </colorScale>
    </cfRule>
    <cfRule type="colorScale" priority="2495">
      <colorScale>
        <cfvo type="min"/>
        <cfvo type="percentile" val="50"/>
        <cfvo type="max"/>
        <color rgb="FF63BE7B"/>
        <color rgb="FFFFEB84"/>
        <color rgb="FFF8696B"/>
      </colorScale>
    </cfRule>
    <cfRule type="colorScale" priority="2496">
      <colorScale>
        <cfvo type="min"/>
        <cfvo type="percentile" val="50"/>
        <cfvo type="max"/>
        <color rgb="FF63BE7B"/>
        <color rgb="FFFFEB84"/>
        <color rgb="FFF8696B"/>
      </colorScale>
    </cfRule>
    <cfRule type="colorScale" priority="2715">
      <colorScale>
        <cfvo type="min"/>
        <cfvo type="percentile" val="50"/>
        <cfvo type="max"/>
        <color rgb="FF63BE7B"/>
        <color rgb="FFFFEB84"/>
        <color rgb="FFF8696B"/>
      </colorScale>
    </cfRule>
    <cfRule type="colorScale" priority="2714">
      <colorScale>
        <cfvo type="min"/>
        <cfvo type="percentile" val="50"/>
        <cfvo type="max"/>
        <color rgb="FF63BE7B"/>
        <color rgb="FFFFEB84"/>
        <color rgb="FFF8696B"/>
      </colorScale>
    </cfRule>
    <cfRule type="colorScale" priority="2713">
      <colorScale>
        <cfvo type="min"/>
        <cfvo type="percentile" val="50"/>
        <cfvo type="max"/>
        <color rgb="FF63BE7B"/>
        <color rgb="FFFFEB84"/>
        <color rgb="FFF8696B"/>
      </colorScale>
    </cfRule>
    <cfRule type="colorScale" priority="2712">
      <colorScale>
        <cfvo type="min"/>
        <cfvo type="percentile" val="50"/>
        <cfvo type="max"/>
        <color rgb="FF63BE7B"/>
        <color rgb="FFFFEB84"/>
        <color rgb="FFF8696B"/>
      </colorScale>
    </cfRule>
    <cfRule type="colorScale" priority="2711">
      <colorScale>
        <cfvo type="min"/>
        <cfvo type="percentile" val="50"/>
        <cfvo type="max"/>
        <color rgb="FF63BE7B"/>
        <color rgb="FFFFEB84"/>
        <color rgb="FFF8696B"/>
      </colorScale>
    </cfRule>
    <cfRule type="colorScale" priority="2710">
      <colorScale>
        <cfvo type="min"/>
        <cfvo type="percentile" val="50"/>
        <cfvo type="max"/>
        <color rgb="FF63BE7B"/>
        <color rgb="FFFFEB84"/>
        <color rgb="FFF8696B"/>
      </colorScale>
    </cfRule>
    <cfRule type="colorScale" priority="2709">
      <colorScale>
        <cfvo type="min"/>
        <cfvo type="percentile" val="50"/>
        <cfvo type="max"/>
        <color rgb="FF63BE7B"/>
        <color rgb="FFFFEB84"/>
        <color rgb="FFF8696B"/>
      </colorScale>
    </cfRule>
    <cfRule type="colorScale" priority="5573">
      <colorScale>
        <cfvo type="min"/>
        <cfvo type="percentile" val="50"/>
        <cfvo type="max"/>
        <color rgb="FF63BE7B"/>
        <color rgb="FFFFEB84"/>
        <color rgb="FFF8696B"/>
      </colorScale>
    </cfRule>
    <cfRule type="colorScale" priority="5572">
      <colorScale>
        <cfvo type="min"/>
        <cfvo type="percentile" val="50"/>
        <cfvo type="max"/>
        <color rgb="FF63BE7B"/>
        <color rgb="FFFFEB84"/>
        <color rgb="FFF8696B"/>
      </colorScale>
    </cfRule>
    <cfRule type="colorScale" priority="5571">
      <colorScale>
        <cfvo type="min"/>
        <cfvo type="percentile" val="50"/>
        <cfvo type="max"/>
        <color rgb="FF63BE7B"/>
        <color rgb="FFFFEB84"/>
        <color rgb="FFF8696B"/>
      </colorScale>
    </cfRule>
    <cfRule type="colorScale" priority="5570">
      <colorScale>
        <cfvo type="min"/>
        <cfvo type="percentile" val="50"/>
        <cfvo type="max"/>
        <color rgb="FF63BE7B"/>
        <color rgb="FFFFEB84"/>
        <color rgb="FFF8696B"/>
      </colorScale>
    </cfRule>
    <cfRule type="colorScale" priority="2708">
      <colorScale>
        <cfvo type="min"/>
        <cfvo type="percentile" val="50"/>
        <cfvo type="max"/>
        <color rgb="FF63BE7B"/>
        <color rgb="FFFFEB84"/>
        <color rgb="FFF8696B"/>
      </colorScale>
    </cfRule>
    <cfRule type="colorScale" priority="2707">
      <colorScale>
        <cfvo type="min"/>
        <cfvo type="percentile" val="50"/>
        <cfvo type="max"/>
        <color rgb="FF63BE7B"/>
        <color rgb="FFFFEB84"/>
        <color rgb="FFF8696B"/>
      </colorScale>
    </cfRule>
    <cfRule type="colorScale" priority="2706">
      <colorScale>
        <cfvo type="min"/>
        <cfvo type="percentile" val="50"/>
        <cfvo type="max"/>
        <color rgb="FF63BE7B"/>
        <color rgb="FFFFEB84"/>
        <color rgb="FFF8696B"/>
      </colorScale>
    </cfRule>
    <cfRule type="colorScale" priority="2705">
      <colorScale>
        <cfvo type="min"/>
        <cfvo type="percentile" val="50"/>
        <cfvo type="max"/>
        <color rgb="FF63BE7B"/>
        <color rgb="FFFFEB84"/>
        <color rgb="FFF8696B"/>
      </colorScale>
    </cfRule>
    <cfRule type="colorScale" priority="2704">
      <colorScale>
        <cfvo type="min"/>
        <cfvo type="percentile" val="50"/>
        <cfvo type="max"/>
        <color rgb="FF63BE7B"/>
        <color rgb="FFFFEB84"/>
        <color rgb="FFF8696B"/>
      </colorScale>
    </cfRule>
    <cfRule type="colorScale" priority="2703">
      <colorScale>
        <cfvo type="min"/>
        <cfvo type="percentile" val="50"/>
        <cfvo type="max"/>
        <color rgb="FF63BE7B"/>
        <color rgb="FFFFEB84"/>
        <color rgb="FFF8696B"/>
      </colorScale>
    </cfRule>
    <cfRule type="colorScale" priority="2702">
      <colorScale>
        <cfvo type="min"/>
        <cfvo type="percentile" val="50"/>
        <cfvo type="max"/>
        <color rgb="FF63BE7B"/>
        <color rgb="FFFFEB84"/>
        <color rgb="FFF8696B"/>
      </colorScale>
    </cfRule>
    <cfRule type="colorScale" priority="2700">
      <colorScale>
        <cfvo type="min"/>
        <cfvo type="percentile" val="50"/>
        <cfvo type="max"/>
        <color rgb="FF63BE7B"/>
        <color rgb="FFFFEB84"/>
        <color rgb="FFF8696B"/>
      </colorScale>
    </cfRule>
    <cfRule type="colorScale" priority="2699">
      <colorScale>
        <cfvo type="min"/>
        <cfvo type="percentile" val="50"/>
        <cfvo type="max"/>
        <color rgb="FF63BE7B"/>
        <color rgb="FFFFEB84"/>
        <color rgb="FFF8696B"/>
      </colorScale>
    </cfRule>
    <cfRule type="colorScale" priority="2698">
      <colorScale>
        <cfvo type="min"/>
        <cfvo type="percentile" val="50"/>
        <cfvo type="max"/>
        <color rgb="FF63BE7B"/>
        <color rgb="FFFFEB84"/>
        <color rgb="FFF8696B"/>
      </colorScale>
    </cfRule>
    <cfRule type="colorScale" priority="2697">
      <colorScale>
        <cfvo type="min"/>
        <cfvo type="percentile" val="50"/>
        <cfvo type="max"/>
        <color rgb="FF63BE7B"/>
        <color rgb="FFFFEB84"/>
        <color rgb="FFF8696B"/>
      </colorScale>
    </cfRule>
    <cfRule type="colorScale" priority="2696">
      <colorScale>
        <cfvo type="min"/>
        <cfvo type="percentile" val="50"/>
        <cfvo type="max"/>
        <color rgb="FF63BE7B"/>
        <color rgb="FFFFEB84"/>
        <color rgb="FFF8696B"/>
      </colorScale>
    </cfRule>
    <cfRule type="colorScale" priority="2695">
      <colorScale>
        <cfvo type="min"/>
        <cfvo type="percentile" val="50"/>
        <cfvo type="max"/>
        <color rgb="FF63BE7B"/>
        <color rgb="FFFFEB84"/>
        <color rgb="FFF8696B"/>
      </colorScale>
    </cfRule>
    <cfRule type="colorScale" priority="2694">
      <colorScale>
        <cfvo type="min"/>
        <cfvo type="percentile" val="50"/>
        <cfvo type="max"/>
        <color rgb="FF63BE7B"/>
        <color rgb="FFFFEB84"/>
        <color rgb="FFF8696B"/>
      </colorScale>
    </cfRule>
    <cfRule type="colorScale" priority="2693">
      <colorScale>
        <cfvo type="min"/>
        <cfvo type="percentile" val="50"/>
        <cfvo type="max"/>
        <color rgb="FF63BE7B"/>
        <color rgb="FFFFEB84"/>
        <color rgb="FFF8696B"/>
      </colorScale>
    </cfRule>
    <cfRule type="colorScale" priority="2692">
      <colorScale>
        <cfvo type="min"/>
        <cfvo type="percentile" val="50"/>
        <cfvo type="max"/>
        <color rgb="FF63BE7B"/>
        <color rgb="FFFFEB84"/>
        <color rgb="FFF8696B"/>
      </colorScale>
    </cfRule>
    <cfRule type="colorScale" priority="2691">
      <colorScale>
        <cfvo type="min"/>
        <cfvo type="percentile" val="50"/>
        <cfvo type="max"/>
        <color rgb="FF63BE7B"/>
        <color rgb="FFFFEB84"/>
        <color rgb="FFF8696B"/>
      </colorScale>
    </cfRule>
    <cfRule type="colorScale" priority="2690">
      <colorScale>
        <cfvo type="min"/>
        <cfvo type="percentile" val="50"/>
        <cfvo type="max"/>
        <color rgb="FF63BE7B"/>
        <color rgb="FFFFEB84"/>
        <color rgb="FFF8696B"/>
      </colorScale>
    </cfRule>
    <cfRule type="colorScale" priority="2689">
      <colorScale>
        <cfvo type="min"/>
        <cfvo type="percentile" val="50"/>
        <cfvo type="max"/>
        <color rgb="FF63BE7B"/>
        <color rgb="FFFFEB84"/>
        <color rgb="FFF8696B"/>
      </colorScale>
    </cfRule>
    <cfRule type="colorScale" priority="2688">
      <colorScale>
        <cfvo type="min"/>
        <cfvo type="percentile" val="50"/>
        <cfvo type="max"/>
        <color rgb="FF63BE7B"/>
        <color rgb="FFFFEB84"/>
        <color rgb="FFF8696B"/>
      </colorScale>
    </cfRule>
    <cfRule type="colorScale" priority="2687">
      <colorScale>
        <cfvo type="min"/>
        <cfvo type="percentile" val="50"/>
        <cfvo type="max"/>
        <color rgb="FF63BE7B"/>
        <color rgb="FFFFEB84"/>
        <color rgb="FFF8696B"/>
      </colorScale>
    </cfRule>
    <cfRule type="colorScale" priority="2686">
      <colorScale>
        <cfvo type="min"/>
        <cfvo type="percentile" val="50"/>
        <cfvo type="max"/>
        <color rgb="FF63BE7B"/>
        <color rgb="FFFFEB84"/>
        <color rgb="FFF8696B"/>
      </colorScale>
    </cfRule>
    <cfRule type="colorScale" priority="2685">
      <colorScale>
        <cfvo type="min"/>
        <cfvo type="percentile" val="50"/>
        <cfvo type="max"/>
        <color rgb="FF63BE7B"/>
        <color rgb="FFFFEB84"/>
        <color rgb="FFF8696B"/>
      </colorScale>
    </cfRule>
    <cfRule type="colorScale" priority="2684">
      <colorScale>
        <cfvo type="min"/>
        <cfvo type="percentile" val="50"/>
        <cfvo type="max"/>
        <color rgb="FF63BE7B"/>
        <color rgb="FFFFEB84"/>
        <color rgb="FFF8696B"/>
      </colorScale>
    </cfRule>
    <cfRule type="colorScale" priority="2683">
      <colorScale>
        <cfvo type="min"/>
        <cfvo type="percentile" val="50"/>
        <cfvo type="max"/>
        <color rgb="FF63BE7B"/>
        <color rgb="FFFFEB84"/>
        <color rgb="FFF8696B"/>
      </colorScale>
    </cfRule>
    <cfRule type="colorScale" priority="2682">
      <colorScale>
        <cfvo type="min"/>
        <cfvo type="percentile" val="50"/>
        <cfvo type="max"/>
        <color rgb="FF63BE7B"/>
        <color rgb="FFFFEB84"/>
        <color rgb="FFF8696B"/>
      </colorScale>
    </cfRule>
    <cfRule type="colorScale" priority="2681">
      <colorScale>
        <cfvo type="min"/>
        <cfvo type="percentile" val="50"/>
        <cfvo type="max"/>
        <color rgb="FF63BE7B"/>
        <color rgb="FFFFEB84"/>
        <color rgb="FFF8696B"/>
      </colorScale>
    </cfRule>
    <cfRule type="colorScale" priority="2680">
      <colorScale>
        <cfvo type="min"/>
        <cfvo type="percentile" val="50"/>
        <cfvo type="max"/>
        <color rgb="FF63BE7B"/>
        <color rgb="FFFFEB84"/>
        <color rgb="FFF8696B"/>
      </colorScale>
    </cfRule>
    <cfRule type="colorScale" priority="2679">
      <colorScale>
        <cfvo type="min"/>
        <cfvo type="percentile" val="50"/>
        <cfvo type="max"/>
        <color rgb="FF63BE7B"/>
        <color rgb="FFFFEB84"/>
        <color rgb="FFF8696B"/>
      </colorScale>
    </cfRule>
    <cfRule type="colorScale" priority="2678">
      <colorScale>
        <cfvo type="min"/>
        <cfvo type="percentile" val="50"/>
        <cfvo type="max"/>
        <color rgb="FFF8696B"/>
        <color rgb="FFFFEB84"/>
        <color rgb="FF63BE7B"/>
      </colorScale>
    </cfRule>
    <cfRule type="colorScale" priority="2677">
      <colorScale>
        <cfvo type="min"/>
        <cfvo type="percentile" val="50"/>
        <cfvo type="max"/>
        <color rgb="FF63BE7B"/>
        <color rgb="FFFFEB84"/>
        <color rgb="FFF8696B"/>
      </colorScale>
    </cfRule>
    <cfRule type="colorScale" priority="2676">
      <colorScale>
        <cfvo type="min"/>
        <cfvo type="percentile" val="50"/>
        <cfvo type="max"/>
        <color rgb="FF63BE7B"/>
        <color rgb="FFFFEB84"/>
        <color rgb="FFF8696B"/>
      </colorScale>
    </cfRule>
    <cfRule type="colorScale" priority="2675">
      <colorScale>
        <cfvo type="min"/>
        <cfvo type="percentile" val="50"/>
        <cfvo type="max"/>
        <color rgb="FF63BE7B"/>
        <color rgb="FFFFEB84"/>
        <color rgb="FFF8696B"/>
      </colorScale>
    </cfRule>
    <cfRule type="colorScale" priority="2674">
      <colorScale>
        <cfvo type="min"/>
        <cfvo type="percentile" val="50"/>
        <cfvo type="max"/>
        <color rgb="FF63BE7B"/>
        <color rgb="FFFFEB84"/>
        <color rgb="FFF8696B"/>
      </colorScale>
    </cfRule>
    <cfRule type="colorScale" priority="2673">
      <colorScale>
        <cfvo type="min"/>
        <cfvo type="percentile" val="50"/>
        <cfvo type="max"/>
        <color rgb="FF63BE7B"/>
        <color rgb="FFFFEB84"/>
        <color rgb="FFF8696B"/>
      </colorScale>
    </cfRule>
    <cfRule type="colorScale" priority="2672">
      <colorScale>
        <cfvo type="min"/>
        <cfvo type="percentile" val="50"/>
        <cfvo type="max"/>
        <color rgb="FF63BE7B"/>
        <color rgb="FFFFEB84"/>
        <color rgb="FFF8696B"/>
      </colorScale>
    </cfRule>
    <cfRule type="colorScale" priority="2671">
      <colorScale>
        <cfvo type="min"/>
        <cfvo type="percentile" val="50"/>
        <cfvo type="max"/>
        <color rgb="FF63BE7B"/>
        <color rgb="FFFFEB84"/>
        <color rgb="FFF8696B"/>
      </colorScale>
    </cfRule>
    <cfRule type="colorScale" priority="2670">
      <colorScale>
        <cfvo type="min"/>
        <cfvo type="percentile" val="50"/>
        <cfvo type="max"/>
        <color rgb="FF63BE7B"/>
        <color rgb="FFFFEB84"/>
        <color rgb="FFF8696B"/>
      </colorScale>
    </cfRule>
    <cfRule type="colorScale" priority="2669">
      <colorScale>
        <cfvo type="min"/>
        <cfvo type="percentile" val="50"/>
        <cfvo type="max"/>
        <color rgb="FF63BE7B"/>
        <color rgb="FFFFEB84"/>
        <color rgb="FFF8696B"/>
      </colorScale>
    </cfRule>
    <cfRule type="colorScale" priority="2668">
      <colorScale>
        <cfvo type="min"/>
        <cfvo type="percentile" val="50"/>
        <cfvo type="max"/>
        <color rgb="FF63BE7B"/>
        <color rgb="FFFFEB84"/>
        <color rgb="FFF8696B"/>
      </colorScale>
    </cfRule>
    <cfRule type="colorScale" priority="2667">
      <colorScale>
        <cfvo type="min"/>
        <cfvo type="percentile" val="50"/>
        <cfvo type="max"/>
        <color rgb="FF63BE7B"/>
        <color rgb="FFFFEB84"/>
        <color rgb="FFF8696B"/>
      </colorScale>
    </cfRule>
    <cfRule type="colorScale" priority="2666">
      <colorScale>
        <cfvo type="min"/>
        <cfvo type="percentile" val="50"/>
        <cfvo type="max"/>
        <color rgb="FF63BE7B"/>
        <color rgb="FFFFEB84"/>
        <color rgb="FFF8696B"/>
      </colorScale>
    </cfRule>
    <cfRule type="colorScale" priority="2665">
      <colorScale>
        <cfvo type="min"/>
        <cfvo type="percentile" val="50"/>
        <cfvo type="max"/>
        <color rgb="FF63BE7B"/>
        <color rgb="FFFFEB84"/>
        <color rgb="FFF8696B"/>
      </colorScale>
    </cfRule>
    <cfRule type="colorScale" priority="2664">
      <colorScale>
        <cfvo type="min"/>
        <cfvo type="percentile" val="50"/>
        <cfvo type="max"/>
        <color rgb="FF63BE7B"/>
        <color rgb="FFFFEB84"/>
        <color rgb="FFF8696B"/>
      </colorScale>
    </cfRule>
    <cfRule type="colorScale" priority="2663">
      <colorScale>
        <cfvo type="min"/>
        <cfvo type="percentile" val="50"/>
        <cfvo type="max"/>
        <color rgb="FF63BE7B"/>
        <color rgb="FFFFEB84"/>
        <color rgb="FFF8696B"/>
      </colorScale>
    </cfRule>
    <cfRule type="colorScale" priority="2662">
      <colorScale>
        <cfvo type="min"/>
        <cfvo type="percentile" val="50"/>
        <cfvo type="max"/>
        <color rgb="FF63BE7B"/>
        <color rgb="FFFFEB84"/>
        <color rgb="FFF8696B"/>
      </colorScale>
    </cfRule>
    <cfRule type="colorScale" priority="2661">
      <colorScale>
        <cfvo type="min"/>
        <cfvo type="percentile" val="50"/>
        <cfvo type="max"/>
        <color rgb="FF63BE7B"/>
        <color rgb="FFFFEB84"/>
        <color rgb="FFF8696B"/>
      </colorScale>
    </cfRule>
    <cfRule type="colorScale" priority="2660">
      <colorScale>
        <cfvo type="min"/>
        <cfvo type="percentile" val="50"/>
        <cfvo type="max"/>
        <color rgb="FF63BE7B"/>
        <color rgb="FFFFEB84"/>
        <color rgb="FFF8696B"/>
      </colorScale>
    </cfRule>
    <cfRule type="colorScale" priority="2659">
      <colorScale>
        <cfvo type="min"/>
        <cfvo type="percentile" val="50"/>
        <cfvo type="max"/>
        <color rgb="FF63BE7B"/>
        <color rgb="FFFFEB84"/>
        <color rgb="FFF8696B"/>
      </colorScale>
    </cfRule>
    <cfRule type="colorScale" priority="2658">
      <colorScale>
        <cfvo type="min"/>
        <cfvo type="percentile" val="50"/>
        <cfvo type="max"/>
        <color rgb="FF63BE7B"/>
        <color rgb="FFFFEB84"/>
        <color rgb="FFF8696B"/>
      </colorScale>
    </cfRule>
    <cfRule type="colorScale" priority="2657">
      <colorScale>
        <cfvo type="min"/>
        <cfvo type="percentile" val="50"/>
        <cfvo type="max"/>
        <color rgb="FF63BE7B"/>
        <color rgb="FFFFEB84"/>
        <color rgb="FFF8696B"/>
      </colorScale>
    </cfRule>
    <cfRule type="colorScale" priority="2656">
      <colorScale>
        <cfvo type="min"/>
        <cfvo type="percentile" val="50"/>
        <cfvo type="max"/>
        <color rgb="FF63BE7B"/>
        <color rgb="FFFFEB84"/>
        <color rgb="FFF8696B"/>
      </colorScale>
    </cfRule>
    <cfRule type="colorScale" priority="2655">
      <colorScale>
        <cfvo type="min"/>
        <cfvo type="percentile" val="50"/>
        <cfvo type="max"/>
        <color rgb="FF63BE7B"/>
        <color rgb="FFFFEB84"/>
        <color rgb="FFF8696B"/>
      </colorScale>
    </cfRule>
    <cfRule type="colorScale" priority="2654">
      <colorScale>
        <cfvo type="min"/>
        <cfvo type="percentile" val="50"/>
        <cfvo type="max"/>
        <color rgb="FF63BE7B"/>
        <color rgb="FFFFEB84"/>
        <color rgb="FFF8696B"/>
      </colorScale>
    </cfRule>
    <cfRule type="colorScale" priority="2653">
      <colorScale>
        <cfvo type="min"/>
        <cfvo type="percentile" val="50"/>
        <cfvo type="max"/>
        <color rgb="FF63BE7B"/>
        <color rgb="FFFFEB84"/>
        <color rgb="FFF8696B"/>
      </colorScale>
    </cfRule>
    <cfRule type="colorScale" priority="2652">
      <colorScale>
        <cfvo type="min"/>
        <cfvo type="percentile" val="50"/>
        <cfvo type="max"/>
        <color rgb="FF63BE7B"/>
        <color rgb="FFFFEB84"/>
        <color rgb="FFF8696B"/>
      </colorScale>
    </cfRule>
    <cfRule type="colorScale" priority="2497">
      <colorScale>
        <cfvo type="min"/>
        <cfvo type="percentile" val="50"/>
        <cfvo type="max"/>
        <color rgb="FF63BE7B"/>
        <color rgb="FFFFEB84"/>
        <color rgb="FFF8696B"/>
      </colorScale>
    </cfRule>
    <cfRule type="colorScale" priority="2498">
      <colorScale>
        <cfvo type="min"/>
        <cfvo type="percentile" val="50"/>
        <cfvo type="max"/>
        <color rgb="FF63BE7B"/>
        <color rgb="FFFFEB84"/>
        <color rgb="FFF8696B"/>
      </colorScale>
    </cfRule>
    <cfRule type="colorScale" priority="2499">
      <colorScale>
        <cfvo type="min"/>
        <cfvo type="percentile" val="50"/>
        <cfvo type="max"/>
        <color rgb="FF63BE7B"/>
        <color rgb="FFFFEB84"/>
        <color rgb="FFF8696B"/>
      </colorScale>
    </cfRule>
    <cfRule type="colorScale" priority="2500">
      <colorScale>
        <cfvo type="min"/>
        <cfvo type="percentile" val="50"/>
        <cfvo type="max"/>
        <color rgb="FF63BE7B"/>
        <color rgb="FFFFEB84"/>
        <color rgb="FFF8696B"/>
      </colorScale>
    </cfRule>
    <cfRule type="colorScale" priority="2501">
      <colorScale>
        <cfvo type="min"/>
        <cfvo type="percentile" val="50"/>
        <cfvo type="max"/>
        <color rgb="FF63BE7B"/>
        <color rgb="FFFFEB84"/>
        <color rgb="FFF8696B"/>
      </colorScale>
    </cfRule>
    <cfRule type="colorScale" priority="2502">
      <colorScale>
        <cfvo type="min"/>
        <cfvo type="percentile" val="50"/>
        <cfvo type="max"/>
        <color rgb="FF63BE7B"/>
        <color rgb="FFFFEB84"/>
        <color rgb="FFF8696B"/>
      </colorScale>
    </cfRule>
    <cfRule type="colorScale" priority="2503">
      <colorScale>
        <cfvo type="min"/>
        <cfvo type="percentile" val="50"/>
        <cfvo type="max"/>
        <color rgb="FF63BE7B"/>
        <color rgb="FFFFEB84"/>
        <color rgb="FFF8696B"/>
      </colorScale>
    </cfRule>
    <cfRule type="colorScale" priority="2504">
      <colorScale>
        <cfvo type="min"/>
        <cfvo type="percentile" val="50"/>
        <cfvo type="max"/>
        <color rgb="FF63BE7B"/>
        <color rgb="FFFFEB84"/>
        <color rgb="FFF8696B"/>
      </colorScale>
    </cfRule>
    <cfRule type="colorScale" priority="2505">
      <colorScale>
        <cfvo type="min"/>
        <cfvo type="percentile" val="50"/>
        <cfvo type="max"/>
        <color rgb="FF63BE7B"/>
        <color rgb="FFFFEB84"/>
        <color rgb="FFF8696B"/>
      </colorScale>
    </cfRule>
    <cfRule type="colorScale" priority="2506">
      <colorScale>
        <cfvo type="min"/>
        <cfvo type="percentile" val="50"/>
        <cfvo type="max"/>
        <color rgb="FF63BE7B"/>
        <color rgb="FFFFEB84"/>
        <color rgb="FFF8696B"/>
      </colorScale>
    </cfRule>
    <cfRule type="colorScale" priority="2507">
      <colorScale>
        <cfvo type="min"/>
        <cfvo type="percentile" val="50"/>
        <cfvo type="max"/>
        <color rgb="FF63BE7B"/>
        <color rgb="FFFFEB84"/>
        <color rgb="FFF8696B"/>
      </colorScale>
    </cfRule>
    <cfRule type="colorScale" priority="2510">
      <colorScale>
        <cfvo type="min"/>
        <cfvo type="percentile" val="50"/>
        <cfvo type="max"/>
        <color rgb="FFF8696B"/>
        <color rgb="FFFFEB84"/>
        <color rgb="FF63BE7B"/>
      </colorScale>
    </cfRule>
    <cfRule type="colorScale" priority="2511">
      <colorScale>
        <cfvo type="min"/>
        <cfvo type="percentile" val="50"/>
        <cfvo type="max"/>
        <color rgb="FF63BE7B"/>
        <color rgb="FFFFEB84"/>
        <color rgb="FFF8696B"/>
      </colorScale>
    </cfRule>
    <cfRule type="colorScale" priority="2515">
      <colorScale>
        <cfvo type="min"/>
        <cfvo type="percentile" val="50"/>
        <cfvo type="max"/>
        <color rgb="FF63BE7B"/>
        <color rgb="FFFFEB84"/>
        <color rgb="FFF8696B"/>
      </colorScale>
    </cfRule>
    <cfRule type="colorScale" priority="2516">
      <colorScale>
        <cfvo type="min"/>
        <cfvo type="percentile" val="50"/>
        <cfvo type="max"/>
        <color rgb="FF63BE7B"/>
        <color rgb="FFFFEB84"/>
        <color rgb="FFF8696B"/>
      </colorScale>
    </cfRule>
    <cfRule type="colorScale" priority="2517">
      <colorScale>
        <cfvo type="min"/>
        <cfvo type="percentile" val="50"/>
        <cfvo type="max"/>
        <color rgb="FF63BE7B"/>
        <color rgb="FFFFEB84"/>
        <color rgb="FFF8696B"/>
      </colorScale>
    </cfRule>
    <cfRule type="colorScale" priority="2518">
      <colorScale>
        <cfvo type="min"/>
        <cfvo type="percentile" val="50"/>
        <cfvo type="max"/>
        <color rgb="FF63BE7B"/>
        <color rgb="FFFFEB84"/>
        <color rgb="FFF8696B"/>
      </colorScale>
    </cfRule>
    <cfRule type="colorScale" priority="2519">
      <colorScale>
        <cfvo type="min"/>
        <cfvo type="percentile" val="50"/>
        <cfvo type="max"/>
        <color rgb="FF63BE7B"/>
        <color rgb="FFFFEB84"/>
        <color rgb="FFF8696B"/>
      </colorScale>
    </cfRule>
    <cfRule type="colorScale" priority="2520">
      <colorScale>
        <cfvo type="min"/>
        <cfvo type="percentile" val="50"/>
        <cfvo type="max"/>
        <color rgb="FF63BE7B"/>
        <color rgb="FFFFEB84"/>
        <color rgb="FFF8696B"/>
      </colorScale>
    </cfRule>
    <cfRule type="colorScale" priority="2521">
      <colorScale>
        <cfvo type="min"/>
        <cfvo type="percentile" val="50"/>
        <cfvo type="max"/>
        <color rgb="FF63BE7B"/>
        <color rgb="FFFFEB84"/>
        <color rgb="FFF8696B"/>
      </colorScale>
    </cfRule>
    <cfRule type="colorScale" priority="2522">
      <colorScale>
        <cfvo type="min"/>
        <cfvo type="percentile" val="50"/>
        <cfvo type="max"/>
        <color rgb="FF63BE7B"/>
        <color rgb="FFFFEB84"/>
        <color rgb="FFF8696B"/>
      </colorScale>
    </cfRule>
    <cfRule type="colorScale" priority="2523">
      <colorScale>
        <cfvo type="min"/>
        <cfvo type="percentile" val="50"/>
        <cfvo type="max"/>
        <color rgb="FF63BE7B"/>
        <color rgb="FFFFEB84"/>
        <color rgb="FFF8696B"/>
      </colorScale>
    </cfRule>
    <cfRule type="colorScale" priority="2524">
      <colorScale>
        <cfvo type="min"/>
        <cfvo type="percentile" val="50"/>
        <cfvo type="max"/>
        <color rgb="FF63BE7B"/>
        <color rgb="FFFFEB84"/>
        <color rgb="FFF8696B"/>
      </colorScale>
    </cfRule>
    <cfRule type="colorScale" priority="2512">
      <colorScale>
        <cfvo type="min"/>
        <cfvo type="percentile" val="50"/>
        <cfvo type="max"/>
        <color rgb="FF63BE7B"/>
        <color rgb="FFFFEB84"/>
        <color rgb="FFF8696B"/>
      </colorScale>
    </cfRule>
    <cfRule type="colorScale" priority="2513">
      <colorScale>
        <cfvo type="min"/>
        <cfvo type="percentile" val="50"/>
        <cfvo type="max"/>
        <color rgb="FF63BE7B"/>
        <color rgb="FFFFEB84"/>
        <color rgb="FFF8696B"/>
      </colorScale>
    </cfRule>
    <cfRule type="colorScale" priority="2651">
      <colorScale>
        <cfvo type="min"/>
        <cfvo type="percentile" val="50"/>
        <cfvo type="max"/>
        <color rgb="FF63BE7B"/>
        <color rgb="FFFFEB84"/>
        <color rgb="FFF8696B"/>
      </colorScale>
    </cfRule>
    <cfRule type="colorScale" priority="2650">
      <colorScale>
        <cfvo type="min"/>
        <cfvo type="percentile" val="50"/>
        <cfvo type="max"/>
        <color rgb="FF63BE7B"/>
        <color rgb="FFFFEB84"/>
        <color rgb="FFF8696B"/>
      </colorScale>
    </cfRule>
    <cfRule type="colorScale" priority="2649">
      <colorScale>
        <cfvo type="min"/>
        <cfvo type="percentile" val="50"/>
        <cfvo type="max"/>
        <color rgb="FF63BE7B"/>
        <color rgb="FFFFEB84"/>
        <color rgb="FFF8696B"/>
      </colorScale>
    </cfRule>
    <cfRule type="colorScale" priority="2648">
      <colorScale>
        <cfvo type="min"/>
        <cfvo type="percentile" val="50"/>
        <cfvo type="max"/>
        <color rgb="FF63BE7B"/>
        <color rgb="FFFFEB84"/>
        <color rgb="FFF8696B"/>
      </colorScale>
    </cfRule>
    <cfRule type="colorScale" priority="2647">
      <colorScale>
        <cfvo type="min"/>
        <cfvo type="percentile" val="50"/>
        <cfvo type="max"/>
        <color rgb="FF63BE7B"/>
        <color rgb="FFFFEB84"/>
        <color rgb="FFF8696B"/>
      </colorScale>
    </cfRule>
    <cfRule type="colorScale" priority="2646">
      <colorScale>
        <cfvo type="min"/>
        <cfvo type="percentile" val="50"/>
        <cfvo type="max"/>
        <color rgb="FF63BE7B"/>
        <color rgb="FFFFEB84"/>
        <color rgb="FFF8696B"/>
      </colorScale>
    </cfRule>
    <cfRule type="colorScale" priority="2645">
      <colorScale>
        <cfvo type="min"/>
        <cfvo type="percentile" val="50"/>
        <cfvo type="max"/>
        <color rgb="FF63BE7B"/>
        <color rgb="FFFFEB84"/>
        <color rgb="FFF8696B"/>
      </colorScale>
    </cfRule>
    <cfRule type="colorScale" priority="2644">
      <colorScale>
        <cfvo type="min"/>
        <cfvo type="percentile" val="50"/>
        <cfvo type="max"/>
        <color rgb="FF63BE7B"/>
        <color rgb="FFFFEB84"/>
        <color rgb="FFF8696B"/>
      </colorScale>
    </cfRule>
    <cfRule type="colorScale" priority="2643">
      <colorScale>
        <cfvo type="min"/>
        <cfvo type="percentile" val="50"/>
        <cfvo type="max"/>
        <color rgb="FF63BE7B"/>
        <color rgb="FFFFEB84"/>
        <color rgb="FFF8696B"/>
      </colorScale>
    </cfRule>
    <cfRule type="colorScale" priority="2642">
      <colorScale>
        <cfvo type="min"/>
        <cfvo type="percentile" val="50"/>
        <cfvo type="max"/>
        <color rgb="FF63BE7B"/>
        <color rgb="FFFFEB84"/>
        <color rgb="FFF8696B"/>
      </colorScale>
    </cfRule>
    <cfRule type="colorScale" priority="2641">
      <colorScale>
        <cfvo type="min"/>
        <cfvo type="percentile" val="50"/>
        <cfvo type="max"/>
        <color rgb="FF63BE7B"/>
        <color rgb="FFFFEB84"/>
        <color rgb="FFF8696B"/>
      </colorScale>
    </cfRule>
    <cfRule type="colorScale" priority="2640">
      <colorScale>
        <cfvo type="min"/>
        <cfvo type="percentile" val="50"/>
        <cfvo type="max"/>
        <color rgb="FF63BE7B"/>
        <color rgb="FFFFEB84"/>
        <color rgb="FFF8696B"/>
      </colorScale>
    </cfRule>
    <cfRule type="colorScale" priority="2639">
      <colorScale>
        <cfvo type="min"/>
        <cfvo type="percentile" val="50"/>
        <cfvo type="max"/>
        <color rgb="FF63BE7B"/>
        <color rgb="FFFFEB84"/>
        <color rgb="FFF8696B"/>
      </colorScale>
    </cfRule>
    <cfRule type="colorScale" priority="2638">
      <colorScale>
        <cfvo type="min"/>
        <cfvo type="percentile" val="50"/>
        <cfvo type="max"/>
        <color rgb="FF63BE7B"/>
        <color rgb="FFFFEB84"/>
        <color rgb="FFF8696B"/>
      </colorScale>
    </cfRule>
    <cfRule type="colorScale" priority="2637">
      <colorScale>
        <cfvo type="min"/>
        <cfvo type="percentile" val="50"/>
        <cfvo type="max"/>
        <color rgb="FF63BE7B"/>
        <color rgb="FFFFEB84"/>
        <color rgb="FFF8696B"/>
      </colorScale>
    </cfRule>
    <cfRule type="colorScale" priority="2636">
      <colorScale>
        <cfvo type="min"/>
        <cfvo type="percentile" val="50"/>
        <cfvo type="max"/>
        <color rgb="FF63BE7B"/>
        <color rgb="FFFFEB84"/>
        <color rgb="FFF8696B"/>
      </colorScale>
    </cfRule>
    <cfRule type="colorScale" priority="2635">
      <colorScale>
        <cfvo type="min"/>
        <cfvo type="percentile" val="50"/>
        <cfvo type="max"/>
        <color rgb="FF63BE7B"/>
        <color rgb="FFFFEB84"/>
        <color rgb="FFF8696B"/>
      </colorScale>
    </cfRule>
    <cfRule type="colorScale" priority="2634">
      <colorScale>
        <cfvo type="min"/>
        <cfvo type="percentile" val="50"/>
        <cfvo type="max"/>
        <color rgb="FF63BE7B"/>
        <color rgb="FFFFEB84"/>
        <color rgb="FFF8696B"/>
      </colorScale>
    </cfRule>
    <cfRule type="colorScale" priority="2633">
      <colorScale>
        <cfvo type="min"/>
        <cfvo type="percentile" val="50"/>
        <cfvo type="max"/>
        <color rgb="FF63BE7B"/>
        <color rgb="FFFFEB84"/>
        <color rgb="FFF8696B"/>
      </colorScale>
    </cfRule>
    <cfRule type="colorScale" priority="2632">
      <colorScale>
        <cfvo type="min"/>
        <cfvo type="percentile" val="50"/>
        <cfvo type="max"/>
        <color rgb="FF63BE7B"/>
        <color rgb="FFFFEB84"/>
        <color rgb="FFF8696B"/>
      </colorScale>
    </cfRule>
    <cfRule type="colorScale" priority="2631">
      <colorScale>
        <cfvo type="min"/>
        <cfvo type="percentile" val="50"/>
        <cfvo type="max"/>
        <color rgb="FF63BE7B"/>
        <color rgb="FFFFEB84"/>
        <color rgb="FFF8696B"/>
      </colorScale>
    </cfRule>
    <cfRule type="colorScale" priority="2630">
      <colorScale>
        <cfvo type="min"/>
        <cfvo type="percentile" val="50"/>
        <cfvo type="max"/>
        <color rgb="FF63BE7B"/>
        <color rgb="FFFFEB84"/>
        <color rgb="FFF8696B"/>
      </colorScale>
    </cfRule>
    <cfRule type="colorScale" priority="2629">
      <colorScale>
        <cfvo type="min"/>
        <cfvo type="percentile" val="50"/>
        <cfvo type="max"/>
        <color rgb="FF63BE7B"/>
        <color rgb="FFFFEB84"/>
        <color rgb="FFF8696B"/>
      </colorScale>
    </cfRule>
    <cfRule type="colorScale" priority="2628">
      <colorScale>
        <cfvo type="min"/>
        <cfvo type="percentile" val="50"/>
        <cfvo type="max"/>
        <color rgb="FF63BE7B"/>
        <color rgb="FFFFEB84"/>
        <color rgb="FFF8696B"/>
      </colorScale>
    </cfRule>
    <cfRule type="colorScale" priority="2627">
      <colorScale>
        <cfvo type="min"/>
        <cfvo type="percentile" val="50"/>
        <cfvo type="max"/>
        <color rgb="FF63BE7B"/>
        <color rgb="FFFFEB84"/>
        <color rgb="FFF8696B"/>
      </colorScale>
    </cfRule>
    <cfRule type="colorScale" priority="2626">
      <colorScale>
        <cfvo type="min"/>
        <cfvo type="percentile" val="50"/>
        <cfvo type="max"/>
        <color rgb="FF63BE7B"/>
        <color rgb="FFFFEB84"/>
        <color rgb="FFF8696B"/>
      </colorScale>
    </cfRule>
    <cfRule type="colorScale" priority="2625">
      <colorScale>
        <cfvo type="min"/>
        <cfvo type="percentile" val="50"/>
        <cfvo type="max"/>
        <color rgb="FF63BE7B"/>
        <color rgb="FFFFEB84"/>
        <color rgb="FFF8696B"/>
      </colorScale>
    </cfRule>
    <cfRule type="colorScale" priority="2624">
      <colorScale>
        <cfvo type="min"/>
        <cfvo type="percentile" val="50"/>
        <cfvo type="max"/>
        <color rgb="FF63BE7B"/>
        <color rgb="FFFFEB84"/>
        <color rgb="FFF8696B"/>
      </colorScale>
    </cfRule>
    <cfRule type="colorScale" priority="2623">
      <colorScale>
        <cfvo type="min"/>
        <cfvo type="percentile" val="50"/>
        <cfvo type="max"/>
        <color rgb="FF63BE7B"/>
        <color rgb="FFFFEB84"/>
        <color rgb="FFF8696B"/>
      </colorScale>
    </cfRule>
    <cfRule type="colorScale" priority="2622">
      <colorScale>
        <cfvo type="min"/>
        <cfvo type="percentile" val="50"/>
        <cfvo type="max"/>
        <color rgb="FF63BE7B"/>
        <color rgb="FFFFEB84"/>
        <color rgb="FFF8696B"/>
      </colorScale>
    </cfRule>
    <cfRule type="colorScale" priority="2621">
      <colorScale>
        <cfvo type="min"/>
        <cfvo type="percentile" val="50"/>
        <cfvo type="max"/>
        <color rgb="FF63BE7B"/>
        <color rgb="FFFFEB84"/>
        <color rgb="FFF8696B"/>
      </colorScale>
    </cfRule>
    <cfRule type="colorScale" priority="2620">
      <colorScale>
        <cfvo type="min"/>
        <cfvo type="percentile" val="50"/>
        <cfvo type="max"/>
        <color rgb="FF63BE7B"/>
        <color rgb="FFFFEB84"/>
        <color rgb="FFF8696B"/>
      </colorScale>
    </cfRule>
    <cfRule type="colorScale" priority="2619">
      <colorScale>
        <cfvo type="min"/>
        <cfvo type="percentile" val="50"/>
        <cfvo type="max"/>
        <color rgb="FF63BE7B"/>
        <color rgb="FFFFEB84"/>
        <color rgb="FFF8696B"/>
      </colorScale>
    </cfRule>
    <cfRule type="colorScale" priority="2618">
      <colorScale>
        <cfvo type="min"/>
        <cfvo type="percentile" val="50"/>
        <cfvo type="max"/>
        <color rgb="FF63BE7B"/>
        <color rgb="FFFFEB84"/>
        <color rgb="FFF8696B"/>
      </colorScale>
    </cfRule>
    <cfRule type="colorScale" priority="2617">
      <colorScale>
        <cfvo type="min"/>
        <cfvo type="percentile" val="50"/>
        <cfvo type="max"/>
        <color rgb="FF63BE7B"/>
        <color rgb="FFFFEB84"/>
        <color rgb="FFF8696B"/>
      </colorScale>
    </cfRule>
    <cfRule type="colorScale" priority="2616">
      <colorScale>
        <cfvo type="min"/>
        <cfvo type="percentile" val="50"/>
        <cfvo type="max"/>
        <color rgb="FF63BE7B"/>
        <color rgb="FFFFEB84"/>
        <color rgb="FFF8696B"/>
      </colorScale>
    </cfRule>
    <cfRule type="colorScale" priority="2615">
      <colorScale>
        <cfvo type="min"/>
        <cfvo type="percentile" val="50"/>
        <cfvo type="max"/>
        <color rgb="FF63BE7B"/>
        <color rgb="FFFFEB84"/>
        <color rgb="FFF8696B"/>
      </colorScale>
    </cfRule>
    <cfRule type="colorScale" priority="2614">
      <colorScale>
        <cfvo type="min"/>
        <cfvo type="percentile" val="50"/>
        <cfvo type="max"/>
        <color rgb="FF63BE7B"/>
        <color rgb="FFFFEB84"/>
        <color rgb="FFF8696B"/>
      </colorScale>
    </cfRule>
    <cfRule type="colorScale" priority="2613">
      <colorScale>
        <cfvo type="min"/>
        <cfvo type="percentile" val="50"/>
        <cfvo type="max"/>
        <color rgb="FF63BE7B"/>
        <color rgb="FFFFEB84"/>
        <color rgb="FFF8696B"/>
      </colorScale>
    </cfRule>
    <cfRule type="colorScale" priority="2612">
      <colorScale>
        <cfvo type="min"/>
        <cfvo type="percentile" val="50"/>
        <cfvo type="max"/>
        <color rgb="FF63BE7B"/>
        <color rgb="FFFFEB84"/>
        <color rgb="FFF8696B"/>
      </colorScale>
    </cfRule>
    <cfRule type="colorScale" priority="2611">
      <colorScale>
        <cfvo type="min"/>
        <cfvo type="percentile" val="50"/>
        <cfvo type="max"/>
        <color rgb="FF63BE7B"/>
        <color rgb="FFFFEB84"/>
        <color rgb="FFF8696B"/>
      </colorScale>
    </cfRule>
    <cfRule type="colorScale" priority="2610">
      <colorScale>
        <cfvo type="min"/>
        <cfvo type="percentile" val="50"/>
        <cfvo type="max"/>
        <color rgb="FF63BE7B"/>
        <color rgb="FFFFEB84"/>
        <color rgb="FFF8696B"/>
      </colorScale>
    </cfRule>
    <cfRule type="colorScale" priority="2609">
      <colorScale>
        <cfvo type="min"/>
        <cfvo type="percentile" val="50"/>
        <cfvo type="max"/>
        <color rgb="FF63BE7B"/>
        <color rgb="FFFFEB84"/>
        <color rgb="FFF8696B"/>
      </colorScale>
    </cfRule>
    <cfRule type="colorScale" priority="2608">
      <colorScale>
        <cfvo type="min"/>
        <cfvo type="percentile" val="50"/>
        <cfvo type="max"/>
        <color rgb="FF63BE7B"/>
        <color rgb="FFFFEB84"/>
        <color rgb="FFF8696B"/>
      </colorScale>
    </cfRule>
    <cfRule type="colorScale" priority="2607">
      <colorScale>
        <cfvo type="min"/>
        <cfvo type="percentile" val="50"/>
        <cfvo type="max"/>
        <color rgb="FF63BE7B"/>
        <color rgb="FFFFEB84"/>
        <color rgb="FFF8696B"/>
      </colorScale>
    </cfRule>
    <cfRule type="colorScale" priority="2606">
      <colorScale>
        <cfvo type="min"/>
        <cfvo type="percentile" val="50"/>
        <cfvo type="max"/>
        <color rgb="FF63BE7B"/>
        <color rgb="FFFFEB84"/>
        <color rgb="FFF8696B"/>
      </colorScale>
    </cfRule>
    <cfRule type="colorScale" priority="2605">
      <colorScale>
        <cfvo type="min"/>
        <cfvo type="percentile" val="50"/>
        <cfvo type="max"/>
        <color rgb="FF63BE7B"/>
        <color rgb="FFFFEB84"/>
        <color rgb="FFF8696B"/>
      </colorScale>
    </cfRule>
    <cfRule type="colorScale" priority="2604">
      <colorScale>
        <cfvo type="min"/>
        <cfvo type="percentile" val="50"/>
        <cfvo type="max"/>
        <color rgb="FF63BE7B"/>
        <color rgb="FFFFEB84"/>
        <color rgb="FFF8696B"/>
      </colorScale>
    </cfRule>
    <cfRule type="colorScale" priority="5037">
      <colorScale>
        <cfvo type="min"/>
        <cfvo type="percentile" val="50"/>
        <cfvo type="max"/>
        <color rgb="FF63BE7B"/>
        <color rgb="FFFFEB84"/>
        <color rgb="FFF8696B"/>
      </colorScale>
    </cfRule>
    <cfRule type="colorScale" priority="5036">
      <colorScale>
        <cfvo type="min"/>
        <cfvo type="percentile" val="50"/>
        <cfvo type="max"/>
        <color rgb="FF63BE7B"/>
        <color rgb="FFFFEB84"/>
        <color rgb="FFF8696B"/>
      </colorScale>
    </cfRule>
    <cfRule type="colorScale" priority="5035">
      <colorScale>
        <cfvo type="min"/>
        <cfvo type="percentile" val="50"/>
        <cfvo type="max"/>
        <color rgb="FF63BE7B"/>
        <color rgb="FFFFEB84"/>
        <color rgb="FFF8696B"/>
      </colorScale>
    </cfRule>
    <cfRule type="colorScale" priority="5034">
      <colorScale>
        <cfvo type="min"/>
        <cfvo type="percentile" val="50"/>
        <cfvo type="max"/>
        <color rgb="FF63BE7B"/>
        <color rgb="FFFFEB84"/>
        <color rgb="FFF8696B"/>
      </colorScale>
    </cfRule>
    <cfRule type="colorScale" priority="5033">
      <colorScale>
        <cfvo type="min"/>
        <cfvo type="percentile" val="50"/>
        <cfvo type="max"/>
        <color rgb="FF63BE7B"/>
        <color rgb="FFFFEB84"/>
        <color rgb="FFF8696B"/>
      </colorScale>
    </cfRule>
    <cfRule type="colorScale" priority="5032">
      <colorScale>
        <cfvo type="min"/>
        <cfvo type="percentile" val="50"/>
        <cfvo type="max"/>
        <color rgb="FF63BE7B"/>
        <color rgb="FFFFEB84"/>
        <color rgb="FFF8696B"/>
      </colorScale>
    </cfRule>
    <cfRule type="colorScale" priority="5031">
      <colorScale>
        <cfvo type="min"/>
        <cfvo type="percentile" val="50"/>
        <cfvo type="max"/>
        <color rgb="FF63BE7B"/>
        <color rgb="FFFFEB84"/>
        <color rgb="FFF8696B"/>
      </colorScale>
    </cfRule>
    <cfRule type="colorScale" priority="5030">
      <colorScale>
        <cfvo type="min"/>
        <cfvo type="percentile" val="50"/>
        <cfvo type="max"/>
        <color rgb="FF63BE7B"/>
        <color rgb="FFFFEB84"/>
        <color rgb="FFF8696B"/>
      </colorScale>
    </cfRule>
    <cfRule type="colorScale" priority="5029">
      <colorScale>
        <cfvo type="min"/>
        <cfvo type="percentile" val="50"/>
        <cfvo type="max"/>
        <color rgb="FF63BE7B"/>
        <color rgb="FFFFEB84"/>
        <color rgb="FFF8696B"/>
      </colorScale>
    </cfRule>
    <cfRule type="colorScale" priority="2603">
      <colorScale>
        <cfvo type="min"/>
        <cfvo type="percentile" val="50"/>
        <cfvo type="max"/>
        <color rgb="FF63BE7B"/>
        <color rgb="FFFFEB84"/>
        <color rgb="FFF8696B"/>
      </colorScale>
    </cfRule>
    <cfRule type="colorScale" priority="2602">
      <colorScale>
        <cfvo type="min"/>
        <cfvo type="percentile" val="50"/>
        <cfvo type="max"/>
        <color rgb="FF63BE7B"/>
        <color rgb="FFFFEB84"/>
        <color rgb="FFF8696B"/>
      </colorScale>
    </cfRule>
    <cfRule type="colorScale" priority="2601">
      <colorScale>
        <cfvo type="min"/>
        <cfvo type="percentile" val="50"/>
        <cfvo type="max"/>
        <color rgb="FF63BE7B"/>
        <color rgb="FFFFEB84"/>
        <color rgb="FFF8696B"/>
      </colorScale>
    </cfRule>
    <cfRule type="colorScale" priority="2600">
      <colorScale>
        <cfvo type="min"/>
        <cfvo type="percentile" val="50"/>
        <cfvo type="max"/>
        <color rgb="FF63BE7B"/>
        <color rgb="FFFFEB84"/>
        <color rgb="FFF8696B"/>
      </colorScale>
    </cfRule>
    <cfRule type="colorScale" priority="2599">
      <colorScale>
        <cfvo type="min"/>
        <cfvo type="percentile" val="50"/>
        <cfvo type="max"/>
        <color rgb="FF63BE7B"/>
        <color rgb="FFFFEB84"/>
        <color rgb="FFF8696B"/>
      </colorScale>
    </cfRule>
    <cfRule type="colorScale" priority="2598">
      <colorScale>
        <cfvo type="min"/>
        <cfvo type="percentile" val="50"/>
        <cfvo type="max"/>
        <color rgb="FF63BE7B"/>
        <color rgb="FFFFEB84"/>
        <color rgb="FFF8696B"/>
      </colorScale>
    </cfRule>
    <cfRule type="colorScale" priority="5028">
      <colorScale>
        <cfvo type="min"/>
        <cfvo type="percentile" val="50"/>
        <cfvo type="max"/>
        <color rgb="FF63BE7B"/>
        <color rgb="FFFFEB84"/>
        <color rgb="FFF8696B"/>
      </colorScale>
    </cfRule>
    <cfRule type="colorScale" priority="5027">
      <colorScale>
        <cfvo type="min"/>
        <cfvo type="percentile" val="50"/>
        <cfvo type="max"/>
        <color rgb="FF63BE7B"/>
        <color rgb="FFFFEB84"/>
        <color rgb="FFF8696B"/>
      </colorScale>
    </cfRule>
    <cfRule type="colorScale" priority="5026">
      <colorScale>
        <cfvo type="min"/>
        <cfvo type="percentile" val="50"/>
        <cfvo type="max"/>
        <color rgb="FF63BE7B"/>
        <color rgb="FFFFEB84"/>
        <color rgb="FFF8696B"/>
      </colorScale>
    </cfRule>
    <cfRule type="colorScale" priority="5025">
      <colorScale>
        <cfvo type="min"/>
        <cfvo type="percentile" val="50"/>
        <cfvo type="max"/>
        <color rgb="FF63BE7B"/>
        <color rgb="FFFFEB84"/>
        <color rgb="FFF8696B"/>
      </colorScale>
    </cfRule>
    <cfRule type="colorScale" priority="5024">
      <colorScale>
        <cfvo type="min"/>
        <cfvo type="percentile" val="50"/>
        <cfvo type="max"/>
        <color rgb="FF63BE7B"/>
        <color rgb="FFFFEB84"/>
        <color rgb="FFF8696B"/>
      </colorScale>
    </cfRule>
    <cfRule type="colorScale" priority="5023">
      <colorScale>
        <cfvo type="min"/>
        <cfvo type="percentile" val="50"/>
        <cfvo type="max"/>
        <color rgb="FF63BE7B"/>
        <color rgb="FFFFEB84"/>
        <color rgb="FFF8696B"/>
      </colorScale>
    </cfRule>
    <cfRule type="colorScale" priority="5022">
      <colorScale>
        <cfvo type="min"/>
        <cfvo type="percentile" val="50"/>
        <cfvo type="max"/>
        <color rgb="FFF8696B"/>
        <color rgb="FFFFEB84"/>
        <color rgb="FF63BE7B"/>
      </colorScale>
    </cfRule>
    <cfRule type="colorScale" priority="5021">
      <colorScale>
        <cfvo type="min"/>
        <cfvo type="percentile" val="50"/>
        <cfvo type="max"/>
        <color rgb="FF63BE7B"/>
        <color rgb="FFFFEB84"/>
        <color rgb="FFF8696B"/>
      </colorScale>
    </cfRule>
    <cfRule type="colorScale" priority="5020">
      <colorScale>
        <cfvo type="min"/>
        <cfvo type="percentile" val="50"/>
        <cfvo type="max"/>
        <color rgb="FF63BE7B"/>
        <color rgb="FFFFEB84"/>
        <color rgb="FFF8696B"/>
      </colorScale>
    </cfRule>
    <cfRule type="colorScale" priority="5019">
      <colorScale>
        <cfvo type="min"/>
        <cfvo type="percentile" val="50"/>
        <cfvo type="max"/>
        <color rgb="FF63BE7B"/>
        <color rgb="FFFFEB84"/>
        <color rgb="FFF8696B"/>
      </colorScale>
    </cfRule>
    <cfRule type="colorScale" priority="5018">
      <colorScale>
        <cfvo type="min"/>
        <cfvo type="percentile" val="50"/>
        <cfvo type="max"/>
        <color rgb="FF63BE7B"/>
        <color rgb="FFFFEB84"/>
        <color rgb="FFF8696B"/>
      </colorScale>
    </cfRule>
    <cfRule type="colorScale" priority="2597">
      <colorScale>
        <cfvo type="min"/>
        <cfvo type="percentile" val="50"/>
        <cfvo type="max"/>
        <color rgb="FFF8696B"/>
        <color rgb="FFFFEB84"/>
        <color rgb="FF63BE7B"/>
      </colorScale>
    </cfRule>
    <cfRule type="colorScale" priority="3806">
      <colorScale>
        <cfvo type="min"/>
        <cfvo type="percentile" val="50"/>
        <cfvo type="max"/>
        <color rgb="FF63BE7B"/>
        <color rgb="FFFFEB84"/>
        <color rgb="FFF8696B"/>
      </colorScale>
    </cfRule>
    <cfRule type="colorScale" priority="3807">
      <colorScale>
        <cfvo type="min"/>
        <cfvo type="percentile" val="50"/>
        <cfvo type="max"/>
        <color rgb="FF63BE7B"/>
        <color rgb="FFFFEB84"/>
        <color rgb="FFF8696B"/>
      </colorScale>
    </cfRule>
    <cfRule type="colorScale" priority="5017">
      <colorScale>
        <cfvo type="min"/>
        <cfvo type="percentile" val="50"/>
        <cfvo type="max"/>
        <color rgb="FF63BE7B"/>
        <color rgb="FFFFEB84"/>
        <color rgb="FFF8696B"/>
      </colorScale>
    </cfRule>
    <cfRule type="colorScale" priority="5016">
      <colorScale>
        <cfvo type="min"/>
        <cfvo type="percentile" val="50"/>
        <cfvo type="max"/>
        <color rgb="FF63BE7B"/>
        <color rgb="FFFFEB84"/>
        <color rgb="FFF8696B"/>
      </colorScale>
    </cfRule>
    <cfRule type="colorScale" priority="5015">
      <colorScale>
        <cfvo type="min"/>
        <cfvo type="percentile" val="50"/>
        <cfvo type="max"/>
        <color rgb="FF63BE7B"/>
        <color rgb="FFFFEB84"/>
        <color rgb="FFF8696B"/>
      </colorScale>
    </cfRule>
    <cfRule type="colorScale" priority="5014">
      <colorScale>
        <cfvo type="min"/>
        <cfvo type="percentile" val="50"/>
        <cfvo type="max"/>
        <color rgb="FF63BE7B"/>
        <color rgb="FFFFEB84"/>
        <color rgb="FFF8696B"/>
      </colorScale>
    </cfRule>
    <cfRule type="colorScale" priority="5013">
      <colorScale>
        <cfvo type="min"/>
        <cfvo type="percentile" val="50"/>
        <cfvo type="max"/>
        <color rgb="FF63BE7B"/>
        <color rgb="FFFFEB84"/>
        <color rgb="FFF8696B"/>
      </colorScale>
    </cfRule>
    <cfRule type="colorScale" priority="5012">
      <colorScale>
        <cfvo type="min"/>
        <cfvo type="percentile" val="50"/>
        <cfvo type="max"/>
        <color rgb="FF63BE7B"/>
        <color rgb="FFFFEB84"/>
        <color rgb="FFF8696B"/>
      </colorScale>
    </cfRule>
    <cfRule type="colorScale" priority="5011">
      <colorScale>
        <cfvo type="min"/>
        <cfvo type="percentile" val="50"/>
        <cfvo type="max"/>
        <color rgb="FF63BE7B"/>
        <color rgb="FFFFEB84"/>
        <color rgb="FFF8696B"/>
      </colorScale>
    </cfRule>
    <cfRule type="colorScale" priority="5010">
      <colorScale>
        <cfvo type="min"/>
        <cfvo type="percentile" val="50"/>
        <cfvo type="max"/>
        <color rgb="FF63BE7B"/>
        <color rgb="FFFFEB84"/>
        <color rgb="FFF8696B"/>
      </colorScale>
    </cfRule>
    <cfRule type="colorScale" priority="5009">
      <colorScale>
        <cfvo type="min"/>
        <cfvo type="percentile" val="50"/>
        <cfvo type="max"/>
        <color rgb="FF63BE7B"/>
        <color rgb="FFFFEB84"/>
        <color rgb="FFF8696B"/>
      </colorScale>
    </cfRule>
    <cfRule type="colorScale" priority="5008">
      <colorScale>
        <cfvo type="min"/>
        <cfvo type="percentile" val="50"/>
        <cfvo type="max"/>
        <color rgb="FF63BE7B"/>
        <color rgb="FFFFEB84"/>
        <color rgb="FFF8696B"/>
      </colorScale>
    </cfRule>
    <cfRule type="colorScale" priority="5007">
      <colorScale>
        <cfvo type="min"/>
        <cfvo type="percentile" val="50"/>
        <cfvo type="max"/>
        <color rgb="FF63BE7B"/>
        <color rgb="FFFFEB84"/>
        <color rgb="FFF8696B"/>
      </colorScale>
    </cfRule>
  </conditionalFormatting>
  <conditionalFormatting sqref="AM54:AM61">
    <cfRule type="colorScale" priority="3">
      <colorScale>
        <cfvo type="min"/>
        <cfvo type="percentile" val="50"/>
        <cfvo type="max"/>
        <color rgb="FFF8696B"/>
        <color rgb="FFFFEB84"/>
        <color rgb="FF63BE7B"/>
      </colorScale>
    </cfRule>
    <cfRule type="colorScale" priority="19">
      <colorScale>
        <cfvo type="min"/>
        <cfvo type="percentile" val="50"/>
        <cfvo type="max"/>
        <color rgb="FF63BE7B"/>
        <color rgb="FFFFEB84"/>
        <color rgb="FFF8696B"/>
      </colorScale>
    </cfRule>
  </conditionalFormatting>
  <conditionalFormatting sqref="AM65:AM71">
    <cfRule type="colorScale" priority="12485">
      <colorScale>
        <cfvo type="min"/>
        <cfvo type="percentile" val="50"/>
        <cfvo type="max"/>
        <color rgb="FF63BE7B"/>
        <color rgb="FFFFEB84"/>
        <color rgb="FFF8696B"/>
      </colorScale>
    </cfRule>
    <cfRule type="colorScale" priority="12484">
      <colorScale>
        <cfvo type="min"/>
        <cfvo type="percentile" val="50"/>
        <cfvo type="max"/>
        <color rgb="FF63BE7B"/>
        <color rgb="FFFFEB84"/>
        <color rgb="FFF8696B"/>
      </colorScale>
    </cfRule>
    <cfRule type="colorScale" priority="12483">
      <colorScale>
        <cfvo type="min"/>
        <cfvo type="percentile" val="50"/>
        <cfvo type="max"/>
        <color rgb="FF63BE7B"/>
        <color rgb="FFFFEB84"/>
        <color rgb="FFF8696B"/>
      </colorScale>
    </cfRule>
  </conditionalFormatting>
  <conditionalFormatting sqref="AM66:AM71">
    <cfRule type="colorScale" priority="12486">
      <colorScale>
        <cfvo type="min"/>
        <cfvo type="percentile" val="50"/>
        <cfvo type="max"/>
        <color rgb="FF63BE7B"/>
        <color rgb="FFFFEB84"/>
        <color rgb="FFF8696B"/>
      </colorScale>
    </cfRule>
  </conditionalFormatting>
  <conditionalFormatting sqref="AM72:AM80">
    <cfRule type="colorScale" priority="12365">
      <colorScale>
        <cfvo type="min"/>
        <cfvo type="percentile" val="50"/>
        <cfvo type="max"/>
        <color rgb="FF63BE7B"/>
        <color rgb="FFFFEB84"/>
        <color rgb="FFF8696B"/>
      </colorScale>
    </cfRule>
    <cfRule type="colorScale" priority="12364">
      <colorScale>
        <cfvo type="min"/>
        <cfvo type="percentile" val="50"/>
        <cfvo type="max"/>
        <color rgb="FF63BE7B"/>
        <color rgb="FFFFEB84"/>
        <color rgb="FFF8696B"/>
      </colorScale>
    </cfRule>
    <cfRule type="colorScale" priority="12363">
      <colorScale>
        <cfvo type="min"/>
        <cfvo type="percentile" val="50"/>
        <cfvo type="max"/>
        <color rgb="FF63BE7B"/>
        <color rgb="FFFFEB84"/>
        <color rgb="FFF8696B"/>
      </colorScale>
    </cfRule>
    <cfRule type="colorScale" priority="12362">
      <colorScale>
        <cfvo type="min"/>
        <cfvo type="percentile" val="50"/>
        <cfvo type="max"/>
        <color rgb="FF63BE7B"/>
        <color rgb="FFFFEB84"/>
        <color rgb="FFF8696B"/>
      </colorScale>
    </cfRule>
  </conditionalFormatting>
  <conditionalFormatting sqref="AM81:AM83">
    <cfRule type="colorScale" priority="12258">
      <colorScale>
        <cfvo type="min"/>
        <cfvo type="percentile" val="50"/>
        <cfvo type="max"/>
        <color rgb="FF63BE7B"/>
        <color rgb="FFFFEB84"/>
        <color rgb="FFF8696B"/>
      </colorScale>
    </cfRule>
    <cfRule type="colorScale" priority="12260">
      <colorScale>
        <cfvo type="min"/>
        <cfvo type="percentile" val="50"/>
        <cfvo type="max"/>
        <color rgb="FF63BE7B"/>
        <color rgb="FFFFEB84"/>
        <color rgb="FFF8696B"/>
      </colorScale>
    </cfRule>
    <cfRule type="colorScale" priority="12259">
      <colorScale>
        <cfvo type="min"/>
        <cfvo type="percentile" val="50"/>
        <cfvo type="max"/>
        <color rgb="FF63BE7B"/>
        <color rgb="FFFFEB84"/>
        <color rgb="FFF8696B"/>
      </colorScale>
    </cfRule>
    <cfRule type="colorScale" priority="12261">
      <colorScale>
        <cfvo type="min"/>
        <cfvo type="percentile" val="50"/>
        <cfvo type="max"/>
        <color rgb="FF63BE7B"/>
        <color rgb="FFFFEB84"/>
        <color rgb="FFF8696B"/>
      </colorScale>
    </cfRule>
  </conditionalFormatting>
  <conditionalFormatting sqref="AM84:AM91">
    <cfRule type="colorScale" priority="12079">
      <colorScale>
        <cfvo type="min"/>
        <cfvo type="percentile" val="50"/>
        <cfvo type="max"/>
        <color rgb="FF63BE7B"/>
        <color rgb="FFFFEB84"/>
        <color rgb="FFF8696B"/>
      </colorScale>
    </cfRule>
    <cfRule type="colorScale" priority="12082">
      <colorScale>
        <cfvo type="min"/>
        <cfvo type="percentile" val="50"/>
        <cfvo type="max"/>
        <color rgb="FF63BE7B"/>
        <color rgb="FFFFEB84"/>
        <color rgb="FFF8696B"/>
      </colorScale>
    </cfRule>
    <cfRule type="colorScale" priority="12081">
      <colorScale>
        <cfvo type="min"/>
        <cfvo type="percentile" val="50"/>
        <cfvo type="max"/>
        <color rgb="FF63BE7B"/>
        <color rgb="FFFFEB84"/>
        <color rgb="FFF8696B"/>
      </colorScale>
    </cfRule>
  </conditionalFormatting>
  <conditionalFormatting sqref="AM86">
    <cfRule type="colorScale" priority="12080">
      <colorScale>
        <cfvo type="min"/>
        <cfvo type="percentile" val="50"/>
        <cfvo type="max"/>
        <color rgb="FF63BE7B"/>
        <color rgb="FFFFEB84"/>
        <color rgb="FFF8696B"/>
      </colorScale>
    </cfRule>
  </conditionalFormatting>
  <conditionalFormatting sqref="AM96:AM102">
    <cfRule type="colorScale" priority="11877">
      <colorScale>
        <cfvo type="min"/>
        <cfvo type="percentile" val="50"/>
        <cfvo type="max"/>
        <color rgb="FF63BE7B"/>
        <color rgb="FFFFEB84"/>
        <color rgb="FFF8696B"/>
      </colorScale>
    </cfRule>
    <cfRule type="colorScale" priority="11878">
      <colorScale>
        <cfvo type="min"/>
        <cfvo type="percentile" val="50"/>
        <cfvo type="max"/>
        <color rgb="FF63BE7B"/>
        <color rgb="FFFFEB84"/>
        <color rgb="FFF8696B"/>
      </colorScale>
    </cfRule>
    <cfRule type="colorScale" priority="11879">
      <colorScale>
        <cfvo type="min"/>
        <cfvo type="percentile" val="50"/>
        <cfvo type="max"/>
        <color rgb="FF63BE7B"/>
        <color rgb="FFFFEB84"/>
        <color rgb="FFF8696B"/>
      </colorScale>
    </cfRule>
  </conditionalFormatting>
  <conditionalFormatting sqref="AM97:AM102">
    <cfRule type="colorScale" priority="11880">
      <colorScale>
        <cfvo type="min"/>
        <cfvo type="percentile" val="50"/>
        <cfvo type="max"/>
        <color rgb="FF63BE7B"/>
        <color rgb="FFFFEB84"/>
        <color rgb="FFF8696B"/>
      </colorScale>
    </cfRule>
  </conditionalFormatting>
  <conditionalFormatting sqref="AM103:AM111">
    <cfRule type="colorScale" priority="11758">
      <colorScale>
        <cfvo type="min"/>
        <cfvo type="percentile" val="50"/>
        <cfvo type="max"/>
        <color rgb="FF63BE7B"/>
        <color rgb="FFFFEB84"/>
        <color rgb="FFF8696B"/>
      </colorScale>
    </cfRule>
    <cfRule type="colorScale" priority="11756">
      <colorScale>
        <cfvo type="min"/>
        <cfvo type="percentile" val="50"/>
        <cfvo type="max"/>
        <color rgb="FF63BE7B"/>
        <color rgb="FFFFEB84"/>
        <color rgb="FFF8696B"/>
      </colorScale>
    </cfRule>
    <cfRule type="colorScale" priority="11757">
      <colorScale>
        <cfvo type="min"/>
        <cfvo type="percentile" val="50"/>
        <cfvo type="max"/>
        <color rgb="FF63BE7B"/>
        <color rgb="FFFFEB84"/>
        <color rgb="FFF8696B"/>
      </colorScale>
    </cfRule>
    <cfRule type="colorScale" priority="11759">
      <colorScale>
        <cfvo type="min"/>
        <cfvo type="percentile" val="50"/>
        <cfvo type="max"/>
        <color rgb="FF63BE7B"/>
        <color rgb="FFFFEB84"/>
        <color rgb="FFF8696B"/>
      </colorScale>
    </cfRule>
  </conditionalFormatting>
  <conditionalFormatting sqref="AM112:AM114">
    <cfRule type="colorScale" priority="11658">
      <colorScale>
        <cfvo type="min"/>
        <cfvo type="percentile" val="50"/>
        <cfvo type="max"/>
        <color rgb="FF63BE7B"/>
        <color rgb="FFFFEB84"/>
        <color rgb="FFF8696B"/>
      </colorScale>
    </cfRule>
    <cfRule type="colorScale" priority="11657">
      <colorScale>
        <cfvo type="min"/>
        <cfvo type="percentile" val="50"/>
        <cfvo type="max"/>
        <color rgb="FF63BE7B"/>
        <color rgb="FFFFEB84"/>
        <color rgb="FFF8696B"/>
      </colorScale>
    </cfRule>
    <cfRule type="colorScale" priority="11656">
      <colorScale>
        <cfvo type="min"/>
        <cfvo type="percentile" val="50"/>
        <cfvo type="max"/>
        <color rgb="FF63BE7B"/>
        <color rgb="FFFFEB84"/>
        <color rgb="FFF8696B"/>
      </colorScale>
    </cfRule>
    <cfRule type="colorScale" priority="11655">
      <colorScale>
        <cfvo type="min"/>
        <cfvo type="percentile" val="50"/>
        <cfvo type="max"/>
        <color rgb="FF63BE7B"/>
        <color rgb="FFFFEB84"/>
        <color rgb="FFF8696B"/>
      </colorScale>
    </cfRule>
  </conditionalFormatting>
  <conditionalFormatting sqref="AM115:AM122">
    <cfRule type="colorScale" priority="11479">
      <colorScale>
        <cfvo type="min"/>
        <cfvo type="percentile" val="50"/>
        <cfvo type="max"/>
        <color rgb="FF63BE7B"/>
        <color rgb="FFFFEB84"/>
        <color rgb="FFF8696B"/>
      </colorScale>
    </cfRule>
    <cfRule type="colorScale" priority="11478">
      <colorScale>
        <cfvo type="min"/>
        <cfvo type="percentile" val="50"/>
        <cfvo type="max"/>
        <color rgb="FF63BE7B"/>
        <color rgb="FFFFEB84"/>
        <color rgb="FFF8696B"/>
      </colorScale>
    </cfRule>
    <cfRule type="colorScale" priority="11476">
      <colorScale>
        <cfvo type="min"/>
        <cfvo type="percentile" val="50"/>
        <cfvo type="max"/>
        <color rgb="FF63BE7B"/>
        <color rgb="FFFFEB84"/>
        <color rgb="FFF8696B"/>
      </colorScale>
    </cfRule>
  </conditionalFormatting>
  <conditionalFormatting sqref="AM117">
    <cfRule type="colorScale" priority="11477">
      <colorScale>
        <cfvo type="min"/>
        <cfvo type="percentile" val="50"/>
        <cfvo type="max"/>
        <color rgb="FF63BE7B"/>
        <color rgb="FFFFEB84"/>
        <color rgb="FFF8696B"/>
      </colorScale>
    </cfRule>
  </conditionalFormatting>
  <conditionalFormatting sqref="AN35:AN37">
    <cfRule type="colorScale" priority="8761">
      <colorScale>
        <cfvo type="min"/>
        <cfvo type="percentile" val="50"/>
        <cfvo type="max"/>
        <color rgb="FF63BE7B"/>
        <color rgb="FFFFEB84"/>
        <color rgb="FFF8696B"/>
      </colorScale>
    </cfRule>
    <cfRule type="colorScale" priority="8762">
      <colorScale>
        <cfvo type="min"/>
        <cfvo type="percentile" val="50"/>
        <cfvo type="max"/>
        <color rgb="FF63BE7B"/>
        <color rgb="FFFFEB84"/>
        <color rgb="FFF8696B"/>
      </colorScale>
    </cfRule>
    <cfRule type="colorScale" priority="8731">
      <colorScale>
        <cfvo type="min"/>
        <cfvo type="percentile" val="50"/>
        <cfvo type="max"/>
        <color rgb="FF63BE7B"/>
        <color rgb="FFFFEB84"/>
        <color rgb="FFF8696B"/>
      </colorScale>
    </cfRule>
    <cfRule type="colorScale" priority="8730">
      <colorScale>
        <cfvo type="min"/>
        <cfvo type="percentile" val="50"/>
        <cfvo type="max"/>
        <color rgb="FF63BE7B"/>
        <color rgb="FFFFEB84"/>
        <color rgb="FFF8696B"/>
      </colorScale>
    </cfRule>
    <cfRule type="colorScale" priority="8721">
      <colorScale>
        <cfvo type="min"/>
        <cfvo type="percentile" val="50"/>
        <cfvo type="max"/>
        <color rgb="FF63BE7B"/>
        <color rgb="FFFFEB84"/>
        <color rgb="FFF8696B"/>
      </colorScale>
    </cfRule>
    <cfRule type="colorScale" priority="8729">
      <colorScale>
        <cfvo type="min"/>
        <cfvo type="percentile" val="50"/>
        <cfvo type="max"/>
        <color rgb="FF63BE7B"/>
        <color rgb="FFFFEB84"/>
        <color rgb="FFF8696B"/>
      </colorScale>
    </cfRule>
    <cfRule type="colorScale" priority="10795">
      <colorScale>
        <cfvo type="min"/>
        <cfvo type="percentile" val="50"/>
        <cfvo type="max"/>
        <color rgb="FF63BE7B"/>
        <color rgb="FFFFEB84"/>
        <color rgb="FFF8696B"/>
      </colorScale>
    </cfRule>
    <cfRule type="colorScale" priority="8748">
      <colorScale>
        <cfvo type="min"/>
        <cfvo type="percentile" val="50"/>
        <cfvo type="max"/>
        <color rgb="FF63BE7B"/>
        <color rgb="FFFFEB84"/>
        <color rgb="FFF8696B"/>
      </colorScale>
    </cfRule>
    <cfRule type="colorScale" priority="8735">
      <colorScale>
        <cfvo type="min"/>
        <cfvo type="percentile" val="50"/>
        <cfvo type="max"/>
        <color rgb="FF63BE7B"/>
        <color rgb="FFFFEB84"/>
        <color rgb="FFF8696B"/>
      </colorScale>
    </cfRule>
    <cfRule type="colorScale" priority="8734">
      <colorScale>
        <cfvo type="min"/>
        <cfvo type="percentile" val="50"/>
        <cfvo type="max"/>
        <color rgb="FF63BE7B"/>
        <color rgb="FFFFEB84"/>
        <color rgb="FFF8696B"/>
      </colorScale>
    </cfRule>
    <cfRule type="colorScale" priority="8756">
      <colorScale>
        <cfvo type="min"/>
        <cfvo type="percentile" val="50"/>
        <cfvo type="max"/>
        <color rgb="FF63BE7B"/>
        <color rgb="FFFFEB84"/>
        <color rgb="FFF8696B"/>
      </colorScale>
    </cfRule>
    <cfRule type="colorScale" priority="8757">
      <colorScale>
        <cfvo type="min"/>
        <cfvo type="percentile" val="50"/>
        <cfvo type="max"/>
        <color rgb="FF63BE7B"/>
        <color rgb="FFFFEB84"/>
        <color rgb="FFF8696B"/>
      </colorScale>
    </cfRule>
    <cfRule type="colorScale" priority="8758">
      <colorScale>
        <cfvo type="min"/>
        <cfvo type="percentile" val="50"/>
        <cfvo type="max"/>
        <color rgb="FF63BE7B"/>
        <color rgb="FFFFEB84"/>
        <color rgb="FFF8696B"/>
      </colorScale>
    </cfRule>
    <cfRule type="colorScale" priority="8759">
      <colorScale>
        <cfvo type="min"/>
        <cfvo type="percentile" val="50"/>
        <cfvo type="max"/>
        <color rgb="FF63BE7B"/>
        <color rgb="FFFFEB84"/>
        <color rgb="FFF8696B"/>
      </colorScale>
    </cfRule>
    <cfRule type="colorScale" priority="8732">
      <colorScale>
        <cfvo type="min"/>
        <cfvo type="percentile" val="50"/>
        <cfvo type="max"/>
        <color rgb="FF63BE7B"/>
        <color rgb="FFFFEB84"/>
        <color rgb="FFF8696B"/>
      </colorScale>
    </cfRule>
  </conditionalFormatting>
  <conditionalFormatting sqref="AN35:AN41 K35:K50">
    <cfRule type="colorScale" priority="13216">
      <colorScale>
        <cfvo type="min"/>
        <cfvo type="percentile" val="50"/>
        <cfvo type="max"/>
        <color rgb="FF63BE7B"/>
        <color rgb="FFFFEB84"/>
        <color rgb="FFF8696B"/>
      </colorScale>
    </cfRule>
  </conditionalFormatting>
  <conditionalFormatting sqref="AN35:AN41 AN52:AN53 K35:K53">
    <cfRule type="colorScale" priority="13241">
      <colorScale>
        <cfvo type="min"/>
        <cfvo type="percentile" val="50"/>
        <cfvo type="max"/>
        <color rgb="FF63BE7B"/>
        <color rgb="FFFFEB84"/>
        <color rgb="FFF8696B"/>
      </colorScale>
    </cfRule>
  </conditionalFormatting>
  <conditionalFormatting sqref="AN35:AN41">
    <cfRule type="colorScale" priority="8752">
      <colorScale>
        <cfvo type="min"/>
        <cfvo type="percentile" val="50"/>
        <cfvo type="max"/>
        <color rgb="FF63BE7B"/>
        <color rgb="FFFFEB84"/>
        <color rgb="FFF8696B"/>
      </colorScale>
    </cfRule>
    <cfRule type="colorScale" priority="10794">
      <colorScale>
        <cfvo type="min"/>
        <cfvo type="percentile" val="50"/>
        <cfvo type="max"/>
        <color rgb="FF63BE7B"/>
        <color rgb="FFFFEB84"/>
        <color rgb="FFF8696B"/>
      </colorScale>
    </cfRule>
    <cfRule type="colorScale" priority="10793">
      <colorScale>
        <cfvo type="min"/>
        <cfvo type="percentile" val="50"/>
        <cfvo type="max"/>
        <color rgb="FF63BE7B"/>
        <color rgb="FFFFEB84"/>
        <color rgb="FFF8696B"/>
      </colorScale>
    </cfRule>
    <cfRule type="colorScale" priority="8772">
      <colorScale>
        <cfvo type="min"/>
        <cfvo type="percentile" val="50"/>
        <cfvo type="max"/>
        <color rgb="FF63BE7B"/>
        <color rgb="FFFFEB84"/>
        <color rgb="FFF8696B"/>
      </colorScale>
    </cfRule>
    <cfRule type="colorScale" priority="8724">
      <colorScale>
        <cfvo type="min"/>
        <cfvo type="percentile" val="50"/>
        <cfvo type="max"/>
        <color rgb="FF63BE7B"/>
        <color rgb="FFFFEB84"/>
        <color rgb="FFF8696B"/>
      </colorScale>
    </cfRule>
    <cfRule type="colorScale" priority="8723">
      <colorScale>
        <cfvo type="min"/>
        <cfvo type="percentile" val="50"/>
        <cfvo type="max"/>
        <color rgb="FF63BE7B"/>
        <color rgb="FFFFEB84"/>
        <color rgb="FFF8696B"/>
      </colorScale>
    </cfRule>
    <cfRule type="colorScale" priority="8722">
      <colorScale>
        <cfvo type="min"/>
        <cfvo type="percentile" val="50"/>
        <cfvo type="max"/>
        <color rgb="FF63BE7B"/>
        <color rgb="FFFFEB84"/>
        <color rgb="FFF8696B"/>
      </colorScale>
    </cfRule>
    <cfRule type="colorScale" priority="10797">
      <colorScale>
        <cfvo type="min"/>
        <cfvo type="percentile" val="50"/>
        <cfvo type="max"/>
        <color rgb="FF63BE7B"/>
        <color rgb="FFFFEB84"/>
        <color rgb="FFF8696B"/>
      </colorScale>
    </cfRule>
    <cfRule type="colorScale" priority="8754">
      <colorScale>
        <cfvo type="min"/>
        <cfvo type="percentile" val="50"/>
        <cfvo type="max"/>
        <color rgb="FF63BE7B"/>
        <color rgb="FFFFEB84"/>
        <color rgb="FFF8696B"/>
      </colorScale>
    </cfRule>
    <cfRule type="colorScale" priority="8755">
      <colorScale>
        <cfvo type="min"/>
        <cfvo type="percentile" val="50"/>
        <cfvo type="max"/>
        <color rgb="FF63BE7B"/>
        <color rgb="FFFFEB84"/>
        <color rgb="FFF8696B"/>
      </colorScale>
    </cfRule>
    <cfRule type="colorScale" priority="8720">
      <colorScale>
        <cfvo type="min"/>
        <cfvo type="percentile" val="50"/>
        <cfvo type="max"/>
        <color rgb="FF63BE7B"/>
        <color rgb="FFFFEB84"/>
        <color rgb="FFF8696B"/>
      </colorScale>
    </cfRule>
    <cfRule type="colorScale" priority="8719">
      <colorScale>
        <cfvo type="min"/>
        <cfvo type="percentile" val="50"/>
        <cfvo type="max"/>
        <color rgb="FF63BE7B"/>
        <color rgb="FFFFEB84"/>
        <color rgb="FFF8696B"/>
      </colorScale>
    </cfRule>
    <cfRule type="colorScale" priority="8740">
      <colorScale>
        <cfvo type="min"/>
        <cfvo type="percentile" val="50"/>
        <cfvo type="max"/>
        <color rgb="FF63BE7B"/>
        <color rgb="FFFFEB84"/>
        <color rgb="FFF8696B"/>
      </colorScale>
    </cfRule>
    <cfRule type="colorScale" priority="8753">
      <colorScale>
        <cfvo type="min"/>
        <cfvo type="percentile" val="50"/>
        <cfvo type="max"/>
        <color rgb="FF63BE7B"/>
        <color rgb="FFFFEB84"/>
        <color rgb="FFF8696B"/>
      </colorScale>
    </cfRule>
    <cfRule type="colorScale" priority="10809">
      <colorScale>
        <cfvo type="min"/>
        <cfvo type="percentile" val="50"/>
        <cfvo type="max"/>
        <color rgb="FF63BE7B"/>
        <color rgb="FFFFEB84"/>
        <color rgb="FFF8696B"/>
      </colorScale>
    </cfRule>
    <cfRule type="colorScale" priority="8741">
      <colorScale>
        <cfvo type="min"/>
        <cfvo type="percentile" val="50"/>
        <cfvo type="max"/>
        <color rgb="FF63BE7B"/>
        <color rgb="FFFFEB84"/>
        <color rgb="FFF8696B"/>
      </colorScale>
    </cfRule>
    <cfRule type="colorScale" priority="8763">
      <colorScale>
        <cfvo type="min"/>
        <cfvo type="percentile" val="50"/>
        <cfvo type="max"/>
        <color rgb="FF63BE7B"/>
        <color rgb="FFFFEB84"/>
        <color rgb="FFF8696B"/>
      </colorScale>
    </cfRule>
    <cfRule type="colorScale" priority="8764">
      <colorScale>
        <cfvo type="min"/>
        <cfvo type="percentile" val="50"/>
        <cfvo type="max"/>
        <color rgb="FF63BE7B"/>
        <color rgb="FFFFEB84"/>
        <color rgb="FFF8696B"/>
      </colorScale>
    </cfRule>
    <cfRule type="colorScale" priority="8765">
      <colorScale>
        <cfvo type="min"/>
        <cfvo type="percentile" val="50"/>
        <cfvo type="max"/>
        <color rgb="FF63BE7B"/>
        <color rgb="FFFFEB84"/>
        <color rgb="FFF8696B"/>
      </colorScale>
    </cfRule>
    <cfRule type="colorScale" priority="8766">
      <colorScale>
        <cfvo type="min"/>
        <cfvo type="percentile" val="50"/>
        <cfvo type="max"/>
        <color rgb="FF63BE7B"/>
        <color rgb="FFFFEB84"/>
        <color rgb="FFF8696B"/>
      </colorScale>
    </cfRule>
    <cfRule type="colorScale" priority="13088">
      <colorScale>
        <cfvo type="min"/>
        <cfvo type="percentile" val="50"/>
        <cfvo type="max"/>
        <color rgb="FF63BE7B"/>
        <color rgb="FFFFEB84"/>
        <color rgb="FFF8696B"/>
      </colorScale>
    </cfRule>
    <cfRule type="colorScale" priority="10811">
      <colorScale>
        <cfvo type="min"/>
        <cfvo type="percentile" val="50"/>
        <cfvo type="max"/>
        <color rgb="FF63BE7B"/>
        <color rgb="FFFFEB84"/>
        <color rgb="FFF8696B"/>
      </colorScale>
    </cfRule>
    <cfRule type="colorScale" priority="10810">
      <colorScale>
        <cfvo type="min"/>
        <cfvo type="percentile" val="50"/>
        <cfvo type="max"/>
        <color rgb="FF63BE7B"/>
        <color rgb="FFFFEB84"/>
        <color rgb="FFF8696B"/>
      </colorScale>
    </cfRule>
    <cfRule type="colorScale" priority="10796">
      <colorScale>
        <cfvo type="min"/>
        <cfvo type="percentile" val="50"/>
        <cfvo type="max"/>
        <color rgb="FF63BE7B"/>
        <color rgb="FFFFEB84"/>
        <color rgb="FFF8696B"/>
      </colorScale>
    </cfRule>
    <cfRule type="colorScale" priority="8751">
      <colorScale>
        <cfvo type="min"/>
        <cfvo type="percentile" val="50"/>
        <cfvo type="max"/>
        <color rgb="FF63BE7B"/>
        <color rgb="FFFFEB84"/>
        <color rgb="FFF8696B"/>
      </colorScale>
    </cfRule>
    <cfRule type="colorScale" priority="8750">
      <colorScale>
        <cfvo type="min"/>
        <cfvo type="percentile" val="50"/>
        <cfvo type="max"/>
        <color rgb="FF63BE7B"/>
        <color rgb="FFFFEB84"/>
        <color rgb="FFF8696B"/>
      </colorScale>
    </cfRule>
    <cfRule type="colorScale" priority="10804">
      <colorScale>
        <cfvo type="min"/>
        <cfvo type="percentile" val="50"/>
        <cfvo type="max"/>
        <color rgb="FF63BE7B"/>
        <color rgb="FFFFEB84"/>
        <color rgb="FFF8696B"/>
      </colorScale>
    </cfRule>
    <cfRule type="colorScale" priority="10805">
      <colorScale>
        <cfvo type="min"/>
        <cfvo type="percentile" val="50"/>
        <cfvo type="max"/>
        <color rgb="FF63BE7B"/>
        <color rgb="FFFFEB84"/>
        <color rgb="FFF8696B"/>
      </colorScale>
    </cfRule>
    <cfRule type="colorScale" priority="10803">
      <colorScale>
        <cfvo type="min"/>
        <cfvo type="percentile" val="50"/>
        <cfvo type="max"/>
        <color rgb="FF63BE7B"/>
        <color rgb="FFFFEB84"/>
        <color rgb="FFF8696B"/>
      </colorScale>
    </cfRule>
    <cfRule type="colorScale" priority="10806">
      <colorScale>
        <cfvo type="min"/>
        <cfvo type="percentile" val="50"/>
        <cfvo type="max"/>
        <color rgb="FF63BE7B"/>
        <color rgb="FFFFEB84"/>
        <color rgb="FFF8696B"/>
      </colorScale>
    </cfRule>
    <cfRule type="colorScale" priority="10807">
      <colorScale>
        <cfvo type="min"/>
        <cfvo type="percentile" val="50"/>
        <cfvo type="max"/>
        <color rgb="FF63BE7B"/>
        <color rgb="FFFFEB84"/>
        <color rgb="FFF8696B"/>
      </colorScale>
    </cfRule>
    <cfRule type="colorScale" priority="10808">
      <colorScale>
        <cfvo type="min"/>
        <cfvo type="percentile" val="50"/>
        <cfvo type="max"/>
        <color rgb="FF63BE7B"/>
        <color rgb="FFFFEB84"/>
        <color rgb="FFF8696B"/>
      </colorScale>
    </cfRule>
    <cfRule type="colorScale" priority="8749">
      <colorScale>
        <cfvo type="min"/>
        <cfvo type="percentile" val="50"/>
        <cfvo type="max"/>
        <color rgb="FF63BE7B"/>
        <color rgb="FFFFEB84"/>
        <color rgb="FFF8696B"/>
      </colorScale>
    </cfRule>
    <cfRule type="colorScale" priority="8747">
      <colorScale>
        <cfvo type="min"/>
        <cfvo type="percentile" val="50"/>
        <cfvo type="max"/>
        <color rgb="FF63BE7B"/>
        <color rgb="FFFFEB84"/>
        <color rgb="FFF8696B"/>
      </colorScale>
    </cfRule>
    <cfRule type="colorScale" priority="8746">
      <colorScale>
        <cfvo type="min"/>
        <cfvo type="percentile" val="50"/>
        <cfvo type="max"/>
        <color rgb="FF63BE7B"/>
        <color rgb="FFFFEB84"/>
        <color rgb="FFF8696B"/>
      </colorScale>
    </cfRule>
    <cfRule type="colorScale" priority="8745">
      <colorScale>
        <cfvo type="min"/>
        <cfvo type="percentile" val="50"/>
        <cfvo type="max"/>
        <color rgb="FF63BE7B"/>
        <color rgb="FFFFEB84"/>
        <color rgb="FFF8696B"/>
      </colorScale>
    </cfRule>
    <cfRule type="colorScale" priority="8744">
      <colorScale>
        <cfvo type="min"/>
        <cfvo type="percentile" val="50"/>
        <cfvo type="max"/>
        <color rgb="FF63BE7B"/>
        <color rgb="FFFFEB84"/>
        <color rgb="FFF8696B"/>
      </colorScale>
    </cfRule>
    <cfRule type="colorScale" priority="8769">
      <colorScale>
        <cfvo type="min"/>
        <cfvo type="percentile" val="50"/>
        <cfvo type="max"/>
        <color rgb="FF63BE7B"/>
        <color rgb="FFFFEB84"/>
        <color rgb="FFF8696B"/>
      </colorScale>
    </cfRule>
    <cfRule type="colorScale" priority="8768">
      <colorScale>
        <cfvo type="min"/>
        <cfvo type="percentile" val="50"/>
        <cfvo type="max"/>
        <color rgb="FF63BE7B"/>
        <color rgb="FFFFEB84"/>
        <color rgb="FFF8696B"/>
      </colorScale>
    </cfRule>
    <cfRule type="colorScale" priority="8767">
      <colorScale>
        <cfvo type="min"/>
        <cfvo type="percentile" val="50"/>
        <cfvo type="max"/>
        <color rgb="FF63BE7B"/>
        <color rgb="FFFFEB84"/>
        <color rgb="FFF8696B"/>
      </colorScale>
    </cfRule>
    <cfRule type="colorScale" priority="8742">
      <colorScale>
        <cfvo type="min"/>
        <cfvo type="percentile" val="50"/>
        <cfvo type="max"/>
        <color rgb="FF63BE7B"/>
        <color rgb="FFFFEB84"/>
        <color rgb="FFF8696B"/>
      </colorScale>
    </cfRule>
    <cfRule type="colorScale" priority="8771">
      <colorScale>
        <cfvo type="min"/>
        <cfvo type="percentile" val="50"/>
        <cfvo type="max"/>
        <color rgb="FF63BE7B"/>
        <color rgb="FFFFEB84"/>
        <color rgb="FFF8696B"/>
      </colorScale>
    </cfRule>
    <cfRule type="colorScale" priority="8739">
      <colorScale>
        <cfvo type="min"/>
        <cfvo type="percentile" val="50"/>
        <cfvo type="max"/>
        <color rgb="FF63BE7B"/>
        <color rgb="FFFFEB84"/>
        <color rgb="FFF8696B"/>
      </colorScale>
    </cfRule>
    <cfRule type="colorScale" priority="8738">
      <colorScale>
        <cfvo type="min"/>
        <cfvo type="percentile" val="50"/>
        <cfvo type="max"/>
        <color rgb="FF63BE7B"/>
        <color rgb="FFFFEB84"/>
        <color rgb="FFF8696B"/>
      </colorScale>
    </cfRule>
    <cfRule type="colorScale" priority="8737">
      <colorScale>
        <cfvo type="min"/>
        <cfvo type="percentile" val="50"/>
        <cfvo type="max"/>
        <color rgb="FF63BE7B"/>
        <color rgb="FFFFEB84"/>
        <color rgb="FFF8696B"/>
      </colorScale>
    </cfRule>
    <cfRule type="colorScale" priority="8736">
      <colorScale>
        <cfvo type="min"/>
        <cfvo type="percentile" val="50"/>
        <cfvo type="max"/>
        <color rgb="FF63BE7B"/>
        <color rgb="FFFFEB84"/>
        <color rgb="FFF8696B"/>
      </colorScale>
    </cfRule>
    <cfRule type="colorScale" priority="10802">
      <colorScale>
        <cfvo type="min"/>
        <cfvo type="percentile" val="50"/>
        <cfvo type="max"/>
        <color rgb="FF63BE7B"/>
        <color rgb="FFFFEB84"/>
        <color rgb="FFF8696B"/>
      </colorScale>
    </cfRule>
    <cfRule type="colorScale" priority="10801">
      <colorScale>
        <cfvo type="min"/>
        <cfvo type="percentile" val="50"/>
        <cfvo type="max"/>
        <color rgb="FF63BE7B"/>
        <color rgb="FFFFEB84"/>
        <color rgb="FFF8696B"/>
      </colorScale>
    </cfRule>
    <cfRule type="colorScale" priority="13087">
      <colorScale>
        <cfvo type="min"/>
        <cfvo type="percentile" val="50"/>
        <cfvo type="max"/>
        <color rgb="FF63BE7B"/>
        <color rgb="FFFFEB84"/>
        <color rgb="FFF8696B"/>
      </colorScale>
    </cfRule>
    <cfRule type="colorScale" priority="10800">
      <colorScale>
        <cfvo type="min"/>
        <cfvo type="percentile" val="50"/>
        <cfvo type="max"/>
        <color rgb="FF63BE7B"/>
        <color rgb="FFFFEB84"/>
        <color rgb="FFF8696B"/>
      </colorScale>
    </cfRule>
    <cfRule type="colorScale" priority="10799">
      <colorScale>
        <cfvo type="min"/>
        <cfvo type="percentile" val="50"/>
        <cfvo type="max"/>
        <color rgb="FF63BE7B"/>
        <color rgb="FFFFEB84"/>
        <color rgb="FFF8696B"/>
      </colorScale>
    </cfRule>
    <cfRule type="colorScale" priority="10798">
      <colorScale>
        <cfvo type="min"/>
        <cfvo type="percentile" val="50"/>
        <cfvo type="max"/>
        <color rgb="FF63BE7B"/>
        <color rgb="FFFFEB84"/>
        <color rgb="FFF8696B"/>
      </colorScale>
    </cfRule>
    <cfRule type="colorScale" priority="13089">
      <colorScale>
        <cfvo type="min"/>
        <cfvo type="percentile" val="50"/>
        <cfvo type="max"/>
        <color rgb="FF63BE7B"/>
        <color rgb="FFFFEB84"/>
        <color rgb="FFF8696B"/>
      </colorScale>
    </cfRule>
    <cfRule type="colorScale" priority="8728">
      <colorScale>
        <cfvo type="min"/>
        <cfvo type="percentile" val="50"/>
        <cfvo type="max"/>
        <color rgb="FF63BE7B"/>
        <color rgb="FFFFEB84"/>
        <color rgb="FFF8696B"/>
      </colorScale>
    </cfRule>
    <cfRule type="colorScale" priority="8727">
      <colorScale>
        <cfvo type="min"/>
        <cfvo type="percentile" val="50"/>
        <cfvo type="max"/>
        <color rgb="FF63BE7B"/>
        <color rgb="FFFFEB84"/>
        <color rgb="FFF8696B"/>
      </colorScale>
    </cfRule>
    <cfRule type="colorScale" priority="8726">
      <colorScale>
        <cfvo type="min"/>
        <cfvo type="percentile" val="50"/>
        <cfvo type="max"/>
        <color rgb="FF63BE7B"/>
        <color rgb="FFFFEB84"/>
        <color rgb="FFF8696B"/>
      </colorScale>
    </cfRule>
    <cfRule type="colorScale" priority="8725">
      <colorScale>
        <cfvo type="min"/>
        <cfvo type="percentile" val="50"/>
        <cfvo type="max"/>
        <color rgb="FF63BE7B"/>
        <color rgb="FFFFEB84"/>
        <color rgb="FFF8696B"/>
      </colorScale>
    </cfRule>
  </conditionalFormatting>
  <conditionalFormatting sqref="AN36:AN37">
    <cfRule type="colorScale" priority="8760">
      <colorScale>
        <cfvo type="min"/>
        <cfvo type="percentile" val="50"/>
        <cfvo type="max"/>
        <color rgb="FF63BE7B"/>
        <color rgb="FFFFEB84"/>
        <color rgb="FFF8696B"/>
      </colorScale>
    </cfRule>
    <cfRule type="colorScale" priority="8733">
      <colorScale>
        <cfvo type="min"/>
        <cfvo type="percentile" val="50"/>
        <cfvo type="max"/>
        <color rgb="FF63BE7B"/>
        <color rgb="FFFFEB84"/>
        <color rgb="FFF8696B"/>
      </colorScale>
    </cfRule>
  </conditionalFormatting>
  <conditionalFormatting sqref="AN36:AN41">
    <cfRule type="colorScale" priority="8743">
      <colorScale>
        <cfvo type="min"/>
        <cfvo type="percentile" val="50"/>
        <cfvo type="max"/>
        <color rgb="FF63BE7B"/>
        <color rgb="FFFFEB84"/>
        <color rgb="FFF8696B"/>
      </colorScale>
    </cfRule>
    <cfRule type="colorScale" priority="13090">
      <colorScale>
        <cfvo type="min"/>
        <cfvo type="percentile" val="50"/>
        <cfvo type="max"/>
        <color rgb="FF63BE7B"/>
        <color rgb="FFFFEB84"/>
        <color rgb="FFF8696B"/>
      </colorScale>
    </cfRule>
    <cfRule type="colorScale" priority="8770">
      <colorScale>
        <cfvo type="min"/>
        <cfvo type="percentile" val="50"/>
        <cfvo type="max"/>
        <color rgb="FF63BE7B"/>
        <color rgb="FFFFEB84"/>
        <color rgb="FFF8696B"/>
      </colorScale>
    </cfRule>
  </conditionalFormatting>
  <conditionalFormatting sqref="AN42:AN49">
    <cfRule type="colorScale" priority="12965">
      <colorScale>
        <cfvo type="min"/>
        <cfvo type="percentile" val="50"/>
        <cfvo type="max"/>
        <color rgb="FF63BE7B"/>
        <color rgb="FFFFEB84"/>
        <color rgb="FFF8696B"/>
      </colorScale>
    </cfRule>
    <cfRule type="colorScale" priority="12964">
      <colorScale>
        <cfvo type="min"/>
        <cfvo type="percentile" val="50"/>
        <cfvo type="max"/>
        <color rgb="FF63BE7B"/>
        <color rgb="FFFFEB84"/>
        <color rgb="FFF8696B"/>
      </colorScale>
    </cfRule>
    <cfRule type="colorScale" priority="12963">
      <colorScale>
        <cfvo type="min"/>
        <cfvo type="percentile" val="50"/>
        <cfvo type="max"/>
        <color rgb="FF63BE7B"/>
        <color rgb="FFFFEB84"/>
        <color rgb="FFF8696B"/>
      </colorScale>
    </cfRule>
    <cfRule type="colorScale" priority="12962">
      <colorScale>
        <cfvo type="min"/>
        <cfvo type="percentile" val="50"/>
        <cfvo type="max"/>
        <color rgb="FF63BE7B"/>
        <color rgb="FFFFEB84"/>
        <color rgb="FFF8696B"/>
      </colorScale>
    </cfRule>
  </conditionalFormatting>
  <conditionalFormatting sqref="AN42:AN50">
    <cfRule type="colorScale" priority="7435">
      <colorScale>
        <cfvo type="min"/>
        <cfvo type="percentile" val="50"/>
        <cfvo type="max"/>
        <color rgb="FF63BE7B"/>
        <color rgb="FFFFEB84"/>
        <color rgb="FFF8696B"/>
      </colorScale>
    </cfRule>
  </conditionalFormatting>
  <conditionalFormatting sqref="AN51:AN53">
    <cfRule type="colorScale" priority="12867">
      <colorScale>
        <cfvo type="min"/>
        <cfvo type="percentile" val="50"/>
        <cfvo type="max"/>
        <color rgb="FF63BE7B"/>
        <color rgb="FFFFEB84"/>
        <color rgb="FFF8696B"/>
      </colorScale>
    </cfRule>
    <cfRule type="colorScale" priority="12866">
      <colorScale>
        <cfvo type="min"/>
        <cfvo type="percentile" val="50"/>
        <cfvo type="max"/>
        <color rgb="FF63BE7B"/>
        <color rgb="FFFFEB84"/>
        <color rgb="FFF8696B"/>
      </colorScale>
    </cfRule>
    <cfRule type="colorScale" priority="12865">
      <colorScale>
        <cfvo type="min"/>
        <cfvo type="percentile" val="50"/>
        <cfvo type="max"/>
        <color rgb="FF63BE7B"/>
        <color rgb="FFFFEB84"/>
        <color rgb="FFF8696B"/>
      </colorScale>
    </cfRule>
    <cfRule type="colorScale" priority="12864">
      <colorScale>
        <cfvo type="min"/>
        <cfvo type="percentile" val="50"/>
        <cfvo type="max"/>
        <color rgb="FF63BE7B"/>
        <color rgb="FFFFEB84"/>
        <color rgb="FFF8696B"/>
      </colorScale>
    </cfRule>
    <cfRule type="colorScale" priority="3760">
      <colorScale>
        <cfvo type="min"/>
        <cfvo type="percentile" val="50"/>
        <cfvo type="max"/>
        <color rgb="FF63BE7B"/>
        <color rgb="FFFFEB84"/>
        <color rgb="FFF8696B"/>
      </colorScale>
    </cfRule>
    <cfRule type="colorScale" priority="3788">
      <colorScale>
        <cfvo type="min"/>
        <cfvo type="percentile" val="50"/>
        <cfvo type="max"/>
        <color rgb="FF63BE7B"/>
        <color rgb="FFFFEB84"/>
        <color rgb="FFF8696B"/>
      </colorScale>
    </cfRule>
    <cfRule type="colorScale" priority="3787">
      <colorScale>
        <cfvo type="min"/>
        <cfvo type="percentile" val="50"/>
        <cfvo type="max"/>
        <color rgb="FF63BE7B"/>
        <color rgb="FFFFEB84"/>
        <color rgb="FFF8696B"/>
      </colorScale>
    </cfRule>
  </conditionalFormatting>
  <conditionalFormatting sqref="AN52:AN53 K52:K53">
    <cfRule type="colorScale" priority="7266">
      <colorScale>
        <cfvo type="min"/>
        <cfvo type="percentile" val="50"/>
        <cfvo type="max"/>
        <color rgb="FF63BE7B"/>
        <color rgb="FFFFEB84"/>
        <color rgb="FFF8696B"/>
      </colorScale>
    </cfRule>
  </conditionalFormatting>
  <conditionalFormatting sqref="AN52:AN53">
    <cfRule type="colorScale" priority="5565">
      <colorScale>
        <cfvo type="min"/>
        <cfvo type="percentile" val="50"/>
        <cfvo type="max"/>
        <color rgb="FF63BE7B"/>
        <color rgb="FFFFEB84"/>
        <color rgb="FFF8696B"/>
      </colorScale>
    </cfRule>
    <cfRule type="colorScale" priority="5564">
      <colorScale>
        <cfvo type="min"/>
        <cfvo type="percentile" val="50"/>
        <cfvo type="max"/>
        <color rgb="FF63BE7B"/>
        <color rgb="FFFFEB84"/>
        <color rgb="FFF8696B"/>
      </colorScale>
    </cfRule>
    <cfRule type="colorScale" priority="5563">
      <colorScale>
        <cfvo type="min"/>
        <cfvo type="percentile" val="50"/>
        <cfvo type="max"/>
        <color rgb="FF63BE7B"/>
        <color rgb="FFFFEB84"/>
        <color rgb="FFF8696B"/>
      </colorScale>
    </cfRule>
    <cfRule type="colorScale" priority="5562">
      <colorScale>
        <cfvo type="min"/>
        <cfvo type="percentile" val="50"/>
        <cfvo type="max"/>
        <color rgb="FF63BE7B"/>
        <color rgb="FFFFEB84"/>
        <color rgb="FFF8696B"/>
      </colorScale>
    </cfRule>
    <cfRule type="colorScale" priority="5561">
      <colorScale>
        <cfvo type="min"/>
        <cfvo type="percentile" val="50"/>
        <cfvo type="max"/>
        <color rgb="FF63BE7B"/>
        <color rgb="FFFFEB84"/>
        <color rgb="FFF8696B"/>
      </colorScale>
    </cfRule>
    <cfRule type="colorScale" priority="5560">
      <colorScale>
        <cfvo type="min"/>
        <cfvo type="percentile" val="50"/>
        <cfvo type="max"/>
        <color rgb="FF63BE7B"/>
        <color rgb="FFFFEB84"/>
        <color rgb="FFF8696B"/>
      </colorScale>
    </cfRule>
    <cfRule type="colorScale" priority="5559">
      <colorScale>
        <cfvo type="min"/>
        <cfvo type="percentile" val="50"/>
        <cfvo type="max"/>
        <color rgb="FF63BE7B"/>
        <color rgb="FFFFEB84"/>
        <color rgb="FFF8696B"/>
      </colorScale>
    </cfRule>
    <cfRule type="colorScale" priority="5558">
      <colorScale>
        <cfvo type="min"/>
        <cfvo type="percentile" val="50"/>
        <cfvo type="max"/>
        <color rgb="FF63BE7B"/>
        <color rgb="FFFFEB84"/>
        <color rgb="FFF8696B"/>
      </colorScale>
    </cfRule>
    <cfRule type="colorScale" priority="5557">
      <colorScale>
        <cfvo type="min"/>
        <cfvo type="percentile" val="50"/>
        <cfvo type="max"/>
        <color rgb="FF63BE7B"/>
        <color rgb="FFFFEB84"/>
        <color rgb="FFF8696B"/>
      </colorScale>
    </cfRule>
    <cfRule type="colorScale" priority="5556">
      <colorScale>
        <cfvo type="min"/>
        <cfvo type="percentile" val="50"/>
        <cfvo type="max"/>
        <color rgb="FF63BE7B"/>
        <color rgb="FFFFEB84"/>
        <color rgb="FFF8696B"/>
      </colorScale>
    </cfRule>
    <cfRule type="colorScale" priority="5555">
      <colorScale>
        <cfvo type="min"/>
        <cfvo type="percentile" val="50"/>
        <cfvo type="max"/>
        <color rgb="FF63BE7B"/>
        <color rgb="FFFFEB84"/>
        <color rgb="FFF8696B"/>
      </colorScale>
    </cfRule>
    <cfRule type="colorScale" priority="5554">
      <colorScale>
        <cfvo type="min"/>
        <cfvo type="percentile" val="50"/>
        <cfvo type="max"/>
        <color rgb="FF63BE7B"/>
        <color rgb="FFFFEB84"/>
        <color rgb="FFF8696B"/>
      </colorScale>
    </cfRule>
    <cfRule type="colorScale" priority="5553">
      <colorScale>
        <cfvo type="min"/>
        <cfvo type="percentile" val="50"/>
        <cfvo type="max"/>
        <color rgb="FF63BE7B"/>
        <color rgb="FFFFEB84"/>
        <color rgb="FFF8696B"/>
      </colorScale>
    </cfRule>
    <cfRule type="colorScale" priority="5552">
      <colorScale>
        <cfvo type="min"/>
        <cfvo type="percentile" val="50"/>
        <cfvo type="max"/>
        <color rgb="FF63BE7B"/>
        <color rgb="FFFFEB84"/>
        <color rgb="FFF8696B"/>
      </colorScale>
    </cfRule>
    <cfRule type="colorScale" priority="5551">
      <colorScale>
        <cfvo type="min"/>
        <cfvo type="percentile" val="50"/>
        <cfvo type="max"/>
        <color rgb="FF63BE7B"/>
        <color rgb="FFFFEB84"/>
        <color rgb="FFF8696B"/>
      </colorScale>
    </cfRule>
    <cfRule type="colorScale" priority="5550">
      <colorScale>
        <cfvo type="min"/>
        <cfvo type="percentile" val="50"/>
        <cfvo type="max"/>
        <color rgb="FF63BE7B"/>
        <color rgb="FFFFEB84"/>
        <color rgb="FFF8696B"/>
      </colorScale>
    </cfRule>
    <cfRule type="colorScale" priority="5549">
      <colorScale>
        <cfvo type="min"/>
        <cfvo type="percentile" val="50"/>
        <cfvo type="max"/>
        <color rgb="FF63BE7B"/>
        <color rgb="FFFFEB84"/>
        <color rgb="FFF8696B"/>
      </colorScale>
    </cfRule>
    <cfRule type="colorScale" priority="5548">
      <colorScale>
        <cfvo type="min"/>
        <cfvo type="percentile" val="50"/>
        <cfvo type="max"/>
        <color rgb="FF63BE7B"/>
        <color rgb="FFFFEB84"/>
        <color rgb="FFF8696B"/>
      </colorScale>
    </cfRule>
    <cfRule type="colorScale" priority="5547">
      <colorScale>
        <cfvo type="min"/>
        <cfvo type="percentile" val="50"/>
        <cfvo type="max"/>
        <color rgb="FF63BE7B"/>
        <color rgb="FFFFEB84"/>
        <color rgb="FFF8696B"/>
      </colorScale>
    </cfRule>
    <cfRule type="colorScale" priority="5546">
      <colorScale>
        <cfvo type="min"/>
        <cfvo type="percentile" val="50"/>
        <cfvo type="max"/>
        <color rgb="FF63BE7B"/>
        <color rgb="FFFFEB84"/>
        <color rgb="FFF8696B"/>
      </colorScale>
    </cfRule>
    <cfRule type="colorScale" priority="5545">
      <colorScale>
        <cfvo type="min"/>
        <cfvo type="percentile" val="50"/>
        <cfvo type="max"/>
        <color rgb="FF63BE7B"/>
        <color rgb="FFFFEB84"/>
        <color rgb="FFF8696B"/>
      </colorScale>
    </cfRule>
    <cfRule type="colorScale" priority="6673">
      <colorScale>
        <cfvo type="min"/>
        <cfvo type="percentile" val="50"/>
        <cfvo type="max"/>
        <color rgb="FF63BE7B"/>
        <color rgb="FFFFEB84"/>
        <color rgb="FFF8696B"/>
      </colorScale>
    </cfRule>
    <cfRule type="colorScale" priority="5543">
      <colorScale>
        <cfvo type="min"/>
        <cfvo type="percentile" val="50"/>
        <cfvo type="max"/>
        <color rgb="FF63BE7B"/>
        <color rgb="FFFFEB84"/>
        <color rgb="FFF8696B"/>
      </colorScale>
    </cfRule>
    <cfRule type="colorScale" priority="5542">
      <colorScale>
        <cfvo type="min"/>
        <cfvo type="percentile" val="50"/>
        <cfvo type="max"/>
        <color rgb="FF63BE7B"/>
        <color rgb="FFFFEB84"/>
        <color rgb="FFF8696B"/>
      </colorScale>
    </cfRule>
    <cfRule type="colorScale" priority="5541">
      <colorScale>
        <cfvo type="min"/>
        <cfvo type="percentile" val="50"/>
        <cfvo type="max"/>
        <color rgb="FF63BE7B"/>
        <color rgb="FFFFEB84"/>
        <color rgb="FFF8696B"/>
      </colorScale>
    </cfRule>
    <cfRule type="colorScale" priority="5540">
      <colorScale>
        <cfvo type="min"/>
        <cfvo type="percentile" val="50"/>
        <cfvo type="max"/>
        <color rgb="FF63BE7B"/>
        <color rgb="FFFFEB84"/>
        <color rgb="FFF8696B"/>
      </colorScale>
    </cfRule>
    <cfRule type="colorScale" priority="5539">
      <colorScale>
        <cfvo type="min"/>
        <cfvo type="percentile" val="50"/>
        <cfvo type="max"/>
        <color rgb="FF63BE7B"/>
        <color rgb="FFFFEB84"/>
        <color rgb="FFF8696B"/>
      </colorScale>
    </cfRule>
    <cfRule type="colorScale" priority="5538">
      <colorScale>
        <cfvo type="min"/>
        <cfvo type="percentile" val="50"/>
        <cfvo type="max"/>
        <color rgb="FF63BE7B"/>
        <color rgb="FFFFEB84"/>
        <color rgb="FFF8696B"/>
      </colorScale>
    </cfRule>
    <cfRule type="colorScale" priority="5537">
      <colorScale>
        <cfvo type="min"/>
        <cfvo type="percentile" val="50"/>
        <cfvo type="max"/>
        <color rgb="FF63BE7B"/>
        <color rgb="FFFFEB84"/>
        <color rgb="FFF8696B"/>
      </colorScale>
    </cfRule>
    <cfRule type="colorScale" priority="5536">
      <colorScale>
        <cfvo type="min"/>
        <cfvo type="percentile" val="50"/>
        <cfvo type="max"/>
        <color rgb="FF63BE7B"/>
        <color rgb="FFFFEB84"/>
        <color rgb="FFF8696B"/>
      </colorScale>
    </cfRule>
    <cfRule type="colorScale" priority="5535">
      <colorScale>
        <cfvo type="min"/>
        <cfvo type="percentile" val="50"/>
        <cfvo type="max"/>
        <color rgb="FF63BE7B"/>
        <color rgb="FFFFEB84"/>
        <color rgb="FFF8696B"/>
      </colorScale>
    </cfRule>
    <cfRule type="colorScale" priority="5534">
      <colorScale>
        <cfvo type="min"/>
        <cfvo type="percentile" val="50"/>
        <cfvo type="max"/>
        <color rgb="FF63BE7B"/>
        <color rgb="FFFFEB84"/>
        <color rgb="FFF8696B"/>
      </colorScale>
    </cfRule>
    <cfRule type="colorScale" priority="5533">
      <colorScale>
        <cfvo type="min"/>
        <cfvo type="percentile" val="50"/>
        <cfvo type="max"/>
        <color rgb="FF63BE7B"/>
        <color rgb="FFFFEB84"/>
        <color rgb="FFF8696B"/>
      </colorScale>
    </cfRule>
    <cfRule type="colorScale" priority="5532">
      <colorScale>
        <cfvo type="min"/>
        <cfvo type="percentile" val="50"/>
        <cfvo type="max"/>
        <color rgb="FF63BE7B"/>
        <color rgb="FFFFEB84"/>
        <color rgb="FFF8696B"/>
      </colorScale>
    </cfRule>
    <cfRule type="colorScale" priority="7148">
      <colorScale>
        <cfvo type="min"/>
        <cfvo type="percentile" val="50"/>
        <cfvo type="max"/>
        <color rgb="FF63BE7B"/>
        <color rgb="FFFFEB84"/>
        <color rgb="FFF8696B"/>
      </colorScale>
    </cfRule>
    <cfRule type="colorScale" priority="7149">
      <colorScale>
        <cfvo type="min"/>
        <cfvo type="percentile" val="50"/>
        <cfvo type="max"/>
        <color rgb="FF63BE7B"/>
        <color rgb="FFFFEB84"/>
        <color rgb="FFF8696B"/>
      </colorScale>
    </cfRule>
    <cfRule type="colorScale" priority="7150">
      <colorScale>
        <cfvo type="min"/>
        <cfvo type="percentile" val="50"/>
        <cfvo type="max"/>
        <color rgb="FF63BE7B"/>
        <color rgb="FFFFEB84"/>
        <color rgb="FFF8696B"/>
      </colorScale>
    </cfRule>
    <cfRule type="colorScale" priority="7151">
      <colorScale>
        <cfvo type="min"/>
        <cfvo type="percentile" val="50"/>
        <cfvo type="max"/>
        <color rgb="FF63BE7B"/>
        <color rgb="FFFFEB84"/>
        <color rgb="FFF8696B"/>
      </colorScale>
    </cfRule>
    <cfRule type="colorScale" priority="6671">
      <colorScale>
        <cfvo type="min"/>
        <cfvo type="percentile" val="50"/>
        <cfvo type="max"/>
        <color rgb="FF63BE7B"/>
        <color rgb="FFFFEB84"/>
        <color rgb="FFF8696B"/>
      </colorScale>
    </cfRule>
    <cfRule type="colorScale" priority="6672">
      <colorScale>
        <cfvo type="min"/>
        <cfvo type="percentile" val="50"/>
        <cfvo type="max"/>
        <color rgb="FF63BE7B"/>
        <color rgb="FFFFEB84"/>
        <color rgb="FFF8696B"/>
      </colorScale>
    </cfRule>
    <cfRule type="colorScale" priority="6674">
      <colorScale>
        <cfvo type="min"/>
        <cfvo type="percentile" val="50"/>
        <cfvo type="max"/>
        <color rgb="FF63BE7B"/>
        <color rgb="FFFFEB84"/>
        <color rgb="FFF8696B"/>
      </colorScale>
    </cfRule>
    <cfRule type="colorScale" priority="6675">
      <colorScale>
        <cfvo type="min"/>
        <cfvo type="percentile" val="50"/>
        <cfvo type="max"/>
        <color rgb="FF63BE7B"/>
        <color rgb="FFFFEB84"/>
        <color rgb="FFF8696B"/>
      </colorScale>
    </cfRule>
    <cfRule type="colorScale" priority="6676">
      <colorScale>
        <cfvo type="min"/>
        <cfvo type="percentile" val="50"/>
        <cfvo type="max"/>
        <color rgb="FF63BE7B"/>
        <color rgb="FFFFEB84"/>
        <color rgb="FFF8696B"/>
      </colorScale>
    </cfRule>
    <cfRule type="colorScale" priority="6677">
      <colorScale>
        <cfvo type="min"/>
        <cfvo type="percentile" val="50"/>
        <cfvo type="max"/>
        <color rgb="FF63BE7B"/>
        <color rgb="FFFFEB84"/>
        <color rgb="FFF8696B"/>
      </colorScale>
    </cfRule>
    <cfRule type="colorScale" priority="6678">
      <colorScale>
        <cfvo type="min"/>
        <cfvo type="percentile" val="50"/>
        <cfvo type="max"/>
        <color rgb="FF63BE7B"/>
        <color rgb="FFFFEB84"/>
        <color rgb="FFF8696B"/>
      </colorScale>
    </cfRule>
    <cfRule type="colorScale" priority="6679">
      <colorScale>
        <cfvo type="min"/>
        <cfvo type="percentile" val="50"/>
        <cfvo type="max"/>
        <color rgb="FF63BE7B"/>
        <color rgb="FFFFEB84"/>
        <color rgb="FFF8696B"/>
      </colorScale>
    </cfRule>
    <cfRule type="colorScale" priority="6680">
      <colorScale>
        <cfvo type="min"/>
        <cfvo type="percentile" val="50"/>
        <cfvo type="max"/>
        <color rgb="FF63BE7B"/>
        <color rgb="FFFFEB84"/>
        <color rgb="FFF8696B"/>
      </colorScale>
    </cfRule>
    <cfRule type="colorScale" priority="6681">
      <colorScale>
        <cfvo type="min"/>
        <cfvo type="percentile" val="50"/>
        <cfvo type="max"/>
        <color rgb="FF63BE7B"/>
        <color rgb="FFFFEB84"/>
        <color rgb="FFF8696B"/>
      </colorScale>
    </cfRule>
    <cfRule type="colorScale" priority="6682">
      <colorScale>
        <cfvo type="min"/>
        <cfvo type="percentile" val="50"/>
        <cfvo type="max"/>
        <color rgb="FF63BE7B"/>
        <color rgb="FFFFEB84"/>
        <color rgb="FFF8696B"/>
      </colorScale>
    </cfRule>
    <cfRule type="colorScale" priority="6683">
      <colorScale>
        <cfvo type="min"/>
        <cfvo type="percentile" val="50"/>
        <cfvo type="max"/>
        <color rgb="FF63BE7B"/>
        <color rgb="FFFFEB84"/>
        <color rgb="FFF8696B"/>
      </colorScale>
    </cfRule>
    <cfRule type="colorScale" priority="6684">
      <colorScale>
        <cfvo type="min"/>
        <cfvo type="percentile" val="50"/>
        <cfvo type="max"/>
        <color rgb="FF63BE7B"/>
        <color rgb="FFFFEB84"/>
        <color rgb="FFF8696B"/>
      </colorScale>
    </cfRule>
    <cfRule type="colorScale" priority="6685">
      <colorScale>
        <cfvo type="min"/>
        <cfvo type="percentile" val="50"/>
        <cfvo type="max"/>
        <color rgb="FF63BE7B"/>
        <color rgb="FFFFEB84"/>
        <color rgb="FFF8696B"/>
      </colorScale>
    </cfRule>
    <cfRule type="colorScale" priority="6686">
      <colorScale>
        <cfvo type="min"/>
        <cfvo type="percentile" val="50"/>
        <cfvo type="max"/>
        <color rgb="FF63BE7B"/>
        <color rgb="FFFFEB84"/>
        <color rgb="FFF8696B"/>
      </colorScale>
    </cfRule>
    <cfRule type="colorScale" priority="6687">
      <colorScale>
        <cfvo type="min"/>
        <cfvo type="percentile" val="50"/>
        <cfvo type="max"/>
        <color rgb="FF63BE7B"/>
        <color rgb="FFFFEB84"/>
        <color rgb="FFF8696B"/>
      </colorScale>
    </cfRule>
    <cfRule type="colorScale" priority="6688">
      <colorScale>
        <cfvo type="min"/>
        <cfvo type="percentile" val="50"/>
        <cfvo type="max"/>
        <color rgb="FF63BE7B"/>
        <color rgb="FFFFEB84"/>
        <color rgb="FFF8696B"/>
      </colorScale>
    </cfRule>
    <cfRule type="colorScale" priority="3786">
      <colorScale>
        <cfvo type="min"/>
        <cfvo type="percentile" val="50"/>
        <cfvo type="max"/>
        <color rgb="FF63BE7B"/>
        <color rgb="FFFFEB84"/>
        <color rgb="FFF8696B"/>
      </colorScale>
    </cfRule>
    <cfRule type="colorScale" priority="3785">
      <colorScale>
        <cfvo type="min"/>
        <cfvo type="percentile" val="50"/>
        <cfvo type="max"/>
        <color rgb="FF63BE7B"/>
        <color rgb="FFFFEB84"/>
        <color rgb="FFF8696B"/>
      </colorScale>
    </cfRule>
    <cfRule type="colorScale" priority="3784">
      <colorScale>
        <cfvo type="min"/>
        <cfvo type="percentile" val="50"/>
        <cfvo type="max"/>
        <color rgb="FF63BE7B"/>
        <color rgb="FFFFEB84"/>
        <color rgb="FFF8696B"/>
      </colorScale>
    </cfRule>
    <cfRule type="colorScale" priority="3783">
      <colorScale>
        <cfvo type="min"/>
        <cfvo type="percentile" val="50"/>
        <cfvo type="max"/>
        <color rgb="FF63BE7B"/>
        <color rgb="FFFFEB84"/>
        <color rgb="FFF8696B"/>
      </colorScale>
    </cfRule>
    <cfRule type="colorScale" priority="3782">
      <colorScale>
        <cfvo type="min"/>
        <cfvo type="percentile" val="50"/>
        <cfvo type="max"/>
        <color rgb="FF63BE7B"/>
        <color rgb="FFFFEB84"/>
        <color rgb="FFF8696B"/>
      </colorScale>
    </cfRule>
    <cfRule type="colorScale" priority="3781">
      <colorScale>
        <cfvo type="min"/>
        <cfvo type="percentile" val="50"/>
        <cfvo type="max"/>
        <color rgb="FF63BE7B"/>
        <color rgb="FFFFEB84"/>
        <color rgb="FFF8696B"/>
      </colorScale>
    </cfRule>
    <cfRule type="colorScale" priority="3780">
      <colorScale>
        <cfvo type="min"/>
        <cfvo type="percentile" val="50"/>
        <cfvo type="max"/>
        <color rgb="FF63BE7B"/>
        <color rgb="FFFFEB84"/>
        <color rgb="FFF8696B"/>
      </colorScale>
    </cfRule>
    <cfRule type="colorScale" priority="3779">
      <colorScale>
        <cfvo type="min"/>
        <cfvo type="percentile" val="50"/>
        <cfvo type="max"/>
        <color rgb="FF63BE7B"/>
        <color rgb="FFFFEB84"/>
        <color rgb="FFF8696B"/>
      </colorScale>
    </cfRule>
    <cfRule type="colorScale" priority="3778">
      <colorScale>
        <cfvo type="min"/>
        <cfvo type="percentile" val="50"/>
        <cfvo type="max"/>
        <color rgb="FF63BE7B"/>
        <color rgb="FFFFEB84"/>
        <color rgb="FFF8696B"/>
      </colorScale>
    </cfRule>
    <cfRule type="colorScale" priority="3777">
      <colorScale>
        <cfvo type="min"/>
        <cfvo type="percentile" val="50"/>
        <cfvo type="max"/>
        <color rgb="FF63BE7B"/>
        <color rgb="FFFFEB84"/>
        <color rgb="FFF8696B"/>
      </colorScale>
    </cfRule>
    <cfRule type="colorScale" priority="3776">
      <colorScale>
        <cfvo type="min"/>
        <cfvo type="percentile" val="50"/>
        <cfvo type="max"/>
        <color rgb="FF63BE7B"/>
        <color rgb="FFFFEB84"/>
        <color rgb="FFF8696B"/>
      </colorScale>
    </cfRule>
    <cfRule type="colorScale" priority="3775">
      <colorScale>
        <cfvo type="min"/>
        <cfvo type="percentile" val="50"/>
        <cfvo type="max"/>
        <color rgb="FF63BE7B"/>
        <color rgb="FFFFEB84"/>
        <color rgb="FFF8696B"/>
      </colorScale>
    </cfRule>
    <cfRule type="colorScale" priority="3774">
      <colorScale>
        <cfvo type="min"/>
        <cfvo type="percentile" val="50"/>
        <cfvo type="max"/>
        <color rgb="FF63BE7B"/>
        <color rgb="FFFFEB84"/>
        <color rgb="FFF8696B"/>
      </colorScale>
    </cfRule>
    <cfRule type="colorScale" priority="3773">
      <colorScale>
        <cfvo type="min"/>
        <cfvo type="percentile" val="50"/>
        <cfvo type="max"/>
        <color rgb="FF63BE7B"/>
        <color rgb="FFFFEB84"/>
        <color rgb="FFF8696B"/>
      </colorScale>
    </cfRule>
    <cfRule type="colorScale" priority="3772">
      <colorScale>
        <cfvo type="min"/>
        <cfvo type="percentile" val="50"/>
        <cfvo type="max"/>
        <color rgb="FF63BE7B"/>
        <color rgb="FFFFEB84"/>
        <color rgb="FFF8696B"/>
      </colorScale>
    </cfRule>
    <cfRule type="colorScale" priority="3771">
      <colorScale>
        <cfvo type="min"/>
        <cfvo type="percentile" val="50"/>
        <cfvo type="max"/>
        <color rgb="FF63BE7B"/>
        <color rgb="FFFFEB84"/>
        <color rgb="FFF8696B"/>
      </colorScale>
    </cfRule>
    <cfRule type="colorScale" priority="3770">
      <colorScale>
        <cfvo type="min"/>
        <cfvo type="percentile" val="50"/>
        <cfvo type="max"/>
        <color rgb="FF63BE7B"/>
        <color rgb="FFFFEB84"/>
        <color rgb="FFF8696B"/>
      </colorScale>
    </cfRule>
    <cfRule type="colorScale" priority="3769">
      <colorScale>
        <cfvo type="min"/>
        <cfvo type="percentile" val="50"/>
        <cfvo type="max"/>
        <color rgb="FF63BE7B"/>
        <color rgb="FFFFEB84"/>
        <color rgb="FFF8696B"/>
      </colorScale>
    </cfRule>
    <cfRule type="colorScale" priority="3768">
      <colorScale>
        <cfvo type="min"/>
        <cfvo type="percentile" val="50"/>
        <cfvo type="max"/>
        <color rgb="FF63BE7B"/>
        <color rgb="FFFFEB84"/>
        <color rgb="FFF8696B"/>
      </colorScale>
    </cfRule>
    <cfRule type="colorScale" priority="3767">
      <colorScale>
        <cfvo type="min"/>
        <cfvo type="percentile" val="50"/>
        <cfvo type="max"/>
        <color rgb="FF63BE7B"/>
        <color rgb="FFFFEB84"/>
        <color rgb="FFF8696B"/>
      </colorScale>
    </cfRule>
    <cfRule type="colorScale" priority="3766">
      <colorScale>
        <cfvo type="min"/>
        <cfvo type="percentile" val="50"/>
        <cfvo type="max"/>
        <color rgb="FF63BE7B"/>
        <color rgb="FFFFEB84"/>
        <color rgb="FFF8696B"/>
      </colorScale>
    </cfRule>
    <cfRule type="colorScale" priority="3765">
      <colorScale>
        <cfvo type="min"/>
        <cfvo type="percentile" val="50"/>
        <cfvo type="max"/>
        <color rgb="FF63BE7B"/>
        <color rgb="FFFFEB84"/>
        <color rgb="FFF8696B"/>
      </colorScale>
    </cfRule>
    <cfRule type="colorScale" priority="3764">
      <colorScale>
        <cfvo type="min"/>
        <cfvo type="percentile" val="50"/>
        <cfvo type="max"/>
        <color rgb="FF63BE7B"/>
        <color rgb="FFFFEB84"/>
        <color rgb="FFF8696B"/>
      </colorScale>
    </cfRule>
    <cfRule type="colorScale" priority="3763">
      <colorScale>
        <cfvo type="min"/>
        <cfvo type="percentile" val="50"/>
        <cfvo type="max"/>
        <color rgb="FF63BE7B"/>
        <color rgb="FFFFEB84"/>
        <color rgb="FFF8696B"/>
      </colorScale>
    </cfRule>
    <cfRule type="colorScale" priority="3762">
      <colorScale>
        <cfvo type="min"/>
        <cfvo type="percentile" val="50"/>
        <cfvo type="max"/>
        <color rgb="FF63BE7B"/>
        <color rgb="FFFFEB84"/>
        <color rgb="FFF8696B"/>
      </colorScale>
    </cfRule>
    <cfRule type="colorScale" priority="3761">
      <colorScale>
        <cfvo type="min"/>
        <cfvo type="percentile" val="50"/>
        <cfvo type="max"/>
        <color rgb="FF63BE7B"/>
        <color rgb="FFFFEB84"/>
        <color rgb="FFF8696B"/>
      </colorScale>
    </cfRule>
    <cfRule type="colorScale" priority="5544">
      <colorScale>
        <cfvo type="min"/>
        <cfvo type="percentile" val="50"/>
        <cfvo type="max"/>
        <color rgb="FF63BE7B"/>
        <color rgb="FFFFEB84"/>
        <color rgb="FFF8696B"/>
      </colorScale>
    </cfRule>
    <cfRule type="colorScale" priority="5569">
      <colorScale>
        <cfvo type="min"/>
        <cfvo type="percentile" val="50"/>
        <cfvo type="max"/>
        <color rgb="FF63BE7B"/>
        <color rgb="FFFFEB84"/>
        <color rgb="FFF8696B"/>
      </colorScale>
    </cfRule>
    <cfRule type="colorScale" priority="5568">
      <colorScale>
        <cfvo type="min"/>
        <cfvo type="percentile" val="50"/>
        <cfvo type="max"/>
        <color rgb="FF63BE7B"/>
        <color rgb="FFFFEB84"/>
        <color rgb="FFF8696B"/>
      </colorScale>
    </cfRule>
    <cfRule type="colorScale" priority="5567">
      <colorScale>
        <cfvo type="min"/>
        <cfvo type="percentile" val="50"/>
        <cfvo type="max"/>
        <color rgb="FF63BE7B"/>
        <color rgb="FFFFEB84"/>
        <color rgb="FFF8696B"/>
      </colorScale>
    </cfRule>
    <cfRule type="colorScale" priority="5566">
      <colorScale>
        <cfvo type="min"/>
        <cfvo type="percentile" val="50"/>
        <cfvo type="max"/>
        <color rgb="FF63BE7B"/>
        <color rgb="FFFFEB84"/>
        <color rgb="FFF8696B"/>
      </colorScale>
    </cfRule>
  </conditionalFormatting>
  <conditionalFormatting sqref="AN54:AN61">
    <cfRule type="colorScale" priority="18">
      <colorScale>
        <cfvo type="min"/>
        <cfvo type="percentile" val="50"/>
        <cfvo type="max"/>
        <color rgb="FF63BE7B"/>
        <color rgb="FFFFEB84"/>
        <color rgb="FFF8696B"/>
      </colorScale>
    </cfRule>
  </conditionalFormatting>
  <conditionalFormatting sqref="AN72:AN80">
    <cfRule type="colorScale" priority="12354">
      <colorScale>
        <cfvo type="min"/>
        <cfvo type="percentile" val="50"/>
        <cfvo type="max"/>
        <color rgb="FF63BE7B"/>
        <color rgb="FFFFEB84"/>
        <color rgb="FFF8696B"/>
      </colorScale>
    </cfRule>
    <cfRule type="colorScale" priority="12357">
      <colorScale>
        <cfvo type="min"/>
        <cfvo type="percentile" val="50"/>
        <cfvo type="max"/>
        <color rgb="FF63BE7B"/>
        <color rgb="FFFFEB84"/>
        <color rgb="FFF8696B"/>
      </colorScale>
    </cfRule>
    <cfRule type="colorScale" priority="12356">
      <colorScale>
        <cfvo type="min"/>
        <cfvo type="percentile" val="50"/>
        <cfvo type="max"/>
        <color rgb="FF63BE7B"/>
        <color rgb="FFFFEB84"/>
        <color rgb="FFF8696B"/>
      </colorScale>
    </cfRule>
    <cfRule type="colorScale" priority="12355">
      <colorScale>
        <cfvo type="min"/>
        <cfvo type="percentile" val="50"/>
        <cfvo type="max"/>
        <color rgb="FF63BE7B"/>
        <color rgb="FFFFEB84"/>
        <color rgb="FFF8696B"/>
      </colorScale>
    </cfRule>
  </conditionalFormatting>
  <conditionalFormatting sqref="AN103:AN111">
    <cfRule type="colorScale" priority="11748">
      <colorScale>
        <cfvo type="min"/>
        <cfvo type="percentile" val="50"/>
        <cfvo type="max"/>
        <color rgb="FF63BE7B"/>
        <color rgb="FFFFEB84"/>
        <color rgb="FFF8696B"/>
      </colorScale>
    </cfRule>
    <cfRule type="colorScale" priority="11751">
      <colorScale>
        <cfvo type="min"/>
        <cfvo type="percentile" val="50"/>
        <cfvo type="max"/>
        <color rgb="FF63BE7B"/>
        <color rgb="FFFFEB84"/>
        <color rgb="FFF8696B"/>
      </colorScale>
    </cfRule>
    <cfRule type="colorScale" priority="11750">
      <colorScale>
        <cfvo type="min"/>
        <cfvo type="percentile" val="50"/>
        <cfvo type="max"/>
        <color rgb="FF63BE7B"/>
        <color rgb="FFFFEB84"/>
        <color rgb="FFF8696B"/>
      </colorScale>
    </cfRule>
    <cfRule type="colorScale" priority="11749">
      <colorScale>
        <cfvo type="min"/>
        <cfvo type="percentile" val="50"/>
        <cfvo type="max"/>
        <color rgb="FF63BE7B"/>
        <color rgb="FFFFEB84"/>
        <color rgb="FFF8696B"/>
      </colorScale>
    </cfRule>
  </conditionalFormatting>
  <conditionalFormatting sqref="AO35:AO37">
    <cfRule type="colorScale" priority="10757">
      <colorScale>
        <cfvo type="min"/>
        <cfvo type="percentile" val="50"/>
        <cfvo type="max"/>
        <color rgb="FF63BE7B"/>
        <color rgb="FFFFEB84"/>
        <color rgb="FFF8696B"/>
      </colorScale>
    </cfRule>
    <cfRule type="colorScale" priority="10776">
      <colorScale>
        <cfvo type="min"/>
        <cfvo type="percentile" val="50"/>
        <cfvo type="max"/>
        <color rgb="FF63BE7B"/>
        <color rgb="FFFFEB84"/>
        <color rgb="FFF8696B"/>
      </colorScale>
    </cfRule>
  </conditionalFormatting>
  <conditionalFormatting sqref="AO35:AO40">
    <cfRule type="colorScale" priority="10774">
      <colorScale>
        <cfvo type="min"/>
        <cfvo type="percentile" val="50"/>
        <cfvo type="max"/>
        <color rgb="FF63BE7B"/>
        <color rgb="FFFFEB84"/>
        <color rgb="FFF8696B"/>
      </colorScale>
    </cfRule>
    <cfRule type="colorScale" priority="10790">
      <colorScale>
        <cfvo type="min"/>
        <cfvo type="percentile" val="50"/>
        <cfvo type="max"/>
        <color rgb="FF63BE7B"/>
        <color rgb="FFFFEB84"/>
        <color rgb="FFF8696B"/>
      </colorScale>
    </cfRule>
    <cfRule type="colorScale" priority="10775">
      <colorScale>
        <cfvo type="min"/>
        <cfvo type="percentile" val="50"/>
        <cfvo type="max"/>
        <color rgb="FF63BE7B"/>
        <color rgb="FFFFEB84"/>
        <color rgb="FFF8696B"/>
      </colorScale>
    </cfRule>
    <cfRule type="colorScale" priority="10780">
      <colorScale>
        <cfvo type="min"/>
        <cfvo type="percentile" val="50"/>
        <cfvo type="max"/>
        <color rgb="FF63BE7B"/>
        <color rgb="FFFFEB84"/>
        <color rgb="FFF8696B"/>
      </colorScale>
    </cfRule>
    <cfRule type="colorScale" priority="10781">
      <colorScale>
        <cfvo type="min"/>
        <cfvo type="percentile" val="50"/>
        <cfvo type="max"/>
        <color rgb="FF63BE7B"/>
        <color rgb="FFFFEB84"/>
        <color rgb="FFF8696B"/>
      </colorScale>
    </cfRule>
    <cfRule type="colorScale" priority="10782">
      <colorScale>
        <cfvo type="min"/>
        <cfvo type="percentile" val="50"/>
        <cfvo type="max"/>
        <color rgb="FF63BE7B"/>
        <color rgb="FFFFEB84"/>
        <color rgb="FFF8696B"/>
      </colorScale>
    </cfRule>
    <cfRule type="colorScale" priority="10778">
      <colorScale>
        <cfvo type="min"/>
        <cfvo type="percentile" val="50"/>
        <cfvo type="max"/>
        <color rgb="FF63BE7B"/>
        <color rgb="FFFFEB84"/>
        <color rgb="FFF8696B"/>
      </colorScale>
    </cfRule>
    <cfRule type="colorScale" priority="10783">
      <colorScale>
        <cfvo type="min"/>
        <cfvo type="percentile" val="50"/>
        <cfvo type="max"/>
        <color rgb="FF63BE7B"/>
        <color rgb="FFFFEB84"/>
        <color rgb="FFF8696B"/>
      </colorScale>
    </cfRule>
    <cfRule type="colorScale" priority="10784">
      <colorScale>
        <cfvo type="min"/>
        <cfvo type="percentile" val="50"/>
        <cfvo type="max"/>
        <color rgb="FF63BE7B"/>
        <color rgb="FFFFEB84"/>
        <color rgb="FFF8696B"/>
      </colorScale>
    </cfRule>
    <cfRule type="colorScale" priority="10792">
      <colorScale>
        <cfvo type="min"/>
        <cfvo type="percentile" val="50"/>
        <cfvo type="max"/>
        <color rgb="FF63BE7B"/>
        <color rgb="FFFFEB84"/>
        <color rgb="FFF8696B"/>
      </colorScale>
    </cfRule>
    <cfRule type="colorScale" priority="10786">
      <colorScale>
        <cfvo type="min"/>
        <cfvo type="percentile" val="50"/>
        <cfvo type="max"/>
        <color rgb="FF63BE7B"/>
        <color rgb="FFFFEB84"/>
        <color rgb="FFF8696B"/>
      </colorScale>
    </cfRule>
    <cfRule type="colorScale" priority="10777">
      <colorScale>
        <cfvo type="min"/>
        <cfvo type="percentile" val="50"/>
        <cfvo type="max"/>
        <color rgb="FF63BE7B"/>
        <color rgb="FFFFEB84"/>
        <color rgb="FFF8696B"/>
      </colorScale>
    </cfRule>
    <cfRule type="colorScale" priority="10785">
      <colorScale>
        <cfvo type="min"/>
        <cfvo type="percentile" val="50"/>
        <cfvo type="max"/>
        <color rgb="FF63BE7B"/>
        <color rgb="FFFFEB84"/>
        <color rgb="FFF8696B"/>
      </colorScale>
    </cfRule>
    <cfRule type="colorScale" priority="10787">
      <colorScale>
        <cfvo type="min"/>
        <cfvo type="percentile" val="50"/>
        <cfvo type="max"/>
        <color rgb="FF63BE7B"/>
        <color rgb="FFFFEB84"/>
        <color rgb="FFF8696B"/>
      </colorScale>
    </cfRule>
    <cfRule type="colorScale" priority="10788">
      <colorScale>
        <cfvo type="min"/>
        <cfvo type="percentile" val="50"/>
        <cfvo type="max"/>
        <color rgb="FF63BE7B"/>
        <color rgb="FFFFEB84"/>
        <color rgb="FFF8696B"/>
      </colorScale>
    </cfRule>
    <cfRule type="colorScale" priority="10789">
      <colorScale>
        <cfvo type="min"/>
        <cfvo type="percentile" val="50"/>
        <cfvo type="max"/>
        <color rgb="FF63BE7B"/>
        <color rgb="FFFFEB84"/>
        <color rgb="FFF8696B"/>
      </colorScale>
    </cfRule>
    <cfRule type="colorScale" priority="10791">
      <colorScale>
        <cfvo type="min"/>
        <cfvo type="percentile" val="50"/>
        <cfvo type="max"/>
        <color rgb="FF63BE7B"/>
        <color rgb="FFFFEB84"/>
        <color rgb="FFF8696B"/>
      </colorScale>
    </cfRule>
    <cfRule type="colorScale" priority="10779">
      <colorScale>
        <cfvo type="min"/>
        <cfvo type="percentile" val="50"/>
        <cfvo type="max"/>
        <color rgb="FF63BE7B"/>
        <color rgb="FFFFEB84"/>
        <color rgb="FFF8696B"/>
      </colorScale>
    </cfRule>
  </conditionalFormatting>
  <conditionalFormatting sqref="AO35:AO41 L35:L50 AA35:AB41">
    <cfRule type="colorScale" priority="13053">
      <colorScale>
        <cfvo type="min"/>
        <cfvo type="percentile" val="50"/>
        <cfvo type="max"/>
        <color rgb="FF63BE7B"/>
        <color rgb="FFFFEB84"/>
        <color rgb="FFF8696B"/>
      </colorScale>
    </cfRule>
    <cfRule type="colorScale" priority="13052">
      <colorScale>
        <cfvo type="min"/>
        <cfvo type="percentile" val="50"/>
        <cfvo type="max"/>
        <color rgb="FF63BE7B"/>
        <color rgb="FFFFEB84"/>
        <color rgb="FFF8696B"/>
      </colorScale>
    </cfRule>
    <cfRule type="colorScale" priority="13051">
      <colorScale>
        <cfvo type="min"/>
        <cfvo type="percentile" val="50"/>
        <cfvo type="max"/>
        <color rgb="FF63BE7B"/>
        <color rgb="FFFFEB84"/>
        <color rgb="FFF8696B"/>
      </colorScale>
    </cfRule>
    <cfRule type="colorScale" priority="13050">
      <colorScale>
        <cfvo type="min"/>
        <cfvo type="percentile" val="50"/>
        <cfvo type="max"/>
        <color rgb="FF63BE7B"/>
        <color rgb="FFFFEB84"/>
        <color rgb="FFF8696B"/>
      </colorScale>
    </cfRule>
    <cfRule type="colorScale" priority="13215">
      <colorScale>
        <cfvo type="min"/>
        <cfvo type="percentile" val="50"/>
        <cfvo type="max"/>
        <color rgb="FF63BE7B"/>
        <color rgb="FFFFEB84"/>
        <color rgb="FFF8696B"/>
      </colorScale>
    </cfRule>
  </conditionalFormatting>
  <conditionalFormatting sqref="AO35:AO41 AA35:AB41 AO52:AO53 L35:L53 AA52:AB53">
    <cfRule type="colorScale" priority="13240">
      <colorScale>
        <cfvo type="min"/>
        <cfvo type="percentile" val="50"/>
        <cfvo type="max"/>
        <color rgb="FF63BE7B"/>
        <color rgb="FFFFEB84"/>
        <color rgb="FFF8696B"/>
      </colorScale>
    </cfRule>
  </conditionalFormatting>
  <conditionalFormatting sqref="AO35:AO41">
    <cfRule type="colorScale" priority="12950">
      <colorScale>
        <cfvo type="min"/>
        <cfvo type="percentile" val="50"/>
        <cfvo type="max"/>
        <color rgb="FF63BE7B"/>
        <color rgb="FFFFEB84"/>
        <color rgb="FFF8696B"/>
      </colorScale>
    </cfRule>
    <cfRule type="colorScale" priority="12951">
      <colorScale>
        <cfvo type="min"/>
        <cfvo type="percentile" val="50"/>
        <cfvo type="max"/>
        <color rgb="FF63BE7B"/>
        <color rgb="FFFFEB84"/>
        <color rgb="FFF8696B"/>
      </colorScale>
    </cfRule>
    <cfRule type="colorScale" priority="12952">
      <colorScale>
        <cfvo type="min"/>
        <cfvo type="percentile" val="50"/>
        <cfvo type="max"/>
        <color rgb="FF63BE7B"/>
        <color rgb="FFFFEB84"/>
        <color rgb="FFF8696B"/>
      </colorScale>
    </cfRule>
    <cfRule type="colorScale" priority="10772">
      <colorScale>
        <cfvo type="min"/>
        <cfvo type="percentile" val="50"/>
        <cfvo type="max"/>
        <color rgb="FF63BE7B"/>
        <color rgb="FFFFEB84"/>
        <color rgb="FFF8696B"/>
      </colorScale>
    </cfRule>
    <cfRule type="colorScale" priority="10773">
      <colorScale>
        <cfvo type="min"/>
        <cfvo type="percentile" val="50"/>
        <cfvo type="max"/>
        <color rgb="FF63BE7B"/>
        <color rgb="FFFFEB84"/>
        <color rgb="FFF8696B"/>
      </colorScale>
    </cfRule>
    <cfRule type="colorScale" priority="10769">
      <colorScale>
        <cfvo type="min"/>
        <cfvo type="percentile" val="50"/>
        <cfvo type="max"/>
        <color rgb="FF63BE7B"/>
        <color rgb="FFFFEB84"/>
        <color rgb="FFF8696B"/>
      </colorScale>
    </cfRule>
    <cfRule type="colorScale" priority="9310">
      <colorScale>
        <cfvo type="min"/>
        <cfvo type="percentile" val="50"/>
        <cfvo type="max"/>
        <color rgb="FFF8696B"/>
        <color rgb="FFFFEB84"/>
        <color rgb="FF63BE7B"/>
      </colorScale>
    </cfRule>
    <cfRule type="colorScale" priority="10771">
      <colorScale>
        <cfvo type="min"/>
        <cfvo type="percentile" val="50"/>
        <cfvo type="max"/>
        <color rgb="FF63BE7B"/>
        <color rgb="FFFFEB84"/>
        <color rgb="FFF8696B"/>
      </colorScale>
    </cfRule>
    <cfRule type="colorScale" priority="10758">
      <colorScale>
        <cfvo type="min"/>
        <cfvo type="percentile" val="50"/>
        <cfvo type="max"/>
        <color rgb="FF63BE7B"/>
        <color rgb="FFFFEB84"/>
        <color rgb="FFF8696B"/>
      </colorScale>
    </cfRule>
    <cfRule type="colorScale" priority="10759">
      <colorScale>
        <cfvo type="min"/>
        <cfvo type="percentile" val="50"/>
        <cfvo type="max"/>
        <color rgb="FF63BE7B"/>
        <color rgb="FFFFEB84"/>
        <color rgb="FFF8696B"/>
      </colorScale>
    </cfRule>
    <cfRule type="colorScale" priority="10760">
      <colorScale>
        <cfvo type="min"/>
        <cfvo type="percentile" val="50"/>
        <cfvo type="max"/>
        <color rgb="FF63BE7B"/>
        <color rgb="FFFFEB84"/>
        <color rgb="FFF8696B"/>
      </colorScale>
    </cfRule>
    <cfRule type="colorScale" priority="10761">
      <colorScale>
        <cfvo type="min"/>
        <cfvo type="percentile" val="50"/>
        <cfvo type="max"/>
        <color rgb="FF63BE7B"/>
        <color rgb="FFFFEB84"/>
        <color rgb="FFF8696B"/>
      </colorScale>
    </cfRule>
    <cfRule type="colorScale" priority="10764">
      <colorScale>
        <cfvo type="min"/>
        <cfvo type="percentile" val="50"/>
        <cfvo type="max"/>
        <color rgb="FF63BE7B"/>
        <color rgb="FFFFEB84"/>
        <color rgb="FFF8696B"/>
      </colorScale>
    </cfRule>
    <cfRule type="colorScale" priority="10763">
      <colorScale>
        <cfvo type="min"/>
        <cfvo type="percentile" val="50"/>
        <cfvo type="max"/>
        <color rgb="FF63BE7B"/>
        <color rgb="FFFFEB84"/>
        <color rgb="FFF8696B"/>
      </colorScale>
    </cfRule>
    <cfRule type="colorScale" priority="13084">
      <colorScale>
        <cfvo type="min"/>
        <cfvo type="percentile" val="50"/>
        <cfvo type="max"/>
        <color rgb="FF63BE7B"/>
        <color rgb="FFFFEB84"/>
        <color rgb="FFF8696B"/>
      </colorScale>
    </cfRule>
    <cfRule type="colorScale" priority="13083">
      <colorScale>
        <cfvo type="min"/>
        <cfvo type="percentile" val="50"/>
        <cfvo type="max"/>
        <color rgb="FF63BE7B"/>
        <color rgb="FFFFEB84"/>
        <color rgb="FFF8696B"/>
      </colorScale>
    </cfRule>
    <cfRule type="colorScale" priority="10766">
      <colorScale>
        <cfvo type="min"/>
        <cfvo type="percentile" val="50"/>
        <cfvo type="max"/>
        <color rgb="FF63BE7B"/>
        <color rgb="FFFFEB84"/>
        <color rgb="FFF8696B"/>
      </colorScale>
    </cfRule>
    <cfRule type="colorScale" priority="10770">
      <colorScale>
        <cfvo type="min"/>
        <cfvo type="percentile" val="50"/>
        <cfvo type="max"/>
        <color rgb="FF63BE7B"/>
        <color rgb="FFFFEB84"/>
        <color rgb="FFF8696B"/>
      </colorScale>
    </cfRule>
    <cfRule type="colorScale" priority="10767">
      <colorScale>
        <cfvo type="min"/>
        <cfvo type="percentile" val="50"/>
        <cfvo type="max"/>
        <color rgb="FF63BE7B"/>
        <color rgb="FFFFEB84"/>
        <color rgb="FFF8696B"/>
      </colorScale>
    </cfRule>
    <cfRule type="colorScale" priority="10762">
      <colorScale>
        <cfvo type="min"/>
        <cfvo type="percentile" val="50"/>
        <cfvo type="max"/>
        <color rgb="FF63BE7B"/>
        <color rgb="FFFFEB84"/>
        <color rgb="FFF8696B"/>
      </colorScale>
    </cfRule>
    <cfRule type="colorScale" priority="10765">
      <colorScale>
        <cfvo type="min"/>
        <cfvo type="percentile" val="50"/>
        <cfvo type="max"/>
        <color rgb="FF63BE7B"/>
        <color rgb="FFFFEB84"/>
        <color rgb="FFF8696B"/>
      </colorScale>
    </cfRule>
    <cfRule type="colorScale" priority="10755">
      <colorScale>
        <cfvo type="min"/>
        <cfvo type="percentile" val="50"/>
        <cfvo type="max"/>
        <color rgb="FF63BE7B"/>
        <color rgb="FFFFEB84"/>
        <color rgb="FFF8696B"/>
      </colorScale>
    </cfRule>
    <cfRule type="colorScale" priority="10756">
      <colorScale>
        <cfvo type="min"/>
        <cfvo type="percentile" val="50"/>
        <cfvo type="max"/>
        <color rgb="FF63BE7B"/>
        <color rgb="FFFFEB84"/>
        <color rgb="FFF8696B"/>
      </colorScale>
    </cfRule>
    <cfRule type="colorScale" priority="13085">
      <colorScale>
        <cfvo type="min"/>
        <cfvo type="percentile" val="50"/>
        <cfvo type="max"/>
        <color rgb="FF63BE7B"/>
        <color rgb="FFFFEB84"/>
        <color rgb="FFF8696B"/>
      </colorScale>
    </cfRule>
    <cfRule type="colorScale" priority="10768">
      <colorScale>
        <cfvo type="min"/>
        <cfvo type="percentile" val="50"/>
        <cfvo type="max"/>
        <color rgb="FF63BE7B"/>
        <color rgb="FFFFEB84"/>
        <color rgb="FFF8696B"/>
      </colorScale>
    </cfRule>
  </conditionalFormatting>
  <conditionalFormatting sqref="AO36:AO41">
    <cfRule type="colorScale" priority="12953">
      <colorScale>
        <cfvo type="min"/>
        <cfvo type="percentile" val="50"/>
        <cfvo type="max"/>
        <color rgb="FF63BE7B"/>
        <color rgb="FFFFEB84"/>
        <color rgb="FFF8696B"/>
      </colorScale>
    </cfRule>
    <cfRule type="colorScale" priority="13086">
      <colorScale>
        <cfvo type="min"/>
        <cfvo type="percentile" val="50"/>
        <cfvo type="max"/>
        <color rgb="FF63BE7B"/>
        <color rgb="FFFFEB84"/>
        <color rgb="FFF8696B"/>
      </colorScale>
    </cfRule>
  </conditionalFormatting>
  <conditionalFormatting sqref="AO42:AO50">
    <cfRule type="colorScale" priority="12954">
      <colorScale>
        <cfvo type="min"/>
        <cfvo type="percentile" val="50"/>
        <cfvo type="max"/>
        <color rgb="FF63BE7B"/>
        <color rgb="FFFFEB84"/>
        <color rgb="FFF8696B"/>
      </colorScale>
    </cfRule>
    <cfRule type="colorScale" priority="7434">
      <colorScale>
        <cfvo type="min"/>
        <cfvo type="percentile" val="50"/>
        <cfvo type="max"/>
        <color rgb="FF63BE7B"/>
        <color rgb="FFFFEB84"/>
        <color rgb="FFF8696B"/>
      </colorScale>
    </cfRule>
    <cfRule type="colorScale" priority="12957">
      <colorScale>
        <cfvo type="min"/>
        <cfvo type="percentile" val="50"/>
        <cfvo type="max"/>
        <color rgb="FF63BE7B"/>
        <color rgb="FFFFEB84"/>
        <color rgb="FFF8696B"/>
      </colorScale>
    </cfRule>
    <cfRule type="colorScale" priority="12956">
      <colorScale>
        <cfvo type="min"/>
        <cfvo type="percentile" val="50"/>
        <cfvo type="max"/>
        <color rgb="FF63BE7B"/>
        <color rgb="FFFFEB84"/>
        <color rgb="FFF8696B"/>
      </colorScale>
    </cfRule>
    <cfRule type="colorScale" priority="12955">
      <colorScale>
        <cfvo type="min"/>
        <cfvo type="percentile" val="50"/>
        <cfvo type="max"/>
        <color rgb="FF63BE7B"/>
        <color rgb="FFFFEB84"/>
        <color rgb="FFF8696B"/>
      </colorScale>
    </cfRule>
  </conditionalFormatting>
  <conditionalFormatting sqref="AO51:AO53">
    <cfRule type="colorScale" priority="2763">
      <colorScale>
        <cfvo type="min"/>
        <cfvo type="percentile" val="50"/>
        <cfvo type="max"/>
        <color rgb="FF63BE7B"/>
        <color rgb="FFFFEB84"/>
        <color rgb="FFF8696B"/>
      </colorScale>
    </cfRule>
    <cfRule type="colorScale" priority="2734">
      <colorScale>
        <cfvo type="min"/>
        <cfvo type="percentile" val="50"/>
        <cfvo type="max"/>
        <color rgb="FFF8696B"/>
        <color rgb="FFFFEB84"/>
        <color rgb="FF63BE7B"/>
      </colorScale>
    </cfRule>
    <cfRule type="colorScale" priority="2762">
      <colorScale>
        <cfvo type="min"/>
        <cfvo type="percentile" val="50"/>
        <cfvo type="max"/>
        <color rgb="FF63BE7B"/>
        <color rgb="FFFFEB84"/>
        <color rgb="FFF8696B"/>
      </colorScale>
    </cfRule>
    <cfRule type="colorScale" priority="3758">
      <colorScale>
        <cfvo type="min"/>
        <cfvo type="percentile" val="50"/>
        <cfvo type="max"/>
        <color rgb="FF63BE7B"/>
        <color rgb="FFFFEB84"/>
        <color rgb="FFF8696B"/>
      </colorScale>
    </cfRule>
    <cfRule type="colorScale" priority="3759">
      <colorScale>
        <cfvo type="min"/>
        <cfvo type="percentile" val="50"/>
        <cfvo type="max"/>
        <color rgb="FF63BE7B"/>
        <color rgb="FFFFEB84"/>
        <color rgb="FFF8696B"/>
      </colorScale>
    </cfRule>
    <cfRule type="colorScale" priority="3731">
      <colorScale>
        <cfvo type="min"/>
        <cfvo type="percentile" val="50"/>
        <cfvo type="max"/>
        <color rgb="FF63BE7B"/>
        <color rgb="FFFFEB84"/>
        <color rgb="FFF8696B"/>
      </colorScale>
    </cfRule>
    <cfRule type="colorScale" priority="12860">
      <colorScale>
        <cfvo type="min"/>
        <cfvo type="percentile" val="50"/>
        <cfvo type="max"/>
        <color rgb="FF63BE7B"/>
        <color rgb="FFFFEB84"/>
        <color rgb="FFF8696B"/>
      </colorScale>
    </cfRule>
    <cfRule type="colorScale" priority="12861">
      <colorScale>
        <cfvo type="min"/>
        <cfvo type="percentile" val="50"/>
        <cfvo type="max"/>
        <color rgb="FF63BE7B"/>
        <color rgb="FFFFEB84"/>
        <color rgb="FFF8696B"/>
      </colorScale>
    </cfRule>
    <cfRule type="colorScale" priority="12862">
      <colorScale>
        <cfvo type="min"/>
        <cfvo type="percentile" val="50"/>
        <cfvo type="max"/>
        <color rgb="FF63BE7B"/>
        <color rgb="FFFFEB84"/>
        <color rgb="FFF8696B"/>
      </colorScale>
    </cfRule>
    <cfRule type="colorScale" priority="12863">
      <colorScale>
        <cfvo type="min"/>
        <cfvo type="percentile" val="50"/>
        <cfvo type="max"/>
        <color rgb="FF63BE7B"/>
        <color rgb="FFFFEB84"/>
        <color rgb="FFF8696B"/>
      </colorScale>
    </cfRule>
  </conditionalFormatting>
  <conditionalFormatting sqref="AO52:AO53 L52:L53 AA52:AB53">
    <cfRule type="colorScale" priority="7116">
      <colorScale>
        <cfvo type="min"/>
        <cfvo type="percentile" val="50"/>
        <cfvo type="max"/>
        <color rgb="FF63BE7B"/>
        <color rgb="FFFFEB84"/>
        <color rgb="FFF8696B"/>
      </colorScale>
    </cfRule>
    <cfRule type="colorScale" priority="7117">
      <colorScale>
        <cfvo type="min"/>
        <cfvo type="percentile" val="50"/>
        <cfvo type="max"/>
        <color rgb="FF63BE7B"/>
        <color rgb="FFFFEB84"/>
        <color rgb="FFF8696B"/>
      </colorScale>
    </cfRule>
    <cfRule type="colorScale" priority="7118">
      <colorScale>
        <cfvo type="min"/>
        <cfvo type="percentile" val="50"/>
        <cfvo type="max"/>
        <color rgb="FF63BE7B"/>
        <color rgb="FFFFEB84"/>
        <color rgb="FFF8696B"/>
      </colorScale>
    </cfRule>
    <cfRule type="colorScale" priority="7119">
      <colorScale>
        <cfvo type="min"/>
        <cfvo type="percentile" val="50"/>
        <cfvo type="max"/>
        <color rgb="FF63BE7B"/>
        <color rgb="FFFFEB84"/>
        <color rgb="FFF8696B"/>
      </colorScale>
    </cfRule>
    <cfRule type="colorScale" priority="7265">
      <colorScale>
        <cfvo type="min"/>
        <cfvo type="percentile" val="50"/>
        <cfvo type="max"/>
        <color rgb="FF63BE7B"/>
        <color rgb="FFFFEB84"/>
        <color rgb="FFF8696B"/>
      </colorScale>
    </cfRule>
  </conditionalFormatting>
  <conditionalFormatting sqref="AO52:AO53">
    <cfRule type="colorScale" priority="2902">
      <colorScale>
        <cfvo type="min"/>
        <cfvo type="percentile" val="50"/>
        <cfvo type="max"/>
        <color rgb="FF63BE7B"/>
        <color rgb="FFFFEB84"/>
        <color rgb="FFF8696B"/>
      </colorScale>
    </cfRule>
    <cfRule type="colorScale" priority="2901">
      <colorScale>
        <cfvo type="min"/>
        <cfvo type="percentile" val="50"/>
        <cfvo type="max"/>
        <color rgb="FF63BE7B"/>
        <color rgb="FFFFEB84"/>
        <color rgb="FFF8696B"/>
      </colorScale>
    </cfRule>
    <cfRule type="colorScale" priority="2900">
      <colorScale>
        <cfvo type="min"/>
        <cfvo type="percentile" val="50"/>
        <cfvo type="max"/>
        <color rgb="FF63BE7B"/>
        <color rgb="FFFFEB84"/>
        <color rgb="FFF8696B"/>
      </colorScale>
    </cfRule>
    <cfRule type="colorScale" priority="2899">
      <colorScale>
        <cfvo type="min"/>
        <cfvo type="percentile" val="50"/>
        <cfvo type="max"/>
        <color rgb="FF63BE7B"/>
        <color rgb="FFFFEB84"/>
        <color rgb="FFF8696B"/>
      </colorScale>
    </cfRule>
    <cfRule type="colorScale" priority="2898">
      <colorScale>
        <cfvo type="min"/>
        <cfvo type="percentile" val="50"/>
        <cfvo type="max"/>
        <color rgb="FF63BE7B"/>
        <color rgb="FFFFEB84"/>
        <color rgb="FFF8696B"/>
      </colorScale>
    </cfRule>
    <cfRule type="colorScale" priority="2897">
      <colorScale>
        <cfvo type="min"/>
        <cfvo type="percentile" val="50"/>
        <cfvo type="max"/>
        <color rgb="FF63BE7B"/>
        <color rgb="FFFFEB84"/>
        <color rgb="FFF8696B"/>
      </colorScale>
    </cfRule>
    <cfRule type="colorScale" priority="2896">
      <colorScale>
        <cfvo type="min"/>
        <cfvo type="percentile" val="50"/>
        <cfvo type="max"/>
        <color rgb="FF63BE7B"/>
        <color rgb="FFFFEB84"/>
        <color rgb="FFF8696B"/>
      </colorScale>
    </cfRule>
    <cfRule type="colorScale" priority="2895">
      <colorScale>
        <cfvo type="min"/>
        <cfvo type="percentile" val="50"/>
        <cfvo type="max"/>
        <color rgb="FF63BE7B"/>
        <color rgb="FFFFEB84"/>
        <color rgb="FFF8696B"/>
      </colorScale>
    </cfRule>
    <cfRule type="colorScale" priority="2894">
      <colorScale>
        <cfvo type="min"/>
        <cfvo type="percentile" val="50"/>
        <cfvo type="max"/>
        <color rgb="FF63BE7B"/>
        <color rgb="FFFFEB84"/>
        <color rgb="FFF8696B"/>
      </colorScale>
    </cfRule>
    <cfRule type="colorScale" priority="2893">
      <colorScale>
        <cfvo type="min"/>
        <cfvo type="percentile" val="50"/>
        <cfvo type="max"/>
        <color rgb="FF63BE7B"/>
        <color rgb="FFFFEB84"/>
        <color rgb="FFF8696B"/>
      </colorScale>
    </cfRule>
    <cfRule type="colorScale" priority="2892">
      <colorScale>
        <cfvo type="min"/>
        <cfvo type="percentile" val="50"/>
        <cfvo type="max"/>
        <color rgb="FF63BE7B"/>
        <color rgb="FFFFEB84"/>
        <color rgb="FFF8696B"/>
      </colorScale>
    </cfRule>
    <cfRule type="colorScale" priority="2891">
      <colorScale>
        <cfvo type="min"/>
        <cfvo type="percentile" val="50"/>
        <cfvo type="max"/>
        <color rgb="FF63BE7B"/>
        <color rgb="FFFFEB84"/>
        <color rgb="FFF8696B"/>
      </colorScale>
    </cfRule>
    <cfRule type="colorScale" priority="2890">
      <colorScale>
        <cfvo type="min"/>
        <cfvo type="percentile" val="50"/>
        <cfvo type="max"/>
        <color rgb="FF63BE7B"/>
        <color rgb="FFFFEB84"/>
        <color rgb="FFF8696B"/>
      </colorScale>
    </cfRule>
    <cfRule type="colorScale" priority="2889">
      <colorScale>
        <cfvo type="min"/>
        <cfvo type="percentile" val="50"/>
        <cfvo type="max"/>
        <color rgb="FF63BE7B"/>
        <color rgb="FFFFEB84"/>
        <color rgb="FFF8696B"/>
      </colorScale>
    </cfRule>
    <cfRule type="colorScale" priority="2888">
      <colorScale>
        <cfvo type="min"/>
        <cfvo type="percentile" val="50"/>
        <cfvo type="max"/>
        <color rgb="FF63BE7B"/>
        <color rgb="FFFFEB84"/>
        <color rgb="FFF8696B"/>
      </colorScale>
    </cfRule>
    <cfRule type="colorScale" priority="2887">
      <colorScale>
        <cfvo type="min"/>
        <cfvo type="percentile" val="50"/>
        <cfvo type="max"/>
        <color rgb="FF63BE7B"/>
        <color rgb="FFFFEB84"/>
        <color rgb="FFF8696B"/>
      </colorScale>
    </cfRule>
    <cfRule type="colorScale" priority="2886">
      <colorScale>
        <cfvo type="min"/>
        <cfvo type="percentile" val="50"/>
        <cfvo type="max"/>
        <color rgb="FF63BE7B"/>
        <color rgb="FFFFEB84"/>
        <color rgb="FFF8696B"/>
      </colorScale>
    </cfRule>
    <cfRule type="colorScale" priority="2885">
      <colorScale>
        <cfvo type="min"/>
        <cfvo type="percentile" val="50"/>
        <cfvo type="max"/>
        <color rgb="FF63BE7B"/>
        <color rgb="FFFFEB84"/>
        <color rgb="FFF8696B"/>
      </colorScale>
    </cfRule>
    <cfRule type="colorScale" priority="2884">
      <colorScale>
        <cfvo type="min"/>
        <cfvo type="percentile" val="50"/>
        <cfvo type="max"/>
        <color rgb="FF63BE7B"/>
        <color rgb="FFFFEB84"/>
        <color rgb="FFF8696B"/>
      </colorScale>
    </cfRule>
    <cfRule type="colorScale" priority="2883">
      <colorScale>
        <cfvo type="min"/>
        <cfvo type="percentile" val="50"/>
        <cfvo type="max"/>
        <color rgb="FF63BE7B"/>
        <color rgb="FFFFEB84"/>
        <color rgb="FFF8696B"/>
      </colorScale>
    </cfRule>
    <cfRule type="colorScale" priority="2882">
      <colorScale>
        <cfvo type="min"/>
        <cfvo type="percentile" val="50"/>
        <cfvo type="max"/>
        <color rgb="FF63BE7B"/>
        <color rgb="FFFFEB84"/>
        <color rgb="FFF8696B"/>
      </colorScale>
    </cfRule>
    <cfRule type="colorScale" priority="2881">
      <colorScale>
        <cfvo type="min"/>
        <cfvo type="percentile" val="50"/>
        <cfvo type="max"/>
        <color rgb="FF63BE7B"/>
        <color rgb="FFFFEB84"/>
        <color rgb="FFF8696B"/>
      </colorScale>
    </cfRule>
    <cfRule type="colorScale" priority="2880">
      <colorScale>
        <cfvo type="min"/>
        <cfvo type="percentile" val="50"/>
        <cfvo type="max"/>
        <color rgb="FF63BE7B"/>
        <color rgb="FFFFEB84"/>
        <color rgb="FFF8696B"/>
      </colorScale>
    </cfRule>
    <cfRule type="colorScale" priority="2879">
      <colorScale>
        <cfvo type="min"/>
        <cfvo type="percentile" val="50"/>
        <cfvo type="max"/>
        <color rgb="FF63BE7B"/>
        <color rgb="FFFFEB84"/>
        <color rgb="FFF8696B"/>
      </colorScale>
    </cfRule>
    <cfRule type="colorScale" priority="2878">
      <colorScale>
        <cfvo type="min"/>
        <cfvo type="percentile" val="50"/>
        <cfvo type="max"/>
        <color rgb="FF63BE7B"/>
        <color rgb="FFFFEB84"/>
        <color rgb="FFF8696B"/>
      </colorScale>
    </cfRule>
    <cfRule type="colorScale" priority="2877">
      <colorScale>
        <cfvo type="min"/>
        <cfvo type="percentile" val="50"/>
        <cfvo type="max"/>
        <color rgb="FF63BE7B"/>
        <color rgb="FFFFEB84"/>
        <color rgb="FFF8696B"/>
      </colorScale>
    </cfRule>
    <cfRule type="colorScale" priority="2876">
      <colorScale>
        <cfvo type="min"/>
        <cfvo type="percentile" val="50"/>
        <cfvo type="max"/>
        <color rgb="FF63BE7B"/>
        <color rgb="FFFFEB84"/>
        <color rgb="FFF8696B"/>
      </colorScale>
    </cfRule>
    <cfRule type="colorScale" priority="2875">
      <colorScale>
        <cfvo type="min"/>
        <cfvo type="percentile" val="50"/>
        <cfvo type="max"/>
        <color rgb="FF63BE7B"/>
        <color rgb="FFFFEB84"/>
        <color rgb="FFF8696B"/>
      </colorScale>
    </cfRule>
    <cfRule type="colorScale" priority="2874">
      <colorScale>
        <cfvo type="min"/>
        <cfvo type="percentile" val="50"/>
        <cfvo type="max"/>
        <color rgb="FF63BE7B"/>
        <color rgb="FFFFEB84"/>
        <color rgb="FFF8696B"/>
      </colorScale>
    </cfRule>
    <cfRule type="colorScale" priority="2873">
      <colorScale>
        <cfvo type="min"/>
        <cfvo type="percentile" val="50"/>
        <cfvo type="max"/>
        <color rgb="FF63BE7B"/>
        <color rgb="FFFFEB84"/>
        <color rgb="FFF8696B"/>
      </colorScale>
    </cfRule>
    <cfRule type="colorScale" priority="2872">
      <colorScale>
        <cfvo type="min"/>
        <cfvo type="percentile" val="50"/>
        <cfvo type="max"/>
        <color rgb="FF63BE7B"/>
        <color rgb="FFFFEB84"/>
        <color rgb="FFF8696B"/>
      </colorScale>
    </cfRule>
    <cfRule type="colorScale" priority="2871">
      <colorScale>
        <cfvo type="min"/>
        <cfvo type="percentile" val="50"/>
        <cfvo type="max"/>
        <color rgb="FF63BE7B"/>
        <color rgb="FFFFEB84"/>
        <color rgb="FFF8696B"/>
      </colorScale>
    </cfRule>
    <cfRule type="colorScale" priority="2870">
      <colorScale>
        <cfvo type="min"/>
        <cfvo type="percentile" val="50"/>
        <cfvo type="max"/>
        <color rgb="FF63BE7B"/>
        <color rgb="FFFFEB84"/>
        <color rgb="FFF8696B"/>
      </colorScale>
    </cfRule>
    <cfRule type="colorScale" priority="2869">
      <colorScale>
        <cfvo type="min"/>
        <cfvo type="percentile" val="50"/>
        <cfvo type="max"/>
        <color rgb="FF63BE7B"/>
        <color rgb="FFFFEB84"/>
        <color rgb="FFF8696B"/>
      </colorScale>
    </cfRule>
    <cfRule type="colorScale" priority="2868">
      <colorScale>
        <cfvo type="min"/>
        <cfvo type="percentile" val="50"/>
        <cfvo type="max"/>
        <color rgb="FF63BE7B"/>
        <color rgb="FFFFEB84"/>
        <color rgb="FFF8696B"/>
      </colorScale>
    </cfRule>
    <cfRule type="colorScale" priority="2867">
      <colorScale>
        <cfvo type="min"/>
        <cfvo type="percentile" val="50"/>
        <cfvo type="max"/>
        <color rgb="FF63BE7B"/>
        <color rgb="FFFFEB84"/>
        <color rgb="FFF8696B"/>
      </colorScale>
    </cfRule>
    <cfRule type="colorScale" priority="2866">
      <colorScale>
        <cfvo type="min"/>
        <cfvo type="percentile" val="50"/>
        <cfvo type="max"/>
        <color rgb="FF63BE7B"/>
        <color rgb="FFFFEB84"/>
        <color rgb="FFF8696B"/>
      </colorScale>
    </cfRule>
    <cfRule type="colorScale" priority="2865">
      <colorScale>
        <cfvo type="min"/>
        <cfvo type="percentile" val="50"/>
        <cfvo type="max"/>
        <color rgb="FF63BE7B"/>
        <color rgb="FFFFEB84"/>
        <color rgb="FFF8696B"/>
      </colorScale>
    </cfRule>
    <cfRule type="colorScale" priority="2864">
      <colorScale>
        <cfvo type="min"/>
        <cfvo type="percentile" val="50"/>
        <cfvo type="max"/>
        <color rgb="FF63BE7B"/>
        <color rgb="FFFFEB84"/>
        <color rgb="FFF8696B"/>
      </colorScale>
    </cfRule>
    <cfRule type="colorScale" priority="2863">
      <colorScale>
        <cfvo type="min"/>
        <cfvo type="percentile" val="50"/>
        <cfvo type="max"/>
        <color rgb="FF63BE7B"/>
        <color rgb="FFFFEB84"/>
        <color rgb="FFF8696B"/>
      </colorScale>
    </cfRule>
    <cfRule type="colorScale" priority="2862">
      <colorScale>
        <cfvo type="min"/>
        <cfvo type="percentile" val="50"/>
        <cfvo type="max"/>
        <color rgb="FF63BE7B"/>
        <color rgb="FFFFEB84"/>
        <color rgb="FFF8696B"/>
      </colorScale>
    </cfRule>
    <cfRule type="colorScale" priority="2861">
      <colorScale>
        <cfvo type="min"/>
        <cfvo type="percentile" val="50"/>
        <cfvo type="max"/>
        <color rgb="FF63BE7B"/>
        <color rgb="FFFFEB84"/>
        <color rgb="FFF8696B"/>
      </colorScale>
    </cfRule>
    <cfRule type="colorScale" priority="2860">
      <colorScale>
        <cfvo type="min"/>
        <cfvo type="percentile" val="50"/>
        <cfvo type="max"/>
        <color rgb="FF63BE7B"/>
        <color rgb="FFFFEB84"/>
        <color rgb="FFF8696B"/>
      </colorScale>
    </cfRule>
    <cfRule type="colorScale" priority="2859">
      <colorScale>
        <cfvo type="min"/>
        <cfvo type="percentile" val="50"/>
        <cfvo type="max"/>
        <color rgb="FF63BE7B"/>
        <color rgb="FFFFEB84"/>
        <color rgb="FFF8696B"/>
      </colorScale>
    </cfRule>
    <cfRule type="colorScale" priority="2858">
      <colorScale>
        <cfvo type="min"/>
        <cfvo type="percentile" val="50"/>
        <cfvo type="max"/>
        <color rgb="FF63BE7B"/>
        <color rgb="FFFFEB84"/>
        <color rgb="FFF8696B"/>
      </colorScale>
    </cfRule>
    <cfRule type="colorScale" priority="2857">
      <colorScale>
        <cfvo type="min"/>
        <cfvo type="percentile" val="50"/>
        <cfvo type="max"/>
        <color rgb="FF63BE7B"/>
        <color rgb="FFFFEB84"/>
        <color rgb="FFF8696B"/>
      </colorScale>
    </cfRule>
    <cfRule type="colorScale" priority="2856">
      <colorScale>
        <cfvo type="min"/>
        <cfvo type="percentile" val="50"/>
        <cfvo type="max"/>
        <color rgb="FF63BE7B"/>
        <color rgb="FFFFEB84"/>
        <color rgb="FFF8696B"/>
      </colorScale>
    </cfRule>
    <cfRule type="colorScale" priority="2855">
      <colorScale>
        <cfvo type="min"/>
        <cfvo type="percentile" val="50"/>
        <cfvo type="max"/>
        <color rgb="FF63BE7B"/>
        <color rgb="FFFFEB84"/>
        <color rgb="FFF8696B"/>
      </colorScale>
    </cfRule>
    <cfRule type="colorScale" priority="2854">
      <colorScale>
        <cfvo type="min"/>
        <cfvo type="percentile" val="50"/>
        <cfvo type="max"/>
        <color rgb="FF63BE7B"/>
        <color rgb="FFFFEB84"/>
        <color rgb="FFF8696B"/>
      </colorScale>
    </cfRule>
    <cfRule type="colorScale" priority="2853">
      <colorScale>
        <cfvo type="min"/>
        <cfvo type="percentile" val="50"/>
        <cfvo type="max"/>
        <color rgb="FF63BE7B"/>
        <color rgb="FFFFEB84"/>
        <color rgb="FFF8696B"/>
      </colorScale>
    </cfRule>
    <cfRule type="colorScale" priority="2852">
      <colorScale>
        <cfvo type="min"/>
        <cfvo type="percentile" val="50"/>
        <cfvo type="max"/>
        <color rgb="FF63BE7B"/>
        <color rgb="FFFFEB84"/>
        <color rgb="FFF8696B"/>
      </colorScale>
    </cfRule>
    <cfRule type="colorScale" priority="2851">
      <colorScale>
        <cfvo type="min"/>
        <cfvo type="percentile" val="50"/>
        <cfvo type="max"/>
        <color rgb="FFF8696B"/>
        <color rgb="FFFFEB84"/>
        <color rgb="FF63BE7B"/>
      </colorScale>
    </cfRule>
    <cfRule type="colorScale" priority="2850">
      <colorScale>
        <cfvo type="min"/>
        <cfvo type="percentile" val="50"/>
        <cfvo type="max"/>
        <color rgb="FF63BE7B"/>
        <color rgb="FFFFEB84"/>
        <color rgb="FFF8696B"/>
      </colorScale>
    </cfRule>
    <cfRule type="colorScale" priority="2848">
      <colorScale>
        <cfvo type="min"/>
        <cfvo type="percentile" val="50"/>
        <cfvo type="max"/>
        <color rgb="FF63BE7B"/>
        <color rgb="FFFFEB84"/>
        <color rgb="FFF8696B"/>
      </colorScale>
    </cfRule>
    <cfRule type="colorScale" priority="2847">
      <colorScale>
        <cfvo type="min"/>
        <cfvo type="percentile" val="50"/>
        <cfvo type="max"/>
        <color rgb="FF63BE7B"/>
        <color rgb="FFFFEB84"/>
        <color rgb="FFF8696B"/>
      </colorScale>
    </cfRule>
    <cfRule type="colorScale" priority="2846">
      <colorScale>
        <cfvo type="min"/>
        <cfvo type="percentile" val="50"/>
        <cfvo type="max"/>
        <color rgb="FF63BE7B"/>
        <color rgb="FFFFEB84"/>
        <color rgb="FFF8696B"/>
      </colorScale>
    </cfRule>
    <cfRule type="colorScale" priority="2845">
      <colorScale>
        <cfvo type="min"/>
        <cfvo type="percentile" val="50"/>
        <cfvo type="max"/>
        <color rgb="FF63BE7B"/>
        <color rgb="FFFFEB84"/>
        <color rgb="FFF8696B"/>
      </colorScale>
    </cfRule>
    <cfRule type="colorScale" priority="2844">
      <colorScale>
        <cfvo type="min"/>
        <cfvo type="percentile" val="50"/>
        <cfvo type="max"/>
        <color rgb="FF63BE7B"/>
        <color rgb="FFFFEB84"/>
        <color rgb="FFF8696B"/>
      </colorScale>
    </cfRule>
    <cfRule type="colorScale" priority="2843">
      <colorScale>
        <cfvo type="min"/>
        <cfvo type="percentile" val="50"/>
        <cfvo type="max"/>
        <color rgb="FF63BE7B"/>
        <color rgb="FFFFEB84"/>
        <color rgb="FFF8696B"/>
      </colorScale>
    </cfRule>
    <cfRule type="colorScale" priority="2842">
      <colorScale>
        <cfvo type="min"/>
        <cfvo type="percentile" val="50"/>
        <cfvo type="max"/>
        <color rgb="FF63BE7B"/>
        <color rgb="FFFFEB84"/>
        <color rgb="FFF8696B"/>
      </colorScale>
    </cfRule>
    <cfRule type="colorScale" priority="2841">
      <colorScale>
        <cfvo type="min"/>
        <cfvo type="percentile" val="50"/>
        <cfvo type="max"/>
        <color rgb="FF63BE7B"/>
        <color rgb="FFFFEB84"/>
        <color rgb="FFF8696B"/>
      </colorScale>
    </cfRule>
    <cfRule type="colorScale" priority="2840">
      <colorScale>
        <cfvo type="min"/>
        <cfvo type="percentile" val="50"/>
        <cfvo type="max"/>
        <color rgb="FF63BE7B"/>
        <color rgb="FFFFEB84"/>
        <color rgb="FFF8696B"/>
      </colorScale>
    </cfRule>
    <cfRule type="colorScale" priority="2839">
      <colorScale>
        <cfvo type="min"/>
        <cfvo type="percentile" val="50"/>
        <cfvo type="max"/>
        <color rgb="FF63BE7B"/>
        <color rgb="FFFFEB84"/>
        <color rgb="FFF8696B"/>
      </colorScale>
    </cfRule>
    <cfRule type="colorScale" priority="2838">
      <colorScale>
        <cfvo type="min"/>
        <cfvo type="percentile" val="50"/>
        <cfvo type="max"/>
        <color rgb="FF63BE7B"/>
        <color rgb="FFFFEB84"/>
        <color rgb="FFF8696B"/>
      </colorScale>
    </cfRule>
    <cfRule type="colorScale" priority="2837">
      <colorScale>
        <cfvo type="min"/>
        <cfvo type="percentile" val="50"/>
        <cfvo type="max"/>
        <color rgb="FF63BE7B"/>
        <color rgb="FFFFEB84"/>
        <color rgb="FFF8696B"/>
      </colorScale>
    </cfRule>
    <cfRule type="colorScale" priority="2836">
      <colorScale>
        <cfvo type="min"/>
        <cfvo type="percentile" val="50"/>
        <cfvo type="max"/>
        <color rgb="FF63BE7B"/>
        <color rgb="FFFFEB84"/>
        <color rgb="FFF8696B"/>
      </colorScale>
    </cfRule>
    <cfRule type="colorScale" priority="2835">
      <colorScale>
        <cfvo type="min"/>
        <cfvo type="percentile" val="50"/>
        <cfvo type="max"/>
        <color rgb="FF63BE7B"/>
        <color rgb="FFFFEB84"/>
        <color rgb="FFF8696B"/>
      </colorScale>
    </cfRule>
    <cfRule type="colorScale" priority="2834">
      <colorScale>
        <cfvo type="min"/>
        <cfvo type="percentile" val="50"/>
        <cfvo type="max"/>
        <color rgb="FF63BE7B"/>
        <color rgb="FFFFEB84"/>
        <color rgb="FFF8696B"/>
      </colorScale>
    </cfRule>
    <cfRule type="colorScale" priority="2833">
      <colorScale>
        <cfvo type="min"/>
        <cfvo type="percentile" val="50"/>
        <cfvo type="max"/>
        <color rgb="FF63BE7B"/>
        <color rgb="FFFFEB84"/>
        <color rgb="FFF8696B"/>
      </colorScale>
    </cfRule>
    <cfRule type="colorScale" priority="2832">
      <colorScale>
        <cfvo type="min"/>
        <cfvo type="percentile" val="50"/>
        <cfvo type="max"/>
        <color rgb="FF63BE7B"/>
        <color rgb="FFFFEB84"/>
        <color rgb="FFF8696B"/>
      </colorScale>
    </cfRule>
    <cfRule type="colorScale" priority="2831">
      <colorScale>
        <cfvo type="min"/>
        <cfvo type="percentile" val="50"/>
        <cfvo type="max"/>
        <color rgb="FF63BE7B"/>
        <color rgb="FFFFEB84"/>
        <color rgb="FFF8696B"/>
      </colorScale>
    </cfRule>
    <cfRule type="colorScale" priority="2830">
      <colorScale>
        <cfvo type="min"/>
        <cfvo type="percentile" val="50"/>
        <cfvo type="max"/>
        <color rgb="FF63BE7B"/>
        <color rgb="FFFFEB84"/>
        <color rgb="FFF8696B"/>
      </colorScale>
    </cfRule>
    <cfRule type="colorScale" priority="2829">
      <colorScale>
        <cfvo type="min"/>
        <cfvo type="percentile" val="50"/>
        <cfvo type="max"/>
        <color rgb="FF63BE7B"/>
        <color rgb="FFFFEB84"/>
        <color rgb="FFF8696B"/>
      </colorScale>
    </cfRule>
    <cfRule type="colorScale" priority="2828">
      <colorScale>
        <cfvo type="min"/>
        <cfvo type="percentile" val="50"/>
        <cfvo type="max"/>
        <color rgb="FF63BE7B"/>
        <color rgb="FFFFEB84"/>
        <color rgb="FFF8696B"/>
      </colorScale>
    </cfRule>
    <cfRule type="colorScale" priority="2827">
      <colorScale>
        <cfvo type="min"/>
        <cfvo type="percentile" val="50"/>
        <cfvo type="max"/>
        <color rgb="FF63BE7B"/>
        <color rgb="FFFFEB84"/>
        <color rgb="FFF8696B"/>
      </colorScale>
    </cfRule>
    <cfRule type="colorScale" priority="2826">
      <colorScale>
        <cfvo type="min"/>
        <cfvo type="percentile" val="50"/>
        <cfvo type="max"/>
        <color rgb="FF63BE7B"/>
        <color rgb="FFFFEB84"/>
        <color rgb="FFF8696B"/>
      </colorScale>
    </cfRule>
    <cfRule type="colorScale" priority="2825">
      <colorScale>
        <cfvo type="min"/>
        <cfvo type="percentile" val="50"/>
        <cfvo type="max"/>
        <color rgb="FF63BE7B"/>
        <color rgb="FFFFEB84"/>
        <color rgb="FFF8696B"/>
      </colorScale>
    </cfRule>
    <cfRule type="colorScale" priority="2824">
      <colorScale>
        <cfvo type="min"/>
        <cfvo type="percentile" val="50"/>
        <cfvo type="max"/>
        <color rgb="FF63BE7B"/>
        <color rgb="FFFFEB84"/>
        <color rgb="FFF8696B"/>
      </colorScale>
    </cfRule>
    <cfRule type="colorScale" priority="2823">
      <colorScale>
        <cfvo type="min"/>
        <cfvo type="percentile" val="50"/>
        <cfvo type="max"/>
        <color rgb="FF63BE7B"/>
        <color rgb="FFFFEB84"/>
        <color rgb="FFF8696B"/>
      </colorScale>
    </cfRule>
    <cfRule type="colorScale" priority="2822">
      <colorScale>
        <cfvo type="min"/>
        <cfvo type="percentile" val="50"/>
        <cfvo type="max"/>
        <color rgb="FF63BE7B"/>
        <color rgb="FFFFEB84"/>
        <color rgb="FFF8696B"/>
      </colorScale>
    </cfRule>
    <cfRule type="colorScale" priority="2821">
      <colorScale>
        <cfvo type="min"/>
        <cfvo type="percentile" val="50"/>
        <cfvo type="max"/>
        <color rgb="FF63BE7B"/>
        <color rgb="FFFFEB84"/>
        <color rgb="FFF8696B"/>
      </colorScale>
    </cfRule>
    <cfRule type="colorScale" priority="2820">
      <colorScale>
        <cfvo type="min"/>
        <cfvo type="percentile" val="50"/>
        <cfvo type="max"/>
        <color rgb="FF63BE7B"/>
        <color rgb="FFFFEB84"/>
        <color rgb="FFF8696B"/>
      </colorScale>
    </cfRule>
    <cfRule type="colorScale" priority="2819">
      <colorScale>
        <cfvo type="min"/>
        <cfvo type="percentile" val="50"/>
        <cfvo type="max"/>
        <color rgb="FF63BE7B"/>
        <color rgb="FFFFEB84"/>
        <color rgb="FFF8696B"/>
      </colorScale>
    </cfRule>
    <cfRule type="colorScale" priority="2818">
      <colorScale>
        <cfvo type="min"/>
        <cfvo type="percentile" val="50"/>
        <cfvo type="max"/>
        <color rgb="FF63BE7B"/>
        <color rgb="FFFFEB84"/>
        <color rgb="FFF8696B"/>
      </colorScale>
    </cfRule>
    <cfRule type="colorScale" priority="2817">
      <colorScale>
        <cfvo type="min"/>
        <cfvo type="percentile" val="50"/>
        <cfvo type="max"/>
        <color rgb="FF63BE7B"/>
        <color rgb="FFFFEB84"/>
        <color rgb="FFF8696B"/>
      </colorScale>
    </cfRule>
    <cfRule type="colorScale" priority="2816">
      <colorScale>
        <cfvo type="min"/>
        <cfvo type="percentile" val="50"/>
        <cfvo type="max"/>
        <color rgb="FF63BE7B"/>
        <color rgb="FFFFEB84"/>
        <color rgb="FFF8696B"/>
      </colorScale>
    </cfRule>
    <cfRule type="colorScale" priority="2815">
      <colorScale>
        <cfvo type="min"/>
        <cfvo type="percentile" val="50"/>
        <cfvo type="max"/>
        <color rgb="FF63BE7B"/>
        <color rgb="FFFFEB84"/>
        <color rgb="FFF8696B"/>
      </colorScale>
    </cfRule>
    <cfRule type="colorScale" priority="2814">
      <colorScale>
        <cfvo type="min"/>
        <cfvo type="percentile" val="50"/>
        <cfvo type="max"/>
        <color rgb="FF63BE7B"/>
        <color rgb="FFFFEB84"/>
        <color rgb="FFF8696B"/>
      </colorScale>
    </cfRule>
    <cfRule type="colorScale" priority="2813">
      <colorScale>
        <cfvo type="min"/>
        <cfvo type="percentile" val="50"/>
        <cfvo type="max"/>
        <color rgb="FF63BE7B"/>
        <color rgb="FFFFEB84"/>
        <color rgb="FFF8696B"/>
      </colorScale>
    </cfRule>
    <cfRule type="colorScale" priority="2812">
      <colorScale>
        <cfvo type="min"/>
        <cfvo type="percentile" val="50"/>
        <cfvo type="max"/>
        <color rgb="FF63BE7B"/>
        <color rgb="FFFFEB84"/>
        <color rgb="FFF8696B"/>
      </colorScale>
    </cfRule>
    <cfRule type="colorScale" priority="2811">
      <colorScale>
        <cfvo type="min"/>
        <cfvo type="percentile" val="50"/>
        <cfvo type="max"/>
        <color rgb="FF63BE7B"/>
        <color rgb="FFFFEB84"/>
        <color rgb="FFF8696B"/>
      </colorScale>
    </cfRule>
    <cfRule type="colorScale" priority="2810">
      <colorScale>
        <cfvo type="min"/>
        <cfvo type="percentile" val="50"/>
        <cfvo type="max"/>
        <color rgb="FF63BE7B"/>
        <color rgb="FFFFEB84"/>
        <color rgb="FFF8696B"/>
      </colorScale>
    </cfRule>
    <cfRule type="colorScale" priority="2809">
      <colorScale>
        <cfvo type="min"/>
        <cfvo type="percentile" val="50"/>
        <cfvo type="max"/>
        <color rgb="FF63BE7B"/>
        <color rgb="FFFFEB84"/>
        <color rgb="FFF8696B"/>
      </colorScale>
    </cfRule>
    <cfRule type="colorScale" priority="2808">
      <colorScale>
        <cfvo type="min"/>
        <cfvo type="percentile" val="50"/>
        <cfvo type="max"/>
        <color rgb="FF63BE7B"/>
        <color rgb="FFFFEB84"/>
        <color rgb="FFF8696B"/>
      </colorScale>
    </cfRule>
    <cfRule type="colorScale" priority="2807">
      <colorScale>
        <cfvo type="min"/>
        <cfvo type="percentile" val="50"/>
        <cfvo type="max"/>
        <color rgb="FF63BE7B"/>
        <color rgb="FFFFEB84"/>
        <color rgb="FFF8696B"/>
      </colorScale>
    </cfRule>
    <cfRule type="colorScale" priority="2806">
      <colorScale>
        <cfvo type="min"/>
        <cfvo type="percentile" val="50"/>
        <cfvo type="max"/>
        <color rgb="FF63BE7B"/>
        <color rgb="FFFFEB84"/>
        <color rgb="FFF8696B"/>
      </colorScale>
    </cfRule>
    <cfRule type="colorScale" priority="2805">
      <colorScale>
        <cfvo type="min"/>
        <cfvo type="percentile" val="50"/>
        <cfvo type="max"/>
        <color rgb="FF63BE7B"/>
        <color rgb="FFFFEB84"/>
        <color rgb="FFF8696B"/>
      </colorScale>
    </cfRule>
    <cfRule type="colorScale" priority="2804">
      <colorScale>
        <cfvo type="min"/>
        <cfvo type="percentile" val="50"/>
        <cfvo type="max"/>
        <color rgb="FF63BE7B"/>
        <color rgb="FFFFEB84"/>
        <color rgb="FFF8696B"/>
      </colorScale>
    </cfRule>
    <cfRule type="colorScale" priority="2803">
      <colorScale>
        <cfvo type="min"/>
        <cfvo type="percentile" val="50"/>
        <cfvo type="max"/>
        <color rgb="FFF8696B"/>
        <color rgb="FFFFEB84"/>
        <color rgb="FF63BE7B"/>
      </colorScale>
    </cfRule>
    <cfRule type="colorScale" priority="2802">
      <colorScale>
        <cfvo type="min"/>
        <cfvo type="percentile" val="50"/>
        <cfvo type="max"/>
        <color rgb="FF63BE7B"/>
        <color rgb="FFFFEB84"/>
        <color rgb="FFF8696B"/>
      </colorScale>
    </cfRule>
    <cfRule type="colorScale" priority="2801">
      <colorScale>
        <cfvo type="min"/>
        <cfvo type="percentile" val="50"/>
        <cfvo type="max"/>
        <color rgb="FF63BE7B"/>
        <color rgb="FFFFEB84"/>
        <color rgb="FFF8696B"/>
      </colorScale>
    </cfRule>
    <cfRule type="colorScale" priority="2800">
      <colorScale>
        <cfvo type="min"/>
        <cfvo type="percentile" val="50"/>
        <cfvo type="max"/>
        <color rgb="FF63BE7B"/>
        <color rgb="FFFFEB84"/>
        <color rgb="FFF8696B"/>
      </colorScale>
    </cfRule>
    <cfRule type="colorScale" priority="2799">
      <colorScale>
        <cfvo type="min"/>
        <cfvo type="percentile" val="50"/>
        <cfvo type="max"/>
        <color rgb="FF63BE7B"/>
        <color rgb="FFFFEB84"/>
        <color rgb="FFF8696B"/>
      </colorScale>
    </cfRule>
    <cfRule type="colorScale" priority="2798">
      <colorScale>
        <cfvo type="min"/>
        <cfvo type="percentile" val="50"/>
        <cfvo type="max"/>
        <color rgb="FF63BE7B"/>
        <color rgb="FFFFEB84"/>
        <color rgb="FFF8696B"/>
      </colorScale>
    </cfRule>
    <cfRule type="colorScale" priority="2797">
      <colorScale>
        <cfvo type="min"/>
        <cfvo type="percentile" val="50"/>
        <cfvo type="max"/>
        <color rgb="FF63BE7B"/>
        <color rgb="FFFFEB84"/>
        <color rgb="FFF8696B"/>
      </colorScale>
    </cfRule>
    <cfRule type="colorScale" priority="2796">
      <colorScale>
        <cfvo type="min"/>
        <cfvo type="percentile" val="50"/>
        <cfvo type="max"/>
        <color rgb="FF63BE7B"/>
        <color rgb="FFFFEB84"/>
        <color rgb="FFF8696B"/>
      </colorScale>
    </cfRule>
    <cfRule type="colorScale" priority="2795">
      <colorScale>
        <cfvo type="min"/>
        <cfvo type="percentile" val="50"/>
        <cfvo type="max"/>
        <color rgb="FF63BE7B"/>
        <color rgb="FFFFEB84"/>
        <color rgb="FFF8696B"/>
      </colorScale>
    </cfRule>
    <cfRule type="colorScale" priority="2794">
      <colorScale>
        <cfvo type="min"/>
        <cfvo type="percentile" val="50"/>
        <cfvo type="max"/>
        <color rgb="FF63BE7B"/>
        <color rgb="FFFFEB84"/>
        <color rgb="FFF8696B"/>
      </colorScale>
    </cfRule>
    <cfRule type="colorScale" priority="2793">
      <colorScale>
        <cfvo type="min"/>
        <cfvo type="percentile" val="50"/>
        <cfvo type="max"/>
        <color rgb="FF63BE7B"/>
        <color rgb="FFFFEB84"/>
        <color rgb="FFF8696B"/>
      </colorScale>
    </cfRule>
    <cfRule type="colorScale" priority="2792">
      <colorScale>
        <cfvo type="min"/>
        <cfvo type="percentile" val="50"/>
        <cfvo type="max"/>
        <color rgb="FF63BE7B"/>
        <color rgb="FFFFEB84"/>
        <color rgb="FFF8696B"/>
      </colorScale>
    </cfRule>
    <cfRule type="colorScale" priority="2791">
      <colorScale>
        <cfvo type="min"/>
        <cfvo type="percentile" val="50"/>
        <cfvo type="max"/>
        <color rgb="FF63BE7B"/>
        <color rgb="FFFFEB84"/>
        <color rgb="FFF8696B"/>
      </colorScale>
    </cfRule>
    <cfRule type="colorScale" priority="2790">
      <colorScale>
        <cfvo type="min"/>
        <cfvo type="percentile" val="50"/>
        <cfvo type="max"/>
        <color rgb="FF63BE7B"/>
        <color rgb="FFFFEB84"/>
        <color rgb="FFF8696B"/>
      </colorScale>
    </cfRule>
    <cfRule type="colorScale" priority="2789">
      <colorScale>
        <cfvo type="min"/>
        <cfvo type="percentile" val="50"/>
        <cfvo type="max"/>
        <color rgb="FF63BE7B"/>
        <color rgb="FFFFEB84"/>
        <color rgb="FFF8696B"/>
      </colorScale>
    </cfRule>
    <cfRule type="colorScale" priority="2788">
      <colorScale>
        <cfvo type="min"/>
        <cfvo type="percentile" val="50"/>
        <cfvo type="max"/>
        <color rgb="FF63BE7B"/>
        <color rgb="FFFFEB84"/>
        <color rgb="FFF8696B"/>
      </colorScale>
    </cfRule>
    <cfRule type="colorScale" priority="2787">
      <colorScale>
        <cfvo type="min"/>
        <cfvo type="percentile" val="50"/>
        <cfvo type="max"/>
        <color rgb="FF63BE7B"/>
        <color rgb="FFFFEB84"/>
        <color rgb="FFF8696B"/>
      </colorScale>
    </cfRule>
    <cfRule type="colorScale" priority="2786">
      <colorScale>
        <cfvo type="min"/>
        <cfvo type="percentile" val="50"/>
        <cfvo type="max"/>
        <color rgb="FF63BE7B"/>
        <color rgb="FFFFEB84"/>
        <color rgb="FFF8696B"/>
      </colorScale>
    </cfRule>
    <cfRule type="colorScale" priority="2785">
      <colorScale>
        <cfvo type="min"/>
        <cfvo type="percentile" val="50"/>
        <cfvo type="max"/>
        <color rgb="FF63BE7B"/>
        <color rgb="FFFFEB84"/>
        <color rgb="FFF8696B"/>
      </colorScale>
    </cfRule>
    <cfRule type="colorScale" priority="2784">
      <colorScale>
        <cfvo type="min"/>
        <cfvo type="percentile" val="50"/>
        <cfvo type="max"/>
        <color rgb="FF63BE7B"/>
        <color rgb="FFFFEB84"/>
        <color rgb="FFF8696B"/>
      </colorScale>
    </cfRule>
    <cfRule type="colorScale" priority="2783">
      <colorScale>
        <cfvo type="min"/>
        <cfvo type="percentile" val="50"/>
        <cfvo type="max"/>
        <color rgb="FF63BE7B"/>
        <color rgb="FFFFEB84"/>
        <color rgb="FFF8696B"/>
      </colorScale>
    </cfRule>
    <cfRule type="colorScale" priority="2782">
      <colorScale>
        <cfvo type="min"/>
        <cfvo type="percentile" val="50"/>
        <cfvo type="max"/>
        <color rgb="FF63BE7B"/>
        <color rgb="FFFFEB84"/>
        <color rgb="FFF8696B"/>
      </colorScale>
    </cfRule>
    <cfRule type="colorScale" priority="2781">
      <colorScale>
        <cfvo type="min"/>
        <cfvo type="percentile" val="50"/>
        <cfvo type="max"/>
        <color rgb="FF63BE7B"/>
        <color rgb="FFFFEB84"/>
        <color rgb="FFF8696B"/>
      </colorScale>
    </cfRule>
    <cfRule type="colorScale" priority="2780">
      <colorScale>
        <cfvo type="min"/>
        <cfvo type="percentile" val="50"/>
        <cfvo type="max"/>
        <color rgb="FF63BE7B"/>
        <color rgb="FFFFEB84"/>
        <color rgb="FFF8696B"/>
      </colorScale>
    </cfRule>
    <cfRule type="colorScale" priority="2779">
      <colorScale>
        <cfvo type="min"/>
        <cfvo type="percentile" val="50"/>
        <cfvo type="max"/>
        <color rgb="FF63BE7B"/>
        <color rgb="FFFFEB84"/>
        <color rgb="FFF8696B"/>
      </colorScale>
    </cfRule>
    <cfRule type="colorScale" priority="2778">
      <colorScale>
        <cfvo type="min"/>
        <cfvo type="percentile" val="50"/>
        <cfvo type="max"/>
        <color rgb="FF63BE7B"/>
        <color rgb="FFFFEB84"/>
        <color rgb="FFF8696B"/>
      </colorScale>
    </cfRule>
    <cfRule type="colorScale" priority="2777">
      <colorScale>
        <cfvo type="min"/>
        <cfvo type="percentile" val="50"/>
        <cfvo type="max"/>
        <color rgb="FF63BE7B"/>
        <color rgb="FFFFEB84"/>
        <color rgb="FFF8696B"/>
      </colorScale>
    </cfRule>
    <cfRule type="colorScale" priority="2776">
      <colorScale>
        <cfvo type="min"/>
        <cfvo type="percentile" val="50"/>
        <cfvo type="max"/>
        <color rgb="FF63BE7B"/>
        <color rgb="FFFFEB84"/>
        <color rgb="FFF8696B"/>
      </colorScale>
    </cfRule>
    <cfRule type="colorScale" priority="2775">
      <colorScale>
        <cfvo type="min"/>
        <cfvo type="percentile" val="50"/>
        <cfvo type="max"/>
        <color rgb="FF63BE7B"/>
        <color rgb="FFFFEB84"/>
        <color rgb="FFF8696B"/>
      </colorScale>
    </cfRule>
    <cfRule type="colorScale" priority="2774">
      <colorScale>
        <cfvo type="min"/>
        <cfvo type="percentile" val="50"/>
        <cfvo type="max"/>
        <color rgb="FF63BE7B"/>
        <color rgb="FFFFEB84"/>
        <color rgb="FFF8696B"/>
      </colorScale>
    </cfRule>
    <cfRule type="colorScale" priority="2773">
      <colorScale>
        <cfvo type="min"/>
        <cfvo type="percentile" val="50"/>
        <cfvo type="max"/>
        <color rgb="FF63BE7B"/>
        <color rgb="FFFFEB84"/>
        <color rgb="FFF8696B"/>
      </colorScale>
    </cfRule>
    <cfRule type="colorScale" priority="2772">
      <colorScale>
        <cfvo type="min"/>
        <cfvo type="percentile" val="50"/>
        <cfvo type="max"/>
        <color rgb="FF63BE7B"/>
        <color rgb="FFFFEB84"/>
        <color rgb="FFF8696B"/>
      </colorScale>
    </cfRule>
    <cfRule type="colorScale" priority="2771">
      <colorScale>
        <cfvo type="min"/>
        <cfvo type="percentile" val="50"/>
        <cfvo type="max"/>
        <color rgb="FF63BE7B"/>
        <color rgb="FFFFEB84"/>
        <color rgb="FFF8696B"/>
      </colorScale>
    </cfRule>
    <cfRule type="colorScale" priority="2770">
      <colorScale>
        <cfvo type="min"/>
        <cfvo type="percentile" val="50"/>
        <cfvo type="max"/>
        <color rgb="FF63BE7B"/>
        <color rgb="FFFFEB84"/>
        <color rgb="FFF8696B"/>
      </colorScale>
    </cfRule>
    <cfRule type="colorScale" priority="2769">
      <colorScale>
        <cfvo type="min"/>
        <cfvo type="percentile" val="50"/>
        <cfvo type="max"/>
        <color rgb="FF63BE7B"/>
        <color rgb="FFFFEB84"/>
        <color rgb="FFF8696B"/>
      </colorScale>
    </cfRule>
    <cfRule type="colorScale" priority="2768">
      <colorScale>
        <cfvo type="min"/>
        <cfvo type="percentile" val="50"/>
        <cfvo type="max"/>
        <color rgb="FF63BE7B"/>
        <color rgb="FFFFEB84"/>
        <color rgb="FFF8696B"/>
      </colorScale>
    </cfRule>
    <cfRule type="colorScale" priority="2767">
      <colorScale>
        <cfvo type="min"/>
        <cfvo type="percentile" val="50"/>
        <cfvo type="max"/>
        <color rgb="FF63BE7B"/>
        <color rgb="FFFFEB84"/>
        <color rgb="FFF8696B"/>
      </colorScale>
    </cfRule>
    <cfRule type="colorScale" priority="2766">
      <colorScale>
        <cfvo type="min"/>
        <cfvo type="percentile" val="50"/>
        <cfvo type="max"/>
        <color rgb="FF63BE7B"/>
        <color rgb="FFFFEB84"/>
        <color rgb="FFF8696B"/>
      </colorScale>
    </cfRule>
    <cfRule type="colorScale" priority="2765">
      <colorScale>
        <cfvo type="min"/>
        <cfvo type="percentile" val="50"/>
        <cfvo type="max"/>
        <color rgb="FF63BE7B"/>
        <color rgb="FFFFEB84"/>
        <color rgb="FFF8696B"/>
      </colorScale>
    </cfRule>
    <cfRule type="colorScale" priority="2764">
      <colorScale>
        <cfvo type="min"/>
        <cfvo type="percentile" val="50"/>
        <cfvo type="max"/>
        <color rgb="FFF8696B"/>
        <color rgb="FFFFEB84"/>
        <color rgb="FF63BE7B"/>
      </colorScale>
    </cfRule>
    <cfRule type="colorScale" priority="2761">
      <colorScale>
        <cfvo type="min"/>
        <cfvo type="percentile" val="50"/>
        <cfvo type="max"/>
        <color rgb="FF63BE7B"/>
        <color rgb="FFFFEB84"/>
        <color rgb="FFF8696B"/>
      </colorScale>
    </cfRule>
    <cfRule type="colorScale" priority="2760">
      <colorScale>
        <cfvo type="min"/>
        <cfvo type="percentile" val="50"/>
        <cfvo type="max"/>
        <color rgb="FF63BE7B"/>
        <color rgb="FFFFEB84"/>
        <color rgb="FFF8696B"/>
      </colorScale>
    </cfRule>
    <cfRule type="colorScale" priority="2759">
      <colorScale>
        <cfvo type="min"/>
        <cfvo type="percentile" val="50"/>
        <cfvo type="max"/>
        <color rgb="FF63BE7B"/>
        <color rgb="FFFFEB84"/>
        <color rgb="FFF8696B"/>
      </colorScale>
    </cfRule>
    <cfRule type="colorScale" priority="2758">
      <colorScale>
        <cfvo type="min"/>
        <cfvo type="percentile" val="50"/>
        <cfvo type="max"/>
        <color rgb="FF63BE7B"/>
        <color rgb="FFFFEB84"/>
        <color rgb="FFF8696B"/>
      </colorScale>
    </cfRule>
    <cfRule type="colorScale" priority="2757">
      <colorScale>
        <cfvo type="min"/>
        <cfvo type="percentile" val="50"/>
        <cfvo type="max"/>
        <color rgb="FF63BE7B"/>
        <color rgb="FFFFEB84"/>
        <color rgb="FFF8696B"/>
      </colorScale>
    </cfRule>
    <cfRule type="colorScale" priority="2756">
      <colorScale>
        <cfvo type="min"/>
        <cfvo type="percentile" val="50"/>
        <cfvo type="max"/>
        <color rgb="FF63BE7B"/>
        <color rgb="FFFFEB84"/>
        <color rgb="FFF8696B"/>
      </colorScale>
    </cfRule>
    <cfRule type="colorScale" priority="2755">
      <colorScale>
        <cfvo type="min"/>
        <cfvo type="percentile" val="50"/>
        <cfvo type="max"/>
        <color rgb="FF63BE7B"/>
        <color rgb="FFFFEB84"/>
        <color rgb="FFF8696B"/>
      </colorScale>
    </cfRule>
    <cfRule type="colorScale" priority="2754">
      <colorScale>
        <cfvo type="min"/>
        <cfvo type="percentile" val="50"/>
        <cfvo type="max"/>
        <color rgb="FF63BE7B"/>
        <color rgb="FFFFEB84"/>
        <color rgb="FFF8696B"/>
      </colorScale>
    </cfRule>
    <cfRule type="colorScale" priority="2753">
      <colorScale>
        <cfvo type="min"/>
        <cfvo type="percentile" val="50"/>
        <cfvo type="max"/>
        <color rgb="FF63BE7B"/>
        <color rgb="FFFFEB84"/>
        <color rgb="FFF8696B"/>
      </colorScale>
    </cfRule>
    <cfRule type="colorScale" priority="2752">
      <colorScale>
        <cfvo type="min"/>
        <cfvo type="percentile" val="50"/>
        <cfvo type="max"/>
        <color rgb="FF63BE7B"/>
        <color rgb="FFFFEB84"/>
        <color rgb="FFF8696B"/>
      </colorScale>
    </cfRule>
    <cfRule type="colorScale" priority="2751">
      <colorScale>
        <cfvo type="min"/>
        <cfvo type="percentile" val="50"/>
        <cfvo type="max"/>
        <color rgb="FF63BE7B"/>
        <color rgb="FFFFEB84"/>
        <color rgb="FFF8696B"/>
      </colorScale>
    </cfRule>
    <cfRule type="colorScale" priority="2750">
      <colorScale>
        <cfvo type="min"/>
        <cfvo type="percentile" val="50"/>
        <cfvo type="max"/>
        <color rgb="FF63BE7B"/>
        <color rgb="FFFFEB84"/>
        <color rgb="FFF8696B"/>
      </colorScale>
    </cfRule>
    <cfRule type="colorScale" priority="2749">
      <colorScale>
        <cfvo type="min"/>
        <cfvo type="percentile" val="50"/>
        <cfvo type="max"/>
        <color rgb="FF63BE7B"/>
        <color rgb="FFFFEB84"/>
        <color rgb="FFF8696B"/>
      </colorScale>
    </cfRule>
    <cfRule type="colorScale" priority="2748">
      <colorScale>
        <cfvo type="min"/>
        <cfvo type="percentile" val="50"/>
        <cfvo type="max"/>
        <color rgb="FF63BE7B"/>
        <color rgb="FFFFEB84"/>
        <color rgb="FFF8696B"/>
      </colorScale>
    </cfRule>
    <cfRule type="colorScale" priority="2747">
      <colorScale>
        <cfvo type="min"/>
        <cfvo type="percentile" val="50"/>
        <cfvo type="max"/>
        <color rgb="FF63BE7B"/>
        <color rgb="FFFFEB84"/>
        <color rgb="FFF8696B"/>
      </colorScale>
    </cfRule>
    <cfRule type="colorScale" priority="2746">
      <colorScale>
        <cfvo type="min"/>
        <cfvo type="percentile" val="50"/>
        <cfvo type="max"/>
        <color rgb="FF63BE7B"/>
        <color rgb="FFFFEB84"/>
        <color rgb="FFF8696B"/>
      </colorScale>
    </cfRule>
    <cfRule type="colorScale" priority="2745">
      <colorScale>
        <cfvo type="min"/>
        <cfvo type="percentile" val="50"/>
        <cfvo type="max"/>
        <color rgb="FF63BE7B"/>
        <color rgb="FFFFEB84"/>
        <color rgb="FFF8696B"/>
      </colorScale>
    </cfRule>
    <cfRule type="colorScale" priority="2744">
      <colorScale>
        <cfvo type="min"/>
        <cfvo type="percentile" val="50"/>
        <cfvo type="max"/>
        <color rgb="FF63BE7B"/>
        <color rgb="FFFFEB84"/>
        <color rgb="FFF8696B"/>
      </colorScale>
    </cfRule>
    <cfRule type="colorScale" priority="2743">
      <colorScale>
        <cfvo type="min"/>
        <cfvo type="percentile" val="50"/>
        <cfvo type="max"/>
        <color rgb="FF63BE7B"/>
        <color rgb="FFFFEB84"/>
        <color rgb="FFF8696B"/>
      </colorScale>
    </cfRule>
    <cfRule type="colorScale" priority="2742">
      <colorScale>
        <cfvo type="min"/>
        <cfvo type="percentile" val="50"/>
        <cfvo type="max"/>
        <color rgb="FF63BE7B"/>
        <color rgb="FFFFEB84"/>
        <color rgb="FFF8696B"/>
      </colorScale>
    </cfRule>
    <cfRule type="colorScale" priority="2741">
      <colorScale>
        <cfvo type="min"/>
        <cfvo type="percentile" val="50"/>
        <cfvo type="max"/>
        <color rgb="FF63BE7B"/>
        <color rgb="FFFFEB84"/>
        <color rgb="FFF8696B"/>
      </colorScale>
    </cfRule>
    <cfRule type="colorScale" priority="2740">
      <colorScale>
        <cfvo type="min"/>
        <cfvo type="percentile" val="50"/>
        <cfvo type="max"/>
        <color rgb="FF63BE7B"/>
        <color rgb="FFFFEB84"/>
        <color rgb="FFF8696B"/>
      </colorScale>
    </cfRule>
    <cfRule type="colorScale" priority="2739">
      <colorScale>
        <cfvo type="min"/>
        <cfvo type="percentile" val="50"/>
        <cfvo type="max"/>
        <color rgb="FF63BE7B"/>
        <color rgb="FFFFEB84"/>
        <color rgb="FFF8696B"/>
      </colorScale>
    </cfRule>
    <cfRule type="colorScale" priority="2738">
      <colorScale>
        <cfvo type="min"/>
        <cfvo type="percentile" val="50"/>
        <cfvo type="max"/>
        <color rgb="FF63BE7B"/>
        <color rgb="FFFFEB84"/>
        <color rgb="FFF8696B"/>
      </colorScale>
    </cfRule>
    <cfRule type="colorScale" priority="2737">
      <colorScale>
        <cfvo type="min"/>
        <cfvo type="percentile" val="50"/>
        <cfvo type="max"/>
        <color rgb="FF63BE7B"/>
        <color rgb="FFFFEB84"/>
        <color rgb="FFF8696B"/>
      </colorScale>
    </cfRule>
    <cfRule type="colorScale" priority="2736">
      <colorScale>
        <cfvo type="min"/>
        <cfvo type="percentile" val="50"/>
        <cfvo type="max"/>
        <color rgb="FF63BE7B"/>
        <color rgb="FFFFEB84"/>
        <color rgb="FFF8696B"/>
      </colorScale>
    </cfRule>
    <cfRule type="colorScale" priority="2735">
      <colorScale>
        <cfvo type="min"/>
        <cfvo type="percentile" val="50"/>
        <cfvo type="max"/>
        <color rgb="FF63BE7B"/>
        <color rgb="FFFFEB84"/>
        <color rgb="FFF8696B"/>
      </colorScale>
    </cfRule>
    <cfRule type="colorScale" priority="2987">
      <colorScale>
        <cfvo type="min"/>
        <cfvo type="percentile" val="50"/>
        <cfvo type="max"/>
        <color rgb="FF63BE7B"/>
        <color rgb="FFFFEB84"/>
        <color rgb="FFF8696B"/>
      </colorScale>
    </cfRule>
    <cfRule type="colorScale" priority="2986">
      <colorScale>
        <cfvo type="min"/>
        <cfvo type="percentile" val="50"/>
        <cfvo type="max"/>
        <color rgb="FF63BE7B"/>
        <color rgb="FFFFEB84"/>
        <color rgb="FFF8696B"/>
      </colorScale>
    </cfRule>
    <cfRule type="colorScale" priority="2985">
      <colorScale>
        <cfvo type="min"/>
        <cfvo type="percentile" val="50"/>
        <cfvo type="max"/>
        <color rgb="FF63BE7B"/>
        <color rgb="FFFFEB84"/>
        <color rgb="FFF8696B"/>
      </colorScale>
    </cfRule>
    <cfRule type="colorScale" priority="2984">
      <colorScale>
        <cfvo type="min"/>
        <cfvo type="percentile" val="50"/>
        <cfvo type="max"/>
        <color rgb="FF63BE7B"/>
        <color rgb="FFFFEB84"/>
        <color rgb="FFF8696B"/>
      </colorScale>
    </cfRule>
    <cfRule type="colorScale" priority="5908">
      <colorScale>
        <cfvo type="min"/>
        <cfvo type="percentile" val="50"/>
        <cfvo type="max"/>
        <color rgb="FFF8696B"/>
        <color rgb="FFFFEB84"/>
        <color rgb="FF63BE7B"/>
      </colorScale>
    </cfRule>
    <cfRule type="colorScale" priority="6641">
      <colorScale>
        <cfvo type="min"/>
        <cfvo type="percentile" val="50"/>
        <cfvo type="max"/>
        <color rgb="FF63BE7B"/>
        <color rgb="FFFFEB84"/>
        <color rgb="FFF8696B"/>
      </colorScale>
    </cfRule>
    <cfRule type="colorScale" priority="6642">
      <colorScale>
        <cfvo type="min"/>
        <cfvo type="percentile" val="50"/>
        <cfvo type="max"/>
        <color rgb="FF63BE7B"/>
        <color rgb="FFFFEB84"/>
        <color rgb="FFF8696B"/>
      </colorScale>
    </cfRule>
    <cfRule type="colorScale" priority="6643">
      <colorScale>
        <cfvo type="min"/>
        <cfvo type="percentile" val="50"/>
        <cfvo type="max"/>
        <color rgb="FF63BE7B"/>
        <color rgb="FFFFEB84"/>
        <color rgb="FFF8696B"/>
      </colorScale>
    </cfRule>
    <cfRule type="colorScale" priority="6644">
      <colorScale>
        <cfvo type="min"/>
        <cfvo type="percentile" val="50"/>
        <cfvo type="max"/>
        <color rgb="FF63BE7B"/>
        <color rgb="FFFFEB84"/>
        <color rgb="FFF8696B"/>
      </colorScale>
    </cfRule>
    <cfRule type="colorScale" priority="6645">
      <colorScale>
        <cfvo type="min"/>
        <cfvo type="percentile" val="50"/>
        <cfvo type="max"/>
        <color rgb="FF63BE7B"/>
        <color rgb="FFFFEB84"/>
        <color rgb="FFF8696B"/>
      </colorScale>
    </cfRule>
    <cfRule type="colorScale" priority="6646">
      <colorScale>
        <cfvo type="min"/>
        <cfvo type="percentile" val="50"/>
        <cfvo type="max"/>
        <color rgb="FF63BE7B"/>
        <color rgb="FFFFEB84"/>
        <color rgb="FFF8696B"/>
      </colorScale>
    </cfRule>
    <cfRule type="colorScale" priority="2983">
      <colorScale>
        <cfvo type="min"/>
        <cfvo type="percentile" val="50"/>
        <cfvo type="max"/>
        <color rgb="FF63BE7B"/>
        <color rgb="FFFFEB84"/>
        <color rgb="FFF8696B"/>
      </colorScale>
    </cfRule>
    <cfRule type="colorScale" priority="2982">
      <colorScale>
        <cfvo type="min"/>
        <cfvo type="percentile" val="50"/>
        <cfvo type="max"/>
        <color rgb="FF63BE7B"/>
        <color rgb="FFFFEB84"/>
        <color rgb="FFF8696B"/>
      </colorScale>
    </cfRule>
    <cfRule type="colorScale" priority="2981">
      <colorScale>
        <cfvo type="min"/>
        <cfvo type="percentile" val="50"/>
        <cfvo type="max"/>
        <color rgb="FF63BE7B"/>
        <color rgb="FFFFEB84"/>
        <color rgb="FFF8696B"/>
      </colorScale>
    </cfRule>
    <cfRule type="colorScale" priority="2980">
      <colorScale>
        <cfvo type="min"/>
        <cfvo type="percentile" val="50"/>
        <cfvo type="max"/>
        <color rgb="FF63BE7B"/>
        <color rgb="FFFFEB84"/>
        <color rgb="FFF8696B"/>
      </colorScale>
    </cfRule>
    <cfRule type="colorScale" priority="2979">
      <colorScale>
        <cfvo type="min"/>
        <cfvo type="percentile" val="50"/>
        <cfvo type="max"/>
        <color rgb="FF63BE7B"/>
        <color rgb="FFFFEB84"/>
        <color rgb="FFF8696B"/>
      </colorScale>
    </cfRule>
    <cfRule type="colorScale" priority="2978">
      <colorScale>
        <cfvo type="min"/>
        <cfvo type="percentile" val="50"/>
        <cfvo type="max"/>
        <color rgb="FF63BE7B"/>
        <color rgb="FFFFEB84"/>
        <color rgb="FFF8696B"/>
      </colorScale>
    </cfRule>
    <cfRule type="colorScale" priority="2977">
      <colorScale>
        <cfvo type="min"/>
        <cfvo type="percentile" val="50"/>
        <cfvo type="max"/>
        <color rgb="FF63BE7B"/>
        <color rgb="FFFFEB84"/>
        <color rgb="FFF8696B"/>
      </colorScale>
    </cfRule>
    <cfRule type="colorScale" priority="2976">
      <colorScale>
        <cfvo type="min"/>
        <cfvo type="percentile" val="50"/>
        <cfvo type="max"/>
        <color rgb="FF63BE7B"/>
        <color rgb="FFFFEB84"/>
        <color rgb="FFF8696B"/>
      </colorScale>
    </cfRule>
    <cfRule type="colorScale" priority="2975">
      <colorScale>
        <cfvo type="min"/>
        <cfvo type="percentile" val="50"/>
        <cfvo type="max"/>
        <color rgb="FF63BE7B"/>
        <color rgb="FFFFEB84"/>
        <color rgb="FFF8696B"/>
      </colorScale>
    </cfRule>
    <cfRule type="colorScale" priority="6647">
      <colorScale>
        <cfvo type="min"/>
        <cfvo type="percentile" val="50"/>
        <cfvo type="max"/>
        <color rgb="FF63BE7B"/>
        <color rgb="FFFFEB84"/>
        <color rgb="FFF8696B"/>
      </colorScale>
    </cfRule>
    <cfRule type="colorScale" priority="2973">
      <colorScale>
        <cfvo type="min"/>
        <cfvo type="percentile" val="50"/>
        <cfvo type="max"/>
        <color rgb="FF63BE7B"/>
        <color rgb="FFFFEB84"/>
        <color rgb="FFF8696B"/>
      </colorScale>
    </cfRule>
    <cfRule type="colorScale" priority="2972">
      <colorScale>
        <cfvo type="min"/>
        <cfvo type="percentile" val="50"/>
        <cfvo type="max"/>
        <color rgb="FF63BE7B"/>
        <color rgb="FFFFEB84"/>
        <color rgb="FFF8696B"/>
      </colorScale>
    </cfRule>
    <cfRule type="colorScale" priority="6648">
      <colorScale>
        <cfvo type="min"/>
        <cfvo type="percentile" val="50"/>
        <cfvo type="max"/>
        <color rgb="FF63BE7B"/>
        <color rgb="FFFFEB84"/>
        <color rgb="FFF8696B"/>
      </colorScale>
    </cfRule>
    <cfRule type="colorScale" priority="2970">
      <colorScale>
        <cfvo type="min"/>
        <cfvo type="percentile" val="50"/>
        <cfvo type="max"/>
        <color rgb="FF63BE7B"/>
        <color rgb="FFFFEB84"/>
        <color rgb="FFF8696B"/>
      </colorScale>
    </cfRule>
    <cfRule type="colorScale" priority="2969">
      <colorScale>
        <cfvo type="min"/>
        <cfvo type="percentile" val="50"/>
        <cfvo type="max"/>
        <color rgb="FF63BE7B"/>
        <color rgb="FFFFEB84"/>
        <color rgb="FFF8696B"/>
      </colorScale>
    </cfRule>
    <cfRule type="colorScale" priority="2968">
      <colorScale>
        <cfvo type="min"/>
        <cfvo type="percentile" val="50"/>
        <cfvo type="max"/>
        <color rgb="FF63BE7B"/>
        <color rgb="FFFFEB84"/>
        <color rgb="FFF8696B"/>
      </colorScale>
    </cfRule>
    <cfRule type="colorScale" priority="2967">
      <colorScale>
        <cfvo type="min"/>
        <cfvo type="percentile" val="50"/>
        <cfvo type="max"/>
        <color rgb="FF63BE7B"/>
        <color rgb="FFFFEB84"/>
        <color rgb="FFF8696B"/>
      </colorScale>
    </cfRule>
    <cfRule type="colorScale" priority="2966">
      <colorScale>
        <cfvo type="min"/>
        <cfvo type="percentile" val="50"/>
        <cfvo type="max"/>
        <color rgb="FF63BE7B"/>
        <color rgb="FFFFEB84"/>
        <color rgb="FFF8696B"/>
      </colorScale>
    </cfRule>
    <cfRule type="colorScale" priority="2965">
      <colorScale>
        <cfvo type="min"/>
        <cfvo type="percentile" val="50"/>
        <cfvo type="max"/>
        <color rgb="FF63BE7B"/>
        <color rgb="FFFFEB84"/>
        <color rgb="FFF8696B"/>
      </colorScale>
    </cfRule>
    <cfRule type="colorScale" priority="2964">
      <colorScale>
        <cfvo type="min"/>
        <cfvo type="percentile" val="50"/>
        <cfvo type="max"/>
        <color rgb="FF63BE7B"/>
        <color rgb="FFFFEB84"/>
        <color rgb="FFF8696B"/>
      </colorScale>
    </cfRule>
    <cfRule type="colorScale" priority="6649">
      <colorScale>
        <cfvo type="min"/>
        <cfvo type="percentile" val="50"/>
        <cfvo type="max"/>
        <color rgb="FF63BE7B"/>
        <color rgb="FFFFEB84"/>
        <color rgb="FFF8696B"/>
      </colorScale>
    </cfRule>
    <cfRule type="colorScale" priority="6650">
      <colorScale>
        <cfvo type="min"/>
        <cfvo type="percentile" val="50"/>
        <cfvo type="max"/>
        <color rgb="FF63BE7B"/>
        <color rgb="FFFFEB84"/>
        <color rgb="FFF8696B"/>
      </colorScale>
    </cfRule>
    <cfRule type="colorScale" priority="2974">
      <colorScale>
        <cfvo type="min"/>
        <cfvo type="percentile" val="50"/>
        <cfvo type="max"/>
        <color rgb="FF63BE7B"/>
        <color rgb="FFFFEB84"/>
        <color rgb="FFF8696B"/>
      </colorScale>
    </cfRule>
    <cfRule type="colorScale" priority="6651">
      <colorScale>
        <cfvo type="min"/>
        <cfvo type="percentile" val="50"/>
        <cfvo type="max"/>
        <color rgb="FF63BE7B"/>
        <color rgb="FFFFEB84"/>
        <color rgb="FFF8696B"/>
      </colorScale>
    </cfRule>
    <cfRule type="colorScale" priority="6652">
      <colorScale>
        <cfvo type="min"/>
        <cfvo type="percentile" val="50"/>
        <cfvo type="max"/>
        <color rgb="FF63BE7B"/>
        <color rgb="FFFFEB84"/>
        <color rgb="FFF8696B"/>
      </colorScale>
    </cfRule>
    <cfRule type="colorScale" priority="6653">
      <colorScale>
        <cfvo type="min"/>
        <cfvo type="percentile" val="50"/>
        <cfvo type="max"/>
        <color rgb="FF63BE7B"/>
        <color rgb="FFFFEB84"/>
        <color rgb="FFF8696B"/>
      </colorScale>
    </cfRule>
    <cfRule type="colorScale" priority="6654">
      <colorScale>
        <cfvo type="min"/>
        <cfvo type="percentile" val="50"/>
        <cfvo type="max"/>
        <color rgb="FF63BE7B"/>
        <color rgb="FFFFEB84"/>
        <color rgb="FFF8696B"/>
      </colorScale>
    </cfRule>
    <cfRule type="colorScale" priority="6655">
      <colorScale>
        <cfvo type="min"/>
        <cfvo type="percentile" val="50"/>
        <cfvo type="max"/>
        <color rgb="FF63BE7B"/>
        <color rgb="FFFFEB84"/>
        <color rgb="FFF8696B"/>
      </colorScale>
    </cfRule>
    <cfRule type="colorScale" priority="6656">
      <colorScale>
        <cfvo type="min"/>
        <cfvo type="percentile" val="50"/>
        <cfvo type="max"/>
        <color rgb="FF63BE7B"/>
        <color rgb="FFFFEB84"/>
        <color rgb="FFF8696B"/>
      </colorScale>
    </cfRule>
    <cfRule type="colorScale" priority="6657">
      <colorScale>
        <cfvo type="min"/>
        <cfvo type="percentile" val="50"/>
        <cfvo type="max"/>
        <color rgb="FF63BE7B"/>
        <color rgb="FFFFEB84"/>
        <color rgb="FFF8696B"/>
      </colorScale>
    </cfRule>
    <cfRule type="colorScale" priority="6658">
      <colorScale>
        <cfvo type="min"/>
        <cfvo type="percentile" val="50"/>
        <cfvo type="max"/>
        <color rgb="FF63BE7B"/>
        <color rgb="FFFFEB84"/>
        <color rgb="FFF8696B"/>
      </colorScale>
    </cfRule>
    <cfRule type="colorScale" priority="6659">
      <colorScale>
        <cfvo type="min"/>
        <cfvo type="percentile" val="50"/>
        <cfvo type="max"/>
        <color rgb="FF63BE7B"/>
        <color rgb="FFFFEB84"/>
        <color rgb="FFF8696B"/>
      </colorScale>
    </cfRule>
    <cfRule type="colorScale" priority="6660">
      <colorScale>
        <cfvo type="min"/>
        <cfvo type="percentile" val="50"/>
        <cfvo type="max"/>
        <color rgb="FF63BE7B"/>
        <color rgb="FFFFEB84"/>
        <color rgb="FFF8696B"/>
      </colorScale>
    </cfRule>
    <cfRule type="colorScale" priority="6661">
      <colorScale>
        <cfvo type="min"/>
        <cfvo type="percentile" val="50"/>
        <cfvo type="max"/>
        <color rgb="FF63BE7B"/>
        <color rgb="FFFFEB84"/>
        <color rgb="FFF8696B"/>
      </colorScale>
    </cfRule>
    <cfRule type="colorScale" priority="6662">
      <colorScale>
        <cfvo type="min"/>
        <cfvo type="percentile" val="50"/>
        <cfvo type="max"/>
        <color rgb="FF63BE7B"/>
        <color rgb="FFFFEB84"/>
        <color rgb="FFF8696B"/>
      </colorScale>
    </cfRule>
    <cfRule type="colorScale" priority="6663">
      <colorScale>
        <cfvo type="min"/>
        <cfvo type="percentile" val="50"/>
        <cfvo type="max"/>
        <color rgb="FF63BE7B"/>
        <color rgb="FFFFEB84"/>
        <color rgb="FFF8696B"/>
      </colorScale>
    </cfRule>
    <cfRule type="colorScale" priority="6664">
      <colorScale>
        <cfvo type="min"/>
        <cfvo type="percentile" val="50"/>
        <cfvo type="max"/>
        <color rgb="FF63BE7B"/>
        <color rgb="FFFFEB84"/>
        <color rgb="FFF8696B"/>
      </colorScale>
    </cfRule>
    <cfRule type="colorScale" priority="6665">
      <colorScale>
        <cfvo type="min"/>
        <cfvo type="percentile" val="50"/>
        <cfvo type="max"/>
        <color rgb="FF63BE7B"/>
        <color rgb="FFFFEB84"/>
        <color rgb="FFF8696B"/>
      </colorScale>
    </cfRule>
    <cfRule type="colorScale" priority="6666">
      <colorScale>
        <cfvo type="min"/>
        <cfvo type="percentile" val="50"/>
        <cfvo type="max"/>
        <color rgb="FF63BE7B"/>
        <color rgb="FFFFEB84"/>
        <color rgb="FFF8696B"/>
      </colorScale>
    </cfRule>
    <cfRule type="colorScale" priority="6667">
      <colorScale>
        <cfvo type="min"/>
        <cfvo type="percentile" val="50"/>
        <cfvo type="max"/>
        <color rgb="FF63BE7B"/>
        <color rgb="FFFFEB84"/>
        <color rgb="FFF8696B"/>
      </colorScale>
    </cfRule>
    <cfRule type="colorScale" priority="6668">
      <colorScale>
        <cfvo type="min"/>
        <cfvo type="percentile" val="50"/>
        <cfvo type="max"/>
        <color rgb="FF63BE7B"/>
        <color rgb="FFFFEB84"/>
        <color rgb="FFF8696B"/>
      </colorScale>
    </cfRule>
    <cfRule type="colorScale" priority="6669">
      <colorScale>
        <cfvo type="min"/>
        <cfvo type="percentile" val="50"/>
        <cfvo type="max"/>
        <color rgb="FF63BE7B"/>
        <color rgb="FFFFEB84"/>
        <color rgb="FFF8696B"/>
      </colorScale>
    </cfRule>
    <cfRule type="colorScale" priority="6670">
      <colorScale>
        <cfvo type="min"/>
        <cfvo type="percentile" val="50"/>
        <cfvo type="max"/>
        <color rgb="FF63BE7B"/>
        <color rgb="FFFFEB84"/>
        <color rgb="FFF8696B"/>
      </colorScale>
    </cfRule>
    <cfRule type="colorScale" priority="6635">
      <colorScale>
        <cfvo type="min"/>
        <cfvo type="percentile" val="50"/>
        <cfvo type="max"/>
        <color rgb="FF63BE7B"/>
        <color rgb="FFFFEB84"/>
        <color rgb="FFF8696B"/>
      </colorScale>
    </cfRule>
    <cfRule type="colorScale" priority="6636">
      <colorScale>
        <cfvo type="min"/>
        <cfvo type="percentile" val="50"/>
        <cfvo type="max"/>
        <color rgb="FF63BE7B"/>
        <color rgb="FFFFEB84"/>
        <color rgb="FFF8696B"/>
      </colorScale>
    </cfRule>
    <cfRule type="colorScale" priority="6637">
      <colorScale>
        <cfvo type="min"/>
        <cfvo type="percentile" val="50"/>
        <cfvo type="max"/>
        <color rgb="FF63BE7B"/>
        <color rgb="FFFFEB84"/>
        <color rgb="FFF8696B"/>
      </colorScale>
    </cfRule>
    <cfRule type="colorScale" priority="6638">
      <colorScale>
        <cfvo type="min"/>
        <cfvo type="percentile" val="50"/>
        <cfvo type="max"/>
        <color rgb="FF63BE7B"/>
        <color rgb="FFFFEB84"/>
        <color rgb="FFF8696B"/>
      </colorScale>
    </cfRule>
    <cfRule type="colorScale" priority="6639">
      <colorScale>
        <cfvo type="min"/>
        <cfvo type="percentile" val="50"/>
        <cfvo type="max"/>
        <color rgb="FF63BE7B"/>
        <color rgb="FFFFEB84"/>
        <color rgb="FFF8696B"/>
      </colorScale>
    </cfRule>
    <cfRule type="colorScale" priority="6640">
      <colorScale>
        <cfvo type="min"/>
        <cfvo type="percentile" val="50"/>
        <cfvo type="max"/>
        <color rgb="FF63BE7B"/>
        <color rgb="FFFFEB84"/>
        <color rgb="FFF8696B"/>
      </colorScale>
    </cfRule>
    <cfRule type="colorScale" priority="3757">
      <colorScale>
        <cfvo type="min"/>
        <cfvo type="percentile" val="50"/>
        <cfvo type="max"/>
        <color rgb="FF63BE7B"/>
        <color rgb="FFFFEB84"/>
        <color rgb="FFF8696B"/>
      </colorScale>
    </cfRule>
    <cfRule type="colorScale" priority="3756">
      <colorScale>
        <cfvo type="min"/>
        <cfvo type="percentile" val="50"/>
        <cfvo type="max"/>
        <color rgb="FF63BE7B"/>
        <color rgb="FFFFEB84"/>
        <color rgb="FFF8696B"/>
      </colorScale>
    </cfRule>
    <cfRule type="colorScale" priority="3755">
      <colorScale>
        <cfvo type="min"/>
        <cfvo type="percentile" val="50"/>
        <cfvo type="max"/>
        <color rgb="FF63BE7B"/>
        <color rgb="FFFFEB84"/>
        <color rgb="FFF8696B"/>
      </colorScale>
    </cfRule>
    <cfRule type="colorScale" priority="3754">
      <colorScale>
        <cfvo type="min"/>
        <cfvo type="percentile" val="50"/>
        <cfvo type="max"/>
        <color rgb="FF63BE7B"/>
        <color rgb="FFFFEB84"/>
        <color rgb="FFF8696B"/>
      </colorScale>
    </cfRule>
    <cfRule type="colorScale" priority="3753">
      <colorScale>
        <cfvo type="min"/>
        <cfvo type="percentile" val="50"/>
        <cfvo type="max"/>
        <color rgb="FF63BE7B"/>
        <color rgb="FFFFEB84"/>
        <color rgb="FFF8696B"/>
      </colorScale>
    </cfRule>
    <cfRule type="colorScale" priority="3752">
      <colorScale>
        <cfvo type="min"/>
        <cfvo type="percentile" val="50"/>
        <cfvo type="max"/>
        <color rgb="FF63BE7B"/>
        <color rgb="FFFFEB84"/>
        <color rgb="FFF8696B"/>
      </colorScale>
    </cfRule>
    <cfRule type="colorScale" priority="3751">
      <colorScale>
        <cfvo type="min"/>
        <cfvo type="percentile" val="50"/>
        <cfvo type="max"/>
        <color rgb="FF63BE7B"/>
        <color rgb="FFFFEB84"/>
        <color rgb="FFF8696B"/>
      </colorScale>
    </cfRule>
    <cfRule type="colorScale" priority="3750">
      <colorScale>
        <cfvo type="min"/>
        <cfvo type="percentile" val="50"/>
        <cfvo type="max"/>
        <color rgb="FF63BE7B"/>
        <color rgb="FFFFEB84"/>
        <color rgb="FFF8696B"/>
      </colorScale>
    </cfRule>
    <cfRule type="colorScale" priority="3749">
      <colorScale>
        <cfvo type="min"/>
        <cfvo type="percentile" val="50"/>
        <cfvo type="max"/>
        <color rgb="FF63BE7B"/>
        <color rgb="FFFFEB84"/>
        <color rgb="FFF8696B"/>
      </colorScale>
    </cfRule>
    <cfRule type="colorScale" priority="3748">
      <colorScale>
        <cfvo type="min"/>
        <cfvo type="percentile" val="50"/>
        <cfvo type="max"/>
        <color rgb="FF63BE7B"/>
        <color rgb="FFFFEB84"/>
        <color rgb="FFF8696B"/>
      </colorScale>
    </cfRule>
    <cfRule type="colorScale" priority="3747">
      <colorScale>
        <cfvo type="min"/>
        <cfvo type="percentile" val="50"/>
        <cfvo type="max"/>
        <color rgb="FF63BE7B"/>
        <color rgb="FFFFEB84"/>
        <color rgb="FFF8696B"/>
      </colorScale>
    </cfRule>
    <cfRule type="colorScale" priority="3746">
      <colorScale>
        <cfvo type="min"/>
        <cfvo type="percentile" val="50"/>
        <cfvo type="max"/>
        <color rgb="FF63BE7B"/>
        <color rgb="FFFFEB84"/>
        <color rgb="FFF8696B"/>
      </colorScale>
    </cfRule>
    <cfRule type="colorScale" priority="3745">
      <colorScale>
        <cfvo type="min"/>
        <cfvo type="percentile" val="50"/>
        <cfvo type="max"/>
        <color rgb="FF63BE7B"/>
        <color rgb="FFFFEB84"/>
        <color rgb="FFF8696B"/>
      </colorScale>
    </cfRule>
    <cfRule type="colorScale" priority="3744">
      <colorScale>
        <cfvo type="min"/>
        <cfvo type="percentile" val="50"/>
        <cfvo type="max"/>
        <color rgb="FF63BE7B"/>
        <color rgb="FFFFEB84"/>
        <color rgb="FFF8696B"/>
      </colorScale>
    </cfRule>
    <cfRule type="colorScale" priority="3743">
      <colorScale>
        <cfvo type="min"/>
        <cfvo type="percentile" val="50"/>
        <cfvo type="max"/>
        <color rgb="FF63BE7B"/>
        <color rgb="FFFFEB84"/>
        <color rgb="FFF8696B"/>
      </colorScale>
    </cfRule>
    <cfRule type="colorScale" priority="3742">
      <colorScale>
        <cfvo type="min"/>
        <cfvo type="percentile" val="50"/>
        <cfvo type="max"/>
        <color rgb="FF63BE7B"/>
        <color rgb="FFFFEB84"/>
        <color rgb="FFF8696B"/>
      </colorScale>
    </cfRule>
    <cfRule type="colorScale" priority="3741">
      <colorScale>
        <cfvo type="min"/>
        <cfvo type="percentile" val="50"/>
        <cfvo type="max"/>
        <color rgb="FF63BE7B"/>
        <color rgb="FFFFEB84"/>
        <color rgb="FFF8696B"/>
      </colorScale>
    </cfRule>
    <cfRule type="colorScale" priority="3740">
      <colorScale>
        <cfvo type="min"/>
        <cfvo type="percentile" val="50"/>
        <cfvo type="max"/>
        <color rgb="FF63BE7B"/>
        <color rgb="FFFFEB84"/>
        <color rgb="FFF8696B"/>
      </colorScale>
    </cfRule>
    <cfRule type="colorScale" priority="3739">
      <colorScale>
        <cfvo type="min"/>
        <cfvo type="percentile" val="50"/>
        <cfvo type="max"/>
        <color rgb="FF63BE7B"/>
        <color rgb="FFFFEB84"/>
        <color rgb="FFF8696B"/>
      </colorScale>
    </cfRule>
    <cfRule type="colorScale" priority="3738">
      <colorScale>
        <cfvo type="min"/>
        <cfvo type="percentile" val="50"/>
        <cfvo type="max"/>
        <color rgb="FF63BE7B"/>
        <color rgb="FFFFEB84"/>
        <color rgb="FFF8696B"/>
      </colorScale>
    </cfRule>
    <cfRule type="colorScale" priority="3737">
      <colorScale>
        <cfvo type="min"/>
        <cfvo type="percentile" val="50"/>
        <cfvo type="max"/>
        <color rgb="FF63BE7B"/>
        <color rgb="FFFFEB84"/>
        <color rgb="FFF8696B"/>
      </colorScale>
    </cfRule>
    <cfRule type="colorScale" priority="3736">
      <colorScale>
        <cfvo type="min"/>
        <cfvo type="percentile" val="50"/>
        <cfvo type="max"/>
        <color rgb="FF63BE7B"/>
        <color rgb="FFFFEB84"/>
        <color rgb="FFF8696B"/>
      </colorScale>
    </cfRule>
    <cfRule type="colorScale" priority="3735">
      <colorScale>
        <cfvo type="min"/>
        <cfvo type="percentile" val="50"/>
        <cfvo type="max"/>
        <color rgb="FF63BE7B"/>
        <color rgb="FFFFEB84"/>
        <color rgb="FFF8696B"/>
      </colorScale>
    </cfRule>
    <cfRule type="colorScale" priority="3734">
      <colorScale>
        <cfvo type="min"/>
        <cfvo type="percentile" val="50"/>
        <cfvo type="max"/>
        <color rgb="FF63BE7B"/>
        <color rgb="FFFFEB84"/>
        <color rgb="FFF8696B"/>
      </colorScale>
    </cfRule>
    <cfRule type="colorScale" priority="3733">
      <colorScale>
        <cfvo type="min"/>
        <cfvo type="percentile" val="50"/>
        <cfvo type="max"/>
        <color rgb="FF63BE7B"/>
        <color rgb="FFFFEB84"/>
        <color rgb="FFF8696B"/>
      </colorScale>
    </cfRule>
    <cfRule type="colorScale" priority="3732">
      <colorScale>
        <cfvo type="min"/>
        <cfvo type="percentile" val="50"/>
        <cfvo type="max"/>
        <color rgb="FF63BE7B"/>
        <color rgb="FFFFEB84"/>
        <color rgb="FFF8696B"/>
      </colorScale>
    </cfRule>
    <cfRule type="colorScale" priority="7100">
      <colorScale>
        <cfvo type="min"/>
        <cfvo type="percentile" val="50"/>
        <cfvo type="max"/>
        <color rgb="FF63BE7B"/>
        <color rgb="FFFFEB84"/>
        <color rgb="FFF8696B"/>
      </colorScale>
    </cfRule>
    <cfRule type="colorScale" priority="7101">
      <colorScale>
        <cfvo type="min"/>
        <cfvo type="percentile" val="50"/>
        <cfvo type="max"/>
        <color rgb="FF63BE7B"/>
        <color rgb="FFFFEB84"/>
        <color rgb="FFF8696B"/>
      </colorScale>
    </cfRule>
    <cfRule type="colorScale" priority="7102">
      <colorScale>
        <cfvo type="min"/>
        <cfvo type="percentile" val="50"/>
        <cfvo type="max"/>
        <color rgb="FF63BE7B"/>
        <color rgb="FFFFEB84"/>
        <color rgb="FFF8696B"/>
      </colorScale>
    </cfRule>
    <cfRule type="colorScale" priority="7103">
      <colorScale>
        <cfvo type="min"/>
        <cfvo type="percentile" val="50"/>
        <cfvo type="max"/>
        <color rgb="FF63BE7B"/>
        <color rgb="FFFFEB84"/>
        <color rgb="FFF8696B"/>
      </colorScale>
    </cfRule>
    <cfRule type="colorScale" priority="7144">
      <colorScale>
        <cfvo type="min"/>
        <cfvo type="percentile" val="50"/>
        <cfvo type="max"/>
        <color rgb="FF63BE7B"/>
        <color rgb="FFFFEB84"/>
        <color rgb="FFF8696B"/>
      </colorScale>
    </cfRule>
    <cfRule type="colorScale" priority="7145">
      <colorScale>
        <cfvo type="min"/>
        <cfvo type="percentile" val="50"/>
        <cfvo type="max"/>
        <color rgb="FF63BE7B"/>
        <color rgb="FFFFEB84"/>
        <color rgb="FFF8696B"/>
      </colorScale>
    </cfRule>
    <cfRule type="colorScale" priority="7146">
      <colorScale>
        <cfvo type="min"/>
        <cfvo type="percentile" val="50"/>
        <cfvo type="max"/>
        <color rgb="FF63BE7B"/>
        <color rgb="FFFFEB84"/>
        <color rgb="FFF8696B"/>
      </colorScale>
    </cfRule>
    <cfRule type="colorScale" priority="7147">
      <colorScale>
        <cfvo type="min"/>
        <cfvo type="percentile" val="50"/>
        <cfvo type="max"/>
        <color rgb="FF63BE7B"/>
        <color rgb="FFFFEB84"/>
        <color rgb="FFF8696B"/>
      </colorScale>
    </cfRule>
    <cfRule type="colorScale" priority="2938">
      <colorScale>
        <cfvo type="min"/>
        <cfvo type="percentile" val="50"/>
        <cfvo type="max"/>
        <color rgb="FF63BE7B"/>
        <color rgb="FFFFEB84"/>
        <color rgb="FFF8696B"/>
      </colorScale>
    </cfRule>
    <cfRule type="colorScale" priority="2971">
      <colorScale>
        <cfvo type="min"/>
        <cfvo type="percentile" val="50"/>
        <cfvo type="max"/>
        <color rgb="FF63BE7B"/>
        <color rgb="FFFFEB84"/>
        <color rgb="FFF8696B"/>
      </colorScale>
    </cfRule>
    <cfRule type="colorScale" priority="2937">
      <colorScale>
        <cfvo type="min"/>
        <cfvo type="percentile" val="50"/>
        <cfvo type="max"/>
        <color rgb="FF63BE7B"/>
        <color rgb="FFFFEB84"/>
        <color rgb="FFF8696B"/>
      </colorScale>
    </cfRule>
    <cfRule type="colorScale" priority="2936">
      <colorScale>
        <cfvo type="min"/>
        <cfvo type="percentile" val="50"/>
        <cfvo type="max"/>
        <color rgb="FF63BE7B"/>
        <color rgb="FFFFEB84"/>
        <color rgb="FFF8696B"/>
      </colorScale>
    </cfRule>
    <cfRule type="colorScale" priority="2935">
      <colorScale>
        <cfvo type="min"/>
        <cfvo type="percentile" val="50"/>
        <cfvo type="max"/>
        <color rgb="FF63BE7B"/>
        <color rgb="FFFFEB84"/>
        <color rgb="FFF8696B"/>
      </colorScale>
    </cfRule>
    <cfRule type="colorScale" priority="2934">
      <colorScale>
        <cfvo type="min"/>
        <cfvo type="percentile" val="50"/>
        <cfvo type="max"/>
        <color rgb="FF63BE7B"/>
        <color rgb="FFFFEB84"/>
        <color rgb="FFF8696B"/>
      </colorScale>
    </cfRule>
    <cfRule type="colorScale" priority="2933">
      <colorScale>
        <cfvo type="min"/>
        <cfvo type="percentile" val="50"/>
        <cfvo type="max"/>
        <color rgb="FF63BE7B"/>
        <color rgb="FFFFEB84"/>
        <color rgb="FFF8696B"/>
      </colorScale>
    </cfRule>
    <cfRule type="colorScale" priority="2932">
      <colorScale>
        <cfvo type="min"/>
        <cfvo type="percentile" val="50"/>
        <cfvo type="max"/>
        <color rgb="FFF8696B"/>
        <color rgb="FFFFEB84"/>
        <color rgb="FF63BE7B"/>
      </colorScale>
    </cfRule>
    <cfRule type="colorScale" priority="2931">
      <colorScale>
        <cfvo type="min"/>
        <cfvo type="percentile" val="50"/>
        <cfvo type="max"/>
        <color rgb="FF63BE7B"/>
        <color rgb="FFFFEB84"/>
        <color rgb="FFF8696B"/>
      </colorScale>
    </cfRule>
    <cfRule type="colorScale" priority="2930">
      <colorScale>
        <cfvo type="min"/>
        <cfvo type="percentile" val="50"/>
        <cfvo type="max"/>
        <color rgb="FF63BE7B"/>
        <color rgb="FFFFEB84"/>
        <color rgb="FFF8696B"/>
      </colorScale>
    </cfRule>
    <cfRule type="colorScale" priority="2929">
      <colorScale>
        <cfvo type="min"/>
        <cfvo type="percentile" val="50"/>
        <cfvo type="max"/>
        <color rgb="FF63BE7B"/>
        <color rgb="FFFFEB84"/>
        <color rgb="FFF8696B"/>
      </colorScale>
    </cfRule>
    <cfRule type="colorScale" priority="2928">
      <colorScale>
        <cfvo type="min"/>
        <cfvo type="percentile" val="50"/>
        <cfvo type="max"/>
        <color rgb="FF63BE7B"/>
        <color rgb="FFFFEB84"/>
        <color rgb="FFF8696B"/>
      </colorScale>
    </cfRule>
    <cfRule type="colorScale" priority="2927">
      <colorScale>
        <cfvo type="min"/>
        <cfvo type="percentile" val="50"/>
        <cfvo type="max"/>
        <color rgb="FF63BE7B"/>
        <color rgb="FFFFEB84"/>
        <color rgb="FFF8696B"/>
      </colorScale>
    </cfRule>
    <cfRule type="colorScale" priority="2926">
      <colorScale>
        <cfvo type="min"/>
        <cfvo type="percentile" val="50"/>
        <cfvo type="max"/>
        <color rgb="FF63BE7B"/>
        <color rgb="FFFFEB84"/>
        <color rgb="FFF8696B"/>
      </colorScale>
    </cfRule>
    <cfRule type="colorScale" priority="2925">
      <colorScale>
        <cfvo type="min"/>
        <cfvo type="percentile" val="50"/>
        <cfvo type="max"/>
        <color rgb="FF63BE7B"/>
        <color rgb="FFFFEB84"/>
        <color rgb="FFF8696B"/>
      </colorScale>
    </cfRule>
    <cfRule type="colorScale" priority="2924">
      <colorScale>
        <cfvo type="min"/>
        <cfvo type="percentile" val="50"/>
        <cfvo type="max"/>
        <color rgb="FF63BE7B"/>
        <color rgb="FFFFEB84"/>
        <color rgb="FFF8696B"/>
      </colorScale>
    </cfRule>
    <cfRule type="colorScale" priority="2923">
      <colorScale>
        <cfvo type="min"/>
        <cfvo type="percentile" val="50"/>
        <cfvo type="max"/>
        <color rgb="FF63BE7B"/>
        <color rgb="FFFFEB84"/>
        <color rgb="FFF8696B"/>
      </colorScale>
    </cfRule>
    <cfRule type="colorScale" priority="2922">
      <colorScale>
        <cfvo type="min"/>
        <cfvo type="percentile" val="50"/>
        <cfvo type="max"/>
        <color rgb="FF63BE7B"/>
        <color rgb="FFFFEB84"/>
        <color rgb="FFF8696B"/>
      </colorScale>
    </cfRule>
    <cfRule type="colorScale" priority="2921">
      <colorScale>
        <cfvo type="min"/>
        <cfvo type="percentile" val="50"/>
        <cfvo type="max"/>
        <color rgb="FF63BE7B"/>
        <color rgb="FFFFEB84"/>
        <color rgb="FFF8696B"/>
      </colorScale>
    </cfRule>
    <cfRule type="colorScale" priority="2920">
      <colorScale>
        <cfvo type="min"/>
        <cfvo type="percentile" val="50"/>
        <cfvo type="max"/>
        <color rgb="FF63BE7B"/>
        <color rgb="FFFFEB84"/>
        <color rgb="FFF8696B"/>
      </colorScale>
    </cfRule>
    <cfRule type="colorScale" priority="2919">
      <colorScale>
        <cfvo type="min"/>
        <cfvo type="percentile" val="50"/>
        <cfvo type="max"/>
        <color rgb="FF63BE7B"/>
        <color rgb="FFFFEB84"/>
        <color rgb="FFF8696B"/>
      </colorScale>
    </cfRule>
    <cfRule type="colorScale" priority="2918">
      <colorScale>
        <cfvo type="min"/>
        <cfvo type="percentile" val="50"/>
        <cfvo type="max"/>
        <color rgb="FF63BE7B"/>
        <color rgb="FFFFEB84"/>
        <color rgb="FFF8696B"/>
      </colorScale>
    </cfRule>
    <cfRule type="colorScale" priority="2917">
      <colorScale>
        <cfvo type="min"/>
        <cfvo type="percentile" val="50"/>
        <cfvo type="max"/>
        <color rgb="FF63BE7B"/>
        <color rgb="FFFFEB84"/>
        <color rgb="FFF8696B"/>
      </colorScale>
    </cfRule>
    <cfRule type="colorScale" priority="2916">
      <colorScale>
        <cfvo type="min"/>
        <cfvo type="percentile" val="50"/>
        <cfvo type="max"/>
        <color rgb="FF63BE7B"/>
        <color rgb="FFFFEB84"/>
        <color rgb="FFF8696B"/>
      </colorScale>
    </cfRule>
    <cfRule type="colorScale" priority="2915">
      <colorScale>
        <cfvo type="min"/>
        <cfvo type="percentile" val="50"/>
        <cfvo type="max"/>
        <color rgb="FF63BE7B"/>
        <color rgb="FFFFEB84"/>
        <color rgb="FFF8696B"/>
      </colorScale>
    </cfRule>
    <cfRule type="colorScale" priority="2914">
      <colorScale>
        <cfvo type="min"/>
        <cfvo type="percentile" val="50"/>
        <cfvo type="max"/>
        <color rgb="FF63BE7B"/>
        <color rgb="FFFFEB84"/>
        <color rgb="FFF8696B"/>
      </colorScale>
    </cfRule>
    <cfRule type="colorScale" priority="2913">
      <colorScale>
        <cfvo type="min"/>
        <cfvo type="percentile" val="50"/>
        <cfvo type="max"/>
        <color rgb="FF63BE7B"/>
        <color rgb="FFFFEB84"/>
        <color rgb="FFF8696B"/>
      </colorScale>
    </cfRule>
    <cfRule type="colorScale" priority="2912">
      <colorScale>
        <cfvo type="min"/>
        <cfvo type="percentile" val="50"/>
        <cfvo type="max"/>
        <color rgb="FF63BE7B"/>
        <color rgb="FFFFEB84"/>
        <color rgb="FFF8696B"/>
      </colorScale>
    </cfRule>
    <cfRule type="colorScale" priority="2911">
      <colorScale>
        <cfvo type="min"/>
        <cfvo type="percentile" val="50"/>
        <cfvo type="max"/>
        <color rgb="FF63BE7B"/>
        <color rgb="FFFFEB84"/>
        <color rgb="FFF8696B"/>
      </colorScale>
    </cfRule>
    <cfRule type="colorScale" priority="2910">
      <colorScale>
        <cfvo type="min"/>
        <cfvo type="percentile" val="50"/>
        <cfvo type="max"/>
        <color rgb="FF63BE7B"/>
        <color rgb="FFFFEB84"/>
        <color rgb="FFF8696B"/>
      </colorScale>
    </cfRule>
    <cfRule type="colorScale" priority="2909">
      <colorScale>
        <cfvo type="min"/>
        <cfvo type="percentile" val="50"/>
        <cfvo type="max"/>
        <color rgb="FF63BE7B"/>
        <color rgb="FFFFEB84"/>
        <color rgb="FFF8696B"/>
      </colorScale>
    </cfRule>
    <cfRule type="colorScale" priority="2908">
      <colorScale>
        <cfvo type="min"/>
        <cfvo type="percentile" val="50"/>
        <cfvo type="max"/>
        <color rgb="FF63BE7B"/>
        <color rgb="FFFFEB84"/>
        <color rgb="FFF8696B"/>
      </colorScale>
    </cfRule>
    <cfRule type="colorScale" priority="2907">
      <colorScale>
        <cfvo type="min"/>
        <cfvo type="percentile" val="50"/>
        <cfvo type="max"/>
        <color rgb="FF63BE7B"/>
        <color rgb="FFFFEB84"/>
        <color rgb="FFF8696B"/>
      </colorScale>
    </cfRule>
    <cfRule type="colorScale" priority="2906">
      <colorScale>
        <cfvo type="min"/>
        <cfvo type="percentile" val="50"/>
        <cfvo type="max"/>
        <color rgb="FF63BE7B"/>
        <color rgb="FFFFEB84"/>
        <color rgb="FFF8696B"/>
      </colorScale>
    </cfRule>
    <cfRule type="colorScale" priority="2905">
      <colorScale>
        <cfvo type="min"/>
        <cfvo type="percentile" val="50"/>
        <cfvo type="max"/>
        <color rgb="FF63BE7B"/>
        <color rgb="FFFFEB84"/>
        <color rgb="FFF8696B"/>
      </colorScale>
    </cfRule>
    <cfRule type="colorScale" priority="2904">
      <colorScale>
        <cfvo type="min"/>
        <cfvo type="percentile" val="50"/>
        <cfvo type="max"/>
        <color rgb="FF63BE7B"/>
        <color rgb="FFFFEB84"/>
        <color rgb="FFF8696B"/>
      </colorScale>
    </cfRule>
    <cfRule type="colorScale" priority="2903">
      <colorScale>
        <cfvo type="min"/>
        <cfvo type="percentile" val="50"/>
        <cfvo type="max"/>
        <color rgb="FF63BE7B"/>
        <color rgb="FFFFEB84"/>
        <color rgb="FFF8696B"/>
      </colorScale>
    </cfRule>
    <cfRule type="colorScale" priority="2963">
      <colorScale>
        <cfvo type="min"/>
        <cfvo type="percentile" val="50"/>
        <cfvo type="max"/>
        <color rgb="FF63BE7B"/>
        <color rgb="FFFFEB84"/>
        <color rgb="FFF8696B"/>
      </colorScale>
    </cfRule>
    <cfRule type="colorScale" priority="2962">
      <colorScale>
        <cfvo type="min"/>
        <cfvo type="percentile" val="50"/>
        <cfvo type="max"/>
        <color rgb="FF63BE7B"/>
        <color rgb="FFFFEB84"/>
        <color rgb="FFF8696B"/>
      </colorScale>
    </cfRule>
    <cfRule type="colorScale" priority="2961">
      <colorScale>
        <cfvo type="min"/>
        <cfvo type="percentile" val="50"/>
        <cfvo type="max"/>
        <color rgb="FF63BE7B"/>
        <color rgb="FFFFEB84"/>
        <color rgb="FFF8696B"/>
      </colorScale>
    </cfRule>
    <cfRule type="colorScale" priority="2960">
      <colorScale>
        <cfvo type="min"/>
        <cfvo type="percentile" val="50"/>
        <cfvo type="max"/>
        <color rgb="FF63BE7B"/>
        <color rgb="FFFFEB84"/>
        <color rgb="FFF8696B"/>
      </colorScale>
    </cfRule>
    <cfRule type="colorScale" priority="2959">
      <colorScale>
        <cfvo type="min"/>
        <cfvo type="percentile" val="50"/>
        <cfvo type="max"/>
        <color rgb="FF63BE7B"/>
        <color rgb="FFFFEB84"/>
        <color rgb="FFF8696B"/>
      </colorScale>
    </cfRule>
    <cfRule type="colorScale" priority="2958">
      <colorScale>
        <cfvo type="min"/>
        <cfvo type="percentile" val="50"/>
        <cfvo type="max"/>
        <color rgb="FF63BE7B"/>
        <color rgb="FFFFEB84"/>
        <color rgb="FFF8696B"/>
      </colorScale>
    </cfRule>
    <cfRule type="colorScale" priority="2957">
      <colorScale>
        <cfvo type="min"/>
        <cfvo type="percentile" val="50"/>
        <cfvo type="max"/>
        <color rgb="FF63BE7B"/>
        <color rgb="FFFFEB84"/>
        <color rgb="FFF8696B"/>
      </colorScale>
    </cfRule>
    <cfRule type="colorScale" priority="2956">
      <colorScale>
        <cfvo type="min"/>
        <cfvo type="percentile" val="50"/>
        <cfvo type="max"/>
        <color rgb="FF63BE7B"/>
        <color rgb="FFFFEB84"/>
        <color rgb="FFF8696B"/>
      </colorScale>
    </cfRule>
    <cfRule type="colorScale" priority="2955">
      <colorScale>
        <cfvo type="min"/>
        <cfvo type="percentile" val="50"/>
        <cfvo type="max"/>
        <color rgb="FF63BE7B"/>
        <color rgb="FFFFEB84"/>
        <color rgb="FFF8696B"/>
      </colorScale>
    </cfRule>
    <cfRule type="colorScale" priority="2954">
      <colorScale>
        <cfvo type="min"/>
        <cfvo type="percentile" val="50"/>
        <cfvo type="max"/>
        <color rgb="FF63BE7B"/>
        <color rgb="FFFFEB84"/>
        <color rgb="FFF8696B"/>
      </colorScale>
    </cfRule>
    <cfRule type="colorScale" priority="2953">
      <colorScale>
        <cfvo type="min"/>
        <cfvo type="percentile" val="50"/>
        <cfvo type="max"/>
        <color rgb="FF63BE7B"/>
        <color rgb="FFFFEB84"/>
        <color rgb="FFF8696B"/>
      </colorScale>
    </cfRule>
    <cfRule type="colorScale" priority="2952">
      <colorScale>
        <cfvo type="min"/>
        <cfvo type="percentile" val="50"/>
        <cfvo type="max"/>
        <color rgb="FF63BE7B"/>
        <color rgb="FFFFEB84"/>
        <color rgb="FFF8696B"/>
      </colorScale>
    </cfRule>
    <cfRule type="colorScale" priority="2951">
      <colorScale>
        <cfvo type="min"/>
        <cfvo type="percentile" val="50"/>
        <cfvo type="max"/>
        <color rgb="FF63BE7B"/>
        <color rgb="FFFFEB84"/>
        <color rgb="FFF8696B"/>
      </colorScale>
    </cfRule>
    <cfRule type="colorScale" priority="2950">
      <colorScale>
        <cfvo type="min"/>
        <cfvo type="percentile" val="50"/>
        <cfvo type="max"/>
        <color rgb="FF63BE7B"/>
        <color rgb="FFFFEB84"/>
        <color rgb="FFF8696B"/>
      </colorScale>
    </cfRule>
    <cfRule type="colorScale" priority="2949">
      <colorScale>
        <cfvo type="min"/>
        <cfvo type="percentile" val="50"/>
        <cfvo type="max"/>
        <color rgb="FF63BE7B"/>
        <color rgb="FFFFEB84"/>
        <color rgb="FFF8696B"/>
      </colorScale>
    </cfRule>
    <cfRule type="colorScale" priority="2948">
      <colorScale>
        <cfvo type="min"/>
        <cfvo type="percentile" val="50"/>
        <cfvo type="max"/>
        <color rgb="FF63BE7B"/>
        <color rgb="FFFFEB84"/>
        <color rgb="FFF8696B"/>
      </colorScale>
    </cfRule>
    <cfRule type="colorScale" priority="2947">
      <colorScale>
        <cfvo type="min"/>
        <cfvo type="percentile" val="50"/>
        <cfvo type="max"/>
        <color rgb="FF63BE7B"/>
        <color rgb="FFFFEB84"/>
        <color rgb="FFF8696B"/>
      </colorScale>
    </cfRule>
    <cfRule type="colorScale" priority="2946">
      <colorScale>
        <cfvo type="min"/>
        <cfvo type="percentile" val="50"/>
        <cfvo type="max"/>
        <color rgb="FF63BE7B"/>
        <color rgb="FFFFEB84"/>
        <color rgb="FFF8696B"/>
      </colorScale>
    </cfRule>
    <cfRule type="colorScale" priority="2945">
      <colorScale>
        <cfvo type="min"/>
        <cfvo type="percentile" val="50"/>
        <cfvo type="max"/>
        <color rgb="FF63BE7B"/>
        <color rgb="FFFFEB84"/>
        <color rgb="FFF8696B"/>
      </colorScale>
    </cfRule>
    <cfRule type="colorScale" priority="2944">
      <colorScale>
        <cfvo type="min"/>
        <cfvo type="percentile" val="50"/>
        <cfvo type="max"/>
        <color rgb="FF63BE7B"/>
        <color rgb="FFFFEB84"/>
        <color rgb="FFF8696B"/>
      </colorScale>
    </cfRule>
    <cfRule type="colorScale" priority="2943">
      <colorScale>
        <cfvo type="min"/>
        <cfvo type="percentile" val="50"/>
        <cfvo type="max"/>
        <color rgb="FF63BE7B"/>
        <color rgb="FFFFEB84"/>
        <color rgb="FFF8696B"/>
      </colorScale>
    </cfRule>
    <cfRule type="colorScale" priority="2942">
      <colorScale>
        <cfvo type="min"/>
        <cfvo type="percentile" val="50"/>
        <cfvo type="max"/>
        <color rgb="FF63BE7B"/>
        <color rgb="FFFFEB84"/>
        <color rgb="FFF8696B"/>
      </colorScale>
    </cfRule>
    <cfRule type="colorScale" priority="2941">
      <colorScale>
        <cfvo type="min"/>
        <cfvo type="percentile" val="50"/>
        <cfvo type="max"/>
        <color rgb="FF63BE7B"/>
        <color rgb="FFFFEB84"/>
        <color rgb="FFF8696B"/>
      </colorScale>
    </cfRule>
    <cfRule type="colorScale" priority="2940">
      <colorScale>
        <cfvo type="min"/>
        <cfvo type="percentile" val="50"/>
        <cfvo type="max"/>
        <color rgb="FF63BE7B"/>
        <color rgb="FFFFEB84"/>
        <color rgb="FFF8696B"/>
      </colorScale>
    </cfRule>
    <cfRule type="colorScale" priority="2939">
      <colorScale>
        <cfvo type="min"/>
        <cfvo type="percentile" val="50"/>
        <cfvo type="max"/>
        <color rgb="FF63BE7B"/>
        <color rgb="FFFFEB84"/>
        <color rgb="FFF8696B"/>
      </colorScale>
    </cfRule>
    <cfRule type="colorScale" priority="2849">
      <colorScale>
        <cfvo type="min"/>
        <cfvo type="percentile" val="50"/>
        <cfvo type="max"/>
        <color rgb="FF63BE7B"/>
        <color rgb="FFFFEB84"/>
        <color rgb="FFF8696B"/>
      </colorScale>
    </cfRule>
  </conditionalFormatting>
  <conditionalFormatting sqref="AO54:AO61">
    <cfRule type="colorScale" priority="17">
      <colorScale>
        <cfvo type="min"/>
        <cfvo type="percentile" val="50"/>
        <cfvo type="max"/>
        <color rgb="FF63BE7B"/>
        <color rgb="FFFFEB84"/>
        <color rgb="FFF8696B"/>
      </colorScale>
    </cfRule>
  </conditionalFormatting>
  <conditionalFormatting sqref="AP35:AP37">
    <cfRule type="colorScale" priority="8939">
      <colorScale>
        <cfvo type="min"/>
        <cfvo type="percentile" val="50"/>
        <cfvo type="max"/>
        <color rgb="FF63BE7B"/>
        <color rgb="FFFFEB84"/>
        <color rgb="FFF8696B"/>
      </colorScale>
    </cfRule>
    <cfRule type="colorScale" priority="8966">
      <colorScale>
        <cfvo type="min"/>
        <cfvo type="percentile" val="50"/>
        <cfvo type="max"/>
        <color rgb="FF63BE7B"/>
        <color rgb="FFFFEB84"/>
        <color rgb="FFF8696B"/>
      </colorScale>
    </cfRule>
    <cfRule type="colorScale" priority="8971">
      <colorScale>
        <cfvo type="min"/>
        <cfvo type="percentile" val="50"/>
        <cfvo type="max"/>
        <color rgb="FF63BE7B"/>
        <color rgb="FFFFEB84"/>
        <color rgb="FFF8696B"/>
      </colorScale>
    </cfRule>
    <cfRule type="colorScale" priority="8708">
      <colorScale>
        <cfvo type="min"/>
        <cfvo type="percentile" val="50"/>
        <cfvo type="max"/>
        <color rgb="FF63BE7B"/>
        <color rgb="FFFFEB84"/>
        <color rgb="FFF8696B"/>
      </colorScale>
    </cfRule>
    <cfRule type="colorScale" priority="8707">
      <colorScale>
        <cfvo type="min"/>
        <cfvo type="percentile" val="50"/>
        <cfvo type="max"/>
        <color rgb="FF63BE7B"/>
        <color rgb="FFFFEB84"/>
        <color rgb="FFF8696B"/>
      </colorScale>
    </cfRule>
    <cfRule type="colorScale" priority="8677">
      <colorScale>
        <cfvo type="min"/>
        <cfvo type="percentile" val="50"/>
        <cfvo type="max"/>
        <color rgb="FF63BE7B"/>
        <color rgb="FFFFEB84"/>
        <color rgb="FFF8696B"/>
      </colorScale>
    </cfRule>
    <cfRule type="colorScale" priority="8705">
      <colorScale>
        <cfvo type="min"/>
        <cfvo type="percentile" val="50"/>
        <cfvo type="max"/>
        <color rgb="FF63BE7B"/>
        <color rgb="FFFFEB84"/>
        <color rgb="FFF8696B"/>
      </colorScale>
    </cfRule>
    <cfRule type="colorScale" priority="8704">
      <colorScale>
        <cfvo type="min"/>
        <cfvo type="percentile" val="50"/>
        <cfvo type="max"/>
        <color rgb="FF63BE7B"/>
        <color rgb="FFFFEB84"/>
        <color rgb="FFF8696B"/>
      </colorScale>
    </cfRule>
    <cfRule type="colorScale" priority="8703">
      <colorScale>
        <cfvo type="min"/>
        <cfvo type="percentile" val="50"/>
        <cfvo type="max"/>
        <color rgb="FF63BE7B"/>
        <color rgb="FFFFEB84"/>
        <color rgb="FFF8696B"/>
      </colorScale>
    </cfRule>
    <cfRule type="colorScale" priority="8702">
      <colorScale>
        <cfvo type="min"/>
        <cfvo type="percentile" val="50"/>
        <cfvo type="max"/>
        <color rgb="FF63BE7B"/>
        <color rgb="FFFFEB84"/>
        <color rgb="FFF8696B"/>
      </colorScale>
    </cfRule>
    <cfRule type="colorScale" priority="8676">
      <colorScale>
        <cfvo type="min"/>
        <cfvo type="percentile" val="50"/>
        <cfvo type="max"/>
        <color rgb="FF63BE7B"/>
        <color rgb="FFFFEB84"/>
        <color rgb="FFF8696B"/>
      </colorScale>
    </cfRule>
    <cfRule type="colorScale" priority="8675">
      <colorScale>
        <cfvo type="min"/>
        <cfvo type="percentile" val="50"/>
        <cfvo type="max"/>
        <color rgb="FF63BE7B"/>
        <color rgb="FFFFEB84"/>
        <color rgb="FFF8696B"/>
      </colorScale>
    </cfRule>
    <cfRule type="colorScale" priority="8681">
      <colorScale>
        <cfvo type="min"/>
        <cfvo type="percentile" val="50"/>
        <cfvo type="max"/>
        <color rgb="FF63BE7B"/>
        <color rgb="FFFFEB84"/>
        <color rgb="FFF8696B"/>
      </colorScale>
    </cfRule>
    <cfRule type="colorScale" priority="8680">
      <colorScale>
        <cfvo type="min"/>
        <cfvo type="percentile" val="50"/>
        <cfvo type="max"/>
        <color rgb="FF63BE7B"/>
        <color rgb="FFFFEB84"/>
        <color rgb="FFF8696B"/>
      </colorScale>
    </cfRule>
    <cfRule type="colorScale" priority="8958">
      <colorScale>
        <cfvo type="min"/>
        <cfvo type="percentile" val="50"/>
        <cfvo type="max"/>
        <color rgb="FF63BE7B"/>
        <color rgb="FFFFEB84"/>
        <color rgb="FFF8696B"/>
      </colorScale>
    </cfRule>
    <cfRule type="colorScale" priority="8678">
      <colorScale>
        <cfvo type="min"/>
        <cfvo type="percentile" val="50"/>
        <cfvo type="max"/>
        <color rgb="FF63BE7B"/>
        <color rgb="FFFFEB84"/>
        <color rgb="FFF8696B"/>
      </colorScale>
    </cfRule>
    <cfRule type="colorScale" priority="8944">
      <colorScale>
        <cfvo type="min"/>
        <cfvo type="percentile" val="50"/>
        <cfvo type="max"/>
        <color rgb="FF63BE7B"/>
        <color rgb="FFFFEB84"/>
        <color rgb="FFF8696B"/>
      </colorScale>
    </cfRule>
    <cfRule type="colorScale" priority="8942">
      <colorScale>
        <cfvo type="min"/>
        <cfvo type="percentile" val="50"/>
        <cfvo type="max"/>
        <color rgb="FF63BE7B"/>
        <color rgb="FFFFEB84"/>
        <color rgb="FFF8696B"/>
      </colorScale>
    </cfRule>
    <cfRule type="colorScale" priority="8972">
      <colorScale>
        <cfvo type="min"/>
        <cfvo type="percentile" val="50"/>
        <cfvo type="max"/>
        <color rgb="FF63BE7B"/>
        <color rgb="FFFFEB84"/>
        <color rgb="FFF8696B"/>
      </colorScale>
    </cfRule>
    <cfRule type="colorScale" priority="8941">
      <colorScale>
        <cfvo type="min"/>
        <cfvo type="percentile" val="50"/>
        <cfvo type="max"/>
        <color rgb="FF63BE7B"/>
        <color rgb="FFFFEB84"/>
        <color rgb="FFF8696B"/>
      </colorScale>
    </cfRule>
    <cfRule type="colorScale" priority="8694">
      <colorScale>
        <cfvo type="min"/>
        <cfvo type="percentile" val="50"/>
        <cfvo type="max"/>
        <color rgb="FF63BE7B"/>
        <color rgb="FFFFEB84"/>
        <color rgb="FFF8696B"/>
      </colorScale>
    </cfRule>
    <cfRule type="colorScale" priority="10744">
      <colorScale>
        <cfvo type="min"/>
        <cfvo type="percentile" val="50"/>
        <cfvo type="max"/>
        <color rgb="FF63BE7B"/>
        <color rgb="FFFFEB84"/>
        <color rgb="FFF8696B"/>
      </colorScale>
    </cfRule>
    <cfRule type="colorScale" priority="8667">
      <colorScale>
        <cfvo type="min"/>
        <cfvo type="percentile" val="50"/>
        <cfvo type="max"/>
        <color rgb="FF63BE7B"/>
        <color rgb="FFFFEB84"/>
        <color rgb="FFF8696B"/>
      </colorScale>
    </cfRule>
    <cfRule type="colorScale" priority="8969">
      <colorScale>
        <cfvo type="min"/>
        <cfvo type="percentile" val="50"/>
        <cfvo type="max"/>
        <color rgb="FF63BE7B"/>
        <color rgb="FFFFEB84"/>
        <color rgb="FFF8696B"/>
      </colorScale>
    </cfRule>
    <cfRule type="colorScale" priority="8968">
      <colorScale>
        <cfvo type="min"/>
        <cfvo type="percentile" val="50"/>
        <cfvo type="max"/>
        <color rgb="FF63BE7B"/>
        <color rgb="FFFFEB84"/>
        <color rgb="FFF8696B"/>
      </colorScale>
    </cfRule>
    <cfRule type="colorScale" priority="8931">
      <colorScale>
        <cfvo type="min"/>
        <cfvo type="percentile" val="50"/>
        <cfvo type="max"/>
        <color rgb="FF63BE7B"/>
        <color rgb="FFFFEB84"/>
        <color rgb="FFF8696B"/>
      </colorScale>
    </cfRule>
    <cfRule type="colorScale" priority="8967">
      <colorScale>
        <cfvo type="min"/>
        <cfvo type="percentile" val="50"/>
        <cfvo type="max"/>
        <color rgb="FF63BE7B"/>
        <color rgb="FFFFEB84"/>
        <color rgb="FFF8696B"/>
      </colorScale>
    </cfRule>
    <cfRule type="colorScale" priority="8945">
      <colorScale>
        <cfvo type="min"/>
        <cfvo type="percentile" val="50"/>
        <cfvo type="max"/>
        <color rgb="FF63BE7B"/>
        <color rgb="FFFFEB84"/>
        <color rgb="FFF8696B"/>
      </colorScale>
    </cfRule>
    <cfRule type="colorScale" priority="8940">
      <colorScale>
        <cfvo type="min"/>
        <cfvo type="percentile" val="50"/>
        <cfvo type="max"/>
        <color rgb="FF63BE7B"/>
        <color rgb="FFFFEB84"/>
        <color rgb="FFF8696B"/>
      </colorScale>
    </cfRule>
  </conditionalFormatting>
  <conditionalFormatting sqref="AP35:AP41 M35:M50 AC39:AC45 AA35:AD41">
    <cfRule type="colorScale" priority="13046">
      <colorScale>
        <cfvo type="min"/>
        <cfvo type="percentile" val="50"/>
        <cfvo type="max"/>
        <color rgb="FF63BE7B"/>
        <color rgb="FFFFEB84"/>
        <color rgb="FFF8696B"/>
      </colorScale>
    </cfRule>
    <cfRule type="colorScale" priority="13047">
      <colorScale>
        <cfvo type="min"/>
        <cfvo type="percentile" val="50"/>
        <cfvo type="max"/>
        <color rgb="FF63BE7B"/>
        <color rgb="FFFFEB84"/>
        <color rgb="FFF8696B"/>
      </colorScale>
    </cfRule>
    <cfRule type="colorScale" priority="13048">
      <colorScale>
        <cfvo type="min"/>
        <cfvo type="percentile" val="50"/>
        <cfvo type="max"/>
        <color rgb="FF63BE7B"/>
        <color rgb="FFFFEB84"/>
        <color rgb="FFF8696B"/>
      </colorScale>
    </cfRule>
    <cfRule type="colorScale" priority="13214">
      <colorScale>
        <cfvo type="min"/>
        <cfvo type="percentile" val="50"/>
        <cfvo type="max"/>
        <color rgb="FF63BE7B"/>
        <color rgb="FFFFEB84"/>
        <color rgb="FFF8696B"/>
      </colorScale>
    </cfRule>
    <cfRule type="colorScale" priority="13049">
      <colorScale>
        <cfvo type="min"/>
        <cfvo type="percentile" val="50"/>
        <cfvo type="max"/>
        <color rgb="FF63BE7B"/>
        <color rgb="FFFFEB84"/>
        <color rgb="FFF8696B"/>
      </colorScale>
    </cfRule>
  </conditionalFormatting>
  <conditionalFormatting sqref="AP35:AP41 AC39:AC45 AA35:AD41 AP52:AP53 M35:M53 AA52:AD53">
    <cfRule type="colorScale" priority="13236">
      <colorScale>
        <cfvo type="min"/>
        <cfvo type="percentile" val="50"/>
        <cfvo type="max"/>
        <color rgb="FF63BE7B"/>
        <color rgb="FFFFEB84"/>
        <color rgb="FFF8696B"/>
      </colorScale>
    </cfRule>
  </conditionalFormatting>
  <conditionalFormatting sqref="AP35:AP41">
    <cfRule type="colorScale" priority="8687">
      <colorScale>
        <cfvo type="min"/>
        <cfvo type="percentile" val="50"/>
        <cfvo type="max"/>
        <color rgb="FF63BE7B"/>
        <color rgb="FFFFEB84"/>
        <color rgb="FFF8696B"/>
      </colorScale>
    </cfRule>
    <cfRule type="colorScale" priority="8686">
      <colorScale>
        <cfvo type="min"/>
        <cfvo type="percentile" val="50"/>
        <cfvo type="max"/>
        <color rgb="FF63BE7B"/>
        <color rgb="FFFFEB84"/>
        <color rgb="FFF8696B"/>
      </colorScale>
    </cfRule>
    <cfRule type="colorScale" priority="8685">
      <colorScale>
        <cfvo type="min"/>
        <cfvo type="percentile" val="50"/>
        <cfvo type="max"/>
        <color rgb="FF63BE7B"/>
        <color rgb="FFFFEB84"/>
        <color rgb="FFF8696B"/>
      </colorScale>
    </cfRule>
    <cfRule type="colorScale" priority="8684">
      <colorScale>
        <cfvo type="min"/>
        <cfvo type="percentile" val="50"/>
        <cfvo type="max"/>
        <color rgb="FF63BE7B"/>
        <color rgb="FFFFEB84"/>
        <color rgb="FFF8696B"/>
      </colorScale>
    </cfRule>
    <cfRule type="colorScale" priority="8683">
      <colorScale>
        <cfvo type="min"/>
        <cfvo type="percentile" val="50"/>
        <cfvo type="max"/>
        <color rgb="FF63BE7B"/>
        <color rgb="FFFFEB84"/>
        <color rgb="FFF8696B"/>
      </colorScale>
    </cfRule>
    <cfRule type="colorScale" priority="8682">
      <colorScale>
        <cfvo type="min"/>
        <cfvo type="percentile" val="50"/>
        <cfvo type="max"/>
        <color rgb="FF63BE7B"/>
        <color rgb="FFFFEB84"/>
        <color rgb="FFF8696B"/>
      </colorScale>
    </cfRule>
    <cfRule type="colorScale" priority="8674">
      <colorScale>
        <cfvo type="min"/>
        <cfvo type="percentile" val="50"/>
        <cfvo type="max"/>
        <color rgb="FF63BE7B"/>
        <color rgb="FFFFEB84"/>
        <color rgb="FFF8696B"/>
      </colorScale>
    </cfRule>
    <cfRule type="colorScale" priority="8673">
      <colorScale>
        <cfvo type="min"/>
        <cfvo type="percentile" val="50"/>
        <cfvo type="max"/>
        <color rgb="FF63BE7B"/>
        <color rgb="FFFFEB84"/>
        <color rgb="FFF8696B"/>
      </colorScale>
    </cfRule>
    <cfRule type="colorScale" priority="8672">
      <colorScale>
        <cfvo type="min"/>
        <cfvo type="percentile" val="50"/>
        <cfvo type="max"/>
        <color rgb="FF63BE7B"/>
        <color rgb="FFFFEB84"/>
        <color rgb="FFF8696B"/>
      </colorScale>
    </cfRule>
    <cfRule type="colorScale" priority="8671">
      <colorScale>
        <cfvo type="min"/>
        <cfvo type="percentile" val="50"/>
        <cfvo type="max"/>
        <color rgb="FF63BE7B"/>
        <color rgb="FFFFEB84"/>
        <color rgb="FFF8696B"/>
      </colorScale>
    </cfRule>
    <cfRule type="colorScale" priority="8670">
      <colorScale>
        <cfvo type="min"/>
        <cfvo type="percentile" val="50"/>
        <cfvo type="max"/>
        <color rgb="FF63BE7B"/>
        <color rgb="FFFFEB84"/>
        <color rgb="FFF8696B"/>
      </colorScale>
    </cfRule>
    <cfRule type="colorScale" priority="8669">
      <colorScale>
        <cfvo type="min"/>
        <cfvo type="percentile" val="50"/>
        <cfvo type="max"/>
        <color rgb="FF63BE7B"/>
        <color rgb="FFFFEB84"/>
        <color rgb="FFF8696B"/>
      </colorScale>
    </cfRule>
    <cfRule type="colorScale" priority="8668">
      <colorScale>
        <cfvo type="min"/>
        <cfvo type="percentile" val="50"/>
        <cfvo type="max"/>
        <color rgb="FF63BE7B"/>
        <color rgb="FFFFEB84"/>
        <color rgb="FFF8696B"/>
      </colorScale>
    </cfRule>
    <cfRule type="colorScale" priority="8666">
      <colorScale>
        <cfvo type="min"/>
        <cfvo type="percentile" val="50"/>
        <cfvo type="max"/>
        <color rgb="FF63BE7B"/>
        <color rgb="FFFFEB84"/>
        <color rgb="FFF8696B"/>
      </colorScale>
    </cfRule>
    <cfRule type="colorScale" priority="8665">
      <colorScale>
        <cfvo type="min"/>
        <cfvo type="percentile" val="50"/>
        <cfvo type="max"/>
        <color rgb="FF63BE7B"/>
        <color rgb="FFFFEB84"/>
        <color rgb="FFF8696B"/>
      </colorScale>
    </cfRule>
    <cfRule type="colorScale" priority="10742">
      <colorScale>
        <cfvo type="min"/>
        <cfvo type="percentile" val="50"/>
        <cfvo type="max"/>
        <color rgb="FF63BE7B"/>
        <color rgb="FFFFEB84"/>
        <color rgb="FFF8696B"/>
      </colorScale>
    </cfRule>
    <cfRule type="colorScale" priority="10743">
      <colorScale>
        <cfvo type="min"/>
        <cfvo type="percentile" val="50"/>
        <cfvo type="max"/>
        <color rgb="FF63BE7B"/>
        <color rgb="FFFFEB84"/>
        <color rgb="FFF8696B"/>
      </colorScale>
    </cfRule>
    <cfRule type="colorScale" priority="10745">
      <colorScale>
        <cfvo type="min"/>
        <cfvo type="percentile" val="50"/>
        <cfvo type="max"/>
        <color rgb="FF63BE7B"/>
        <color rgb="FFFFEB84"/>
        <color rgb="FFF8696B"/>
      </colorScale>
    </cfRule>
    <cfRule type="colorScale" priority="10746">
      <colorScale>
        <cfvo type="min"/>
        <cfvo type="percentile" val="50"/>
        <cfvo type="max"/>
        <color rgb="FF63BE7B"/>
        <color rgb="FFFFEB84"/>
        <color rgb="FFF8696B"/>
      </colorScale>
    </cfRule>
    <cfRule type="colorScale" priority="10747">
      <colorScale>
        <cfvo type="min"/>
        <cfvo type="percentile" val="50"/>
        <cfvo type="max"/>
        <color rgb="FF63BE7B"/>
        <color rgb="FFFFEB84"/>
        <color rgb="FFF8696B"/>
      </colorScale>
    </cfRule>
    <cfRule type="colorScale" priority="10748">
      <colorScale>
        <cfvo type="min"/>
        <cfvo type="percentile" val="50"/>
        <cfvo type="max"/>
        <color rgb="FF63BE7B"/>
        <color rgb="FFFFEB84"/>
        <color rgb="FFF8696B"/>
      </colorScale>
    </cfRule>
    <cfRule type="colorScale" priority="10749">
      <colorScale>
        <cfvo type="min"/>
        <cfvo type="percentile" val="50"/>
        <cfvo type="max"/>
        <color rgb="FF63BE7B"/>
        <color rgb="FFFFEB84"/>
        <color rgb="FFF8696B"/>
      </colorScale>
    </cfRule>
    <cfRule type="colorScale" priority="10750">
      <colorScale>
        <cfvo type="min"/>
        <cfvo type="percentile" val="50"/>
        <cfvo type="max"/>
        <color rgb="FF63BE7B"/>
        <color rgb="FFFFEB84"/>
        <color rgb="FFF8696B"/>
      </colorScale>
    </cfRule>
    <cfRule type="colorScale" priority="10751">
      <colorScale>
        <cfvo type="min"/>
        <cfvo type="percentile" val="50"/>
        <cfvo type="max"/>
        <color rgb="FF63BE7B"/>
        <color rgb="FFFFEB84"/>
        <color rgb="FFF8696B"/>
      </colorScale>
    </cfRule>
    <cfRule type="colorScale" priority="10752">
      <colorScale>
        <cfvo type="min"/>
        <cfvo type="percentile" val="50"/>
        <cfvo type="max"/>
        <color rgb="FF63BE7B"/>
        <color rgb="FFFFEB84"/>
        <color rgb="FFF8696B"/>
      </colorScale>
    </cfRule>
    <cfRule type="colorScale" priority="10753">
      <colorScale>
        <cfvo type="min"/>
        <cfvo type="percentile" val="50"/>
        <cfvo type="max"/>
        <color rgb="FF63BE7B"/>
        <color rgb="FFFFEB84"/>
        <color rgb="FFF8696B"/>
      </colorScale>
    </cfRule>
    <cfRule type="colorScale" priority="10754">
      <colorScale>
        <cfvo type="min"/>
        <cfvo type="percentile" val="50"/>
        <cfvo type="max"/>
        <color rgb="FF63BE7B"/>
        <color rgb="FFFFEB84"/>
        <color rgb="FFF8696B"/>
      </colorScale>
    </cfRule>
    <cfRule type="colorScale" priority="8982">
      <colorScale>
        <cfvo type="min"/>
        <cfvo type="percentile" val="50"/>
        <cfvo type="max"/>
        <color rgb="FF63BE7B"/>
        <color rgb="FFFFEB84"/>
        <color rgb="FFF8696B"/>
      </colorScale>
    </cfRule>
    <cfRule type="colorScale" priority="8981">
      <colorScale>
        <cfvo type="min"/>
        <cfvo type="percentile" val="50"/>
        <cfvo type="max"/>
        <color rgb="FF63BE7B"/>
        <color rgb="FFFFEB84"/>
        <color rgb="FFF8696B"/>
      </colorScale>
    </cfRule>
    <cfRule type="colorScale" priority="8979">
      <colorScale>
        <cfvo type="min"/>
        <cfvo type="percentile" val="50"/>
        <cfvo type="max"/>
        <color rgb="FF63BE7B"/>
        <color rgb="FFFFEB84"/>
        <color rgb="FFF8696B"/>
      </colorScale>
    </cfRule>
    <cfRule type="colorScale" priority="8978">
      <colorScale>
        <cfvo type="min"/>
        <cfvo type="percentile" val="50"/>
        <cfvo type="max"/>
        <color rgb="FF63BE7B"/>
        <color rgb="FFFFEB84"/>
        <color rgb="FFF8696B"/>
      </colorScale>
    </cfRule>
    <cfRule type="colorScale" priority="8977">
      <colorScale>
        <cfvo type="min"/>
        <cfvo type="percentile" val="50"/>
        <cfvo type="max"/>
        <color rgb="FF63BE7B"/>
        <color rgb="FFFFEB84"/>
        <color rgb="FFF8696B"/>
      </colorScale>
    </cfRule>
    <cfRule type="colorScale" priority="8976">
      <colorScale>
        <cfvo type="min"/>
        <cfvo type="percentile" val="50"/>
        <cfvo type="max"/>
        <color rgb="FF63BE7B"/>
        <color rgb="FFFFEB84"/>
        <color rgb="FFF8696B"/>
      </colorScale>
    </cfRule>
    <cfRule type="colorScale" priority="8975">
      <colorScale>
        <cfvo type="min"/>
        <cfvo type="percentile" val="50"/>
        <cfvo type="max"/>
        <color rgb="FF63BE7B"/>
        <color rgb="FFFFEB84"/>
        <color rgb="FFF8696B"/>
      </colorScale>
    </cfRule>
    <cfRule type="colorScale" priority="8974">
      <colorScale>
        <cfvo type="min"/>
        <cfvo type="percentile" val="50"/>
        <cfvo type="max"/>
        <color rgb="FF63BE7B"/>
        <color rgb="FFFFEB84"/>
        <color rgb="FFF8696B"/>
      </colorScale>
    </cfRule>
    <cfRule type="colorScale" priority="8973">
      <colorScale>
        <cfvo type="min"/>
        <cfvo type="percentile" val="50"/>
        <cfvo type="max"/>
        <color rgb="FF63BE7B"/>
        <color rgb="FFFFEB84"/>
        <color rgb="FFF8696B"/>
      </colorScale>
    </cfRule>
    <cfRule type="colorScale" priority="8965">
      <colorScale>
        <cfvo type="min"/>
        <cfvo type="percentile" val="50"/>
        <cfvo type="max"/>
        <color rgb="FF63BE7B"/>
        <color rgb="FFFFEB84"/>
        <color rgb="FFF8696B"/>
      </colorScale>
    </cfRule>
    <cfRule type="colorScale" priority="8964">
      <colorScale>
        <cfvo type="min"/>
        <cfvo type="percentile" val="50"/>
        <cfvo type="max"/>
        <color rgb="FF63BE7B"/>
        <color rgb="FFFFEB84"/>
        <color rgb="FFF8696B"/>
      </colorScale>
    </cfRule>
    <cfRule type="colorScale" priority="8963">
      <colorScale>
        <cfvo type="min"/>
        <cfvo type="percentile" val="50"/>
        <cfvo type="max"/>
        <color rgb="FF63BE7B"/>
        <color rgb="FFFFEB84"/>
        <color rgb="FFF8696B"/>
      </colorScale>
    </cfRule>
    <cfRule type="colorScale" priority="8962">
      <colorScale>
        <cfvo type="min"/>
        <cfvo type="percentile" val="50"/>
        <cfvo type="max"/>
        <color rgb="FF63BE7B"/>
        <color rgb="FFFFEB84"/>
        <color rgb="FFF8696B"/>
      </colorScale>
    </cfRule>
    <cfRule type="colorScale" priority="8961">
      <colorScale>
        <cfvo type="min"/>
        <cfvo type="percentile" val="50"/>
        <cfvo type="max"/>
        <color rgb="FF63BE7B"/>
        <color rgb="FFFFEB84"/>
        <color rgb="FFF8696B"/>
      </colorScale>
    </cfRule>
    <cfRule type="colorScale" priority="8960">
      <colorScale>
        <cfvo type="min"/>
        <cfvo type="percentile" val="50"/>
        <cfvo type="max"/>
        <color rgb="FF63BE7B"/>
        <color rgb="FFFFEB84"/>
        <color rgb="FFF8696B"/>
      </colorScale>
    </cfRule>
    <cfRule type="colorScale" priority="8959">
      <colorScale>
        <cfvo type="min"/>
        <cfvo type="percentile" val="50"/>
        <cfvo type="max"/>
        <color rgb="FF63BE7B"/>
        <color rgb="FFFFEB84"/>
        <color rgb="FFF8696B"/>
      </colorScale>
    </cfRule>
    <cfRule type="colorScale" priority="8957">
      <colorScale>
        <cfvo type="min"/>
        <cfvo type="percentile" val="50"/>
        <cfvo type="max"/>
        <color rgb="FF63BE7B"/>
        <color rgb="FFFFEB84"/>
        <color rgb="FFF8696B"/>
      </colorScale>
    </cfRule>
    <cfRule type="colorScale" priority="8956">
      <colorScale>
        <cfvo type="min"/>
        <cfvo type="percentile" val="50"/>
        <cfvo type="max"/>
        <color rgb="FF63BE7B"/>
        <color rgb="FFFFEB84"/>
        <color rgb="FFF8696B"/>
      </colorScale>
    </cfRule>
    <cfRule type="colorScale" priority="8955">
      <colorScale>
        <cfvo type="min"/>
        <cfvo type="percentile" val="50"/>
        <cfvo type="max"/>
        <color rgb="FF63BE7B"/>
        <color rgb="FFFFEB84"/>
        <color rgb="FFF8696B"/>
      </colorScale>
    </cfRule>
    <cfRule type="colorScale" priority="8954">
      <colorScale>
        <cfvo type="min"/>
        <cfvo type="percentile" val="50"/>
        <cfvo type="max"/>
        <color rgb="FF63BE7B"/>
        <color rgb="FFFFEB84"/>
        <color rgb="FFF8696B"/>
      </colorScale>
    </cfRule>
    <cfRule type="colorScale" priority="8952">
      <colorScale>
        <cfvo type="min"/>
        <cfvo type="percentile" val="50"/>
        <cfvo type="max"/>
        <color rgb="FF63BE7B"/>
        <color rgb="FFFFEB84"/>
        <color rgb="FFF8696B"/>
      </colorScale>
    </cfRule>
    <cfRule type="colorScale" priority="8951">
      <colorScale>
        <cfvo type="min"/>
        <cfvo type="percentile" val="50"/>
        <cfvo type="max"/>
        <color rgb="FF63BE7B"/>
        <color rgb="FFFFEB84"/>
        <color rgb="FFF8696B"/>
      </colorScale>
    </cfRule>
    <cfRule type="colorScale" priority="8950">
      <colorScale>
        <cfvo type="min"/>
        <cfvo type="percentile" val="50"/>
        <cfvo type="max"/>
        <color rgb="FF63BE7B"/>
        <color rgb="FFFFEB84"/>
        <color rgb="FFF8696B"/>
      </colorScale>
    </cfRule>
    <cfRule type="colorScale" priority="8949">
      <colorScale>
        <cfvo type="min"/>
        <cfvo type="percentile" val="50"/>
        <cfvo type="max"/>
        <color rgb="FF63BE7B"/>
        <color rgb="FFFFEB84"/>
        <color rgb="FFF8696B"/>
      </colorScale>
    </cfRule>
    <cfRule type="colorScale" priority="8948">
      <colorScale>
        <cfvo type="min"/>
        <cfvo type="percentile" val="50"/>
        <cfvo type="max"/>
        <color rgb="FF63BE7B"/>
        <color rgb="FFFFEB84"/>
        <color rgb="FFF8696B"/>
      </colorScale>
    </cfRule>
    <cfRule type="colorScale" priority="8947">
      <colorScale>
        <cfvo type="min"/>
        <cfvo type="percentile" val="50"/>
        <cfvo type="max"/>
        <color rgb="FF63BE7B"/>
        <color rgb="FFFFEB84"/>
        <color rgb="FFF8696B"/>
      </colorScale>
    </cfRule>
    <cfRule type="colorScale" priority="8946">
      <colorScale>
        <cfvo type="min"/>
        <cfvo type="percentile" val="50"/>
        <cfvo type="max"/>
        <color rgb="FF63BE7B"/>
        <color rgb="FFFFEB84"/>
        <color rgb="FFF8696B"/>
      </colorScale>
    </cfRule>
    <cfRule type="colorScale" priority="8938">
      <colorScale>
        <cfvo type="min"/>
        <cfvo type="percentile" val="50"/>
        <cfvo type="max"/>
        <color rgb="FF63BE7B"/>
        <color rgb="FFFFEB84"/>
        <color rgb="FFF8696B"/>
      </colorScale>
    </cfRule>
    <cfRule type="colorScale" priority="8937">
      <colorScale>
        <cfvo type="min"/>
        <cfvo type="percentile" val="50"/>
        <cfvo type="max"/>
        <color rgb="FF63BE7B"/>
        <color rgb="FFFFEB84"/>
        <color rgb="FFF8696B"/>
      </colorScale>
    </cfRule>
    <cfRule type="colorScale" priority="8936">
      <colorScale>
        <cfvo type="min"/>
        <cfvo type="percentile" val="50"/>
        <cfvo type="max"/>
        <color rgb="FF63BE7B"/>
        <color rgb="FFFFEB84"/>
        <color rgb="FFF8696B"/>
      </colorScale>
    </cfRule>
    <cfRule type="colorScale" priority="8935">
      <colorScale>
        <cfvo type="min"/>
        <cfvo type="percentile" val="50"/>
        <cfvo type="max"/>
        <color rgb="FF63BE7B"/>
        <color rgb="FFFFEB84"/>
        <color rgb="FFF8696B"/>
      </colorScale>
    </cfRule>
    <cfRule type="colorScale" priority="8934">
      <colorScale>
        <cfvo type="min"/>
        <cfvo type="percentile" val="50"/>
        <cfvo type="max"/>
        <color rgb="FF63BE7B"/>
        <color rgb="FFFFEB84"/>
        <color rgb="FFF8696B"/>
      </colorScale>
    </cfRule>
    <cfRule type="colorScale" priority="8933">
      <colorScale>
        <cfvo type="min"/>
        <cfvo type="percentile" val="50"/>
        <cfvo type="max"/>
        <color rgb="FF63BE7B"/>
        <color rgb="FFFFEB84"/>
        <color rgb="FFF8696B"/>
      </colorScale>
    </cfRule>
    <cfRule type="colorScale" priority="8932">
      <colorScale>
        <cfvo type="min"/>
        <cfvo type="percentile" val="50"/>
        <cfvo type="max"/>
        <color rgb="FF63BE7B"/>
        <color rgb="FFFFEB84"/>
        <color rgb="FFF8696B"/>
      </colorScale>
    </cfRule>
    <cfRule type="colorScale" priority="8930">
      <colorScale>
        <cfvo type="min"/>
        <cfvo type="percentile" val="50"/>
        <cfvo type="max"/>
        <color rgb="FF63BE7B"/>
        <color rgb="FFFFEB84"/>
        <color rgb="FFF8696B"/>
      </colorScale>
    </cfRule>
    <cfRule type="colorScale" priority="8929">
      <colorScale>
        <cfvo type="min"/>
        <cfvo type="percentile" val="50"/>
        <cfvo type="max"/>
        <color rgb="FF63BE7B"/>
        <color rgb="FFFFEB84"/>
        <color rgb="FFF8696B"/>
      </colorScale>
    </cfRule>
    <cfRule type="colorScale" priority="8718">
      <colorScale>
        <cfvo type="min"/>
        <cfvo type="percentile" val="50"/>
        <cfvo type="max"/>
        <color rgb="FF63BE7B"/>
        <color rgb="FFFFEB84"/>
        <color rgb="FFF8696B"/>
      </colorScale>
    </cfRule>
    <cfRule type="colorScale" priority="8717">
      <colorScale>
        <cfvo type="min"/>
        <cfvo type="percentile" val="50"/>
        <cfvo type="max"/>
        <color rgb="FF63BE7B"/>
        <color rgb="FFFFEB84"/>
        <color rgb="FFF8696B"/>
      </colorScale>
    </cfRule>
    <cfRule type="colorScale" priority="8715">
      <colorScale>
        <cfvo type="min"/>
        <cfvo type="percentile" val="50"/>
        <cfvo type="max"/>
        <color rgb="FF63BE7B"/>
        <color rgb="FFFFEB84"/>
        <color rgb="FFF8696B"/>
      </colorScale>
    </cfRule>
    <cfRule type="colorScale" priority="8714">
      <colorScale>
        <cfvo type="min"/>
        <cfvo type="percentile" val="50"/>
        <cfvo type="max"/>
        <color rgb="FF63BE7B"/>
        <color rgb="FFFFEB84"/>
        <color rgb="FFF8696B"/>
      </colorScale>
    </cfRule>
    <cfRule type="colorScale" priority="8713">
      <colorScale>
        <cfvo type="min"/>
        <cfvo type="percentile" val="50"/>
        <cfvo type="max"/>
        <color rgb="FF63BE7B"/>
        <color rgb="FFFFEB84"/>
        <color rgb="FFF8696B"/>
      </colorScale>
    </cfRule>
    <cfRule type="colorScale" priority="8712">
      <colorScale>
        <cfvo type="min"/>
        <cfvo type="percentile" val="50"/>
        <cfvo type="max"/>
        <color rgb="FF63BE7B"/>
        <color rgb="FFFFEB84"/>
        <color rgb="FFF8696B"/>
      </colorScale>
    </cfRule>
    <cfRule type="colorScale" priority="8711">
      <colorScale>
        <cfvo type="min"/>
        <cfvo type="percentile" val="50"/>
        <cfvo type="max"/>
        <color rgb="FF63BE7B"/>
        <color rgb="FFFFEB84"/>
        <color rgb="FFF8696B"/>
      </colorScale>
    </cfRule>
    <cfRule type="colorScale" priority="8710">
      <colorScale>
        <cfvo type="min"/>
        <cfvo type="percentile" val="50"/>
        <cfvo type="max"/>
        <color rgb="FF63BE7B"/>
        <color rgb="FFFFEB84"/>
        <color rgb="FFF8696B"/>
      </colorScale>
    </cfRule>
    <cfRule type="colorScale" priority="8709">
      <colorScale>
        <cfvo type="min"/>
        <cfvo type="percentile" val="50"/>
        <cfvo type="max"/>
        <color rgb="FF63BE7B"/>
        <color rgb="FFFFEB84"/>
        <color rgb="FFF8696B"/>
      </colorScale>
    </cfRule>
    <cfRule type="colorScale" priority="8701">
      <colorScale>
        <cfvo type="min"/>
        <cfvo type="percentile" val="50"/>
        <cfvo type="max"/>
        <color rgb="FF63BE7B"/>
        <color rgb="FFFFEB84"/>
        <color rgb="FFF8696B"/>
      </colorScale>
    </cfRule>
    <cfRule type="colorScale" priority="8700">
      <colorScale>
        <cfvo type="min"/>
        <cfvo type="percentile" val="50"/>
        <cfvo type="max"/>
        <color rgb="FF63BE7B"/>
        <color rgb="FFFFEB84"/>
        <color rgb="FFF8696B"/>
      </colorScale>
    </cfRule>
    <cfRule type="colorScale" priority="8699">
      <colorScale>
        <cfvo type="min"/>
        <cfvo type="percentile" val="50"/>
        <cfvo type="max"/>
        <color rgb="FF63BE7B"/>
        <color rgb="FFFFEB84"/>
        <color rgb="FFF8696B"/>
      </colorScale>
    </cfRule>
    <cfRule type="colorScale" priority="8698">
      <colorScale>
        <cfvo type="min"/>
        <cfvo type="percentile" val="50"/>
        <cfvo type="max"/>
        <color rgb="FF63BE7B"/>
        <color rgb="FFFFEB84"/>
        <color rgb="FFF8696B"/>
      </colorScale>
    </cfRule>
    <cfRule type="colorScale" priority="8697">
      <colorScale>
        <cfvo type="min"/>
        <cfvo type="percentile" val="50"/>
        <cfvo type="max"/>
        <color rgb="FF63BE7B"/>
        <color rgb="FFFFEB84"/>
        <color rgb="FFF8696B"/>
      </colorScale>
    </cfRule>
    <cfRule type="colorScale" priority="8696">
      <colorScale>
        <cfvo type="min"/>
        <cfvo type="percentile" val="50"/>
        <cfvo type="max"/>
        <color rgb="FF63BE7B"/>
        <color rgb="FFFFEB84"/>
        <color rgb="FFF8696B"/>
      </colorScale>
    </cfRule>
    <cfRule type="colorScale" priority="8695">
      <colorScale>
        <cfvo type="min"/>
        <cfvo type="percentile" val="50"/>
        <cfvo type="max"/>
        <color rgb="FF63BE7B"/>
        <color rgb="FFFFEB84"/>
        <color rgb="FFF8696B"/>
      </colorScale>
    </cfRule>
    <cfRule type="colorScale" priority="8693">
      <colorScale>
        <cfvo type="min"/>
        <cfvo type="percentile" val="50"/>
        <cfvo type="max"/>
        <color rgb="FF63BE7B"/>
        <color rgb="FFFFEB84"/>
        <color rgb="FFF8696B"/>
      </colorScale>
    </cfRule>
    <cfRule type="colorScale" priority="8692">
      <colorScale>
        <cfvo type="min"/>
        <cfvo type="percentile" val="50"/>
        <cfvo type="max"/>
        <color rgb="FF63BE7B"/>
        <color rgb="FFFFEB84"/>
        <color rgb="FFF8696B"/>
      </colorScale>
    </cfRule>
    <cfRule type="colorScale" priority="8691">
      <colorScale>
        <cfvo type="min"/>
        <cfvo type="percentile" val="50"/>
        <cfvo type="max"/>
        <color rgb="FF63BE7B"/>
        <color rgb="FFFFEB84"/>
        <color rgb="FFF8696B"/>
      </colorScale>
    </cfRule>
    <cfRule type="colorScale" priority="8690">
      <colorScale>
        <cfvo type="min"/>
        <cfvo type="percentile" val="50"/>
        <cfvo type="max"/>
        <color rgb="FF63BE7B"/>
        <color rgb="FFFFEB84"/>
        <color rgb="FFF8696B"/>
      </colorScale>
    </cfRule>
    <cfRule type="colorScale" priority="8688">
      <colorScale>
        <cfvo type="min"/>
        <cfvo type="percentile" val="50"/>
        <cfvo type="max"/>
        <color rgb="FF63BE7B"/>
        <color rgb="FFFFEB84"/>
        <color rgb="FFF8696B"/>
      </colorScale>
    </cfRule>
  </conditionalFormatting>
  <conditionalFormatting sqref="AP36:AP37">
    <cfRule type="colorScale" priority="8679">
      <colorScale>
        <cfvo type="min"/>
        <cfvo type="percentile" val="50"/>
        <cfvo type="max"/>
        <color rgb="FF63BE7B"/>
        <color rgb="FFFFEB84"/>
        <color rgb="FFF8696B"/>
      </colorScale>
    </cfRule>
    <cfRule type="colorScale" priority="8943">
      <colorScale>
        <cfvo type="min"/>
        <cfvo type="percentile" val="50"/>
        <cfvo type="max"/>
        <color rgb="FF63BE7B"/>
        <color rgb="FFFFEB84"/>
        <color rgb="FFF8696B"/>
      </colorScale>
    </cfRule>
    <cfRule type="colorScale" priority="8970">
      <colorScale>
        <cfvo type="min"/>
        <cfvo type="percentile" val="50"/>
        <cfvo type="max"/>
        <color rgb="FF63BE7B"/>
        <color rgb="FFFFEB84"/>
        <color rgb="FFF8696B"/>
      </colorScale>
    </cfRule>
    <cfRule type="colorScale" priority="8706">
      <colorScale>
        <cfvo type="min"/>
        <cfvo type="percentile" val="50"/>
        <cfvo type="max"/>
        <color rgb="FF63BE7B"/>
        <color rgb="FFFFEB84"/>
        <color rgb="FFF8696B"/>
      </colorScale>
    </cfRule>
  </conditionalFormatting>
  <conditionalFormatting sqref="AP36:AP41">
    <cfRule type="colorScale" priority="8980">
      <colorScale>
        <cfvo type="min"/>
        <cfvo type="percentile" val="50"/>
        <cfvo type="max"/>
        <color rgb="FF63BE7B"/>
        <color rgb="FFFFEB84"/>
        <color rgb="FFF8696B"/>
      </colorScale>
    </cfRule>
    <cfRule type="colorScale" priority="8689">
      <colorScale>
        <cfvo type="min"/>
        <cfvo type="percentile" val="50"/>
        <cfvo type="max"/>
        <color rgb="FF63BE7B"/>
        <color rgb="FFFFEB84"/>
        <color rgb="FFF8696B"/>
      </colorScale>
    </cfRule>
    <cfRule type="colorScale" priority="8953">
      <colorScale>
        <cfvo type="min"/>
        <cfvo type="percentile" val="50"/>
        <cfvo type="max"/>
        <color rgb="FF63BE7B"/>
        <color rgb="FFFFEB84"/>
        <color rgb="FFF8696B"/>
      </colorScale>
    </cfRule>
    <cfRule type="colorScale" priority="8716">
      <colorScale>
        <cfvo type="min"/>
        <cfvo type="percentile" val="50"/>
        <cfvo type="max"/>
        <color rgb="FF63BE7B"/>
        <color rgb="FFFFEB84"/>
        <color rgb="FFF8696B"/>
      </colorScale>
    </cfRule>
  </conditionalFormatting>
  <conditionalFormatting sqref="AP42:AP50">
    <cfRule type="colorScale" priority="12949">
      <colorScale>
        <cfvo type="min"/>
        <cfvo type="percentile" val="50"/>
        <cfvo type="max"/>
        <color rgb="FF63BE7B"/>
        <color rgb="FFFFEB84"/>
        <color rgb="FFF8696B"/>
      </colorScale>
    </cfRule>
    <cfRule type="colorScale" priority="7433">
      <colorScale>
        <cfvo type="min"/>
        <cfvo type="percentile" val="50"/>
        <cfvo type="max"/>
        <color rgb="FF63BE7B"/>
        <color rgb="FFFFEB84"/>
        <color rgb="FFF8696B"/>
      </colorScale>
    </cfRule>
  </conditionalFormatting>
  <conditionalFormatting sqref="AP51:AP53">
    <cfRule type="colorScale" priority="3702">
      <colorScale>
        <cfvo type="min"/>
        <cfvo type="percentile" val="50"/>
        <cfvo type="max"/>
        <color rgb="FF63BE7B"/>
        <color rgb="FFFFEB84"/>
        <color rgb="FFF8696B"/>
      </colorScale>
    </cfRule>
    <cfRule type="colorScale" priority="3730">
      <colorScale>
        <cfvo type="min"/>
        <cfvo type="percentile" val="50"/>
        <cfvo type="max"/>
        <color rgb="FF63BE7B"/>
        <color rgb="FFFFEB84"/>
        <color rgb="FFF8696B"/>
      </colorScale>
    </cfRule>
    <cfRule type="colorScale" priority="3729">
      <colorScale>
        <cfvo type="min"/>
        <cfvo type="percentile" val="50"/>
        <cfvo type="max"/>
        <color rgb="FF63BE7B"/>
        <color rgb="FFFFEB84"/>
        <color rgb="FFF8696B"/>
      </colorScale>
    </cfRule>
  </conditionalFormatting>
  <conditionalFormatting sqref="AP52:AP53 M52:M53 AA52:AD53">
    <cfRule type="colorScale" priority="7112">
      <colorScale>
        <cfvo type="min"/>
        <cfvo type="percentile" val="50"/>
        <cfvo type="max"/>
        <color rgb="FF63BE7B"/>
        <color rgb="FFFFEB84"/>
        <color rgb="FFF8696B"/>
      </colorScale>
    </cfRule>
    <cfRule type="colorScale" priority="7115">
      <colorScale>
        <cfvo type="min"/>
        <cfvo type="percentile" val="50"/>
        <cfvo type="max"/>
        <color rgb="FF63BE7B"/>
        <color rgb="FFFFEB84"/>
        <color rgb="FFF8696B"/>
      </colorScale>
    </cfRule>
    <cfRule type="colorScale" priority="7114">
      <colorScale>
        <cfvo type="min"/>
        <cfvo type="percentile" val="50"/>
        <cfvo type="max"/>
        <color rgb="FF63BE7B"/>
        <color rgb="FFFFEB84"/>
        <color rgb="FFF8696B"/>
      </colorScale>
    </cfRule>
    <cfRule type="colorScale" priority="7113">
      <colorScale>
        <cfvo type="min"/>
        <cfvo type="percentile" val="50"/>
        <cfvo type="max"/>
        <color rgb="FF63BE7B"/>
        <color rgb="FFFFEB84"/>
        <color rgb="FFF8696B"/>
      </colorScale>
    </cfRule>
    <cfRule type="colorScale" priority="7264">
      <colorScale>
        <cfvo type="min"/>
        <cfvo type="percentile" val="50"/>
        <cfvo type="max"/>
        <color rgb="FF63BE7B"/>
        <color rgb="FFFFEB84"/>
        <color rgb="FFF8696B"/>
      </colorScale>
    </cfRule>
  </conditionalFormatting>
  <conditionalFormatting sqref="AP52:AP53">
    <cfRule type="colorScale" priority="6625">
      <colorScale>
        <cfvo type="min"/>
        <cfvo type="percentile" val="50"/>
        <cfvo type="max"/>
        <color rgb="FF63BE7B"/>
        <color rgb="FFFFEB84"/>
        <color rgb="FFF8696B"/>
      </colorScale>
    </cfRule>
    <cfRule type="colorScale" priority="5691">
      <colorScale>
        <cfvo type="min"/>
        <cfvo type="percentile" val="50"/>
        <cfvo type="max"/>
        <color rgb="FF63BE7B"/>
        <color rgb="FFFFEB84"/>
        <color rgb="FFF8696B"/>
      </colorScale>
    </cfRule>
    <cfRule type="colorScale" priority="5690">
      <colorScale>
        <cfvo type="min"/>
        <cfvo type="percentile" val="50"/>
        <cfvo type="max"/>
        <color rgb="FF63BE7B"/>
        <color rgb="FFFFEB84"/>
        <color rgb="FFF8696B"/>
      </colorScale>
    </cfRule>
    <cfRule type="colorScale" priority="5693">
      <colorScale>
        <cfvo type="min"/>
        <cfvo type="percentile" val="50"/>
        <cfvo type="max"/>
        <color rgb="FF63BE7B"/>
        <color rgb="FFFFEB84"/>
        <color rgb="FFF8696B"/>
      </colorScale>
    </cfRule>
    <cfRule type="colorScale" priority="5689">
      <colorScale>
        <cfvo type="min"/>
        <cfvo type="percentile" val="50"/>
        <cfvo type="max"/>
        <color rgb="FF63BE7B"/>
        <color rgb="FFFFEB84"/>
        <color rgb="FFF8696B"/>
      </colorScale>
    </cfRule>
    <cfRule type="colorScale" priority="5688">
      <colorScale>
        <cfvo type="min"/>
        <cfvo type="percentile" val="50"/>
        <cfvo type="max"/>
        <color rgb="FF63BE7B"/>
        <color rgb="FFFFEB84"/>
        <color rgb="FFF8696B"/>
      </colorScale>
    </cfRule>
    <cfRule type="colorScale" priority="5687">
      <colorScale>
        <cfvo type="min"/>
        <cfvo type="percentile" val="50"/>
        <cfvo type="max"/>
        <color rgb="FF63BE7B"/>
        <color rgb="FFFFEB84"/>
        <color rgb="FFF8696B"/>
      </colorScale>
    </cfRule>
    <cfRule type="colorScale" priority="5686">
      <colorScale>
        <cfvo type="min"/>
        <cfvo type="percentile" val="50"/>
        <cfvo type="max"/>
        <color rgb="FF63BE7B"/>
        <color rgb="FFFFEB84"/>
        <color rgb="FFF8696B"/>
      </colorScale>
    </cfRule>
    <cfRule type="colorScale" priority="5685">
      <colorScale>
        <cfvo type="min"/>
        <cfvo type="percentile" val="50"/>
        <cfvo type="max"/>
        <color rgb="FF63BE7B"/>
        <color rgb="FFFFEB84"/>
        <color rgb="FFF8696B"/>
      </colorScale>
    </cfRule>
    <cfRule type="colorScale" priority="5684">
      <colorScale>
        <cfvo type="min"/>
        <cfvo type="percentile" val="50"/>
        <cfvo type="max"/>
        <color rgb="FF63BE7B"/>
        <color rgb="FFFFEB84"/>
        <color rgb="FFF8696B"/>
      </colorScale>
    </cfRule>
    <cfRule type="colorScale" priority="5683">
      <colorScale>
        <cfvo type="min"/>
        <cfvo type="percentile" val="50"/>
        <cfvo type="max"/>
        <color rgb="FF63BE7B"/>
        <color rgb="FFFFEB84"/>
        <color rgb="FFF8696B"/>
      </colorScale>
    </cfRule>
    <cfRule type="colorScale" priority="5682">
      <colorScale>
        <cfvo type="min"/>
        <cfvo type="percentile" val="50"/>
        <cfvo type="max"/>
        <color rgb="FF63BE7B"/>
        <color rgb="FFFFEB84"/>
        <color rgb="FFF8696B"/>
      </colorScale>
    </cfRule>
    <cfRule type="colorScale" priority="5681">
      <colorScale>
        <cfvo type="min"/>
        <cfvo type="percentile" val="50"/>
        <cfvo type="max"/>
        <color rgb="FF63BE7B"/>
        <color rgb="FFFFEB84"/>
        <color rgb="FFF8696B"/>
      </colorScale>
    </cfRule>
    <cfRule type="colorScale" priority="5680">
      <colorScale>
        <cfvo type="min"/>
        <cfvo type="percentile" val="50"/>
        <cfvo type="max"/>
        <color rgb="FF63BE7B"/>
        <color rgb="FFFFEB84"/>
        <color rgb="FFF8696B"/>
      </colorScale>
    </cfRule>
    <cfRule type="colorScale" priority="5679">
      <colorScale>
        <cfvo type="min"/>
        <cfvo type="percentile" val="50"/>
        <cfvo type="max"/>
        <color rgb="FF63BE7B"/>
        <color rgb="FFFFEB84"/>
        <color rgb="FFF8696B"/>
      </colorScale>
    </cfRule>
    <cfRule type="colorScale" priority="5678">
      <colorScale>
        <cfvo type="min"/>
        <cfvo type="percentile" val="50"/>
        <cfvo type="max"/>
        <color rgb="FF63BE7B"/>
        <color rgb="FFFFEB84"/>
        <color rgb="FFF8696B"/>
      </colorScale>
    </cfRule>
    <cfRule type="colorScale" priority="6623">
      <colorScale>
        <cfvo type="min"/>
        <cfvo type="percentile" val="50"/>
        <cfvo type="max"/>
        <color rgb="FF63BE7B"/>
        <color rgb="FFFFEB84"/>
        <color rgb="FFF8696B"/>
      </colorScale>
    </cfRule>
    <cfRule type="colorScale" priority="6624">
      <colorScale>
        <cfvo type="min"/>
        <cfvo type="percentile" val="50"/>
        <cfvo type="max"/>
        <color rgb="FF63BE7B"/>
        <color rgb="FFFFEB84"/>
        <color rgb="FFF8696B"/>
      </colorScale>
    </cfRule>
    <cfRule type="colorScale" priority="3722">
      <colorScale>
        <cfvo type="min"/>
        <cfvo type="percentile" val="50"/>
        <cfvo type="max"/>
        <color rgb="FF63BE7B"/>
        <color rgb="FFFFEB84"/>
        <color rgb="FFF8696B"/>
      </colorScale>
    </cfRule>
    <cfRule type="colorScale" priority="6626">
      <colorScale>
        <cfvo type="min"/>
        <cfvo type="percentile" val="50"/>
        <cfvo type="max"/>
        <color rgb="FF63BE7B"/>
        <color rgb="FFFFEB84"/>
        <color rgb="FFF8696B"/>
      </colorScale>
    </cfRule>
    <cfRule type="colorScale" priority="6627">
      <colorScale>
        <cfvo type="min"/>
        <cfvo type="percentile" val="50"/>
        <cfvo type="max"/>
        <color rgb="FF63BE7B"/>
        <color rgb="FFFFEB84"/>
        <color rgb="FFF8696B"/>
      </colorScale>
    </cfRule>
    <cfRule type="colorScale" priority="6628">
      <colorScale>
        <cfvo type="min"/>
        <cfvo type="percentile" val="50"/>
        <cfvo type="max"/>
        <color rgb="FF63BE7B"/>
        <color rgb="FFFFEB84"/>
        <color rgb="FFF8696B"/>
      </colorScale>
    </cfRule>
    <cfRule type="colorScale" priority="6629">
      <colorScale>
        <cfvo type="min"/>
        <cfvo type="percentile" val="50"/>
        <cfvo type="max"/>
        <color rgb="FF63BE7B"/>
        <color rgb="FFFFEB84"/>
        <color rgb="FFF8696B"/>
      </colorScale>
    </cfRule>
    <cfRule type="colorScale" priority="6630">
      <colorScale>
        <cfvo type="min"/>
        <cfvo type="percentile" val="50"/>
        <cfvo type="max"/>
        <color rgb="FF63BE7B"/>
        <color rgb="FFFFEB84"/>
        <color rgb="FFF8696B"/>
      </colorScale>
    </cfRule>
    <cfRule type="colorScale" priority="6631">
      <colorScale>
        <cfvo type="min"/>
        <cfvo type="percentile" val="50"/>
        <cfvo type="max"/>
        <color rgb="FF63BE7B"/>
        <color rgb="FFFFEB84"/>
        <color rgb="FFF8696B"/>
      </colorScale>
    </cfRule>
    <cfRule type="colorScale" priority="6632">
      <colorScale>
        <cfvo type="min"/>
        <cfvo type="percentile" val="50"/>
        <cfvo type="max"/>
        <color rgb="FF63BE7B"/>
        <color rgb="FFFFEB84"/>
        <color rgb="FFF8696B"/>
      </colorScale>
    </cfRule>
    <cfRule type="colorScale" priority="6633">
      <colorScale>
        <cfvo type="min"/>
        <cfvo type="percentile" val="50"/>
        <cfvo type="max"/>
        <color rgb="FF63BE7B"/>
        <color rgb="FFFFEB84"/>
        <color rgb="FFF8696B"/>
      </colorScale>
    </cfRule>
    <cfRule type="colorScale" priority="6634">
      <colorScale>
        <cfvo type="min"/>
        <cfvo type="percentile" val="50"/>
        <cfvo type="max"/>
        <color rgb="FF63BE7B"/>
        <color rgb="FFFFEB84"/>
        <color rgb="FFF8696B"/>
      </colorScale>
    </cfRule>
    <cfRule type="colorScale" priority="3728">
      <colorScale>
        <cfvo type="min"/>
        <cfvo type="percentile" val="50"/>
        <cfvo type="max"/>
        <color rgb="FF63BE7B"/>
        <color rgb="FFFFEB84"/>
        <color rgb="FFF8696B"/>
      </colorScale>
    </cfRule>
    <cfRule type="colorScale" priority="3727">
      <colorScale>
        <cfvo type="min"/>
        <cfvo type="percentile" val="50"/>
        <cfvo type="max"/>
        <color rgb="FF63BE7B"/>
        <color rgb="FFFFEB84"/>
        <color rgb="FFF8696B"/>
      </colorScale>
    </cfRule>
    <cfRule type="colorScale" priority="3726">
      <colorScale>
        <cfvo type="min"/>
        <cfvo type="percentile" val="50"/>
        <cfvo type="max"/>
        <color rgb="FF63BE7B"/>
        <color rgb="FFFFEB84"/>
        <color rgb="FFF8696B"/>
      </colorScale>
    </cfRule>
    <cfRule type="colorScale" priority="3725">
      <colorScale>
        <cfvo type="min"/>
        <cfvo type="percentile" val="50"/>
        <cfvo type="max"/>
        <color rgb="FF63BE7B"/>
        <color rgb="FFFFEB84"/>
        <color rgb="FFF8696B"/>
      </colorScale>
    </cfRule>
    <cfRule type="colorScale" priority="3724">
      <colorScale>
        <cfvo type="min"/>
        <cfvo type="percentile" val="50"/>
        <cfvo type="max"/>
        <color rgb="FF63BE7B"/>
        <color rgb="FFFFEB84"/>
        <color rgb="FFF8696B"/>
      </colorScale>
    </cfRule>
    <cfRule type="colorScale" priority="3723">
      <colorScale>
        <cfvo type="min"/>
        <cfvo type="percentile" val="50"/>
        <cfvo type="max"/>
        <color rgb="FF63BE7B"/>
        <color rgb="FFFFEB84"/>
        <color rgb="FFF8696B"/>
      </colorScale>
    </cfRule>
    <cfRule type="colorScale" priority="5692">
      <colorScale>
        <cfvo type="min"/>
        <cfvo type="percentile" val="50"/>
        <cfvo type="max"/>
        <color rgb="FF63BE7B"/>
        <color rgb="FFFFEB84"/>
        <color rgb="FFF8696B"/>
      </colorScale>
    </cfRule>
    <cfRule type="colorScale" priority="3721">
      <colorScale>
        <cfvo type="min"/>
        <cfvo type="percentile" val="50"/>
        <cfvo type="max"/>
        <color rgb="FF63BE7B"/>
        <color rgb="FFFFEB84"/>
        <color rgb="FFF8696B"/>
      </colorScale>
    </cfRule>
    <cfRule type="colorScale" priority="3720">
      <colorScale>
        <cfvo type="min"/>
        <cfvo type="percentile" val="50"/>
        <cfvo type="max"/>
        <color rgb="FF63BE7B"/>
        <color rgb="FFFFEB84"/>
        <color rgb="FFF8696B"/>
      </colorScale>
    </cfRule>
    <cfRule type="colorScale" priority="3719">
      <colorScale>
        <cfvo type="min"/>
        <cfvo type="percentile" val="50"/>
        <cfvo type="max"/>
        <color rgb="FF63BE7B"/>
        <color rgb="FFFFEB84"/>
        <color rgb="FFF8696B"/>
      </colorScale>
    </cfRule>
    <cfRule type="colorScale" priority="3718">
      <colorScale>
        <cfvo type="min"/>
        <cfvo type="percentile" val="50"/>
        <cfvo type="max"/>
        <color rgb="FF63BE7B"/>
        <color rgb="FFFFEB84"/>
        <color rgb="FFF8696B"/>
      </colorScale>
    </cfRule>
    <cfRule type="colorScale" priority="3717">
      <colorScale>
        <cfvo type="min"/>
        <cfvo type="percentile" val="50"/>
        <cfvo type="max"/>
        <color rgb="FF63BE7B"/>
        <color rgb="FFFFEB84"/>
        <color rgb="FFF8696B"/>
      </colorScale>
    </cfRule>
    <cfRule type="colorScale" priority="3716">
      <colorScale>
        <cfvo type="min"/>
        <cfvo type="percentile" val="50"/>
        <cfvo type="max"/>
        <color rgb="FF63BE7B"/>
        <color rgb="FFFFEB84"/>
        <color rgb="FFF8696B"/>
      </colorScale>
    </cfRule>
    <cfRule type="colorScale" priority="3715">
      <colorScale>
        <cfvo type="min"/>
        <cfvo type="percentile" val="50"/>
        <cfvo type="max"/>
        <color rgb="FF63BE7B"/>
        <color rgb="FFFFEB84"/>
        <color rgb="FFF8696B"/>
      </colorScale>
    </cfRule>
    <cfRule type="colorScale" priority="3714">
      <colorScale>
        <cfvo type="min"/>
        <cfvo type="percentile" val="50"/>
        <cfvo type="max"/>
        <color rgb="FF63BE7B"/>
        <color rgb="FFFFEB84"/>
        <color rgb="FFF8696B"/>
      </colorScale>
    </cfRule>
    <cfRule type="colorScale" priority="3713">
      <colorScale>
        <cfvo type="min"/>
        <cfvo type="percentile" val="50"/>
        <cfvo type="max"/>
        <color rgb="FF63BE7B"/>
        <color rgb="FFFFEB84"/>
        <color rgb="FFF8696B"/>
      </colorScale>
    </cfRule>
    <cfRule type="colorScale" priority="3712">
      <colorScale>
        <cfvo type="min"/>
        <cfvo type="percentile" val="50"/>
        <cfvo type="max"/>
        <color rgb="FF63BE7B"/>
        <color rgb="FFFFEB84"/>
        <color rgb="FFF8696B"/>
      </colorScale>
    </cfRule>
    <cfRule type="colorScale" priority="3711">
      <colorScale>
        <cfvo type="min"/>
        <cfvo type="percentile" val="50"/>
        <cfvo type="max"/>
        <color rgb="FF63BE7B"/>
        <color rgb="FFFFEB84"/>
        <color rgb="FFF8696B"/>
      </colorScale>
    </cfRule>
    <cfRule type="colorScale" priority="3710">
      <colorScale>
        <cfvo type="min"/>
        <cfvo type="percentile" val="50"/>
        <cfvo type="max"/>
        <color rgb="FF63BE7B"/>
        <color rgb="FFFFEB84"/>
        <color rgb="FFF8696B"/>
      </colorScale>
    </cfRule>
    <cfRule type="colorScale" priority="5530">
      <colorScale>
        <cfvo type="min"/>
        <cfvo type="percentile" val="50"/>
        <cfvo type="max"/>
        <color rgb="FF63BE7B"/>
        <color rgb="FFFFEB84"/>
        <color rgb="FFF8696B"/>
      </colorScale>
    </cfRule>
    <cfRule type="colorScale" priority="3709">
      <colorScale>
        <cfvo type="min"/>
        <cfvo type="percentile" val="50"/>
        <cfvo type="max"/>
        <color rgb="FF63BE7B"/>
        <color rgb="FFFFEB84"/>
        <color rgb="FFF8696B"/>
      </colorScale>
    </cfRule>
    <cfRule type="colorScale" priority="3707">
      <colorScale>
        <cfvo type="min"/>
        <cfvo type="percentile" val="50"/>
        <cfvo type="max"/>
        <color rgb="FF63BE7B"/>
        <color rgb="FFFFEB84"/>
        <color rgb="FFF8696B"/>
      </colorScale>
    </cfRule>
    <cfRule type="colorScale" priority="5706">
      <colorScale>
        <cfvo type="min"/>
        <cfvo type="percentile" val="50"/>
        <cfvo type="max"/>
        <color rgb="FF63BE7B"/>
        <color rgb="FFFFEB84"/>
        <color rgb="FFF8696B"/>
      </colorScale>
    </cfRule>
    <cfRule type="colorScale" priority="3706">
      <colorScale>
        <cfvo type="min"/>
        <cfvo type="percentile" val="50"/>
        <cfvo type="max"/>
        <color rgb="FF63BE7B"/>
        <color rgb="FFFFEB84"/>
        <color rgb="FFF8696B"/>
      </colorScale>
    </cfRule>
    <cfRule type="colorScale" priority="3705">
      <colorScale>
        <cfvo type="min"/>
        <cfvo type="percentile" val="50"/>
        <cfvo type="max"/>
        <color rgb="FF63BE7B"/>
        <color rgb="FFFFEB84"/>
        <color rgb="FFF8696B"/>
      </colorScale>
    </cfRule>
    <cfRule type="colorScale" priority="3704">
      <colorScale>
        <cfvo type="min"/>
        <cfvo type="percentile" val="50"/>
        <cfvo type="max"/>
        <color rgb="FF63BE7B"/>
        <color rgb="FFFFEB84"/>
        <color rgb="FFF8696B"/>
      </colorScale>
    </cfRule>
    <cfRule type="colorScale" priority="3703">
      <colorScale>
        <cfvo type="min"/>
        <cfvo type="percentile" val="50"/>
        <cfvo type="max"/>
        <color rgb="FF63BE7B"/>
        <color rgb="FFFFEB84"/>
        <color rgb="FFF8696B"/>
      </colorScale>
    </cfRule>
    <cfRule type="colorScale" priority="5531">
      <colorScale>
        <cfvo type="min"/>
        <cfvo type="percentile" val="50"/>
        <cfvo type="max"/>
        <color rgb="FF63BE7B"/>
        <color rgb="FFFFEB84"/>
        <color rgb="FFF8696B"/>
      </colorScale>
    </cfRule>
    <cfRule type="colorScale" priority="5513">
      <colorScale>
        <cfvo type="min"/>
        <cfvo type="percentile" val="50"/>
        <cfvo type="max"/>
        <color rgb="FF63BE7B"/>
        <color rgb="FFFFEB84"/>
        <color rgb="FFF8696B"/>
      </colorScale>
    </cfRule>
    <cfRule type="colorScale" priority="5529">
      <colorScale>
        <cfvo type="min"/>
        <cfvo type="percentile" val="50"/>
        <cfvo type="max"/>
        <color rgb="FF63BE7B"/>
        <color rgb="FFFFEB84"/>
        <color rgb="FFF8696B"/>
      </colorScale>
    </cfRule>
    <cfRule type="colorScale" priority="5528">
      <colorScale>
        <cfvo type="min"/>
        <cfvo type="percentile" val="50"/>
        <cfvo type="max"/>
        <color rgb="FF63BE7B"/>
        <color rgb="FFFFEB84"/>
        <color rgb="FFF8696B"/>
      </colorScale>
    </cfRule>
    <cfRule type="colorScale" priority="5527">
      <colorScale>
        <cfvo type="min"/>
        <cfvo type="percentile" val="50"/>
        <cfvo type="max"/>
        <color rgb="FF63BE7B"/>
        <color rgb="FFFFEB84"/>
        <color rgb="FFF8696B"/>
      </colorScale>
    </cfRule>
    <cfRule type="colorScale" priority="5526">
      <colorScale>
        <cfvo type="min"/>
        <cfvo type="percentile" val="50"/>
        <cfvo type="max"/>
        <color rgb="FF63BE7B"/>
        <color rgb="FFFFEB84"/>
        <color rgb="FFF8696B"/>
      </colorScale>
    </cfRule>
    <cfRule type="colorScale" priority="5525">
      <colorScale>
        <cfvo type="min"/>
        <cfvo type="percentile" val="50"/>
        <cfvo type="max"/>
        <color rgb="FF63BE7B"/>
        <color rgb="FFFFEB84"/>
        <color rgb="FFF8696B"/>
      </colorScale>
    </cfRule>
    <cfRule type="colorScale" priority="5524">
      <colorScale>
        <cfvo type="min"/>
        <cfvo type="percentile" val="50"/>
        <cfvo type="max"/>
        <color rgb="FF63BE7B"/>
        <color rgb="FFFFEB84"/>
        <color rgb="FFF8696B"/>
      </colorScale>
    </cfRule>
    <cfRule type="colorScale" priority="5523">
      <colorScale>
        <cfvo type="min"/>
        <cfvo type="percentile" val="50"/>
        <cfvo type="max"/>
        <color rgb="FF63BE7B"/>
        <color rgb="FFFFEB84"/>
        <color rgb="FFF8696B"/>
      </colorScale>
    </cfRule>
    <cfRule type="colorScale" priority="5522">
      <colorScale>
        <cfvo type="min"/>
        <cfvo type="percentile" val="50"/>
        <cfvo type="max"/>
        <color rgb="FF63BE7B"/>
        <color rgb="FFFFEB84"/>
        <color rgb="FFF8696B"/>
      </colorScale>
    </cfRule>
    <cfRule type="colorScale" priority="5521">
      <colorScale>
        <cfvo type="min"/>
        <cfvo type="percentile" val="50"/>
        <cfvo type="max"/>
        <color rgb="FF63BE7B"/>
        <color rgb="FFFFEB84"/>
        <color rgb="FFF8696B"/>
      </colorScale>
    </cfRule>
    <cfRule type="colorScale" priority="5520">
      <colorScale>
        <cfvo type="min"/>
        <cfvo type="percentile" val="50"/>
        <cfvo type="max"/>
        <color rgb="FF63BE7B"/>
        <color rgb="FFFFEB84"/>
        <color rgb="FFF8696B"/>
      </colorScale>
    </cfRule>
    <cfRule type="colorScale" priority="5519">
      <colorScale>
        <cfvo type="min"/>
        <cfvo type="percentile" val="50"/>
        <cfvo type="max"/>
        <color rgb="FF63BE7B"/>
        <color rgb="FFFFEB84"/>
        <color rgb="FFF8696B"/>
      </colorScale>
    </cfRule>
    <cfRule type="colorScale" priority="5518">
      <colorScale>
        <cfvo type="min"/>
        <cfvo type="percentile" val="50"/>
        <cfvo type="max"/>
        <color rgb="FF63BE7B"/>
        <color rgb="FFFFEB84"/>
        <color rgb="FFF8696B"/>
      </colorScale>
    </cfRule>
    <cfRule type="colorScale" priority="5517">
      <colorScale>
        <cfvo type="min"/>
        <cfvo type="percentile" val="50"/>
        <cfvo type="max"/>
        <color rgb="FF63BE7B"/>
        <color rgb="FFFFEB84"/>
        <color rgb="FFF8696B"/>
      </colorScale>
    </cfRule>
    <cfRule type="colorScale" priority="5516">
      <colorScale>
        <cfvo type="min"/>
        <cfvo type="percentile" val="50"/>
        <cfvo type="max"/>
        <color rgb="FF63BE7B"/>
        <color rgb="FFFFEB84"/>
        <color rgb="FFF8696B"/>
      </colorScale>
    </cfRule>
    <cfRule type="colorScale" priority="5515">
      <colorScale>
        <cfvo type="min"/>
        <cfvo type="percentile" val="50"/>
        <cfvo type="max"/>
        <color rgb="FF63BE7B"/>
        <color rgb="FFFFEB84"/>
        <color rgb="FFF8696B"/>
      </colorScale>
    </cfRule>
    <cfRule type="colorScale" priority="5514">
      <colorScale>
        <cfvo type="min"/>
        <cfvo type="percentile" val="50"/>
        <cfvo type="max"/>
        <color rgb="FF63BE7B"/>
        <color rgb="FFFFEB84"/>
        <color rgb="FFF8696B"/>
      </colorScale>
    </cfRule>
    <cfRule type="colorScale" priority="5512">
      <colorScale>
        <cfvo type="min"/>
        <cfvo type="percentile" val="50"/>
        <cfvo type="max"/>
        <color rgb="FF63BE7B"/>
        <color rgb="FFFFEB84"/>
        <color rgb="FFF8696B"/>
      </colorScale>
    </cfRule>
    <cfRule type="colorScale" priority="5511">
      <colorScale>
        <cfvo type="min"/>
        <cfvo type="percentile" val="50"/>
        <cfvo type="max"/>
        <color rgb="FF63BE7B"/>
        <color rgb="FFFFEB84"/>
        <color rgb="FFF8696B"/>
      </colorScale>
    </cfRule>
    <cfRule type="colorScale" priority="5510">
      <colorScale>
        <cfvo type="min"/>
        <cfvo type="percentile" val="50"/>
        <cfvo type="max"/>
        <color rgb="FF63BE7B"/>
        <color rgb="FFFFEB84"/>
        <color rgb="FFF8696B"/>
      </colorScale>
    </cfRule>
    <cfRule type="colorScale" priority="5509">
      <colorScale>
        <cfvo type="min"/>
        <cfvo type="percentile" val="50"/>
        <cfvo type="max"/>
        <color rgb="FF63BE7B"/>
        <color rgb="FFFFEB84"/>
        <color rgb="FFF8696B"/>
      </colorScale>
    </cfRule>
    <cfRule type="colorScale" priority="5508">
      <colorScale>
        <cfvo type="min"/>
        <cfvo type="percentile" val="50"/>
        <cfvo type="max"/>
        <color rgb="FF63BE7B"/>
        <color rgb="FFFFEB84"/>
        <color rgb="FFF8696B"/>
      </colorScale>
    </cfRule>
    <cfRule type="colorScale" priority="5507">
      <colorScale>
        <cfvo type="min"/>
        <cfvo type="percentile" val="50"/>
        <cfvo type="max"/>
        <color rgb="FF63BE7B"/>
        <color rgb="FFFFEB84"/>
        <color rgb="FFF8696B"/>
      </colorScale>
    </cfRule>
    <cfRule type="colorScale" priority="5506">
      <colorScale>
        <cfvo type="min"/>
        <cfvo type="percentile" val="50"/>
        <cfvo type="max"/>
        <color rgb="FF63BE7B"/>
        <color rgb="FFFFEB84"/>
        <color rgb="FFF8696B"/>
      </colorScale>
    </cfRule>
    <cfRule type="colorScale" priority="5505">
      <colorScale>
        <cfvo type="min"/>
        <cfvo type="percentile" val="50"/>
        <cfvo type="max"/>
        <color rgb="FF63BE7B"/>
        <color rgb="FFFFEB84"/>
        <color rgb="FFF8696B"/>
      </colorScale>
    </cfRule>
    <cfRule type="colorScale" priority="5504">
      <colorScale>
        <cfvo type="min"/>
        <cfvo type="percentile" val="50"/>
        <cfvo type="max"/>
        <color rgb="FF63BE7B"/>
        <color rgb="FFFFEB84"/>
        <color rgb="FFF8696B"/>
      </colorScale>
    </cfRule>
    <cfRule type="colorScale" priority="5503">
      <colorScale>
        <cfvo type="min"/>
        <cfvo type="percentile" val="50"/>
        <cfvo type="max"/>
        <color rgb="FF63BE7B"/>
        <color rgb="FFFFEB84"/>
        <color rgb="FFF8696B"/>
      </colorScale>
    </cfRule>
    <cfRule type="colorScale" priority="5502">
      <colorScale>
        <cfvo type="min"/>
        <cfvo type="percentile" val="50"/>
        <cfvo type="max"/>
        <color rgb="FF63BE7B"/>
        <color rgb="FFFFEB84"/>
        <color rgb="FFF8696B"/>
      </colorScale>
    </cfRule>
    <cfRule type="colorScale" priority="5501">
      <colorScale>
        <cfvo type="min"/>
        <cfvo type="percentile" val="50"/>
        <cfvo type="max"/>
        <color rgb="FF63BE7B"/>
        <color rgb="FFFFEB84"/>
        <color rgb="FFF8696B"/>
      </colorScale>
    </cfRule>
    <cfRule type="colorScale" priority="5500">
      <colorScale>
        <cfvo type="min"/>
        <cfvo type="percentile" val="50"/>
        <cfvo type="max"/>
        <color rgb="FF63BE7B"/>
        <color rgb="FFFFEB84"/>
        <color rgb="FFF8696B"/>
      </colorScale>
    </cfRule>
    <cfRule type="colorScale" priority="5499">
      <colorScale>
        <cfvo type="min"/>
        <cfvo type="percentile" val="50"/>
        <cfvo type="max"/>
        <color rgb="FF63BE7B"/>
        <color rgb="FFFFEB84"/>
        <color rgb="FFF8696B"/>
      </colorScale>
    </cfRule>
    <cfRule type="colorScale" priority="5498">
      <colorScale>
        <cfvo type="min"/>
        <cfvo type="percentile" val="50"/>
        <cfvo type="max"/>
        <color rgb="FF63BE7B"/>
        <color rgb="FFFFEB84"/>
        <color rgb="FFF8696B"/>
      </colorScale>
    </cfRule>
    <cfRule type="colorScale" priority="5497">
      <colorScale>
        <cfvo type="min"/>
        <cfvo type="percentile" val="50"/>
        <cfvo type="max"/>
        <color rgb="FF63BE7B"/>
        <color rgb="FFFFEB84"/>
        <color rgb="FFF8696B"/>
      </colorScale>
    </cfRule>
    <cfRule type="colorScale" priority="5496">
      <colorScale>
        <cfvo type="min"/>
        <cfvo type="percentile" val="50"/>
        <cfvo type="max"/>
        <color rgb="FF63BE7B"/>
        <color rgb="FFFFEB84"/>
        <color rgb="FFF8696B"/>
      </colorScale>
    </cfRule>
    <cfRule type="colorScale" priority="5495">
      <colorScale>
        <cfvo type="min"/>
        <cfvo type="percentile" val="50"/>
        <cfvo type="max"/>
        <color rgb="FF63BE7B"/>
        <color rgb="FFFFEB84"/>
        <color rgb="FFF8696B"/>
      </colorScale>
    </cfRule>
    <cfRule type="colorScale" priority="5494">
      <colorScale>
        <cfvo type="min"/>
        <cfvo type="percentile" val="50"/>
        <cfvo type="max"/>
        <color rgb="FF63BE7B"/>
        <color rgb="FFFFEB84"/>
        <color rgb="FFF8696B"/>
      </colorScale>
    </cfRule>
    <cfRule type="colorScale" priority="3708">
      <colorScale>
        <cfvo type="min"/>
        <cfvo type="percentile" val="50"/>
        <cfvo type="max"/>
        <color rgb="FF63BE7B"/>
        <color rgb="FFFFEB84"/>
        <color rgb="FFF8696B"/>
      </colorScale>
    </cfRule>
    <cfRule type="colorScale" priority="5715">
      <colorScale>
        <cfvo type="min"/>
        <cfvo type="percentile" val="50"/>
        <cfvo type="max"/>
        <color rgb="FF63BE7B"/>
        <color rgb="FFFFEB84"/>
        <color rgb="FFF8696B"/>
      </colorScale>
    </cfRule>
    <cfRule type="colorScale" priority="5714">
      <colorScale>
        <cfvo type="min"/>
        <cfvo type="percentile" val="50"/>
        <cfvo type="max"/>
        <color rgb="FF63BE7B"/>
        <color rgb="FFFFEB84"/>
        <color rgb="FFF8696B"/>
      </colorScale>
    </cfRule>
    <cfRule type="colorScale" priority="5713">
      <colorScale>
        <cfvo type="min"/>
        <cfvo type="percentile" val="50"/>
        <cfvo type="max"/>
        <color rgb="FF63BE7B"/>
        <color rgb="FFFFEB84"/>
        <color rgb="FFF8696B"/>
      </colorScale>
    </cfRule>
    <cfRule type="colorScale" priority="5712">
      <colorScale>
        <cfvo type="min"/>
        <cfvo type="percentile" val="50"/>
        <cfvo type="max"/>
        <color rgb="FF63BE7B"/>
        <color rgb="FFFFEB84"/>
        <color rgb="FFF8696B"/>
      </colorScale>
    </cfRule>
    <cfRule type="colorScale" priority="5711">
      <colorScale>
        <cfvo type="min"/>
        <cfvo type="percentile" val="50"/>
        <cfvo type="max"/>
        <color rgb="FF63BE7B"/>
        <color rgb="FFFFEB84"/>
        <color rgb="FFF8696B"/>
      </colorScale>
    </cfRule>
    <cfRule type="colorScale" priority="5710">
      <colorScale>
        <cfvo type="min"/>
        <cfvo type="percentile" val="50"/>
        <cfvo type="max"/>
        <color rgb="FF63BE7B"/>
        <color rgb="FFFFEB84"/>
        <color rgb="FFF8696B"/>
      </colorScale>
    </cfRule>
    <cfRule type="colorScale" priority="5709">
      <colorScale>
        <cfvo type="min"/>
        <cfvo type="percentile" val="50"/>
        <cfvo type="max"/>
        <color rgb="FF63BE7B"/>
        <color rgb="FFFFEB84"/>
        <color rgb="FFF8696B"/>
      </colorScale>
    </cfRule>
    <cfRule type="colorScale" priority="5708">
      <colorScale>
        <cfvo type="min"/>
        <cfvo type="percentile" val="50"/>
        <cfvo type="max"/>
        <color rgb="FF63BE7B"/>
        <color rgb="FFFFEB84"/>
        <color rgb="FFF8696B"/>
      </colorScale>
    </cfRule>
    <cfRule type="colorScale" priority="5707">
      <colorScale>
        <cfvo type="min"/>
        <cfvo type="percentile" val="50"/>
        <cfvo type="max"/>
        <color rgb="FF63BE7B"/>
        <color rgb="FFFFEB84"/>
        <color rgb="FFF8696B"/>
      </colorScale>
    </cfRule>
    <cfRule type="colorScale" priority="5705">
      <colorScale>
        <cfvo type="min"/>
        <cfvo type="percentile" val="50"/>
        <cfvo type="max"/>
        <color rgb="FF63BE7B"/>
        <color rgb="FFFFEB84"/>
        <color rgb="FFF8696B"/>
      </colorScale>
    </cfRule>
    <cfRule type="colorScale" priority="5704">
      <colorScale>
        <cfvo type="min"/>
        <cfvo type="percentile" val="50"/>
        <cfvo type="max"/>
        <color rgb="FF63BE7B"/>
        <color rgb="FFFFEB84"/>
        <color rgb="FFF8696B"/>
      </colorScale>
    </cfRule>
    <cfRule type="colorScale" priority="5703">
      <colorScale>
        <cfvo type="min"/>
        <cfvo type="percentile" val="50"/>
        <cfvo type="max"/>
        <color rgb="FF63BE7B"/>
        <color rgb="FFFFEB84"/>
        <color rgb="FFF8696B"/>
      </colorScale>
    </cfRule>
    <cfRule type="colorScale" priority="5702">
      <colorScale>
        <cfvo type="min"/>
        <cfvo type="percentile" val="50"/>
        <cfvo type="max"/>
        <color rgb="FF63BE7B"/>
        <color rgb="FFFFEB84"/>
        <color rgb="FFF8696B"/>
      </colorScale>
    </cfRule>
    <cfRule type="colorScale" priority="5701">
      <colorScale>
        <cfvo type="min"/>
        <cfvo type="percentile" val="50"/>
        <cfvo type="max"/>
        <color rgb="FF63BE7B"/>
        <color rgb="FFFFEB84"/>
        <color rgb="FFF8696B"/>
      </colorScale>
    </cfRule>
    <cfRule type="colorScale" priority="5700">
      <colorScale>
        <cfvo type="min"/>
        <cfvo type="percentile" val="50"/>
        <cfvo type="max"/>
        <color rgb="FF63BE7B"/>
        <color rgb="FFFFEB84"/>
        <color rgb="FFF8696B"/>
      </colorScale>
    </cfRule>
    <cfRule type="colorScale" priority="5699">
      <colorScale>
        <cfvo type="min"/>
        <cfvo type="percentile" val="50"/>
        <cfvo type="max"/>
        <color rgb="FF63BE7B"/>
        <color rgb="FFFFEB84"/>
        <color rgb="FFF8696B"/>
      </colorScale>
    </cfRule>
    <cfRule type="colorScale" priority="5698">
      <colorScale>
        <cfvo type="min"/>
        <cfvo type="percentile" val="50"/>
        <cfvo type="max"/>
        <color rgb="FF63BE7B"/>
        <color rgb="FFFFEB84"/>
        <color rgb="FFF8696B"/>
      </colorScale>
    </cfRule>
    <cfRule type="colorScale" priority="5697">
      <colorScale>
        <cfvo type="min"/>
        <cfvo type="percentile" val="50"/>
        <cfvo type="max"/>
        <color rgb="FF63BE7B"/>
        <color rgb="FFFFEB84"/>
        <color rgb="FFF8696B"/>
      </colorScale>
    </cfRule>
    <cfRule type="colorScale" priority="5696">
      <colorScale>
        <cfvo type="min"/>
        <cfvo type="percentile" val="50"/>
        <cfvo type="max"/>
        <color rgb="FF63BE7B"/>
        <color rgb="FFFFEB84"/>
        <color rgb="FFF8696B"/>
      </colorScale>
    </cfRule>
    <cfRule type="colorScale" priority="5695">
      <colorScale>
        <cfvo type="min"/>
        <cfvo type="percentile" val="50"/>
        <cfvo type="max"/>
        <color rgb="FF63BE7B"/>
        <color rgb="FFFFEB84"/>
        <color rgb="FFF8696B"/>
      </colorScale>
    </cfRule>
    <cfRule type="colorScale" priority="5694">
      <colorScale>
        <cfvo type="min"/>
        <cfvo type="percentile" val="50"/>
        <cfvo type="max"/>
        <color rgb="FF63BE7B"/>
        <color rgb="FFFFEB84"/>
        <color rgb="FFF8696B"/>
      </colorScale>
    </cfRule>
  </conditionalFormatting>
  <conditionalFormatting sqref="AP54:AP61">
    <cfRule type="colorScale" priority="16">
      <colorScale>
        <cfvo type="min"/>
        <cfvo type="percentile" val="50"/>
        <cfvo type="max"/>
        <color rgb="FF63BE7B"/>
        <color rgb="FFFFEB84"/>
        <color rgb="FFF8696B"/>
      </colorScale>
    </cfRule>
  </conditionalFormatting>
  <conditionalFormatting sqref="AP65:AP71">
    <cfRule type="colorScale" priority="12476">
      <colorScale>
        <cfvo type="min"/>
        <cfvo type="percentile" val="50"/>
        <cfvo type="max"/>
        <color rgb="FF63BE7B"/>
        <color rgb="FFFFEB84"/>
        <color rgb="FFF8696B"/>
      </colorScale>
    </cfRule>
    <cfRule type="colorScale" priority="12477">
      <colorScale>
        <cfvo type="min"/>
        <cfvo type="percentile" val="50"/>
        <cfvo type="max"/>
        <color rgb="FF63BE7B"/>
        <color rgb="FFFFEB84"/>
        <color rgb="FFF8696B"/>
      </colorScale>
    </cfRule>
    <cfRule type="colorScale" priority="12475">
      <colorScale>
        <cfvo type="min"/>
        <cfvo type="percentile" val="50"/>
        <cfvo type="max"/>
        <color rgb="FF63BE7B"/>
        <color rgb="FFFFEB84"/>
        <color rgb="FFF8696B"/>
      </colorScale>
    </cfRule>
  </conditionalFormatting>
  <conditionalFormatting sqref="AP66:AP71">
    <cfRule type="colorScale" priority="12478">
      <colorScale>
        <cfvo type="min"/>
        <cfvo type="percentile" val="50"/>
        <cfvo type="max"/>
        <color rgb="FF63BE7B"/>
        <color rgb="FFFFEB84"/>
        <color rgb="FFF8696B"/>
      </colorScale>
    </cfRule>
  </conditionalFormatting>
  <conditionalFormatting sqref="AP72:AP80">
    <cfRule type="colorScale" priority="12353">
      <colorScale>
        <cfvo type="min"/>
        <cfvo type="percentile" val="50"/>
        <cfvo type="max"/>
        <color rgb="FF63BE7B"/>
        <color rgb="FFFFEB84"/>
        <color rgb="FFF8696B"/>
      </colorScale>
    </cfRule>
    <cfRule type="colorScale" priority="12352">
      <colorScale>
        <cfvo type="min"/>
        <cfvo type="percentile" val="50"/>
        <cfvo type="max"/>
        <color rgb="FF63BE7B"/>
        <color rgb="FFFFEB84"/>
        <color rgb="FFF8696B"/>
      </colorScale>
    </cfRule>
    <cfRule type="colorScale" priority="12350">
      <colorScale>
        <cfvo type="min"/>
        <cfvo type="percentile" val="50"/>
        <cfvo type="max"/>
        <color rgb="FF63BE7B"/>
        <color rgb="FFFFEB84"/>
        <color rgb="FFF8696B"/>
      </colorScale>
    </cfRule>
    <cfRule type="colorScale" priority="12351">
      <colorScale>
        <cfvo type="min"/>
        <cfvo type="percentile" val="50"/>
        <cfvo type="max"/>
        <color rgb="FF63BE7B"/>
        <color rgb="FFFFEB84"/>
        <color rgb="FFF8696B"/>
      </colorScale>
    </cfRule>
  </conditionalFormatting>
  <conditionalFormatting sqref="AP81:AP83">
    <cfRule type="colorScale" priority="12256">
      <colorScale>
        <cfvo type="min"/>
        <cfvo type="percentile" val="50"/>
        <cfvo type="max"/>
        <color rgb="FF63BE7B"/>
        <color rgb="FFFFEB84"/>
        <color rgb="FFF8696B"/>
      </colorScale>
    </cfRule>
    <cfRule type="colorScale" priority="12257">
      <colorScale>
        <cfvo type="min"/>
        <cfvo type="percentile" val="50"/>
        <cfvo type="max"/>
        <color rgb="FF63BE7B"/>
        <color rgb="FFFFEB84"/>
        <color rgb="FFF8696B"/>
      </colorScale>
    </cfRule>
    <cfRule type="colorScale" priority="12254">
      <colorScale>
        <cfvo type="min"/>
        <cfvo type="percentile" val="50"/>
        <cfvo type="max"/>
        <color rgb="FF63BE7B"/>
        <color rgb="FFFFEB84"/>
        <color rgb="FFF8696B"/>
      </colorScale>
    </cfRule>
    <cfRule type="colorScale" priority="12255">
      <colorScale>
        <cfvo type="min"/>
        <cfvo type="percentile" val="50"/>
        <cfvo type="max"/>
        <color rgb="FF63BE7B"/>
        <color rgb="FFFFEB84"/>
        <color rgb="FFF8696B"/>
      </colorScale>
    </cfRule>
  </conditionalFormatting>
  <conditionalFormatting sqref="AP84:AP91">
    <cfRule type="colorScale" priority="12075">
      <colorScale>
        <cfvo type="min"/>
        <cfvo type="percentile" val="50"/>
        <cfvo type="max"/>
        <color rgb="FF63BE7B"/>
        <color rgb="FFFFEB84"/>
        <color rgb="FFF8696B"/>
      </colorScale>
    </cfRule>
    <cfRule type="colorScale" priority="12077">
      <colorScale>
        <cfvo type="min"/>
        <cfvo type="percentile" val="50"/>
        <cfvo type="max"/>
        <color rgb="FF63BE7B"/>
        <color rgb="FFFFEB84"/>
        <color rgb="FFF8696B"/>
      </colorScale>
    </cfRule>
    <cfRule type="colorScale" priority="12078">
      <colorScale>
        <cfvo type="min"/>
        <cfvo type="percentile" val="50"/>
        <cfvo type="max"/>
        <color rgb="FF63BE7B"/>
        <color rgb="FFFFEB84"/>
        <color rgb="FFF8696B"/>
      </colorScale>
    </cfRule>
  </conditionalFormatting>
  <conditionalFormatting sqref="AP86">
    <cfRule type="colorScale" priority="12076">
      <colorScale>
        <cfvo type="min"/>
        <cfvo type="percentile" val="50"/>
        <cfvo type="max"/>
        <color rgb="FF63BE7B"/>
        <color rgb="FFFFEB84"/>
        <color rgb="FFF8696B"/>
      </colorScale>
    </cfRule>
  </conditionalFormatting>
  <conditionalFormatting sqref="AP96:AP102">
    <cfRule type="colorScale" priority="11869">
      <colorScale>
        <cfvo type="min"/>
        <cfvo type="percentile" val="50"/>
        <cfvo type="max"/>
        <color rgb="FF63BE7B"/>
        <color rgb="FFFFEB84"/>
        <color rgb="FFF8696B"/>
      </colorScale>
    </cfRule>
    <cfRule type="colorScale" priority="11871">
      <colorScale>
        <cfvo type="min"/>
        <cfvo type="percentile" val="50"/>
        <cfvo type="max"/>
        <color rgb="FF63BE7B"/>
        <color rgb="FFFFEB84"/>
        <color rgb="FFF8696B"/>
      </colorScale>
    </cfRule>
    <cfRule type="colorScale" priority="11870">
      <colorScale>
        <cfvo type="min"/>
        <cfvo type="percentile" val="50"/>
        <cfvo type="max"/>
        <color rgb="FF63BE7B"/>
        <color rgb="FFFFEB84"/>
        <color rgb="FFF8696B"/>
      </colorScale>
    </cfRule>
  </conditionalFormatting>
  <conditionalFormatting sqref="AP97:AP102">
    <cfRule type="colorScale" priority="11872">
      <colorScale>
        <cfvo type="min"/>
        <cfvo type="percentile" val="50"/>
        <cfvo type="max"/>
        <color rgb="FF63BE7B"/>
        <color rgb="FFFFEB84"/>
        <color rgb="FFF8696B"/>
      </colorScale>
    </cfRule>
  </conditionalFormatting>
  <conditionalFormatting sqref="AP103:AP111">
    <cfRule type="colorScale" priority="11745">
      <colorScale>
        <cfvo type="min"/>
        <cfvo type="percentile" val="50"/>
        <cfvo type="max"/>
        <color rgb="FF63BE7B"/>
        <color rgb="FFFFEB84"/>
        <color rgb="FFF8696B"/>
      </colorScale>
    </cfRule>
    <cfRule type="colorScale" priority="11746">
      <colorScale>
        <cfvo type="min"/>
        <cfvo type="percentile" val="50"/>
        <cfvo type="max"/>
        <color rgb="FF63BE7B"/>
        <color rgb="FFFFEB84"/>
        <color rgb="FFF8696B"/>
      </colorScale>
    </cfRule>
    <cfRule type="colorScale" priority="11747">
      <colorScale>
        <cfvo type="min"/>
        <cfvo type="percentile" val="50"/>
        <cfvo type="max"/>
        <color rgb="FF63BE7B"/>
        <color rgb="FFFFEB84"/>
        <color rgb="FFF8696B"/>
      </colorScale>
    </cfRule>
    <cfRule type="colorScale" priority="11744">
      <colorScale>
        <cfvo type="min"/>
        <cfvo type="percentile" val="50"/>
        <cfvo type="max"/>
        <color rgb="FF63BE7B"/>
        <color rgb="FFFFEB84"/>
        <color rgb="FFF8696B"/>
      </colorScale>
    </cfRule>
  </conditionalFormatting>
  <conditionalFormatting sqref="AP112:AP114">
    <cfRule type="colorScale" priority="11654">
      <colorScale>
        <cfvo type="min"/>
        <cfvo type="percentile" val="50"/>
        <cfvo type="max"/>
        <color rgb="FF63BE7B"/>
        <color rgb="FFFFEB84"/>
        <color rgb="FFF8696B"/>
      </colorScale>
    </cfRule>
    <cfRule type="colorScale" priority="11653">
      <colorScale>
        <cfvo type="min"/>
        <cfvo type="percentile" val="50"/>
        <cfvo type="max"/>
        <color rgb="FF63BE7B"/>
        <color rgb="FFFFEB84"/>
        <color rgb="FFF8696B"/>
      </colorScale>
    </cfRule>
    <cfRule type="colorScale" priority="11652">
      <colorScale>
        <cfvo type="min"/>
        <cfvo type="percentile" val="50"/>
        <cfvo type="max"/>
        <color rgb="FF63BE7B"/>
        <color rgb="FFFFEB84"/>
        <color rgb="FFF8696B"/>
      </colorScale>
    </cfRule>
    <cfRule type="colorScale" priority="11651">
      <colorScale>
        <cfvo type="min"/>
        <cfvo type="percentile" val="50"/>
        <cfvo type="max"/>
        <color rgb="FF63BE7B"/>
        <color rgb="FFFFEB84"/>
        <color rgb="FFF8696B"/>
      </colorScale>
    </cfRule>
  </conditionalFormatting>
  <conditionalFormatting sqref="AP115:AP122">
    <cfRule type="colorScale" priority="11475">
      <colorScale>
        <cfvo type="min"/>
        <cfvo type="percentile" val="50"/>
        <cfvo type="max"/>
        <color rgb="FF63BE7B"/>
        <color rgb="FFFFEB84"/>
        <color rgb="FFF8696B"/>
      </colorScale>
    </cfRule>
    <cfRule type="colorScale" priority="11474">
      <colorScale>
        <cfvo type="min"/>
        <cfvo type="percentile" val="50"/>
        <cfvo type="max"/>
        <color rgb="FF63BE7B"/>
        <color rgb="FFFFEB84"/>
        <color rgb="FFF8696B"/>
      </colorScale>
    </cfRule>
    <cfRule type="colorScale" priority="11472">
      <colorScale>
        <cfvo type="min"/>
        <cfvo type="percentile" val="50"/>
        <cfvo type="max"/>
        <color rgb="FF63BE7B"/>
        <color rgb="FFFFEB84"/>
        <color rgb="FFF8696B"/>
      </colorScale>
    </cfRule>
  </conditionalFormatting>
  <conditionalFormatting sqref="AP117">
    <cfRule type="colorScale" priority="11473">
      <colorScale>
        <cfvo type="min"/>
        <cfvo type="percentile" val="50"/>
        <cfvo type="max"/>
        <color rgb="FF63BE7B"/>
        <color rgb="FFFFEB84"/>
        <color rgb="FFF8696B"/>
      </colorScale>
    </cfRule>
  </conditionalFormatting>
  <conditionalFormatting sqref="AQ35:AQ37">
    <cfRule type="colorScale" priority="8648">
      <colorScale>
        <cfvo type="min"/>
        <cfvo type="percentile" val="50"/>
        <cfvo type="max"/>
        <color rgb="FF63BE7B"/>
        <color rgb="FFFFEB84"/>
        <color rgb="FFF8696B"/>
      </colorScale>
    </cfRule>
    <cfRule type="colorScale" priority="8654">
      <colorScale>
        <cfvo type="min"/>
        <cfvo type="percentile" val="50"/>
        <cfvo type="max"/>
        <color rgb="FF63BE7B"/>
        <color rgb="FFFFEB84"/>
        <color rgb="FFF8696B"/>
      </colorScale>
    </cfRule>
    <cfRule type="colorScale" priority="8621">
      <colorScale>
        <cfvo type="min"/>
        <cfvo type="percentile" val="50"/>
        <cfvo type="max"/>
        <color rgb="FF63BE7B"/>
        <color rgb="FFFFEB84"/>
        <color rgb="FFF8696B"/>
      </colorScale>
    </cfRule>
    <cfRule type="colorScale" priority="10725">
      <colorScale>
        <cfvo type="min"/>
        <cfvo type="percentile" val="50"/>
        <cfvo type="max"/>
        <color rgb="FF63BE7B"/>
        <color rgb="FFFFEB84"/>
        <color rgb="FFF8696B"/>
      </colorScale>
    </cfRule>
    <cfRule type="colorScale" priority="10687">
      <colorScale>
        <cfvo type="min"/>
        <cfvo type="percentile" val="50"/>
        <cfvo type="max"/>
        <color rgb="FF63BE7B"/>
        <color rgb="FFFFEB84"/>
        <color rgb="FFF8696B"/>
      </colorScale>
    </cfRule>
    <cfRule type="colorScale" priority="8650">
      <colorScale>
        <cfvo type="min"/>
        <cfvo type="percentile" val="50"/>
        <cfvo type="max"/>
        <color rgb="FF63BE7B"/>
        <color rgb="FFFFEB84"/>
        <color rgb="FFF8696B"/>
      </colorScale>
    </cfRule>
    <cfRule type="colorScale" priority="9740">
      <colorScale>
        <cfvo type="min"/>
        <cfvo type="percentile" val="50"/>
        <cfvo type="max"/>
        <color rgb="FF63BE7B"/>
        <color rgb="FFFFEB84"/>
        <color rgb="FFF8696B"/>
      </colorScale>
    </cfRule>
    <cfRule type="colorScale" priority="9731">
      <colorScale>
        <cfvo type="min"/>
        <cfvo type="percentile" val="50"/>
        <cfvo type="max"/>
        <color rgb="FF63BE7B"/>
        <color rgb="FFFFEB84"/>
        <color rgb="FFF8696B"/>
      </colorScale>
    </cfRule>
    <cfRule type="colorScale" priority="9741">
      <colorScale>
        <cfvo type="min"/>
        <cfvo type="percentile" val="50"/>
        <cfvo type="max"/>
        <color rgb="FF63BE7B"/>
        <color rgb="FFFFEB84"/>
        <color rgb="FFF8696B"/>
      </colorScale>
    </cfRule>
    <cfRule type="colorScale" priority="9742">
      <colorScale>
        <cfvo type="min"/>
        <cfvo type="percentile" val="50"/>
        <cfvo type="max"/>
        <color rgb="FF63BE7B"/>
        <color rgb="FFFFEB84"/>
        <color rgb="FFF8696B"/>
      </colorScale>
    </cfRule>
    <cfRule type="colorScale" priority="8627">
      <colorScale>
        <cfvo type="min"/>
        <cfvo type="percentile" val="50"/>
        <cfvo type="max"/>
        <color rgb="FF63BE7B"/>
        <color rgb="FFFFEB84"/>
        <color rgb="FFF8696B"/>
      </colorScale>
    </cfRule>
    <cfRule type="colorScale" priority="9744">
      <colorScale>
        <cfvo type="min"/>
        <cfvo type="percentile" val="50"/>
        <cfvo type="max"/>
        <color rgb="FF63BE7B"/>
        <color rgb="FFFFEB84"/>
        <color rgb="FFF8696B"/>
      </colorScale>
    </cfRule>
    <cfRule type="colorScale" priority="8651">
      <colorScale>
        <cfvo type="min"/>
        <cfvo type="percentile" val="50"/>
        <cfvo type="max"/>
        <color rgb="FF63BE7B"/>
        <color rgb="FFFFEB84"/>
        <color rgb="FFF8696B"/>
      </colorScale>
    </cfRule>
    <cfRule type="colorScale" priority="8649">
      <colorScale>
        <cfvo type="min"/>
        <cfvo type="percentile" val="50"/>
        <cfvo type="max"/>
        <color rgb="FF63BE7B"/>
        <color rgb="FFFFEB84"/>
        <color rgb="FFF8696B"/>
      </colorScale>
    </cfRule>
    <cfRule type="colorScale" priority="9745">
      <colorScale>
        <cfvo type="min"/>
        <cfvo type="percentile" val="50"/>
        <cfvo type="max"/>
        <color rgb="FF63BE7B"/>
        <color rgb="FFFFEB84"/>
        <color rgb="FFF8696B"/>
      </colorScale>
    </cfRule>
    <cfRule type="colorScale" priority="8626">
      <colorScale>
        <cfvo type="min"/>
        <cfvo type="percentile" val="50"/>
        <cfvo type="max"/>
        <color rgb="FF63BE7B"/>
        <color rgb="FFFFEB84"/>
        <color rgb="FFF8696B"/>
      </colorScale>
    </cfRule>
    <cfRule type="colorScale" priority="8640">
      <colorScale>
        <cfvo type="min"/>
        <cfvo type="percentile" val="50"/>
        <cfvo type="max"/>
        <color rgb="FF63BE7B"/>
        <color rgb="FFFFEB84"/>
        <color rgb="FFF8696B"/>
      </colorScale>
    </cfRule>
    <cfRule type="colorScale" priority="8624">
      <colorScale>
        <cfvo type="min"/>
        <cfvo type="percentile" val="50"/>
        <cfvo type="max"/>
        <color rgb="FF63BE7B"/>
        <color rgb="FFFFEB84"/>
        <color rgb="FFF8696B"/>
      </colorScale>
    </cfRule>
    <cfRule type="colorScale" priority="8623">
      <colorScale>
        <cfvo type="min"/>
        <cfvo type="percentile" val="50"/>
        <cfvo type="max"/>
        <color rgb="FF63BE7B"/>
        <color rgb="FFFFEB84"/>
        <color rgb="FFF8696B"/>
      </colorScale>
    </cfRule>
    <cfRule type="colorScale" priority="8622">
      <colorScale>
        <cfvo type="min"/>
        <cfvo type="percentile" val="50"/>
        <cfvo type="max"/>
        <color rgb="FF63BE7B"/>
        <color rgb="FFFFEB84"/>
        <color rgb="FFF8696B"/>
      </colorScale>
    </cfRule>
    <cfRule type="colorScale" priority="8613">
      <colorScale>
        <cfvo type="min"/>
        <cfvo type="percentile" val="50"/>
        <cfvo type="max"/>
        <color rgb="FF63BE7B"/>
        <color rgb="FFFFEB84"/>
        <color rgb="FFF8696B"/>
      </colorScale>
    </cfRule>
    <cfRule type="colorScale" priority="8653">
      <colorScale>
        <cfvo type="min"/>
        <cfvo type="percentile" val="50"/>
        <cfvo type="max"/>
        <color rgb="FF63BE7B"/>
        <color rgb="FFFFEB84"/>
        <color rgb="FFF8696B"/>
      </colorScale>
    </cfRule>
    <cfRule type="colorScale" priority="9739">
      <colorScale>
        <cfvo type="min"/>
        <cfvo type="percentile" val="50"/>
        <cfvo type="max"/>
        <color rgb="FF63BE7B"/>
        <color rgb="FFFFEB84"/>
        <color rgb="FFF8696B"/>
      </colorScale>
    </cfRule>
  </conditionalFormatting>
  <conditionalFormatting sqref="AQ35:AQ41 AC35:AC41 AQ52:AQ53 N35:N53 AC52:AC53">
    <cfRule type="colorScale" priority="13235">
      <colorScale>
        <cfvo type="min"/>
        <cfvo type="percentile" val="50"/>
        <cfvo type="max"/>
        <color rgb="FF63BE7B"/>
        <color rgb="FFFFEB84"/>
        <color rgb="FFF8696B"/>
      </colorScale>
    </cfRule>
  </conditionalFormatting>
  <conditionalFormatting sqref="AQ35:AQ41">
    <cfRule type="colorScale" priority="8628">
      <colorScale>
        <cfvo type="min"/>
        <cfvo type="percentile" val="50"/>
        <cfvo type="max"/>
        <color rgb="FF63BE7B"/>
        <color rgb="FFFFEB84"/>
        <color rgb="FFF8696B"/>
      </colorScale>
    </cfRule>
    <cfRule type="colorScale" priority="9755">
      <colorScale>
        <cfvo type="min"/>
        <cfvo type="percentile" val="50"/>
        <cfvo type="max"/>
        <color rgb="FF63BE7B"/>
        <color rgb="FFFFEB84"/>
        <color rgb="FFF8696B"/>
      </colorScale>
    </cfRule>
    <cfRule type="colorScale" priority="10700">
      <colorScale>
        <cfvo type="min"/>
        <cfvo type="percentile" val="50"/>
        <cfvo type="max"/>
        <color rgb="FF63BE7B"/>
        <color rgb="FFFFEB84"/>
        <color rgb="FFF8696B"/>
      </colorScale>
    </cfRule>
    <cfRule type="colorScale" priority="9754">
      <colorScale>
        <cfvo type="min"/>
        <cfvo type="percentile" val="50"/>
        <cfvo type="max"/>
        <color rgb="FF63BE7B"/>
        <color rgb="FFFFEB84"/>
        <color rgb="FFF8696B"/>
      </colorScale>
    </cfRule>
    <cfRule type="colorScale" priority="10699">
      <colorScale>
        <cfvo type="min"/>
        <cfvo type="percentile" val="50"/>
        <cfvo type="max"/>
        <color rgb="FF63BE7B"/>
        <color rgb="FFFFEB84"/>
        <color rgb="FFF8696B"/>
      </colorScale>
    </cfRule>
    <cfRule type="colorScale" priority="9752">
      <colorScale>
        <cfvo type="min"/>
        <cfvo type="percentile" val="50"/>
        <cfvo type="max"/>
        <color rgb="FF63BE7B"/>
        <color rgb="FFFFEB84"/>
        <color rgb="FFF8696B"/>
      </colorScale>
    </cfRule>
    <cfRule type="colorScale" priority="9751">
      <colorScale>
        <cfvo type="min"/>
        <cfvo type="percentile" val="50"/>
        <cfvo type="max"/>
        <color rgb="FF63BE7B"/>
        <color rgb="FFFFEB84"/>
        <color rgb="FFF8696B"/>
      </colorScale>
    </cfRule>
    <cfRule type="colorScale" priority="8629">
      <colorScale>
        <cfvo type="min"/>
        <cfvo type="percentile" val="50"/>
        <cfvo type="max"/>
        <color rgb="FF63BE7B"/>
        <color rgb="FFFFEB84"/>
        <color rgb="FFF8696B"/>
      </colorScale>
    </cfRule>
    <cfRule type="colorScale" priority="10698">
      <colorScale>
        <cfvo type="min"/>
        <cfvo type="percentile" val="50"/>
        <cfvo type="max"/>
        <color rgb="FF63BE7B"/>
        <color rgb="FFFFEB84"/>
        <color rgb="FFF8696B"/>
      </colorScale>
    </cfRule>
    <cfRule type="colorScale" priority="10697">
      <colorScale>
        <cfvo type="min"/>
        <cfvo type="percentile" val="50"/>
        <cfvo type="max"/>
        <color rgb="FF63BE7B"/>
        <color rgb="FFFFEB84"/>
        <color rgb="FFF8696B"/>
      </colorScale>
    </cfRule>
    <cfRule type="colorScale" priority="10694">
      <colorScale>
        <cfvo type="min"/>
        <cfvo type="percentile" val="50"/>
        <cfvo type="max"/>
        <color rgb="FF63BE7B"/>
        <color rgb="FFFFEB84"/>
        <color rgb="FFF8696B"/>
      </colorScale>
    </cfRule>
    <cfRule type="colorScale" priority="10696">
      <colorScale>
        <cfvo type="min"/>
        <cfvo type="percentile" val="50"/>
        <cfvo type="max"/>
        <color rgb="FF63BE7B"/>
        <color rgb="FFFFEB84"/>
        <color rgb="FFF8696B"/>
      </colorScale>
    </cfRule>
    <cfRule type="colorScale" priority="10686">
      <colorScale>
        <cfvo type="min"/>
        <cfvo type="percentile" val="50"/>
        <cfvo type="max"/>
        <color rgb="FF63BE7B"/>
        <color rgb="FFFFEB84"/>
        <color rgb="FFF8696B"/>
      </colorScale>
    </cfRule>
    <cfRule type="colorScale" priority="10688">
      <colorScale>
        <cfvo type="min"/>
        <cfvo type="percentile" val="50"/>
        <cfvo type="max"/>
        <color rgb="FF63BE7B"/>
        <color rgb="FFFFEB84"/>
        <color rgb="FFF8696B"/>
      </colorScale>
    </cfRule>
    <cfRule type="colorScale" priority="10689">
      <colorScale>
        <cfvo type="min"/>
        <cfvo type="percentile" val="50"/>
        <cfvo type="max"/>
        <color rgb="FF63BE7B"/>
        <color rgb="FFFFEB84"/>
        <color rgb="FFF8696B"/>
      </colorScale>
    </cfRule>
    <cfRule type="colorScale" priority="10690">
      <colorScale>
        <cfvo type="min"/>
        <cfvo type="percentile" val="50"/>
        <cfvo type="max"/>
        <color rgb="FF63BE7B"/>
        <color rgb="FFFFEB84"/>
        <color rgb="FFF8696B"/>
      </colorScale>
    </cfRule>
    <cfRule type="colorScale" priority="10691">
      <colorScale>
        <cfvo type="min"/>
        <cfvo type="percentile" val="50"/>
        <cfvo type="max"/>
        <color rgb="FF63BE7B"/>
        <color rgb="FFFFEB84"/>
        <color rgb="FFF8696B"/>
      </colorScale>
    </cfRule>
    <cfRule type="colorScale" priority="10692">
      <colorScale>
        <cfvo type="min"/>
        <cfvo type="percentile" val="50"/>
        <cfvo type="max"/>
        <color rgb="FF63BE7B"/>
        <color rgb="FFFFEB84"/>
        <color rgb="FFF8696B"/>
      </colorScale>
    </cfRule>
    <cfRule type="colorScale" priority="10695">
      <colorScale>
        <cfvo type="min"/>
        <cfvo type="percentile" val="50"/>
        <cfvo type="max"/>
        <color rgb="FF63BE7B"/>
        <color rgb="FFFFEB84"/>
        <color rgb="FFF8696B"/>
      </colorScale>
    </cfRule>
    <cfRule type="colorScale" priority="10685">
      <colorScale>
        <cfvo type="min"/>
        <cfvo type="percentile" val="50"/>
        <cfvo type="max"/>
        <color rgb="FF63BE7B"/>
        <color rgb="FFFFEB84"/>
        <color rgb="FFF8696B"/>
      </colorScale>
    </cfRule>
    <cfRule type="colorScale" priority="13081">
      <colorScale>
        <cfvo type="min"/>
        <cfvo type="percentile" val="50"/>
        <cfvo type="max"/>
        <color rgb="FF63BE7B"/>
        <color rgb="FFFFEB84"/>
        <color rgb="FFF8696B"/>
      </colorScale>
    </cfRule>
    <cfRule type="colorScale" priority="13080">
      <colorScale>
        <cfvo type="min"/>
        <cfvo type="percentile" val="50"/>
        <cfvo type="max"/>
        <color rgb="FF63BE7B"/>
        <color rgb="FFFFEB84"/>
        <color rgb="FFF8696B"/>
      </colorScale>
    </cfRule>
    <cfRule type="colorScale" priority="13079">
      <colorScale>
        <cfvo type="min"/>
        <cfvo type="percentile" val="50"/>
        <cfvo type="max"/>
        <color rgb="FF63BE7B"/>
        <color rgb="FFFFEB84"/>
        <color rgb="FFF8696B"/>
      </colorScale>
    </cfRule>
    <cfRule type="colorScale" priority="10693">
      <colorScale>
        <cfvo type="min"/>
        <cfvo type="percentile" val="50"/>
        <cfvo type="max"/>
        <color rgb="FF63BE7B"/>
        <color rgb="FFFFEB84"/>
        <color rgb="FFF8696B"/>
      </colorScale>
    </cfRule>
    <cfRule type="colorScale" priority="10723">
      <colorScale>
        <cfvo type="min"/>
        <cfvo type="percentile" val="50"/>
        <cfvo type="max"/>
        <color rgb="FF63BE7B"/>
        <color rgb="FFFFEB84"/>
        <color rgb="FFF8696B"/>
      </colorScale>
    </cfRule>
    <cfRule type="colorScale" priority="10724">
      <colorScale>
        <cfvo type="min"/>
        <cfvo type="percentile" val="50"/>
        <cfvo type="max"/>
        <color rgb="FF63BE7B"/>
        <color rgb="FFFFEB84"/>
        <color rgb="FFF8696B"/>
      </colorScale>
    </cfRule>
    <cfRule type="colorScale" priority="10726">
      <colorScale>
        <cfvo type="min"/>
        <cfvo type="percentile" val="50"/>
        <cfvo type="max"/>
        <color rgb="FF63BE7B"/>
        <color rgb="FFFFEB84"/>
        <color rgb="FFF8696B"/>
      </colorScale>
    </cfRule>
    <cfRule type="colorScale" priority="10727">
      <colorScale>
        <cfvo type="min"/>
        <cfvo type="percentile" val="50"/>
        <cfvo type="max"/>
        <color rgb="FF63BE7B"/>
        <color rgb="FFFFEB84"/>
        <color rgb="FFF8696B"/>
      </colorScale>
    </cfRule>
    <cfRule type="colorScale" priority="10728">
      <colorScale>
        <cfvo type="min"/>
        <cfvo type="percentile" val="50"/>
        <cfvo type="max"/>
        <color rgb="FF63BE7B"/>
        <color rgb="FFFFEB84"/>
        <color rgb="FFF8696B"/>
      </colorScale>
    </cfRule>
    <cfRule type="colorScale" priority="10729">
      <colorScale>
        <cfvo type="min"/>
        <cfvo type="percentile" val="50"/>
        <cfvo type="max"/>
        <color rgb="FF63BE7B"/>
        <color rgb="FFFFEB84"/>
        <color rgb="FFF8696B"/>
      </colorScale>
    </cfRule>
    <cfRule type="colorScale" priority="10730">
      <colorScale>
        <cfvo type="min"/>
        <cfvo type="percentile" val="50"/>
        <cfvo type="max"/>
        <color rgb="FF63BE7B"/>
        <color rgb="FFFFEB84"/>
        <color rgb="FFF8696B"/>
      </colorScale>
    </cfRule>
    <cfRule type="colorScale" priority="10731">
      <colorScale>
        <cfvo type="min"/>
        <cfvo type="percentile" val="50"/>
        <cfvo type="max"/>
        <color rgb="FF63BE7B"/>
        <color rgb="FFFFEB84"/>
        <color rgb="FFF8696B"/>
      </colorScale>
    </cfRule>
    <cfRule type="colorScale" priority="10732">
      <colorScale>
        <cfvo type="min"/>
        <cfvo type="percentile" val="50"/>
        <cfvo type="max"/>
        <color rgb="FF63BE7B"/>
        <color rgb="FFFFEB84"/>
        <color rgb="FFF8696B"/>
      </colorScale>
    </cfRule>
    <cfRule type="colorScale" priority="10733">
      <colorScale>
        <cfvo type="min"/>
        <cfvo type="percentile" val="50"/>
        <cfvo type="max"/>
        <color rgb="FF63BE7B"/>
        <color rgb="FFFFEB84"/>
        <color rgb="FFF8696B"/>
      </colorScale>
    </cfRule>
    <cfRule type="colorScale" priority="10734">
      <colorScale>
        <cfvo type="min"/>
        <cfvo type="percentile" val="50"/>
        <cfvo type="max"/>
        <color rgb="FF63BE7B"/>
        <color rgb="FFFFEB84"/>
        <color rgb="FFF8696B"/>
      </colorScale>
    </cfRule>
    <cfRule type="colorScale" priority="10735">
      <colorScale>
        <cfvo type="min"/>
        <cfvo type="percentile" val="50"/>
        <cfvo type="max"/>
        <color rgb="FF63BE7B"/>
        <color rgb="FFFFEB84"/>
        <color rgb="FFF8696B"/>
      </colorScale>
    </cfRule>
    <cfRule type="colorScale" priority="10736">
      <colorScale>
        <cfvo type="min"/>
        <cfvo type="percentile" val="50"/>
        <cfvo type="max"/>
        <color rgb="FF63BE7B"/>
        <color rgb="FFFFEB84"/>
        <color rgb="FFF8696B"/>
      </colorScale>
    </cfRule>
    <cfRule type="colorScale" priority="10737">
      <colorScale>
        <cfvo type="min"/>
        <cfvo type="percentile" val="50"/>
        <cfvo type="max"/>
        <color rgb="FF63BE7B"/>
        <color rgb="FFFFEB84"/>
        <color rgb="FFF8696B"/>
      </colorScale>
    </cfRule>
    <cfRule type="colorScale" priority="10738">
      <colorScale>
        <cfvo type="min"/>
        <cfvo type="percentile" val="50"/>
        <cfvo type="max"/>
        <color rgb="FF63BE7B"/>
        <color rgb="FFFFEB84"/>
        <color rgb="FFF8696B"/>
      </colorScale>
    </cfRule>
    <cfRule type="colorScale" priority="10739">
      <colorScale>
        <cfvo type="min"/>
        <cfvo type="percentile" val="50"/>
        <cfvo type="max"/>
        <color rgb="FF63BE7B"/>
        <color rgb="FFFFEB84"/>
        <color rgb="FFF8696B"/>
      </colorScale>
    </cfRule>
    <cfRule type="colorScale" priority="10740">
      <colorScale>
        <cfvo type="min"/>
        <cfvo type="percentile" val="50"/>
        <cfvo type="max"/>
        <color rgb="FF63BE7B"/>
        <color rgb="FFFFEB84"/>
        <color rgb="FFF8696B"/>
      </colorScale>
    </cfRule>
    <cfRule type="colorScale" priority="10741">
      <colorScale>
        <cfvo type="min"/>
        <cfvo type="percentile" val="50"/>
        <cfvo type="max"/>
        <color rgb="FF63BE7B"/>
        <color rgb="FFFFEB84"/>
        <color rgb="FFF8696B"/>
      </colorScale>
    </cfRule>
    <cfRule type="colorScale" priority="8664">
      <colorScale>
        <cfvo type="min"/>
        <cfvo type="percentile" val="50"/>
        <cfvo type="max"/>
        <color rgb="FF63BE7B"/>
        <color rgb="FFFFEB84"/>
        <color rgb="FFF8696B"/>
      </colorScale>
    </cfRule>
    <cfRule type="colorScale" priority="8663">
      <colorScale>
        <cfvo type="min"/>
        <cfvo type="percentile" val="50"/>
        <cfvo type="max"/>
        <color rgb="FF63BE7B"/>
        <color rgb="FFFFEB84"/>
        <color rgb="FFF8696B"/>
      </colorScale>
    </cfRule>
    <cfRule type="colorScale" priority="8661">
      <colorScale>
        <cfvo type="min"/>
        <cfvo type="percentile" val="50"/>
        <cfvo type="max"/>
        <color rgb="FF63BE7B"/>
        <color rgb="FFFFEB84"/>
        <color rgb="FFF8696B"/>
      </colorScale>
    </cfRule>
    <cfRule type="colorScale" priority="9729">
      <colorScale>
        <cfvo type="min"/>
        <cfvo type="percentile" val="50"/>
        <cfvo type="max"/>
        <color rgb="FF63BE7B"/>
        <color rgb="FFFFEB84"/>
        <color rgb="FFF8696B"/>
      </colorScale>
    </cfRule>
    <cfRule type="colorScale" priority="9730">
      <colorScale>
        <cfvo type="min"/>
        <cfvo type="percentile" val="50"/>
        <cfvo type="max"/>
        <color rgb="FF63BE7B"/>
        <color rgb="FFFFEB84"/>
        <color rgb="FFF8696B"/>
      </colorScale>
    </cfRule>
    <cfRule type="colorScale" priority="9732">
      <colorScale>
        <cfvo type="min"/>
        <cfvo type="percentile" val="50"/>
        <cfvo type="max"/>
        <color rgb="FF63BE7B"/>
        <color rgb="FFFFEB84"/>
        <color rgb="FFF8696B"/>
      </colorScale>
    </cfRule>
    <cfRule type="colorScale" priority="9733">
      <colorScale>
        <cfvo type="min"/>
        <cfvo type="percentile" val="50"/>
        <cfvo type="max"/>
        <color rgb="FF63BE7B"/>
        <color rgb="FFFFEB84"/>
        <color rgb="FFF8696B"/>
      </colorScale>
    </cfRule>
    <cfRule type="colorScale" priority="9734">
      <colorScale>
        <cfvo type="min"/>
        <cfvo type="percentile" val="50"/>
        <cfvo type="max"/>
        <color rgb="FF63BE7B"/>
        <color rgb="FFFFEB84"/>
        <color rgb="FFF8696B"/>
      </colorScale>
    </cfRule>
    <cfRule type="colorScale" priority="8660">
      <colorScale>
        <cfvo type="min"/>
        <cfvo type="percentile" val="50"/>
        <cfvo type="max"/>
        <color rgb="FF63BE7B"/>
        <color rgb="FFFFEB84"/>
        <color rgb="FFF8696B"/>
      </colorScale>
    </cfRule>
    <cfRule type="colorScale" priority="8659">
      <colorScale>
        <cfvo type="min"/>
        <cfvo type="percentile" val="50"/>
        <cfvo type="max"/>
        <color rgb="FF63BE7B"/>
        <color rgb="FFFFEB84"/>
        <color rgb="FFF8696B"/>
      </colorScale>
    </cfRule>
    <cfRule type="colorScale" priority="8658">
      <colorScale>
        <cfvo type="min"/>
        <cfvo type="percentile" val="50"/>
        <cfvo type="max"/>
        <color rgb="FF63BE7B"/>
        <color rgb="FFFFEB84"/>
        <color rgb="FFF8696B"/>
      </colorScale>
    </cfRule>
    <cfRule type="colorScale" priority="8657">
      <colorScale>
        <cfvo type="min"/>
        <cfvo type="percentile" val="50"/>
        <cfvo type="max"/>
        <color rgb="FF63BE7B"/>
        <color rgb="FFFFEB84"/>
        <color rgb="FFF8696B"/>
      </colorScale>
    </cfRule>
    <cfRule type="colorScale" priority="8656">
      <colorScale>
        <cfvo type="min"/>
        <cfvo type="percentile" val="50"/>
        <cfvo type="max"/>
        <color rgb="FF63BE7B"/>
        <color rgb="FFFFEB84"/>
        <color rgb="FFF8696B"/>
      </colorScale>
    </cfRule>
    <cfRule type="colorScale" priority="8611">
      <colorScale>
        <cfvo type="min"/>
        <cfvo type="percentile" val="50"/>
        <cfvo type="max"/>
        <color rgb="FF63BE7B"/>
        <color rgb="FFFFEB84"/>
        <color rgb="FFF8696B"/>
      </colorScale>
    </cfRule>
    <cfRule type="colorScale" priority="8612">
      <colorScale>
        <cfvo type="min"/>
        <cfvo type="percentile" val="50"/>
        <cfvo type="max"/>
        <color rgb="FF63BE7B"/>
        <color rgb="FFFFEB84"/>
        <color rgb="FFF8696B"/>
      </colorScale>
    </cfRule>
    <cfRule type="colorScale" priority="8614">
      <colorScale>
        <cfvo type="min"/>
        <cfvo type="percentile" val="50"/>
        <cfvo type="max"/>
        <color rgb="FF63BE7B"/>
        <color rgb="FFFFEB84"/>
        <color rgb="FFF8696B"/>
      </colorScale>
    </cfRule>
    <cfRule type="colorScale" priority="8615">
      <colorScale>
        <cfvo type="min"/>
        <cfvo type="percentile" val="50"/>
        <cfvo type="max"/>
        <color rgb="FF63BE7B"/>
        <color rgb="FFFFEB84"/>
        <color rgb="FFF8696B"/>
      </colorScale>
    </cfRule>
    <cfRule type="colorScale" priority="10703">
      <colorScale>
        <cfvo type="min"/>
        <cfvo type="percentile" val="50"/>
        <cfvo type="max"/>
        <color rgb="FF63BE7B"/>
        <color rgb="FFFFEB84"/>
        <color rgb="FFF8696B"/>
      </colorScale>
    </cfRule>
    <cfRule type="colorScale" priority="8616">
      <colorScale>
        <cfvo type="min"/>
        <cfvo type="percentile" val="50"/>
        <cfvo type="max"/>
        <color rgb="FF63BE7B"/>
        <color rgb="FFFFEB84"/>
        <color rgb="FFF8696B"/>
      </colorScale>
    </cfRule>
    <cfRule type="colorScale" priority="10702">
      <colorScale>
        <cfvo type="min"/>
        <cfvo type="percentile" val="50"/>
        <cfvo type="max"/>
        <color rgb="FF63BE7B"/>
        <color rgb="FFFFEB84"/>
        <color rgb="FFF8696B"/>
      </colorScale>
    </cfRule>
    <cfRule type="colorScale" priority="8655">
      <colorScale>
        <cfvo type="min"/>
        <cfvo type="percentile" val="50"/>
        <cfvo type="max"/>
        <color rgb="FF63BE7B"/>
        <color rgb="FFFFEB84"/>
        <color rgb="FFF8696B"/>
      </colorScale>
    </cfRule>
    <cfRule type="colorScale" priority="9735">
      <colorScale>
        <cfvo type="min"/>
        <cfvo type="percentile" val="50"/>
        <cfvo type="max"/>
        <color rgb="FF63BE7B"/>
        <color rgb="FFFFEB84"/>
        <color rgb="FFF8696B"/>
      </colorScale>
    </cfRule>
    <cfRule type="colorScale" priority="9736">
      <colorScale>
        <cfvo type="min"/>
        <cfvo type="percentile" val="50"/>
        <cfvo type="max"/>
        <color rgb="FF63BE7B"/>
        <color rgb="FFFFEB84"/>
        <color rgb="FFF8696B"/>
      </colorScale>
    </cfRule>
    <cfRule type="colorScale" priority="9737">
      <colorScale>
        <cfvo type="min"/>
        <cfvo type="percentile" val="50"/>
        <cfvo type="max"/>
        <color rgb="FF63BE7B"/>
        <color rgb="FFFFEB84"/>
        <color rgb="FFF8696B"/>
      </colorScale>
    </cfRule>
    <cfRule type="colorScale" priority="9738">
      <colorScale>
        <cfvo type="min"/>
        <cfvo type="percentile" val="50"/>
        <cfvo type="max"/>
        <color rgb="FF63BE7B"/>
        <color rgb="FFFFEB84"/>
        <color rgb="FFF8696B"/>
      </colorScale>
    </cfRule>
    <cfRule type="colorScale" priority="8617">
      <colorScale>
        <cfvo type="min"/>
        <cfvo type="percentile" val="50"/>
        <cfvo type="max"/>
        <color rgb="FF63BE7B"/>
        <color rgb="FFFFEB84"/>
        <color rgb="FFF8696B"/>
      </colorScale>
    </cfRule>
    <cfRule type="colorScale" priority="9746">
      <colorScale>
        <cfvo type="min"/>
        <cfvo type="percentile" val="50"/>
        <cfvo type="max"/>
        <color rgb="FF63BE7B"/>
        <color rgb="FFFFEB84"/>
        <color rgb="FFF8696B"/>
      </colorScale>
    </cfRule>
    <cfRule type="colorScale" priority="9747">
      <colorScale>
        <cfvo type="min"/>
        <cfvo type="percentile" val="50"/>
        <cfvo type="max"/>
        <color rgb="FF63BE7B"/>
        <color rgb="FFFFEB84"/>
        <color rgb="FFF8696B"/>
      </colorScale>
    </cfRule>
    <cfRule type="colorScale" priority="9748">
      <colorScale>
        <cfvo type="min"/>
        <cfvo type="percentile" val="50"/>
        <cfvo type="max"/>
        <color rgb="FF63BE7B"/>
        <color rgb="FFFFEB84"/>
        <color rgb="FFF8696B"/>
      </colorScale>
    </cfRule>
    <cfRule type="colorScale" priority="9749">
      <colorScale>
        <cfvo type="min"/>
        <cfvo type="percentile" val="50"/>
        <cfvo type="max"/>
        <color rgb="FF63BE7B"/>
        <color rgb="FFFFEB84"/>
        <color rgb="FFF8696B"/>
      </colorScale>
    </cfRule>
    <cfRule type="colorScale" priority="9750">
      <colorScale>
        <cfvo type="min"/>
        <cfvo type="percentile" val="50"/>
        <cfvo type="max"/>
        <color rgb="FF63BE7B"/>
        <color rgb="FFFFEB84"/>
        <color rgb="FFF8696B"/>
      </colorScale>
    </cfRule>
    <cfRule type="colorScale" priority="8618">
      <colorScale>
        <cfvo type="min"/>
        <cfvo type="percentile" val="50"/>
        <cfvo type="max"/>
        <color rgb="FF63BE7B"/>
        <color rgb="FFFFEB84"/>
        <color rgb="FFF8696B"/>
      </colorScale>
    </cfRule>
    <cfRule type="colorScale" priority="8619">
      <colorScale>
        <cfvo type="min"/>
        <cfvo type="percentile" val="50"/>
        <cfvo type="max"/>
        <color rgb="FF63BE7B"/>
        <color rgb="FFFFEB84"/>
        <color rgb="FFF8696B"/>
      </colorScale>
    </cfRule>
    <cfRule type="colorScale" priority="8647">
      <colorScale>
        <cfvo type="min"/>
        <cfvo type="percentile" val="50"/>
        <cfvo type="max"/>
        <color rgb="FF63BE7B"/>
        <color rgb="FFFFEB84"/>
        <color rgb="FFF8696B"/>
      </colorScale>
    </cfRule>
    <cfRule type="colorScale" priority="8646">
      <colorScale>
        <cfvo type="min"/>
        <cfvo type="percentile" val="50"/>
        <cfvo type="max"/>
        <color rgb="FF63BE7B"/>
        <color rgb="FFFFEB84"/>
        <color rgb="FFF8696B"/>
      </colorScale>
    </cfRule>
    <cfRule type="colorScale" priority="8645">
      <colorScale>
        <cfvo type="min"/>
        <cfvo type="percentile" val="50"/>
        <cfvo type="max"/>
        <color rgb="FF63BE7B"/>
        <color rgb="FFFFEB84"/>
        <color rgb="FFF8696B"/>
      </colorScale>
    </cfRule>
    <cfRule type="colorScale" priority="8644">
      <colorScale>
        <cfvo type="min"/>
        <cfvo type="percentile" val="50"/>
        <cfvo type="max"/>
        <color rgb="FF63BE7B"/>
        <color rgb="FFFFEB84"/>
        <color rgb="FFF8696B"/>
      </colorScale>
    </cfRule>
    <cfRule type="colorScale" priority="8643">
      <colorScale>
        <cfvo type="min"/>
        <cfvo type="percentile" val="50"/>
        <cfvo type="max"/>
        <color rgb="FF63BE7B"/>
        <color rgb="FFFFEB84"/>
        <color rgb="FFF8696B"/>
      </colorScale>
    </cfRule>
    <cfRule type="colorScale" priority="8642">
      <colorScale>
        <cfvo type="min"/>
        <cfvo type="percentile" val="50"/>
        <cfvo type="max"/>
        <color rgb="FF63BE7B"/>
        <color rgb="FFFFEB84"/>
        <color rgb="FFF8696B"/>
      </colorScale>
    </cfRule>
    <cfRule type="colorScale" priority="8641">
      <colorScale>
        <cfvo type="min"/>
        <cfvo type="percentile" val="50"/>
        <cfvo type="max"/>
        <color rgb="FF63BE7B"/>
        <color rgb="FFFFEB84"/>
        <color rgb="FFF8696B"/>
      </colorScale>
    </cfRule>
    <cfRule type="colorScale" priority="8639">
      <colorScale>
        <cfvo type="min"/>
        <cfvo type="percentile" val="50"/>
        <cfvo type="max"/>
        <color rgb="FF63BE7B"/>
        <color rgb="FFFFEB84"/>
        <color rgb="FFF8696B"/>
      </colorScale>
    </cfRule>
    <cfRule type="colorScale" priority="8638">
      <colorScale>
        <cfvo type="min"/>
        <cfvo type="percentile" val="50"/>
        <cfvo type="max"/>
        <color rgb="FF63BE7B"/>
        <color rgb="FFFFEB84"/>
        <color rgb="FFF8696B"/>
      </colorScale>
    </cfRule>
    <cfRule type="colorScale" priority="8637">
      <colorScale>
        <cfvo type="min"/>
        <cfvo type="percentile" val="50"/>
        <cfvo type="max"/>
        <color rgb="FF63BE7B"/>
        <color rgb="FFFFEB84"/>
        <color rgb="FFF8696B"/>
      </colorScale>
    </cfRule>
    <cfRule type="colorScale" priority="8636">
      <colorScale>
        <cfvo type="min"/>
        <cfvo type="percentile" val="50"/>
        <cfvo type="max"/>
        <color rgb="FF63BE7B"/>
        <color rgb="FFFFEB84"/>
        <color rgb="FFF8696B"/>
      </colorScale>
    </cfRule>
    <cfRule type="colorScale" priority="8620">
      <colorScale>
        <cfvo type="min"/>
        <cfvo type="percentile" val="50"/>
        <cfvo type="max"/>
        <color rgb="FF63BE7B"/>
        <color rgb="FFFFEB84"/>
        <color rgb="FFF8696B"/>
      </colorScale>
    </cfRule>
    <cfRule type="colorScale" priority="8634">
      <colorScale>
        <cfvo type="min"/>
        <cfvo type="percentile" val="50"/>
        <cfvo type="max"/>
        <color rgb="FF63BE7B"/>
        <color rgb="FFFFEB84"/>
        <color rgb="FFF8696B"/>
      </colorScale>
    </cfRule>
    <cfRule type="colorScale" priority="8633">
      <colorScale>
        <cfvo type="min"/>
        <cfvo type="percentile" val="50"/>
        <cfvo type="max"/>
        <color rgb="FF63BE7B"/>
        <color rgb="FFFFEB84"/>
        <color rgb="FFF8696B"/>
      </colorScale>
    </cfRule>
    <cfRule type="colorScale" priority="8632">
      <colorScale>
        <cfvo type="min"/>
        <cfvo type="percentile" val="50"/>
        <cfvo type="max"/>
        <color rgb="FF63BE7B"/>
        <color rgb="FFFFEB84"/>
        <color rgb="FFF8696B"/>
      </colorScale>
    </cfRule>
    <cfRule type="colorScale" priority="8631">
      <colorScale>
        <cfvo type="min"/>
        <cfvo type="percentile" val="50"/>
        <cfvo type="max"/>
        <color rgb="FF63BE7B"/>
        <color rgb="FFFFEB84"/>
        <color rgb="FFF8696B"/>
      </colorScale>
    </cfRule>
    <cfRule type="colorScale" priority="8630">
      <colorScale>
        <cfvo type="min"/>
        <cfvo type="percentile" val="50"/>
        <cfvo type="max"/>
        <color rgb="FF63BE7B"/>
        <color rgb="FFFFEB84"/>
        <color rgb="FFF8696B"/>
      </colorScale>
    </cfRule>
    <cfRule type="colorScale" priority="10701">
      <colorScale>
        <cfvo type="min"/>
        <cfvo type="percentile" val="50"/>
        <cfvo type="max"/>
        <color rgb="FF63BE7B"/>
        <color rgb="FFFFEB84"/>
        <color rgb="FFF8696B"/>
      </colorScale>
    </cfRule>
  </conditionalFormatting>
  <conditionalFormatting sqref="AQ36:AQ37">
    <cfRule type="colorScale" priority="9743">
      <colorScale>
        <cfvo type="min"/>
        <cfvo type="percentile" val="50"/>
        <cfvo type="max"/>
        <color rgb="FF63BE7B"/>
        <color rgb="FFFFEB84"/>
        <color rgb="FFF8696B"/>
      </colorScale>
    </cfRule>
    <cfRule type="colorScale" priority="8652">
      <colorScale>
        <cfvo type="min"/>
        <cfvo type="percentile" val="50"/>
        <cfvo type="max"/>
        <color rgb="FF63BE7B"/>
        <color rgb="FFFFEB84"/>
        <color rgb="FFF8696B"/>
      </colorScale>
    </cfRule>
    <cfRule type="colorScale" priority="8625">
      <colorScale>
        <cfvo type="min"/>
        <cfvo type="percentile" val="50"/>
        <cfvo type="max"/>
        <color rgb="FF63BE7B"/>
        <color rgb="FFFFEB84"/>
        <color rgb="FFF8696B"/>
      </colorScale>
    </cfRule>
  </conditionalFormatting>
  <conditionalFormatting sqref="AQ36:AQ38 N36:N38 N40:N41 AC36:AC38 AC40:AC41 AQ40:AQ41">
    <cfRule type="colorScale" priority="11321">
      <colorScale>
        <cfvo type="min"/>
        <cfvo type="percentile" val="50"/>
        <cfvo type="max"/>
        <color rgb="FF63BE7B"/>
        <color rgb="FFFFEB84"/>
        <color rgb="FFF8696B"/>
      </colorScale>
    </cfRule>
    <cfRule type="colorScale" priority="11320">
      <colorScale>
        <cfvo type="min"/>
        <cfvo type="percentile" val="50"/>
        <cfvo type="max"/>
        <color rgb="FF63BE7B"/>
        <color rgb="FFFFEB84"/>
        <color rgb="FFF8696B"/>
      </colorScale>
    </cfRule>
    <cfRule type="colorScale" priority="11319">
      <colorScale>
        <cfvo type="min"/>
        <cfvo type="percentile" val="50"/>
        <cfvo type="max"/>
        <color rgb="FF63BE7B"/>
        <color rgb="FFFFEB84"/>
        <color rgb="FFF8696B"/>
      </colorScale>
    </cfRule>
    <cfRule type="colorScale" priority="11318">
      <colorScale>
        <cfvo type="min"/>
        <cfvo type="percentile" val="50"/>
        <cfvo type="max"/>
        <color rgb="FF63BE7B"/>
        <color rgb="FFFFEB84"/>
        <color rgb="FFF8696B"/>
      </colorScale>
    </cfRule>
  </conditionalFormatting>
  <conditionalFormatting sqref="AQ36:AQ41">
    <cfRule type="colorScale" priority="8662">
      <colorScale>
        <cfvo type="min"/>
        <cfvo type="percentile" val="50"/>
        <cfvo type="max"/>
        <color rgb="FF63BE7B"/>
        <color rgb="FFFFEB84"/>
        <color rgb="FFF8696B"/>
      </colorScale>
    </cfRule>
    <cfRule type="colorScale" priority="13082">
      <colorScale>
        <cfvo type="min"/>
        <cfvo type="percentile" val="50"/>
        <cfvo type="max"/>
        <color rgb="FF63BE7B"/>
        <color rgb="FFFFEB84"/>
        <color rgb="FFF8696B"/>
      </colorScale>
    </cfRule>
    <cfRule type="colorScale" priority="8635">
      <colorScale>
        <cfvo type="min"/>
        <cfvo type="percentile" val="50"/>
        <cfvo type="max"/>
        <color rgb="FF63BE7B"/>
        <color rgb="FFFFEB84"/>
        <color rgb="FFF8696B"/>
      </colorScale>
    </cfRule>
    <cfRule type="colorScale" priority="9753">
      <colorScale>
        <cfvo type="min"/>
        <cfvo type="percentile" val="50"/>
        <cfvo type="max"/>
        <color rgb="FF63BE7B"/>
        <color rgb="FFFFEB84"/>
        <color rgb="FFF8696B"/>
      </colorScale>
    </cfRule>
  </conditionalFormatting>
  <conditionalFormatting sqref="AQ42:AQ50">
    <cfRule type="colorScale" priority="7432">
      <colorScale>
        <cfvo type="min"/>
        <cfvo type="percentile" val="50"/>
        <cfvo type="max"/>
        <color rgb="FF63BE7B"/>
        <color rgb="FFFFEB84"/>
        <color rgb="FFF8696B"/>
      </colorScale>
    </cfRule>
    <cfRule type="colorScale" priority="12948">
      <colorScale>
        <cfvo type="min"/>
        <cfvo type="percentile" val="50"/>
        <cfvo type="max"/>
        <color rgb="FF63BE7B"/>
        <color rgb="FFFFEB84"/>
        <color rgb="FFF8696B"/>
      </colorScale>
    </cfRule>
  </conditionalFormatting>
  <conditionalFormatting sqref="AQ51:AQ53">
    <cfRule type="colorScale" priority="3701">
      <colorScale>
        <cfvo type="min"/>
        <cfvo type="percentile" val="50"/>
        <cfvo type="max"/>
        <color rgb="FF63BE7B"/>
        <color rgb="FFFFEB84"/>
        <color rgb="FFF8696B"/>
      </colorScale>
    </cfRule>
    <cfRule type="colorScale" priority="3700">
      <colorScale>
        <cfvo type="min"/>
        <cfvo type="percentile" val="50"/>
        <cfvo type="max"/>
        <color rgb="FF63BE7B"/>
        <color rgb="FFFFEB84"/>
        <color rgb="FFF8696B"/>
      </colorScale>
    </cfRule>
    <cfRule type="colorScale" priority="12857">
      <colorScale>
        <cfvo type="min"/>
        <cfvo type="percentile" val="50"/>
        <cfvo type="max"/>
        <color rgb="FF63BE7B"/>
        <color rgb="FFFFEB84"/>
        <color rgb="FFF8696B"/>
      </colorScale>
    </cfRule>
    <cfRule type="colorScale" priority="12856">
      <colorScale>
        <cfvo type="min"/>
        <cfvo type="percentile" val="50"/>
        <cfvo type="max"/>
        <color rgb="FF63BE7B"/>
        <color rgb="FFFFEB84"/>
        <color rgb="FFF8696B"/>
      </colorScale>
    </cfRule>
    <cfRule type="colorScale" priority="3673">
      <colorScale>
        <cfvo type="min"/>
        <cfvo type="percentile" val="50"/>
        <cfvo type="max"/>
        <color rgb="FF63BE7B"/>
        <color rgb="FFFFEB84"/>
        <color rgb="FFF8696B"/>
      </colorScale>
    </cfRule>
    <cfRule type="colorScale" priority="12859">
      <colorScale>
        <cfvo type="min"/>
        <cfvo type="percentile" val="50"/>
        <cfvo type="max"/>
        <color rgb="FF63BE7B"/>
        <color rgb="FFFFEB84"/>
        <color rgb="FFF8696B"/>
      </colorScale>
    </cfRule>
    <cfRule type="colorScale" priority="12858">
      <colorScale>
        <cfvo type="min"/>
        <cfvo type="percentile" val="50"/>
        <cfvo type="max"/>
        <color rgb="FF63BE7B"/>
        <color rgb="FFFFEB84"/>
        <color rgb="FFF8696B"/>
      </colorScale>
    </cfRule>
  </conditionalFormatting>
  <conditionalFormatting sqref="AQ52 N52 AC52">
    <cfRule type="colorScale" priority="7095">
      <colorScale>
        <cfvo type="min"/>
        <cfvo type="percentile" val="50"/>
        <cfvo type="max"/>
        <color rgb="FF63BE7B"/>
        <color rgb="FFFFEB84"/>
        <color rgb="FFF8696B"/>
      </colorScale>
    </cfRule>
    <cfRule type="colorScale" priority="7094">
      <colorScale>
        <cfvo type="min"/>
        <cfvo type="percentile" val="50"/>
        <cfvo type="max"/>
        <color rgb="FF63BE7B"/>
        <color rgb="FFFFEB84"/>
        <color rgb="FFF8696B"/>
      </colorScale>
    </cfRule>
    <cfRule type="colorScale" priority="7096">
      <colorScale>
        <cfvo type="min"/>
        <cfvo type="percentile" val="50"/>
        <cfvo type="max"/>
        <color rgb="FF63BE7B"/>
        <color rgb="FFFFEB84"/>
        <color rgb="FFF8696B"/>
      </colorScale>
    </cfRule>
    <cfRule type="colorScale" priority="7097">
      <colorScale>
        <cfvo type="min"/>
        <cfvo type="percentile" val="50"/>
        <cfvo type="max"/>
        <color rgb="FF63BE7B"/>
        <color rgb="FFFFEB84"/>
        <color rgb="FFF8696B"/>
      </colorScale>
    </cfRule>
  </conditionalFormatting>
  <conditionalFormatting sqref="AQ52:AQ53">
    <cfRule type="colorScale" priority="5971">
      <colorScale>
        <cfvo type="min"/>
        <cfvo type="percentile" val="50"/>
        <cfvo type="max"/>
        <color rgb="FF63BE7B"/>
        <color rgb="FFFFEB84"/>
        <color rgb="FFF8696B"/>
      </colorScale>
    </cfRule>
    <cfRule type="colorScale" priority="5970">
      <colorScale>
        <cfvo type="min"/>
        <cfvo type="percentile" val="50"/>
        <cfvo type="max"/>
        <color rgb="FF63BE7B"/>
        <color rgb="FFFFEB84"/>
        <color rgb="FFF8696B"/>
      </colorScale>
    </cfRule>
    <cfRule type="colorScale" priority="5969">
      <colorScale>
        <cfvo type="min"/>
        <cfvo type="percentile" val="50"/>
        <cfvo type="max"/>
        <color rgb="FF63BE7B"/>
        <color rgb="FFFFEB84"/>
        <color rgb="FFF8696B"/>
      </colorScale>
    </cfRule>
    <cfRule type="colorScale" priority="5968">
      <colorScale>
        <cfvo type="min"/>
        <cfvo type="percentile" val="50"/>
        <cfvo type="max"/>
        <color rgb="FF63BE7B"/>
        <color rgb="FFFFEB84"/>
        <color rgb="FFF8696B"/>
      </colorScale>
    </cfRule>
    <cfRule type="colorScale" priority="5967">
      <colorScale>
        <cfvo type="min"/>
        <cfvo type="percentile" val="50"/>
        <cfvo type="max"/>
        <color rgb="FF63BE7B"/>
        <color rgb="FFFFEB84"/>
        <color rgb="FFF8696B"/>
      </colorScale>
    </cfRule>
    <cfRule type="colorScale" priority="5966">
      <colorScale>
        <cfvo type="min"/>
        <cfvo type="percentile" val="50"/>
        <cfvo type="max"/>
        <color rgb="FF63BE7B"/>
        <color rgb="FFFFEB84"/>
        <color rgb="FFF8696B"/>
      </colorScale>
    </cfRule>
    <cfRule type="colorScale" priority="5965">
      <colorScale>
        <cfvo type="min"/>
        <cfvo type="percentile" val="50"/>
        <cfvo type="max"/>
        <color rgb="FF63BE7B"/>
        <color rgb="FFFFEB84"/>
        <color rgb="FFF8696B"/>
      </colorScale>
    </cfRule>
    <cfRule type="colorScale" priority="5964">
      <colorScale>
        <cfvo type="min"/>
        <cfvo type="percentile" val="50"/>
        <cfvo type="max"/>
        <color rgb="FF63BE7B"/>
        <color rgb="FFFFEB84"/>
        <color rgb="FFF8696B"/>
      </colorScale>
    </cfRule>
    <cfRule type="colorScale" priority="5963">
      <colorScale>
        <cfvo type="min"/>
        <cfvo type="percentile" val="50"/>
        <cfvo type="max"/>
        <color rgb="FF63BE7B"/>
        <color rgb="FFFFEB84"/>
        <color rgb="FFF8696B"/>
      </colorScale>
    </cfRule>
    <cfRule type="colorScale" priority="5962">
      <colorScale>
        <cfvo type="min"/>
        <cfvo type="percentile" val="50"/>
        <cfvo type="max"/>
        <color rgb="FF63BE7B"/>
        <color rgb="FFFFEB84"/>
        <color rgb="FFF8696B"/>
      </colorScale>
    </cfRule>
    <cfRule type="colorScale" priority="5961">
      <colorScale>
        <cfvo type="min"/>
        <cfvo type="percentile" val="50"/>
        <cfvo type="max"/>
        <color rgb="FF63BE7B"/>
        <color rgb="FFFFEB84"/>
        <color rgb="FFF8696B"/>
      </colorScale>
    </cfRule>
    <cfRule type="colorScale" priority="5960">
      <colorScale>
        <cfvo type="min"/>
        <cfvo type="percentile" val="50"/>
        <cfvo type="max"/>
        <color rgb="FF63BE7B"/>
        <color rgb="FFFFEB84"/>
        <color rgb="FFF8696B"/>
      </colorScale>
    </cfRule>
    <cfRule type="colorScale" priority="5959">
      <colorScale>
        <cfvo type="min"/>
        <cfvo type="percentile" val="50"/>
        <cfvo type="max"/>
        <color rgb="FF63BE7B"/>
        <color rgb="FFFFEB84"/>
        <color rgb="FFF8696B"/>
      </colorScale>
    </cfRule>
    <cfRule type="colorScale" priority="5958">
      <colorScale>
        <cfvo type="min"/>
        <cfvo type="percentile" val="50"/>
        <cfvo type="max"/>
        <color rgb="FF63BE7B"/>
        <color rgb="FFFFEB84"/>
        <color rgb="FFF8696B"/>
      </colorScale>
    </cfRule>
    <cfRule type="colorScale" priority="5956">
      <colorScale>
        <cfvo type="min"/>
        <cfvo type="percentile" val="50"/>
        <cfvo type="max"/>
        <color rgb="FF63BE7B"/>
        <color rgb="FFFFEB84"/>
        <color rgb="FFF8696B"/>
      </colorScale>
    </cfRule>
    <cfRule type="colorScale" priority="3699">
      <colorScale>
        <cfvo type="min"/>
        <cfvo type="percentile" val="50"/>
        <cfvo type="max"/>
        <color rgb="FF63BE7B"/>
        <color rgb="FFFFEB84"/>
        <color rgb="FFF8696B"/>
      </colorScale>
    </cfRule>
    <cfRule type="colorScale" priority="3698">
      <colorScale>
        <cfvo type="min"/>
        <cfvo type="percentile" val="50"/>
        <cfvo type="max"/>
        <color rgb="FF63BE7B"/>
        <color rgb="FFFFEB84"/>
        <color rgb="FFF8696B"/>
      </colorScale>
    </cfRule>
    <cfRule type="colorScale" priority="5465">
      <colorScale>
        <cfvo type="min"/>
        <cfvo type="percentile" val="50"/>
        <cfvo type="max"/>
        <color rgb="FF63BE7B"/>
        <color rgb="FFFFEB84"/>
        <color rgb="FFF8696B"/>
      </colorScale>
    </cfRule>
    <cfRule type="colorScale" priority="5464">
      <colorScale>
        <cfvo type="min"/>
        <cfvo type="percentile" val="50"/>
        <cfvo type="max"/>
        <color rgb="FF63BE7B"/>
        <color rgb="FFFFEB84"/>
        <color rgb="FFF8696B"/>
      </colorScale>
    </cfRule>
    <cfRule type="colorScale" priority="5463">
      <colorScale>
        <cfvo type="min"/>
        <cfvo type="percentile" val="50"/>
        <cfvo type="max"/>
        <color rgb="FF63BE7B"/>
        <color rgb="FFFFEB84"/>
        <color rgb="FFF8696B"/>
      </colorScale>
    </cfRule>
    <cfRule type="colorScale" priority="5462">
      <colorScale>
        <cfvo type="min"/>
        <cfvo type="percentile" val="50"/>
        <cfvo type="max"/>
        <color rgb="FF63BE7B"/>
        <color rgb="FFFFEB84"/>
        <color rgb="FFF8696B"/>
      </colorScale>
    </cfRule>
    <cfRule type="colorScale" priority="5461">
      <colorScale>
        <cfvo type="min"/>
        <cfvo type="percentile" val="50"/>
        <cfvo type="max"/>
        <color rgb="FF63BE7B"/>
        <color rgb="FFFFEB84"/>
        <color rgb="FFF8696B"/>
      </colorScale>
    </cfRule>
    <cfRule type="colorScale" priority="5460">
      <colorScale>
        <cfvo type="min"/>
        <cfvo type="percentile" val="50"/>
        <cfvo type="max"/>
        <color rgb="FF63BE7B"/>
        <color rgb="FFFFEB84"/>
        <color rgb="FFF8696B"/>
      </colorScale>
    </cfRule>
    <cfRule type="colorScale" priority="5459">
      <colorScale>
        <cfvo type="min"/>
        <cfvo type="percentile" val="50"/>
        <cfvo type="max"/>
        <color rgb="FF63BE7B"/>
        <color rgb="FFFFEB84"/>
        <color rgb="FFF8696B"/>
      </colorScale>
    </cfRule>
    <cfRule type="colorScale" priority="3697">
      <colorScale>
        <cfvo type="min"/>
        <cfvo type="percentile" val="50"/>
        <cfvo type="max"/>
        <color rgb="FF63BE7B"/>
        <color rgb="FFFFEB84"/>
        <color rgb="FFF8696B"/>
      </colorScale>
    </cfRule>
    <cfRule type="colorScale" priority="3696">
      <colorScale>
        <cfvo type="min"/>
        <cfvo type="percentile" val="50"/>
        <cfvo type="max"/>
        <color rgb="FF63BE7B"/>
        <color rgb="FFFFEB84"/>
        <color rgb="FFF8696B"/>
      </colorScale>
    </cfRule>
    <cfRule type="colorScale" priority="3695">
      <colorScale>
        <cfvo type="min"/>
        <cfvo type="percentile" val="50"/>
        <cfvo type="max"/>
        <color rgb="FF63BE7B"/>
        <color rgb="FFFFEB84"/>
        <color rgb="FFF8696B"/>
      </colorScale>
    </cfRule>
    <cfRule type="colorScale" priority="3694">
      <colorScale>
        <cfvo type="min"/>
        <cfvo type="percentile" val="50"/>
        <cfvo type="max"/>
        <color rgb="FF63BE7B"/>
        <color rgb="FFFFEB84"/>
        <color rgb="FFF8696B"/>
      </colorScale>
    </cfRule>
    <cfRule type="colorScale" priority="5457">
      <colorScale>
        <cfvo type="min"/>
        <cfvo type="percentile" val="50"/>
        <cfvo type="max"/>
        <color rgb="FF63BE7B"/>
        <color rgb="FFFFEB84"/>
        <color rgb="FFF8696B"/>
      </colorScale>
    </cfRule>
    <cfRule type="colorScale" priority="3693">
      <colorScale>
        <cfvo type="min"/>
        <cfvo type="percentile" val="50"/>
        <cfvo type="max"/>
        <color rgb="FF63BE7B"/>
        <color rgb="FFFFEB84"/>
        <color rgb="FFF8696B"/>
      </colorScale>
    </cfRule>
    <cfRule type="colorScale" priority="3692">
      <colorScale>
        <cfvo type="min"/>
        <cfvo type="percentile" val="50"/>
        <cfvo type="max"/>
        <color rgb="FF63BE7B"/>
        <color rgb="FFFFEB84"/>
        <color rgb="FFF8696B"/>
      </colorScale>
    </cfRule>
    <cfRule type="colorScale" priority="3691">
      <colorScale>
        <cfvo type="min"/>
        <cfvo type="percentile" val="50"/>
        <cfvo type="max"/>
        <color rgb="FF63BE7B"/>
        <color rgb="FFFFEB84"/>
        <color rgb="FFF8696B"/>
      </colorScale>
    </cfRule>
    <cfRule type="colorScale" priority="3690">
      <colorScale>
        <cfvo type="min"/>
        <cfvo type="percentile" val="50"/>
        <cfvo type="max"/>
        <color rgb="FF63BE7B"/>
        <color rgb="FFFFEB84"/>
        <color rgb="FFF8696B"/>
      </colorScale>
    </cfRule>
    <cfRule type="colorScale" priority="3689">
      <colorScale>
        <cfvo type="min"/>
        <cfvo type="percentile" val="50"/>
        <cfvo type="max"/>
        <color rgb="FF63BE7B"/>
        <color rgb="FFFFEB84"/>
        <color rgb="FFF8696B"/>
      </colorScale>
    </cfRule>
    <cfRule type="colorScale" priority="5458">
      <colorScale>
        <cfvo type="min"/>
        <cfvo type="percentile" val="50"/>
        <cfvo type="max"/>
        <color rgb="FF63BE7B"/>
        <color rgb="FFFFEB84"/>
        <color rgb="FFF8696B"/>
      </colorScale>
    </cfRule>
    <cfRule type="colorScale" priority="5467">
      <colorScale>
        <cfvo type="min"/>
        <cfvo type="percentile" val="50"/>
        <cfvo type="max"/>
        <color rgb="FF63BE7B"/>
        <color rgb="FFFFEB84"/>
        <color rgb="FFF8696B"/>
      </colorScale>
    </cfRule>
    <cfRule type="colorScale" priority="5468">
      <colorScale>
        <cfvo type="min"/>
        <cfvo type="percentile" val="50"/>
        <cfvo type="max"/>
        <color rgb="FF63BE7B"/>
        <color rgb="FFFFEB84"/>
        <color rgb="FFF8696B"/>
      </colorScale>
    </cfRule>
    <cfRule type="colorScale" priority="5470">
      <colorScale>
        <cfvo type="min"/>
        <cfvo type="percentile" val="50"/>
        <cfvo type="max"/>
        <color rgb="FF63BE7B"/>
        <color rgb="FFFFEB84"/>
        <color rgb="FFF8696B"/>
      </colorScale>
    </cfRule>
    <cfRule type="colorScale" priority="5472">
      <colorScale>
        <cfvo type="min"/>
        <cfvo type="percentile" val="50"/>
        <cfvo type="max"/>
        <color rgb="FF63BE7B"/>
        <color rgb="FFFFEB84"/>
        <color rgb="FFF8696B"/>
      </colorScale>
    </cfRule>
    <cfRule type="colorScale" priority="5473">
      <colorScale>
        <cfvo type="min"/>
        <cfvo type="percentile" val="50"/>
        <cfvo type="max"/>
        <color rgb="FF63BE7B"/>
        <color rgb="FFFFEB84"/>
        <color rgb="FFF8696B"/>
      </colorScale>
    </cfRule>
    <cfRule type="colorScale" priority="5474">
      <colorScale>
        <cfvo type="min"/>
        <cfvo type="percentile" val="50"/>
        <cfvo type="max"/>
        <color rgb="FF63BE7B"/>
        <color rgb="FFFFEB84"/>
        <color rgb="FFF8696B"/>
      </colorScale>
    </cfRule>
    <cfRule type="colorScale" priority="3687">
      <colorScale>
        <cfvo type="min"/>
        <cfvo type="percentile" val="50"/>
        <cfvo type="max"/>
        <color rgb="FF63BE7B"/>
        <color rgb="FFFFEB84"/>
        <color rgb="FFF8696B"/>
      </colorScale>
    </cfRule>
    <cfRule type="colorScale" priority="7143">
      <colorScale>
        <cfvo type="min"/>
        <cfvo type="percentile" val="50"/>
        <cfvo type="max"/>
        <color rgb="FF63BE7B"/>
        <color rgb="FFFFEB84"/>
        <color rgb="FFF8696B"/>
      </colorScale>
    </cfRule>
    <cfRule type="colorScale" priority="7142">
      <colorScale>
        <cfvo type="min"/>
        <cfvo type="percentile" val="50"/>
        <cfvo type="max"/>
        <color rgb="FF63BE7B"/>
        <color rgb="FFFFEB84"/>
        <color rgb="FFF8696B"/>
      </colorScale>
    </cfRule>
    <cfRule type="colorScale" priority="7141">
      <colorScale>
        <cfvo type="min"/>
        <cfvo type="percentile" val="50"/>
        <cfvo type="max"/>
        <color rgb="FF63BE7B"/>
        <color rgb="FFFFEB84"/>
        <color rgb="FFF8696B"/>
      </colorScale>
    </cfRule>
    <cfRule type="colorScale" priority="7140">
      <colorScale>
        <cfvo type="min"/>
        <cfvo type="percentile" val="50"/>
        <cfvo type="max"/>
        <color rgb="FF63BE7B"/>
        <color rgb="FFFFEB84"/>
        <color rgb="FFF8696B"/>
      </colorScale>
    </cfRule>
    <cfRule type="colorScale" priority="3686">
      <colorScale>
        <cfvo type="min"/>
        <cfvo type="percentile" val="50"/>
        <cfvo type="max"/>
        <color rgb="FF63BE7B"/>
        <color rgb="FFFFEB84"/>
        <color rgb="FFF8696B"/>
      </colorScale>
    </cfRule>
    <cfRule type="colorScale" priority="3685">
      <colorScale>
        <cfvo type="min"/>
        <cfvo type="percentile" val="50"/>
        <cfvo type="max"/>
        <color rgb="FF63BE7B"/>
        <color rgb="FFFFEB84"/>
        <color rgb="FFF8696B"/>
      </colorScale>
    </cfRule>
    <cfRule type="colorScale" priority="3684">
      <colorScale>
        <cfvo type="min"/>
        <cfvo type="percentile" val="50"/>
        <cfvo type="max"/>
        <color rgb="FF63BE7B"/>
        <color rgb="FFFFEB84"/>
        <color rgb="FFF8696B"/>
      </colorScale>
    </cfRule>
    <cfRule type="colorScale" priority="3683">
      <colorScale>
        <cfvo type="min"/>
        <cfvo type="percentile" val="50"/>
        <cfvo type="max"/>
        <color rgb="FF63BE7B"/>
        <color rgb="FFFFEB84"/>
        <color rgb="FFF8696B"/>
      </colorScale>
    </cfRule>
    <cfRule type="colorScale" priority="5469">
      <colorScale>
        <cfvo type="min"/>
        <cfvo type="percentile" val="50"/>
        <cfvo type="max"/>
        <color rgb="FF63BE7B"/>
        <color rgb="FFFFEB84"/>
        <color rgb="FFF8696B"/>
      </colorScale>
    </cfRule>
    <cfRule type="colorScale" priority="5456">
      <colorScale>
        <cfvo type="min"/>
        <cfvo type="percentile" val="50"/>
        <cfvo type="max"/>
        <color rgb="FF63BE7B"/>
        <color rgb="FFFFEB84"/>
        <color rgb="FFF8696B"/>
      </colorScale>
    </cfRule>
    <cfRule type="colorScale" priority="3681">
      <colorScale>
        <cfvo type="min"/>
        <cfvo type="percentile" val="50"/>
        <cfvo type="max"/>
        <color rgb="FF63BE7B"/>
        <color rgb="FFFFEB84"/>
        <color rgb="FFF8696B"/>
      </colorScale>
    </cfRule>
    <cfRule type="colorScale" priority="6622">
      <colorScale>
        <cfvo type="min"/>
        <cfvo type="percentile" val="50"/>
        <cfvo type="max"/>
        <color rgb="FF63BE7B"/>
        <color rgb="FFFFEB84"/>
        <color rgb="FFF8696B"/>
      </colorScale>
    </cfRule>
    <cfRule type="colorScale" priority="6621">
      <colorScale>
        <cfvo type="min"/>
        <cfvo type="percentile" val="50"/>
        <cfvo type="max"/>
        <color rgb="FF63BE7B"/>
        <color rgb="FFFFEB84"/>
        <color rgb="FFF8696B"/>
      </colorScale>
    </cfRule>
    <cfRule type="colorScale" priority="6620">
      <colorScale>
        <cfvo type="min"/>
        <cfvo type="percentile" val="50"/>
        <cfvo type="max"/>
        <color rgb="FF63BE7B"/>
        <color rgb="FFFFEB84"/>
        <color rgb="FFF8696B"/>
      </colorScale>
    </cfRule>
    <cfRule type="colorScale" priority="5482">
      <colorScale>
        <cfvo type="min"/>
        <cfvo type="percentile" val="50"/>
        <cfvo type="max"/>
        <color rgb="FF63BE7B"/>
        <color rgb="FFFFEB84"/>
        <color rgb="FFF8696B"/>
      </colorScale>
    </cfRule>
    <cfRule type="colorScale" priority="6618">
      <colorScale>
        <cfvo type="min"/>
        <cfvo type="percentile" val="50"/>
        <cfvo type="max"/>
        <color rgb="FF63BE7B"/>
        <color rgb="FFFFEB84"/>
        <color rgb="FFF8696B"/>
      </colorScale>
    </cfRule>
    <cfRule type="colorScale" priority="6617">
      <colorScale>
        <cfvo type="min"/>
        <cfvo type="percentile" val="50"/>
        <cfvo type="max"/>
        <color rgb="FF63BE7B"/>
        <color rgb="FFFFEB84"/>
        <color rgb="FFF8696B"/>
      </colorScale>
    </cfRule>
    <cfRule type="colorScale" priority="6616">
      <colorScale>
        <cfvo type="min"/>
        <cfvo type="percentile" val="50"/>
        <cfvo type="max"/>
        <color rgb="FF63BE7B"/>
        <color rgb="FFFFEB84"/>
        <color rgb="FFF8696B"/>
      </colorScale>
    </cfRule>
    <cfRule type="colorScale" priority="6615">
      <colorScale>
        <cfvo type="min"/>
        <cfvo type="percentile" val="50"/>
        <cfvo type="max"/>
        <color rgb="FF63BE7B"/>
        <color rgb="FFFFEB84"/>
        <color rgb="FFF8696B"/>
      </colorScale>
    </cfRule>
    <cfRule type="colorScale" priority="6614">
      <colorScale>
        <cfvo type="min"/>
        <cfvo type="percentile" val="50"/>
        <cfvo type="max"/>
        <color rgb="FF63BE7B"/>
        <color rgb="FFFFEB84"/>
        <color rgb="FFF8696B"/>
      </colorScale>
    </cfRule>
    <cfRule type="colorScale" priority="6613">
      <colorScale>
        <cfvo type="min"/>
        <cfvo type="percentile" val="50"/>
        <cfvo type="max"/>
        <color rgb="FF63BE7B"/>
        <color rgb="FFFFEB84"/>
        <color rgb="FFF8696B"/>
      </colorScale>
    </cfRule>
    <cfRule type="colorScale" priority="6612">
      <colorScale>
        <cfvo type="min"/>
        <cfvo type="percentile" val="50"/>
        <cfvo type="max"/>
        <color rgb="FF63BE7B"/>
        <color rgb="FFFFEB84"/>
        <color rgb="FFF8696B"/>
      </colorScale>
    </cfRule>
    <cfRule type="colorScale" priority="6611">
      <colorScale>
        <cfvo type="min"/>
        <cfvo type="percentile" val="50"/>
        <cfvo type="max"/>
        <color rgb="FF63BE7B"/>
        <color rgb="FFFFEB84"/>
        <color rgb="FFF8696B"/>
      </colorScale>
    </cfRule>
    <cfRule type="colorScale" priority="6610">
      <colorScale>
        <cfvo type="min"/>
        <cfvo type="percentile" val="50"/>
        <cfvo type="max"/>
        <color rgb="FF63BE7B"/>
        <color rgb="FFFFEB84"/>
        <color rgb="FFF8696B"/>
      </colorScale>
    </cfRule>
    <cfRule type="colorScale" priority="6609">
      <colorScale>
        <cfvo type="min"/>
        <cfvo type="percentile" val="50"/>
        <cfvo type="max"/>
        <color rgb="FF63BE7B"/>
        <color rgb="FFFFEB84"/>
        <color rgb="FFF8696B"/>
      </colorScale>
    </cfRule>
    <cfRule type="colorScale" priority="6608">
      <colorScale>
        <cfvo type="min"/>
        <cfvo type="percentile" val="50"/>
        <cfvo type="max"/>
        <color rgb="FF63BE7B"/>
        <color rgb="FFFFEB84"/>
        <color rgb="FFF8696B"/>
      </colorScale>
    </cfRule>
    <cfRule type="colorScale" priority="5488">
      <colorScale>
        <cfvo type="min"/>
        <cfvo type="percentile" val="50"/>
        <cfvo type="max"/>
        <color rgb="FF63BE7B"/>
        <color rgb="FFFFEB84"/>
        <color rgb="FFF8696B"/>
      </colorScale>
    </cfRule>
    <cfRule type="colorScale" priority="3682">
      <colorScale>
        <cfvo type="min"/>
        <cfvo type="percentile" val="50"/>
        <cfvo type="max"/>
        <color rgb="FF63BE7B"/>
        <color rgb="FFFFEB84"/>
        <color rgb="FFF8696B"/>
      </colorScale>
    </cfRule>
    <cfRule type="colorScale" priority="5471">
      <colorScale>
        <cfvo type="min"/>
        <cfvo type="percentile" val="50"/>
        <cfvo type="max"/>
        <color rgb="FF63BE7B"/>
        <color rgb="FFFFEB84"/>
        <color rgb="FFF8696B"/>
      </colorScale>
    </cfRule>
    <cfRule type="colorScale" priority="5481">
      <colorScale>
        <cfvo type="min"/>
        <cfvo type="percentile" val="50"/>
        <cfvo type="max"/>
        <color rgb="FF63BE7B"/>
        <color rgb="FFFFEB84"/>
        <color rgb="FFF8696B"/>
      </colorScale>
    </cfRule>
    <cfRule type="colorScale" priority="5485">
      <colorScale>
        <cfvo type="min"/>
        <cfvo type="percentile" val="50"/>
        <cfvo type="max"/>
        <color rgb="FF63BE7B"/>
        <color rgb="FFFFEB84"/>
        <color rgb="FFF8696B"/>
      </colorScale>
    </cfRule>
    <cfRule type="colorScale" priority="5489">
      <colorScale>
        <cfvo type="min"/>
        <cfvo type="percentile" val="50"/>
        <cfvo type="max"/>
        <color rgb="FF63BE7B"/>
        <color rgb="FFFFEB84"/>
        <color rgb="FFF8696B"/>
      </colorScale>
    </cfRule>
    <cfRule type="colorScale" priority="5490">
      <colorScale>
        <cfvo type="min"/>
        <cfvo type="percentile" val="50"/>
        <cfvo type="max"/>
        <color rgb="FF63BE7B"/>
        <color rgb="FFFFEB84"/>
        <color rgb="FFF8696B"/>
      </colorScale>
    </cfRule>
    <cfRule type="colorScale" priority="5486">
      <colorScale>
        <cfvo type="min"/>
        <cfvo type="percentile" val="50"/>
        <cfvo type="max"/>
        <color rgb="FF63BE7B"/>
        <color rgb="FFFFEB84"/>
        <color rgb="FFF8696B"/>
      </colorScale>
    </cfRule>
    <cfRule type="colorScale" priority="5491">
      <colorScale>
        <cfvo type="min"/>
        <cfvo type="percentile" val="50"/>
        <cfvo type="max"/>
        <color rgb="FF63BE7B"/>
        <color rgb="FFFFEB84"/>
        <color rgb="FFF8696B"/>
      </colorScale>
    </cfRule>
    <cfRule type="colorScale" priority="3674">
      <colorScale>
        <cfvo type="min"/>
        <cfvo type="percentile" val="50"/>
        <cfvo type="max"/>
        <color rgb="FF63BE7B"/>
        <color rgb="FFFFEB84"/>
        <color rgb="FFF8696B"/>
      </colorScale>
    </cfRule>
    <cfRule type="colorScale" priority="3675">
      <colorScale>
        <cfvo type="min"/>
        <cfvo type="percentile" val="50"/>
        <cfvo type="max"/>
        <color rgb="FF63BE7B"/>
        <color rgb="FFFFEB84"/>
        <color rgb="FFF8696B"/>
      </colorScale>
    </cfRule>
    <cfRule type="colorScale" priority="3676">
      <colorScale>
        <cfvo type="min"/>
        <cfvo type="percentile" val="50"/>
        <cfvo type="max"/>
        <color rgb="FF63BE7B"/>
        <color rgb="FFFFEB84"/>
        <color rgb="FFF8696B"/>
      </colorScale>
    </cfRule>
    <cfRule type="colorScale" priority="3677">
      <colorScale>
        <cfvo type="min"/>
        <cfvo type="percentile" val="50"/>
        <cfvo type="max"/>
        <color rgb="FF63BE7B"/>
        <color rgb="FFFFEB84"/>
        <color rgb="FFF8696B"/>
      </colorScale>
    </cfRule>
    <cfRule type="colorScale" priority="5480">
      <colorScale>
        <cfvo type="min"/>
        <cfvo type="percentile" val="50"/>
        <cfvo type="max"/>
        <color rgb="FF63BE7B"/>
        <color rgb="FFFFEB84"/>
        <color rgb="FFF8696B"/>
      </colorScale>
    </cfRule>
    <cfRule type="colorScale" priority="3678">
      <colorScale>
        <cfvo type="min"/>
        <cfvo type="percentile" val="50"/>
        <cfvo type="max"/>
        <color rgb="FF63BE7B"/>
        <color rgb="FFFFEB84"/>
        <color rgb="FFF8696B"/>
      </colorScale>
    </cfRule>
    <cfRule type="colorScale" priority="3679">
      <colorScale>
        <cfvo type="min"/>
        <cfvo type="percentile" val="50"/>
        <cfvo type="max"/>
        <color rgb="FF63BE7B"/>
        <color rgb="FFFFEB84"/>
        <color rgb="FFF8696B"/>
      </colorScale>
    </cfRule>
    <cfRule type="colorScale" priority="3680">
      <colorScale>
        <cfvo type="min"/>
        <cfvo type="percentile" val="50"/>
        <cfvo type="max"/>
        <color rgb="FF63BE7B"/>
        <color rgb="FFFFEB84"/>
        <color rgb="FFF8696B"/>
      </colorScale>
    </cfRule>
    <cfRule type="colorScale" priority="5957">
      <colorScale>
        <cfvo type="min"/>
        <cfvo type="percentile" val="50"/>
        <cfvo type="max"/>
        <color rgb="FF63BE7B"/>
        <color rgb="FFFFEB84"/>
        <color rgb="FFF8696B"/>
      </colorScale>
    </cfRule>
    <cfRule type="colorScale" priority="5974">
      <colorScale>
        <cfvo type="min"/>
        <cfvo type="percentile" val="50"/>
        <cfvo type="max"/>
        <color rgb="FF63BE7B"/>
        <color rgb="FFFFEB84"/>
        <color rgb="FFF8696B"/>
      </colorScale>
    </cfRule>
    <cfRule type="colorScale" priority="6619">
      <colorScale>
        <cfvo type="min"/>
        <cfvo type="percentile" val="50"/>
        <cfvo type="max"/>
        <color rgb="FF63BE7B"/>
        <color rgb="FFFFEB84"/>
        <color rgb="FFF8696B"/>
      </colorScale>
    </cfRule>
    <cfRule type="colorScale" priority="5479">
      <colorScale>
        <cfvo type="min"/>
        <cfvo type="percentile" val="50"/>
        <cfvo type="max"/>
        <color rgb="FF63BE7B"/>
        <color rgb="FFFFEB84"/>
        <color rgb="FFF8696B"/>
      </colorScale>
    </cfRule>
    <cfRule type="colorScale" priority="5478">
      <colorScale>
        <cfvo type="min"/>
        <cfvo type="percentile" val="50"/>
        <cfvo type="max"/>
        <color rgb="FF63BE7B"/>
        <color rgb="FFFFEB84"/>
        <color rgb="FFF8696B"/>
      </colorScale>
    </cfRule>
    <cfRule type="colorScale" priority="5477">
      <colorScale>
        <cfvo type="min"/>
        <cfvo type="percentile" val="50"/>
        <cfvo type="max"/>
        <color rgb="FF63BE7B"/>
        <color rgb="FFFFEB84"/>
        <color rgb="FFF8696B"/>
      </colorScale>
    </cfRule>
    <cfRule type="colorScale" priority="5973">
      <colorScale>
        <cfvo type="min"/>
        <cfvo type="percentile" val="50"/>
        <cfvo type="max"/>
        <color rgb="FF63BE7B"/>
        <color rgb="FFFFEB84"/>
        <color rgb="FFF8696B"/>
      </colorScale>
    </cfRule>
    <cfRule type="colorScale" priority="5476">
      <colorScale>
        <cfvo type="min"/>
        <cfvo type="percentile" val="50"/>
        <cfvo type="max"/>
        <color rgb="FF63BE7B"/>
        <color rgb="FFFFEB84"/>
        <color rgb="FFF8696B"/>
      </colorScale>
    </cfRule>
    <cfRule type="colorScale" priority="5475">
      <colorScale>
        <cfvo type="min"/>
        <cfvo type="percentile" val="50"/>
        <cfvo type="max"/>
        <color rgb="FF63BE7B"/>
        <color rgb="FFFFEB84"/>
        <color rgb="FFF8696B"/>
      </colorScale>
    </cfRule>
    <cfRule type="colorScale" priority="5484">
      <colorScale>
        <cfvo type="min"/>
        <cfvo type="percentile" val="50"/>
        <cfvo type="max"/>
        <color rgb="FF63BE7B"/>
        <color rgb="FFFFEB84"/>
        <color rgb="FFF8696B"/>
      </colorScale>
    </cfRule>
    <cfRule type="colorScale" priority="5492">
      <colorScale>
        <cfvo type="min"/>
        <cfvo type="percentile" val="50"/>
        <cfvo type="max"/>
        <color rgb="FF63BE7B"/>
        <color rgb="FFFFEB84"/>
        <color rgb="FFF8696B"/>
      </colorScale>
    </cfRule>
    <cfRule type="colorScale" priority="5493">
      <colorScale>
        <cfvo type="min"/>
        <cfvo type="percentile" val="50"/>
        <cfvo type="max"/>
        <color rgb="FF63BE7B"/>
        <color rgb="FFFFEB84"/>
        <color rgb="FFF8696B"/>
      </colorScale>
    </cfRule>
    <cfRule type="colorScale" priority="6607">
      <colorScale>
        <cfvo type="min"/>
        <cfvo type="percentile" val="50"/>
        <cfvo type="max"/>
        <color rgb="FF63BE7B"/>
        <color rgb="FFFFEB84"/>
        <color rgb="FFF8696B"/>
      </colorScale>
    </cfRule>
    <cfRule type="colorScale" priority="6606">
      <colorScale>
        <cfvo type="min"/>
        <cfvo type="percentile" val="50"/>
        <cfvo type="max"/>
        <color rgb="FF63BE7B"/>
        <color rgb="FFFFEB84"/>
        <color rgb="FFF8696B"/>
      </colorScale>
    </cfRule>
    <cfRule type="colorScale" priority="6605">
      <colorScale>
        <cfvo type="min"/>
        <cfvo type="percentile" val="50"/>
        <cfvo type="max"/>
        <color rgb="FF63BE7B"/>
        <color rgb="FFFFEB84"/>
        <color rgb="FFF8696B"/>
      </colorScale>
    </cfRule>
    <cfRule type="colorScale" priority="5972">
      <colorScale>
        <cfvo type="min"/>
        <cfvo type="percentile" val="50"/>
        <cfvo type="max"/>
        <color rgb="FF63BE7B"/>
        <color rgb="FFFFEB84"/>
        <color rgb="FFF8696B"/>
      </colorScale>
    </cfRule>
    <cfRule type="colorScale" priority="5483">
      <colorScale>
        <cfvo type="min"/>
        <cfvo type="percentile" val="50"/>
        <cfvo type="max"/>
        <color rgb="FF63BE7B"/>
        <color rgb="FFFFEB84"/>
        <color rgb="FFF8696B"/>
      </colorScale>
    </cfRule>
    <cfRule type="colorScale" priority="5487">
      <colorScale>
        <cfvo type="min"/>
        <cfvo type="percentile" val="50"/>
        <cfvo type="max"/>
        <color rgb="FF63BE7B"/>
        <color rgb="FFFFEB84"/>
        <color rgb="FFF8696B"/>
      </colorScale>
    </cfRule>
    <cfRule type="colorScale" priority="3688">
      <colorScale>
        <cfvo type="min"/>
        <cfvo type="percentile" val="50"/>
        <cfvo type="max"/>
        <color rgb="FF63BE7B"/>
        <color rgb="FFFFEB84"/>
        <color rgb="FFF8696B"/>
      </colorScale>
    </cfRule>
    <cfRule type="colorScale" priority="5466">
      <colorScale>
        <cfvo type="min"/>
        <cfvo type="percentile" val="50"/>
        <cfvo type="max"/>
        <color rgb="FF63BE7B"/>
        <color rgb="FFFFEB84"/>
        <color rgb="FFF8696B"/>
      </colorScale>
    </cfRule>
    <cfRule type="colorScale" priority="6586">
      <colorScale>
        <cfvo type="min"/>
        <cfvo type="percentile" val="50"/>
        <cfvo type="max"/>
        <color rgb="FF63BE7B"/>
        <color rgb="FFFFEB84"/>
        <color rgb="FFF8696B"/>
      </colorScale>
    </cfRule>
    <cfRule type="colorScale" priority="6585">
      <colorScale>
        <cfvo type="min"/>
        <cfvo type="percentile" val="50"/>
        <cfvo type="max"/>
        <color rgb="FF63BE7B"/>
        <color rgb="FFFFEB84"/>
        <color rgb="FFF8696B"/>
      </colorScale>
    </cfRule>
    <cfRule type="colorScale" priority="6584">
      <colorScale>
        <cfvo type="min"/>
        <cfvo type="percentile" val="50"/>
        <cfvo type="max"/>
        <color rgb="FF63BE7B"/>
        <color rgb="FFFFEB84"/>
        <color rgb="FFF8696B"/>
      </colorScale>
    </cfRule>
    <cfRule type="colorScale" priority="6583">
      <colorScale>
        <cfvo type="min"/>
        <cfvo type="percentile" val="50"/>
        <cfvo type="max"/>
        <color rgb="FF63BE7B"/>
        <color rgb="FFFFEB84"/>
        <color rgb="FFF8696B"/>
      </colorScale>
    </cfRule>
    <cfRule type="colorScale" priority="6582">
      <colorScale>
        <cfvo type="min"/>
        <cfvo type="percentile" val="50"/>
        <cfvo type="max"/>
        <color rgb="FF63BE7B"/>
        <color rgb="FFFFEB84"/>
        <color rgb="FFF8696B"/>
      </colorScale>
    </cfRule>
    <cfRule type="colorScale" priority="6581">
      <colorScale>
        <cfvo type="min"/>
        <cfvo type="percentile" val="50"/>
        <cfvo type="max"/>
        <color rgb="FF63BE7B"/>
        <color rgb="FFFFEB84"/>
        <color rgb="FFF8696B"/>
      </colorScale>
    </cfRule>
    <cfRule type="colorScale" priority="6580">
      <colorScale>
        <cfvo type="min"/>
        <cfvo type="percentile" val="50"/>
        <cfvo type="max"/>
        <color rgb="FF63BE7B"/>
        <color rgb="FFFFEB84"/>
        <color rgb="FFF8696B"/>
      </colorScale>
    </cfRule>
    <cfRule type="colorScale" priority="6579">
      <colorScale>
        <cfvo type="min"/>
        <cfvo type="percentile" val="50"/>
        <cfvo type="max"/>
        <color rgb="FF63BE7B"/>
        <color rgb="FFFFEB84"/>
        <color rgb="FFF8696B"/>
      </colorScale>
    </cfRule>
    <cfRule type="colorScale" priority="6578">
      <colorScale>
        <cfvo type="min"/>
        <cfvo type="percentile" val="50"/>
        <cfvo type="max"/>
        <color rgb="FF63BE7B"/>
        <color rgb="FFFFEB84"/>
        <color rgb="FFF8696B"/>
      </colorScale>
    </cfRule>
    <cfRule type="colorScale" priority="6577">
      <colorScale>
        <cfvo type="min"/>
        <cfvo type="percentile" val="50"/>
        <cfvo type="max"/>
        <color rgb="FF63BE7B"/>
        <color rgb="FFFFEB84"/>
        <color rgb="FFF8696B"/>
      </colorScale>
    </cfRule>
    <cfRule type="colorScale" priority="6576">
      <colorScale>
        <cfvo type="min"/>
        <cfvo type="percentile" val="50"/>
        <cfvo type="max"/>
        <color rgb="FF63BE7B"/>
        <color rgb="FFFFEB84"/>
        <color rgb="FFF8696B"/>
      </colorScale>
    </cfRule>
    <cfRule type="colorScale" priority="6575">
      <colorScale>
        <cfvo type="min"/>
        <cfvo type="percentile" val="50"/>
        <cfvo type="max"/>
        <color rgb="FF63BE7B"/>
        <color rgb="FFFFEB84"/>
        <color rgb="FFF8696B"/>
      </colorScale>
    </cfRule>
    <cfRule type="colorScale" priority="6574">
      <colorScale>
        <cfvo type="min"/>
        <cfvo type="percentile" val="50"/>
        <cfvo type="max"/>
        <color rgb="FF63BE7B"/>
        <color rgb="FFFFEB84"/>
        <color rgb="FFF8696B"/>
      </colorScale>
    </cfRule>
    <cfRule type="colorScale" priority="6573">
      <colorScale>
        <cfvo type="min"/>
        <cfvo type="percentile" val="50"/>
        <cfvo type="max"/>
        <color rgb="FF63BE7B"/>
        <color rgb="FFFFEB84"/>
        <color rgb="FFF8696B"/>
      </colorScale>
    </cfRule>
    <cfRule type="colorScale" priority="6572">
      <colorScale>
        <cfvo type="min"/>
        <cfvo type="percentile" val="50"/>
        <cfvo type="max"/>
        <color rgb="FF63BE7B"/>
        <color rgb="FFFFEB84"/>
        <color rgb="FFF8696B"/>
      </colorScale>
    </cfRule>
    <cfRule type="colorScale" priority="6571">
      <colorScale>
        <cfvo type="min"/>
        <cfvo type="percentile" val="50"/>
        <cfvo type="max"/>
        <color rgb="FF63BE7B"/>
        <color rgb="FFFFEB84"/>
        <color rgb="FFF8696B"/>
      </colorScale>
    </cfRule>
    <cfRule type="colorScale" priority="6570">
      <colorScale>
        <cfvo type="min"/>
        <cfvo type="percentile" val="50"/>
        <cfvo type="max"/>
        <color rgb="FF63BE7B"/>
        <color rgb="FFFFEB84"/>
        <color rgb="FFF8696B"/>
      </colorScale>
    </cfRule>
    <cfRule type="colorScale" priority="6569">
      <colorScale>
        <cfvo type="min"/>
        <cfvo type="percentile" val="50"/>
        <cfvo type="max"/>
        <color rgb="FF63BE7B"/>
        <color rgb="FFFFEB84"/>
        <color rgb="FFF8696B"/>
      </colorScale>
    </cfRule>
  </conditionalFormatting>
  <conditionalFormatting sqref="AQ53">
    <cfRule type="colorScale" priority="12672">
      <colorScale>
        <cfvo type="min"/>
        <cfvo type="percentile" val="50"/>
        <cfvo type="max"/>
        <color rgb="FF63BE7B"/>
        <color rgb="FFFFEB84"/>
        <color rgb="FFF8696B"/>
      </colorScale>
    </cfRule>
    <cfRule type="colorScale" priority="12669">
      <colorScale>
        <cfvo type="min"/>
        <cfvo type="percentile" val="50"/>
        <cfvo type="max"/>
        <color rgb="FF63BE7B"/>
        <color rgb="FFFFEB84"/>
        <color rgb="FFF8696B"/>
      </colorScale>
    </cfRule>
    <cfRule type="colorScale" priority="12671">
      <colorScale>
        <cfvo type="min"/>
        <cfvo type="percentile" val="50"/>
        <cfvo type="max"/>
        <color rgb="FF63BE7B"/>
        <color rgb="FFFFEB84"/>
        <color rgb="FFF8696B"/>
      </colorScale>
    </cfRule>
  </conditionalFormatting>
  <conditionalFormatting sqref="AQ54:AQ61">
    <cfRule type="colorScale" priority="15">
      <colorScale>
        <cfvo type="min"/>
        <cfvo type="percentile" val="50"/>
        <cfvo type="max"/>
        <color rgb="FF63BE7B"/>
        <color rgb="FFFFEB84"/>
        <color rgb="FFF8696B"/>
      </colorScale>
    </cfRule>
  </conditionalFormatting>
  <conditionalFormatting sqref="AQ72:AQ74">
    <cfRule type="colorScale" priority="12345">
      <colorScale>
        <cfvo type="min"/>
        <cfvo type="percentile" val="50"/>
        <cfvo type="max"/>
        <color rgb="FF63BE7B"/>
        <color rgb="FFFFEB84"/>
        <color rgb="FFF8696B"/>
      </colorScale>
    </cfRule>
    <cfRule type="colorScale" priority="12344">
      <colorScale>
        <cfvo type="min"/>
        <cfvo type="percentile" val="50"/>
        <cfvo type="max"/>
        <color rgb="FF63BE7B"/>
        <color rgb="FFFFEB84"/>
        <color rgb="FFF8696B"/>
      </colorScale>
    </cfRule>
    <cfRule type="colorScale" priority="12343">
      <colorScale>
        <cfvo type="min"/>
        <cfvo type="percentile" val="50"/>
        <cfvo type="max"/>
        <color rgb="FF63BE7B"/>
        <color rgb="FFFFEB84"/>
        <color rgb="FFF8696B"/>
      </colorScale>
    </cfRule>
    <cfRule type="colorScale" priority="12342">
      <colorScale>
        <cfvo type="min"/>
        <cfvo type="percentile" val="50"/>
        <cfvo type="max"/>
        <color rgb="FF63BE7B"/>
        <color rgb="FFFFEB84"/>
        <color rgb="FFF8696B"/>
      </colorScale>
    </cfRule>
  </conditionalFormatting>
  <conditionalFormatting sqref="AQ84:AQ91">
    <cfRule type="colorScale" priority="12071">
      <colorScale>
        <cfvo type="min"/>
        <cfvo type="percentile" val="50"/>
        <cfvo type="max"/>
        <color rgb="FF63BE7B"/>
        <color rgb="FFFFEB84"/>
        <color rgb="FFF8696B"/>
      </colorScale>
    </cfRule>
    <cfRule type="colorScale" priority="12073">
      <colorScale>
        <cfvo type="min"/>
        <cfvo type="percentile" val="50"/>
        <cfvo type="max"/>
        <color rgb="FF63BE7B"/>
        <color rgb="FFFFEB84"/>
        <color rgb="FFF8696B"/>
      </colorScale>
    </cfRule>
    <cfRule type="colorScale" priority="12074">
      <colorScale>
        <cfvo type="min"/>
        <cfvo type="percentile" val="50"/>
        <cfvo type="max"/>
        <color rgb="FF63BE7B"/>
        <color rgb="FFFFEB84"/>
        <color rgb="FFF8696B"/>
      </colorScale>
    </cfRule>
  </conditionalFormatting>
  <conditionalFormatting sqref="AQ86">
    <cfRule type="colorScale" priority="12072">
      <colorScale>
        <cfvo type="min"/>
        <cfvo type="percentile" val="50"/>
        <cfvo type="max"/>
        <color rgb="FF63BE7B"/>
        <color rgb="FFFFEB84"/>
        <color rgb="FFF8696B"/>
      </colorScale>
    </cfRule>
  </conditionalFormatting>
  <conditionalFormatting sqref="AQ103:AQ105">
    <cfRule type="colorScale" priority="11736">
      <colorScale>
        <cfvo type="min"/>
        <cfvo type="percentile" val="50"/>
        <cfvo type="max"/>
        <color rgb="FF63BE7B"/>
        <color rgb="FFFFEB84"/>
        <color rgb="FFF8696B"/>
      </colorScale>
    </cfRule>
    <cfRule type="colorScale" priority="11739">
      <colorScale>
        <cfvo type="min"/>
        <cfvo type="percentile" val="50"/>
        <cfvo type="max"/>
        <color rgb="FF63BE7B"/>
        <color rgb="FFFFEB84"/>
        <color rgb="FFF8696B"/>
      </colorScale>
    </cfRule>
    <cfRule type="colorScale" priority="11738">
      <colorScale>
        <cfvo type="min"/>
        <cfvo type="percentile" val="50"/>
        <cfvo type="max"/>
        <color rgb="FF63BE7B"/>
        <color rgb="FFFFEB84"/>
        <color rgb="FFF8696B"/>
      </colorScale>
    </cfRule>
    <cfRule type="colorScale" priority="11737">
      <colorScale>
        <cfvo type="min"/>
        <cfvo type="percentile" val="50"/>
        <cfvo type="max"/>
        <color rgb="FF63BE7B"/>
        <color rgb="FFFFEB84"/>
        <color rgb="FFF8696B"/>
      </colorScale>
    </cfRule>
  </conditionalFormatting>
  <conditionalFormatting sqref="AQ115:AQ122">
    <cfRule type="colorScale" priority="11468">
      <colorScale>
        <cfvo type="min"/>
        <cfvo type="percentile" val="50"/>
        <cfvo type="max"/>
        <color rgb="FF63BE7B"/>
        <color rgb="FFFFEB84"/>
        <color rgb="FFF8696B"/>
      </colorScale>
    </cfRule>
    <cfRule type="colorScale" priority="11470">
      <colorScale>
        <cfvo type="min"/>
        <cfvo type="percentile" val="50"/>
        <cfvo type="max"/>
        <color rgb="FF63BE7B"/>
        <color rgb="FFFFEB84"/>
        <color rgb="FFF8696B"/>
      </colorScale>
    </cfRule>
    <cfRule type="colorScale" priority="11471">
      <colorScale>
        <cfvo type="min"/>
        <cfvo type="percentile" val="50"/>
        <cfvo type="max"/>
        <color rgb="FF63BE7B"/>
        <color rgb="FFFFEB84"/>
        <color rgb="FFF8696B"/>
      </colorScale>
    </cfRule>
  </conditionalFormatting>
  <conditionalFormatting sqref="AQ117">
    <cfRule type="colorScale" priority="11469">
      <colorScale>
        <cfvo type="min"/>
        <cfvo type="percentile" val="50"/>
        <cfvo type="max"/>
        <color rgb="FF63BE7B"/>
        <color rgb="FFFFEB84"/>
        <color rgb="FFF8696B"/>
      </colorScale>
    </cfRule>
  </conditionalFormatting>
  <conditionalFormatting sqref="AQ35:AR37">
    <cfRule type="colorScale" priority="10611">
      <colorScale>
        <cfvo type="min"/>
        <cfvo type="percentile" val="50"/>
        <cfvo type="max"/>
        <color rgb="FF63BE7B"/>
        <color rgb="FFFFEB84"/>
        <color rgb="FFF8696B"/>
      </colorScale>
    </cfRule>
    <cfRule type="colorScale" priority="10706">
      <colorScale>
        <cfvo type="min"/>
        <cfvo type="percentile" val="50"/>
        <cfvo type="max"/>
        <color rgb="FF63BE7B"/>
        <color rgb="FFFFEB84"/>
        <color rgb="FFF8696B"/>
      </colorScale>
    </cfRule>
  </conditionalFormatting>
  <conditionalFormatting sqref="AQ35:AR41">
    <cfRule type="colorScale" priority="10618">
      <colorScale>
        <cfvo type="min"/>
        <cfvo type="percentile" val="50"/>
        <cfvo type="max"/>
        <color rgb="FF63BE7B"/>
        <color rgb="FFFFEB84"/>
        <color rgb="FFF8696B"/>
      </colorScale>
    </cfRule>
    <cfRule type="colorScale" priority="10619">
      <colorScale>
        <cfvo type="min"/>
        <cfvo type="percentile" val="50"/>
        <cfvo type="max"/>
        <color rgb="FF63BE7B"/>
        <color rgb="FFFFEB84"/>
        <color rgb="FFF8696B"/>
      </colorScale>
    </cfRule>
    <cfRule type="colorScale" priority="10623">
      <colorScale>
        <cfvo type="min"/>
        <cfvo type="percentile" val="50"/>
        <cfvo type="max"/>
        <color rgb="FF63BE7B"/>
        <color rgb="FFFFEB84"/>
        <color rgb="FFF8696B"/>
      </colorScale>
    </cfRule>
    <cfRule type="colorScale" priority="10707">
      <colorScale>
        <cfvo type="min"/>
        <cfvo type="percentile" val="50"/>
        <cfvo type="max"/>
        <color rgb="FF63BE7B"/>
        <color rgb="FFFFEB84"/>
        <color rgb="FFF8696B"/>
      </colorScale>
    </cfRule>
    <cfRule type="colorScale" priority="10708">
      <colorScale>
        <cfvo type="min"/>
        <cfvo type="percentile" val="50"/>
        <cfvo type="max"/>
        <color rgb="FF63BE7B"/>
        <color rgb="FFFFEB84"/>
        <color rgb="FFF8696B"/>
      </colorScale>
    </cfRule>
    <cfRule type="colorScale" priority="10709">
      <colorScale>
        <cfvo type="min"/>
        <cfvo type="percentile" val="50"/>
        <cfvo type="max"/>
        <color rgb="FF63BE7B"/>
        <color rgb="FFFFEB84"/>
        <color rgb="FFF8696B"/>
      </colorScale>
    </cfRule>
    <cfRule type="colorScale" priority="10710">
      <colorScale>
        <cfvo type="min"/>
        <cfvo type="percentile" val="50"/>
        <cfvo type="max"/>
        <color rgb="FF63BE7B"/>
        <color rgb="FFFFEB84"/>
        <color rgb="FFF8696B"/>
      </colorScale>
    </cfRule>
    <cfRule type="colorScale" priority="10711">
      <colorScale>
        <cfvo type="min"/>
        <cfvo type="percentile" val="50"/>
        <cfvo type="max"/>
        <color rgb="FF63BE7B"/>
        <color rgb="FFFFEB84"/>
        <color rgb="FFF8696B"/>
      </colorScale>
    </cfRule>
    <cfRule type="colorScale" priority="10712">
      <colorScale>
        <cfvo type="min"/>
        <cfvo type="percentile" val="50"/>
        <cfvo type="max"/>
        <color rgb="FF63BE7B"/>
        <color rgb="FFFFEB84"/>
        <color rgb="FFF8696B"/>
      </colorScale>
    </cfRule>
    <cfRule type="colorScale" priority="10713">
      <colorScale>
        <cfvo type="min"/>
        <cfvo type="percentile" val="50"/>
        <cfvo type="max"/>
        <color rgb="FF63BE7B"/>
        <color rgb="FFFFEB84"/>
        <color rgb="FFF8696B"/>
      </colorScale>
    </cfRule>
    <cfRule type="colorScale" priority="10624">
      <colorScale>
        <cfvo type="min"/>
        <cfvo type="percentile" val="50"/>
        <cfvo type="max"/>
        <color rgb="FF63BE7B"/>
        <color rgb="FFFFEB84"/>
        <color rgb="FFF8696B"/>
      </colorScale>
    </cfRule>
    <cfRule type="colorScale" priority="10617">
      <colorScale>
        <cfvo type="min"/>
        <cfvo type="percentile" val="50"/>
        <cfvo type="max"/>
        <color rgb="FF63BE7B"/>
        <color rgb="FFFFEB84"/>
        <color rgb="FFF8696B"/>
      </colorScale>
    </cfRule>
    <cfRule type="colorScale" priority="10716">
      <colorScale>
        <cfvo type="min"/>
        <cfvo type="percentile" val="50"/>
        <cfvo type="max"/>
        <color rgb="FF63BE7B"/>
        <color rgb="FFFFEB84"/>
        <color rgb="FFF8696B"/>
      </colorScale>
    </cfRule>
    <cfRule type="colorScale" priority="10717">
      <colorScale>
        <cfvo type="min"/>
        <cfvo type="percentile" val="50"/>
        <cfvo type="max"/>
        <color rgb="FF63BE7B"/>
        <color rgb="FFFFEB84"/>
        <color rgb="FFF8696B"/>
      </colorScale>
    </cfRule>
    <cfRule type="colorScale" priority="10718">
      <colorScale>
        <cfvo type="min"/>
        <cfvo type="percentile" val="50"/>
        <cfvo type="max"/>
        <color rgb="FF63BE7B"/>
        <color rgb="FFFFEB84"/>
        <color rgb="FFF8696B"/>
      </colorScale>
    </cfRule>
    <cfRule type="colorScale" priority="10719">
      <colorScale>
        <cfvo type="min"/>
        <cfvo type="percentile" val="50"/>
        <cfvo type="max"/>
        <color rgb="FF63BE7B"/>
        <color rgb="FFFFEB84"/>
        <color rgb="FFF8696B"/>
      </colorScale>
    </cfRule>
    <cfRule type="colorScale" priority="10720">
      <colorScale>
        <cfvo type="min"/>
        <cfvo type="percentile" val="50"/>
        <cfvo type="max"/>
        <color rgb="FF63BE7B"/>
        <color rgb="FFFFEB84"/>
        <color rgb="FFF8696B"/>
      </colorScale>
    </cfRule>
    <cfRule type="colorScale" priority="10721">
      <colorScale>
        <cfvo type="min"/>
        <cfvo type="percentile" val="50"/>
        <cfvo type="max"/>
        <color rgb="FF63BE7B"/>
        <color rgb="FFFFEB84"/>
        <color rgb="FFF8696B"/>
      </colorScale>
    </cfRule>
    <cfRule type="colorScale" priority="10625">
      <colorScale>
        <cfvo type="min"/>
        <cfvo type="percentile" val="50"/>
        <cfvo type="max"/>
        <color rgb="FF63BE7B"/>
        <color rgb="FFFFEB84"/>
        <color rgb="FFF8696B"/>
      </colorScale>
    </cfRule>
    <cfRule type="colorScale" priority="10722">
      <colorScale>
        <cfvo type="min"/>
        <cfvo type="percentile" val="50"/>
        <cfvo type="max"/>
        <color rgb="FF63BE7B"/>
        <color rgb="FFFFEB84"/>
        <color rgb="FFF8696B"/>
      </colorScale>
    </cfRule>
    <cfRule type="colorScale" priority="10613">
      <colorScale>
        <cfvo type="min"/>
        <cfvo type="percentile" val="50"/>
        <cfvo type="max"/>
        <color rgb="FF63BE7B"/>
        <color rgb="FFFFEB84"/>
        <color rgb="FFF8696B"/>
      </colorScale>
    </cfRule>
    <cfRule type="colorScale" priority="10614">
      <colorScale>
        <cfvo type="min"/>
        <cfvo type="percentile" val="50"/>
        <cfvo type="max"/>
        <color rgb="FF63BE7B"/>
        <color rgb="FFFFEB84"/>
        <color rgb="FFF8696B"/>
      </colorScale>
    </cfRule>
    <cfRule type="colorScale" priority="10615">
      <colorScale>
        <cfvo type="min"/>
        <cfvo type="percentile" val="50"/>
        <cfvo type="max"/>
        <color rgb="FF63BE7B"/>
        <color rgb="FFFFEB84"/>
        <color rgb="FFF8696B"/>
      </colorScale>
    </cfRule>
    <cfRule type="colorScale" priority="10622">
      <colorScale>
        <cfvo type="min"/>
        <cfvo type="percentile" val="50"/>
        <cfvo type="max"/>
        <color rgb="FF63BE7B"/>
        <color rgb="FFFFEB84"/>
        <color rgb="FFF8696B"/>
      </colorScale>
    </cfRule>
    <cfRule type="colorScale" priority="10616">
      <colorScale>
        <cfvo type="min"/>
        <cfvo type="percentile" val="50"/>
        <cfvo type="max"/>
        <color rgb="FF63BE7B"/>
        <color rgb="FFFFEB84"/>
        <color rgb="FFF8696B"/>
      </colorScale>
    </cfRule>
    <cfRule type="colorScale" priority="10626">
      <colorScale>
        <cfvo type="min"/>
        <cfvo type="percentile" val="50"/>
        <cfvo type="max"/>
        <color rgb="FF63BE7B"/>
        <color rgb="FFFFEB84"/>
        <color rgb="FFF8696B"/>
      </colorScale>
    </cfRule>
    <cfRule type="colorScale" priority="10612">
      <colorScale>
        <cfvo type="min"/>
        <cfvo type="percentile" val="50"/>
        <cfvo type="max"/>
        <color rgb="FF63BE7B"/>
        <color rgb="FFFFEB84"/>
        <color rgb="FFF8696B"/>
      </colorScale>
    </cfRule>
    <cfRule type="colorScale" priority="10621">
      <colorScale>
        <cfvo type="min"/>
        <cfvo type="percentile" val="50"/>
        <cfvo type="max"/>
        <color rgb="FF63BE7B"/>
        <color rgb="FFFFEB84"/>
        <color rgb="FFF8696B"/>
      </colorScale>
    </cfRule>
    <cfRule type="colorScale" priority="10610">
      <colorScale>
        <cfvo type="min"/>
        <cfvo type="percentile" val="50"/>
        <cfvo type="max"/>
        <color rgb="FF63BE7B"/>
        <color rgb="FFFFEB84"/>
        <color rgb="FFF8696B"/>
      </colorScale>
    </cfRule>
    <cfRule type="colorScale" priority="10715">
      <colorScale>
        <cfvo type="min"/>
        <cfvo type="percentile" val="50"/>
        <cfvo type="max"/>
        <color rgb="FF63BE7B"/>
        <color rgb="FFFFEB84"/>
        <color rgb="FFF8696B"/>
      </colorScale>
    </cfRule>
    <cfRule type="colorScale" priority="10609">
      <colorScale>
        <cfvo type="min"/>
        <cfvo type="percentile" val="50"/>
        <cfvo type="max"/>
        <color rgb="FF63BE7B"/>
        <color rgb="FFFFEB84"/>
        <color rgb="FFF8696B"/>
      </colorScale>
    </cfRule>
    <cfRule type="colorScale" priority="10620">
      <colorScale>
        <cfvo type="min"/>
        <cfvo type="percentile" val="50"/>
        <cfvo type="max"/>
        <color rgb="FF63BE7B"/>
        <color rgb="FFFFEB84"/>
        <color rgb="FFF8696B"/>
      </colorScale>
    </cfRule>
    <cfRule type="colorScale" priority="10704">
      <colorScale>
        <cfvo type="min"/>
        <cfvo type="percentile" val="50"/>
        <cfvo type="max"/>
        <color rgb="FF63BE7B"/>
        <color rgb="FFFFEB84"/>
        <color rgb="FFF8696B"/>
      </colorScale>
    </cfRule>
    <cfRule type="colorScale" priority="10705">
      <colorScale>
        <cfvo type="min"/>
        <cfvo type="percentile" val="50"/>
        <cfvo type="max"/>
        <color rgb="FF63BE7B"/>
        <color rgb="FFFFEB84"/>
        <color rgb="FFF8696B"/>
      </colorScale>
    </cfRule>
    <cfRule type="colorScale" priority="10714">
      <colorScale>
        <cfvo type="min"/>
        <cfvo type="percentile" val="50"/>
        <cfvo type="max"/>
        <color rgb="FF63BE7B"/>
        <color rgb="FFFFEB84"/>
        <color rgb="FFF8696B"/>
      </colorScale>
    </cfRule>
    <cfRule type="colorScale" priority="10627">
      <colorScale>
        <cfvo type="min"/>
        <cfvo type="percentile" val="50"/>
        <cfvo type="max"/>
        <color rgb="FF63BE7B"/>
        <color rgb="FFFFEB84"/>
        <color rgb="FFF8696B"/>
      </colorScale>
    </cfRule>
  </conditionalFormatting>
  <conditionalFormatting sqref="AQ52:AR53">
    <cfRule type="colorScale" priority="6598">
      <colorScale>
        <cfvo type="min"/>
        <cfvo type="percentile" val="50"/>
        <cfvo type="max"/>
        <color rgb="FF63BE7B"/>
        <color rgb="FFFFEB84"/>
        <color rgb="FFF8696B"/>
      </colorScale>
    </cfRule>
    <cfRule type="colorScale" priority="6597">
      <colorScale>
        <cfvo type="min"/>
        <cfvo type="percentile" val="50"/>
        <cfvo type="max"/>
        <color rgb="FF63BE7B"/>
        <color rgb="FFFFEB84"/>
        <color rgb="FFF8696B"/>
      </colorScale>
    </cfRule>
    <cfRule type="colorScale" priority="6596">
      <colorScale>
        <cfvo type="min"/>
        <cfvo type="percentile" val="50"/>
        <cfvo type="max"/>
        <color rgb="FF63BE7B"/>
        <color rgb="FFFFEB84"/>
        <color rgb="FFF8696B"/>
      </colorScale>
    </cfRule>
    <cfRule type="colorScale" priority="6595">
      <colorScale>
        <cfvo type="min"/>
        <cfvo type="percentile" val="50"/>
        <cfvo type="max"/>
        <color rgb="FF63BE7B"/>
        <color rgb="FFFFEB84"/>
        <color rgb="FFF8696B"/>
      </colorScale>
    </cfRule>
    <cfRule type="colorScale" priority="6594">
      <colorScale>
        <cfvo type="min"/>
        <cfvo type="percentile" val="50"/>
        <cfvo type="max"/>
        <color rgb="FF63BE7B"/>
        <color rgb="FFFFEB84"/>
        <color rgb="FFF8696B"/>
      </colorScale>
    </cfRule>
    <cfRule type="colorScale" priority="6593">
      <colorScale>
        <cfvo type="min"/>
        <cfvo type="percentile" val="50"/>
        <cfvo type="max"/>
        <color rgb="FF63BE7B"/>
        <color rgb="FFFFEB84"/>
        <color rgb="FFF8696B"/>
      </colorScale>
    </cfRule>
    <cfRule type="colorScale" priority="6592">
      <colorScale>
        <cfvo type="min"/>
        <cfvo type="percentile" val="50"/>
        <cfvo type="max"/>
        <color rgb="FF63BE7B"/>
        <color rgb="FFFFEB84"/>
        <color rgb="FFF8696B"/>
      </colorScale>
    </cfRule>
    <cfRule type="colorScale" priority="6591">
      <colorScale>
        <cfvo type="min"/>
        <cfvo type="percentile" val="50"/>
        <cfvo type="max"/>
        <color rgb="FF63BE7B"/>
        <color rgb="FFFFEB84"/>
        <color rgb="FFF8696B"/>
      </colorScale>
    </cfRule>
    <cfRule type="colorScale" priority="6589">
      <colorScale>
        <cfvo type="min"/>
        <cfvo type="percentile" val="50"/>
        <cfvo type="max"/>
        <color rgb="FF63BE7B"/>
        <color rgb="FFFFEB84"/>
        <color rgb="FFF8696B"/>
      </colorScale>
    </cfRule>
    <cfRule type="colorScale" priority="6588">
      <colorScale>
        <cfvo type="min"/>
        <cfvo type="percentile" val="50"/>
        <cfvo type="max"/>
        <color rgb="FF63BE7B"/>
        <color rgb="FFFFEB84"/>
        <color rgb="FFF8696B"/>
      </colorScale>
    </cfRule>
    <cfRule type="colorScale" priority="6587">
      <colorScale>
        <cfvo type="min"/>
        <cfvo type="percentile" val="50"/>
        <cfvo type="max"/>
        <color rgb="FF63BE7B"/>
        <color rgb="FFFFEB84"/>
        <color rgb="FFF8696B"/>
      </colorScale>
    </cfRule>
    <cfRule type="colorScale" priority="6499">
      <colorScale>
        <cfvo type="min"/>
        <cfvo type="percentile" val="50"/>
        <cfvo type="max"/>
        <color rgb="FF63BE7B"/>
        <color rgb="FFFFEB84"/>
        <color rgb="FFF8696B"/>
      </colorScale>
    </cfRule>
    <cfRule type="colorScale" priority="6498">
      <colorScale>
        <cfvo type="min"/>
        <cfvo type="percentile" val="50"/>
        <cfvo type="max"/>
        <color rgb="FF63BE7B"/>
        <color rgb="FFFFEB84"/>
        <color rgb="FFF8696B"/>
      </colorScale>
    </cfRule>
    <cfRule type="colorScale" priority="6497">
      <colorScale>
        <cfvo type="min"/>
        <cfvo type="percentile" val="50"/>
        <cfvo type="max"/>
        <color rgb="FF63BE7B"/>
        <color rgb="FFFFEB84"/>
        <color rgb="FFF8696B"/>
      </colorScale>
    </cfRule>
    <cfRule type="colorScale" priority="6600">
      <colorScale>
        <cfvo type="min"/>
        <cfvo type="percentile" val="50"/>
        <cfvo type="max"/>
        <color rgb="FF63BE7B"/>
        <color rgb="FFFFEB84"/>
        <color rgb="FFF8696B"/>
      </colorScale>
    </cfRule>
    <cfRule type="colorScale" priority="6604">
      <colorScale>
        <cfvo type="min"/>
        <cfvo type="percentile" val="50"/>
        <cfvo type="max"/>
        <color rgb="FF63BE7B"/>
        <color rgb="FFFFEB84"/>
        <color rgb="FFF8696B"/>
      </colorScale>
    </cfRule>
    <cfRule type="colorScale" priority="6603">
      <colorScale>
        <cfvo type="min"/>
        <cfvo type="percentile" val="50"/>
        <cfvo type="max"/>
        <color rgb="FF63BE7B"/>
        <color rgb="FFFFEB84"/>
        <color rgb="FFF8696B"/>
      </colorScale>
    </cfRule>
    <cfRule type="colorScale" priority="6602">
      <colorScale>
        <cfvo type="min"/>
        <cfvo type="percentile" val="50"/>
        <cfvo type="max"/>
        <color rgb="FF63BE7B"/>
        <color rgb="FFFFEB84"/>
        <color rgb="FFF8696B"/>
      </colorScale>
    </cfRule>
    <cfRule type="colorScale" priority="6601">
      <colorScale>
        <cfvo type="min"/>
        <cfvo type="percentile" val="50"/>
        <cfvo type="max"/>
        <color rgb="FF63BE7B"/>
        <color rgb="FFFFEB84"/>
        <color rgb="FFF8696B"/>
      </colorScale>
    </cfRule>
    <cfRule type="colorScale" priority="6590">
      <colorScale>
        <cfvo type="min"/>
        <cfvo type="percentile" val="50"/>
        <cfvo type="max"/>
        <color rgb="FF63BE7B"/>
        <color rgb="FFFFEB84"/>
        <color rgb="FFF8696B"/>
      </colorScale>
    </cfRule>
    <cfRule type="colorScale" priority="6514">
      <colorScale>
        <cfvo type="min"/>
        <cfvo type="percentile" val="50"/>
        <cfvo type="max"/>
        <color rgb="FF63BE7B"/>
        <color rgb="FFFFEB84"/>
        <color rgb="FFF8696B"/>
      </colorScale>
    </cfRule>
    <cfRule type="colorScale" priority="6513">
      <colorScale>
        <cfvo type="min"/>
        <cfvo type="percentile" val="50"/>
        <cfvo type="max"/>
        <color rgb="FF63BE7B"/>
        <color rgb="FFFFEB84"/>
        <color rgb="FFF8696B"/>
      </colorScale>
    </cfRule>
    <cfRule type="colorScale" priority="6512">
      <colorScale>
        <cfvo type="min"/>
        <cfvo type="percentile" val="50"/>
        <cfvo type="max"/>
        <color rgb="FF63BE7B"/>
        <color rgb="FFFFEB84"/>
        <color rgb="FFF8696B"/>
      </colorScale>
    </cfRule>
    <cfRule type="colorScale" priority="6511">
      <colorScale>
        <cfvo type="min"/>
        <cfvo type="percentile" val="50"/>
        <cfvo type="max"/>
        <color rgb="FF63BE7B"/>
        <color rgb="FFFFEB84"/>
        <color rgb="FFF8696B"/>
      </colorScale>
    </cfRule>
    <cfRule type="colorScale" priority="6510">
      <colorScale>
        <cfvo type="min"/>
        <cfvo type="percentile" val="50"/>
        <cfvo type="max"/>
        <color rgb="FF63BE7B"/>
        <color rgb="FFFFEB84"/>
        <color rgb="FFF8696B"/>
      </colorScale>
    </cfRule>
    <cfRule type="colorScale" priority="6509">
      <colorScale>
        <cfvo type="min"/>
        <cfvo type="percentile" val="50"/>
        <cfvo type="max"/>
        <color rgb="FF63BE7B"/>
        <color rgb="FFFFEB84"/>
        <color rgb="FFF8696B"/>
      </colorScale>
    </cfRule>
    <cfRule type="colorScale" priority="6508">
      <colorScale>
        <cfvo type="min"/>
        <cfvo type="percentile" val="50"/>
        <cfvo type="max"/>
        <color rgb="FF63BE7B"/>
        <color rgb="FFFFEB84"/>
        <color rgb="FFF8696B"/>
      </colorScale>
    </cfRule>
    <cfRule type="colorScale" priority="6507">
      <colorScale>
        <cfvo type="min"/>
        <cfvo type="percentile" val="50"/>
        <cfvo type="max"/>
        <color rgb="FF63BE7B"/>
        <color rgb="FFFFEB84"/>
        <color rgb="FFF8696B"/>
      </colorScale>
    </cfRule>
    <cfRule type="colorScale" priority="6506">
      <colorScale>
        <cfvo type="min"/>
        <cfvo type="percentile" val="50"/>
        <cfvo type="max"/>
        <color rgb="FF63BE7B"/>
        <color rgb="FFFFEB84"/>
        <color rgb="FFF8696B"/>
      </colorScale>
    </cfRule>
    <cfRule type="colorScale" priority="6505">
      <colorScale>
        <cfvo type="min"/>
        <cfvo type="percentile" val="50"/>
        <cfvo type="max"/>
        <color rgb="FF63BE7B"/>
        <color rgb="FFFFEB84"/>
        <color rgb="FFF8696B"/>
      </colorScale>
    </cfRule>
    <cfRule type="colorScale" priority="6504">
      <colorScale>
        <cfvo type="min"/>
        <cfvo type="percentile" val="50"/>
        <cfvo type="max"/>
        <color rgb="FF63BE7B"/>
        <color rgb="FFFFEB84"/>
        <color rgb="FFF8696B"/>
      </colorScale>
    </cfRule>
    <cfRule type="colorScale" priority="6503">
      <colorScale>
        <cfvo type="min"/>
        <cfvo type="percentile" val="50"/>
        <cfvo type="max"/>
        <color rgb="FF63BE7B"/>
        <color rgb="FFFFEB84"/>
        <color rgb="FFF8696B"/>
      </colorScale>
    </cfRule>
    <cfRule type="colorScale" priority="6502">
      <colorScale>
        <cfvo type="min"/>
        <cfvo type="percentile" val="50"/>
        <cfvo type="max"/>
        <color rgb="FF63BE7B"/>
        <color rgb="FFFFEB84"/>
        <color rgb="FFF8696B"/>
      </colorScale>
    </cfRule>
    <cfRule type="colorScale" priority="6501">
      <colorScale>
        <cfvo type="min"/>
        <cfvo type="percentile" val="50"/>
        <cfvo type="max"/>
        <color rgb="FF63BE7B"/>
        <color rgb="FFFFEB84"/>
        <color rgb="FFF8696B"/>
      </colorScale>
    </cfRule>
    <cfRule type="colorScale" priority="6500">
      <colorScale>
        <cfvo type="min"/>
        <cfvo type="percentile" val="50"/>
        <cfvo type="max"/>
        <color rgb="FF63BE7B"/>
        <color rgb="FFFFEB84"/>
        <color rgb="FFF8696B"/>
      </colorScale>
    </cfRule>
    <cfRule type="colorScale" priority="6599">
      <colorScale>
        <cfvo type="min"/>
        <cfvo type="percentile" val="50"/>
        <cfvo type="max"/>
        <color rgb="FF63BE7B"/>
        <color rgb="FFFFEB84"/>
        <color rgb="FFF8696B"/>
      </colorScale>
    </cfRule>
  </conditionalFormatting>
  <conditionalFormatting sqref="AR35:AR41 AR52:AR53 O35:O53">
    <cfRule type="colorScale" priority="13233">
      <colorScale>
        <cfvo type="min"/>
        <cfvo type="percentile" val="50"/>
        <cfvo type="max"/>
        <color rgb="FF63BE7B"/>
        <color rgb="FFFFEB84"/>
        <color rgb="FFF8696B"/>
      </colorScale>
    </cfRule>
    <cfRule type="colorScale" priority="13213">
      <colorScale>
        <cfvo type="min"/>
        <cfvo type="percentile" val="50"/>
        <cfvo type="max"/>
        <color rgb="FF63BE7B"/>
        <color rgb="FFFFEB84"/>
        <color rgb="FFF8696B"/>
      </colorScale>
    </cfRule>
  </conditionalFormatting>
  <conditionalFormatting sqref="AR35:AR41">
    <cfRule type="colorScale" priority="9309">
      <colorScale>
        <cfvo type="min"/>
        <cfvo type="percentile" val="50"/>
        <cfvo type="max"/>
        <color rgb="FFF8696B"/>
        <color rgb="FFFFEB84"/>
        <color rgb="FF63BE7B"/>
      </colorScale>
    </cfRule>
  </conditionalFormatting>
  <conditionalFormatting sqref="AR42:AR50">
    <cfRule type="colorScale" priority="7431">
      <colorScale>
        <cfvo type="min"/>
        <cfvo type="percentile" val="50"/>
        <cfvo type="max"/>
        <color rgb="FF63BE7B"/>
        <color rgb="FFFFEB84"/>
        <color rgb="FFF8696B"/>
      </colorScale>
    </cfRule>
  </conditionalFormatting>
  <conditionalFormatting sqref="AR51:AR53">
    <cfRule type="colorScale" priority="3644">
      <colorScale>
        <cfvo type="min"/>
        <cfvo type="percentile" val="50"/>
        <cfvo type="max"/>
        <color rgb="FF63BE7B"/>
        <color rgb="FFFFEB84"/>
        <color rgb="FFF8696B"/>
      </colorScale>
    </cfRule>
    <cfRule type="colorScale" priority="2988">
      <colorScale>
        <cfvo type="min"/>
        <cfvo type="percentile" val="50"/>
        <cfvo type="max"/>
        <color rgb="FFF8696B"/>
        <color rgb="FFFFEB84"/>
        <color rgb="FF63BE7B"/>
      </colorScale>
    </cfRule>
    <cfRule type="colorScale" priority="3242">
      <colorScale>
        <cfvo type="min"/>
        <cfvo type="percentile" val="50"/>
        <cfvo type="max"/>
        <color rgb="FFF8696B"/>
        <color rgb="FFFFEB84"/>
        <color rgb="FF63BE7B"/>
      </colorScale>
    </cfRule>
    <cfRule type="colorScale" priority="3271">
      <colorScale>
        <cfvo type="min"/>
        <cfvo type="percentile" val="50"/>
        <cfvo type="max"/>
        <color rgb="FF63BE7B"/>
        <color rgb="FFFFEB84"/>
        <color rgb="FFF8696B"/>
      </colorScale>
    </cfRule>
    <cfRule type="colorScale" priority="3672">
      <colorScale>
        <cfvo type="min"/>
        <cfvo type="percentile" val="50"/>
        <cfvo type="max"/>
        <color rgb="FF63BE7B"/>
        <color rgb="FFFFEB84"/>
        <color rgb="FFF8696B"/>
      </colorScale>
    </cfRule>
    <cfRule type="colorScale" priority="3270">
      <colorScale>
        <cfvo type="min"/>
        <cfvo type="percentile" val="50"/>
        <cfvo type="max"/>
        <color rgb="FF63BE7B"/>
        <color rgb="FFFFEB84"/>
        <color rgb="FFF8696B"/>
      </colorScale>
    </cfRule>
    <cfRule type="colorScale" priority="3017">
      <colorScale>
        <cfvo type="min"/>
        <cfvo type="percentile" val="50"/>
        <cfvo type="max"/>
        <color rgb="FF63BE7B"/>
        <color rgb="FFFFEB84"/>
        <color rgb="FFF8696B"/>
      </colorScale>
    </cfRule>
    <cfRule type="colorScale" priority="3016">
      <colorScale>
        <cfvo type="min"/>
        <cfvo type="percentile" val="50"/>
        <cfvo type="max"/>
        <color rgb="FF63BE7B"/>
        <color rgb="FFFFEB84"/>
        <color rgb="FFF8696B"/>
      </colorScale>
    </cfRule>
    <cfRule type="colorScale" priority="3671">
      <colorScale>
        <cfvo type="min"/>
        <cfvo type="percentile" val="50"/>
        <cfvo type="max"/>
        <color rgb="FF63BE7B"/>
        <color rgb="FFFFEB84"/>
        <color rgb="FFF8696B"/>
      </colorScale>
    </cfRule>
  </conditionalFormatting>
  <conditionalFormatting sqref="AR52:AR53">
    <cfRule type="colorScale" priority="3466">
      <colorScale>
        <cfvo type="min"/>
        <cfvo type="percentile" val="50"/>
        <cfvo type="max"/>
        <color rgb="FF63BE7B"/>
        <color rgb="FFFFEB84"/>
        <color rgb="FFF8696B"/>
      </colorScale>
    </cfRule>
    <cfRule type="colorScale" priority="3465">
      <colorScale>
        <cfvo type="min"/>
        <cfvo type="percentile" val="50"/>
        <cfvo type="max"/>
        <color rgb="FF63BE7B"/>
        <color rgb="FFFFEB84"/>
        <color rgb="FFF8696B"/>
      </colorScale>
    </cfRule>
    <cfRule type="colorScale" priority="3464">
      <colorScale>
        <cfvo type="min"/>
        <cfvo type="percentile" val="50"/>
        <cfvo type="max"/>
        <color rgb="FF63BE7B"/>
        <color rgb="FFFFEB84"/>
        <color rgb="FFF8696B"/>
      </colorScale>
    </cfRule>
    <cfRule type="colorScale" priority="3463">
      <colorScale>
        <cfvo type="min"/>
        <cfvo type="percentile" val="50"/>
        <cfvo type="max"/>
        <color rgb="FF63BE7B"/>
        <color rgb="FFFFEB84"/>
        <color rgb="FFF8696B"/>
      </colorScale>
    </cfRule>
    <cfRule type="colorScale" priority="3462">
      <colorScale>
        <cfvo type="min"/>
        <cfvo type="percentile" val="50"/>
        <cfvo type="max"/>
        <color rgb="FF63BE7B"/>
        <color rgb="FFFFEB84"/>
        <color rgb="FFF8696B"/>
      </colorScale>
    </cfRule>
    <cfRule type="colorScale" priority="3461">
      <colorScale>
        <cfvo type="min"/>
        <cfvo type="percentile" val="50"/>
        <cfvo type="max"/>
        <color rgb="FF63BE7B"/>
        <color rgb="FFFFEB84"/>
        <color rgb="FFF8696B"/>
      </colorScale>
    </cfRule>
    <cfRule type="colorScale" priority="3460">
      <colorScale>
        <cfvo type="min"/>
        <cfvo type="percentile" val="50"/>
        <cfvo type="max"/>
        <color rgb="FF63BE7B"/>
        <color rgb="FFFFEB84"/>
        <color rgb="FFF8696B"/>
      </colorScale>
    </cfRule>
    <cfRule type="colorScale" priority="3459">
      <colorScale>
        <cfvo type="min"/>
        <cfvo type="percentile" val="50"/>
        <cfvo type="max"/>
        <color rgb="FF63BE7B"/>
        <color rgb="FFFFEB84"/>
        <color rgb="FFF8696B"/>
      </colorScale>
    </cfRule>
    <cfRule type="colorScale" priority="3458">
      <colorScale>
        <cfvo type="min"/>
        <cfvo type="percentile" val="50"/>
        <cfvo type="max"/>
        <color rgb="FF63BE7B"/>
        <color rgb="FFFFEB84"/>
        <color rgb="FFF8696B"/>
      </colorScale>
    </cfRule>
    <cfRule type="colorScale" priority="3457">
      <colorScale>
        <cfvo type="min"/>
        <cfvo type="percentile" val="50"/>
        <cfvo type="max"/>
        <color rgb="FF63BE7B"/>
        <color rgb="FFFFEB84"/>
        <color rgb="FFF8696B"/>
      </colorScale>
    </cfRule>
    <cfRule type="colorScale" priority="3456">
      <colorScale>
        <cfvo type="min"/>
        <cfvo type="percentile" val="50"/>
        <cfvo type="max"/>
        <color rgb="FF63BE7B"/>
        <color rgb="FFFFEB84"/>
        <color rgb="FFF8696B"/>
      </colorScale>
    </cfRule>
    <cfRule type="colorScale" priority="3455">
      <colorScale>
        <cfvo type="min"/>
        <cfvo type="percentile" val="50"/>
        <cfvo type="max"/>
        <color rgb="FF63BE7B"/>
        <color rgb="FFFFEB84"/>
        <color rgb="FFF8696B"/>
      </colorScale>
    </cfRule>
    <cfRule type="colorScale" priority="3454">
      <colorScale>
        <cfvo type="min"/>
        <cfvo type="percentile" val="50"/>
        <cfvo type="max"/>
        <color rgb="FF63BE7B"/>
        <color rgb="FFFFEB84"/>
        <color rgb="FFF8696B"/>
      </colorScale>
    </cfRule>
    <cfRule type="colorScale" priority="3453">
      <colorScale>
        <cfvo type="min"/>
        <cfvo type="percentile" val="50"/>
        <cfvo type="max"/>
        <color rgb="FF63BE7B"/>
        <color rgb="FFFFEB84"/>
        <color rgb="FFF8696B"/>
      </colorScale>
    </cfRule>
    <cfRule type="colorScale" priority="3452">
      <colorScale>
        <cfvo type="min"/>
        <cfvo type="percentile" val="50"/>
        <cfvo type="max"/>
        <color rgb="FF63BE7B"/>
        <color rgb="FFFFEB84"/>
        <color rgb="FFF8696B"/>
      </colorScale>
    </cfRule>
    <cfRule type="colorScale" priority="3451">
      <colorScale>
        <cfvo type="min"/>
        <cfvo type="percentile" val="50"/>
        <cfvo type="max"/>
        <color rgb="FF63BE7B"/>
        <color rgb="FFFFEB84"/>
        <color rgb="FFF8696B"/>
      </colorScale>
    </cfRule>
    <cfRule type="colorScale" priority="3450">
      <colorScale>
        <cfvo type="min"/>
        <cfvo type="percentile" val="50"/>
        <cfvo type="max"/>
        <color rgb="FF63BE7B"/>
        <color rgb="FFFFEB84"/>
        <color rgb="FFF8696B"/>
      </colorScale>
    </cfRule>
    <cfRule type="colorScale" priority="3449">
      <colorScale>
        <cfvo type="min"/>
        <cfvo type="percentile" val="50"/>
        <cfvo type="max"/>
        <color rgb="FF63BE7B"/>
        <color rgb="FFFFEB84"/>
        <color rgb="FFF8696B"/>
      </colorScale>
    </cfRule>
    <cfRule type="colorScale" priority="3448">
      <colorScale>
        <cfvo type="min"/>
        <cfvo type="percentile" val="50"/>
        <cfvo type="max"/>
        <color rgb="FF63BE7B"/>
        <color rgb="FFFFEB84"/>
        <color rgb="FFF8696B"/>
      </colorScale>
    </cfRule>
    <cfRule type="colorScale" priority="3447">
      <colorScale>
        <cfvo type="min"/>
        <cfvo type="percentile" val="50"/>
        <cfvo type="max"/>
        <color rgb="FF63BE7B"/>
        <color rgb="FFFFEB84"/>
        <color rgb="FFF8696B"/>
      </colorScale>
    </cfRule>
    <cfRule type="colorScale" priority="3446">
      <colorScale>
        <cfvo type="min"/>
        <cfvo type="percentile" val="50"/>
        <cfvo type="max"/>
        <color rgb="FF63BE7B"/>
        <color rgb="FFFFEB84"/>
        <color rgb="FFF8696B"/>
      </colorScale>
    </cfRule>
    <cfRule type="colorScale" priority="3445">
      <colorScale>
        <cfvo type="min"/>
        <cfvo type="percentile" val="50"/>
        <cfvo type="max"/>
        <color rgb="FF63BE7B"/>
        <color rgb="FFFFEB84"/>
        <color rgb="FFF8696B"/>
      </colorScale>
    </cfRule>
    <cfRule type="colorScale" priority="3444">
      <colorScale>
        <cfvo type="min"/>
        <cfvo type="percentile" val="50"/>
        <cfvo type="max"/>
        <color rgb="FF63BE7B"/>
        <color rgb="FFFFEB84"/>
        <color rgb="FFF8696B"/>
      </colorScale>
    </cfRule>
    <cfRule type="colorScale" priority="3443">
      <colorScale>
        <cfvo type="min"/>
        <cfvo type="percentile" val="50"/>
        <cfvo type="max"/>
        <color rgb="FF63BE7B"/>
        <color rgb="FFFFEB84"/>
        <color rgb="FFF8696B"/>
      </colorScale>
    </cfRule>
    <cfRule type="colorScale" priority="3442">
      <colorScale>
        <cfvo type="min"/>
        <cfvo type="percentile" val="50"/>
        <cfvo type="max"/>
        <color rgb="FF63BE7B"/>
        <color rgb="FFFFEB84"/>
        <color rgb="FFF8696B"/>
      </colorScale>
    </cfRule>
    <cfRule type="colorScale" priority="3441">
      <colorScale>
        <cfvo type="min"/>
        <cfvo type="percentile" val="50"/>
        <cfvo type="max"/>
        <color rgb="FF63BE7B"/>
        <color rgb="FFFFEB84"/>
        <color rgb="FFF8696B"/>
      </colorScale>
    </cfRule>
    <cfRule type="colorScale" priority="3440">
      <colorScale>
        <cfvo type="min"/>
        <cfvo type="percentile" val="50"/>
        <cfvo type="max"/>
        <color rgb="FFF8696B"/>
        <color rgb="FFFFEB84"/>
        <color rgb="FF63BE7B"/>
      </colorScale>
    </cfRule>
    <cfRule type="colorScale" priority="3439">
      <colorScale>
        <cfvo type="min"/>
        <cfvo type="percentile" val="50"/>
        <cfvo type="max"/>
        <color rgb="FF63BE7B"/>
        <color rgb="FFFFEB84"/>
        <color rgb="FFF8696B"/>
      </colorScale>
    </cfRule>
    <cfRule type="colorScale" priority="3438">
      <colorScale>
        <cfvo type="min"/>
        <cfvo type="percentile" val="50"/>
        <cfvo type="max"/>
        <color rgb="FF63BE7B"/>
        <color rgb="FFFFEB84"/>
        <color rgb="FFF8696B"/>
      </colorScale>
    </cfRule>
    <cfRule type="colorScale" priority="3437">
      <colorScale>
        <cfvo type="min"/>
        <cfvo type="percentile" val="50"/>
        <cfvo type="max"/>
        <color rgb="FF63BE7B"/>
        <color rgb="FFFFEB84"/>
        <color rgb="FFF8696B"/>
      </colorScale>
    </cfRule>
    <cfRule type="colorScale" priority="3436">
      <colorScale>
        <cfvo type="min"/>
        <cfvo type="percentile" val="50"/>
        <cfvo type="max"/>
        <color rgb="FF63BE7B"/>
        <color rgb="FFFFEB84"/>
        <color rgb="FFF8696B"/>
      </colorScale>
    </cfRule>
    <cfRule type="colorScale" priority="3435">
      <colorScale>
        <cfvo type="min"/>
        <cfvo type="percentile" val="50"/>
        <cfvo type="max"/>
        <color rgb="FF63BE7B"/>
        <color rgb="FFFFEB84"/>
        <color rgb="FFF8696B"/>
      </colorScale>
    </cfRule>
    <cfRule type="colorScale" priority="3434">
      <colorScale>
        <cfvo type="min"/>
        <cfvo type="percentile" val="50"/>
        <cfvo type="max"/>
        <color rgb="FF63BE7B"/>
        <color rgb="FFFFEB84"/>
        <color rgb="FFF8696B"/>
      </colorScale>
    </cfRule>
    <cfRule type="colorScale" priority="3433">
      <colorScale>
        <cfvo type="min"/>
        <cfvo type="percentile" val="50"/>
        <cfvo type="max"/>
        <color rgb="FF63BE7B"/>
        <color rgb="FFFFEB84"/>
        <color rgb="FFF8696B"/>
      </colorScale>
    </cfRule>
    <cfRule type="colorScale" priority="3432">
      <colorScale>
        <cfvo type="min"/>
        <cfvo type="percentile" val="50"/>
        <cfvo type="max"/>
        <color rgb="FF63BE7B"/>
        <color rgb="FFFFEB84"/>
        <color rgb="FFF8696B"/>
      </colorScale>
    </cfRule>
    <cfRule type="colorScale" priority="3431">
      <colorScale>
        <cfvo type="min"/>
        <cfvo type="percentile" val="50"/>
        <cfvo type="max"/>
        <color rgb="FF63BE7B"/>
        <color rgb="FFFFEB84"/>
        <color rgb="FFF8696B"/>
      </colorScale>
    </cfRule>
    <cfRule type="colorScale" priority="3430">
      <colorScale>
        <cfvo type="min"/>
        <cfvo type="percentile" val="50"/>
        <cfvo type="max"/>
        <color rgb="FF63BE7B"/>
        <color rgb="FFFFEB84"/>
        <color rgb="FFF8696B"/>
      </colorScale>
    </cfRule>
    <cfRule type="colorScale" priority="3429">
      <colorScale>
        <cfvo type="min"/>
        <cfvo type="percentile" val="50"/>
        <cfvo type="max"/>
        <color rgb="FF63BE7B"/>
        <color rgb="FFFFEB84"/>
        <color rgb="FFF8696B"/>
      </colorScale>
    </cfRule>
    <cfRule type="colorScale" priority="3428">
      <colorScale>
        <cfvo type="min"/>
        <cfvo type="percentile" val="50"/>
        <cfvo type="max"/>
        <color rgb="FF63BE7B"/>
        <color rgb="FFFFEB84"/>
        <color rgb="FFF8696B"/>
      </colorScale>
    </cfRule>
    <cfRule type="colorScale" priority="3427">
      <colorScale>
        <cfvo type="min"/>
        <cfvo type="percentile" val="50"/>
        <cfvo type="max"/>
        <color rgb="FF63BE7B"/>
        <color rgb="FFFFEB84"/>
        <color rgb="FFF8696B"/>
      </colorScale>
    </cfRule>
    <cfRule type="colorScale" priority="3426">
      <colorScale>
        <cfvo type="min"/>
        <cfvo type="percentile" val="50"/>
        <cfvo type="max"/>
        <color rgb="FF63BE7B"/>
        <color rgb="FFFFEB84"/>
        <color rgb="FFF8696B"/>
      </colorScale>
    </cfRule>
    <cfRule type="colorScale" priority="3425">
      <colorScale>
        <cfvo type="min"/>
        <cfvo type="percentile" val="50"/>
        <cfvo type="max"/>
        <color rgb="FF63BE7B"/>
        <color rgb="FFFFEB84"/>
        <color rgb="FFF8696B"/>
      </colorScale>
    </cfRule>
    <cfRule type="colorScale" priority="3424">
      <colorScale>
        <cfvo type="min"/>
        <cfvo type="percentile" val="50"/>
        <cfvo type="max"/>
        <color rgb="FF63BE7B"/>
        <color rgb="FFFFEB84"/>
        <color rgb="FFF8696B"/>
      </colorScale>
    </cfRule>
    <cfRule type="colorScale" priority="3423">
      <colorScale>
        <cfvo type="min"/>
        <cfvo type="percentile" val="50"/>
        <cfvo type="max"/>
        <color rgb="FF63BE7B"/>
        <color rgb="FFFFEB84"/>
        <color rgb="FFF8696B"/>
      </colorScale>
    </cfRule>
    <cfRule type="colorScale" priority="3422">
      <colorScale>
        <cfvo type="min"/>
        <cfvo type="percentile" val="50"/>
        <cfvo type="max"/>
        <color rgb="FF63BE7B"/>
        <color rgb="FFFFEB84"/>
        <color rgb="FFF8696B"/>
      </colorScale>
    </cfRule>
    <cfRule type="colorScale" priority="3421">
      <colorScale>
        <cfvo type="min"/>
        <cfvo type="percentile" val="50"/>
        <cfvo type="max"/>
        <color rgb="FF63BE7B"/>
        <color rgb="FFFFEB84"/>
        <color rgb="FFF8696B"/>
      </colorScale>
    </cfRule>
    <cfRule type="colorScale" priority="3420">
      <colorScale>
        <cfvo type="min"/>
        <cfvo type="percentile" val="50"/>
        <cfvo type="max"/>
        <color rgb="FF63BE7B"/>
        <color rgb="FFFFEB84"/>
        <color rgb="FFF8696B"/>
      </colorScale>
    </cfRule>
    <cfRule type="colorScale" priority="3419">
      <colorScale>
        <cfvo type="min"/>
        <cfvo type="percentile" val="50"/>
        <cfvo type="max"/>
        <color rgb="FF63BE7B"/>
        <color rgb="FFFFEB84"/>
        <color rgb="FFF8696B"/>
      </colorScale>
    </cfRule>
    <cfRule type="colorScale" priority="3418">
      <colorScale>
        <cfvo type="min"/>
        <cfvo type="percentile" val="50"/>
        <cfvo type="max"/>
        <color rgb="FF63BE7B"/>
        <color rgb="FFFFEB84"/>
        <color rgb="FFF8696B"/>
      </colorScale>
    </cfRule>
    <cfRule type="colorScale" priority="3417">
      <colorScale>
        <cfvo type="min"/>
        <cfvo type="percentile" val="50"/>
        <cfvo type="max"/>
        <color rgb="FF63BE7B"/>
        <color rgb="FFFFEB84"/>
        <color rgb="FFF8696B"/>
      </colorScale>
    </cfRule>
    <cfRule type="colorScale" priority="3416">
      <colorScale>
        <cfvo type="min"/>
        <cfvo type="percentile" val="50"/>
        <cfvo type="max"/>
        <color rgb="FF63BE7B"/>
        <color rgb="FFFFEB84"/>
        <color rgb="FFF8696B"/>
      </colorScale>
    </cfRule>
    <cfRule type="colorScale" priority="3415">
      <colorScale>
        <cfvo type="min"/>
        <cfvo type="percentile" val="50"/>
        <cfvo type="max"/>
        <color rgb="FF63BE7B"/>
        <color rgb="FFFFEB84"/>
        <color rgb="FFF8696B"/>
      </colorScale>
    </cfRule>
    <cfRule type="colorScale" priority="3414">
      <colorScale>
        <cfvo type="min"/>
        <cfvo type="percentile" val="50"/>
        <cfvo type="max"/>
        <color rgb="FF63BE7B"/>
        <color rgb="FFFFEB84"/>
        <color rgb="FFF8696B"/>
      </colorScale>
    </cfRule>
    <cfRule type="colorScale" priority="3413">
      <colorScale>
        <cfvo type="min"/>
        <cfvo type="percentile" val="50"/>
        <cfvo type="max"/>
        <color rgb="FF63BE7B"/>
        <color rgb="FFFFEB84"/>
        <color rgb="FFF8696B"/>
      </colorScale>
    </cfRule>
    <cfRule type="colorScale" priority="3412">
      <colorScale>
        <cfvo type="min"/>
        <cfvo type="percentile" val="50"/>
        <cfvo type="max"/>
        <color rgb="FF63BE7B"/>
        <color rgb="FFFFEB84"/>
        <color rgb="FFF8696B"/>
      </colorScale>
    </cfRule>
    <cfRule type="colorScale" priority="3411">
      <colorScale>
        <cfvo type="min"/>
        <cfvo type="percentile" val="50"/>
        <cfvo type="max"/>
        <color rgb="FF63BE7B"/>
        <color rgb="FFFFEB84"/>
        <color rgb="FFF8696B"/>
      </colorScale>
    </cfRule>
    <cfRule type="colorScale" priority="3410">
      <colorScale>
        <cfvo type="min"/>
        <cfvo type="percentile" val="50"/>
        <cfvo type="max"/>
        <color rgb="FF63BE7B"/>
        <color rgb="FFFFEB84"/>
        <color rgb="FFF8696B"/>
      </colorScale>
    </cfRule>
    <cfRule type="colorScale" priority="3409">
      <colorScale>
        <cfvo type="min"/>
        <cfvo type="percentile" val="50"/>
        <cfvo type="max"/>
        <color rgb="FF63BE7B"/>
        <color rgb="FFFFEB84"/>
        <color rgb="FFF8696B"/>
      </colorScale>
    </cfRule>
    <cfRule type="colorScale" priority="3408">
      <colorScale>
        <cfvo type="min"/>
        <cfvo type="percentile" val="50"/>
        <cfvo type="max"/>
        <color rgb="FF63BE7B"/>
        <color rgb="FFFFEB84"/>
        <color rgb="FFF8696B"/>
      </colorScale>
    </cfRule>
    <cfRule type="colorScale" priority="3407">
      <colorScale>
        <cfvo type="min"/>
        <cfvo type="percentile" val="50"/>
        <cfvo type="max"/>
        <color rgb="FF63BE7B"/>
        <color rgb="FFFFEB84"/>
        <color rgb="FFF8696B"/>
      </colorScale>
    </cfRule>
    <cfRule type="colorScale" priority="3406">
      <colorScale>
        <cfvo type="min"/>
        <cfvo type="percentile" val="50"/>
        <cfvo type="max"/>
        <color rgb="FF63BE7B"/>
        <color rgb="FFFFEB84"/>
        <color rgb="FFF8696B"/>
      </colorScale>
    </cfRule>
    <cfRule type="colorScale" priority="3405">
      <colorScale>
        <cfvo type="min"/>
        <cfvo type="percentile" val="50"/>
        <cfvo type="max"/>
        <color rgb="FF63BE7B"/>
        <color rgb="FFFFEB84"/>
        <color rgb="FFF8696B"/>
      </colorScale>
    </cfRule>
    <cfRule type="colorScale" priority="3404">
      <colorScale>
        <cfvo type="min"/>
        <cfvo type="percentile" val="50"/>
        <cfvo type="max"/>
        <color rgb="FF63BE7B"/>
        <color rgb="FFFFEB84"/>
        <color rgb="FFF8696B"/>
      </colorScale>
    </cfRule>
    <cfRule type="colorScale" priority="3403">
      <colorScale>
        <cfvo type="min"/>
        <cfvo type="percentile" val="50"/>
        <cfvo type="max"/>
        <color rgb="FF63BE7B"/>
        <color rgb="FFFFEB84"/>
        <color rgb="FFF8696B"/>
      </colorScale>
    </cfRule>
    <cfRule type="colorScale" priority="3402">
      <colorScale>
        <cfvo type="min"/>
        <cfvo type="percentile" val="50"/>
        <cfvo type="max"/>
        <color rgb="FF63BE7B"/>
        <color rgb="FFFFEB84"/>
        <color rgb="FFF8696B"/>
      </colorScale>
    </cfRule>
    <cfRule type="colorScale" priority="3401">
      <colorScale>
        <cfvo type="min"/>
        <cfvo type="percentile" val="50"/>
        <cfvo type="max"/>
        <color rgb="FF63BE7B"/>
        <color rgb="FFFFEB84"/>
        <color rgb="FFF8696B"/>
      </colorScale>
    </cfRule>
    <cfRule type="colorScale" priority="3400">
      <colorScale>
        <cfvo type="min"/>
        <cfvo type="percentile" val="50"/>
        <cfvo type="max"/>
        <color rgb="FF63BE7B"/>
        <color rgb="FFFFEB84"/>
        <color rgb="FFF8696B"/>
      </colorScale>
    </cfRule>
    <cfRule type="colorScale" priority="3399">
      <colorScale>
        <cfvo type="min"/>
        <cfvo type="percentile" val="50"/>
        <cfvo type="max"/>
        <color rgb="FF63BE7B"/>
        <color rgb="FFFFEB84"/>
        <color rgb="FFF8696B"/>
      </colorScale>
    </cfRule>
    <cfRule type="colorScale" priority="3398">
      <colorScale>
        <cfvo type="min"/>
        <cfvo type="percentile" val="50"/>
        <cfvo type="max"/>
        <color rgb="FF63BE7B"/>
        <color rgb="FFFFEB84"/>
        <color rgb="FFF8696B"/>
      </colorScale>
    </cfRule>
    <cfRule type="colorScale" priority="3397">
      <colorScale>
        <cfvo type="min"/>
        <cfvo type="percentile" val="50"/>
        <cfvo type="max"/>
        <color rgb="FF63BE7B"/>
        <color rgb="FFFFEB84"/>
        <color rgb="FFF8696B"/>
      </colorScale>
    </cfRule>
    <cfRule type="colorScale" priority="3396">
      <colorScale>
        <cfvo type="min"/>
        <cfvo type="percentile" val="50"/>
        <cfvo type="max"/>
        <color rgb="FF63BE7B"/>
        <color rgb="FFFFEB84"/>
        <color rgb="FFF8696B"/>
      </colorScale>
    </cfRule>
    <cfRule type="colorScale" priority="3395">
      <colorScale>
        <cfvo type="min"/>
        <cfvo type="percentile" val="50"/>
        <cfvo type="max"/>
        <color rgb="FF63BE7B"/>
        <color rgb="FFFFEB84"/>
        <color rgb="FFF8696B"/>
      </colorScale>
    </cfRule>
    <cfRule type="colorScale" priority="3394">
      <colorScale>
        <cfvo type="min"/>
        <cfvo type="percentile" val="50"/>
        <cfvo type="max"/>
        <color rgb="FF63BE7B"/>
        <color rgb="FFFFEB84"/>
        <color rgb="FFF8696B"/>
      </colorScale>
    </cfRule>
    <cfRule type="colorScale" priority="3002">
      <colorScale>
        <cfvo type="min"/>
        <cfvo type="percentile" val="50"/>
        <cfvo type="max"/>
        <color rgb="FF63BE7B"/>
        <color rgb="FFFFEB84"/>
        <color rgb="FFF8696B"/>
      </colorScale>
    </cfRule>
    <cfRule type="colorScale" priority="3001">
      <colorScale>
        <cfvo type="min"/>
        <cfvo type="percentile" val="50"/>
        <cfvo type="max"/>
        <color rgb="FF63BE7B"/>
        <color rgb="FFFFEB84"/>
        <color rgb="FFF8696B"/>
      </colorScale>
    </cfRule>
    <cfRule type="colorScale" priority="3000">
      <colorScale>
        <cfvo type="min"/>
        <cfvo type="percentile" val="50"/>
        <cfvo type="max"/>
        <color rgb="FF63BE7B"/>
        <color rgb="FFFFEB84"/>
        <color rgb="FFF8696B"/>
      </colorScale>
    </cfRule>
    <cfRule type="colorScale" priority="2999">
      <colorScale>
        <cfvo type="min"/>
        <cfvo type="percentile" val="50"/>
        <cfvo type="max"/>
        <color rgb="FF63BE7B"/>
        <color rgb="FFFFEB84"/>
        <color rgb="FFF8696B"/>
      </colorScale>
    </cfRule>
    <cfRule type="colorScale" priority="2998">
      <colorScale>
        <cfvo type="min"/>
        <cfvo type="percentile" val="50"/>
        <cfvo type="max"/>
        <color rgb="FF63BE7B"/>
        <color rgb="FFFFEB84"/>
        <color rgb="FFF8696B"/>
      </colorScale>
    </cfRule>
    <cfRule type="colorScale" priority="2997">
      <colorScale>
        <cfvo type="min"/>
        <cfvo type="percentile" val="50"/>
        <cfvo type="max"/>
        <color rgb="FF63BE7B"/>
        <color rgb="FFFFEB84"/>
        <color rgb="FFF8696B"/>
      </colorScale>
    </cfRule>
    <cfRule type="colorScale" priority="2996">
      <colorScale>
        <cfvo type="min"/>
        <cfvo type="percentile" val="50"/>
        <cfvo type="max"/>
        <color rgb="FF63BE7B"/>
        <color rgb="FFFFEB84"/>
        <color rgb="FFF8696B"/>
      </colorScale>
    </cfRule>
    <cfRule type="colorScale" priority="2995">
      <colorScale>
        <cfvo type="min"/>
        <cfvo type="percentile" val="50"/>
        <cfvo type="max"/>
        <color rgb="FF63BE7B"/>
        <color rgb="FFFFEB84"/>
        <color rgb="FFF8696B"/>
      </colorScale>
    </cfRule>
    <cfRule type="colorScale" priority="2994">
      <colorScale>
        <cfvo type="min"/>
        <cfvo type="percentile" val="50"/>
        <cfvo type="max"/>
        <color rgb="FF63BE7B"/>
        <color rgb="FFFFEB84"/>
        <color rgb="FFF8696B"/>
      </colorScale>
    </cfRule>
    <cfRule type="colorScale" priority="2993">
      <colorScale>
        <cfvo type="min"/>
        <cfvo type="percentile" val="50"/>
        <cfvo type="max"/>
        <color rgb="FF63BE7B"/>
        <color rgb="FFFFEB84"/>
        <color rgb="FFF8696B"/>
      </colorScale>
    </cfRule>
    <cfRule type="colorScale" priority="2992">
      <colorScale>
        <cfvo type="min"/>
        <cfvo type="percentile" val="50"/>
        <cfvo type="max"/>
        <color rgb="FF63BE7B"/>
        <color rgb="FFFFEB84"/>
        <color rgb="FFF8696B"/>
      </colorScale>
    </cfRule>
    <cfRule type="colorScale" priority="2991">
      <colorScale>
        <cfvo type="min"/>
        <cfvo type="percentile" val="50"/>
        <cfvo type="max"/>
        <color rgb="FF63BE7B"/>
        <color rgb="FFFFEB84"/>
        <color rgb="FFF8696B"/>
      </colorScale>
    </cfRule>
    <cfRule type="colorScale" priority="2990">
      <colorScale>
        <cfvo type="min"/>
        <cfvo type="percentile" val="50"/>
        <cfvo type="max"/>
        <color rgb="FF63BE7B"/>
        <color rgb="FFFFEB84"/>
        <color rgb="FFF8696B"/>
      </colorScale>
    </cfRule>
    <cfRule type="colorScale" priority="2989">
      <colorScale>
        <cfvo type="min"/>
        <cfvo type="percentile" val="50"/>
        <cfvo type="max"/>
        <color rgb="FF63BE7B"/>
        <color rgb="FFFFEB84"/>
        <color rgb="FFF8696B"/>
      </colorScale>
    </cfRule>
    <cfRule type="colorScale" priority="3393">
      <colorScale>
        <cfvo type="min"/>
        <cfvo type="percentile" val="50"/>
        <cfvo type="max"/>
        <color rgb="FF63BE7B"/>
        <color rgb="FFFFEB84"/>
        <color rgb="FFF8696B"/>
      </colorScale>
    </cfRule>
    <cfRule type="colorScale" priority="3392">
      <colorScale>
        <cfvo type="min"/>
        <cfvo type="percentile" val="50"/>
        <cfvo type="max"/>
        <color rgb="FF63BE7B"/>
        <color rgb="FFFFEB84"/>
        <color rgb="FFF8696B"/>
      </colorScale>
    </cfRule>
    <cfRule type="colorScale" priority="3391">
      <colorScale>
        <cfvo type="min"/>
        <cfvo type="percentile" val="50"/>
        <cfvo type="max"/>
        <color rgb="FF63BE7B"/>
        <color rgb="FFFFEB84"/>
        <color rgb="FFF8696B"/>
      </colorScale>
    </cfRule>
    <cfRule type="colorScale" priority="3390">
      <colorScale>
        <cfvo type="min"/>
        <cfvo type="percentile" val="50"/>
        <cfvo type="max"/>
        <color rgb="FF63BE7B"/>
        <color rgb="FFFFEB84"/>
        <color rgb="FFF8696B"/>
      </colorScale>
    </cfRule>
    <cfRule type="colorScale" priority="3389">
      <colorScale>
        <cfvo type="min"/>
        <cfvo type="percentile" val="50"/>
        <cfvo type="max"/>
        <color rgb="FF63BE7B"/>
        <color rgb="FFFFEB84"/>
        <color rgb="FFF8696B"/>
      </colorScale>
    </cfRule>
    <cfRule type="colorScale" priority="3388">
      <colorScale>
        <cfvo type="min"/>
        <cfvo type="percentile" val="50"/>
        <cfvo type="max"/>
        <color rgb="FF63BE7B"/>
        <color rgb="FFFFEB84"/>
        <color rgb="FFF8696B"/>
      </colorScale>
    </cfRule>
    <cfRule type="colorScale" priority="3387">
      <colorScale>
        <cfvo type="min"/>
        <cfvo type="percentile" val="50"/>
        <cfvo type="max"/>
        <color rgb="FF63BE7B"/>
        <color rgb="FFFFEB84"/>
        <color rgb="FFF8696B"/>
      </colorScale>
    </cfRule>
    <cfRule type="colorScale" priority="3386">
      <colorScale>
        <cfvo type="min"/>
        <cfvo type="percentile" val="50"/>
        <cfvo type="max"/>
        <color rgb="FF63BE7B"/>
        <color rgb="FFFFEB84"/>
        <color rgb="FFF8696B"/>
      </colorScale>
    </cfRule>
    <cfRule type="colorScale" priority="3385">
      <colorScale>
        <cfvo type="min"/>
        <cfvo type="percentile" val="50"/>
        <cfvo type="max"/>
        <color rgb="FF63BE7B"/>
        <color rgb="FFFFEB84"/>
        <color rgb="FFF8696B"/>
      </colorScale>
    </cfRule>
    <cfRule type="colorScale" priority="3384">
      <colorScale>
        <cfvo type="min"/>
        <cfvo type="percentile" val="50"/>
        <cfvo type="max"/>
        <color rgb="FF63BE7B"/>
        <color rgb="FFFFEB84"/>
        <color rgb="FFF8696B"/>
      </colorScale>
    </cfRule>
    <cfRule type="colorScale" priority="3383">
      <colorScale>
        <cfvo type="min"/>
        <cfvo type="percentile" val="50"/>
        <cfvo type="max"/>
        <color rgb="FF63BE7B"/>
        <color rgb="FFFFEB84"/>
        <color rgb="FFF8696B"/>
      </colorScale>
    </cfRule>
    <cfRule type="colorScale" priority="3382">
      <colorScale>
        <cfvo type="min"/>
        <cfvo type="percentile" val="50"/>
        <cfvo type="max"/>
        <color rgb="FF63BE7B"/>
        <color rgb="FFFFEB84"/>
        <color rgb="FFF8696B"/>
      </colorScale>
    </cfRule>
    <cfRule type="colorScale" priority="3381">
      <colorScale>
        <cfvo type="min"/>
        <cfvo type="percentile" val="50"/>
        <cfvo type="max"/>
        <color rgb="FF63BE7B"/>
        <color rgb="FFFFEB84"/>
        <color rgb="FFF8696B"/>
      </colorScale>
    </cfRule>
    <cfRule type="colorScale" priority="3380">
      <colorScale>
        <cfvo type="min"/>
        <cfvo type="percentile" val="50"/>
        <cfvo type="max"/>
        <color rgb="FF63BE7B"/>
        <color rgb="FFFFEB84"/>
        <color rgb="FFF8696B"/>
      </colorScale>
    </cfRule>
    <cfRule type="colorScale" priority="3379">
      <colorScale>
        <cfvo type="min"/>
        <cfvo type="percentile" val="50"/>
        <cfvo type="max"/>
        <color rgb="FF63BE7B"/>
        <color rgb="FFFFEB84"/>
        <color rgb="FFF8696B"/>
      </colorScale>
    </cfRule>
    <cfRule type="colorScale" priority="3378">
      <colorScale>
        <cfvo type="min"/>
        <cfvo type="percentile" val="50"/>
        <cfvo type="max"/>
        <color rgb="FF63BE7B"/>
        <color rgb="FFFFEB84"/>
        <color rgb="FFF8696B"/>
      </colorScale>
    </cfRule>
    <cfRule type="colorScale" priority="3377">
      <colorScale>
        <cfvo type="min"/>
        <cfvo type="percentile" val="50"/>
        <cfvo type="max"/>
        <color rgb="FF63BE7B"/>
        <color rgb="FFFFEB84"/>
        <color rgb="FFF8696B"/>
      </colorScale>
    </cfRule>
    <cfRule type="colorScale" priority="3376">
      <colorScale>
        <cfvo type="min"/>
        <cfvo type="percentile" val="50"/>
        <cfvo type="max"/>
        <color rgb="FF63BE7B"/>
        <color rgb="FFFFEB84"/>
        <color rgb="FFF8696B"/>
      </colorScale>
    </cfRule>
    <cfRule type="colorScale" priority="3375">
      <colorScale>
        <cfvo type="min"/>
        <cfvo type="percentile" val="50"/>
        <cfvo type="max"/>
        <color rgb="FF63BE7B"/>
        <color rgb="FFFFEB84"/>
        <color rgb="FFF8696B"/>
      </colorScale>
    </cfRule>
    <cfRule type="colorScale" priority="3374">
      <colorScale>
        <cfvo type="min"/>
        <cfvo type="percentile" val="50"/>
        <cfvo type="max"/>
        <color rgb="FF63BE7B"/>
        <color rgb="FFFFEB84"/>
        <color rgb="FFF8696B"/>
      </colorScale>
    </cfRule>
    <cfRule type="colorScale" priority="3373">
      <colorScale>
        <cfvo type="min"/>
        <cfvo type="percentile" val="50"/>
        <cfvo type="max"/>
        <color rgb="FF63BE7B"/>
        <color rgb="FFFFEB84"/>
        <color rgb="FFF8696B"/>
      </colorScale>
    </cfRule>
    <cfRule type="colorScale" priority="3372">
      <colorScale>
        <cfvo type="min"/>
        <cfvo type="percentile" val="50"/>
        <cfvo type="max"/>
        <color rgb="FF63BE7B"/>
        <color rgb="FFFFEB84"/>
        <color rgb="FFF8696B"/>
      </colorScale>
    </cfRule>
    <cfRule type="colorScale" priority="3371">
      <colorScale>
        <cfvo type="min"/>
        <cfvo type="percentile" val="50"/>
        <cfvo type="max"/>
        <color rgb="FF63BE7B"/>
        <color rgb="FFFFEB84"/>
        <color rgb="FFF8696B"/>
      </colorScale>
    </cfRule>
    <cfRule type="colorScale" priority="3370">
      <colorScale>
        <cfvo type="min"/>
        <cfvo type="percentile" val="50"/>
        <cfvo type="max"/>
        <color rgb="FF63BE7B"/>
        <color rgb="FFFFEB84"/>
        <color rgb="FFF8696B"/>
      </colorScale>
    </cfRule>
    <cfRule type="colorScale" priority="3369">
      <colorScale>
        <cfvo type="min"/>
        <cfvo type="percentile" val="50"/>
        <cfvo type="max"/>
        <color rgb="FF63BE7B"/>
        <color rgb="FFFFEB84"/>
        <color rgb="FFF8696B"/>
      </colorScale>
    </cfRule>
    <cfRule type="colorScale" priority="3368">
      <colorScale>
        <cfvo type="min"/>
        <cfvo type="percentile" val="50"/>
        <cfvo type="max"/>
        <color rgb="FF63BE7B"/>
        <color rgb="FFFFEB84"/>
        <color rgb="FFF8696B"/>
      </colorScale>
    </cfRule>
    <cfRule type="colorScale" priority="3367">
      <colorScale>
        <cfvo type="min"/>
        <cfvo type="percentile" val="50"/>
        <cfvo type="max"/>
        <color rgb="FF63BE7B"/>
        <color rgb="FFFFEB84"/>
        <color rgb="FFF8696B"/>
      </colorScale>
    </cfRule>
    <cfRule type="colorScale" priority="3366">
      <colorScale>
        <cfvo type="min"/>
        <cfvo type="percentile" val="50"/>
        <cfvo type="max"/>
        <color rgb="FF63BE7B"/>
        <color rgb="FFFFEB84"/>
        <color rgb="FFF8696B"/>
      </colorScale>
    </cfRule>
    <cfRule type="colorScale" priority="3365">
      <colorScale>
        <cfvo type="min"/>
        <cfvo type="percentile" val="50"/>
        <cfvo type="max"/>
        <color rgb="FF63BE7B"/>
        <color rgb="FFFFEB84"/>
        <color rgb="FFF8696B"/>
      </colorScale>
    </cfRule>
    <cfRule type="colorScale" priority="3364">
      <colorScale>
        <cfvo type="min"/>
        <cfvo type="percentile" val="50"/>
        <cfvo type="max"/>
        <color rgb="FF63BE7B"/>
        <color rgb="FFFFEB84"/>
        <color rgb="FFF8696B"/>
      </colorScale>
    </cfRule>
    <cfRule type="colorScale" priority="3363">
      <colorScale>
        <cfvo type="min"/>
        <cfvo type="percentile" val="50"/>
        <cfvo type="max"/>
        <color rgb="FF63BE7B"/>
        <color rgb="FFFFEB84"/>
        <color rgb="FFF8696B"/>
      </colorScale>
    </cfRule>
    <cfRule type="colorScale" priority="3362">
      <colorScale>
        <cfvo type="min"/>
        <cfvo type="percentile" val="50"/>
        <cfvo type="max"/>
        <color rgb="FF63BE7B"/>
        <color rgb="FFFFEB84"/>
        <color rgb="FFF8696B"/>
      </colorScale>
    </cfRule>
    <cfRule type="colorScale" priority="3361">
      <colorScale>
        <cfvo type="min"/>
        <cfvo type="percentile" val="50"/>
        <cfvo type="max"/>
        <color rgb="FF63BE7B"/>
        <color rgb="FFFFEB84"/>
        <color rgb="FFF8696B"/>
      </colorScale>
    </cfRule>
    <cfRule type="colorScale" priority="3360">
      <colorScale>
        <cfvo type="min"/>
        <cfvo type="percentile" val="50"/>
        <cfvo type="max"/>
        <color rgb="FF63BE7B"/>
        <color rgb="FFFFEB84"/>
        <color rgb="FFF8696B"/>
      </colorScale>
    </cfRule>
    <cfRule type="colorScale" priority="3359">
      <colorScale>
        <cfvo type="min"/>
        <cfvo type="percentile" val="50"/>
        <cfvo type="max"/>
        <color rgb="FFF8696B"/>
        <color rgb="FFFFEB84"/>
        <color rgb="FF63BE7B"/>
      </colorScale>
    </cfRule>
    <cfRule type="colorScale" priority="3358">
      <colorScale>
        <cfvo type="min"/>
        <cfvo type="percentile" val="50"/>
        <cfvo type="max"/>
        <color rgb="FF63BE7B"/>
        <color rgb="FFFFEB84"/>
        <color rgb="FFF8696B"/>
      </colorScale>
    </cfRule>
    <cfRule type="colorScale" priority="3357">
      <colorScale>
        <cfvo type="min"/>
        <cfvo type="percentile" val="50"/>
        <cfvo type="max"/>
        <color rgb="FF63BE7B"/>
        <color rgb="FFFFEB84"/>
        <color rgb="FFF8696B"/>
      </colorScale>
    </cfRule>
    <cfRule type="colorScale" priority="3356">
      <colorScale>
        <cfvo type="min"/>
        <cfvo type="percentile" val="50"/>
        <cfvo type="max"/>
        <color rgb="FF63BE7B"/>
        <color rgb="FFFFEB84"/>
        <color rgb="FFF8696B"/>
      </colorScale>
    </cfRule>
    <cfRule type="colorScale" priority="3355">
      <colorScale>
        <cfvo type="min"/>
        <cfvo type="percentile" val="50"/>
        <cfvo type="max"/>
        <color rgb="FF63BE7B"/>
        <color rgb="FFFFEB84"/>
        <color rgb="FFF8696B"/>
      </colorScale>
    </cfRule>
    <cfRule type="colorScale" priority="3354">
      <colorScale>
        <cfvo type="min"/>
        <cfvo type="percentile" val="50"/>
        <cfvo type="max"/>
        <color rgb="FF63BE7B"/>
        <color rgb="FFFFEB84"/>
        <color rgb="FFF8696B"/>
      </colorScale>
    </cfRule>
    <cfRule type="colorScale" priority="3353">
      <colorScale>
        <cfvo type="min"/>
        <cfvo type="percentile" val="50"/>
        <cfvo type="max"/>
        <color rgb="FF63BE7B"/>
        <color rgb="FFFFEB84"/>
        <color rgb="FFF8696B"/>
      </colorScale>
    </cfRule>
    <cfRule type="colorScale" priority="3352">
      <colorScale>
        <cfvo type="min"/>
        <cfvo type="percentile" val="50"/>
        <cfvo type="max"/>
        <color rgb="FF63BE7B"/>
        <color rgb="FFFFEB84"/>
        <color rgb="FFF8696B"/>
      </colorScale>
    </cfRule>
    <cfRule type="colorScale" priority="3351">
      <colorScale>
        <cfvo type="min"/>
        <cfvo type="percentile" val="50"/>
        <cfvo type="max"/>
        <color rgb="FF63BE7B"/>
        <color rgb="FFFFEB84"/>
        <color rgb="FFF8696B"/>
      </colorScale>
    </cfRule>
    <cfRule type="colorScale" priority="3350">
      <colorScale>
        <cfvo type="min"/>
        <cfvo type="percentile" val="50"/>
        <cfvo type="max"/>
        <color rgb="FF63BE7B"/>
        <color rgb="FFFFEB84"/>
        <color rgb="FFF8696B"/>
      </colorScale>
    </cfRule>
    <cfRule type="colorScale" priority="3349">
      <colorScale>
        <cfvo type="min"/>
        <cfvo type="percentile" val="50"/>
        <cfvo type="max"/>
        <color rgb="FF63BE7B"/>
        <color rgb="FFFFEB84"/>
        <color rgb="FFF8696B"/>
      </colorScale>
    </cfRule>
    <cfRule type="colorScale" priority="3348">
      <colorScale>
        <cfvo type="min"/>
        <cfvo type="percentile" val="50"/>
        <cfvo type="max"/>
        <color rgb="FF63BE7B"/>
        <color rgb="FFFFEB84"/>
        <color rgb="FFF8696B"/>
      </colorScale>
    </cfRule>
    <cfRule type="colorScale" priority="3347">
      <colorScale>
        <cfvo type="min"/>
        <cfvo type="percentile" val="50"/>
        <cfvo type="max"/>
        <color rgb="FF63BE7B"/>
        <color rgb="FFFFEB84"/>
        <color rgb="FFF8696B"/>
      </colorScale>
    </cfRule>
    <cfRule type="colorScale" priority="3346">
      <colorScale>
        <cfvo type="min"/>
        <cfvo type="percentile" val="50"/>
        <cfvo type="max"/>
        <color rgb="FF63BE7B"/>
        <color rgb="FFFFEB84"/>
        <color rgb="FFF8696B"/>
      </colorScale>
    </cfRule>
    <cfRule type="colorScale" priority="3345">
      <colorScale>
        <cfvo type="min"/>
        <cfvo type="percentile" val="50"/>
        <cfvo type="max"/>
        <color rgb="FF63BE7B"/>
        <color rgb="FFFFEB84"/>
        <color rgb="FFF8696B"/>
      </colorScale>
    </cfRule>
    <cfRule type="colorScale" priority="3344">
      <colorScale>
        <cfvo type="min"/>
        <cfvo type="percentile" val="50"/>
        <cfvo type="max"/>
        <color rgb="FF63BE7B"/>
        <color rgb="FFFFEB84"/>
        <color rgb="FFF8696B"/>
      </colorScale>
    </cfRule>
    <cfRule type="colorScale" priority="3343">
      <colorScale>
        <cfvo type="min"/>
        <cfvo type="percentile" val="50"/>
        <cfvo type="max"/>
        <color rgb="FF63BE7B"/>
        <color rgb="FFFFEB84"/>
        <color rgb="FFF8696B"/>
      </colorScale>
    </cfRule>
    <cfRule type="colorScale" priority="3342">
      <colorScale>
        <cfvo type="min"/>
        <cfvo type="percentile" val="50"/>
        <cfvo type="max"/>
        <color rgb="FF63BE7B"/>
        <color rgb="FFFFEB84"/>
        <color rgb="FFF8696B"/>
      </colorScale>
    </cfRule>
    <cfRule type="colorScale" priority="3341">
      <colorScale>
        <cfvo type="min"/>
        <cfvo type="percentile" val="50"/>
        <cfvo type="max"/>
        <color rgb="FF63BE7B"/>
        <color rgb="FFFFEB84"/>
        <color rgb="FFF8696B"/>
      </colorScale>
    </cfRule>
    <cfRule type="colorScale" priority="3340">
      <colorScale>
        <cfvo type="min"/>
        <cfvo type="percentile" val="50"/>
        <cfvo type="max"/>
        <color rgb="FF63BE7B"/>
        <color rgb="FFFFEB84"/>
        <color rgb="FFF8696B"/>
      </colorScale>
    </cfRule>
    <cfRule type="colorScale" priority="3339">
      <colorScale>
        <cfvo type="min"/>
        <cfvo type="percentile" val="50"/>
        <cfvo type="max"/>
        <color rgb="FF63BE7B"/>
        <color rgb="FFFFEB84"/>
        <color rgb="FFF8696B"/>
      </colorScale>
    </cfRule>
    <cfRule type="colorScale" priority="3338">
      <colorScale>
        <cfvo type="min"/>
        <cfvo type="percentile" val="50"/>
        <cfvo type="max"/>
        <color rgb="FF63BE7B"/>
        <color rgb="FFFFEB84"/>
        <color rgb="FFF8696B"/>
      </colorScale>
    </cfRule>
    <cfRule type="colorScale" priority="3337">
      <colorScale>
        <cfvo type="min"/>
        <cfvo type="percentile" val="50"/>
        <cfvo type="max"/>
        <color rgb="FF63BE7B"/>
        <color rgb="FFFFEB84"/>
        <color rgb="FFF8696B"/>
      </colorScale>
    </cfRule>
    <cfRule type="colorScale" priority="3336">
      <colorScale>
        <cfvo type="min"/>
        <cfvo type="percentile" val="50"/>
        <cfvo type="max"/>
        <color rgb="FF63BE7B"/>
        <color rgb="FFFFEB84"/>
        <color rgb="FFF8696B"/>
      </colorScale>
    </cfRule>
    <cfRule type="colorScale" priority="3335">
      <colorScale>
        <cfvo type="min"/>
        <cfvo type="percentile" val="50"/>
        <cfvo type="max"/>
        <color rgb="FF63BE7B"/>
        <color rgb="FFFFEB84"/>
        <color rgb="FFF8696B"/>
      </colorScale>
    </cfRule>
    <cfRule type="colorScale" priority="3334">
      <colorScale>
        <cfvo type="min"/>
        <cfvo type="percentile" val="50"/>
        <cfvo type="max"/>
        <color rgb="FF63BE7B"/>
        <color rgb="FFFFEB84"/>
        <color rgb="FFF8696B"/>
      </colorScale>
    </cfRule>
    <cfRule type="colorScale" priority="3333">
      <colorScale>
        <cfvo type="min"/>
        <cfvo type="percentile" val="50"/>
        <cfvo type="max"/>
        <color rgb="FF63BE7B"/>
        <color rgb="FFFFEB84"/>
        <color rgb="FFF8696B"/>
      </colorScale>
    </cfRule>
    <cfRule type="colorScale" priority="3332">
      <colorScale>
        <cfvo type="min"/>
        <cfvo type="percentile" val="50"/>
        <cfvo type="max"/>
        <color rgb="FF63BE7B"/>
        <color rgb="FFFFEB84"/>
        <color rgb="FFF8696B"/>
      </colorScale>
    </cfRule>
    <cfRule type="colorScale" priority="3331">
      <colorScale>
        <cfvo type="min"/>
        <cfvo type="percentile" val="50"/>
        <cfvo type="max"/>
        <color rgb="FF63BE7B"/>
        <color rgb="FFFFEB84"/>
        <color rgb="FFF8696B"/>
      </colorScale>
    </cfRule>
    <cfRule type="colorScale" priority="3330">
      <colorScale>
        <cfvo type="min"/>
        <cfvo type="percentile" val="50"/>
        <cfvo type="max"/>
        <color rgb="FF63BE7B"/>
        <color rgb="FFFFEB84"/>
        <color rgb="FFF8696B"/>
      </colorScale>
    </cfRule>
    <cfRule type="colorScale" priority="3329">
      <colorScale>
        <cfvo type="min"/>
        <cfvo type="percentile" val="50"/>
        <cfvo type="max"/>
        <color rgb="FF63BE7B"/>
        <color rgb="FFFFEB84"/>
        <color rgb="FFF8696B"/>
      </colorScale>
    </cfRule>
    <cfRule type="colorScale" priority="3328">
      <colorScale>
        <cfvo type="min"/>
        <cfvo type="percentile" val="50"/>
        <cfvo type="max"/>
        <color rgb="FF63BE7B"/>
        <color rgb="FFFFEB84"/>
        <color rgb="FFF8696B"/>
      </colorScale>
    </cfRule>
    <cfRule type="colorScale" priority="3327">
      <colorScale>
        <cfvo type="min"/>
        <cfvo type="percentile" val="50"/>
        <cfvo type="max"/>
        <color rgb="FF63BE7B"/>
        <color rgb="FFFFEB84"/>
        <color rgb="FFF8696B"/>
      </colorScale>
    </cfRule>
    <cfRule type="colorScale" priority="3326">
      <colorScale>
        <cfvo type="min"/>
        <cfvo type="percentile" val="50"/>
        <cfvo type="max"/>
        <color rgb="FF63BE7B"/>
        <color rgb="FFFFEB84"/>
        <color rgb="FFF8696B"/>
      </colorScale>
    </cfRule>
    <cfRule type="colorScale" priority="3325">
      <colorScale>
        <cfvo type="min"/>
        <cfvo type="percentile" val="50"/>
        <cfvo type="max"/>
        <color rgb="FF63BE7B"/>
        <color rgb="FFFFEB84"/>
        <color rgb="FFF8696B"/>
      </colorScale>
    </cfRule>
    <cfRule type="colorScale" priority="3324">
      <colorScale>
        <cfvo type="min"/>
        <cfvo type="percentile" val="50"/>
        <cfvo type="max"/>
        <color rgb="FF63BE7B"/>
        <color rgb="FFFFEB84"/>
        <color rgb="FFF8696B"/>
      </colorScale>
    </cfRule>
    <cfRule type="colorScale" priority="3323">
      <colorScale>
        <cfvo type="min"/>
        <cfvo type="percentile" val="50"/>
        <cfvo type="max"/>
        <color rgb="FF63BE7B"/>
        <color rgb="FFFFEB84"/>
        <color rgb="FFF8696B"/>
      </colorScale>
    </cfRule>
    <cfRule type="colorScale" priority="3322">
      <colorScale>
        <cfvo type="min"/>
        <cfvo type="percentile" val="50"/>
        <cfvo type="max"/>
        <color rgb="FF63BE7B"/>
        <color rgb="FFFFEB84"/>
        <color rgb="FFF8696B"/>
      </colorScale>
    </cfRule>
    <cfRule type="colorScale" priority="3321">
      <colorScale>
        <cfvo type="min"/>
        <cfvo type="percentile" val="50"/>
        <cfvo type="max"/>
        <color rgb="FF63BE7B"/>
        <color rgb="FFFFEB84"/>
        <color rgb="FFF8696B"/>
      </colorScale>
    </cfRule>
    <cfRule type="colorScale" priority="3320">
      <colorScale>
        <cfvo type="min"/>
        <cfvo type="percentile" val="50"/>
        <cfvo type="max"/>
        <color rgb="FF63BE7B"/>
        <color rgb="FFFFEB84"/>
        <color rgb="FFF8696B"/>
      </colorScale>
    </cfRule>
    <cfRule type="colorScale" priority="3319">
      <colorScale>
        <cfvo type="min"/>
        <cfvo type="percentile" val="50"/>
        <cfvo type="max"/>
        <color rgb="FF63BE7B"/>
        <color rgb="FFFFEB84"/>
        <color rgb="FFF8696B"/>
      </colorScale>
    </cfRule>
    <cfRule type="colorScale" priority="3318">
      <colorScale>
        <cfvo type="min"/>
        <cfvo type="percentile" val="50"/>
        <cfvo type="max"/>
        <color rgb="FF63BE7B"/>
        <color rgb="FFFFEB84"/>
        <color rgb="FFF8696B"/>
      </colorScale>
    </cfRule>
    <cfRule type="colorScale" priority="3317">
      <colorScale>
        <cfvo type="min"/>
        <cfvo type="percentile" val="50"/>
        <cfvo type="max"/>
        <color rgb="FF63BE7B"/>
        <color rgb="FFFFEB84"/>
        <color rgb="FFF8696B"/>
      </colorScale>
    </cfRule>
    <cfRule type="colorScale" priority="3316">
      <colorScale>
        <cfvo type="min"/>
        <cfvo type="percentile" val="50"/>
        <cfvo type="max"/>
        <color rgb="FF63BE7B"/>
        <color rgb="FFFFEB84"/>
        <color rgb="FFF8696B"/>
      </colorScale>
    </cfRule>
    <cfRule type="colorScale" priority="3315">
      <colorScale>
        <cfvo type="min"/>
        <cfvo type="percentile" val="50"/>
        <cfvo type="max"/>
        <color rgb="FF63BE7B"/>
        <color rgb="FFFFEB84"/>
        <color rgb="FFF8696B"/>
      </colorScale>
    </cfRule>
    <cfRule type="colorScale" priority="3314">
      <colorScale>
        <cfvo type="min"/>
        <cfvo type="percentile" val="50"/>
        <cfvo type="max"/>
        <color rgb="FF63BE7B"/>
        <color rgb="FFFFEB84"/>
        <color rgb="FFF8696B"/>
      </colorScale>
    </cfRule>
    <cfRule type="colorScale" priority="3313">
      <colorScale>
        <cfvo type="min"/>
        <cfvo type="percentile" val="50"/>
        <cfvo type="max"/>
        <color rgb="FF63BE7B"/>
        <color rgb="FFFFEB84"/>
        <color rgb="FFF8696B"/>
      </colorScale>
    </cfRule>
    <cfRule type="colorScale" priority="3312">
      <colorScale>
        <cfvo type="min"/>
        <cfvo type="percentile" val="50"/>
        <cfvo type="max"/>
        <color rgb="FF63BE7B"/>
        <color rgb="FFFFEB84"/>
        <color rgb="FFF8696B"/>
      </colorScale>
    </cfRule>
    <cfRule type="colorScale" priority="3311">
      <colorScale>
        <cfvo type="min"/>
        <cfvo type="percentile" val="50"/>
        <cfvo type="max"/>
        <color rgb="FFF8696B"/>
        <color rgb="FFFFEB84"/>
        <color rgb="FF63BE7B"/>
      </colorScale>
    </cfRule>
    <cfRule type="colorScale" priority="3310">
      <colorScale>
        <cfvo type="min"/>
        <cfvo type="percentile" val="50"/>
        <cfvo type="max"/>
        <color rgb="FF63BE7B"/>
        <color rgb="FFFFEB84"/>
        <color rgb="FFF8696B"/>
      </colorScale>
    </cfRule>
    <cfRule type="colorScale" priority="3309">
      <colorScale>
        <cfvo type="min"/>
        <cfvo type="percentile" val="50"/>
        <cfvo type="max"/>
        <color rgb="FF63BE7B"/>
        <color rgb="FFFFEB84"/>
        <color rgb="FFF8696B"/>
      </colorScale>
    </cfRule>
    <cfRule type="colorScale" priority="3308">
      <colorScale>
        <cfvo type="min"/>
        <cfvo type="percentile" val="50"/>
        <cfvo type="max"/>
        <color rgb="FF63BE7B"/>
        <color rgb="FFFFEB84"/>
        <color rgb="FFF8696B"/>
      </colorScale>
    </cfRule>
    <cfRule type="colorScale" priority="3307">
      <colorScale>
        <cfvo type="min"/>
        <cfvo type="percentile" val="50"/>
        <cfvo type="max"/>
        <color rgb="FF63BE7B"/>
        <color rgb="FFFFEB84"/>
        <color rgb="FFF8696B"/>
      </colorScale>
    </cfRule>
    <cfRule type="colorScale" priority="3306">
      <colorScale>
        <cfvo type="min"/>
        <cfvo type="percentile" val="50"/>
        <cfvo type="max"/>
        <color rgb="FF63BE7B"/>
        <color rgb="FFFFEB84"/>
        <color rgb="FFF8696B"/>
      </colorScale>
    </cfRule>
    <cfRule type="colorScale" priority="3305">
      <colorScale>
        <cfvo type="min"/>
        <cfvo type="percentile" val="50"/>
        <cfvo type="max"/>
        <color rgb="FF63BE7B"/>
        <color rgb="FFFFEB84"/>
        <color rgb="FFF8696B"/>
      </colorScale>
    </cfRule>
    <cfRule type="colorScale" priority="3304">
      <colorScale>
        <cfvo type="min"/>
        <cfvo type="percentile" val="50"/>
        <cfvo type="max"/>
        <color rgb="FF63BE7B"/>
        <color rgb="FFFFEB84"/>
        <color rgb="FFF8696B"/>
      </colorScale>
    </cfRule>
    <cfRule type="colorScale" priority="3303">
      <colorScale>
        <cfvo type="min"/>
        <cfvo type="percentile" val="50"/>
        <cfvo type="max"/>
        <color rgb="FF63BE7B"/>
        <color rgb="FFFFEB84"/>
        <color rgb="FFF8696B"/>
      </colorScale>
    </cfRule>
    <cfRule type="colorScale" priority="3302">
      <colorScale>
        <cfvo type="min"/>
        <cfvo type="percentile" val="50"/>
        <cfvo type="max"/>
        <color rgb="FF63BE7B"/>
        <color rgb="FFFFEB84"/>
        <color rgb="FFF8696B"/>
      </colorScale>
    </cfRule>
    <cfRule type="colorScale" priority="3301">
      <colorScale>
        <cfvo type="min"/>
        <cfvo type="percentile" val="50"/>
        <cfvo type="max"/>
        <color rgb="FF63BE7B"/>
        <color rgb="FFFFEB84"/>
        <color rgb="FFF8696B"/>
      </colorScale>
    </cfRule>
    <cfRule type="colorScale" priority="3300">
      <colorScale>
        <cfvo type="min"/>
        <cfvo type="percentile" val="50"/>
        <cfvo type="max"/>
        <color rgb="FF63BE7B"/>
        <color rgb="FFFFEB84"/>
        <color rgb="FFF8696B"/>
      </colorScale>
    </cfRule>
    <cfRule type="colorScale" priority="3299">
      <colorScale>
        <cfvo type="min"/>
        <cfvo type="percentile" val="50"/>
        <cfvo type="max"/>
        <color rgb="FF63BE7B"/>
        <color rgb="FFFFEB84"/>
        <color rgb="FFF8696B"/>
      </colorScale>
    </cfRule>
    <cfRule type="colorScale" priority="3298">
      <colorScale>
        <cfvo type="min"/>
        <cfvo type="percentile" val="50"/>
        <cfvo type="max"/>
        <color rgb="FF63BE7B"/>
        <color rgb="FFFFEB84"/>
        <color rgb="FFF8696B"/>
      </colorScale>
    </cfRule>
    <cfRule type="colorScale" priority="3297">
      <colorScale>
        <cfvo type="min"/>
        <cfvo type="percentile" val="50"/>
        <cfvo type="max"/>
        <color rgb="FF63BE7B"/>
        <color rgb="FFFFEB84"/>
        <color rgb="FFF8696B"/>
      </colorScale>
    </cfRule>
    <cfRule type="colorScale" priority="3296">
      <colorScale>
        <cfvo type="min"/>
        <cfvo type="percentile" val="50"/>
        <cfvo type="max"/>
        <color rgb="FF63BE7B"/>
        <color rgb="FFFFEB84"/>
        <color rgb="FFF8696B"/>
      </colorScale>
    </cfRule>
    <cfRule type="colorScale" priority="3295">
      <colorScale>
        <cfvo type="min"/>
        <cfvo type="percentile" val="50"/>
        <cfvo type="max"/>
        <color rgb="FF63BE7B"/>
        <color rgb="FFFFEB84"/>
        <color rgb="FFF8696B"/>
      </colorScale>
    </cfRule>
    <cfRule type="colorScale" priority="3294">
      <colorScale>
        <cfvo type="min"/>
        <cfvo type="percentile" val="50"/>
        <cfvo type="max"/>
        <color rgb="FF63BE7B"/>
        <color rgb="FFFFEB84"/>
        <color rgb="FFF8696B"/>
      </colorScale>
    </cfRule>
    <cfRule type="colorScale" priority="3293">
      <colorScale>
        <cfvo type="min"/>
        <cfvo type="percentile" val="50"/>
        <cfvo type="max"/>
        <color rgb="FF63BE7B"/>
        <color rgb="FFFFEB84"/>
        <color rgb="FFF8696B"/>
      </colorScale>
    </cfRule>
    <cfRule type="colorScale" priority="3292">
      <colorScale>
        <cfvo type="min"/>
        <cfvo type="percentile" val="50"/>
        <cfvo type="max"/>
        <color rgb="FF63BE7B"/>
        <color rgb="FFFFEB84"/>
        <color rgb="FFF8696B"/>
      </colorScale>
    </cfRule>
    <cfRule type="colorScale" priority="3291">
      <colorScale>
        <cfvo type="min"/>
        <cfvo type="percentile" val="50"/>
        <cfvo type="max"/>
        <color rgb="FF63BE7B"/>
        <color rgb="FFFFEB84"/>
        <color rgb="FFF8696B"/>
      </colorScale>
    </cfRule>
    <cfRule type="colorScale" priority="3290">
      <colorScale>
        <cfvo type="min"/>
        <cfvo type="percentile" val="50"/>
        <cfvo type="max"/>
        <color rgb="FF63BE7B"/>
        <color rgb="FFFFEB84"/>
        <color rgb="FFF8696B"/>
      </colorScale>
    </cfRule>
    <cfRule type="colorScale" priority="3289">
      <colorScale>
        <cfvo type="min"/>
        <cfvo type="percentile" val="50"/>
        <cfvo type="max"/>
        <color rgb="FF63BE7B"/>
        <color rgb="FFFFEB84"/>
        <color rgb="FFF8696B"/>
      </colorScale>
    </cfRule>
    <cfRule type="colorScale" priority="3288">
      <colorScale>
        <cfvo type="min"/>
        <cfvo type="percentile" val="50"/>
        <cfvo type="max"/>
        <color rgb="FF63BE7B"/>
        <color rgb="FFFFEB84"/>
        <color rgb="FFF8696B"/>
      </colorScale>
    </cfRule>
    <cfRule type="colorScale" priority="3287">
      <colorScale>
        <cfvo type="min"/>
        <cfvo type="percentile" val="50"/>
        <cfvo type="max"/>
        <color rgb="FF63BE7B"/>
        <color rgb="FFFFEB84"/>
        <color rgb="FFF8696B"/>
      </colorScale>
    </cfRule>
    <cfRule type="colorScale" priority="3286">
      <colorScale>
        <cfvo type="min"/>
        <cfvo type="percentile" val="50"/>
        <cfvo type="max"/>
        <color rgb="FF63BE7B"/>
        <color rgb="FFFFEB84"/>
        <color rgb="FFF8696B"/>
      </colorScale>
    </cfRule>
    <cfRule type="colorScale" priority="3285">
      <colorScale>
        <cfvo type="min"/>
        <cfvo type="percentile" val="50"/>
        <cfvo type="max"/>
        <color rgb="FF63BE7B"/>
        <color rgb="FFFFEB84"/>
        <color rgb="FFF8696B"/>
      </colorScale>
    </cfRule>
    <cfRule type="colorScale" priority="3284">
      <colorScale>
        <cfvo type="min"/>
        <cfvo type="percentile" val="50"/>
        <cfvo type="max"/>
        <color rgb="FF63BE7B"/>
        <color rgb="FFFFEB84"/>
        <color rgb="FFF8696B"/>
      </colorScale>
    </cfRule>
    <cfRule type="colorScale" priority="3283">
      <colorScale>
        <cfvo type="min"/>
        <cfvo type="percentile" val="50"/>
        <cfvo type="max"/>
        <color rgb="FF63BE7B"/>
        <color rgb="FFFFEB84"/>
        <color rgb="FFF8696B"/>
      </colorScale>
    </cfRule>
    <cfRule type="colorScale" priority="3282">
      <colorScale>
        <cfvo type="min"/>
        <cfvo type="percentile" val="50"/>
        <cfvo type="max"/>
        <color rgb="FF63BE7B"/>
        <color rgb="FFFFEB84"/>
        <color rgb="FFF8696B"/>
      </colorScale>
    </cfRule>
    <cfRule type="colorScale" priority="3281">
      <colorScale>
        <cfvo type="min"/>
        <cfvo type="percentile" val="50"/>
        <cfvo type="max"/>
        <color rgb="FF63BE7B"/>
        <color rgb="FFFFEB84"/>
        <color rgb="FFF8696B"/>
      </colorScale>
    </cfRule>
    <cfRule type="colorScale" priority="3280">
      <colorScale>
        <cfvo type="min"/>
        <cfvo type="percentile" val="50"/>
        <cfvo type="max"/>
        <color rgb="FF63BE7B"/>
        <color rgb="FFFFEB84"/>
        <color rgb="FFF8696B"/>
      </colorScale>
    </cfRule>
    <cfRule type="colorScale" priority="3279">
      <colorScale>
        <cfvo type="min"/>
        <cfvo type="percentile" val="50"/>
        <cfvo type="max"/>
        <color rgb="FF63BE7B"/>
        <color rgb="FFFFEB84"/>
        <color rgb="FFF8696B"/>
      </colorScale>
    </cfRule>
    <cfRule type="colorScale" priority="3278">
      <colorScale>
        <cfvo type="min"/>
        <cfvo type="percentile" val="50"/>
        <cfvo type="max"/>
        <color rgb="FF63BE7B"/>
        <color rgb="FFFFEB84"/>
        <color rgb="FFF8696B"/>
      </colorScale>
    </cfRule>
    <cfRule type="colorScale" priority="3277">
      <colorScale>
        <cfvo type="min"/>
        <cfvo type="percentile" val="50"/>
        <cfvo type="max"/>
        <color rgb="FF63BE7B"/>
        <color rgb="FFFFEB84"/>
        <color rgb="FFF8696B"/>
      </colorScale>
    </cfRule>
    <cfRule type="colorScale" priority="3276">
      <colorScale>
        <cfvo type="min"/>
        <cfvo type="percentile" val="50"/>
        <cfvo type="max"/>
        <color rgb="FF63BE7B"/>
        <color rgb="FFFFEB84"/>
        <color rgb="FFF8696B"/>
      </colorScale>
    </cfRule>
    <cfRule type="colorScale" priority="3275">
      <colorScale>
        <cfvo type="min"/>
        <cfvo type="percentile" val="50"/>
        <cfvo type="max"/>
        <color rgb="FF63BE7B"/>
        <color rgb="FFFFEB84"/>
        <color rgb="FFF8696B"/>
      </colorScale>
    </cfRule>
    <cfRule type="colorScale" priority="3274">
      <colorScale>
        <cfvo type="min"/>
        <cfvo type="percentile" val="50"/>
        <cfvo type="max"/>
        <color rgb="FF63BE7B"/>
        <color rgb="FFFFEB84"/>
        <color rgb="FFF8696B"/>
      </colorScale>
    </cfRule>
    <cfRule type="colorScale" priority="3273">
      <colorScale>
        <cfvo type="min"/>
        <cfvo type="percentile" val="50"/>
        <cfvo type="max"/>
        <color rgb="FF63BE7B"/>
        <color rgb="FFFFEB84"/>
        <color rgb="FFF8696B"/>
      </colorScale>
    </cfRule>
    <cfRule type="colorScale" priority="3272">
      <colorScale>
        <cfvo type="min"/>
        <cfvo type="percentile" val="50"/>
        <cfvo type="max"/>
        <color rgb="FFF8696B"/>
        <color rgb="FFFFEB84"/>
        <color rgb="FF63BE7B"/>
      </colorScale>
    </cfRule>
    <cfRule type="colorScale" priority="3269">
      <colorScale>
        <cfvo type="min"/>
        <cfvo type="percentile" val="50"/>
        <cfvo type="max"/>
        <color rgb="FF63BE7B"/>
        <color rgb="FFFFEB84"/>
        <color rgb="FFF8696B"/>
      </colorScale>
    </cfRule>
    <cfRule type="colorScale" priority="3268">
      <colorScale>
        <cfvo type="min"/>
        <cfvo type="percentile" val="50"/>
        <cfvo type="max"/>
        <color rgb="FF63BE7B"/>
        <color rgb="FFFFEB84"/>
        <color rgb="FFF8696B"/>
      </colorScale>
    </cfRule>
    <cfRule type="colorScale" priority="3267">
      <colorScale>
        <cfvo type="min"/>
        <cfvo type="percentile" val="50"/>
        <cfvo type="max"/>
        <color rgb="FF63BE7B"/>
        <color rgb="FFFFEB84"/>
        <color rgb="FFF8696B"/>
      </colorScale>
    </cfRule>
    <cfRule type="colorScale" priority="3266">
      <colorScale>
        <cfvo type="min"/>
        <cfvo type="percentile" val="50"/>
        <cfvo type="max"/>
        <color rgb="FF63BE7B"/>
        <color rgb="FFFFEB84"/>
        <color rgb="FFF8696B"/>
      </colorScale>
    </cfRule>
    <cfRule type="colorScale" priority="3265">
      <colorScale>
        <cfvo type="min"/>
        <cfvo type="percentile" val="50"/>
        <cfvo type="max"/>
        <color rgb="FF63BE7B"/>
        <color rgb="FFFFEB84"/>
        <color rgb="FFF8696B"/>
      </colorScale>
    </cfRule>
    <cfRule type="colorScale" priority="3264">
      <colorScale>
        <cfvo type="min"/>
        <cfvo type="percentile" val="50"/>
        <cfvo type="max"/>
        <color rgb="FF63BE7B"/>
        <color rgb="FFFFEB84"/>
        <color rgb="FFF8696B"/>
      </colorScale>
    </cfRule>
    <cfRule type="colorScale" priority="3263">
      <colorScale>
        <cfvo type="min"/>
        <cfvo type="percentile" val="50"/>
        <cfvo type="max"/>
        <color rgb="FF63BE7B"/>
        <color rgb="FFFFEB84"/>
        <color rgb="FFF8696B"/>
      </colorScale>
    </cfRule>
    <cfRule type="colorScale" priority="3262">
      <colorScale>
        <cfvo type="min"/>
        <cfvo type="percentile" val="50"/>
        <cfvo type="max"/>
        <color rgb="FF63BE7B"/>
        <color rgb="FFFFEB84"/>
        <color rgb="FFF8696B"/>
      </colorScale>
    </cfRule>
    <cfRule type="colorScale" priority="3261">
      <colorScale>
        <cfvo type="min"/>
        <cfvo type="percentile" val="50"/>
        <cfvo type="max"/>
        <color rgb="FF63BE7B"/>
        <color rgb="FFFFEB84"/>
        <color rgb="FFF8696B"/>
      </colorScale>
    </cfRule>
    <cfRule type="colorScale" priority="3260">
      <colorScale>
        <cfvo type="min"/>
        <cfvo type="percentile" val="50"/>
        <cfvo type="max"/>
        <color rgb="FF63BE7B"/>
        <color rgb="FFFFEB84"/>
        <color rgb="FFF8696B"/>
      </colorScale>
    </cfRule>
    <cfRule type="colorScale" priority="3259">
      <colorScale>
        <cfvo type="min"/>
        <cfvo type="percentile" val="50"/>
        <cfvo type="max"/>
        <color rgb="FF63BE7B"/>
        <color rgb="FFFFEB84"/>
        <color rgb="FFF8696B"/>
      </colorScale>
    </cfRule>
    <cfRule type="colorScale" priority="3258">
      <colorScale>
        <cfvo type="min"/>
        <cfvo type="percentile" val="50"/>
        <cfvo type="max"/>
        <color rgb="FF63BE7B"/>
        <color rgb="FFFFEB84"/>
        <color rgb="FFF8696B"/>
      </colorScale>
    </cfRule>
    <cfRule type="colorScale" priority="3257">
      <colorScale>
        <cfvo type="min"/>
        <cfvo type="percentile" val="50"/>
        <cfvo type="max"/>
        <color rgb="FF63BE7B"/>
        <color rgb="FFFFEB84"/>
        <color rgb="FFF8696B"/>
      </colorScale>
    </cfRule>
    <cfRule type="colorScale" priority="3256">
      <colorScale>
        <cfvo type="min"/>
        <cfvo type="percentile" val="50"/>
        <cfvo type="max"/>
        <color rgb="FF63BE7B"/>
        <color rgb="FFFFEB84"/>
        <color rgb="FFF8696B"/>
      </colorScale>
    </cfRule>
    <cfRule type="colorScale" priority="3255">
      <colorScale>
        <cfvo type="min"/>
        <cfvo type="percentile" val="50"/>
        <cfvo type="max"/>
        <color rgb="FF63BE7B"/>
        <color rgb="FFFFEB84"/>
        <color rgb="FFF8696B"/>
      </colorScale>
    </cfRule>
    <cfRule type="colorScale" priority="3254">
      <colorScale>
        <cfvo type="min"/>
        <cfvo type="percentile" val="50"/>
        <cfvo type="max"/>
        <color rgb="FF63BE7B"/>
        <color rgb="FFFFEB84"/>
        <color rgb="FFF8696B"/>
      </colorScale>
    </cfRule>
    <cfRule type="colorScale" priority="3253">
      <colorScale>
        <cfvo type="min"/>
        <cfvo type="percentile" val="50"/>
        <cfvo type="max"/>
        <color rgb="FF63BE7B"/>
        <color rgb="FFFFEB84"/>
        <color rgb="FFF8696B"/>
      </colorScale>
    </cfRule>
    <cfRule type="colorScale" priority="3252">
      <colorScale>
        <cfvo type="min"/>
        <cfvo type="percentile" val="50"/>
        <cfvo type="max"/>
        <color rgb="FF63BE7B"/>
        <color rgb="FFFFEB84"/>
        <color rgb="FFF8696B"/>
      </colorScale>
    </cfRule>
    <cfRule type="colorScale" priority="3251">
      <colorScale>
        <cfvo type="min"/>
        <cfvo type="percentile" val="50"/>
        <cfvo type="max"/>
        <color rgb="FF63BE7B"/>
        <color rgb="FFFFEB84"/>
        <color rgb="FFF8696B"/>
      </colorScale>
    </cfRule>
    <cfRule type="colorScale" priority="3250">
      <colorScale>
        <cfvo type="min"/>
        <cfvo type="percentile" val="50"/>
        <cfvo type="max"/>
        <color rgb="FF63BE7B"/>
        <color rgb="FFFFEB84"/>
        <color rgb="FFF8696B"/>
      </colorScale>
    </cfRule>
    <cfRule type="colorScale" priority="3249">
      <colorScale>
        <cfvo type="min"/>
        <cfvo type="percentile" val="50"/>
        <cfvo type="max"/>
        <color rgb="FF63BE7B"/>
        <color rgb="FFFFEB84"/>
        <color rgb="FFF8696B"/>
      </colorScale>
    </cfRule>
    <cfRule type="colorScale" priority="3248">
      <colorScale>
        <cfvo type="min"/>
        <cfvo type="percentile" val="50"/>
        <cfvo type="max"/>
        <color rgb="FF63BE7B"/>
        <color rgb="FFFFEB84"/>
        <color rgb="FFF8696B"/>
      </colorScale>
    </cfRule>
    <cfRule type="colorScale" priority="3247">
      <colorScale>
        <cfvo type="min"/>
        <cfvo type="percentile" val="50"/>
        <cfvo type="max"/>
        <color rgb="FF63BE7B"/>
        <color rgb="FFFFEB84"/>
        <color rgb="FFF8696B"/>
      </colorScale>
    </cfRule>
    <cfRule type="colorScale" priority="3246">
      <colorScale>
        <cfvo type="min"/>
        <cfvo type="percentile" val="50"/>
        <cfvo type="max"/>
        <color rgb="FF63BE7B"/>
        <color rgb="FFFFEB84"/>
        <color rgb="FFF8696B"/>
      </colorScale>
    </cfRule>
    <cfRule type="colorScale" priority="3245">
      <colorScale>
        <cfvo type="min"/>
        <cfvo type="percentile" val="50"/>
        <cfvo type="max"/>
        <color rgb="FF63BE7B"/>
        <color rgb="FFFFEB84"/>
        <color rgb="FFF8696B"/>
      </colorScale>
    </cfRule>
    <cfRule type="colorScale" priority="3244">
      <colorScale>
        <cfvo type="min"/>
        <cfvo type="percentile" val="50"/>
        <cfvo type="max"/>
        <color rgb="FF63BE7B"/>
        <color rgb="FFFFEB84"/>
        <color rgb="FFF8696B"/>
      </colorScale>
    </cfRule>
    <cfRule type="colorScale" priority="3243">
      <colorScale>
        <cfvo type="min"/>
        <cfvo type="percentile" val="50"/>
        <cfvo type="max"/>
        <color rgb="FF63BE7B"/>
        <color rgb="FFFFEB84"/>
        <color rgb="FFF8696B"/>
      </colorScale>
    </cfRule>
    <cfRule type="colorScale" priority="3241">
      <colorScale>
        <cfvo type="min"/>
        <cfvo type="percentile" val="50"/>
        <cfvo type="max"/>
        <color rgb="FF63BE7B"/>
        <color rgb="FFFFEB84"/>
        <color rgb="FFF8696B"/>
      </colorScale>
    </cfRule>
    <cfRule type="colorScale" priority="3134">
      <colorScale>
        <cfvo type="min"/>
        <cfvo type="percentile" val="50"/>
        <cfvo type="max"/>
        <color rgb="FF63BE7B"/>
        <color rgb="FFFFEB84"/>
        <color rgb="FFF8696B"/>
      </colorScale>
    </cfRule>
    <cfRule type="colorScale" priority="5907">
      <colorScale>
        <cfvo type="min"/>
        <cfvo type="percentile" val="50"/>
        <cfvo type="max"/>
        <color rgb="FFF8696B"/>
        <color rgb="FFFFEB84"/>
        <color rgb="FF63BE7B"/>
      </colorScale>
    </cfRule>
    <cfRule type="colorScale" priority="3495">
      <colorScale>
        <cfvo type="min"/>
        <cfvo type="percentile" val="50"/>
        <cfvo type="max"/>
        <color rgb="FF63BE7B"/>
        <color rgb="FFFFEB84"/>
        <color rgb="FFF8696B"/>
      </colorScale>
    </cfRule>
    <cfRule type="colorScale" priority="3494">
      <colorScale>
        <cfvo type="min"/>
        <cfvo type="percentile" val="50"/>
        <cfvo type="max"/>
        <color rgb="FF63BE7B"/>
        <color rgb="FFFFEB84"/>
        <color rgb="FFF8696B"/>
      </colorScale>
    </cfRule>
    <cfRule type="colorScale" priority="3493">
      <colorScale>
        <cfvo type="min"/>
        <cfvo type="percentile" val="50"/>
        <cfvo type="max"/>
        <color rgb="FF63BE7B"/>
        <color rgb="FFFFEB84"/>
        <color rgb="FFF8696B"/>
      </colorScale>
    </cfRule>
    <cfRule type="colorScale" priority="3240">
      <colorScale>
        <cfvo type="min"/>
        <cfvo type="percentile" val="50"/>
        <cfvo type="max"/>
        <color rgb="FF63BE7B"/>
        <color rgb="FFFFEB84"/>
        <color rgb="FFF8696B"/>
      </colorScale>
    </cfRule>
    <cfRule type="colorScale" priority="3239">
      <colorScale>
        <cfvo type="min"/>
        <cfvo type="percentile" val="50"/>
        <cfvo type="max"/>
        <color rgb="FF63BE7B"/>
        <color rgb="FFFFEB84"/>
        <color rgb="FFF8696B"/>
      </colorScale>
    </cfRule>
    <cfRule type="colorScale" priority="3238">
      <colorScale>
        <cfvo type="min"/>
        <cfvo type="percentile" val="50"/>
        <cfvo type="max"/>
        <color rgb="FF63BE7B"/>
        <color rgb="FFFFEB84"/>
        <color rgb="FFF8696B"/>
      </colorScale>
    </cfRule>
    <cfRule type="colorScale" priority="3237">
      <colorScale>
        <cfvo type="min"/>
        <cfvo type="percentile" val="50"/>
        <cfvo type="max"/>
        <color rgb="FF63BE7B"/>
        <color rgb="FFFFEB84"/>
        <color rgb="FFF8696B"/>
      </colorScale>
    </cfRule>
    <cfRule type="colorScale" priority="3236">
      <colorScale>
        <cfvo type="min"/>
        <cfvo type="percentile" val="50"/>
        <cfvo type="max"/>
        <color rgb="FF63BE7B"/>
        <color rgb="FFFFEB84"/>
        <color rgb="FFF8696B"/>
      </colorScale>
    </cfRule>
    <cfRule type="colorScale" priority="3235">
      <colorScale>
        <cfvo type="min"/>
        <cfvo type="percentile" val="50"/>
        <cfvo type="max"/>
        <color rgb="FF63BE7B"/>
        <color rgb="FFFFEB84"/>
        <color rgb="FFF8696B"/>
      </colorScale>
    </cfRule>
    <cfRule type="colorScale" priority="3645">
      <colorScale>
        <cfvo type="min"/>
        <cfvo type="percentile" val="50"/>
        <cfvo type="max"/>
        <color rgb="FF63BE7B"/>
        <color rgb="FFFFEB84"/>
        <color rgb="FFF8696B"/>
      </colorScale>
    </cfRule>
    <cfRule type="colorScale" priority="3646">
      <colorScale>
        <cfvo type="min"/>
        <cfvo type="percentile" val="50"/>
        <cfvo type="max"/>
        <color rgb="FF63BE7B"/>
        <color rgb="FFFFEB84"/>
        <color rgb="FFF8696B"/>
      </colorScale>
    </cfRule>
    <cfRule type="colorScale" priority="3647">
      <colorScale>
        <cfvo type="min"/>
        <cfvo type="percentile" val="50"/>
        <cfvo type="max"/>
        <color rgb="FF63BE7B"/>
        <color rgb="FFFFEB84"/>
        <color rgb="FFF8696B"/>
      </colorScale>
    </cfRule>
    <cfRule type="colorScale" priority="3648">
      <colorScale>
        <cfvo type="min"/>
        <cfvo type="percentile" val="50"/>
        <cfvo type="max"/>
        <color rgb="FF63BE7B"/>
        <color rgb="FFFFEB84"/>
        <color rgb="FFF8696B"/>
      </colorScale>
    </cfRule>
    <cfRule type="colorScale" priority="3649">
      <colorScale>
        <cfvo type="min"/>
        <cfvo type="percentile" val="50"/>
        <cfvo type="max"/>
        <color rgb="FF63BE7B"/>
        <color rgb="FFFFEB84"/>
        <color rgb="FFF8696B"/>
      </colorScale>
    </cfRule>
    <cfRule type="colorScale" priority="3650">
      <colorScale>
        <cfvo type="min"/>
        <cfvo type="percentile" val="50"/>
        <cfvo type="max"/>
        <color rgb="FF63BE7B"/>
        <color rgb="FFFFEB84"/>
        <color rgb="FFF8696B"/>
      </colorScale>
    </cfRule>
    <cfRule type="colorScale" priority="3651">
      <colorScale>
        <cfvo type="min"/>
        <cfvo type="percentile" val="50"/>
        <cfvo type="max"/>
        <color rgb="FF63BE7B"/>
        <color rgb="FFFFEB84"/>
        <color rgb="FFF8696B"/>
      </colorScale>
    </cfRule>
    <cfRule type="colorScale" priority="3652">
      <colorScale>
        <cfvo type="min"/>
        <cfvo type="percentile" val="50"/>
        <cfvo type="max"/>
        <color rgb="FF63BE7B"/>
        <color rgb="FFFFEB84"/>
        <color rgb="FFF8696B"/>
      </colorScale>
    </cfRule>
    <cfRule type="colorScale" priority="3653">
      <colorScale>
        <cfvo type="min"/>
        <cfvo type="percentile" val="50"/>
        <cfvo type="max"/>
        <color rgb="FF63BE7B"/>
        <color rgb="FFFFEB84"/>
        <color rgb="FFF8696B"/>
      </colorScale>
    </cfRule>
    <cfRule type="colorScale" priority="3654">
      <colorScale>
        <cfvo type="min"/>
        <cfvo type="percentile" val="50"/>
        <cfvo type="max"/>
        <color rgb="FF63BE7B"/>
        <color rgb="FFFFEB84"/>
        <color rgb="FFF8696B"/>
      </colorScale>
    </cfRule>
    <cfRule type="colorScale" priority="3655">
      <colorScale>
        <cfvo type="min"/>
        <cfvo type="percentile" val="50"/>
        <cfvo type="max"/>
        <color rgb="FF63BE7B"/>
        <color rgb="FFFFEB84"/>
        <color rgb="FFF8696B"/>
      </colorScale>
    </cfRule>
    <cfRule type="colorScale" priority="3656">
      <colorScale>
        <cfvo type="min"/>
        <cfvo type="percentile" val="50"/>
        <cfvo type="max"/>
        <color rgb="FF63BE7B"/>
        <color rgb="FFFFEB84"/>
        <color rgb="FFF8696B"/>
      </colorScale>
    </cfRule>
    <cfRule type="colorScale" priority="3234">
      <colorScale>
        <cfvo type="min"/>
        <cfvo type="percentile" val="50"/>
        <cfvo type="max"/>
        <color rgb="FF63BE7B"/>
        <color rgb="FFFFEB84"/>
        <color rgb="FFF8696B"/>
      </colorScale>
    </cfRule>
    <cfRule type="colorScale" priority="3233">
      <colorScale>
        <cfvo type="min"/>
        <cfvo type="percentile" val="50"/>
        <cfvo type="max"/>
        <color rgb="FF63BE7B"/>
        <color rgb="FFFFEB84"/>
        <color rgb="FFF8696B"/>
      </colorScale>
    </cfRule>
    <cfRule type="colorScale" priority="3232">
      <colorScale>
        <cfvo type="min"/>
        <cfvo type="percentile" val="50"/>
        <cfvo type="max"/>
        <color rgb="FF63BE7B"/>
        <color rgb="FFFFEB84"/>
        <color rgb="FFF8696B"/>
      </colorScale>
    </cfRule>
    <cfRule type="colorScale" priority="3231">
      <colorScale>
        <cfvo type="min"/>
        <cfvo type="percentile" val="50"/>
        <cfvo type="max"/>
        <color rgb="FF63BE7B"/>
        <color rgb="FFFFEB84"/>
        <color rgb="FFF8696B"/>
      </colorScale>
    </cfRule>
    <cfRule type="colorScale" priority="3230">
      <colorScale>
        <cfvo type="min"/>
        <cfvo type="percentile" val="50"/>
        <cfvo type="max"/>
        <color rgb="FF63BE7B"/>
        <color rgb="FFFFEB84"/>
        <color rgb="FFF8696B"/>
      </colorScale>
    </cfRule>
    <cfRule type="colorScale" priority="3229">
      <colorScale>
        <cfvo type="min"/>
        <cfvo type="percentile" val="50"/>
        <cfvo type="max"/>
        <color rgb="FF63BE7B"/>
        <color rgb="FFFFEB84"/>
        <color rgb="FFF8696B"/>
      </colorScale>
    </cfRule>
    <cfRule type="colorScale" priority="3228">
      <colorScale>
        <cfvo type="min"/>
        <cfvo type="percentile" val="50"/>
        <cfvo type="max"/>
        <color rgb="FF63BE7B"/>
        <color rgb="FFFFEB84"/>
        <color rgb="FFF8696B"/>
      </colorScale>
    </cfRule>
    <cfRule type="colorScale" priority="3227">
      <colorScale>
        <cfvo type="min"/>
        <cfvo type="percentile" val="50"/>
        <cfvo type="max"/>
        <color rgb="FF63BE7B"/>
        <color rgb="FFFFEB84"/>
        <color rgb="FFF8696B"/>
      </colorScale>
    </cfRule>
    <cfRule type="colorScale" priority="3226">
      <colorScale>
        <cfvo type="min"/>
        <cfvo type="percentile" val="50"/>
        <cfvo type="max"/>
        <color rgb="FF63BE7B"/>
        <color rgb="FFFFEB84"/>
        <color rgb="FFF8696B"/>
      </colorScale>
    </cfRule>
    <cfRule type="colorScale" priority="3225">
      <colorScale>
        <cfvo type="min"/>
        <cfvo type="percentile" val="50"/>
        <cfvo type="max"/>
        <color rgb="FF63BE7B"/>
        <color rgb="FFFFEB84"/>
        <color rgb="FFF8696B"/>
      </colorScale>
    </cfRule>
    <cfRule type="colorScale" priority="3224">
      <colorScale>
        <cfvo type="min"/>
        <cfvo type="percentile" val="50"/>
        <cfvo type="max"/>
        <color rgb="FF63BE7B"/>
        <color rgb="FFFFEB84"/>
        <color rgb="FFF8696B"/>
      </colorScale>
    </cfRule>
    <cfRule type="colorScale" priority="3223">
      <colorScale>
        <cfvo type="min"/>
        <cfvo type="percentile" val="50"/>
        <cfvo type="max"/>
        <color rgb="FF63BE7B"/>
        <color rgb="FFFFEB84"/>
        <color rgb="FFF8696B"/>
      </colorScale>
    </cfRule>
    <cfRule type="colorScale" priority="3222">
      <colorScale>
        <cfvo type="min"/>
        <cfvo type="percentile" val="50"/>
        <cfvo type="max"/>
        <color rgb="FF63BE7B"/>
        <color rgb="FFFFEB84"/>
        <color rgb="FFF8696B"/>
      </colorScale>
    </cfRule>
    <cfRule type="colorScale" priority="3221">
      <colorScale>
        <cfvo type="min"/>
        <cfvo type="percentile" val="50"/>
        <cfvo type="max"/>
        <color rgb="FF63BE7B"/>
        <color rgb="FFFFEB84"/>
        <color rgb="FFF8696B"/>
      </colorScale>
    </cfRule>
    <cfRule type="colorScale" priority="3220">
      <colorScale>
        <cfvo type="min"/>
        <cfvo type="percentile" val="50"/>
        <cfvo type="max"/>
        <color rgb="FF63BE7B"/>
        <color rgb="FFFFEB84"/>
        <color rgb="FFF8696B"/>
      </colorScale>
    </cfRule>
    <cfRule type="colorScale" priority="3219">
      <colorScale>
        <cfvo type="min"/>
        <cfvo type="percentile" val="50"/>
        <cfvo type="max"/>
        <color rgb="FF63BE7B"/>
        <color rgb="FFFFEB84"/>
        <color rgb="FFF8696B"/>
      </colorScale>
    </cfRule>
    <cfRule type="colorScale" priority="3218">
      <colorScale>
        <cfvo type="min"/>
        <cfvo type="percentile" val="50"/>
        <cfvo type="max"/>
        <color rgb="FF63BE7B"/>
        <color rgb="FFFFEB84"/>
        <color rgb="FFF8696B"/>
      </colorScale>
    </cfRule>
    <cfRule type="colorScale" priority="3217">
      <colorScale>
        <cfvo type="min"/>
        <cfvo type="percentile" val="50"/>
        <cfvo type="max"/>
        <color rgb="FF63BE7B"/>
        <color rgb="FFFFEB84"/>
        <color rgb="FFF8696B"/>
      </colorScale>
    </cfRule>
    <cfRule type="colorScale" priority="3216">
      <colorScale>
        <cfvo type="min"/>
        <cfvo type="percentile" val="50"/>
        <cfvo type="max"/>
        <color rgb="FF63BE7B"/>
        <color rgb="FFFFEB84"/>
        <color rgb="FFF8696B"/>
      </colorScale>
    </cfRule>
    <cfRule type="colorScale" priority="3215">
      <colorScale>
        <cfvo type="min"/>
        <cfvo type="percentile" val="50"/>
        <cfvo type="max"/>
        <color rgb="FF63BE7B"/>
        <color rgb="FFFFEB84"/>
        <color rgb="FFF8696B"/>
      </colorScale>
    </cfRule>
    <cfRule type="colorScale" priority="3214">
      <colorScale>
        <cfvo type="min"/>
        <cfvo type="percentile" val="50"/>
        <cfvo type="max"/>
        <color rgb="FF63BE7B"/>
        <color rgb="FFFFEB84"/>
        <color rgb="FFF8696B"/>
      </colorScale>
    </cfRule>
    <cfRule type="colorScale" priority="3213">
      <colorScale>
        <cfvo type="min"/>
        <cfvo type="percentile" val="50"/>
        <cfvo type="max"/>
        <color rgb="FF63BE7B"/>
        <color rgb="FFFFEB84"/>
        <color rgb="FFF8696B"/>
      </colorScale>
    </cfRule>
    <cfRule type="colorScale" priority="3212">
      <colorScale>
        <cfvo type="min"/>
        <cfvo type="percentile" val="50"/>
        <cfvo type="max"/>
        <color rgb="FF63BE7B"/>
        <color rgb="FFFFEB84"/>
        <color rgb="FFF8696B"/>
      </colorScale>
    </cfRule>
    <cfRule type="colorScale" priority="3211">
      <colorScale>
        <cfvo type="min"/>
        <cfvo type="percentile" val="50"/>
        <cfvo type="max"/>
        <color rgb="FF63BE7B"/>
        <color rgb="FFFFEB84"/>
        <color rgb="FFF8696B"/>
      </colorScale>
    </cfRule>
    <cfRule type="colorScale" priority="3210">
      <colorScale>
        <cfvo type="min"/>
        <cfvo type="percentile" val="50"/>
        <cfvo type="max"/>
        <color rgb="FF63BE7B"/>
        <color rgb="FFFFEB84"/>
        <color rgb="FFF8696B"/>
      </colorScale>
    </cfRule>
    <cfRule type="colorScale" priority="3209">
      <colorScale>
        <cfvo type="min"/>
        <cfvo type="percentile" val="50"/>
        <cfvo type="max"/>
        <color rgb="FF63BE7B"/>
        <color rgb="FFFFEB84"/>
        <color rgb="FFF8696B"/>
      </colorScale>
    </cfRule>
    <cfRule type="colorScale" priority="3208">
      <colorScale>
        <cfvo type="min"/>
        <cfvo type="percentile" val="50"/>
        <cfvo type="max"/>
        <color rgb="FF63BE7B"/>
        <color rgb="FFFFEB84"/>
        <color rgb="FFF8696B"/>
      </colorScale>
    </cfRule>
    <cfRule type="colorScale" priority="3207">
      <colorScale>
        <cfvo type="min"/>
        <cfvo type="percentile" val="50"/>
        <cfvo type="max"/>
        <color rgb="FF63BE7B"/>
        <color rgb="FFFFEB84"/>
        <color rgb="FFF8696B"/>
      </colorScale>
    </cfRule>
    <cfRule type="colorScale" priority="3206">
      <colorScale>
        <cfvo type="min"/>
        <cfvo type="percentile" val="50"/>
        <cfvo type="max"/>
        <color rgb="FF63BE7B"/>
        <color rgb="FFFFEB84"/>
        <color rgb="FFF8696B"/>
      </colorScale>
    </cfRule>
    <cfRule type="colorScale" priority="3205">
      <colorScale>
        <cfvo type="min"/>
        <cfvo type="percentile" val="50"/>
        <cfvo type="max"/>
        <color rgb="FF63BE7B"/>
        <color rgb="FFFFEB84"/>
        <color rgb="FFF8696B"/>
      </colorScale>
    </cfRule>
    <cfRule type="colorScale" priority="3657">
      <colorScale>
        <cfvo type="min"/>
        <cfvo type="percentile" val="50"/>
        <cfvo type="max"/>
        <color rgb="FF63BE7B"/>
        <color rgb="FFFFEB84"/>
        <color rgb="FFF8696B"/>
      </colorScale>
    </cfRule>
    <cfRule type="colorScale" priority="3658">
      <colorScale>
        <cfvo type="min"/>
        <cfvo type="percentile" val="50"/>
        <cfvo type="max"/>
        <color rgb="FF63BE7B"/>
        <color rgb="FFFFEB84"/>
        <color rgb="FFF8696B"/>
      </colorScale>
    </cfRule>
    <cfRule type="colorScale" priority="3659">
      <colorScale>
        <cfvo type="min"/>
        <cfvo type="percentile" val="50"/>
        <cfvo type="max"/>
        <color rgb="FF63BE7B"/>
        <color rgb="FFFFEB84"/>
        <color rgb="FFF8696B"/>
      </colorScale>
    </cfRule>
    <cfRule type="colorScale" priority="3660">
      <colorScale>
        <cfvo type="min"/>
        <cfvo type="percentile" val="50"/>
        <cfvo type="max"/>
        <color rgb="FF63BE7B"/>
        <color rgb="FFFFEB84"/>
        <color rgb="FFF8696B"/>
      </colorScale>
    </cfRule>
    <cfRule type="colorScale" priority="3661">
      <colorScale>
        <cfvo type="min"/>
        <cfvo type="percentile" val="50"/>
        <cfvo type="max"/>
        <color rgb="FF63BE7B"/>
        <color rgb="FFFFEB84"/>
        <color rgb="FFF8696B"/>
      </colorScale>
    </cfRule>
    <cfRule type="colorScale" priority="3662">
      <colorScale>
        <cfvo type="min"/>
        <cfvo type="percentile" val="50"/>
        <cfvo type="max"/>
        <color rgb="FF63BE7B"/>
        <color rgb="FFFFEB84"/>
        <color rgb="FFF8696B"/>
      </colorScale>
    </cfRule>
    <cfRule type="colorScale" priority="3663">
      <colorScale>
        <cfvo type="min"/>
        <cfvo type="percentile" val="50"/>
        <cfvo type="max"/>
        <color rgb="FF63BE7B"/>
        <color rgb="FFFFEB84"/>
        <color rgb="FFF8696B"/>
      </colorScale>
    </cfRule>
    <cfRule type="colorScale" priority="3664">
      <colorScale>
        <cfvo type="min"/>
        <cfvo type="percentile" val="50"/>
        <cfvo type="max"/>
        <color rgb="FF63BE7B"/>
        <color rgb="FFFFEB84"/>
        <color rgb="FFF8696B"/>
      </colorScale>
    </cfRule>
    <cfRule type="colorScale" priority="3204">
      <colorScale>
        <cfvo type="min"/>
        <cfvo type="percentile" val="50"/>
        <cfvo type="max"/>
        <color rgb="FF63BE7B"/>
        <color rgb="FFFFEB84"/>
        <color rgb="FFF8696B"/>
      </colorScale>
    </cfRule>
    <cfRule type="colorScale" priority="3203">
      <colorScale>
        <cfvo type="min"/>
        <cfvo type="percentile" val="50"/>
        <cfvo type="max"/>
        <color rgb="FF63BE7B"/>
        <color rgb="FFFFEB84"/>
        <color rgb="FFF8696B"/>
      </colorScale>
    </cfRule>
    <cfRule type="colorScale" priority="3202">
      <colorScale>
        <cfvo type="min"/>
        <cfvo type="percentile" val="50"/>
        <cfvo type="max"/>
        <color rgb="FF63BE7B"/>
        <color rgb="FFFFEB84"/>
        <color rgb="FFF8696B"/>
      </colorScale>
    </cfRule>
    <cfRule type="colorScale" priority="3201">
      <colorScale>
        <cfvo type="min"/>
        <cfvo type="percentile" val="50"/>
        <cfvo type="max"/>
        <color rgb="FF63BE7B"/>
        <color rgb="FFFFEB84"/>
        <color rgb="FFF8696B"/>
      </colorScale>
    </cfRule>
    <cfRule type="colorScale" priority="3200">
      <colorScale>
        <cfvo type="min"/>
        <cfvo type="percentile" val="50"/>
        <cfvo type="max"/>
        <color rgb="FF63BE7B"/>
        <color rgb="FFFFEB84"/>
        <color rgb="FFF8696B"/>
      </colorScale>
    </cfRule>
    <cfRule type="colorScale" priority="3199">
      <colorScale>
        <cfvo type="min"/>
        <cfvo type="percentile" val="50"/>
        <cfvo type="max"/>
        <color rgb="FF63BE7B"/>
        <color rgb="FFFFEB84"/>
        <color rgb="FFF8696B"/>
      </colorScale>
    </cfRule>
    <cfRule type="colorScale" priority="3198">
      <colorScale>
        <cfvo type="min"/>
        <cfvo type="percentile" val="50"/>
        <cfvo type="max"/>
        <color rgb="FF63BE7B"/>
        <color rgb="FFFFEB84"/>
        <color rgb="FFF8696B"/>
      </colorScale>
    </cfRule>
    <cfRule type="colorScale" priority="3197">
      <colorScale>
        <cfvo type="min"/>
        <cfvo type="percentile" val="50"/>
        <cfvo type="max"/>
        <color rgb="FF63BE7B"/>
        <color rgb="FFFFEB84"/>
        <color rgb="FFF8696B"/>
      </colorScale>
    </cfRule>
    <cfRule type="colorScale" priority="3196">
      <colorScale>
        <cfvo type="min"/>
        <cfvo type="percentile" val="50"/>
        <cfvo type="max"/>
        <color rgb="FF63BE7B"/>
        <color rgb="FFFFEB84"/>
        <color rgb="FFF8696B"/>
      </colorScale>
    </cfRule>
    <cfRule type="colorScale" priority="3195">
      <colorScale>
        <cfvo type="min"/>
        <cfvo type="percentile" val="50"/>
        <cfvo type="max"/>
        <color rgb="FF63BE7B"/>
        <color rgb="FFFFEB84"/>
        <color rgb="FFF8696B"/>
      </colorScale>
    </cfRule>
    <cfRule type="colorScale" priority="3194">
      <colorScale>
        <cfvo type="min"/>
        <cfvo type="percentile" val="50"/>
        <cfvo type="max"/>
        <color rgb="FF63BE7B"/>
        <color rgb="FFFFEB84"/>
        <color rgb="FFF8696B"/>
      </colorScale>
    </cfRule>
    <cfRule type="colorScale" priority="3193">
      <colorScale>
        <cfvo type="min"/>
        <cfvo type="percentile" val="50"/>
        <cfvo type="max"/>
        <color rgb="FF63BE7B"/>
        <color rgb="FFFFEB84"/>
        <color rgb="FFF8696B"/>
      </colorScale>
    </cfRule>
    <cfRule type="colorScale" priority="3665">
      <colorScale>
        <cfvo type="min"/>
        <cfvo type="percentile" val="50"/>
        <cfvo type="max"/>
        <color rgb="FF63BE7B"/>
        <color rgb="FFFFEB84"/>
        <color rgb="FFF8696B"/>
      </colorScale>
    </cfRule>
    <cfRule type="colorScale" priority="3666">
      <colorScale>
        <cfvo type="min"/>
        <cfvo type="percentile" val="50"/>
        <cfvo type="max"/>
        <color rgb="FF63BE7B"/>
        <color rgb="FFFFEB84"/>
        <color rgb="FFF8696B"/>
      </colorScale>
    </cfRule>
    <cfRule type="colorScale" priority="3667">
      <colorScale>
        <cfvo type="min"/>
        <cfvo type="percentile" val="50"/>
        <cfvo type="max"/>
        <color rgb="FF63BE7B"/>
        <color rgb="FFFFEB84"/>
        <color rgb="FFF8696B"/>
      </colorScale>
    </cfRule>
    <cfRule type="colorScale" priority="3668">
      <colorScale>
        <cfvo type="min"/>
        <cfvo type="percentile" val="50"/>
        <cfvo type="max"/>
        <color rgb="FF63BE7B"/>
        <color rgb="FFFFEB84"/>
        <color rgb="FFF8696B"/>
      </colorScale>
    </cfRule>
    <cfRule type="colorScale" priority="3192">
      <colorScale>
        <cfvo type="min"/>
        <cfvo type="percentile" val="50"/>
        <cfvo type="max"/>
        <color rgb="FF63BE7B"/>
        <color rgb="FFFFEB84"/>
        <color rgb="FFF8696B"/>
      </colorScale>
    </cfRule>
    <cfRule type="colorScale" priority="3191">
      <colorScale>
        <cfvo type="min"/>
        <cfvo type="percentile" val="50"/>
        <cfvo type="max"/>
        <color rgb="FF63BE7B"/>
        <color rgb="FFFFEB84"/>
        <color rgb="FFF8696B"/>
      </colorScale>
    </cfRule>
    <cfRule type="colorScale" priority="3190">
      <colorScale>
        <cfvo type="min"/>
        <cfvo type="percentile" val="50"/>
        <cfvo type="max"/>
        <color rgb="FF63BE7B"/>
        <color rgb="FFFFEB84"/>
        <color rgb="FFF8696B"/>
      </colorScale>
    </cfRule>
    <cfRule type="colorScale" priority="3189">
      <colorScale>
        <cfvo type="min"/>
        <cfvo type="percentile" val="50"/>
        <cfvo type="max"/>
        <color rgb="FF63BE7B"/>
        <color rgb="FFFFEB84"/>
        <color rgb="FFF8696B"/>
      </colorScale>
    </cfRule>
    <cfRule type="colorScale" priority="3669">
      <colorScale>
        <cfvo type="min"/>
        <cfvo type="percentile" val="50"/>
        <cfvo type="max"/>
        <color rgb="FF63BE7B"/>
        <color rgb="FFFFEB84"/>
        <color rgb="FFF8696B"/>
      </colorScale>
    </cfRule>
    <cfRule type="colorScale" priority="3670">
      <colorScale>
        <cfvo type="min"/>
        <cfvo type="percentile" val="50"/>
        <cfvo type="max"/>
        <color rgb="FF63BE7B"/>
        <color rgb="FFFFEB84"/>
        <color rgb="FFF8696B"/>
      </colorScale>
    </cfRule>
    <cfRule type="colorScale" priority="3188">
      <colorScale>
        <cfvo type="min"/>
        <cfvo type="percentile" val="50"/>
        <cfvo type="max"/>
        <color rgb="FF63BE7B"/>
        <color rgb="FFFFEB84"/>
        <color rgb="FFF8696B"/>
      </colorScale>
    </cfRule>
    <cfRule type="colorScale" priority="3187">
      <colorScale>
        <cfvo type="min"/>
        <cfvo type="percentile" val="50"/>
        <cfvo type="max"/>
        <color rgb="FF63BE7B"/>
        <color rgb="FFFFEB84"/>
        <color rgb="FFF8696B"/>
      </colorScale>
    </cfRule>
    <cfRule type="colorScale" priority="3186">
      <colorScale>
        <cfvo type="min"/>
        <cfvo type="percentile" val="50"/>
        <cfvo type="max"/>
        <color rgb="FFF8696B"/>
        <color rgb="FFFFEB84"/>
        <color rgb="FF63BE7B"/>
      </colorScale>
    </cfRule>
    <cfRule type="colorScale" priority="3185">
      <colorScale>
        <cfvo type="min"/>
        <cfvo type="percentile" val="50"/>
        <cfvo type="max"/>
        <color rgb="FF63BE7B"/>
        <color rgb="FFFFEB84"/>
        <color rgb="FFF8696B"/>
      </colorScale>
    </cfRule>
    <cfRule type="colorScale" priority="3184">
      <colorScale>
        <cfvo type="min"/>
        <cfvo type="percentile" val="50"/>
        <cfvo type="max"/>
        <color rgb="FF63BE7B"/>
        <color rgb="FFFFEB84"/>
        <color rgb="FFF8696B"/>
      </colorScale>
    </cfRule>
    <cfRule type="colorScale" priority="3183">
      <colorScale>
        <cfvo type="min"/>
        <cfvo type="percentile" val="50"/>
        <cfvo type="max"/>
        <color rgb="FF63BE7B"/>
        <color rgb="FFFFEB84"/>
        <color rgb="FFF8696B"/>
      </colorScale>
    </cfRule>
    <cfRule type="colorScale" priority="3182">
      <colorScale>
        <cfvo type="min"/>
        <cfvo type="percentile" val="50"/>
        <cfvo type="max"/>
        <color rgb="FF63BE7B"/>
        <color rgb="FFFFEB84"/>
        <color rgb="FFF8696B"/>
      </colorScale>
    </cfRule>
    <cfRule type="colorScale" priority="3181">
      <colorScale>
        <cfvo type="min"/>
        <cfvo type="percentile" val="50"/>
        <cfvo type="max"/>
        <color rgb="FF63BE7B"/>
        <color rgb="FFFFEB84"/>
        <color rgb="FFF8696B"/>
      </colorScale>
    </cfRule>
    <cfRule type="colorScale" priority="3180">
      <colorScale>
        <cfvo type="min"/>
        <cfvo type="percentile" val="50"/>
        <cfvo type="max"/>
        <color rgb="FF63BE7B"/>
        <color rgb="FFFFEB84"/>
        <color rgb="FFF8696B"/>
      </colorScale>
    </cfRule>
    <cfRule type="colorScale" priority="3179">
      <colorScale>
        <cfvo type="min"/>
        <cfvo type="percentile" val="50"/>
        <cfvo type="max"/>
        <color rgb="FF63BE7B"/>
        <color rgb="FFFFEB84"/>
        <color rgb="FFF8696B"/>
      </colorScale>
    </cfRule>
    <cfRule type="colorScale" priority="3178">
      <colorScale>
        <cfvo type="min"/>
        <cfvo type="percentile" val="50"/>
        <cfvo type="max"/>
        <color rgb="FF63BE7B"/>
        <color rgb="FFFFEB84"/>
        <color rgb="FFF8696B"/>
      </colorScale>
    </cfRule>
    <cfRule type="colorScale" priority="3177">
      <colorScale>
        <cfvo type="min"/>
        <cfvo type="percentile" val="50"/>
        <cfvo type="max"/>
        <color rgb="FF63BE7B"/>
        <color rgb="FFFFEB84"/>
        <color rgb="FFF8696B"/>
      </colorScale>
    </cfRule>
    <cfRule type="colorScale" priority="3176">
      <colorScale>
        <cfvo type="min"/>
        <cfvo type="percentile" val="50"/>
        <cfvo type="max"/>
        <color rgb="FF63BE7B"/>
        <color rgb="FFFFEB84"/>
        <color rgb="FFF8696B"/>
      </colorScale>
    </cfRule>
    <cfRule type="colorScale" priority="3175">
      <colorScale>
        <cfvo type="min"/>
        <cfvo type="percentile" val="50"/>
        <cfvo type="max"/>
        <color rgb="FF63BE7B"/>
        <color rgb="FFFFEB84"/>
        <color rgb="FFF8696B"/>
      </colorScale>
    </cfRule>
    <cfRule type="colorScale" priority="3174">
      <colorScale>
        <cfvo type="min"/>
        <cfvo type="percentile" val="50"/>
        <cfvo type="max"/>
        <color rgb="FF63BE7B"/>
        <color rgb="FFFFEB84"/>
        <color rgb="FFF8696B"/>
      </colorScale>
    </cfRule>
    <cfRule type="colorScale" priority="3173">
      <colorScale>
        <cfvo type="min"/>
        <cfvo type="percentile" val="50"/>
        <cfvo type="max"/>
        <color rgb="FF63BE7B"/>
        <color rgb="FFFFEB84"/>
        <color rgb="FFF8696B"/>
      </colorScale>
    </cfRule>
    <cfRule type="colorScale" priority="3172">
      <colorScale>
        <cfvo type="min"/>
        <cfvo type="percentile" val="50"/>
        <cfvo type="max"/>
        <color rgb="FF63BE7B"/>
        <color rgb="FFFFEB84"/>
        <color rgb="FFF8696B"/>
      </colorScale>
    </cfRule>
    <cfRule type="colorScale" priority="3171">
      <colorScale>
        <cfvo type="min"/>
        <cfvo type="percentile" val="50"/>
        <cfvo type="max"/>
        <color rgb="FF63BE7B"/>
        <color rgb="FFFFEB84"/>
        <color rgb="FFF8696B"/>
      </colorScale>
    </cfRule>
    <cfRule type="colorScale" priority="3170">
      <colorScale>
        <cfvo type="min"/>
        <cfvo type="percentile" val="50"/>
        <cfvo type="max"/>
        <color rgb="FF63BE7B"/>
        <color rgb="FFFFEB84"/>
        <color rgb="FFF8696B"/>
      </colorScale>
    </cfRule>
    <cfRule type="colorScale" priority="3169">
      <colorScale>
        <cfvo type="min"/>
        <cfvo type="percentile" val="50"/>
        <cfvo type="max"/>
        <color rgb="FF63BE7B"/>
        <color rgb="FFFFEB84"/>
        <color rgb="FFF8696B"/>
      </colorScale>
    </cfRule>
    <cfRule type="colorScale" priority="3168">
      <colorScale>
        <cfvo type="min"/>
        <cfvo type="percentile" val="50"/>
        <cfvo type="max"/>
        <color rgb="FF63BE7B"/>
        <color rgb="FFFFEB84"/>
        <color rgb="FFF8696B"/>
      </colorScale>
    </cfRule>
    <cfRule type="colorScale" priority="3167">
      <colorScale>
        <cfvo type="min"/>
        <cfvo type="percentile" val="50"/>
        <cfvo type="max"/>
        <color rgb="FF63BE7B"/>
        <color rgb="FFFFEB84"/>
        <color rgb="FFF8696B"/>
      </colorScale>
    </cfRule>
    <cfRule type="colorScale" priority="3166">
      <colorScale>
        <cfvo type="min"/>
        <cfvo type="percentile" val="50"/>
        <cfvo type="max"/>
        <color rgb="FF63BE7B"/>
        <color rgb="FFFFEB84"/>
        <color rgb="FFF8696B"/>
      </colorScale>
    </cfRule>
    <cfRule type="colorScale" priority="3165">
      <colorScale>
        <cfvo type="min"/>
        <cfvo type="percentile" val="50"/>
        <cfvo type="max"/>
        <color rgb="FF63BE7B"/>
        <color rgb="FFFFEB84"/>
        <color rgb="FFF8696B"/>
      </colorScale>
    </cfRule>
    <cfRule type="colorScale" priority="3164">
      <colorScale>
        <cfvo type="min"/>
        <cfvo type="percentile" val="50"/>
        <cfvo type="max"/>
        <color rgb="FF63BE7B"/>
        <color rgb="FFFFEB84"/>
        <color rgb="FFF8696B"/>
      </colorScale>
    </cfRule>
    <cfRule type="colorScale" priority="3163">
      <colorScale>
        <cfvo type="min"/>
        <cfvo type="percentile" val="50"/>
        <cfvo type="max"/>
        <color rgb="FF63BE7B"/>
        <color rgb="FFFFEB84"/>
        <color rgb="FFF8696B"/>
      </colorScale>
    </cfRule>
    <cfRule type="colorScale" priority="3162">
      <colorScale>
        <cfvo type="min"/>
        <cfvo type="percentile" val="50"/>
        <cfvo type="max"/>
        <color rgb="FF63BE7B"/>
        <color rgb="FFFFEB84"/>
        <color rgb="FFF8696B"/>
      </colorScale>
    </cfRule>
    <cfRule type="colorScale" priority="3161">
      <colorScale>
        <cfvo type="min"/>
        <cfvo type="percentile" val="50"/>
        <cfvo type="max"/>
        <color rgb="FF63BE7B"/>
        <color rgb="FFFFEB84"/>
        <color rgb="FFF8696B"/>
      </colorScale>
    </cfRule>
    <cfRule type="colorScale" priority="3160">
      <colorScale>
        <cfvo type="min"/>
        <cfvo type="percentile" val="50"/>
        <cfvo type="max"/>
        <color rgb="FF63BE7B"/>
        <color rgb="FFFFEB84"/>
        <color rgb="FFF8696B"/>
      </colorScale>
    </cfRule>
    <cfRule type="colorScale" priority="3159">
      <colorScale>
        <cfvo type="min"/>
        <cfvo type="percentile" val="50"/>
        <cfvo type="max"/>
        <color rgb="FF63BE7B"/>
        <color rgb="FFFFEB84"/>
        <color rgb="FFF8696B"/>
      </colorScale>
    </cfRule>
    <cfRule type="colorScale" priority="3158">
      <colorScale>
        <cfvo type="min"/>
        <cfvo type="percentile" val="50"/>
        <cfvo type="max"/>
        <color rgb="FF63BE7B"/>
        <color rgb="FFFFEB84"/>
        <color rgb="FFF8696B"/>
      </colorScale>
    </cfRule>
    <cfRule type="colorScale" priority="3157">
      <colorScale>
        <cfvo type="min"/>
        <cfvo type="percentile" val="50"/>
        <cfvo type="max"/>
        <color rgb="FF63BE7B"/>
        <color rgb="FFFFEB84"/>
        <color rgb="FFF8696B"/>
      </colorScale>
    </cfRule>
    <cfRule type="colorScale" priority="3156">
      <colorScale>
        <cfvo type="min"/>
        <cfvo type="percentile" val="50"/>
        <cfvo type="max"/>
        <color rgb="FF63BE7B"/>
        <color rgb="FFFFEB84"/>
        <color rgb="FFF8696B"/>
      </colorScale>
    </cfRule>
    <cfRule type="colorScale" priority="3155">
      <colorScale>
        <cfvo type="min"/>
        <cfvo type="percentile" val="50"/>
        <cfvo type="max"/>
        <color rgb="FF63BE7B"/>
        <color rgb="FFFFEB84"/>
        <color rgb="FFF8696B"/>
      </colorScale>
    </cfRule>
    <cfRule type="colorScale" priority="3154">
      <colorScale>
        <cfvo type="min"/>
        <cfvo type="percentile" val="50"/>
        <cfvo type="max"/>
        <color rgb="FF63BE7B"/>
        <color rgb="FFFFEB84"/>
        <color rgb="FFF8696B"/>
      </colorScale>
    </cfRule>
    <cfRule type="colorScale" priority="3153">
      <colorScale>
        <cfvo type="min"/>
        <cfvo type="percentile" val="50"/>
        <cfvo type="max"/>
        <color rgb="FF63BE7B"/>
        <color rgb="FFFFEB84"/>
        <color rgb="FFF8696B"/>
      </colorScale>
    </cfRule>
    <cfRule type="colorScale" priority="3152">
      <colorScale>
        <cfvo type="min"/>
        <cfvo type="percentile" val="50"/>
        <cfvo type="max"/>
        <color rgb="FF63BE7B"/>
        <color rgb="FFFFEB84"/>
        <color rgb="FFF8696B"/>
      </colorScale>
    </cfRule>
    <cfRule type="colorScale" priority="3151">
      <colorScale>
        <cfvo type="min"/>
        <cfvo type="percentile" val="50"/>
        <cfvo type="max"/>
        <color rgb="FF63BE7B"/>
        <color rgb="FFFFEB84"/>
        <color rgb="FFF8696B"/>
      </colorScale>
    </cfRule>
    <cfRule type="colorScale" priority="3150">
      <colorScale>
        <cfvo type="min"/>
        <cfvo type="percentile" val="50"/>
        <cfvo type="max"/>
        <color rgb="FF63BE7B"/>
        <color rgb="FFFFEB84"/>
        <color rgb="FFF8696B"/>
      </colorScale>
    </cfRule>
    <cfRule type="colorScale" priority="3149">
      <colorScale>
        <cfvo type="min"/>
        <cfvo type="percentile" val="50"/>
        <cfvo type="max"/>
        <color rgb="FF63BE7B"/>
        <color rgb="FFFFEB84"/>
        <color rgb="FFF8696B"/>
      </colorScale>
    </cfRule>
    <cfRule type="colorScale" priority="3148">
      <colorScale>
        <cfvo type="min"/>
        <cfvo type="percentile" val="50"/>
        <cfvo type="max"/>
        <color rgb="FF63BE7B"/>
        <color rgb="FFFFEB84"/>
        <color rgb="FFF8696B"/>
      </colorScale>
    </cfRule>
    <cfRule type="colorScale" priority="3147">
      <colorScale>
        <cfvo type="min"/>
        <cfvo type="percentile" val="50"/>
        <cfvo type="max"/>
        <color rgb="FF63BE7B"/>
        <color rgb="FFFFEB84"/>
        <color rgb="FFF8696B"/>
      </colorScale>
    </cfRule>
    <cfRule type="colorScale" priority="3146">
      <colorScale>
        <cfvo type="min"/>
        <cfvo type="percentile" val="50"/>
        <cfvo type="max"/>
        <color rgb="FF63BE7B"/>
        <color rgb="FFFFEB84"/>
        <color rgb="FFF8696B"/>
      </colorScale>
    </cfRule>
    <cfRule type="colorScale" priority="3145">
      <colorScale>
        <cfvo type="min"/>
        <cfvo type="percentile" val="50"/>
        <cfvo type="max"/>
        <color rgb="FF63BE7B"/>
        <color rgb="FFFFEB84"/>
        <color rgb="FFF8696B"/>
      </colorScale>
    </cfRule>
    <cfRule type="colorScale" priority="3144">
      <colorScale>
        <cfvo type="min"/>
        <cfvo type="percentile" val="50"/>
        <cfvo type="max"/>
        <color rgb="FF63BE7B"/>
        <color rgb="FFFFEB84"/>
        <color rgb="FFF8696B"/>
      </colorScale>
    </cfRule>
    <cfRule type="colorScale" priority="3143">
      <colorScale>
        <cfvo type="min"/>
        <cfvo type="percentile" val="50"/>
        <cfvo type="max"/>
        <color rgb="FF63BE7B"/>
        <color rgb="FFFFEB84"/>
        <color rgb="FFF8696B"/>
      </colorScale>
    </cfRule>
    <cfRule type="colorScale" priority="3142">
      <colorScale>
        <cfvo type="min"/>
        <cfvo type="percentile" val="50"/>
        <cfvo type="max"/>
        <color rgb="FF63BE7B"/>
        <color rgb="FFFFEB84"/>
        <color rgb="FFF8696B"/>
      </colorScale>
    </cfRule>
    <cfRule type="colorScale" priority="3141">
      <colorScale>
        <cfvo type="min"/>
        <cfvo type="percentile" val="50"/>
        <cfvo type="max"/>
        <color rgb="FF63BE7B"/>
        <color rgb="FFFFEB84"/>
        <color rgb="FFF8696B"/>
      </colorScale>
    </cfRule>
    <cfRule type="colorScale" priority="3140">
      <colorScale>
        <cfvo type="min"/>
        <cfvo type="percentile" val="50"/>
        <cfvo type="max"/>
        <color rgb="FF63BE7B"/>
        <color rgb="FFFFEB84"/>
        <color rgb="FFF8696B"/>
      </colorScale>
    </cfRule>
    <cfRule type="colorScale" priority="3139">
      <colorScale>
        <cfvo type="min"/>
        <cfvo type="percentile" val="50"/>
        <cfvo type="max"/>
        <color rgb="FF63BE7B"/>
        <color rgb="FFFFEB84"/>
        <color rgb="FFF8696B"/>
      </colorScale>
    </cfRule>
    <cfRule type="colorScale" priority="3138">
      <colorScale>
        <cfvo type="min"/>
        <cfvo type="percentile" val="50"/>
        <cfvo type="max"/>
        <color rgb="FF63BE7B"/>
        <color rgb="FFFFEB84"/>
        <color rgb="FFF8696B"/>
      </colorScale>
    </cfRule>
    <cfRule type="colorScale" priority="3137">
      <colorScale>
        <cfvo type="min"/>
        <cfvo type="percentile" val="50"/>
        <cfvo type="max"/>
        <color rgb="FF63BE7B"/>
        <color rgb="FFFFEB84"/>
        <color rgb="FFF8696B"/>
      </colorScale>
    </cfRule>
    <cfRule type="colorScale" priority="3136">
      <colorScale>
        <cfvo type="min"/>
        <cfvo type="percentile" val="50"/>
        <cfvo type="max"/>
        <color rgb="FF63BE7B"/>
        <color rgb="FFFFEB84"/>
        <color rgb="FFF8696B"/>
      </colorScale>
    </cfRule>
    <cfRule type="colorScale" priority="3135">
      <colorScale>
        <cfvo type="min"/>
        <cfvo type="percentile" val="50"/>
        <cfvo type="max"/>
        <color rgb="FF63BE7B"/>
        <color rgb="FFFFEB84"/>
        <color rgb="FFF8696B"/>
      </colorScale>
    </cfRule>
    <cfRule type="colorScale" priority="3133">
      <colorScale>
        <cfvo type="min"/>
        <cfvo type="percentile" val="50"/>
        <cfvo type="max"/>
        <color rgb="FF63BE7B"/>
        <color rgb="FFFFEB84"/>
        <color rgb="FFF8696B"/>
      </colorScale>
    </cfRule>
    <cfRule type="colorScale" priority="3132">
      <colorScale>
        <cfvo type="min"/>
        <cfvo type="percentile" val="50"/>
        <cfvo type="max"/>
        <color rgb="FF63BE7B"/>
        <color rgb="FFFFEB84"/>
        <color rgb="FFF8696B"/>
      </colorScale>
    </cfRule>
    <cfRule type="colorScale" priority="3131">
      <colorScale>
        <cfvo type="min"/>
        <cfvo type="percentile" val="50"/>
        <cfvo type="max"/>
        <color rgb="FF63BE7B"/>
        <color rgb="FFFFEB84"/>
        <color rgb="FFF8696B"/>
      </colorScale>
    </cfRule>
    <cfRule type="colorScale" priority="3130">
      <colorScale>
        <cfvo type="min"/>
        <cfvo type="percentile" val="50"/>
        <cfvo type="max"/>
        <color rgb="FF63BE7B"/>
        <color rgb="FFFFEB84"/>
        <color rgb="FFF8696B"/>
      </colorScale>
    </cfRule>
    <cfRule type="colorScale" priority="3129">
      <colorScale>
        <cfvo type="min"/>
        <cfvo type="percentile" val="50"/>
        <cfvo type="max"/>
        <color rgb="FF63BE7B"/>
        <color rgb="FFFFEB84"/>
        <color rgb="FFF8696B"/>
      </colorScale>
    </cfRule>
    <cfRule type="colorScale" priority="3128">
      <colorScale>
        <cfvo type="min"/>
        <cfvo type="percentile" val="50"/>
        <cfvo type="max"/>
        <color rgb="FF63BE7B"/>
        <color rgb="FFFFEB84"/>
        <color rgb="FFF8696B"/>
      </colorScale>
    </cfRule>
    <cfRule type="colorScale" priority="3127">
      <colorScale>
        <cfvo type="min"/>
        <cfvo type="percentile" val="50"/>
        <cfvo type="max"/>
        <color rgb="FF63BE7B"/>
        <color rgb="FFFFEB84"/>
        <color rgb="FFF8696B"/>
      </colorScale>
    </cfRule>
    <cfRule type="colorScale" priority="3126">
      <colorScale>
        <cfvo type="min"/>
        <cfvo type="percentile" val="50"/>
        <cfvo type="max"/>
        <color rgb="FF63BE7B"/>
        <color rgb="FFFFEB84"/>
        <color rgb="FFF8696B"/>
      </colorScale>
    </cfRule>
    <cfRule type="colorScale" priority="3125">
      <colorScale>
        <cfvo type="min"/>
        <cfvo type="percentile" val="50"/>
        <cfvo type="max"/>
        <color rgb="FF63BE7B"/>
        <color rgb="FFFFEB84"/>
        <color rgb="FFF8696B"/>
      </colorScale>
    </cfRule>
    <cfRule type="colorScale" priority="3124">
      <colorScale>
        <cfvo type="min"/>
        <cfvo type="percentile" val="50"/>
        <cfvo type="max"/>
        <color rgb="FF63BE7B"/>
        <color rgb="FFFFEB84"/>
        <color rgb="FFF8696B"/>
      </colorScale>
    </cfRule>
    <cfRule type="colorScale" priority="3123">
      <colorScale>
        <cfvo type="min"/>
        <cfvo type="percentile" val="50"/>
        <cfvo type="max"/>
        <color rgb="FF63BE7B"/>
        <color rgb="FFFFEB84"/>
        <color rgb="FFF8696B"/>
      </colorScale>
    </cfRule>
    <cfRule type="colorScale" priority="3122">
      <colorScale>
        <cfvo type="min"/>
        <cfvo type="percentile" val="50"/>
        <cfvo type="max"/>
        <color rgb="FF63BE7B"/>
        <color rgb="FFFFEB84"/>
        <color rgb="FFF8696B"/>
      </colorScale>
    </cfRule>
    <cfRule type="colorScale" priority="3121">
      <colorScale>
        <cfvo type="min"/>
        <cfvo type="percentile" val="50"/>
        <cfvo type="max"/>
        <color rgb="FF63BE7B"/>
        <color rgb="FFFFEB84"/>
        <color rgb="FFF8696B"/>
      </colorScale>
    </cfRule>
    <cfRule type="colorScale" priority="3120">
      <colorScale>
        <cfvo type="min"/>
        <cfvo type="percentile" val="50"/>
        <cfvo type="max"/>
        <color rgb="FF63BE7B"/>
        <color rgb="FFFFEB84"/>
        <color rgb="FFF8696B"/>
      </colorScale>
    </cfRule>
    <cfRule type="colorScale" priority="3119">
      <colorScale>
        <cfvo type="min"/>
        <cfvo type="percentile" val="50"/>
        <cfvo type="max"/>
        <color rgb="FF63BE7B"/>
        <color rgb="FFFFEB84"/>
        <color rgb="FFF8696B"/>
      </colorScale>
    </cfRule>
    <cfRule type="colorScale" priority="3118">
      <colorScale>
        <cfvo type="min"/>
        <cfvo type="percentile" val="50"/>
        <cfvo type="max"/>
        <color rgb="FF63BE7B"/>
        <color rgb="FFFFEB84"/>
        <color rgb="FFF8696B"/>
      </colorScale>
    </cfRule>
    <cfRule type="colorScale" priority="3117">
      <colorScale>
        <cfvo type="min"/>
        <cfvo type="percentile" val="50"/>
        <cfvo type="max"/>
        <color rgb="FF63BE7B"/>
        <color rgb="FFFFEB84"/>
        <color rgb="FFF8696B"/>
      </colorScale>
    </cfRule>
    <cfRule type="colorScale" priority="3116">
      <colorScale>
        <cfvo type="min"/>
        <cfvo type="percentile" val="50"/>
        <cfvo type="max"/>
        <color rgb="FF63BE7B"/>
        <color rgb="FFFFEB84"/>
        <color rgb="FFF8696B"/>
      </colorScale>
    </cfRule>
    <cfRule type="colorScale" priority="3115">
      <colorScale>
        <cfvo type="min"/>
        <cfvo type="percentile" val="50"/>
        <cfvo type="max"/>
        <color rgb="FF63BE7B"/>
        <color rgb="FFFFEB84"/>
        <color rgb="FFF8696B"/>
      </colorScale>
    </cfRule>
    <cfRule type="colorScale" priority="3114">
      <colorScale>
        <cfvo type="min"/>
        <cfvo type="percentile" val="50"/>
        <cfvo type="max"/>
        <color rgb="FF63BE7B"/>
        <color rgb="FFFFEB84"/>
        <color rgb="FFF8696B"/>
      </colorScale>
    </cfRule>
    <cfRule type="colorScale" priority="3113">
      <colorScale>
        <cfvo type="min"/>
        <cfvo type="percentile" val="50"/>
        <cfvo type="max"/>
        <color rgb="FF63BE7B"/>
        <color rgb="FFFFEB84"/>
        <color rgb="FFF8696B"/>
      </colorScale>
    </cfRule>
    <cfRule type="colorScale" priority="3112">
      <colorScale>
        <cfvo type="min"/>
        <cfvo type="percentile" val="50"/>
        <cfvo type="max"/>
        <color rgb="FF63BE7B"/>
        <color rgb="FFFFEB84"/>
        <color rgb="FFF8696B"/>
      </colorScale>
    </cfRule>
    <cfRule type="colorScale" priority="3111">
      <colorScale>
        <cfvo type="min"/>
        <cfvo type="percentile" val="50"/>
        <cfvo type="max"/>
        <color rgb="FF63BE7B"/>
        <color rgb="FFFFEB84"/>
        <color rgb="FFF8696B"/>
      </colorScale>
    </cfRule>
    <cfRule type="colorScale" priority="3492">
      <colorScale>
        <cfvo type="min"/>
        <cfvo type="percentile" val="50"/>
        <cfvo type="max"/>
        <color rgb="FF63BE7B"/>
        <color rgb="FFFFEB84"/>
        <color rgb="FFF8696B"/>
      </colorScale>
    </cfRule>
    <cfRule type="colorScale" priority="3491">
      <colorScale>
        <cfvo type="min"/>
        <cfvo type="percentile" val="50"/>
        <cfvo type="max"/>
        <color rgb="FF63BE7B"/>
        <color rgb="FFFFEB84"/>
        <color rgb="FFF8696B"/>
      </colorScale>
    </cfRule>
    <cfRule type="colorScale" priority="3490">
      <colorScale>
        <cfvo type="min"/>
        <cfvo type="percentile" val="50"/>
        <cfvo type="max"/>
        <color rgb="FF63BE7B"/>
        <color rgb="FFFFEB84"/>
        <color rgb="FFF8696B"/>
      </colorScale>
    </cfRule>
    <cfRule type="colorScale" priority="3489">
      <colorScale>
        <cfvo type="min"/>
        <cfvo type="percentile" val="50"/>
        <cfvo type="max"/>
        <color rgb="FF63BE7B"/>
        <color rgb="FFFFEB84"/>
        <color rgb="FFF8696B"/>
      </colorScale>
    </cfRule>
    <cfRule type="colorScale" priority="3488">
      <colorScale>
        <cfvo type="min"/>
        <cfvo type="percentile" val="50"/>
        <cfvo type="max"/>
        <color rgb="FF63BE7B"/>
        <color rgb="FFFFEB84"/>
        <color rgb="FFF8696B"/>
      </colorScale>
    </cfRule>
    <cfRule type="colorScale" priority="3487">
      <colorScale>
        <cfvo type="min"/>
        <cfvo type="percentile" val="50"/>
        <cfvo type="max"/>
        <color rgb="FF63BE7B"/>
        <color rgb="FFFFEB84"/>
        <color rgb="FFF8696B"/>
      </colorScale>
    </cfRule>
    <cfRule type="colorScale" priority="3486">
      <colorScale>
        <cfvo type="min"/>
        <cfvo type="percentile" val="50"/>
        <cfvo type="max"/>
        <color rgb="FF63BE7B"/>
        <color rgb="FFFFEB84"/>
        <color rgb="FFF8696B"/>
      </colorScale>
    </cfRule>
    <cfRule type="colorScale" priority="3485">
      <colorScale>
        <cfvo type="min"/>
        <cfvo type="percentile" val="50"/>
        <cfvo type="max"/>
        <color rgb="FF63BE7B"/>
        <color rgb="FFFFEB84"/>
        <color rgb="FFF8696B"/>
      </colorScale>
    </cfRule>
    <cfRule type="colorScale" priority="3110">
      <colorScale>
        <cfvo type="min"/>
        <cfvo type="percentile" val="50"/>
        <cfvo type="max"/>
        <color rgb="FF63BE7B"/>
        <color rgb="FFFFEB84"/>
        <color rgb="FFF8696B"/>
      </colorScale>
    </cfRule>
    <cfRule type="colorScale" priority="3109">
      <colorScale>
        <cfvo type="min"/>
        <cfvo type="percentile" val="50"/>
        <cfvo type="max"/>
        <color rgb="FF63BE7B"/>
        <color rgb="FFFFEB84"/>
        <color rgb="FFF8696B"/>
      </colorScale>
    </cfRule>
    <cfRule type="colorScale" priority="3108">
      <colorScale>
        <cfvo type="min"/>
        <cfvo type="percentile" val="50"/>
        <cfvo type="max"/>
        <color rgb="FF63BE7B"/>
        <color rgb="FFFFEB84"/>
        <color rgb="FFF8696B"/>
      </colorScale>
    </cfRule>
    <cfRule type="colorScale" priority="3107">
      <colorScale>
        <cfvo type="min"/>
        <cfvo type="percentile" val="50"/>
        <cfvo type="max"/>
        <color rgb="FF63BE7B"/>
        <color rgb="FFFFEB84"/>
        <color rgb="FFF8696B"/>
      </colorScale>
    </cfRule>
    <cfRule type="colorScale" priority="3106">
      <colorScale>
        <cfvo type="min"/>
        <cfvo type="percentile" val="50"/>
        <cfvo type="max"/>
        <color rgb="FF63BE7B"/>
        <color rgb="FFFFEB84"/>
        <color rgb="FFF8696B"/>
      </colorScale>
    </cfRule>
    <cfRule type="colorScale" priority="3105">
      <colorScale>
        <cfvo type="min"/>
        <cfvo type="percentile" val="50"/>
        <cfvo type="max"/>
        <color rgb="FFF8696B"/>
        <color rgb="FFFFEB84"/>
        <color rgb="FF63BE7B"/>
      </colorScale>
    </cfRule>
    <cfRule type="colorScale" priority="3104">
      <colorScale>
        <cfvo type="min"/>
        <cfvo type="percentile" val="50"/>
        <cfvo type="max"/>
        <color rgb="FF63BE7B"/>
        <color rgb="FFFFEB84"/>
        <color rgb="FFF8696B"/>
      </colorScale>
    </cfRule>
    <cfRule type="colorScale" priority="3103">
      <colorScale>
        <cfvo type="min"/>
        <cfvo type="percentile" val="50"/>
        <cfvo type="max"/>
        <color rgb="FF63BE7B"/>
        <color rgb="FFFFEB84"/>
        <color rgb="FFF8696B"/>
      </colorScale>
    </cfRule>
    <cfRule type="colorScale" priority="3102">
      <colorScale>
        <cfvo type="min"/>
        <cfvo type="percentile" val="50"/>
        <cfvo type="max"/>
        <color rgb="FF63BE7B"/>
        <color rgb="FFFFEB84"/>
        <color rgb="FFF8696B"/>
      </colorScale>
    </cfRule>
    <cfRule type="colorScale" priority="3101">
      <colorScale>
        <cfvo type="min"/>
        <cfvo type="percentile" val="50"/>
        <cfvo type="max"/>
        <color rgb="FF63BE7B"/>
        <color rgb="FFFFEB84"/>
        <color rgb="FFF8696B"/>
      </colorScale>
    </cfRule>
    <cfRule type="colorScale" priority="3100">
      <colorScale>
        <cfvo type="min"/>
        <cfvo type="percentile" val="50"/>
        <cfvo type="max"/>
        <color rgb="FF63BE7B"/>
        <color rgb="FFFFEB84"/>
        <color rgb="FFF8696B"/>
      </colorScale>
    </cfRule>
    <cfRule type="colorScale" priority="3099">
      <colorScale>
        <cfvo type="min"/>
        <cfvo type="percentile" val="50"/>
        <cfvo type="max"/>
        <color rgb="FF63BE7B"/>
        <color rgb="FFFFEB84"/>
        <color rgb="FFF8696B"/>
      </colorScale>
    </cfRule>
    <cfRule type="colorScale" priority="3098">
      <colorScale>
        <cfvo type="min"/>
        <cfvo type="percentile" val="50"/>
        <cfvo type="max"/>
        <color rgb="FF63BE7B"/>
        <color rgb="FFFFEB84"/>
        <color rgb="FFF8696B"/>
      </colorScale>
    </cfRule>
    <cfRule type="colorScale" priority="3097">
      <colorScale>
        <cfvo type="min"/>
        <cfvo type="percentile" val="50"/>
        <cfvo type="max"/>
        <color rgb="FF63BE7B"/>
        <color rgb="FFFFEB84"/>
        <color rgb="FFF8696B"/>
      </colorScale>
    </cfRule>
    <cfRule type="colorScale" priority="3096">
      <colorScale>
        <cfvo type="min"/>
        <cfvo type="percentile" val="50"/>
        <cfvo type="max"/>
        <color rgb="FF63BE7B"/>
        <color rgb="FFFFEB84"/>
        <color rgb="FFF8696B"/>
      </colorScale>
    </cfRule>
    <cfRule type="colorScale" priority="3095">
      <colorScale>
        <cfvo type="min"/>
        <cfvo type="percentile" val="50"/>
        <cfvo type="max"/>
        <color rgb="FF63BE7B"/>
        <color rgb="FFFFEB84"/>
        <color rgb="FFF8696B"/>
      </colorScale>
    </cfRule>
    <cfRule type="colorScale" priority="3094">
      <colorScale>
        <cfvo type="min"/>
        <cfvo type="percentile" val="50"/>
        <cfvo type="max"/>
        <color rgb="FF63BE7B"/>
        <color rgb="FFFFEB84"/>
        <color rgb="FFF8696B"/>
      </colorScale>
    </cfRule>
    <cfRule type="colorScale" priority="3093">
      <colorScale>
        <cfvo type="min"/>
        <cfvo type="percentile" val="50"/>
        <cfvo type="max"/>
        <color rgb="FF63BE7B"/>
        <color rgb="FFFFEB84"/>
        <color rgb="FFF8696B"/>
      </colorScale>
    </cfRule>
    <cfRule type="colorScale" priority="3092">
      <colorScale>
        <cfvo type="min"/>
        <cfvo type="percentile" val="50"/>
        <cfvo type="max"/>
        <color rgb="FF63BE7B"/>
        <color rgb="FFFFEB84"/>
        <color rgb="FFF8696B"/>
      </colorScale>
    </cfRule>
    <cfRule type="colorScale" priority="3091">
      <colorScale>
        <cfvo type="min"/>
        <cfvo type="percentile" val="50"/>
        <cfvo type="max"/>
        <color rgb="FF63BE7B"/>
        <color rgb="FFFFEB84"/>
        <color rgb="FFF8696B"/>
      </colorScale>
    </cfRule>
    <cfRule type="colorScale" priority="3090">
      <colorScale>
        <cfvo type="min"/>
        <cfvo type="percentile" val="50"/>
        <cfvo type="max"/>
        <color rgb="FF63BE7B"/>
        <color rgb="FFFFEB84"/>
        <color rgb="FFF8696B"/>
      </colorScale>
    </cfRule>
    <cfRule type="colorScale" priority="3089">
      <colorScale>
        <cfvo type="min"/>
        <cfvo type="percentile" val="50"/>
        <cfvo type="max"/>
        <color rgb="FF63BE7B"/>
        <color rgb="FFFFEB84"/>
        <color rgb="FFF8696B"/>
      </colorScale>
    </cfRule>
    <cfRule type="colorScale" priority="3088">
      <colorScale>
        <cfvo type="min"/>
        <cfvo type="percentile" val="50"/>
        <cfvo type="max"/>
        <color rgb="FF63BE7B"/>
        <color rgb="FFFFEB84"/>
        <color rgb="FFF8696B"/>
      </colorScale>
    </cfRule>
    <cfRule type="colorScale" priority="3087">
      <colorScale>
        <cfvo type="min"/>
        <cfvo type="percentile" val="50"/>
        <cfvo type="max"/>
        <color rgb="FF63BE7B"/>
        <color rgb="FFFFEB84"/>
        <color rgb="FFF8696B"/>
      </colorScale>
    </cfRule>
    <cfRule type="colorScale" priority="3086">
      <colorScale>
        <cfvo type="min"/>
        <cfvo type="percentile" val="50"/>
        <cfvo type="max"/>
        <color rgb="FF63BE7B"/>
        <color rgb="FFFFEB84"/>
        <color rgb="FFF8696B"/>
      </colorScale>
    </cfRule>
    <cfRule type="colorScale" priority="3085">
      <colorScale>
        <cfvo type="min"/>
        <cfvo type="percentile" val="50"/>
        <cfvo type="max"/>
        <color rgb="FF63BE7B"/>
        <color rgb="FFFFEB84"/>
        <color rgb="FFF8696B"/>
      </colorScale>
    </cfRule>
    <cfRule type="colorScale" priority="3084">
      <colorScale>
        <cfvo type="min"/>
        <cfvo type="percentile" val="50"/>
        <cfvo type="max"/>
        <color rgb="FF63BE7B"/>
        <color rgb="FFFFEB84"/>
        <color rgb="FFF8696B"/>
      </colorScale>
    </cfRule>
    <cfRule type="colorScale" priority="3083">
      <colorScale>
        <cfvo type="min"/>
        <cfvo type="percentile" val="50"/>
        <cfvo type="max"/>
        <color rgb="FF63BE7B"/>
        <color rgb="FFFFEB84"/>
        <color rgb="FFF8696B"/>
      </colorScale>
    </cfRule>
    <cfRule type="colorScale" priority="3082">
      <colorScale>
        <cfvo type="min"/>
        <cfvo type="percentile" val="50"/>
        <cfvo type="max"/>
        <color rgb="FF63BE7B"/>
        <color rgb="FFFFEB84"/>
        <color rgb="FFF8696B"/>
      </colorScale>
    </cfRule>
    <cfRule type="colorScale" priority="3081">
      <colorScale>
        <cfvo type="min"/>
        <cfvo type="percentile" val="50"/>
        <cfvo type="max"/>
        <color rgb="FF63BE7B"/>
        <color rgb="FFFFEB84"/>
        <color rgb="FFF8696B"/>
      </colorScale>
    </cfRule>
    <cfRule type="colorScale" priority="3080">
      <colorScale>
        <cfvo type="min"/>
        <cfvo type="percentile" val="50"/>
        <cfvo type="max"/>
        <color rgb="FF63BE7B"/>
        <color rgb="FFFFEB84"/>
        <color rgb="FFF8696B"/>
      </colorScale>
    </cfRule>
    <cfRule type="colorScale" priority="3079">
      <colorScale>
        <cfvo type="min"/>
        <cfvo type="percentile" val="50"/>
        <cfvo type="max"/>
        <color rgb="FF63BE7B"/>
        <color rgb="FFFFEB84"/>
        <color rgb="FFF8696B"/>
      </colorScale>
    </cfRule>
    <cfRule type="colorScale" priority="3078">
      <colorScale>
        <cfvo type="min"/>
        <cfvo type="percentile" val="50"/>
        <cfvo type="max"/>
        <color rgb="FF63BE7B"/>
        <color rgb="FFFFEB84"/>
        <color rgb="FFF8696B"/>
      </colorScale>
    </cfRule>
    <cfRule type="colorScale" priority="3077">
      <colorScale>
        <cfvo type="min"/>
        <cfvo type="percentile" val="50"/>
        <cfvo type="max"/>
        <color rgb="FF63BE7B"/>
        <color rgb="FFFFEB84"/>
        <color rgb="FFF8696B"/>
      </colorScale>
    </cfRule>
    <cfRule type="colorScale" priority="3076">
      <colorScale>
        <cfvo type="min"/>
        <cfvo type="percentile" val="50"/>
        <cfvo type="max"/>
        <color rgb="FF63BE7B"/>
        <color rgb="FFFFEB84"/>
        <color rgb="FFF8696B"/>
      </colorScale>
    </cfRule>
    <cfRule type="colorScale" priority="3075">
      <colorScale>
        <cfvo type="min"/>
        <cfvo type="percentile" val="50"/>
        <cfvo type="max"/>
        <color rgb="FF63BE7B"/>
        <color rgb="FFFFEB84"/>
        <color rgb="FFF8696B"/>
      </colorScale>
    </cfRule>
    <cfRule type="colorScale" priority="3074">
      <colorScale>
        <cfvo type="min"/>
        <cfvo type="percentile" val="50"/>
        <cfvo type="max"/>
        <color rgb="FF63BE7B"/>
        <color rgb="FFFFEB84"/>
        <color rgb="FFF8696B"/>
      </colorScale>
    </cfRule>
    <cfRule type="colorScale" priority="3073">
      <colorScale>
        <cfvo type="min"/>
        <cfvo type="percentile" val="50"/>
        <cfvo type="max"/>
        <color rgb="FF63BE7B"/>
        <color rgb="FFFFEB84"/>
        <color rgb="FFF8696B"/>
      </colorScale>
    </cfRule>
    <cfRule type="colorScale" priority="3072">
      <colorScale>
        <cfvo type="min"/>
        <cfvo type="percentile" val="50"/>
        <cfvo type="max"/>
        <color rgb="FF63BE7B"/>
        <color rgb="FFFFEB84"/>
        <color rgb="FFF8696B"/>
      </colorScale>
    </cfRule>
    <cfRule type="colorScale" priority="3071">
      <colorScale>
        <cfvo type="min"/>
        <cfvo type="percentile" val="50"/>
        <cfvo type="max"/>
        <color rgb="FF63BE7B"/>
        <color rgb="FFFFEB84"/>
        <color rgb="FFF8696B"/>
      </colorScale>
    </cfRule>
    <cfRule type="colorScale" priority="3070">
      <colorScale>
        <cfvo type="min"/>
        <cfvo type="percentile" val="50"/>
        <cfvo type="max"/>
        <color rgb="FF63BE7B"/>
        <color rgb="FFFFEB84"/>
        <color rgb="FFF8696B"/>
      </colorScale>
    </cfRule>
    <cfRule type="colorScale" priority="3069">
      <colorScale>
        <cfvo type="min"/>
        <cfvo type="percentile" val="50"/>
        <cfvo type="max"/>
        <color rgb="FF63BE7B"/>
        <color rgb="FFFFEB84"/>
        <color rgb="FFF8696B"/>
      </colorScale>
    </cfRule>
    <cfRule type="colorScale" priority="3068">
      <colorScale>
        <cfvo type="min"/>
        <cfvo type="percentile" val="50"/>
        <cfvo type="max"/>
        <color rgb="FF63BE7B"/>
        <color rgb="FFFFEB84"/>
        <color rgb="FFF8696B"/>
      </colorScale>
    </cfRule>
    <cfRule type="colorScale" priority="3067">
      <colorScale>
        <cfvo type="min"/>
        <cfvo type="percentile" val="50"/>
        <cfvo type="max"/>
        <color rgb="FF63BE7B"/>
        <color rgb="FFFFEB84"/>
        <color rgb="FFF8696B"/>
      </colorScale>
    </cfRule>
    <cfRule type="colorScale" priority="3066">
      <colorScale>
        <cfvo type="min"/>
        <cfvo type="percentile" val="50"/>
        <cfvo type="max"/>
        <color rgb="FF63BE7B"/>
        <color rgb="FFFFEB84"/>
        <color rgb="FFF8696B"/>
      </colorScale>
    </cfRule>
    <cfRule type="colorScale" priority="3065">
      <colorScale>
        <cfvo type="min"/>
        <cfvo type="percentile" val="50"/>
        <cfvo type="max"/>
        <color rgb="FF63BE7B"/>
        <color rgb="FFFFEB84"/>
        <color rgb="FFF8696B"/>
      </colorScale>
    </cfRule>
    <cfRule type="colorScale" priority="3064">
      <colorScale>
        <cfvo type="min"/>
        <cfvo type="percentile" val="50"/>
        <cfvo type="max"/>
        <color rgb="FF63BE7B"/>
        <color rgb="FFFFEB84"/>
        <color rgb="FFF8696B"/>
      </colorScale>
    </cfRule>
    <cfRule type="colorScale" priority="3063">
      <colorScale>
        <cfvo type="min"/>
        <cfvo type="percentile" val="50"/>
        <cfvo type="max"/>
        <color rgb="FF63BE7B"/>
        <color rgb="FFFFEB84"/>
        <color rgb="FFF8696B"/>
      </colorScale>
    </cfRule>
    <cfRule type="colorScale" priority="3062">
      <colorScale>
        <cfvo type="min"/>
        <cfvo type="percentile" val="50"/>
        <cfvo type="max"/>
        <color rgb="FF63BE7B"/>
        <color rgb="FFFFEB84"/>
        <color rgb="FFF8696B"/>
      </colorScale>
    </cfRule>
    <cfRule type="colorScale" priority="3061">
      <colorScale>
        <cfvo type="min"/>
        <cfvo type="percentile" val="50"/>
        <cfvo type="max"/>
        <color rgb="FF63BE7B"/>
        <color rgb="FFFFEB84"/>
        <color rgb="FFF8696B"/>
      </colorScale>
    </cfRule>
    <cfRule type="colorScale" priority="3060">
      <colorScale>
        <cfvo type="min"/>
        <cfvo type="percentile" val="50"/>
        <cfvo type="max"/>
        <color rgb="FF63BE7B"/>
        <color rgb="FFFFEB84"/>
        <color rgb="FFF8696B"/>
      </colorScale>
    </cfRule>
    <cfRule type="colorScale" priority="3059">
      <colorScale>
        <cfvo type="min"/>
        <cfvo type="percentile" val="50"/>
        <cfvo type="max"/>
        <color rgb="FF63BE7B"/>
        <color rgb="FFFFEB84"/>
        <color rgb="FFF8696B"/>
      </colorScale>
    </cfRule>
    <cfRule type="colorScale" priority="3058">
      <colorScale>
        <cfvo type="min"/>
        <cfvo type="percentile" val="50"/>
        <cfvo type="max"/>
        <color rgb="FF63BE7B"/>
        <color rgb="FFFFEB84"/>
        <color rgb="FFF8696B"/>
      </colorScale>
    </cfRule>
    <cfRule type="colorScale" priority="3057">
      <colorScale>
        <cfvo type="min"/>
        <cfvo type="percentile" val="50"/>
        <cfvo type="max"/>
        <color rgb="FFF8696B"/>
        <color rgb="FFFFEB84"/>
        <color rgb="FF63BE7B"/>
      </colorScale>
    </cfRule>
    <cfRule type="colorScale" priority="3056">
      <colorScale>
        <cfvo type="min"/>
        <cfvo type="percentile" val="50"/>
        <cfvo type="max"/>
        <color rgb="FF63BE7B"/>
        <color rgb="FFFFEB84"/>
        <color rgb="FFF8696B"/>
      </colorScale>
    </cfRule>
    <cfRule type="colorScale" priority="3055">
      <colorScale>
        <cfvo type="min"/>
        <cfvo type="percentile" val="50"/>
        <cfvo type="max"/>
        <color rgb="FF63BE7B"/>
        <color rgb="FFFFEB84"/>
        <color rgb="FFF8696B"/>
      </colorScale>
    </cfRule>
    <cfRule type="colorScale" priority="3054">
      <colorScale>
        <cfvo type="min"/>
        <cfvo type="percentile" val="50"/>
        <cfvo type="max"/>
        <color rgb="FF63BE7B"/>
        <color rgb="FFFFEB84"/>
        <color rgb="FFF8696B"/>
      </colorScale>
    </cfRule>
    <cfRule type="colorScale" priority="3053">
      <colorScale>
        <cfvo type="min"/>
        <cfvo type="percentile" val="50"/>
        <cfvo type="max"/>
        <color rgb="FF63BE7B"/>
        <color rgb="FFFFEB84"/>
        <color rgb="FFF8696B"/>
      </colorScale>
    </cfRule>
    <cfRule type="colorScale" priority="3052">
      <colorScale>
        <cfvo type="min"/>
        <cfvo type="percentile" val="50"/>
        <cfvo type="max"/>
        <color rgb="FF63BE7B"/>
        <color rgb="FFFFEB84"/>
        <color rgb="FFF8696B"/>
      </colorScale>
    </cfRule>
    <cfRule type="colorScale" priority="3051">
      <colorScale>
        <cfvo type="min"/>
        <cfvo type="percentile" val="50"/>
        <cfvo type="max"/>
        <color rgb="FF63BE7B"/>
        <color rgb="FFFFEB84"/>
        <color rgb="FFF8696B"/>
      </colorScale>
    </cfRule>
    <cfRule type="colorScale" priority="3050">
      <colorScale>
        <cfvo type="min"/>
        <cfvo type="percentile" val="50"/>
        <cfvo type="max"/>
        <color rgb="FF63BE7B"/>
        <color rgb="FFFFEB84"/>
        <color rgb="FFF8696B"/>
      </colorScale>
    </cfRule>
    <cfRule type="colorScale" priority="3049">
      <colorScale>
        <cfvo type="min"/>
        <cfvo type="percentile" val="50"/>
        <cfvo type="max"/>
        <color rgb="FF63BE7B"/>
        <color rgb="FFFFEB84"/>
        <color rgb="FFF8696B"/>
      </colorScale>
    </cfRule>
    <cfRule type="colorScale" priority="3048">
      <colorScale>
        <cfvo type="min"/>
        <cfvo type="percentile" val="50"/>
        <cfvo type="max"/>
        <color rgb="FF63BE7B"/>
        <color rgb="FFFFEB84"/>
        <color rgb="FFF8696B"/>
      </colorScale>
    </cfRule>
    <cfRule type="colorScale" priority="3047">
      <colorScale>
        <cfvo type="min"/>
        <cfvo type="percentile" val="50"/>
        <cfvo type="max"/>
        <color rgb="FF63BE7B"/>
        <color rgb="FFFFEB84"/>
        <color rgb="FFF8696B"/>
      </colorScale>
    </cfRule>
    <cfRule type="colorScale" priority="3046">
      <colorScale>
        <cfvo type="min"/>
        <cfvo type="percentile" val="50"/>
        <cfvo type="max"/>
        <color rgb="FF63BE7B"/>
        <color rgb="FFFFEB84"/>
        <color rgb="FFF8696B"/>
      </colorScale>
    </cfRule>
    <cfRule type="colorScale" priority="3045">
      <colorScale>
        <cfvo type="min"/>
        <cfvo type="percentile" val="50"/>
        <cfvo type="max"/>
        <color rgb="FF63BE7B"/>
        <color rgb="FFFFEB84"/>
        <color rgb="FFF8696B"/>
      </colorScale>
    </cfRule>
    <cfRule type="colorScale" priority="3044">
      <colorScale>
        <cfvo type="min"/>
        <cfvo type="percentile" val="50"/>
        <cfvo type="max"/>
        <color rgb="FF63BE7B"/>
        <color rgb="FFFFEB84"/>
        <color rgb="FFF8696B"/>
      </colorScale>
    </cfRule>
    <cfRule type="colorScale" priority="3043">
      <colorScale>
        <cfvo type="min"/>
        <cfvo type="percentile" val="50"/>
        <cfvo type="max"/>
        <color rgb="FF63BE7B"/>
        <color rgb="FFFFEB84"/>
        <color rgb="FFF8696B"/>
      </colorScale>
    </cfRule>
    <cfRule type="colorScale" priority="3042">
      <colorScale>
        <cfvo type="min"/>
        <cfvo type="percentile" val="50"/>
        <cfvo type="max"/>
        <color rgb="FF63BE7B"/>
        <color rgb="FFFFEB84"/>
        <color rgb="FFF8696B"/>
      </colorScale>
    </cfRule>
    <cfRule type="colorScale" priority="3041">
      <colorScale>
        <cfvo type="min"/>
        <cfvo type="percentile" val="50"/>
        <cfvo type="max"/>
        <color rgb="FF63BE7B"/>
        <color rgb="FFFFEB84"/>
        <color rgb="FFF8696B"/>
      </colorScale>
    </cfRule>
    <cfRule type="colorScale" priority="3040">
      <colorScale>
        <cfvo type="min"/>
        <cfvo type="percentile" val="50"/>
        <cfvo type="max"/>
        <color rgb="FF63BE7B"/>
        <color rgb="FFFFEB84"/>
        <color rgb="FFF8696B"/>
      </colorScale>
    </cfRule>
    <cfRule type="colorScale" priority="3039">
      <colorScale>
        <cfvo type="min"/>
        <cfvo type="percentile" val="50"/>
        <cfvo type="max"/>
        <color rgb="FF63BE7B"/>
        <color rgb="FFFFEB84"/>
        <color rgb="FFF8696B"/>
      </colorScale>
    </cfRule>
    <cfRule type="colorScale" priority="3038">
      <colorScale>
        <cfvo type="min"/>
        <cfvo type="percentile" val="50"/>
        <cfvo type="max"/>
        <color rgb="FF63BE7B"/>
        <color rgb="FFFFEB84"/>
        <color rgb="FFF8696B"/>
      </colorScale>
    </cfRule>
    <cfRule type="colorScale" priority="3037">
      <colorScale>
        <cfvo type="min"/>
        <cfvo type="percentile" val="50"/>
        <cfvo type="max"/>
        <color rgb="FF63BE7B"/>
        <color rgb="FFFFEB84"/>
        <color rgb="FFF8696B"/>
      </colorScale>
    </cfRule>
    <cfRule type="colorScale" priority="3036">
      <colorScale>
        <cfvo type="min"/>
        <cfvo type="percentile" val="50"/>
        <cfvo type="max"/>
        <color rgb="FF63BE7B"/>
        <color rgb="FFFFEB84"/>
        <color rgb="FFF8696B"/>
      </colorScale>
    </cfRule>
    <cfRule type="colorScale" priority="3035">
      <colorScale>
        <cfvo type="min"/>
        <cfvo type="percentile" val="50"/>
        <cfvo type="max"/>
        <color rgb="FF63BE7B"/>
        <color rgb="FFFFEB84"/>
        <color rgb="FFF8696B"/>
      </colorScale>
    </cfRule>
    <cfRule type="colorScale" priority="3034">
      <colorScale>
        <cfvo type="min"/>
        <cfvo type="percentile" val="50"/>
        <cfvo type="max"/>
        <color rgb="FF63BE7B"/>
        <color rgb="FFFFEB84"/>
        <color rgb="FFF8696B"/>
      </colorScale>
    </cfRule>
    <cfRule type="colorScale" priority="3033">
      <colorScale>
        <cfvo type="min"/>
        <cfvo type="percentile" val="50"/>
        <cfvo type="max"/>
        <color rgb="FF63BE7B"/>
        <color rgb="FFFFEB84"/>
        <color rgb="FFF8696B"/>
      </colorScale>
    </cfRule>
    <cfRule type="colorScale" priority="3032">
      <colorScale>
        <cfvo type="min"/>
        <cfvo type="percentile" val="50"/>
        <cfvo type="max"/>
        <color rgb="FF63BE7B"/>
        <color rgb="FFFFEB84"/>
        <color rgb="FFF8696B"/>
      </colorScale>
    </cfRule>
    <cfRule type="colorScale" priority="3031">
      <colorScale>
        <cfvo type="min"/>
        <cfvo type="percentile" val="50"/>
        <cfvo type="max"/>
        <color rgb="FF63BE7B"/>
        <color rgb="FFFFEB84"/>
        <color rgb="FFF8696B"/>
      </colorScale>
    </cfRule>
    <cfRule type="colorScale" priority="3030">
      <colorScale>
        <cfvo type="min"/>
        <cfvo type="percentile" val="50"/>
        <cfvo type="max"/>
        <color rgb="FF63BE7B"/>
        <color rgb="FFFFEB84"/>
        <color rgb="FFF8696B"/>
      </colorScale>
    </cfRule>
    <cfRule type="colorScale" priority="3029">
      <colorScale>
        <cfvo type="min"/>
        <cfvo type="percentile" val="50"/>
        <cfvo type="max"/>
        <color rgb="FF63BE7B"/>
        <color rgb="FFFFEB84"/>
        <color rgb="FFF8696B"/>
      </colorScale>
    </cfRule>
    <cfRule type="colorScale" priority="3028">
      <colorScale>
        <cfvo type="min"/>
        <cfvo type="percentile" val="50"/>
        <cfvo type="max"/>
        <color rgb="FF63BE7B"/>
        <color rgb="FFFFEB84"/>
        <color rgb="FFF8696B"/>
      </colorScale>
    </cfRule>
    <cfRule type="colorScale" priority="3027">
      <colorScale>
        <cfvo type="min"/>
        <cfvo type="percentile" val="50"/>
        <cfvo type="max"/>
        <color rgb="FF63BE7B"/>
        <color rgb="FFFFEB84"/>
        <color rgb="FFF8696B"/>
      </colorScale>
    </cfRule>
    <cfRule type="colorScale" priority="3026">
      <colorScale>
        <cfvo type="min"/>
        <cfvo type="percentile" val="50"/>
        <cfvo type="max"/>
        <color rgb="FF63BE7B"/>
        <color rgb="FFFFEB84"/>
        <color rgb="FFF8696B"/>
      </colorScale>
    </cfRule>
    <cfRule type="colorScale" priority="3025">
      <colorScale>
        <cfvo type="min"/>
        <cfvo type="percentile" val="50"/>
        <cfvo type="max"/>
        <color rgb="FF63BE7B"/>
        <color rgb="FFFFEB84"/>
        <color rgb="FFF8696B"/>
      </colorScale>
    </cfRule>
    <cfRule type="colorScale" priority="3024">
      <colorScale>
        <cfvo type="min"/>
        <cfvo type="percentile" val="50"/>
        <cfvo type="max"/>
        <color rgb="FF63BE7B"/>
        <color rgb="FFFFEB84"/>
        <color rgb="FFF8696B"/>
      </colorScale>
    </cfRule>
    <cfRule type="colorScale" priority="3023">
      <colorScale>
        <cfvo type="min"/>
        <cfvo type="percentile" val="50"/>
        <cfvo type="max"/>
        <color rgb="FF63BE7B"/>
        <color rgb="FFFFEB84"/>
        <color rgb="FFF8696B"/>
      </colorScale>
    </cfRule>
    <cfRule type="colorScale" priority="3022">
      <colorScale>
        <cfvo type="min"/>
        <cfvo type="percentile" val="50"/>
        <cfvo type="max"/>
        <color rgb="FF63BE7B"/>
        <color rgb="FFFFEB84"/>
        <color rgb="FFF8696B"/>
      </colorScale>
    </cfRule>
    <cfRule type="colorScale" priority="3021">
      <colorScale>
        <cfvo type="min"/>
        <cfvo type="percentile" val="50"/>
        <cfvo type="max"/>
        <color rgb="FF63BE7B"/>
        <color rgb="FFFFEB84"/>
        <color rgb="FFF8696B"/>
      </colorScale>
    </cfRule>
    <cfRule type="colorScale" priority="3020">
      <colorScale>
        <cfvo type="min"/>
        <cfvo type="percentile" val="50"/>
        <cfvo type="max"/>
        <color rgb="FF63BE7B"/>
        <color rgb="FFFFEB84"/>
        <color rgb="FFF8696B"/>
      </colorScale>
    </cfRule>
    <cfRule type="colorScale" priority="3019">
      <colorScale>
        <cfvo type="min"/>
        <cfvo type="percentile" val="50"/>
        <cfvo type="max"/>
        <color rgb="FF63BE7B"/>
        <color rgb="FFFFEB84"/>
        <color rgb="FFF8696B"/>
      </colorScale>
    </cfRule>
    <cfRule type="colorScale" priority="3018">
      <colorScale>
        <cfvo type="min"/>
        <cfvo type="percentile" val="50"/>
        <cfvo type="max"/>
        <color rgb="FFF8696B"/>
        <color rgb="FFFFEB84"/>
        <color rgb="FF63BE7B"/>
      </colorScale>
    </cfRule>
    <cfRule type="colorScale" priority="3015">
      <colorScale>
        <cfvo type="min"/>
        <cfvo type="percentile" val="50"/>
        <cfvo type="max"/>
        <color rgb="FF63BE7B"/>
        <color rgb="FFFFEB84"/>
        <color rgb="FFF8696B"/>
      </colorScale>
    </cfRule>
    <cfRule type="colorScale" priority="3014">
      <colorScale>
        <cfvo type="min"/>
        <cfvo type="percentile" val="50"/>
        <cfvo type="max"/>
        <color rgb="FF63BE7B"/>
        <color rgb="FFFFEB84"/>
        <color rgb="FFF8696B"/>
      </colorScale>
    </cfRule>
    <cfRule type="colorScale" priority="3013">
      <colorScale>
        <cfvo type="min"/>
        <cfvo type="percentile" val="50"/>
        <cfvo type="max"/>
        <color rgb="FF63BE7B"/>
        <color rgb="FFFFEB84"/>
        <color rgb="FFF8696B"/>
      </colorScale>
    </cfRule>
    <cfRule type="colorScale" priority="3012">
      <colorScale>
        <cfvo type="min"/>
        <cfvo type="percentile" val="50"/>
        <cfvo type="max"/>
        <color rgb="FF63BE7B"/>
        <color rgb="FFFFEB84"/>
        <color rgb="FFF8696B"/>
      </colorScale>
    </cfRule>
    <cfRule type="colorScale" priority="3011">
      <colorScale>
        <cfvo type="min"/>
        <cfvo type="percentile" val="50"/>
        <cfvo type="max"/>
        <color rgb="FF63BE7B"/>
        <color rgb="FFFFEB84"/>
        <color rgb="FFF8696B"/>
      </colorScale>
    </cfRule>
    <cfRule type="colorScale" priority="3010">
      <colorScale>
        <cfvo type="min"/>
        <cfvo type="percentile" val="50"/>
        <cfvo type="max"/>
        <color rgb="FF63BE7B"/>
        <color rgb="FFFFEB84"/>
        <color rgb="FFF8696B"/>
      </colorScale>
    </cfRule>
    <cfRule type="colorScale" priority="3009">
      <colorScale>
        <cfvo type="min"/>
        <cfvo type="percentile" val="50"/>
        <cfvo type="max"/>
        <color rgb="FF63BE7B"/>
        <color rgb="FFFFEB84"/>
        <color rgb="FFF8696B"/>
      </colorScale>
    </cfRule>
    <cfRule type="colorScale" priority="3008">
      <colorScale>
        <cfvo type="min"/>
        <cfvo type="percentile" val="50"/>
        <cfvo type="max"/>
        <color rgb="FF63BE7B"/>
        <color rgb="FFFFEB84"/>
        <color rgb="FFF8696B"/>
      </colorScale>
    </cfRule>
    <cfRule type="colorScale" priority="3007">
      <colorScale>
        <cfvo type="min"/>
        <cfvo type="percentile" val="50"/>
        <cfvo type="max"/>
        <color rgb="FF63BE7B"/>
        <color rgb="FFFFEB84"/>
        <color rgb="FFF8696B"/>
      </colorScale>
    </cfRule>
    <cfRule type="colorScale" priority="3006">
      <colorScale>
        <cfvo type="min"/>
        <cfvo type="percentile" val="50"/>
        <cfvo type="max"/>
        <color rgb="FF63BE7B"/>
        <color rgb="FFFFEB84"/>
        <color rgb="FFF8696B"/>
      </colorScale>
    </cfRule>
    <cfRule type="colorScale" priority="3005">
      <colorScale>
        <cfvo type="min"/>
        <cfvo type="percentile" val="50"/>
        <cfvo type="max"/>
        <color rgb="FF63BE7B"/>
        <color rgb="FFFFEB84"/>
        <color rgb="FFF8696B"/>
      </colorScale>
    </cfRule>
    <cfRule type="colorScale" priority="3004">
      <colorScale>
        <cfvo type="min"/>
        <cfvo type="percentile" val="50"/>
        <cfvo type="max"/>
        <color rgb="FF63BE7B"/>
        <color rgb="FFFFEB84"/>
        <color rgb="FFF8696B"/>
      </colorScale>
    </cfRule>
    <cfRule type="colorScale" priority="3003">
      <colorScale>
        <cfvo type="min"/>
        <cfvo type="percentile" val="50"/>
        <cfvo type="max"/>
        <color rgb="FF63BE7B"/>
        <color rgb="FFFFEB84"/>
        <color rgb="FFF8696B"/>
      </colorScale>
    </cfRule>
    <cfRule type="colorScale" priority="3484">
      <colorScale>
        <cfvo type="min"/>
        <cfvo type="percentile" val="50"/>
        <cfvo type="max"/>
        <color rgb="FF63BE7B"/>
        <color rgb="FFFFEB84"/>
        <color rgb="FFF8696B"/>
      </colorScale>
    </cfRule>
    <cfRule type="colorScale" priority="3483">
      <colorScale>
        <cfvo type="min"/>
        <cfvo type="percentile" val="50"/>
        <cfvo type="max"/>
        <color rgb="FF63BE7B"/>
        <color rgb="FFFFEB84"/>
        <color rgb="FFF8696B"/>
      </colorScale>
    </cfRule>
    <cfRule type="colorScale" priority="3482">
      <colorScale>
        <cfvo type="min"/>
        <cfvo type="percentile" val="50"/>
        <cfvo type="max"/>
        <color rgb="FF63BE7B"/>
        <color rgb="FFFFEB84"/>
        <color rgb="FFF8696B"/>
      </colorScale>
    </cfRule>
    <cfRule type="colorScale" priority="3481">
      <colorScale>
        <cfvo type="min"/>
        <cfvo type="percentile" val="50"/>
        <cfvo type="max"/>
        <color rgb="FF63BE7B"/>
        <color rgb="FFFFEB84"/>
        <color rgb="FFF8696B"/>
      </colorScale>
    </cfRule>
    <cfRule type="colorScale" priority="3480">
      <colorScale>
        <cfvo type="min"/>
        <cfvo type="percentile" val="50"/>
        <cfvo type="max"/>
        <color rgb="FF63BE7B"/>
        <color rgb="FFFFEB84"/>
        <color rgb="FFF8696B"/>
      </colorScale>
    </cfRule>
    <cfRule type="colorScale" priority="3479">
      <colorScale>
        <cfvo type="min"/>
        <cfvo type="percentile" val="50"/>
        <cfvo type="max"/>
        <color rgb="FF63BE7B"/>
        <color rgb="FFFFEB84"/>
        <color rgb="FFF8696B"/>
      </colorScale>
    </cfRule>
    <cfRule type="colorScale" priority="3478">
      <colorScale>
        <cfvo type="min"/>
        <cfvo type="percentile" val="50"/>
        <cfvo type="max"/>
        <color rgb="FF63BE7B"/>
        <color rgb="FFFFEB84"/>
        <color rgb="FFF8696B"/>
      </colorScale>
    </cfRule>
    <cfRule type="colorScale" priority="3477">
      <colorScale>
        <cfvo type="min"/>
        <cfvo type="percentile" val="50"/>
        <cfvo type="max"/>
        <color rgb="FF63BE7B"/>
        <color rgb="FFFFEB84"/>
        <color rgb="FFF8696B"/>
      </colorScale>
    </cfRule>
    <cfRule type="colorScale" priority="3476">
      <colorScale>
        <cfvo type="min"/>
        <cfvo type="percentile" val="50"/>
        <cfvo type="max"/>
        <color rgb="FF63BE7B"/>
        <color rgb="FFFFEB84"/>
        <color rgb="FFF8696B"/>
      </colorScale>
    </cfRule>
    <cfRule type="colorScale" priority="3475">
      <colorScale>
        <cfvo type="min"/>
        <cfvo type="percentile" val="50"/>
        <cfvo type="max"/>
        <color rgb="FF63BE7B"/>
        <color rgb="FFFFEB84"/>
        <color rgb="FFF8696B"/>
      </colorScale>
    </cfRule>
    <cfRule type="colorScale" priority="3474">
      <colorScale>
        <cfvo type="min"/>
        <cfvo type="percentile" val="50"/>
        <cfvo type="max"/>
        <color rgb="FF63BE7B"/>
        <color rgb="FFFFEB84"/>
        <color rgb="FFF8696B"/>
      </colorScale>
    </cfRule>
    <cfRule type="colorScale" priority="3473">
      <colorScale>
        <cfvo type="min"/>
        <cfvo type="percentile" val="50"/>
        <cfvo type="max"/>
        <color rgb="FF63BE7B"/>
        <color rgb="FFFFEB84"/>
        <color rgb="FFF8696B"/>
      </colorScale>
    </cfRule>
    <cfRule type="colorScale" priority="3472">
      <colorScale>
        <cfvo type="min"/>
        <cfvo type="percentile" val="50"/>
        <cfvo type="max"/>
        <color rgb="FF63BE7B"/>
        <color rgb="FFFFEB84"/>
        <color rgb="FFF8696B"/>
      </colorScale>
    </cfRule>
    <cfRule type="colorScale" priority="3471">
      <colorScale>
        <cfvo type="min"/>
        <cfvo type="percentile" val="50"/>
        <cfvo type="max"/>
        <color rgb="FF63BE7B"/>
        <color rgb="FFFFEB84"/>
        <color rgb="FFF8696B"/>
      </colorScale>
    </cfRule>
    <cfRule type="colorScale" priority="3470">
      <colorScale>
        <cfvo type="min"/>
        <cfvo type="percentile" val="50"/>
        <cfvo type="max"/>
        <color rgb="FF63BE7B"/>
        <color rgb="FFFFEB84"/>
        <color rgb="FFF8696B"/>
      </colorScale>
    </cfRule>
    <cfRule type="colorScale" priority="3469">
      <colorScale>
        <cfvo type="min"/>
        <cfvo type="percentile" val="50"/>
        <cfvo type="max"/>
        <color rgb="FF63BE7B"/>
        <color rgb="FFFFEB84"/>
        <color rgb="FFF8696B"/>
      </colorScale>
    </cfRule>
    <cfRule type="colorScale" priority="3468">
      <colorScale>
        <cfvo type="min"/>
        <cfvo type="percentile" val="50"/>
        <cfvo type="max"/>
        <color rgb="FF63BE7B"/>
        <color rgb="FFFFEB84"/>
        <color rgb="FFF8696B"/>
      </colorScale>
    </cfRule>
    <cfRule type="colorScale" priority="3467">
      <colorScale>
        <cfvo type="min"/>
        <cfvo type="percentile" val="50"/>
        <cfvo type="max"/>
        <color rgb="FF63BE7B"/>
        <color rgb="FFFFEB84"/>
        <color rgb="FFF8696B"/>
      </colorScale>
    </cfRule>
  </conditionalFormatting>
  <conditionalFormatting sqref="AR54:AR61">
    <cfRule type="colorScale" priority="14">
      <colorScale>
        <cfvo type="min"/>
        <cfvo type="percentile" val="50"/>
        <cfvo type="max"/>
        <color rgb="FF63BE7B"/>
        <color rgb="FFFFEB84"/>
        <color rgb="FFF8696B"/>
      </colorScale>
    </cfRule>
  </conditionalFormatting>
  <conditionalFormatting sqref="AR65:AR71">
    <cfRule type="colorScale" priority="12473">
      <colorScale>
        <cfvo type="min"/>
        <cfvo type="percentile" val="50"/>
        <cfvo type="max"/>
        <color rgb="FF63BE7B"/>
        <color rgb="FFFFEB84"/>
        <color rgb="FFF8696B"/>
      </colorScale>
    </cfRule>
    <cfRule type="colorScale" priority="12472">
      <colorScale>
        <cfvo type="min"/>
        <cfvo type="percentile" val="50"/>
        <cfvo type="max"/>
        <color rgb="FF63BE7B"/>
        <color rgb="FFFFEB84"/>
        <color rgb="FFF8696B"/>
      </colorScale>
    </cfRule>
    <cfRule type="colorScale" priority="12471">
      <colorScale>
        <cfvo type="min"/>
        <cfvo type="percentile" val="50"/>
        <cfvo type="max"/>
        <color rgb="FF63BE7B"/>
        <color rgb="FFFFEB84"/>
        <color rgb="FFF8696B"/>
      </colorScale>
    </cfRule>
  </conditionalFormatting>
  <conditionalFormatting sqref="AR66:AR71">
    <cfRule type="colorScale" priority="12474">
      <colorScale>
        <cfvo type="min"/>
        <cfvo type="percentile" val="50"/>
        <cfvo type="max"/>
        <color rgb="FF63BE7B"/>
        <color rgb="FFFFEB84"/>
        <color rgb="FFF8696B"/>
      </colorScale>
    </cfRule>
  </conditionalFormatting>
  <conditionalFormatting sqref="AR72:AR79">
    <cfRule type="colorScale" priority="12349">
      <colorScale>
        <cfvo type="min"/>
        <cfvo type="percentile" val="50"/>
        <cfvo type="max"/>
        <color rgb="FF63BE7B"/>
        <color rgb="FFFFEB84"/>
        <color rgb="FFF8696B"/>
      </colorScale>
    </cfRule>
    <cfRule type="colorScale" priority="12348">
      <colorScale>
        <cfvo type="min"/>
        <cfvo type="percentile" val="50"/>
        <cfvo type="max"/>
        <color rgb="FF63BE7B"/>
        <color rgb="FFFFEB84"/>
        <color rgb="FFF8696B"/>
      </colorScale>
    </cfRule>
    <cfRule type="colorScale" priority="12347">
      <colorScale>
        <cfvo type="min"/>
        <cfvo type="percentile" val="50"/>
        <cfvo type="max"/>
        <color rgb="FF63BE7B"/>
        <color rgb="FFFFEB84"/>
        <color rgb="FFF8696B"/>
      </colorScale>
    </cfRule>
    <cfRule type="colorScale" priority="12346">
      <colorScale>
        <cfvo type="min"/>
        <cfvo type="percentile" val="50"/>
        <cfvo type="max"/>
        <color rgb="FF63BE7B"/>
        <color rgb="FFFFEB84"/>
        <color rgb="FFF8696B"/>
      </colorScale>
    </cfRule>
  </conditionalFormatting>
  <conditionalFormatting sqref="AR81:AR83">
    <cfRule type="colorScale" priority="12251">
      <colorScale>
        <cfvo type="min"/>
        <cfvo type="percentile" val="50"/>
        <cfvo type="max"/>
        <color rgb="FF63BE7B"/>
        <color rgb="FFFFEB84"/>
        <color rgb="FFF8696B"/>
      </colorScale>
    </cfRule>
    <cfRule type="colorScale" priority="12252">
      <colorScale>
        <cfvo type="min"/>
        <cfvo type="percentile" val="50"/>
        <cfvo type="max"/>
        <color rgb="FF63BE7B"/>
        <color rgb="FFFFEB84"/>
        <color rgb="FFF8696B"/>
      </colorScale>
    </cfRule>
    <cfRule type="colorScale" priority="12250">
      <colorScale>
        <cfvo type="min"/>
        <cfvo type="percentile" val="50"/>
        <cfvo type="max"/>
        <color rgb="FF63BE7B"/>
        <color rgb="FFFFEB84"/>
        <color rgb="FFF8696B"/>
      </colorScale>
    </cfRule>
    <cfRule type="colorScale" priority="12253">
      <colorScale>
        <cfvo type="min"/>
        <cfvo type="percentile" val="50"/>
        <cfvo type="max"/>
        <color rgb="FF63BE7B"/>
        <color rgb="FFFFEB84"/>
        <color rgb="FFF8696B"/>
      </colorScale>
    </cfRule>
  </conditionalFormatting>
  <conditionalFormatting sqref="AR84:AR85">
    <cfRule type="colorScale" priority="12068">
      <colorScale>
        <cfvo type="min"/>
        <cfvo type="percentile" val="50"/>
        <cfvo type="max"/>
        <color rgb="FF63BE7B"/>
        <color rgb="FFFFEB84"/>
        <color rgb="FFF8696B"/>
      </colorScale>
    </cfRule>
    <cfRule type="colorScale" priority="12069">
      <colorScale>
        <cfvo type="min"/>
        <cfvo type="percentile" val="50"/>
        <cfvo type="max"/>
        <color rgb="FF63BE7B"/>
        <color rgb="FFFFEB84"/>
        <color rgb="FFF8696B"/>
      </colorScale>
    </cfRule>
    <cfRule type="colorScale" priority="12070">
      <colorScale>
        <cfvo type="min"/>
        <cfvo type="percentile" val="50"/>
        <cfvo type="max"/>
        <color rgb="FF63BE7B"/>
        <color rgb="FFFFEB84"/>
        <color rgb="FFF8696B"/>
      </colorScale>
    </cfRule>
  </conditionalFormatting>
  <conditionalFormatting sqref="AR96:AR102">
    <cfRule type="colorScale" priority="11867">
      <colorScale>
        <cfvo type="min"/>
        <cfvo type="percentile" val="50"/>
        <cfvo type="max"/>
        <color rgb="FF63BE7B"/>
        <color rgb="FFFFEB84"/>
        <color rgb="FFF8696B"/>
      </colorScale>
    </cfRule>
    <cfRule type="colorScale" priority="11866">
      <colorScale>
        <cfvo type="min"/>
        <cfvo type="percentile" val="50"/>
        <cfvo type="max"/>
        <color rgb="FF63BE7B"/>
        <color rgb="FFFFEB84"/>
        <color rgb="FFF8696B"/>
      </colorScale>
    </cfRule>
    <cfRule type="colorScale" priority="11865">
      <colorScale>
        <cfvo type="min"/>
        <cfvo type="percentile" val="50"/>
        <cfvo type="max"/>
        <color rgb="FF63BE7B"/>
        <color rgb="FFFFEB84"/>
        <color rgb="FFF8696B"/>
      </colorScale>
    </cfRule>
  </conditionalFormatting>
  <conditionalFormatting sqref="AR97:AR102">
    <cfRule type="colorScale" priority="11868">
      <colorScale>
        <cfvo type="min"/>
        <cfvo type="percentile" val="50"/>
        <cfvo type="max"/>
        <color rgb="FF63BE7B"/>
        <color rgb="FFFFEB84"/>
        <color rgb="FFF8696B"/>
      </colorScale>
    </cfRule>
  </conditionalFormatting>
  <conditionalFormatting sqref="AR103:AR110">
    <cfRule type="colorScale" priority="11742">
      <colorScale>
        <cfvo type="min"/>
        <cfvo type="percentile" val="50"/>
        <cfvo type="max"/>
        <color rgb="FF63BE7B"/>
        <color rgb="FFFFEB84"/>
        <color rgb="FFF8696B"/>
      </colorScale>
    </cfRule>
    <cfRule type="colorScale" priority="11740">
      <colorScale>
        <cfvo type="min"/>
        <cfvo type="percentile" val="50"/>
        <cfvo type="max"/>
        <color rgb="FF63BE7B"/>
        <color rgb="FFFFEB84"/>
        <color rgb="FFF8696B"/>
      </colorScale>
    </cfRule>
    <cfRule type="colorScale" priority="11743">
      <colorScale>
        <cfvo type="min"/>
        <cfvo type="percentile" val="50"/>
        <cfvo type="max"/>
        <color rgb="FF63BE7B"/>
        <color rgb="FFFFEB84"/>
        <color rgb="FFF8696B"/>
      </colorScale>
    </cfRule>
    <cfRule type="colorScale" priority="11741">
      <colorScale>
        <cfvo type="min"/>
        <cfvo type="percentile" val="50"/>
        <cfvo type="max"/>
        <color rgb="FF63BE7B"/>
        <color rgb="FFFFEB84"/>
        <color rgb="FFF8696B"/>
      </colorScale>
    </cfRule>
  </conditionalFormatting>
  <conditionalFormatting sqref="AR112:AR114">
    <cfRule type="colorScale" priority="11649">
      <colorScale>
        <cfvo type="min"/>
        <cfvo type="percentile" val="50"/>
        <cfvo type="max"/>
        <color rgb="FF63BE7B"/>
        <color rgb="FFFFEB84"/>
        <color rgb="FFF8696B"/>
      </colorScale>
    </cfRule>
    <cfRule type="colorScale" priority="11650">
      <colorScale>
        <cfvo type="min"/>
        <cfvo type="percentile" val="50"/>
        <cfvo type="max"/>
        <color rgb="FF63BE7B"/>
        <color rgb="FFFFEB84"/>
        <color rgb="FFF8696B"/>
      </colorScale>
    </cfRule>
    <cfRule type="colorScale" priority="11648">
      <colorScale>
        <cfvo type="min"/>
        <cfvo type="percentile" val="50"/>
        <cfvo type="max"/>
        <color rgb="FF63BE7B"/>
        <color rgb="FFFFEB84"/>
        <color rgb="FFF8696B"/>
      </colorScale>
    </cfRule>
    <cfRule type="colorScale" priority="11647">
      <colorScale>
        <cfvo type="min"/>
        <cfvo type="percentile" val="50"/>
        <cfvo type="max"/>
        <color rgb="FF63BE7B"/>
        <color rgb="FFFFEB84"/>
        <color rgb="FFF8696B"/>
      </colorScale>
    </cfRule>
  </conditionalFormatting>
  <conditionalFormatting sqref="AR115:AR116">
    <cfRule type="colorScale" priority="11465">
      <colorScale>
        <cfvo type="min"/>
        <cfvo type="percentile" val="50"/>
        <cfvo type="max"/>
        <color rgb="FF63BE7B"/>
        <color rgb="FFFFEB84"/>
        <color rgb="FFF8696B"/>
      </colorScale>
    </cfRule>
    <cfRule type="colorScale" priority="11467">
      <colorScale>
        <cfvo type="min"/>
        <cfvo type="percentile" val="50"/>
        <cfvo type="max"/>
        <color rgb="FF63BE7B"/>
        <color rgb="FFFFEB84"/>
        <color rgb="FFF8696B"/>
      </colorScale>
    </cfRule>
    <cfRule type="colorScale" priority="11466">
      <colorScale>
        <cfvo type="min"/>
        <cfvo type="percentile" val="50"/>
        <cfvo type="max"/>
        <color rgb="FF63BE7B"/>
        <color rgb="FFFFEB84"/>
        <color rgb="FFF8696B"/>
      </colorScale>
    </cfRule>
  </conditionalFormatting>
  <conditionalFormatting sqref="AS35:AS37">
    <cfRule type="colorScale" priority="8600">
      <colorScale>
        <cfvo type="min"/>
        <cfvo type="percentile" val="50"/>
        <cfvo type="max"/>
        <color rgb="FF63BE7B"/>
        <color rgb="FFFFEB84"/>
        <color rgb="FFF8696B"/>
      </colorScale>
    </cfRule>
    <cfRule type="colorScale" priority="8595">
      <colorScale>
        <cfvo type="min"/>
        <cfvo type="percentile" val="50"/>
        <cfvo type="max"/>
        <color rgb="FF63BE7B"/>
        <color rgb="FFFFEB84"/>
        <color rgb="FFF8696B"/>
      </colorScale>
    </cfRule>
    <cfRule type="colorScale" priority="8597">
      <colorScale>
        <cfvo type="min"/>
        <cfvo type="percentile" val="50"/>
        <cfvo type="max"/>
        <color rgb="FF63BE7B"/>
        <color rgb="FFFFEB84"/>
        <color rgb="FFF8696B"/>
      </colorScale>
    </cfRule>
    <cfRule type="colorScale" priority="8586">
      <colorScale>
        <cfvo type="min"/>
        <cfvo type="percentile" val="50"/>
        <cfvo type="max"/>
        <color rgb="FF63BE7B"/>
        <color rgb="FFFFEB84"/>
        <color rgb="FFF8696B"/>
      </colorScale>
    </cfRule>
    <cfRule type="colorScale" priority="8596">
      <colorScale>
        <cfvo type="min"/>
        <cfvo type="percentile" val="50"/>
        <cfvo type="max"/>
        <color rgb="FF63BE7B"/>
        <color rgb="FFFFEB84"/>
        <color rgb="FFF8696B"/>
      </colorScale>
    </cfRule>
    <cfRule type="colorScale" priority="8569">
      <colorScale>
        <cfvo type="min"/>
        <cfvo type="percentile" val="50"/>
        <cfvo type="max"/>
        <color rgb="FF63BE7B"/>
        <color rgb="FFFFEB84"/>
        <color rgb="FFF8696B"/>
      </colorScale>
    </cfRule>
    <cfRule type="colorScale" priority="8559">
      <colorScale>
        <cfvo type="min"/>
        <cfvo type="percentile" val="50"/>
        <cfvo type="max"/>
        <color rgb="FF63BE7B"/>
        <color rgb="FFFFEB84"/>
        <color rgb="FFF8696B"/>
      </colorScale>
    </cfRule>
    <cfRule type="colorScale" priority="8594">
      <colorScale>
        <cfvo type="min"/>
        <cfvo type="percentile" val="50"/>
        <cfvo type="max"/>
        <color rgb="FF63BE7B"/>
        <color rgb="FFFFEB84"/>
        <color rgb="FFF8696B"/>
      </colorScale>
    </cfRule>
    <cfRule type="colorScale" priority="8599">
      <colorScale>
        <cfvo type="min"/>
        <cfvo type="percentile" val="50"/>
        <cfvo type="max"/>
        <color rgb="FF63BE7B"/>
        <color rgb="FFFFEB84"/>
        <color rgb="FFF8696B"/>
      </colorScale>
    </cfRule>
    <cfRule type="colorScale" priority="8570">
      <colorScale>
        <cfvo type="min"/>
        <cfvo type="percentile" val="50"/>
        <cfvo type="max"/>
        <color rgb="FF63BE7B"/>
        <color rgb="FFFFEB84"/>
        <color rgb="FFF8696B"/>
      </colorScale>
    </cfRule>
    <cfRule type="colorScale" priority="8567">
      <colorScale>
        <cfvo type="min"/>
        <cfvo type="percentile" val="50"/>
        <cfvo type="max"/>
        <color rgb="FF63BE7B"/>
        <color rgb="FFFFEB84"/>
        <color rgb="FFF8696B"/>
      </colorScale>
    </cfRule>
    <cfRule type="colorScale" priority="8568">
      <colorScale>
        <cfvo type="min"/>
        <cfvo type="percentile" val="50"/>
        <cfvo type="max"/>
        <color rgb="FF63BE7B"/>
        <color rgb="FFFFEB84"/>
        <color rgb="FFF8696B"/>
      </colorScale>
    </cfRule>
    <cfRule type="colorScale" priority="10668">
      <colorScale>
        <cfvo type="min"/>
        <cfvo type="percentile" val="50"/>
        <cfvo type="max"/>
        <color rgb="FF63BE7B"/>
        <color rgb="FFFFEB84"/>
        <color rgb="FFF8696B"/>
      </colorScale>
    </cfRule>
    <cfRule type="colorScale" priority="8573">
      <colorScale>
        <cfvo type="min"/>
        <cfvo type="percentile" val="50"/>
        <cfvo type="max"/>
        <color rgb="FF63BE7B"/>
        <color rgb="FFFFEB84"/>
        <color rgb="FFF8696B"/>
      </colorScale>
    </cfRule>
    <cfRule type="colorScale" priority="8572">
      <colorScale>
        <cfvo type="min"/>
        <cfvo type="percentile" val="50"/>
        <cfvo type="max"/>
        <color rgb="FF63BE7B"/>
        <color rgb="FFFFEB84"/>
        <color rgb="FFF8696B"/>
      </colorScale>
    </cfRule>
  </conditionalFormatting>
  <conditionalFormatting sqref="AS35:AS41 AD35:AD41 P35:P50">
    <cfRule type="colorScale" priority="13040">
      <colorScale>
        <cfvo type="min"/>
        <cfvo type="percentile" val="50"/>
        <cfvo type="max"/>
        <color rgb="FF63BE7B"/>
        <color rgb="FFFFEB84"/>
        <color rgb="FFF8696B"/>
      </colorScale>
    </cfRule>
    <cfRule type="colorScale" priority="13039">
      <colorScale>
        <cfvo type="min"/>
        <cfvo type="percentile" val="50"/>
        <cfvo type="max"/>
        <color rgb="FF63BE7B"/>
        <color rgb="FFFFEB84"/>
        <color rgb="FFF8696B"/>
      </colorScale>
    </cfRule>
    <cfRule type="colorScale" priority="13038">
      <colorScale>
        <cfvo type="min"/>
        <cfvo type="percentile" val="50"/>
        <cfvo type="max"/>
        <color rgb="FF63BE7B"/>
        <color rgb="FFFFEB84"/>
        <color rgb="FFF8696B"/>
      </colorScale>
    </cfRule>
    <cfRule type="colorScale" priority="13212">
      <colorScale>
        <cfvo type="min"/>
        <cfvo type="percentile" val="50"/>
        <cfvo type="max"/>
        <color rgb="FF63BE7B"/>
        <color rgb="FFFFEB84"/>
        <color rgb="FFF8696B"/>
      </colorScale>
    </cfRule>
    <cfRule type="colorScale" priority="13041">
      <colorScale>
        <cfvo type="min"/>
        <cfvo type="percentile" val="50"/>
        <cfvo type="max"/>
        <color rgb="FF63BE7B"/>
        <color rgb="FFFFEB84"/>
        <color rgb="FFF8696B"/>
      </colorScale>
    </cfRule>
  </conditionalFormatting>
  <conditionalFormatting sqref="AS35:AS41 AD35:AD41 AS52:AS53 AD52:AD53 P35:P53">
    <cfRule type="colorScale" priority="13232">
      <colorScale>
        <cfvo type="min"/>
        <cfvo type="percentile" val="50"/>
        <cfvo type="max"/>
        <color rgb="FF63BE7B"/>
        <color rgb="FFFFEB84"/>
        <color rgb="FFF8696B"/>
      </colorScale>
    </cfRule>
  </conditionalFormatting>
  <conditionalFormatting sqref="AS35:AS41">
    <cfRule type="colorScale" priority="10673">
      <colorScale>
        <cfvo type="min"/>
        <cfvo type="percentile" val="50"/>
        <cfvo type="max"/>
        <color rgb="FF63BE7B"/>
        <color rgb="FFFFEB84"/>
        <color rgb="FFF8696B"/>
      </colorScale>
    </cfRule>
    <cfRule type="colorScale" priority="10674">
      <colorScale>
        <cfvo type="min"/>
        <cfvo type="percentile" val="50"/>
        <cfvo type="max"/>
        <color rgb="FF63BE7B"/>
        <color rgb="FFFFEB84"/>
        <color rgb="FFF8696B"/>
      </colorScale>
    </cfRule>
    <cfRule type="colorScale" priority="10675">
      <colorScale>
        <cfvo type="min"/>
        <cfvo type="percentile" val="50"/>
        <cfvo type="max"/>
        <color rgb="FF63BE7B"/>
        <color rgb="FFFFEB84"/>
        <color rgb="FFF8696B"/>
      </colorScale>
    </cfRule>
    <cfRule type="colorScale" priority="10676">
      <colorScale>
        <cfvo type="min"/>
        <cfvo type="percentile" val="50"/>
        <cfvo type="max"/>
        <color rgb="FF63BE7B"/>
        <color rgb="FFFFEB84"/>
        <color rgb="FFF8696B"/>
      </colorScale>
    </cfRule>
    <cfRule type="colorScale" priority="10677">
      <colorScale>
        <cfvo type="min"/>
        <cfvo type="percentile" val="50"/>
        <cfvo type="max"/>
        <color rgb="FF63BE7B"/>
        <color rgb="FFFFEB84"/>
        <color rgb="FFF8696B"/>
      </colorScale>
    </cfRule>
    <cfRule type="colorScale" priority="10678">
      <colorScale>
        <cfvo type="min"/>
        <cfvo type="percentile" val="50"/>
        <cfvo type="max"/>
        <color rgb="FF63BE7B"/>
        <color rgb="FFFFEB84"/>
        <color rgb="FFF8696B"/>
      </colorScale>
    </cfRule>
    <cfRule type="colorScale" priority="10679">
      <colorScale>
        <cfvo type="min"/>
        <cfvo type="percentile" val="50"/>
        <cfvo type="max"/>
        <color rgb="FF63BE7B"/>
        <color rgb="FFFFEB84"/>
        <color rgb="FFF8696B"/>
      </colorScale>
    </cfRule>
    <cfRule type="colorScale" priority="10680">
      <colorScale>
        <cfvo type="min"/>
        <cfvo type="percentile" val="50"/>
        <cfvo type="max"/>
        <color rgb="FF63BE7B"/>
        <color rgb="FFFFEB84"/>
        <color rgb="FFF8696B"/>
      </colorScale>
    </cfRule>
    <cfRule type="colorScale" priority="10681">
      <colorScale>
        <cfvo type="min"/>
        <cfvo type="percentile" val="50"/>
        <cfvo type="max"/>
        <color rgb="FF63BE7B"/>
        <color rgb="FFFFEB84"/>
        <color rgb="FFF8696B"/>
      </colorScale>
    </cfRule>
    <cfRule type="colorScale" priority="10682">
      <colorScale>
        <cfvo type="min"/>
        <cfvo type="percentile" val="50"/>
        <cfvo type="max"/>
        <color rgb="FF63BE7B"/>
        <color rgb="FFFFEB84"/>
        <color rgb="FFF8696B"/>
      </colorScale>
    </cfRule>
    <cfRule type="colorScale" priority="10683">
      <colorScale>
        <cfvo type="min"/>
        <cfvo type="percentile" val="50"/>
        <cfvo type="max"/>
        <color rgb="FF63BE7B"/>
        <color rgb="FFFFEB84"/>
        <color rgb="FFF8696B"/>
      </colorScale>
    </cfRule>
    <cfRule type="colorScale" priority="10684">
      <colorScale>
        <cfvo type="min"/>
        <cfvo type="percentile" val="50"/>
        <cfvo type="max"/>
        <color rgb="FF63BE7B"/>
        <color rgb="FFFFEB84"/>
        <color rgb="FFF8696B"/>
      </colorScale>
    </cfRule>
    <cfRule type="colorScale" priority="8557">
      <colorScale>
        <cfvo type="min"/>
        <cfvo type="percentile" val="50"/>
        <cfvo type="max"/>
        <color rgb="FF63BE7B"/>
        <color rgb="FFFFEB84"/>
        <color rgb="FFF8696B"/>
      </colorScale>
    </cfRule>
    <cfRule type="colorScale" priority="8558">
      <colorScale>
        <cfvo type="min"/>
        <cfvo type="percentile" val="50"/>
        <cfvo type="max"/>
        <color rgb="FF63BE7B"/>
        <color rgb="FFFFEB84"/>
        <color rgb="FFF8696B"/>
      </colorScale>
    </cfRule>
    <cfRule type="colorScale" priority="8560">
      <colorScale>
        <cfvo type="min"/>
        <cfvo type="percentile" val="50"/>
        <cfvo type="max"/>
        <color rgb="FF63BE7B"/>
        <color rgb="FFFFEB84"/>
        <color rgb="FFF8696B"/>
      </colorScale>
    </cfRule>
    <cfRule type="colorScale" priority="8561">
      <colorScale>
        <cfvo type="min"/>
        <cfvo type="percentile" val="50"/>
        <cfvo type="max"/>
        <color rgb="FF63BE7B"/>
        <color rgb="FFFFEB84"/>
        <color rgb="FFF8696B"/>
      </colorScale>
    </cfRule>
    <cfRule type="colorScale" priority="8566">
      <colorScale>
        <cfvo type="min"/>
        <cfvo type="percentile" val="50"/>
        <cfvo type="max"/>
        <color rgb="FF63BE7B"/>
        <color rgb="FFFFEB84"/>
        <color rgb="FFF8696B"/>
      </colorScale>
    </cfRule>
    <cfRule type="colorScale" priority="8562">
      <colorScale>
        <cfvo type="min"/>
        <cfvo type="percentile" val="50"/>
        <cfvo type="max"/>
        <color rgb="FF63BE7B"/>
        <color rgb="FFFFEB84"/>
        <color rgb="FFF8696B"/>
      </colorScale>
    </cfRule>
    <cfRule type="colorScale" priority="8563">
      <colorScale>
        <cfvo type="min"/>
        <cfvo type="percentile" val="50"/>
        <cfvo type="max"/>
        <color rgb="FF63BE7B"/>
        <color rgb="FFFFEB84"/>
        <color rgb="FFF8696B"/>
      </colorScale>
    </cfRule>
    <cfRule type="colorScale" priority="8564">
      <colorScale>
        <cfvo type="min"/>
        <cfvo type="percentile" val="50"/>
        <cfvo type="max"/>
        <color rgb="FF63BE7B"/>
        <color rgb="FFFFEB84"/>
        <color rgb="FFF8696B"/>
      </colorScale>
    </cfRule>
    <cfRule type="colorScale" priority="8565">
      <colorScale>
        <cfvo type="min"/>
        <cfvo type="percentile" val="50"/>
        <cfvo type="max"/>
        <color rgb="FF63BE7B"/>
        <color rgb="FFFFEB84"/>
        <color rgb="FFF8696B"/>
      </colorScale>
    </cfRule>
    <cfRule type="colorScale" priority="8593">
      <colorScale>
        <cfvo type="min"/>
        <cfvo type="percentile" val="50"/>
        <cfvo type="max"/>
        <color rgb="FF63BE7B"/>
        <color rgb="FFFFEB84"/>
        <color rgb="FFF8696B"/>
      </colorScale>
    </cfRule>
    <cfRule type="colorScale" priority="8601">
      <colorScale>
        <cfvo type="min"/>
        <cfvo type="percentile" val="50"/>
        <cfvo type="max"/>
        <color rgb="FF63BE7B"/>
        <color rgb="FFFFEB84"/>
        <color rgb="FFF8696B"/>
      </colorScale>
    </cfRule>
    <cfRule type="colorScale" priority="8602">
      <colorScale>
        <cfvo type="min"/>
        <cfvo type="percentile" val="50"/>
        <cfvo type="max"/>
        <color rgb="FF63BE7B"/>
        <color rgb="FFFFEB84"/>
        <color rgb="FFF8696B"/>
      </colorScale>
    </cfRule>
    <cfRule type="colorScale" priority="13075">
      <colorScale>
        <cfvo type="min"/>
        <cfvo type="percentile" val="50"/>
        <cfvo type="max"/>
        <color rgb="FF63BE7B"/>
        <color rgb="FFFFEB84"/>
        <color rgb="FFF8696B"/>
      </colorScale>
    </cfRule>
    <cfRule type="colorScale" priority="13076">
      <colorScale>
        <cfvo type="min"/>
        <cfvo type="percentile" val="50"/>
        <cfvo type="max"/>
        <color rgb="FF63BE7B"/>
        <color rgb="FFFFEB84"/>
        <color rgb="FFF8696B"/>
      </colorScale>
    </cfRule>
    <cfRule type="colorScale" priority="13077">
      <colorScale>
        <cfvo type="min"/>
        <cfvo type="percentile" val="50"/>
        <cfvo type="max"/>
        <color rgb="FF63BE7B"/>
        <color rgb="FFFFEB84"/>
        <color rgb="FFF8696B"/>
      </colorScale>
    </cfRule>
    <cfRule type="colorScale" priority="8603">
      <colorScale>
        <cfvo type="min"/>
        <cfvo type="percentile" val="50"/>
        <cfvo type="max"/>
        <color rgb="FF63BE7B"/>
        <color rgb="FFFFEB84"/>
        <color rgb="FFF8696B"/>
      </colorScale>
    </cfRule>
    <cfRule type="colorScale" priority="8574">
      <colorScale>
        <cfvo type="min"/>
        <cfvo type="percentile" val="50"/>
        <cfvo type="max"/>
        <color rgb="FF63BE7B"/>
        <color rgb="FFFFEB84"/>
        <color rgb="FFF8696B"/>
      </colorScale>
    </cfRule>
    <cfRule type="colorScale" priority="8575">
      <colorScale>
        <cfvo type="min"/>
        <cfvo type="percentile" val="50"/>
        <cfvo type="max"/>
        <color rgb="FF63BE7B"/>
        <color rgb="FFFFEB84"/>
        <color rgb="FFF8696B"/>
      </colorScale>
    </cfRule>
    <cfRule type="colorScale" priority="8576">
      <colorScale>
        <cfvo type="min"/>
        <cfvo type="percentile" val="50"/>
        <cfvo type="max"/>
        <color rgb="FF63BE7B"/>
        <color rgb="FFFFEB84"/>
        <color rgb="FFF8696B"/>
      </colorScale>
    </cfRule>
    <cfRule type="colorScale" priority="8577">
      <colorScale>
        <cfvo type="min"/>
        <cfvo type="percentile" val="50"/>
        <cfvo type="max"/>
        <color rgb="FF63BE7B"/>
        <color rgb="FFFFEB84"/>
        <color rgb="FFF8696B"/>
      </colorScale>
    </cfRule>
    <cfRule type="colorScale" priority="8578">
      <colorScale>
        <cfvo type="min"/>
        <cfvo type="percentile" val="50"/>
        <cfvo type="max"/>
        <color rgb="FF63BE7B"/>
        <color rgb="FFFFEB84"/>
        <color rgb="FFF8696B"/>
      </colorScale>
    </cfRule>
    <cfRule type="colorScale" priority="8579">
      <colorScale>
        <cfvo type="min"/>
        <cfvo type="percentile" val="50"/>
        <cfvo type="max"/>
        <color rgb="FF63BE7B"/>
        <color rgb="FFFFEB84"/>
        <color rgb="FFF8696B"/>
      </colorScale>
    </cfRule>
    <cfRule type="colorScale" priority="8580">
      <colorScale>
        <cfvo type="min"/>
        <cfvo type="percentile" val="50"/>
        <cfvo type="max"/>
        <color rgb="FF63BE7B"/>
        <color rgb="FFFFEB84"/>
        <color rgb="FFF8696B"/>
      </colorScale>
    </cfRule>
    <cfRule type="colorScale" priority="8604">
      <colorScale>
        <cfvo type="min"/>
        <cfvo type="percentile" val="50"/>
        <cfvo type="max"/>
        <color rgb="FF63BE7B"/>
        <color rgb="FFFFEB84"/>
        <color rgb="FFF8696B"/>
      </colorScale>
    </cfRule>
    <cfRule type="colorScale" priority="8582">
      <colorScale>
        <cfvo type="min"/>
        <cfvo type="percentile" val="50"/>
        <cfvo type="max"/>
        <color rgb="FF63BE7B"/>
        <color rgb="FFFFEB84"/>
        <color rgb="FFF8696B"/>
      </colorScale>
    </cfRule>
    <cfRule type="colorScale" priority="8583">
      <colorScale>
        <cfvo type="min"/>
        <cfvo type="percentile" val="50"/>
        <cfvo type="max"/>
        <color rgb="FF63BE7B"/>
        <color rgb="FFFFEB84"/>
        <color rgb="FFF8696B"/>
      </colorScale>
    </cfRule>
    <cfRule type="colorScale" priority="8584">
      <colorScale>
        <cfvo type="min"/>
        <cfvo type="percentile" val="50"/>
        <cfvo type="max"/>
        <color rgb="FF63BE7B"/>
        <color rgb="FFFFEB84"/>
        <color rgb="FFF8696B"/>
      </colorScale>
    </cfRule>
    <cfRule type="colorScale" priority="8585">
      <colorScale>
        <cfvo type="min"/>
        <cfvo type="percentile" val="50"/>
        <cfvo type="max"/>
        <color rgb="FF63BE7B"/>
        <color rgb="FFFFEB84"/>
        <color rgb="FFF8696B"/>
      </colorScale>
    </cfRule>
    <cfRule type="colorScale" priority="8605">
      <colorScale>
        <cfvo type="min"/>
        <cfvo type="percentile" val="50"/>
        <cfvo type="max"/>
        <color rgb="FF63BE7B"/>
        <color rgb="FFFFEB84"/>
        <color rgb="FFF8696B"/>
      </colorScale>
    </cfRule>
    <cfRule type="colorScale" priority="8606">
      <colorScale>
        <cfvo type="min"/>
        <cfvo type="percentile" val="50"/>
        <cfvo type="max"/>
        <color rgb="FF63BE7B"/>
        <color rgb="FFFFEB84"/>
        <color rgb="FFF8696B"/>
      </colorScale>
    </cfRule>
    <cfRule type="colorScale" priority="8607">
      <colorScale>
        <cfvo type="min"/>
        <cfvo type="percentile" val="50"/>
        <cfvo type="max"/>
        <color rgb="FF63BE7B"/>
        <color rgb="FFFFEB84"/>
        <color rgb="FFF8696B"/>
      </colorScale>
    </cfRule>
    <cfRule type="colorScale" priority="8587">
      <colorScale>
        <cfvo type="min"/>
        <cfvo type="percentile" val="50"/>
        <cfvo type="max"/>
        <color rgb="FF63BE7B"/>
        <color rgb="FFFFEB84"/>
        <color rgb="FFF8696B"/>
      </colorScale>
    </cfRule>
    <cfRule type="colorScale" priority="8588">
      <colorScale>
        <cfvo type="min"/>
        <cfvo type="percentile" val="50"/>
        <cfvo type="max"/>
        <color rgb="FF63BE7B"/>
        <color rgb="FFFFEB84"/>
        <color rgb="FFF8696B"/>
      </colorScale>
    </cfRule>
    <cfRule type="colorScale" priority="8589">
      <colorScale>
        <cfvo type="min"/>
        <cfvo type="percentile" val="50"/>
        <cfvo type="max"/>
        <color rgb="FF63BE7B"/>
        <color rgb="FFFFEB84"/>
        <color rgb="FFF8696B"/>
      </colorScale>
    </cfRule>
    <cfRule type="colorScale" priority="8590">
      <colorScale>
        <cfvo type="min"/>
        <cfvo type="percentile" val="50"/>
        <cfvo type="max"/>
        <color rgb="FF63BE7B"/>
        <color rgb="FFFFEB84"/>
        <color rgb="FFF8696B"/>
      </colorScale>
    </cfRule>
    <cfRule type="colorScale" priority="8591">
      <colorScale>
        <cfvo type="min"/>
        <cfvo type="percentile" val="50"/>
        <cfvo type="max"/>
        <color rgb="FF63BE7B"/>
        <color rgb="FFFFEB84"/>
        <color rgb="FFF8696B"/>
      </colorScale>
    </cfRule>
    <cfRule type="colorScale" priority="8609">
      <colorScale>
        <cfvo type="min"/>
        <cfvo type="percentile" val="50"/>
        <cfvo type="max"/>
        <color rgb="FF63BE7B"/>
        <color rgb="FFFFEB84"/>
        <color rgb="FFF8696B"/>
      </colorScale>
    </cfRule>
    <cfRule type="colorScale" priority="8592">
      <colorScale>
        <cfvo type="min"/>
        <cfvo type="percentile" val="50"/>
        <cfvo type="max"/>
        <color rgb="FF63BE7B"/>
        <color rgb="FFFFEB84"/>
        <color rgb="FFF8696B"/>
      </colorScale>
    </cfRule>
    <cfRule type="colorScale" priority="8610">
      <colorScale>
        <cfvo type="min"/>
        <cfvo type="percentile" val="50"/>
        <cfvo type="max"/>
        <color rgb="FF63BE7B"/>
        <color rgb="FFFFEB84"/>
        <color rgb="FFF8696B"/>
      </colorScale>
    </cfRule>
    <cfRule type="colorScale" priority="10666">
      <colorScale>
        <cfvo type="min"/>
        <cfvo type="percentile" val="50"/>
        <cfvo type="max"/>
        <color rgb="FF63BE7B"/>
        <color rgb="FFFFEB84"/>
        <color rgb="FFF8696B"/>
      </colorScale>
    </cfRule>
    <cfRule type="colorScale" priority="10667">
      <colorScale>
        <cfvo type="min"/>
        <cfvo type="percentile" val="50"/>
        <cfvo type="max"/>
        <color rgb="FF63BE7B"/>
        <color rgb="FFFFEB84"/>
        <color rgb="FFF8696B"/>
      </colorScale>
    </cfRule>
    <cfRule type="colorScale" priority="10669">
      <colorScale>
        <cfvo type="min"/>
        <cfvo type="percentile" val="50"/>
        <cfvo type="max"/>
        <color rgb="FF63BE7B"/>
        <color rgb="FFFFEB84"/>
        <color rgb="FFF8696B"/>
      </colorScale>
    </cfRule>
    <cfRule type="colorScale" priority="10670">
      <colorScale>
        <cfvo type="min"/>
        <cfvo type="percentile" val="50"/>
        <cfvo type="max"/>
        <color rgb="FF63BE7B"/>
        <color rgb="FFFFEB84"/>
        <color rgb="FFF8696B"/>
      </colorScale>
    </cfRule>
    <cfRule type="colorScale" priority="10671">
      <colorScale>
        <cfvo type="min"/>
        <cfvo type="percentile" val="50"/>
        <cfvo type="max"/>
        <color rgb="FF63BE7B"/>
        <color rgb="FFFFEB84"/>
        <color rgb="FFF8696B"/>
      </colorScale>
    </cfRule>
    <cfRule type="colorScale" priority="10672">
      <colorScale>
        <cfvo type="min"/>
        <cfvo type="percentile" val="50"/>
        <cfvo type="max"/>
        <color rgb="FF63BE7B"/>
        <color rgb="FFFFEB84"/>
        <color rgb="FFF8696B"/>
      </colorScale>
    </cfRule>
  </conditionalFormatting>
  <conditionalFormatting sqref="AS36:AS37">
    <cfRule type="colorScale" priority="8598">
      <colorScale>
        <cfvo type="min"/>
        <cfvo type="percentile" val="50"/>
        <cfvo type="max"/>
        <color rgb="FF63BE7B"/>
        <color rgb="FFFFEB84"/>
        <color rgb="FFF8696B"/>
      </colorScale>
    </cfRule>
    <cfRule type="colorScale" priority="8571">
      <colorScale>
        <cfvo type="min"/>
        <cfvo type="percentile" val="50"/>
        <cfvo type="max"/>
        <color rgb="FF63BE7B"/>
        <color rgb="FFFFEB84"/>
        <color rgb="FFF8696B"/>
      </colorScale>
    </cfRule>
  </conditionalFormatting>
  <conditionalFormatting sqref="AS36:AS41">
    <cfRule type="colorScale" priority="8608">
      <colorScale>
        <cfvo type="min"/>
        <cfvo type="percentile" val="50"/>
        <cfvo type="max"/>
        <color rgb="FF63BE7B"/>
        <color rgb="FFFFEB84"/>
        <color rgb="FFF8696B"/>
      </colorScale>
    </cfRule>
    <cfRule type="colorScale" priority="13078">
      <colorScale>
        <cfvo type="min"/>
        <cfvo type="percentile" val="50"/>
        <cfvo type="max"/>
        <color rgb="FF63BE7B"/>
        <color rgb="FFFFEB84"/>
        <color rgb="FFF8696B"/>
      </colorScale>
    </cfRule>
    <cfRule type="colorScale" priority="8581">
      <colorScale>
        <cfvo type="min"/>
        <cfvo type="percentile" val="50"/>
        <cfvo type="max"/>
        <color rgb="FF63BE7B"/>
        <color rgb="FFFFEB84"/>
        <color rgb="FFF8696B"/>
      </colorScale>
    </cfRule>
  </conditionalFormatting>
  <conditionalFormatting sqref="AS42:AS50">
    <cfRule type="colorScale" priority="7430">
      <colorScale>
        <cfvo type="min"/>
        <cfvo type="percentile" val="50"/>
        <cfvo type="max"/>
        <color rgb="FF63BE7B"/>
        <color rgb="FFFFEB84"/>
        <color rgb="FFF8696B"/>
      </colorScale>
    </cfRule>
    <cfRule type="colorScale" priority="12947">
      <colorScale>
        <cfvo type="min"/>
        <cfvo type="percentile" val="50"/>
        <cfvo type="max"/>
        <color rgb="FF63BE7B"/>
        <color rgb="FFFFEB84"/>
        <color rgb="FFF8696B"/>
      </colorScale>
    </cfRule>
  </conditionalFormatting>
  <conditionalFormatting sqref="AS51:AS53">
    <cfRule type="colorScale" priority="12854">
      <colorScale>
        <cfvo type="min"/>
        <cfvo type="percentile" val="50"/>
        <cfvo type="max"/>
        <color rgb="FF63BE7B"/>
        <color rgb="FFFFEB84"/>
        <color rgb="FFF8696B"/>
      </colorScale>
    </cfRule>
    <cfRule type="colorScale" priority="3615">
      <colorScale>
        <cfvo type="min"/>
        <cfvo type="percentile" val="50"/>
        <cfvo type="max"/>
        <color rgb="FF63BE7B"/>
        <color rgb="FFFFEB84"/>
        <color rgb="FFF8696B"/>
      </colorScale>
    </cfRule>
    <cfRule type="colorScale" priority="3642">
      <colorScale>
        <cfvo type="min"/>
        <cfvo type="percentile" val="50"/>
        <cfvo type="max"/>
        <color rgb="FF63BE7B"/>
        <color rgb="FFFFEB84"/>
        <color rgb="FFF8696B"/>
      </colorScale>
    </cfRule>
    <cfRule type="colorScale" priority="12852">
      <colorScale>
        <cfvo type="min"/>
        <cfvo type="percentile" val="50"/>
        <cfvo type="max"/>
        <color rgb="FF63BE7B"/>
        <color rgb="FFFFEB84"/>
        <color rgb="FFF8696B"/>
      </colorScale>
    </cfRule>
    <cfRule type="colorScale" priority="12853">
      <colorScale>
        <cfvo type="min"/>
        <cfvo type="percentile" val="50"/>
        <cfvo type="max"/>
        <color rgb="FF63BE7B"/>
        <color rgb="FFFFEB84"/>
        <color rgb="FFF8696B"/>
      </colorScale>
    </cfRule>
    <cfRule type="colorScale" priority="12855">
      <colorScale>
        <cfvo type="min"/>
        <cfvo type="percentile" val="50"/>
        <cfvo type="max"/>
        <color rgb="FF63BE7B"/>
        <color rgb="FFFFEB84"/>
        <color rgb="FFF8696B"/>
      </colorScale>
    </cfRule>
    <cfRule type="colorScale" priority="3643">
      <colorScale>
        <cfvo type="min"/>
        <cfvo type="percentile" val="50"/>
        <cfvo type="max"/>
        <color rgb="FF63BE7B"/>
        <color rgb="FFFFEB84"/>
        <color rgb="FFF8696B"/>
      </colorScale>
    </cfRule>
  </conditionalFormatting>
  <conditionalFormatting sqref="AS52:AS53 AD52:AD53 P52:P53">
    <cfRule type="colorScale" priority="7263">
      <colorScale>
        <cfvo type="min"/>
        <cfvo type="percentile" val="50"/>
        <cfvo type="max"/>
        <color rgb="FF63BE7B"/>
        <color rgb="FFFFEB84"/>
        <color rgb="FFF8696B"/>
      </colorScale>
    </cfRule>
    <cfRule type="colorScale" priority="7111">
      <colorScale>
        <cfvo type="min"/>
        <cfvo type="percentile" val="50"/>
        <cfvo type="max"/>
        <color rgb="FF63BE7B"/>
        <color rgb="FFFFEB84"/>
        <color rgb="FFF8696B"/>
      </colorScale>
    </cfRule>
    <cfRule type="colorScale" priority="7110">
      <colorScale>
        <cfvo type="min"/>
        <cfvo type="percentile" val="50"/>
        <cfvo type="max"/>
        <color rgb="FF63BE7B"/>
        <color rgb="FFFFEB84"/>
        <color rgb="FFF8696B"/>
      </colorScale>
    </cfRule>
    <cfRule type="colorScale" priority="7109">
      <colorScale>
        <cfvo type="min"/>
        <cfvo type="percentile" val="50"/>
        <cfvo type="max"/>
        <color rgb="FF63BE7B"/>
        <color rgb="FFFFEB84"/>
        <color rgb="FFF8696B"/>
      </colorScale>
    </cfRule>
    <cfRule type="colorScale" priority="7108">
      <colorScale>
        <cfvo type="min"/>
        <cfvo type="percentile" val="50"/>
        <cfvo type="max"/>
        <color rgb="FF63BE7B"/>
        <color rgb="FFFFEB84"/>
        <color rgb="FFF8696B"/>
      </colorScale>
    </cfRule>
  </conditionalFormatting>
  <conditionalFormatting sqref="AS52:AS53">
    <cfRule type="colorScale" priority="6561">
      <colorScale>
        <cfvo type="min"/>
        <cfvo type="percentile" val="50"/>
        <cfvo type="max"/>
        <color rgb="FF63BE7B"/>
        <color rgb="FFFFEB84"/>
        <color rgb="FFF8696B"/>
      </colorScale>
    </cfRule>
    <cfRule type="colorScale" priority="6560">
      <colorScale>
        <cfvo type="min"/>
        <cfvo type="percentile" val="50"/>
        <cfvo type="max"/>
        <color rgb="FF63BE7B"/>
        <color rgb="FFFFEB84"/>
        <color rgb="FFF8696B"/>
      </colorScale>
    </cfRule>
    <cfRule type="colorScale" priority="6559">
      <colorScale>
        <cfvo type="min"/>
        <cfvo type="percentile" val="50"/>
        <cfvo type="max"/>
        <color rgb="FF63BE7B"/>
        <color rgb="FFFFEB84"/>
        <color rgb="FFF8696B"/>
      </colorScale>
    </cfRule>
    <cfRule type="colorScale" priority="6558">
      <colorScale>
        <cfvo type="min"/>
        <cfvo type="percentile" val="50"/>
        <cfvo type="max"/>
        <color rgb="FF63BE7B"/>
        <color rgb="FFFFEB84"/>
        <color rgb="FFF8696B"/>
      </colorScale>
    </cfRule>
    <cfRule type="colorScale" priority="6557">
      <colorScale>
        <cfvo type="min"/>
        <cfvo type="percentile" val="50"/>
        <cfvo type="max"/>
        <color rgb="FF63BE7B"/>
        <color rgb="FFFFEB84"/>
        <color rgb="FFF8696B"/>
      </colorScale>
    </cfRule>
    <cfRule type="colorScale" priority="6556">
      <colorScale>
        <cfvo type="min"/>
        <cfvo type="percentile" val="50"/>
        <cfvo type="max"/>
        <color rgb="FF63BE7B"/>
        <color rgb="FFFFEB84"/>
        <color rgb="FFF8696B"/>
      </colorScale>
    </cfRule>
    <cfRule type="colorScale" priority="6555">
      <colorScale>
        <cfvo type="min"/>
        <cfvo type="percentile" val="50"/>
        <cfvo type="max"/>
        <color rgb="FF63BE7B"/>
        <color rgb="FFFFEB84"/>
        <color rgb="FFF8696B"/>
      </colorScale>
    </cfRule>
    <cfRule type="colorScale" priority="6554">
      <colorScale>
        <cfvo type="min"/>
        <cfvo type="percentile" val="50"/>
        <cfvo type="max"/>
        <color rgb="FF63BE7B"/>
        <color rgb="FFFFEB84"/>
        <color rgb="FFF8696B"/>
      </colorScale>
    </cfRule>
    <cfRule type="colorScale" priority="6552">
      <colorScale>
        <cfvo type="min"/>
        <cfvo type="percentile" val="50"/>
        <cfvo type="max"/>
        <color rgb="FF63BE7B"/>
        <color rgb="FFFFEB84"/>
        <color rgb="FFF8696B"/>
      </colorScale>
    </cfRule>
    <cfRule type="colorScale" priority="6551">
      <colorScale>
        <cfvo type="min"/>
        <cfvo type="percentile" val="50"/>
        <cfvo type="max"/>
        <color rgb="FF63BE7B"/>
        <color rgb="FFFFEB84"/>
        <color rgb="FFF8696B"/>
      </colorScale>
    </cfRule>
    <cfRule type="colorScale" priority="5426">
      <colorScale>
        <cfvo type="min"/>
        <cfvo type="percentile" val="50"/>
        <cfvo type="max"/>
        <color rgb="FF63BE7B"/>
        <color rgb="FFFFEB84"/>
        <color rgb="FFF8696B"/>
      </colorScale>
    </cfRule>
    <cfRule type="colorScale" priority="3636">
      <colorScale>
        <cfvo type="min"/>
        <cfvo type="percentile" val="50"/>
        <cfvo type="max"/>
        <color rgb="FF63BE7B"/>
        <color rgb="FFFFEB84"/>
        <color rgb="FFF8696B"/>
      </colorScale>
    </cfRule>
    <cfRule type="colorScale" priority="3640">
      <colorScale>
        <cfvo type="min"/>
        <cfvo type="percentile" val="50"/>
        <cfvo type="max"/>
        <color rgb="FF63BE7B"/>
        <color rgb="FFFFEB84"/>
        <color rgb="FFF8696B"/>
      </colorScale>
    </cfRule>
    <cfRule type="colorScale" priority="3639">
      <colorScale>
        <cfvo type="min"/>
        <cfvo type="percentile" val="50"/>
        <cfvo type="max"/>
        <color rgb="FF63BE7B"/>
        <color rgb="FFFFEB84"/>
        <color rgb="FFF8696B"/>
      </colorScale>
    </cfRule>
    <cfRule type="colorScale" priority="3635">
      <colorScale>
        <cfvo type="min"/>
        <cfvo type="percentile" val="50"/>
        <cfvo type="max"/>
        <color rgb="FF63BE7B"/>
        <color rgb="FFFFEB84"/>
        <color rgb="FFF8696B"/>
      </colorScale>
    </cfRule>
    <cfRule type="colorScale" priority="5437">
      <colorScale>
        <cfvo type="min"/>
        <cfvo type="percentile" val="50"/>
        <cfvo type="max"/>
        <color rgb="FF63BE7B"/>
        <color rgb="FFFFEB84"/>
        <color rgb="FFF8696B"/>
      </colorScale>
    </cfRule>
    <cfRule type="colorScale" priority="5436">
      <colorScale>
        <cfvo type="min"/>
        <cfvo type="percentile" val="50"/>
        <cfvo type="max"/>
        <color rgb="FF63BE7B"/>
        <color rgb="FFFFEB84"/>
        <color rgb="FFF8696B"/>
      </colorScale>
    </cfRule>
    <cfRule type="colorScale" priority="7139">
      <colorScale>
        <cfvo type="min"/>
        <cfvo type="percentile" val="50"/>
        <cfvo type="max"/>
        <color rgb="FF63BE7B"/>
        <color rgb="FFFFEB84"/>
        <color rgb="FFF8696B"/>
      </colorScale>
    </cfRule>
    <cfRule type="colorScale" priority="7138">
      <colorScale>
        <cfvo type="min"/>
        <cfvo type="percentile" val="50"/>
        <cfvo type="max"/>
        <color rgb="FF63BE7B"/>
        <color rgb="FFFFEB84"/>
        <color rgb="FFF8696B"/>
      </colorScale>
    </cfRule>
    <cfRule type="colorScale" priority="3616">
      <colorScale>
        <cfvo type="min"/>
        <cfvo type="percentile" val="50"/>
        <cfvo type="max"/>
        <color rgb="FF63BE7B"/>
        <color rgb="FFFFEB84"/>
        <color rgb="FFF8696B"/>
      </colorScale>
    </cfRule>
    <cfRule type="colorScale" priority="3617">
      <colorScale>
        <cfvo type="min"/>
        <cfvo type="percentile" val="50"/>
        <cfvo type="max"/>
        <color rgb="FF63BE7B"/>
        <color rgb="FFFFEB84"/>
        <color rgb="FFF8696B"/>
      </colorScale>
    </cfRule>
    <cfRule type="colorScale" priority="3618">
      <colorScale>
        <cfvo type="min"/>
        <cfvo type="percentile" val="50"/>
        <cfvo type="max"/>
        <color rgb="FF63BE7B"/>
        <color rgb="FFFFEB84"/>
        <color rgb="FFF8696B"/>
      </colorScale>
    </cfRule>
    <cfRule type="colorScale" priority="3619">
      <colorScale>
        <cfvo type="min"/>
        <cfvo type="percentile" val="50"/>
        <cfvo type="max"/>
        <color rgb="FF63BE7B"/>
        <color rgb="FFFFEB84"/>
        <color rgb="FFF8696B"/>
      </colorScale>
    </cfRule>
    <cfRule type="colorScale" priority="3620">
      <colorScale>
        <cfvo type="min"/>
        <cfvo type="percentile" val="50"/>
        <cfvo type="max"/>
        <color rgb="FF63BE7B"/>
        <color rgb="FFFFEB84"/>
        <color rgb="FFF8696B"/>
      </colorScale>
    </cfRule>
    <cfRule type="colorScale" priority="7137">
      <colorScale>
        <cfvo type="min"/>
        <cfvo type="percentile" val="50"/>
        <cfvo type="max"/>
        <color rgb="FF63BE7B"/>
        <color rgb="FFFFEB84"/>
        <color rgb="FFF8696B"/>
      </colorScale>
    </cfRule>
    <cfRule type="colorScale" priority="7136">
      <colorScale>
        <cfvo type="min"/>
        <cfvo type="percentile" val="50"/>
        <cfvo type="max"/>
        <color rgb="FF63BE7B"/>
        <color rgb="FFFFEB84"/>
        <color rgb="FFF8696B"/>
      </colorScale>
    </cfRule>
    <cfRule type="colorScale" priority="5431">
      <colorScale>
        <cfvo type="min"/>
        <cfvo type="percentile" val="50"/>
        <cfvo type="max"/>
        <color rgb="FF63BE7B"/>
        <color rgb="FFFFEB84"/>
        <color rgb="FFF8696B"/>
      </colorScale>
    </cfRule>
    <cfRule type="colorScale" priority="5430">
      <colorScale>
        <cfvo type="min"/>
        <cfvo type="percentile" val="50"/>
        <cfvo type="max"/>
        <color rgb="FF63BE7B"/>
        <color rgb="FFFFEB84"/>
        <color rgb="FFF8696B"/>
      </colorScale>
    </cfRule>
    <cfRule type="colorScale" priority="3621">
      <colorScale>
        <cfvo type="min"/>
        <cfvo type="percentile" val="50"/>
        <cfvo type="max"/>
        <color rgb="FF63BE7B"/>
        <color rgb="FFFFEB84"/>
        <color rgb="FFF8696B"/>
      </colorScale>
    </cfRule>
    <cfRule type="colorScale" priority="3622">
      <colorScale>
        <cfvo type="min"/>
        <cfvo type="percentile" val="50"/>
        <cfvo type="max"/>
        <color rgb="FF63BE7B"/>
        <color rgb="FFFFEB84"/>
        <color rgb="FFF8696B"/>
      </colorScale>
    </cfRule>
    <cfRule type="colorScale" priority="3623">
      <colorScale>
        <cfvo type="min"/>
        <cfvo type="percentile" val="50"/>
        <cfvo type="max"/>
        <color rgb="FF63BE7B"/>
        <color rgb="FFFFEB84"/>
        <color rgb="FFF8696B"/>
      </colorScale>
    </cfRule>
    <cfRule type="colorScale" priority="3624">
      <colorScale>
        <cfvo type="min"/>
        <cfvo type="percentile" val="50"/>
        <cfvo type="max"/>
        <color rgb="FF63BE7B"/>
        <color rgb="FFFFEB84"/>
        <color rgb="FFF8696B"/>
      </colorScale>
    </cfRule>
    <cfRule type="colorScale" priority="3625">
      <colorScale>
        <cfvo type="min"/>
        <cfvo type="percentile" val="50"/>
        <cfvo type="max"/>
        <color rgb="FF63BE7B"/>
        <color rgb="FFFFEB84"/>
        <color rgb="FFF8696B"/>
      </colorScale>
    </cfRule>
    <cfRule type="colorScale" priority="3626">
      <colorScale>
        <cfvo type="min"/>
        <cfvo type="percentile" val="50"/>
        <cfvo type="max"/>
        <color rgb="FF63BE7B"/>
        <color rgb="FFFFEB84"/>
        <color rgb="FFF8696B"/>
      </colorScale>
    </cfRule>
    <cfRule type="colorScale" priority="3627">
      <colorScale>
        <cfvo type="min"/>
        <cfvo type="percentile" val="50"/>
        <cfvo type="max"/>
        <color rgb="FF63BE7B"/>
        <color rgb="FFFFEB84"/>
        <color rgb="FFF8696B"/>
      </colorScale>
    </cfRule>
    <cfRule type="colorScale" priority="3628">
      <colorScale>
        <cfvo type="min"/>
        <cfvo type="percentile" val="50"/>
        <cfvo type="max"/>
        <color rgb="FF63BE7B"/>
        <color rgb="FFFFEB84"/>
        <color rgb="FFF8696B"/>
      </colorScale>
    </cfRule>
    <cfRule type="colorScale" priority="3630">
      <colorScale>
        <cfvo type="min"/>
        <cfvo type="percentile" val="50"/>
        <cfvo type="max"/>
        <color rgb="FF63BE7B"/>
        <color rgb="FFFFEB84"/>
        <color rgb="FFF8696B"/>
      </colorScale>
    </cfRule>
    <cfRule type="colorScale" priority="3631">
      <colorScale>
        <cfvo type="min"/>
        <cfvo type="percentile" val="50"/>
        <cfvo type="max"/>
        <color rgb="FF63BE7B"/>
        <color rgb="FFFFEB84"/>
        <color rgb="FFF8696B"/>
      </colorScale>
    </cfRule>
    <cfRule type="colorScale" priority="3632">
      <colorScale>
        <cfvo type="min"/>
        <cfvo type="percentile" val="50"/>
        <cfvo type="max"/>
        <color rgb="FF63BE7B"/>
        <color rgb="FFFFEB84"/>
        <color rgb="FFF8696B"/>
      </colorScale>
    </cfRule>
    <cfRule type="colorScale" priority="3633">
      <colorScale>
        <cfvo type="min"/>
        <cfvo type="percentile" val="50"/>
        <cfvo type="max"/>
        <color rgb="FF63BE7B"/>
        <color rgb="FFFFEB84"/>
        <color rgb="FFF8696B"/>
      </colorScale>
    </cfRule>
    <cfRule type="colorScale" priority="3634">
      <colorScale>
        <cfvo type="min"/>
        <cfvo type="percentile" val="50"/>
        <cfvo type="max"/>
        <color rgb="FF63BE7B"/>
        <color rgb="FFFFEB84"/>
        <color rgb="FFF8696B"/>
      </colorScale>
    </cfRule>
    <cfRule type="colorScale" priority="5429">
      <colorScale>
        <cfvo type="min"/>
        <cfvo type="percentile" val="50"/>
        <cfvo type="max"/>
        <color rgb="FF63BE7B"/>
        <color rgb="FFFFEB84"/>
        <color rgb="FFF8696B"/>
      </colorScale>
    </cfRule>
    <cfRule type="colorScale" priority="5428">
      <colorScale>
        <cfvo type="min"/>
        <cfvo type="percentile" val="50"/>
        <cfvo type="max"/>
        <color rgb="FF63BE7B"/>
        <color rgb="FFFFEB84"/>
        <color rgb="FFF8696B"/>
      </colorScale>
    </cfRule>
    <cfRule type="colorScale" priority="5438">
      <colorScale>
        <cfvo type="min"/>
        <cfvo type="percentile" val="50"/>
        <cfvo type="max"/>
        <color rgb="FF63BE7B"/>
        <color rgb="FFFFEB84"/>
        <color rgb="FFF8696B"/>
      </colorScale>
    </cfRule>
    <cfRule type="colorScale" priority="5439">
      <colorScale>
        <cfvo type="min"/>
        <cfvo type="percentile" val="50"/>
        <cfvo type="max"/>
        <color rgb="FF63BE7B"/>
        <color rgb="FFFFEB84"/>
        <color rgb="FFF8696B"/>
      </colorScale>
    </cfRule>
    <cfRule type="colorScale" priority="3641">
      <colorScale>
        <cfvo type="min"/>
        <cfvo type="percentile" val="50"/>
        <cfvo type="max"/>
        <color rgb="FF63BE7B"/>
        <color rgb="FFFFEB84"/>
        <color rgb="FFF8696B"/>
      </colorScale>
    </cfRule>
    <cfRule type="colorScale" priority="5440">
      <colorScale>
        <cfvo type="min"/>
        <cfvo type="percentile" val="50"/>
        <cfvo type="max"/>
        <color rgb="FF63BE7B"/>
        <color rgb="FFFFEB84"/>
        <color rgb="FFF8696B"/>
      </colorScale>
    </cfRule>
    <cfRule type="colorScale" priority="5427">
      <colorScale>
        <cfvo type="min"/>
        <cfvo type="percentile" val="50"/>
        <cfvo type="max"/>
        <color rgb="FF63BE7B"/>
        <color rgb="FFFFEB84"/>
        <color rgb="FFF8696B"/>
      </colorScale>
    </cfRule>
    <cfRule type="colorScale" priority="5441">
      <colorScale>
        <cfvo type="min"/>
        <cfvo type="percentile" val="50"/>
        <cfvo type="max"/>
        <color rgb="FF63BE7B"/>
        <color rgb="FFFFEB84"/>
        <color rgb="FFF8696B"/>
      </colorScale>
    </cfRule>
    <cfRule type="colorScale" priority="5442">
      <colorScale>
        <cfvo type="min"/>
        <cfvo type="percentile" val="50"/>
        <cfvo type="max"/>
        <color rgb="FF63BE7B"/>
        <color rgb="FFFFEB84"/>
        <color rgb="FFF8696B"/>
      </colorScale>
    </cfRule>
    <cfRule type="colorScale" priority="5443">
      <colorScale>
        <cfvo type="min"/>
        <cfvo type="percentile" val="50"/>
        <cfvo type="max"/>
        <color rgb="FF63BE7B"/>
        <color rgb="FFFFEB84"/>
        <color rgb="FFF8696B"/>
      </colorScale>
    </cfRule>
    <cfRule type="colorScale" priority="5444">
      <colorScale>
        <cfvo type="min"/>
        <cfvo type="percentile" val="50"/>
        <cfvo type="max"/>
        <color rgb="FF63BE7B"/>
        <color rgb="FFFFEB84"/>
        <color rgb="FFF8696B"/>
      </colorScale>
    </cfRule>
    <cfRule type="colorScale" priority="5445">
      <colorScale>
        <cfvo type="min"/>
        <cfvo type="percentile" val="50"/>
        <cfvo type="max"/>
        <color rgb="FF63BE7B"/>
        <color rgb="FFFFEB84"/>
        <color rgb="FFF8696B"/>
      </colorScale>
    </cfRule>
    <cfRule type="colorScale" priority="5446">
      <colorScale>
        <cfvo type="min"/>
        <cfvo type="percentile" val="50"/>
        <cfvo type="max"/>
        <color rgb="FF63BE7B"/>
        <color rgb="FFFFEB84"/>
        <color rgb="FFF8696B"/>
      </colorScale>
    </cfRule>
    <cfRule type="colorScale" priority="6567">
      <colorScale>
        <cfvo type="min"/>
        <cfvo type="percentile" val="50"/>
        <cfvo type="max"/>
        <color rgb="FF63BE7B"/>
        <color rgb="FFFFEB84"/>
        <color rgb="FFF8696B"/>
      </colorScale>
    </cfRule>
    <cfRule type="colorScale" priority="5425">
      <colorScale>
        <cfvo type="min"/>
        <cfvo type="percentile" val="50"/>
        <cfvo type="max"/>
        <color rgb="FF63BE7B"/>
        <color rgb="FFFFEB84"/>
        <color rgb="FFF8696B"/>
      </colorScale>
    </cfRule>
    <cfRule type="colorScale" priority="5424">
      <colorScale>
        <cfvo type="min"/>
        <cfvo type="percentile" val="50"/>
        <cfvo type="max"/>
        <color rgb="FF63BE7B"/>
        <color rgb="FFFFEB84"/>
        <color rgb="FFF8696B"/>
      </colorScale>
    </cfRule>
    <cfRule type="colorScale" priority="5423">
      <colorScale>
        <cfvo type="min"/>
        <cfvo type="percentile" val="50"/>
        <cfvo type="max"/>
        <color rgb="FF63BE7B"/>
        <color rgb="FFFFEB84"/>
        <color rgb="FFF8696B"/>
      </colorScale>
    </cfRule>
    <cfRule type="colorScale" priority="5422">
      <colorScale>
        <cfvo type="min"/>
        <cfvo type="percentile" val="50"/>
        <cfvo type="max"/>
        <color rgb="FF63BE7B"/>
        <color rgb="FFFFEB84"/>
        <color rgb="FFF8696B"/>
      </colorScale>
    </cfRule>
    <cfRule type="colorScale" priority="5421">
      <colorScale>
        <cfvo type="min"/>
        <cfvo type="percentile" val="50"/>
        <cfvo type="max"/>
        <color rgb="FF63BE7B"/>
        <color rgb="FFFFEB84"/>
        <color rgb="FFF8696B"/>
      </colorScale>
    </cfRule>
    <cfRule type="colorScale" priority="5420">
      <colorScale>
        <cfvo type="min"/>
        <cfvo type="percentile" val="50"/>
        <cfvo type="max"/>
        <color rgb="FF63BE7B"/>
        <color rgb="FFFFEB84"/>
        <color rgb="FFF8696B"/>
      </colorScale>
    </cfRule>
    <cfRule type="colorScale" priority="5447">
      <colorScale>
        <cfvo type="min"/>
        <cfvo type="percentile" val="50"/>
        <cfvo type="max"/>
        <color rgb="FF63BE7B"/>
        <color rgb="FFFFEB84"/>
        <color rgb="FFF8696B"/>
      </colorScale>
    </cfRule>
    <cfRule type="colorScale" priority="5448">
      <colorScale>
        <cfvo type="min"/>
        <cfvo type="percentile" val="50"/>
        <cfvo type="max"/>
        <color rgb="FF63BE7B"/>
        <color rgb="FFFFEB84"/>
        <color rgb="FFF8696B"/>
      </colorScale>
    </cfRule>
    <cfRule type="colorScale" priority="5419">
      <colorScale>
        <cfvo type="min"/>
        <cfvo type="percentile" val="50"/>
        <cfvo type="max"/>
        <color rgb="FF63BE7B"/>
        <color rgb="FFFFEB84"/>
        <color rgb="FFF8696B"/>
      </colorScale>
    </cfRule>
    <cfRule type="colorScale" priority="5449">
      <colorScale>
        <cfvo type="min"/>
        <cfvo type="percentile" val="50"/>
        <cfvo type="max"/>
        <color rgb="FF63BE7B"/>
        <color rgb="FFFFEB84"/>
        <color rgb="FFF8696B"/>
      </colorScale>
    </cfRule>
    <cfRule type="colorScale" priority="5450">
      <colorScale>
        <cfvo type="min"/>
        <cfvo type="percentile" val="50"/>
        <cfvo type="max"/>
        <color rgb="FF63BE7B"/>
        <color rgb="FFFFEB84"/>
        <color rgb="FFF8696B"/>
      </colorScale>
    </cfRule>
    <cfRule type="colorScale" priority="5451">
      <colorScale>
        <cfvo type="min"/>
        <cfvo type="percentile" val="50"/>
        <cfvo type="max"/>
        <color rgb="FF63BE7B"/>
        <color rgb="FFFFEB84"/>
        <color rgb="FFF8696B"/>
      </colorScale>
    </cfRule>
    <cfRule type="colorScale" priority="5452">
      <colorScale>
        <cfvo type="min"/>
        <cfvo type="percentile" val="50"/>
        <cfvo type="max"/>
        <color rgb="FF63BE7B"/>
        <color rgb="FFFFEB84"/>
        <color rgb="FFF8696B"/>
      </colorScale>
    </cfRule>
    <cfRule type="colorScale" priority="5453">
      <colorScale>
        <cfvo type="min"/>
        <cfvo type="percentile" val="50"/>
        <cfvo type="max"/>
        <color rgb="FF63BE7B"/>
        <color rgb="FFFFEB84"/>
        <color rgb="FFF8696B"/>
      </colorScale>
    </cfRule>
    <cfRule type="colorScale" priority="5454">
      <colorScale>
        <cfvo type="min"/>
        <cfvo type="percentile" val="50"/>
        <cfvo type="max"/>
        <color rgb="FF63BE7B"/>
        <color rgb="FFFFEB84"/>
        <color rgb="FFF8696B"/>
      </colorScale>
    </cfRule>
    <cfRule type="colorScale" priority="5455">
      <colorScale>
        <cfvo type="min"/>
        <cfvo type="percentile" val="50"/>
        <cfvo type="max"/>
        <color rgb="FF63BE7B"/>
        <color rgb="FFFFEB84"/>
        <color rgb="FFF8696B"/>
      </colorScale>
    </cfRule>
    <cfRule type="colorScale" priority="5435">
      <colorScale>
        <cfvo type="min"/>
        <cfvo type="percentile" val="50"/>
        <cfvo type="max"/>
        <color rgb="FF63BE7B"/>
        <color rgb="FFFFEB84"/>
        <color rgb="FFF8696B"/>
      </colorScale>
    </cfRule>
    <cfRule type="colorScale" priority="5434">
      <colorScale>
        <cfvo type="min"/>
        <cfvo type="percentile" val="50"/>
        <cfvo type="max"/>
        <color rgb="FF63BE7B"/>
        <color rgb="FFFFEB84"/>
        <color rgb="FFF8696B"/>
      </colorScale>
    </cfRule>
    <cfRule type="colorScale" priority="5433">
      <colorScale>
        <cfvo type="min"/>
        <cfvo type="percentile" val="50"/>
        <cfvo type="max"/>
        <color rgb="FF63BE7B"/>
        <color rgb="FFFFEB84"/>
        <color rgb="FFF8696B"/>
      </colorScale>
    </cfRule>
    <cfRule type="colorScale" priority="5432">
      <colorScale>
        <cfvo type="min"/>
        <cfvo type="percentile" val="50"/>
        <cfvo type="max"/>
        <color rgb="FF63BE7B"/>
        <color rgb="FFFFEB84"/>
        <color rgb="FFF8696B"/>
      </colorScale>
    </cfRule>
    <cfRule type="colorScale" priority="5418">
      <colorScale>
        <cfvo type="min"/>
        <cfvo type="percentile" val="50"/>
        <cfvo type="max"/>
        <color rgb="FF63BE7B"/>
        <color rgb="FFFFEB84"/>
        <color rgb="FFF8696B"/>
      </colorScale>
    </cfRule>
    <cfRule type="colorScale" priority="3638">
      <colorScale>
        <cfvo type="min"/>
        <cfvo type="percentile" val="50"/>
        <cfvo type="max"/>
        <color rgb="FF63BE7B"/>
        <color rgb="FFFFEB84"/>
        <color rgb="FFF8696B"/>
      </colorScale>
    </cfRule>
    <cfRule type="colorScale" priority="3637">
      <colorScale>
        <cfvo type="min"/>
        <cfvo type="percentile" val="50"/>
        <cfvo type="max"/>
        <color rgb="FF63BE7B"/>
        <color rgb="FFFFEB84"/>
        <color rgb="FFF8696B"/>
      </colorScale>
    </cfRule>
    <cfRule type="colorScale" priority="6553">
      <colorScale>
        <cfvo type="min"/>
        <cfvo type="percentile" val="50"/>
        <cfvo type="max"/>
        <color rgb="FF63BE7B"/>
        <color rgb="FFFFEB84"/>
        <color rgb="FFF8696B"/>
      </colorScale>
    </cfRule>
    <cfRule type="colorScale" priority="6568">
      <colorScale>
        <cfvo type="min"/>
        <cfvo type="percentile" val="50"/>
        <cfvo type="max"/>
        <color rgb="FF63BE7B"/>
        <color rgb="FFFFEB84"/>
        <color rgb="FFF8696B"/>
      </colorScale>
    </cfRule>
    <cfRule type="colorScale" priority="3629">
      <colorScale>
        <cfvo type="min"/>
        <cfvo type="percentile" val="50"/>
        <cfvo type="max"/>
        <color rgb="FF63BE7B"/>
        <color rgb="FFFFEB84"/>
        <color rgb="FFF8696B"/>
      </colorScale>
    </cfRule>
    <cfRule type="colorScale" priority="6566">
      <colorScale>
        <cfvo type="min"/>
        <cfvo type="percentile" val="50"/>
        <cfvo type="max"/>
        <color rgb="FF63BE7B"/>
        <color rgb="FFFFEB84"/>
        <color rgb="FFF8696B"/>
      </colorScale>
    </cfRule>
    <cfRule type="colorScale" priority="6565">
      <colorScale>
        <cfvo type="min"/>
        <cfvo type="percentile" val="50"/>
        <cfvo type="max"/>
        <color rgb="FF63BE7B"/>
        <color rgb="FFFFEB84"/>
        <color rgb="FFF8696B"/>
      </colorScale>
    </cfRule>
    <cfRule type="colorScale" priority="6564">
      <colorScale>
        <cfvo type="min"/>
        <cfvo type="percentile" val="50"/>
        <cfvo type="max"/>
        <color rgb="FF63BE7B"/>
        <color rgb="FFFFEB84"/>
        <color rgb="FFF8696B"/>
      </colorScale>
    </cfRule>
    <cfRule type="colorScale" priority="6563">
      <colorScale>
        <cfvo type="min"/>
        <cfvo type="percentile" val="50"/>
        <cfvo type="max"/>
        <color rgb="FF63BE7B"/>
        <color rgb="FFFFEB84"/>
        <color rgb="FFF8696B"/>
      </colorScale>
    </cfRule>
    <cfRule type="colorScale" priority="6562">
      <colorScale>
        <cfvo type="min"/>
        <cfvo type="percentile" val="50"/>
        <cfvo type="max"/>
        <color rgb="FF63BE7B"/>
        <color rgb="FFFFEB84"/>
        <color rgb="FFF8696B"/>
      </colorScale>
    </cfRule>
  </conditionalFormatting>
  <conditionalFormatting sqref="AS54:AS61">
    <cfRule type="colorScale" priority="13">
      <colorScale>
        <cfvo type="min"/>
        <cfvo type="percentile" val="50"/>
        <cfvo type="max"/>
        <color rgb="FF63BE7B"/>
        <color rgb="FFFFEB84"/>
        <color rgb="FFF8696B"/>
      </colorScale>
    </cfRule>
  </conditionalFormatting>
  <conditionalFormatting sqref="AS65:AS71">
    <cfRule type="colorScale" priority="12468">
      <colorScale>
        <cfvo type="min"/>
        <cfvo type="percentile" val="50"/>
        <cfvo type="max"/>
        <color rgb="FF63BE7B"/>
        <color rgb="FFFFEB84"/>
        <color rgb="FFF8696B"/>
      </colorScale>
    </cfRule>
    <cfRule type="colorScale" priority="12334">
      <colorScale>
        <cfvo type="min"/>
        <cfvo type="percentile" val="50"/>
        <cfvo type="max"/>
        <color rgb="FF63BE7B"/>
        <color rgb="FFFFEB84"/>
        <color rgb="FFF8696B"/>
      </colorScale>
    </cfRule>
    <cfRule type="colorScale" priority="12467">
      <colorScale>
        <cfvo type="min"/>
        <cfvo type="percentile" val="50"/>
        <cfvo type="max"/>
        <color rgb="FF63BE7B"/>
        <color rgb="FFFFEB84"/>
        <color rgb="FFF8696B"/>
      </colorScale>
    </cfRule>
    <cfRule type="colorScale" priority="12469">
      <colorScale>
        <cfvo type="min"/>
        <cfvo type="percentile" val="50"/>
        <cfvo type="max"/>
        <color rgb="FF63BE7B"/>
        <color rgb="FFFFEB84"/>
        <color rgb="FFF8696B"/>
      </colorScale>
    </cfRule>
    <cfRule type="colorScale" priority="12335">
      <colorScale>
        <cfvo type="min"/>
        <cfvo type="percentile" val="50"/>
        <cfvo type="max"/>
        <color rgb="FF63BE7B"/>
        <color rgb="FFFFEB84"/>
        <color rgb="FFF8696B"/>
      </colorScale>
    </cfRule>
    <cfRule type="colorScale" priority="12336">
      <colorScale>
        <cfvo type="min"/>
        <cfvo type="percentile" val="50"/>
        <cfvo type="max"/>
        <color rgb="FF63BE7B"/>
        <color rgb="FFFFEB84"/>
        <color rgb="FFF8696B"/>
      </colorScale>
    </cfRule>
  </conditionalFormatting>
  <conditionalFormatting sqref="AS66:AS71">
    <cfRule type="colorScale" priority="12470">
      <colorScale>
        <cfvo type="min"/>
        <cfvo type="percentile" val="50"/>
        <cfvo type="max"/>
        <color rgb="FF63BE7B"/>
        <color rgb="FFFFEB84"/>
        <color rgb="FFF8696B"/>
      </colorScale>
    </cfRule>
    <cfRule type="colorScale" priority="12337">
      <colorScale>
        <cfvo type="min"/>
        <cfvo type="percentile" val="50"/>
        <cfvo type="max"/>
        <color rgb="FF63BE7B"/>
        <color rgb="FFFFEB84"/>
        <color rgb="FFF8696B"/>
      </colorScale>
    </cfRule>
  </conditionalFormatting>
  <conditionalFormatting sqref="AS72:AS80">
    <cfRule type="colorScale" priority="12338">
      <colorScale>
        <cfvo type="min"/>
        <cfvo type="percentile" val="50"/>
        <cfvo type="max"/>
        <color rgb="FF63BE7B"/>
        <color rgb="FFFFEB84"/>
        <color rgb="FFF8696B"/>
      </colorScale>
    </cfRule>
    <cfRule type="colorScale" priority="12341">
      <colorScale>
        <cfvo type="min"/>
        <cfvo type="percentile" val="50"/>
        <cfvo type="max"/>
        <color rgb="FF63BE7B"/>
        <color rgb="FFFFEB84"/>
        <color rgb="FFF8696B"/>
      </colorScale>
    </cfRule>
    <cfRule type="colorScale" priority="12340">
      <colorScale>
        <cfvo type="min"/>
        <cfvo type="percentile" val="50"/>
        <cfvo type="max"/>
        <color rgb="FF63BE7B"/>
        <color rgb="FFFFEB84"/>
        <color rgb="FFF8696B"/>
      </colorScale>
    </cfRule>
    <cfRule type="colorScale" priority="12339">
      <colorScale>
        <cfvo type="min"/>
        <cfvo type="percentile" val="50"/>
        <cfvo type="max"/>
        <color rgb="FF63BE7B"/>
        <color rgb="FFFFEB84"/>
        <color rgb="FFF8696B"/>
      </colorScale>
    </cfRule>
  </conditionalFormatting>
  <conditionalFormatting sqref="AS81:AS83">
    <cfRule type="colorScale" priority="12249">
      <colorScale>
        <cfvo type="min"/>
        <cfvo type="percentile" val="50"/>
        <cfvo type="max"/>
        <color rgb="FF63BE7B"/>
        <color rgb="FFFFEB84"/>
        <color rgb="FFF8696B"/>
      </colorScale>
    </cfRule>
    <cfRule type="colorScale" priority="12246">
      <colorScale>
        <cfvo type="min"/>
        <cfvo type="percentile" val="50"/>
        <cfvo type="max"/>
        <color rgb="FF63BE7B"/>
        <color rgb="FFFFEB84"/>
        <color rgb="FFF8696B"/>
      </colorScale>
    </cfRule>
    <cfRule type="colorScale" priority="12248">
      <colorScale>
        <cfvo type="min"/>
        <cfvo type="percentile" val="50"/>
        <cfvo type="max"/>
        <color rgb="FF63BE7B"/>
        <color rgb="FFFFEB84"/>
        <color rgb="FFF8696B"/>
      </colorScale>
    </cfRule>
    <cfRule type="colorScale" priority="12247">
      <colorScale>
        <cfvo type="min"/>
        <cfvo type="percentile" val="50"/>
        <cfvo type="max"/>
        <color rgb="FF63BE7B"/>
        <color rgb="FFFFEB84"/>
        <color rgb="FFF8696B"/>
      </colorScale>
    </cfRule>
  </conditionalFormatting>
  <conditionalFormatting sqref="AS84:AS87">
    <cfRule type="colorScale" priority="12064">
      <colorScale>
        <cfvo type="min"/>
        <cfvo type="percentile" val="50"/>
        <cfvo type="max"/>
        <color rgb="FF63BE7B"/>
        <color rgb="FFFFEB84"/>
        <color rgb="FFF8696B"/>
      </colorScale>
    </cfRule>
    <cfRule type="colorScale" priority="12066">
      <colorScale>
        <cfvo type="min"/>
        <cfvo type="percentile" val="50"/>
        <cfvo type="max"/>
        <color rgb="FF63BE7B"/>
        <color rgb="FFFFEB84"/>
        <color rgb="FFF8696B"/>
      </colorScale>
    </cfRule>
    <cfRule type="colorScale" priority="12067">
      <colorScale>
        <cfvo type="min"/>
        <cfvo type="percentile" val="50"/>
        <cfvo type="max"/>
        <color rgb="FF63BE7B"/>
        <color rgb="FFFFEB84"/>
        <color rgb="FFF8696B"/>
      </colorScale>
    </cfRule>
  </conditionalFormatting>
  <conditionalFormatting sqref="AS86">
    <cfRule type="colorScale" priority="12065">
      <colorScale>
        <cfvo type="min"/>
        <cfvo type="percentile" val="50"/>
        <cfvo type="max"/>
        <color rgb="FF63BE7B"/>
        <color rgb="FFFFEB84"/>
        <color rgb="FFF8696B"/>
      </colorScale>
    </cfRule>
  </conditionalFormatting>
  <conditionalFormatting sqref="AS96:AS102">
    <cfRule type="colorScale" priority="11863">
      <colorScale>
        <cfvo type="min"/>
        <cfvo type="percentile" val="50"/>
        <cfvo type="max"/>
        <color rgb="FF63BE7B"/>
        <color rgb="FFFFEB84"/>
        <color rgb="FFF8696B"/>
      </colorScale>
    </cfRule>
    <cfRule type="colorScale" priority="11862">
      <colorScale>
        <cfvo type="min"/>
        <cfvo type="percentile" val="50"/>
        <cfvo type="max"/>
        <color rgb="FF63BE7B"/>
        <color rgb="FFFFEB84"/>
        <color rgb="FFF8696B"/>
      </colorScale>
    </cfRule>
    <cfRule type="colorScale" priority="11861">
      <colorScale>
        <cfvo type="min"/>
        <cfvo type="percentile" val="50"/>
        <cfvo type="max"/>
        <color rgb="FF63BE7B"/>
        <color rgb="FFFFEB84"/>
        <color rgb="FFF8696B"/>
      </colorScale>
    </cfRule>
    <cfRule type="colorScale" priority="11730">
      <colorScale>
        <cfvo type="min"/>
        <cfvo type="percentile" val="50"/>
        <cfvo type="max"/>
        <color rgb="FF63BE7B"/>
        <color rgb="FFFFEB84"/>
        <color rgb="FFF8696B"/>
      </colorScale>
    </cfRule>
    <cfRule type="colorScale" priority="11728">
      <colorScale>
        <cfvo type="min"/>
        <cfvo type="percentile" val="50"/>
        <cfvo type="max"/>
        <color rgb="FF63BE7B"/>
        <color rgb="FFFFEB84"/>
        <color rgb="FFF8696B"/>
      </colorScale>
    </cfRule>
    <cfRule type="colorScale" priority="11729">
      <colorScale>
        <cfvo type="min"/>
        <cfvo type="percentile" val="50"/>
        <cfvo type="max"/>
        <color rgb="FF63BE7B"/>
        <color rgb="FFFFEB84"/>
        <color rgb="FFF8696B"/>
      </colorScale>
    </cfRule>
  </conditionalFormatting>
  <conditionalFormatting sqref="AS97:AS102">
    <cfRule type="colorScale" priority="11864">
      <colorScale>
        <cfvo type="min"/>
        <cfvo type="percentile" val="50"/>
        <cfvo type="max"/>
        <color rgb="FF63BE7B"/>
        <color rgb="FFFFEB84"/>
        <color rgb="FFF8696B"/>
      </colorScale>
    </cfRule>
    <cfRule type="colorScale" priority="11731">
      <colorScale>
        <cfvo type="min"/>
        <cfvo type="percentile" val="50"/>
        <cfvo type="max"/>
        <color rgb="FF63BE7B"/>
        <color rgb="FFFFEB84"/>
        <color rgb="FFF8696B"/>
      </colorScale>
    </cfRule>
  </conditionalFormatting>
  <conditionalFormatting sqref="AS103:AS111">
    <cfRule type="colorScale" priority="11733">
      <colorScale>
        <cfvo type="min"/>
        <cfvo type="percentile" val="50"/>
        <cfvo type="max"/>
        <color rgb="FF63BE7B"/>
        <color rgb="FFFFEB84"/>
        <color rgb="FFF8696B"/>
      </colorScale>
    </cfRule>
    <cfRule type="colorScale" priority="11734">
      <colorScale>
        <cfvo type="min"/>
        <cfvo type="percentile" val="50"/>
        <cfvo type="max"/>
        <color rgb="FF63BE7B"/>
        <color rgb="FFFFEB84"/>
        <color rgb="FFF8696B"/>
      </colorScale>
    </cfRule>
    <cfRule type="colorScale" priority="11732">
      <colorScale>
        <cfvo type="min"/>
        <cfvo type="percentile" val="50"/>
        <cfvo type="max"/>
        <color rgb="FF63BE7B"/>
        <color rgb="FFFFEB84"/>
        <color rgb="FFF8696B"/>
      </colorScale>
    </cfRule>
    <cfRule type="colorScale" priority="11735">
      <colorScale>
        <cfvo type="min"/>
        <cfvo type="percentile" val="50"/>
        <cfvo type="max"/>
        <color rgb="FF63BE7B"/>
        <color rgb="FFFFEB84"/>
        <color rgb="FFF8696B"/>
      </colorScale>
    </cfRule>
  </conditionalFormatting>
  <conditionalFormatting sqref="AS112:AS114">
    <cfRule type="colorScale" priority="11644">
      <colorScale>
        <cfvo type="min"/>
        <cfvo type="percentile" val="50"/>
        <cfvo type="max"/>
        <color rgb="FF63BE7B"/>
        <color rgb="FFFFEB84"/>
        <color rgb="FFF8696B"/>
      </colorScale>
    </cfRule>
    <cfRule type="colorScale" priority="11646">
      <colorScale>
        <cfvo type="min"/>
        <cfvo type="percentile" val="50"/>
        <cfvo type="max"/>
        <color rgb="FF63BE7B"/>
        <color rgb="FFFFEB84"/>
        <color rgb="FFF8696B"/>
      </colorScale>
    </cfRule>
    <cfRule type="colorScale" priority="11645">
      <colorScale>
        <cfvo type="min"/>
        <cfvo type="percentile" val="50"/>
        <cfvo type="max"/>
        <color rgb="FF63BE7B"/>
        <color rgb="FFFFEB84"/>
        <color rgb="FFF8696B"/>
      </colorScale>
    </cfRule>
    <cfRule type="colorScale" priority="11643">
      <colorScale>
        <cfvo type="min"/>
        <cfvo type="percentile" val="50"/>
        <cfvo type="max"/>
        <color rgb="FF63BE7B"/>
        <color rgb="FFFFEB84"/>
        <color rgb="FFF8696B"/>
      </colorScale>
    </cfRule>
  </conditionalFormatting>
  <conditionalFormatting sqref="AS115:AS118">
    <cfRule type="colorScale" priority="11463">
      <colorScale>
        <cfvo type="min"/>
        <cfvo type="percentile" val="50"/>
        <cfvo type="max"/>
        <color rgb="FF63BE7B"/>
        <color rgb="FFFFEB84"/>
        <color rgb="FFF8696B"/>
      </colorScale>
    </cfRule>
    <cfRule type="colorScale" priority="11461">
      <colorScale>
        <cfvo type="min"/>
        <cfvo type="percentile" val="50"/>
        <cfvo type="max"/>
        <color rgb="FF63BE7B"/>
        <color rgb="FFFFEB84"/>
        <color rgb="FFF8696B"/>
      </colorScale>
    </cfRule>
    <cfRule type="colorScale" priority="11464">
      <colorScale>
        <cfvo type="min"/>
        <cfvo type="percentile" val="50"/>
        <cfvo type="max"/>
        <color rgb="FF63BE7B"/>
        <color rgb="FFFFEB84"/>
        <color rgb="FFF8696B"/>
      </colorScale>
    </cfRule>
  </conditionalFormatting>
  <conditionalFormatting sqref="AS117">
    <cfRule type="colorScale" priority="11462">
      <colorScale>
        <cfvo type="min"/>
        <cfvo type="percentile" val="50"/>
        <cfvo type="max"/>
        <color rgb="FF63BE7B"/>
        <color rgb="FFFFEB84"/>
        <color rgb="FFF8696B"/>
      </colorScale>
    </cfRule>
  </conditionalFormatting>
  <conditionalFormatting sqref="AS35:AV37">
    <cfRule type="colorScale" priority="10592">
      <colorScale>
        <cfvo type="min"/>
        <cfvo type="percentile" val="50"/>
        <cfvo type="max"/>
        <color rgb="FF63BE7B"/>
        <color rgb="FFFFEB84"/>
        <color rgb="FFF8696B"/>
      </colorScale>
    </cfRule>
  </conditionalFormatting>
  <conditionalFormatting sqref="AS35:AV41">
    <cfRule type="colorScale" priority="10590">
      <colorScale>
        <cfvo type="min"/>
        <cfvo type="percentile" val="50"/>
        <cfvo type="max"/>
        <color rgb="FF63BE7B"/>
        <color rgb="FFFFEB84"/>
        <color rgb="FFF8696B"/>
      </colorScale>
    </cfRule>
    <cfRule type="colorScale" priority="10591">
      <colorScale>
        <cfvo type="min"/>
        <cfvo type="percentile" val="50"/>
        <cfvo type="max"/>
        <color rgb="FF63BE7B"/>
        <color rgb="FFFFEB84"/>
        <color rgb="FFF8696B"/>
      </colorScale>
    </cfRule>
    <cfRule type="colorScale" priority="10593">
      <colorScale>
        <cfvo type="min"/>
        <cfvo type="percentile" val="50"/>
        <cfvo type="max"/>
        <color rgb="FF63BE7B"/>
        <color rgb="FFFFEB84"/>
        <color rgb="FFF8696B"/>
      </colorScale>
    </cfRule>
    <cfRule type="colorScale" priority="10594">
      <colorScale>
        <cfvo type="min"/>
        <cfvo type="percentile" val="50"/>
        <cfvo type="max"/>
        <color rgb="FF63BE7B"/>
        <color rgb="FFFFEB84"/>
        <color rgb="FFF8696B"/>
      </colorScale>
    </cfRule>
    <cfRule type="colorScale" priority="10595">
      <colorScale>
        <cfvo type="min"/>
        <cfvo type="percentile" val="50"/>
        <cfvo type="max"/>
        <color rgb="FF63BE7B"/>
        <color rgb="FFFFEB84"/>
        <color rgb="FFF8696B"/>
      </colorScale>
    </cfRule>
    <cfRule type="colorScale" priority="10597">
      <colorScale>
        <cfvo type="min"/>
        <cfvo type="percentile" val="50"/>
        <cfvo type="max"/>
        <color rgb="FF63BE7B"/>
        <color rgb="FFFFEB84"/>
        <color rgb="FFF8696B"/>
      </colorScale>
    </cfRule>
    <cfRule type="colorScale" priority="10598">
      <colorScale>
        <cfvo type="min"/>
        <cfvo type="percentile" val="50"/>
        <cfvo type="max"/>
        <color rgb="FF63BE7B"/>
        <color rgb="FFFFEB84"/>
        <color rgb="FFF8696B"/>
      </colorScale>
    </cfRule>
    <cfRule type="colorScale" priority="10599">
      <colorScale>
        <cfvo type="min"/>
        <cfvo type="percentile" val="50"/>
        <cfvo type="max"/>
        <color rgb="FF63BE7B"/>
        <color rgb="FFFFEB84"/>
        <color rgb="FFF8696B"/>
      </colorScale>
    </cfRule>
    <cfRule type="colorScale" priority="10600">
      <colorScale>
        <cfvo type="min"/>
        <cfvo type="percentile" val="50"/>
        <cfvo type="max"/>
        <color rgb="FF63BE7B"/>
        <color rgb="FFFFEB84"/>
        <color rgb="FFF8696B"/>
      </colorScale>
    </cfRule>
    <cfRule type="colorScale" priority="10601">
      <colorScale>
        <cfvo type="min"/>
        <cfvo type="percentile" val="50"/>
        <cfvo type="max"/>
        <color rgb="FF63BE7B"/>
        <color rgb="FFFFEB84"/>
        <color rgb="FFF8696B"/>
      </colorScale>
    </cfRule>
    <cfRule type="colorScale" priority="10602">
      <colorScale>
        <cfvo type="min"/>
        <cfvo type="percentile" val="50"/>
        <cfvo type="max"/>
        <color rgb="FF63BE7B"/>
        <color rgb="FFFFEB84"/>
        <color rgb="FFF8696B"/>
      </colorScale>
    </cfRule>
    <cfRule type="colorScale" priority="10603">
      <colorScale>
        <cfvo type="min"/>
        <cfvo type="percentile" val="50"/>
        <cfvo type="max"/>
        <color rgb="FF63BE7B"/>
        <color rgb="FFFFEB84"/>
        <color rgb="FFF8696B"/>
      </colorScale>
    </cfRule>
    <cfRule type="colorScale" priority="10604">
      <colorScale>
        <cfvo type="min"/>
        <cfvo type="percentile" val="50"/>
        <cfvo type="max"/>
        <color rgb="FF63BE7B"/>
        <color rgb="FFFFEB84"/>
        <color rgb="FFF8696B"/>
      </colorScale>
    </cfRule>
    <cfRule type="colorScale" priority="10605">
      <colorScale>
        <cfvo type="min"/>
        <cfvo type="percentile" val="50"/>
        <cfvo type="max"/>
        <color rgb="FF63BE7B"/>
        <color rgb="FFFFEB84"/>
        <color rgb="FFF8696B"/>
      </colorScale>
    </cfRule>
    <cfRule type="colorScale" priority="10606">
      <colorScale>
        <cfvo type="min"/>
        <cfvo type="percentile" val="50"/>
        <cfvo type="max"/>
        <color rgb="FF63BE7B"/>
        <color rgb="FFFFEB84"/>
        <color rgb="FFF8696B"/>
      </colorScale>
    </cfRule>
    <cfRule type="colorScale" priority="10607">
      <colorScale>
        <cfvo type="min"/>
        <cfvo type="percentile" val="50"/>
        <cfvo type="max"/>
        <color rgb="FF63BE7B"/>
        <color rgb="FFFFEB84"/>
        <color rgb="FFF8696B"/>
      </colorScale>
    </cfRule>
    <cfRule type="colorScale" priority="10608">
      <colorScale>
        <cfvo type="min"/>
        <cfvo type="percentile" val="50"/>
        <cfvo type="max"/>
        <color rgb="FF63BE7B"/>
        <color rgb="FFFFEB84"/>
        <color rgb="FFF8696B"/>
      </colorScale>
    </cfRule>
    <cfRule type="colorScale" priority="10596">
      <colorScale>
        <cfvo type="min"/>
        <cfvo type="percentile" val="50"/>
        <cfvo type="max"/>
        <color rgb="FF63BE7B"/>
        <color rgb="FFFFEB84"/>
        <color rgb="FFF8696B"/>
      </colorScale>
    </cfRule>
  </conditionalFormatting>
  <conditionalFormatting sqref="AS52:AV53">
    <cfRule type="colorScale" priority="6494">
      <colorScale>
        <cfvo type="min"/>
        <cfvo type="percentile" val="50"/>
        <cfvo type="max"/>
        <color rgb="FF63BE7B"/>
        <color rgb="FFFFEB84"/>
        <color rgb="FFF8696B"/>
      </colorScale>
    </cfRule>
    <cfRule type="colorScale" priority="6489">
      <colorScale>
        <cfvo type="min"/>
        <cfvo type="percentile" val="50"/>
        <cfvo type="max"/>
        <color rgb="FF63BE7B"/>
        <color rgb="FFFFEB84"/>
        <color rgb="FFF8696B"/>
      </colorScale>
    </cfRule>
    <cfRule type="colorScale" priority="6496">
      <colorScale>
        <cfvo type="min"/>
        <cfvo type="percentile" val="50"/>
        <cfvo type="max"/>
        <color rgb="FF63BE7B"/>
        <color rgb="FFFFEB84"/>
        <color rgb="FFF8696B"/>
      </colorScale>
    </cfRule>
    <cfRule type="colorScale" priority="6481">
      <colorScale>
        <cfvo type="min"/>
        <cfvo type="percentile" val="50"/>
        <cfvo type="max"/>
        <color rgb="FF63BE7B"/>
        <color rgb="FFFFEB84"/>
        <color rgb="FFF8696B"/>
      </colorScale>
    </cfRule>
    <cfRule type="colorScale" priority="6495">
      <colorScale>
        <cfvo type="min"/>
        <cfvo type="percentile" val="50"/>
        <cfvo type="max"/>
        <color rgb="FF63BE7B"/>
        <color rgb="FFFFEB84"/>
        <color rgb="FFF8696B"/>
      </colorScale>
    </cfRule>
    <cfRule type="colorScale" priority="6486">
      <colorScale>
        <cfvo type="min"/>
        <cfvo type="percentile" val="50"/>
        <cfvo type="max"/>
        <color rgb="FF63BE7B"/>
        <color rgb="FFFFEB84"/>
        <color rgb="FFF8696B"/>
      </colorScale>
    </cfRule>
    <cfRule type="colorScale" priority="6490">
      <colorScale>
        <cfvo type="min"/>
        <cfvo type="percentile" val="50"/>
        <cfvo type="max"/>
        <color rgb="FF63BE7B"/>
        <color rgb="FFFFEB84"/>
        <color rgb="FFF8696B"/>
      </colorScale>
    </cfRule>
    <cfRule type="colorScale" priority="6493">
      <colorScale>
        <cfvo type="min"/>
        <cfvo type="percentile" val="50"/>
        <cfvo type="max"/>
        <color rgb="FF63BE7B"/>
        <color rgb="FFFFEB84"/>
        <color rgb="FFF8696B"/>
      </colorScale>
    </cfRule>
    <cfRule type="colorScale" priority="6492">
      <colorScale>
        <cfvo type="min"/>
        <cfvo type="percentile" val="50"/>
        <cfvo type="max"/>
        <color rgb="FF63BE7B"/>
        <color rgb="FFFFEB84"/>
        <color rgb="FFF8696B"/>
      </colorScale>
    </cfRule>
    <cfRule type="colorScale" priority="6480">
      <colorScale>
        <cfvo type="min"/>
        <cfvo type="percentile" val="50"/>
        <cfvo type="max"/>
        <color rgb="FF63BE7B"/>
        <color rgb="FFFFEB84"/>
        <color rgb="FFF8696B"/>
      </colorScale>
    </cfRule>
    <cfRule type="colorScale" priority="6491">
      <colorScale>
        <cfvo type="min"/>
        <cfvo type="percentile" val="50"/>
        <cfvo type="max"/>
        <color rgb="FF63BE7B"/>
        <color rgb="FFFFEB84"/>
        <color rgb="FFF8696B"/>
      </colorScale>
    </cfRule>
    <cfRule type="colorScale" priority="6479">
      <colorScale>
        <cfvo type="min"/>
        <cfvo type="percentile" val="50"/>
        <cfvo type="max"/>
        <color rgb="FF63BE7B"/>
        <color rgb="FFFFEB84"/>
        <color rgb="FFF8696B"/>
      </colorScale>
    </cfRule>
    <cfRule type="colorScale" priority="6488">
      <colorScale>
        <cfvo type="min"/>
        <cfvo type="percentile" val="50"/>
        <cfvo type="max"/>
        <color rgb="FF63BE7B"/>
        <color rgb="FFFFEB84"/>
        <color rgb="FFF8696B"/>
      </colorScale>
    </cfRule>
    <cfRule type="colorScale" priority="6487">
      <colorScale>
        <cfvo type="min"/>
        <cfvo type="percentile" val="50"/>
        <cfvo type="max"/>
        <color rgb="FF63BE7B"/>
        <color rgb="FFFFEB84"/>
        <color rgb="FFF8696B"/>
      </colorScale>
    </cfRule>
    <cfRule type="colorScale" priority="6485">
      <colorScale>
        <cfvo type="min"/>
        <cfvo type="percentile" val="50"/>
        <cfvo type="max"/>
        <color rgb="FF63BE7B"/>
        <color rgb="FFFFEB84"/>
        <color rgb="FFF8696B"/>
      </colorScale>
    </cfRule>
    <cfRule type="colorScale" priority="6484">
      <colorScale>
        <cfvo type="min"/>
        <cfvo type="percentile" val="50"/>
        <cfvo type="max"/>
        <color rgb="FF63BE7B"/>
        <color rgb="FFFFEB84"/>
        <color rgb="FFF8696B"/>
      </colorScale>
    </cfRule>
    <cfRule type="colorScale" priority="6483">
      <colorScale>
        <cfvo type="min"/>
        <cfvo type="percentile" val="50"/>
        <cfvo type="max"/>
        <color rgb="FF63BE7B"/>
        <color rgb="FFFFEB84"/>
        <color rgb="FFF8696B"/>
      </colorScale>
    </cfRule>
    <cfRule type="colorScale" priority="6482">
      <colorScale>
        <cfvo type="min"/>
        <cfvo type="percentile" val="50"/>
        <cfvo type="max"/>
        <color rgb="FF63BE7B"/>
        <color rgb="FFFFEB84"/>
        <color rgb="FFF8696B"/>
      </colorScale>
    </cfRule>
  </conditionalFormatting>
  <conditionalFormatting sqref="AT35:AT37">
    <cfRule type="colorScale" priority="9718">
      <colorScale>
        <cfvo type="min"/>
        <cfvo type="percentile" val="50"/>
        <cfvo type="max"/>
        <color rgb="FF63BE7B"/>
        <color rgb="FFFFEB84"/>
        <color rgb="FFF8696B"/>
      </colorScale>
    </cfRule>
    <cfRule type="colorScale" priority="8514">
      <colorScale>
        <cfvo type="min"/>
        <cfvo type="percentile" val="50"/>
        <cfvo type="max"/>
        <color rgb="FF63BE7B"/>
        <color rgb="FFFFEB84"/>
        <color rgb="FFF8696B"/>
      </colorScale>
    </cfRule>
    <cfRule type="colorScale" priority="8519">
      <colorScale>
        <cfvo type="min"/>
        <cfvo type="percentile" val="50"/>
        <cfvo type="max"/>
        <color rgb="FF63BE7B"/>
        <color rgb="FFFFEB84"/>
        <color rgb="FFF8696B"/>
      </colorScale>
    </cfRule>
    <cfRule type="colorScale" priority="10649">
      <colorScale>
        <cfvo type="min"/>
        <cfvo type="percentile" val="50"/>
        <cfvo type="max"/>
        <color rgb="FF63BE7B"/>
        <color rgb="FFFFEB84"/>
        <color rgb="FFF8696B"/>
      </colorScale>
    </cfRule>
    <cfRule type="colorScale" priority="8515">
      <colorScale>
        <cfvo type="min"/>
        <cfvo type="percentile" val="50"/>
        <cfvo type="max"/>
        <color rgb="FF63BE7B"/>
        <color rgb="FFFFEB84"/>
        <color rgb="FFF8696B"/>
      </colorScale>
    </cfRule>
    <cfRule type="colorScale" priority="8542">
      <colorScale>
        <cfvo type="min"/>
        <cfvo type="percentile" val="50"/>
        <cfvo type="max"/>
        <color rgb="FF63BE7B"/>
        <color rgb="FFFFEB84"/>
        <color rgb="FFF8696B"/>
      </colorScale>
    </cfRule>
    <cfRule type="colorScale" priority="8541">
      <colorScale>
        <cfvo type="min"/>
        <cfvo type="percentile" val="50"/>
        <cfvo type="max"/>
        <color rgb="FF63BE7B"/>
        <color rgb="FFFFEB84"/>
        <color rgb="FFF8696B"/>
      </colorScale>
    </cfRule>
    <cfRule type="colorScale" priority="9712">
      <colorScale>
        <cfvo type="min"/>
        <cfvo type="percentile" val="50"/>
        <cfvo type="max"/>
        <color rgb="FF63BE7B"/>
        <color rgb="FFFFEB84"/>
        <color rgb="FFF8696B"/>
      </colorScale>
    </cfRule>
    <cfRule type="colorScale" priority="8516">
      <colorScale>
        <cfvo type="min"/>
        <cfvo type="percentile" val="50"/>
        <cfvo type="max"/>
        <color rgb="FF63BE7B"/>
        <color rgb="FFFFEB84"/>
        <color rgb="FFF8696B"/>
      </colorScale>
    </cfRule>
    <cfRule type="colorScale" priority="9713">
      <colorScale>
        <cfvo type="min"/>
        <cfvo type="percentile" val="50"/>
        <cfvo type="max"/>
        <color rgb="FF63BE7B"/>
        <color rgb="FFFFEB84"/>
        <color rgb="FFF8696B"/>
      </colorScale>
    </cfRule>
    <cfRule type="colorScale" priority="9715">
      <colorScale>
        <cfvo type="min"/>
        <cfvo type="percentile" val="50"/>
        <cfvo type="max"/>
        <color rgb="FF63BE7B"/>
        <color rgb="FFFFEB84"/>
        <color rgb="FFF8696B"/>
      </colorScale>
    </cfRule>
    <cfRule type="colorScale" priority="8532">
      <colorScale>
        <cfvo type="min"/>
        <cfvo type="percentile" val="50"/>
        <cfvo type="max"/>
        <color rgb="FF63BE7B"/>
        <color rgb="FFFFEB84"/>
        <color rgb="FFF8696B"/>
      </colorScale>
    </cfRule>
    <cfRule type="colorScale" priority="8518">
      <colorScale>
        <cfvo type="min"/>
        <cfvo type="percentile" val="50"/>
        <cfvo type="max"/>
        <color rgb="FF63BE7B"/>
        <color rgb="FFFFEB84"/>
        <color rgb="FFF8696B"/>
      </colorScale>
    </cfRule>
    <cfRule type="colorScale" priority="9717">
      <colorScale>
        <cfvo type="min"/>
        <cfvo type="percentile" val="50"/>
        <cfvo type="max"/>
        <color rgb="FF63BE7B"/>
        <color rgb="FFFFEB84"/>
        <color rgb="FFF8696B"/>
      </colorScale>
    </cfRule>
    <cfRule type="colorScale" priority="9704">
      <colorScale>
        <cfvo type="min"/>
        <cfvo type="percentile" val="50"/>
        <cfvo type="max"/>
        <color rgb="FF63BE7B"/>
        <color rgb="FFFFEB84"/>
        <color rgb="FFF8696B"/>
      </colorScale>
    </cfRule>
    <cfRule type="colorScale" priority="8546">
      <colorScale>
        <cfvo type="min"/>
        <cfvo type="percentile" val="50"/>
        <cfvo type="max"/>
        <color rgb="FF63BE7B"/>
        <color rgb="FFFFEB84"/>
        <color rgb="FFF8696B"/>
      </colorScale>
    </cfRule>
    <cfRule type="colorScale" priority="8543">
      <colorScale>
        <cfvo type="min"/>
        <cfvo type="percentile" val="50"/>
        <cfvo type="max"/>
        <color rgb="FF63BE7B"/>
        <color rgb="FFFFEB84"/>
        <color rgb="FFF8696B"/>
      </colorScale>
    </cfRule>
    <cfRule type="colorScale" priority="8513">
      <colorScale>
        <cfvo type="min"/>
        <cfvo type="percentile" val="50"/>
        <cfvo type="max"/>
        <color rgb="FF63BE7B"/>
        <color rgb="FFFFEB84"/>
        <color rgb="FFF8696B"/>
      </colorScale>
    </cfRule>
    <cfRule type="colorScale" priority="9714">
      <colorScale>
        <cfvo type="min"/>
        <cfvo type="percentile" val="50"/>
        <cfvo type="max"/>
        <color rgb="FF63BE7B"/>
        <color rgb="FFFFEB84"/>
        <color rgb="FFF8696B"/>
      </colorScale>
    </cfRule>
    <cfRule type="colorScale" priority="8545">
      <colorScale>
        <cfvo type="min"/>
        <cfvo type="percentile" val="50"/>
        <cfvo type="max"/>
        <color rgb="FF63BE7B"/>
        <color rgb="FFFFEB84"/>
        <color rgb="FFF8696B"/>
      </colorScale>
    </cfRule>
    <cfRule type="colorScale" priority="8540">
      <colorScale>
        <cfvo type="min"/>
        <cfvo type="percentile" val="50"/>
        <cfvo type="max"/>
        <color rgb="FF63BE7B"/>
        <color rgb="FFFFEB84"/>
        <color rgb="FFF8696B"/>
      </colorScale>
    </cfRule>
    <cfRule type="colorScale" priority="8505">
      <colorScale>
        <cfvo type="min"/>
        <cfvo type="percentile" val="50"/>
        <cfvo type="max"/>
        <color rgb="FF63BE7B"/>
        <color rgb="FFFFEB84"/>
        <color rgb="FFF8696B"/>
      </colorScale>
    </cfRule>
  </conditionalFormatting>
  <conditionalFormatting sqref="AT35:AT41 AE35:AE41 Q35:Q50">
    <cfRule type="colorScale" priority="13037">
      <colorScale>
        <cfvo type="min"/>
        <cfvo type="percentile" val="50"/>
        <cfvo type="max"/>
        <color rgb="FF63BE7B"/>
        <color rgb="FFFFEB84"/>
        <color rgb="FFF8696B"/>
      </colorScale>
    </cfRule>
    <cfRule type="colorScale" priority="13211">
      <colorScale>
        <cfvo type="min"/>
        <cfvo type="percentile" val="50"/>
        <cfvo type="max"/>
        <color rgb="FF63BE7B"/>
        <color rgb="FFFFEB84"/>
        <color rgb="FFF8696B"/>
      </colorScale>
    </cfRule>
    <cfRule type="colorScale" priority="13034">
      <colorScale>
        <cfvo type="min"/>
        <cfvo type="percentile" val="50"/>
        <cfvo type="max"/>
        <color rgb="FF63BE7B"/>
        <color rgb="FFFFEB84"/>
        <color rgb="FFF8696B"/>
      </colorScale>
    </cfRule>
    <cfRule type="colorScale" priority="13036">
      <colorScale>
        <cfvo type="min"/>
        <cfvo type="percentile" val="50"/>
        <cfvo type="max"/>
        <color rgb="FF63BE7B"/>
        <color rgb="FFFFEB84"/>
        <color rgb="FFF8696B"/>
      </colorScale>
    </cfRule>
    <cfRule type="colorScale" priority="13035">
      <colorScale>
        <cfvo type="min"/>
        <cfvo type="percentile" val="50"/>
        <cfvo type="max"/>
        <color rgb="FF63BE7B"/>
        <color rgb="FFFFEB84"/>
        <color rgb="FFF8696B"/>
      </colorScale>
    </cfRule>
  </conditionalFormatting>
  <conditionalFormatting sqref="AT35:AT41 AE35:AE41 AT52:AT53 AE52:AE53 Q35:Q53">
    <cfRule type="colorScale" priority="13229">
      <colorScale>
        <cfvo type="min"/>
        <cfvo type="percentile" val="50"/>
        <cfvo type="max"/>
        <color rgb="FF63BE7B"/>
        <color rgb="FFFFEB84"/>
        <color rgb="FFF8696B"/>
      </colorScale>
    </cfRule>
  </conditionalFormatting>
  <conditionalFormatting sqref="AT35:AT41">
    <cfRule type="colorScale" priority="8510">
      <colorScale>
        <cfvo type="min"/>
        <cfvo type="percentile" val="50"/>
        <cfvo type="max"/>
        <color rgb="FF63BE7B"/>
        <color rgb="FFFFEB84"/>
        <color rgb="FFF8696B"/>
      </colorScale>
    </cfRule>
    <cfRule type="colorScale" priority="8511">
      <colorScale>
        <cfvo type="min"/>
        <cfvo type="percentile" val="50"/>
        <cfvo type="max"/>
        <color rgb="FF63BE7B"/>
        <color rgb="FFFFEB84"/>
        <color rgb="FFF8696B"/>
      </colorScale>
    </cfRule>
    <cfRule type="colorScale" priority="8512">
      <colorScale>
        <cfvo type="min"/>
        <cfvo type="percentile" val="50"/>
        <cfvo type="max"/>
        <color rgb="FF63BE7B"/>
        <color rgb="FFFFEB84"/>
        <color rgb="FFF8696B"/>
      </colorScale>
    </cfRule>
    <cfRule type="colorScale" priority="8539">
      <colorScale>
        <cfvo type="min"/>
        <cfvo type="percentile" val="50"/>
        <cfvo type="max"/>
        <color rgb="FF63BE7B"/>
        <color rgb="FFFFEB84"/>
        <color rgb="FFF8696B"/>
      </colorScale>
    </cfRule>
    <cfRule type="colorScale" priority="8538">
      <colorScale>
        <cfvo type="min"/>
        <cfvo type="percentile" val="50"/>
        <cfvo type="max"/>
        <color rgb="FF63BE7B"/>
        <color rgb="FFFFEB84"/>
        <color rgb="FFF8696B"/>
      </colorScale>
    </cfRule>
    <cfRule type="colorScale" priority="8537">
      <colorScale>
        <cfvo type="min"/>
        <cfvo type="percentile" val="50"/>
        <cfvo type="max"/>
        <color rgb="FF63BE7B"/>
        <color rgb="FFFFEB84"/>
        <color rgb="FFF8696B"/>
      </colorScale>
    </cfRule>
    <cfRule type="colorScale" priority="8536">
      <colorScale>
        <cfvo type="min"/>
        <cfvo type="percentile" val="50"/>
        <cfvo type="max"/>
        <color rgb="FF63BE7B"/>
        <color rgb="FFFFEB84"/>
        <color rgb="FFF8696B"/>
      </colorScale>
    </cfRule>
    <cfRule type="colorScale" priority="8535">
      <colorScale>
        <cfvo type="min"/>
        <cfvo type="percentile" val="50"/>
        <cfvo type="max"/>
        <color rgb="FF63BE7B"/>
        <color rgb="FFFFEB84"/>
        <color rgb="FFF8696B"/>
      </colorScale>
    </cfRule>
    <cfRule type="colorScale" priority="8534">
      <colorScale>
        <cfvo type="min"/>
        <cfvo type="percentile" val="50"/>
        <cfvo type="max"/>
        <color rgb="FF63BE7B"/>
        <color rgb="FFFFEB84"/>
        <color rgb="FFF8696B"/>
      </colorScale>
    </cfRule>
    <cfRule type="colorScale" priority="9702">
      <colorScale>
        <cfvo type="min"/>
        <cfvo type="percentile" val="50"/>
        <cfvo type="max"/>
        <color rgb="FF63BE7B"/>
        <color rgb="FFFFEB84"/>
        <color rgb="FFF8696B"/>
      </colorScale>
    </cfRule>
    <cfRule type="colorScale" priority="9703">
      <colorScale>
        <cfvo type="min"/>
        <cfvo type="percentile" val="50"/>
        <cfvo type="max"/>
        <color rgb="FF63BE7B"/>
        <color rgb="FFFFEB84"/>
        <color rgb="FFF8696B"/>
      </colorScale>
    </cfRule>
    <cfRule type="colorScale" priority="9705">
      <colorScale>
        <cfvo type="min"/>
        <cfvo type="percentile" val="50"/>
        <cfvo type="max"/>
        <color rgb="FF63BE7B"/>
        <color rgb="FFFFEB84"/>
        <color rgb="FFF8696B"/>
      </colorScale>
    </cfRule>
    <cfRule type="colorScale" priority="9706">
      <colorScale>
        <cfvo type="min"/>
        <cfvo type="percentile" val="50"/>
        <cfvo type="max"/>
        <color rgb="FF63BE7B"/>
        <color rgb="FFFFEB84"/>
        <color rgb="FFF8696B"/>
      </colorScale>
    </cfRule>
    <cfRule type="colorScale" priority="9707">
      <colorScale>
        <cfvo type="min"/>
        <cfvo type="percentile" val="50"/>
        <cfvo type="max"/>
        <color rgb="FF63BE7B"/>
        <color rgb="FFFFEB84"/>
        <color rgb="FFF8696B"/>
      </colorScale>
    </cfRule>
    <cfRule type="colorScale" priority="9708">
      <colorScale>
        <cfvo type="min"/>
        <cfvo type="percentile" val="50"/>
        <cfvo type="max"/>
        <color rgb="FF63BE7B"/>
        <color rgb="FFFFEB84"/>
        <color rgb="FFF8696B"/>
      </colorScale>
    </cfRule>
    <cfRule type="colorScale" priority="9709">
      <colorScale>
        <cfvo type="min"/>
        <cfvo type="percentile" val="50"/>
        <cfvo type="max"/>
        <color rgb="FF63BE7B"/>
        <color rgb="FFFFEB84"/>
        <color rgb="FFF8696B"/>
      </colorScale>
    </cfRule>
    <cfRule type="colorScale" priority="9710">
      <colorScale>
        <cfvo type="min"/>
        <cfvo type="percentile" val="50"/>
        <cfvo type="max"/>
        <color rgb="FF63BE7B"/>
        <color rgb="FFFFEB84"/>
        <color rgb="FFF8696B"/>
      </colorScale>
    </cfRule>
    <cfRule type="colorScale" priority="9727">
      <colorScale>
        <cfvo type="min"/>
        <cfvo type="percentile" val="50"/>
        <cfvo type="max"/>
        <color rgb="FF63BE7B"/>
        <color rgb="FFFFEB84"/>
        <color rgb="FFF8696B"/>
      </colorScale>
    </cfRule>
    <cfRule type="colorScale" priority="8556">
      <colorScale>
        <cfvo type="min"/>
        <cfvo type="percentile" val="50"/>
        <cfvo type="max"/>
        <color rgb="FF63BE7B"/>
        <color rgb="FFFFEB84"/>
        <color rgb="FFF8696B"/>
      </colorScale>
    </cfRule>
    <cfRule type="colorScale" priority="8555">
      <colorScale>
        <cfvo type="min"/>
        <cfvo type="percentile" val="50"/>
        <cfvo type="max"/>
        <color rgb="FF63BE7B"/>
        <color rgb="FFFFEB84"/>
        <color rgb="FFF8696B"/>
      </colorScale>
    </cfRule>
    <cfRule type="colorScale" priority="8553">
      <colorScale>
        <cfvo type="min"/>
        <cfvo type="percentile" val="50"/>
        <cfvo type="max"/>
        <color rgb="FF63BE7B"/>
        <color rgb="FFFFEB84"/>
        <color rgb="FFF8696B"/>
      </colorScale>
    </cfRule>
    <cfRule type="colorScale" priority="9711">
      <colorScale>
        <cfvo type="min"/>
        <cfvo type="percentile" val="50"/>
        <cfvo type="max"/>
        <color rgb="FF63BE7B"/>
        <color rgb="FFFFEB84"/>
        <color rgb="FFF8696B"/>
      </colorScale>
    </cfRule>
    <cfRule type="colorScale" priority="8551">
      <colorScale>
        <cfvo type="min"/>
        <cfvo type="percentile" val="50"/>
        <cfvo type="max"/>
        <color rgb="FF63BE7B"/>
        <color rgb="FFFFEB84"/>
        <color rgb="FFF8696B"/>
      </colorScale>
    </cfRule>
    <cfRule type="colorScale" priority="8550">
      <colorScale>
        <cfvo type="min"/>
        <cfvo type="percentile" val="50"/>
        <cfvo type="max"/>
        <color rgb="FF63BE7B"/>
        <color rgb="FFFFEB84"/>
        <color rgb="FFF8696B"/>
      </colorScale>
    </cfRule>
    <cfRule type="colorScale" priority="8549">
      <colorScale>
        <cfvo type="min"/>
        <cfvo type="percentile" val="50"/>
        <cfvo type="max"/>
        <color rgb="FF63BE7B"/>
        <color rgb="FFFFEB84"/>
        <color rgb="FFF8696B"/>
      </colorScale>
    </cfRule>
    <cfRule type="colorScale" priority="8548">
      <colorScale>
        <cfvo type="min"/>
        <cfvo type="percentile" val="50"/>
        <cfvo type="max"/>
        <color rgb="FF63BE7B"/>
        <color rgb="FFFFEB84"/>
        <color rgb="FFF8696B"/>
      </colorScale>
    </cfRule>
    <cfRule type="colorScale" priority="8547">
      <colorScale>
        <cfvo type="min"/>
        <cfvo type="percentile" val="50"/>
        <cfvo type="max"/>
        <color rgb="FF63BE7B"/>
        <color rgb="FFFFEB84"/>
        <color rgb="FFF8696B"/>
      </colorScale>
    </cfRule>
    <cfRule type="colorScale" priority="8503">
      <colorScale>
        <cfvo type="min"/>
        <cfvo type="percentile" val="50"/>
        <cfvo type="max"/>
        <color rgb="FF63BE7B"/>
        <color rgb="FFFFEB84"/>
        <color rgb="FFF8696B"/>
      </colorScale>
    </cfRule>
    <cfRule type="colorScale" priority="8533">
      <colorScale>
        <cfvo type="min"/>
        <cfvo type="percentile" val="50"/>
        <cfvo type="max"/>
        <color rgb="FF63BE7B"/>
        <color rgb="FFFFEB84"/>
        <color rgb="FFF8696B"/>
      </colorScale>
    </cfRule>
    <cfRule type="colorScale" priority="8552">
      <colorScale>
        <cfvo type="min"/>
        <cfvo type="percentile" val="50"/>
        <cfvo type="max"/>
        <color rgb="FF63BE7B"/>
        <color rgb="FFFFEB84"/>
        <color rgb="FFF8696B"/>
      </colorScale>
    </cfRule>
    <cfRule type="colorScale" priority="8520">
      <colorScale>
        <cfvo type="min"/>
        <cfvo type="percentile" val="50"/>
        <cfvo type="max"/>
        <color rgb="FF63BE7B"/>
        <color rgb="FFFFEB84"/>
        <color rgb="FFF8696B"/>
      </colorScale>
    </cfRule>
    <cfRule type="colorScale" priority="8521">
      <colorScale>
        <cfvo type="min"/>
        <cfvo type="percentile" val="50"/>
        <cfvo type="max"/>
        <color rgb="FF63BE7B"/>
        <color rgb="FFFFEB84"/>
        <color rgb="FFF8696B"/>
      </colorScale>
    </cfRule>
    <cfRule type="colorScale" priority="8522">
      <colorScale>
        <cfvo type="min"/>
        <cfvo type="percentile" val="50"/>
        <cfvo type="max"/>
        <color rgb="FF63BE7B"/>
        <color rgb="FFFFEB84"/>
        <color rgb="FFF8696B"/>
      </colorScale>
    </cfRule>
    <cfRule type="colorScale" priority="10647">
      <colorScale>
        <cfvo type="min"/>
        <cfvo type="percentile" val="50"/>
        <cfvo type="max"/>
        <color rgb="FF63BE7B"/>
        <color rgb="FFFFEB84"/>
        <color rgb="FFF8696B"/>
      </colorScale>
    </cfRule>
    <cfRule type="colorScale" priority="10648">
      <colorScale>
        <cfvo type="min"/>
        <cfvo type="percentile" val="50"/>
        <cfvo type="max"/>
        <color rgb="FF63BE7B"/>
        <color rgb="FFFFEB84"/>
        <color rgb="FFF8696B"/>
      </colorScale>
    </cfRule>
    <cfRule type="colorScale" priority="10650">
      <colorScale>
        <cfvo type="min"/>
        <cfvo type="percentile" val="50"/>
        <cfvo type="max"/>
        <color rgb="FF63BE7B"/>
        <color rgb="FFFFEB84"/>
        <color rgb="FFF8696B"/>
      </colorScale>
    </cfRule>
    <cfRule type="colorScale" priority="10651">
      <colorScale>
        <cfvo type="min"/>
        <cfvo type="percentile" val="50"/>
        <cfvo type="max"/>
        <color rgb="FF63BE7B"/>
        <color rgb="FFFFEB84"/>
        <color rgb="FFF8696B"/>
      </colorScale>
    </cfRule>
    <cfRule type="colorScale" priority="10652">
      <colorScale>
        <cfvo type="min"/>
        <cfvo type="percentile" val="50"/>
        <cfvo type="max"/>
        <color rgb="FF63BE7B"/>
        <color rgb="FFFFEB84"/>
        <color rgb="FFF8696B"/>
      </colorScale>
    </cfRule>
    <cfRule type="colorScale" priority="10653">
      <colorScale>
        <cfvo type="min"/>
        <cfvo type="percentile" val="50"/>
        <cfvo type="max"/>
        <color rgb="FF63BE7B"/>
        <color rgb="FFFFEB84"/>
        <color rgb="FFF8696B"/>
      </colorScale>
    </cfRule>
    <cfRule type="colorScale" priority="10654">
      <colorScale>
        <cfvo type="min"/>
        <cfvo type="percentile" val="50"/>
        <cfvo type="max"/>
        <color rgb="FF63BE7B"/>
        <color rgb="FFFFEB84"/>
        <color rgb="FFF8696B"/>
      </colorScale>
    </cfRule>
    <cfRule type="colorScale" priority="10655">
      <colorScale>
        <cfvo type="min"/>
        <cfvo type="percentile" val="50"/>
        <cfvo type="max"/>
        <color rgb="FF63BE7B"/>
        <color rgb="FFFFEB84"/>
        <color rgb="FFF8696B"/>
      </colorScale>
    </cfRule>
    <cfRule type="colorScale" priority="10656">
      <colorScale>
        <cfvo type="min"/>
        <cfvo type="percentile" val="50"/>
        <cfvo type="max"/>
        <color rgb="FF63BE7B"/>
        <color rgb="FFFFEB84"/>
        <color rgb="FFF8696B"/>
      </colorScale>
    </cfRule>
    <cfRule type="colorScale" priority="10657">
      <colorScale>
        <cfvo type="min"/>
        <cfvo type="percentile" val="50"/>
        <cfvo type="max"/>
        <color rgb="FF63BE7B"/>
        <color rgb="FFFFEB84"/>
        <color rgb="FFF8696B"/>
      </colorScale>
    </cfRule>
    <cfRule type="colorScale" priority="10658">
      <colorScale>
        <cfvo type="min"/>
        <cfvo type="percentile" val="50"/>
        <cfvo type="max"/>
        <color rgb="FF63BE7B"/>
        <color rgb="FFFFEB84"/>
        <color rgb="FFF8696B"/>
      </colorScale>
    </cfRule>
    <cfRule type="colorScale" priority="10659">
      <colorScale>
        <cfvo type="min"/>
        <cfvo type="percentile" val="50"/>
        <cfvo type="max"/>
        <color rgb="FF63BE7B"/>
        <color rgb="FFFFEB84"/>
        <color rgb="FFF8696B"/>
      </colorScale>
    </cfRule>
    <cfRule type="colorScale" priority="10661">
      <colorScale>
        <cfvo type="min"/>
        <cfvo type="percentile" val="50"/>
        <cfvo type="max"/>
        <color rgb="FF63BE7B"/>
        <color rgb="FFFFEB84"/>
        <color rgb="FFF8696B"/>
      </colorScale>
    </cfRule>
    <cfRule type="colorScale" priority="10662">
      <colorScale>
        <cfvo type="min"/>
        <cfvo type="percentile" val="50"/>
        <cfvo type="max"/>
        <color rgb="FF63BE7B"/>
        <color rgb="FFFFEB84"/>
        <color rgb="FFF8696B"/>
      </colorScale>
    </cfRule>
    <cfRule type="colorScale" priority="10663">
      <colorScale>
        <cfvo type="min"/>
        <cfvo type="percentile" val="50"/>
        <cfvo type="max"/>
        <color rgb="FF63BE7B"/>
        <color rgb="FFFFEB84"/>
        <color rgb="FFF8696B"/>
      </colorScale>
    </cfRule>
    <cfRule type="colorScale" priority="10664">
      <colorScale>
        <cfvo type="min"/>
        <cfvo type="percentile" val="50"/>
        <cfvo type="max"/>
        <color rgb="FF63BE7B"/>
        <color rgb="FFFFEB84"/>
        <color rgb="FFF8696B"/>
      </colorScale>
    </cfRule>
    <cfRule type="colorScale" priority="10665">
      <colorScale>
        <cfvo type="min"/>
        <cfvo type="percentile" val="50"/>
        <cfvo type="max"/>
        <color rgb="FF63BE7B"/>
        <color rgb="FFFFEB84"/>
        <color rgb="FFF8696B"/>
      </colorScale>
    </cfRule>
    <cfRule type="colorScale" priority="8523">
      <colorScale>
        <cfvo type="min"/>
        <cfvo type="percentile" val="50"/>
        <cfvo type="max"/>
        <color rgb="FF63BE7B"/>
        <color rgb="FFFFEB84"/>
        <color rgb="FFF8696B"/>
      </colorScale>
    </cfRule>
    <cfRule type="colorScale" priority="8524">
      <colorScale>
        <cfvo type="min"/>
        <cfvo type="percentile" val="50"/>
        <cfvo type="max"/>
        <color rgb="FF63BE7B"/>
        <color rgb="FFFFEB84"/>
        <color rgb="FFF8696B"/>
      </colorScale>
    </cfRule>
    <cfRule type="colorScale" priority="8525">
      <colorScale>
        <cfvo type="min"/>
        <cfvo type="percentile" val="50"/>
        <cfvo type="max"/>
        <color rgb="FF63BE7B"/>
        <color rgb="FFFFEB84"/>
        <color rgb="FFF8696B"/>
      </colorScale>
    </cfRule>
    <cfRule type="colorScale" priority="8526">
      <colorScale>
        <cfvo type="min"/>
        <cfvo type="percentile" val="50"/>
        <cfvo type="max"/>
        <color rgb="FF63BE7B"/>
        <color rgb="FFFFEB84"/>
        <color rgb="FFF8696B"/>
      </colorScale>
    </cfRule>
    <cfRule type="colorScale" priority="8528">
      <colorScale>
        <cfvo type="min"/>
        <cfvo type="percentile" val="50"/>
        <cfvo type="max"/>
        <color rgb="FF63BE7B"/>
        <color rgb="FFFFEB84"/>
        <color rgb="FFF8696B"/>
      </colorScale>
    </cfRule>
    <cfRule type="colorScale" priority="8529">
      <colorScale>
        <cfvo type="min"/>
        <cfvo type="percentile" val="50"/>
        <cfvo type="max"/>
        <color rgb="FF63BE7B"/>
        <color rgb="FFFFEB84"/>
        <color rgb="FFF8696B"/>
      </colorScale>
    </cfRule>
    <cfRule type="colorScale" priority="8530">
      <colorScale>
        <cfvo type="min"/>
        <cfvo type="percentile" val="50"/>
        <cfvo type="max"/>
        <color rgb="FF63BE7B"/>
        <color rgb="FFFFEB84"/>
        <color rgb="FFF8696B"/>
      </colorScale>
    </cfRule>
    <cfRule type="colorScale" priority="8531">
      <colorScale>
        <cfvo type="min"/>
        <cfvo type="percentile" val="50"/>
        <cfvo type="max"/>
        <color rgb="FF63BE7B"/>
        <color rgb="FFFFEB84"/>
        <color rgb="FFF8696B"/>
      </colorScale>
    </cfRule>
    <cfRule type="colorScale" priority="10660">
      <colorScale>
        <cfvo type="min"/>
        <cfvo type="percentile" val="50"/>
        <cfvo type="max"/>
        <color rgb="FF63BE7B"/>
        <color rgb="FFFFEB84"/>
        <color rgb="FFF8696B"/>
      </colorScale>
    </cfRule>
    <cfRule type="colorScale" priority="8504">
      <colorScale>
        <cfvo type="min"/>
        <cfvo type="percentile" val="50"/>
        <cfvo type="max"/>
        <color rgb="FF63BE7B"/>
        <color rgb="FFFFEB84"/>
        <color rgb="FFF8696B"/>
      </colorScale>
    </cfRule>
    <cfRule type="colorScale" priority="9719">
      <colorScale>
        <cfvo type="min"/>
        <cfvo type="percentile" val="50"/>
        <cfvo type="max"/>
        <color rgb="FF63BE7B"/>
        <color rgb="FFFFEB84"/>
        <color rgb="FFF8696B"/>
      </colorScale>
    </cfRule>
    <cfRule type="colorScale" priority="9720">
      <colorScale>
        <cfvo type="min"/>
        <cfvo type="percentile" val="50"/>
        <cfvo type="max"/>
        <color rgb="FF63BE7B"/>
        <color rgb="FFFFEB84"/>
        <color rgb="FFF8696B"/>
      </colorScale>
    </cfRule>
    <cfRule type="colorScale" priority="9721">
      <colorScale>
        <cfvo type="min"/>
        <cfvo type="percentile" val="50"/>
        <cfvo type="max"/>
        <color rgb="FF63BE7B"/>
        <color rgb="FFFFEB84"/>
        <color rgb="FFF8696B"/>
      </colorScale>
    </cfRule>
    <cfRule type="colorScale" priority="9722">
      <colorScale>
        <cfvo type="min"/>
        <cfvo type="percentile" val="50"/>
        <cfvo type="max"/>
        <color rgb="FF63BE7B"/>
        <color rgb="FFFFEB84"/>
        <color rgb="FFF8696B"/>
      </colorScale>
    </cfRule>
    <cfRule type="colorScale" priority="9723">
      <colorScale>
        <cfvo type="min"/>
        <cfvo type="percentile" val="50"/>
        <cfvo type="max"/>
        <color rgb="FF63BE7B"/>
        <color rgb="FFFFEB84"/>
        <color rgb="FFF8696B"/>
      </colorScale>
    </cfRule>
    <cfRule type="colorScale" priority="9724">
      <colorScale>
        <cfvo type="min"/>
        <cfvo type="percentile" val="50"/>
        <cfvo type="max"/>
        <color rgb="FF63BE7B"/>
        <color rgb="FFFFEB84"/>
        <color rgb="FFF8696B"/>
      </colorScale>
    </cfRule>
    <cfRule type="colorScale" priority="9725">
      <colorScale>
        <cfvo type="min"/>
        <cfvo type="percentile" val="50"/>
        <cfvo type="max"/>
        <color rgb="FF63BE7B"/>
        <color rgb="FFFFEB84"/>
        <color rgb="FFF8696B"/>
      </colorScale>
    </cfRule>
    <cfRule type="colorScale" priority="8507">
      <colorScale>
        <cfvo type="min"/>
        <cfvo type="percentile" val="50"/>
        <cfvo type="max"/>
        <color rgb="FF63BE7B"/>
        <color rgb="FFFFEB84"/>
        <color rgb="FFF8696B"/>
      </colorScale>
    </cfRule>
    <cfRule type="colorScale" priority="9728">
      <colorScale>
        <cfvo type="min"/>
        <cfvo type="percentile" val="50"/>
        <cfvo type="max"/>
        <color rgb="FF63BE7B"/>
        <color rgb="FFFFEB84"/>
        <color rgb="FFF8696B"/>
      </colorScale>
    </cfRule>
    <cfRule type="colorScale" priority="8508">
      <colorScale>
        <cfvo type="min"/>
        <cfvo type="percentile" val="50"/>
        <cfvo type="max"/>
        <color rgb="FF63BE7B"/>
        <color rgb="FFFFEB84"/>
        <color rgb="FFF8696B"/>
      </colorScale>
    </cfRule>
    <cfRule type="colorScale" priority="8509">
      <colorScale>
        <cfvo type="min"/>
        <cfvo type="percentile" val="50"/>
        <cfvo type="max"/>
        <color rgb="FF63BE7B"/>
        <color rgb="FFFFEB84"/>
        <color rgb="FFF8696B"/>
      </colorScale>
    </cfRule>
    <cfRule type="colorScale" priority="8506">
      <colorScale>
        <cfvo type="min"/>
        <cfvo type="percentile" val="50"/>
        <cfvo type="max"/>
        <color rgb="FF63BE7B"/>
        <color rgb="FFFFEB84"/>
        <color rgb="FFF8696B"/>
      </colorScale>
    </cfRule>
  </conditionalFormatting>
  <conditionalFormatting sqref="AT36:AT37">
    <cfRule type="colorScale" priority="9716">
      <colorScale>
        <cfvo type="min"/>
        <cfvo type="percentile" val="50"/>
        <cfvo type="max"/>
        <color rgb="FF63BE7B"/>
        <color rgb="FFFFEB84"/>
        <color rgb="FFF8696B"/>
      </colorScale>
    </cfRule>
    <cfRule type="colorScale" priority="8517">
      <colorScale>
        <cfvo type="min"/>
        <cfvo type="percentile" val="50"/>
        <cfvo type="max"/>
        <color rgb="FF63BE7B"/>
        <color rgb="FFFFEB84"/>
        <color rgb="FFF8696B"/>
      </colorScale>
    </cfRule>
    <cfRule type="colorScale" priority="8544">
      <colorScale>
        <cfvo type="min"/>
        <cfvo type="percentile" val="50"/>
        <cfvo type="max"/>
        <color rgb="FF63BE7B"/>
        <color rgb="FFFFEB84"/>
        <color rgb="FFF8696B"/>
      </colorScale>
    </cfRule>
  </conditionalFormatting>
  <conditionalFormatting sqref="AT36:AT41">
    <cfRule type="colorScale" priority="8554">
      <colorScale>
        <cfvo type="min"/>
        <cfvo type="percentile" val="50"/>
        <cfvo type="max"/>
        <color rgb="FF63BE7B"/>
        <color rgb="FFFFEB84"/>
        <color rgb="FFF8696B"/>
      </colorScale>
    </cfRule>
    <cfRule type="colorScale" priority="8527">
      <colorScale>
        <cfvo type="min"/>
        <cfvo type="percentile" val="50"/>
        <cfvo type="max"/>
        <color rgb="FF63BE7B"/>
        <color rgb="FFFFEB84"/>
        <color rgb="FFF8696B"/>
      </colorScale>
    </cfRule>
    <cfRule type="colorScale" priority="9726">
      <colorScale>
        <cfvo type="min"/>
        <cfvo type="percentile" val="50"/>
        <cfvo type="max"/>
        <color rgb="FF63BE7B"/>
        <color rgb="FFFFEB84"/>
        <color rgb="FFF8696B"/>
      </colorScale>
    </cfRule>
  </conditionalFormatting>
  <conditionalFormatting sqref="AT42:AT45">
    <cfRule type="colorScale" priority="12946">
      <colorScale>
        <cfvo type="min"/>
        <cfvo type="percentile" val="50"/>
        <cfvo type="max"/>
        <color rgb="FF63BE7B"/>
        <color rgb="FFFFEB84"/>
        <color rgb="FFF8696B"/>
      </colorScale>
    </cfRule>
  </conditionalFormatting>
  <conditionalFormatting sqref="AT42:AT50">
    <cfRule type="colorScale" priority="7429">
      <colorScale>
        <cfvo type="min"/>
        <cfvo type="percentile" val="50"/>
        <cfvo type="max"/>
        <color rgb="FF63BE7B"/>
        <color rgb="FFFFEB84"/>
        <color rgb="FFF8696B"/>
      </colorScale>
    </cfRule>
  </conditionalFormatting>
  <conditionalFormatting sqref="AT51:AT53">
    <cfRule type="colorScale" priority="3586">
      <colorScale>
        <cfvo type="min"/>
        <cfvo type="percentile" val="50"/>
        <cfvo type="max"/>
        <color rgb="FF63BE7B"/>
        <color rgb="FFFFEB84"/>
        <color rgb="FFF8696B"/>
      </colorScale>
    </cfRule>
    <cfRule type="colorScale" priority="3614">
      <colorScale>
        <cfvo type="min"/>
        <cfvo type="percentile" val="50"/>
        <cfvo type="max"/>
        <color rgb="FF63BE7B"/>
        <color rgb="FFFFEB84"/>
        <color rgb="FFF8696B"/>
      </colorScale>
    </cfRule>
    <cfRule type="colorScale" priority="3613">
      <colorScale>
        <cfvo type="min"/>
        <cfvo type="percentile" val="50"/>
        <cfvo type="max"/>
        <color rgb="FF63BE7B"/>
        <color rgb="FFFFEB84"/>
        <color rgb="FFF8696B"/>
      </colorScale>
    </cfRule>
  </conditionalFormatting>
  <conditionalFormatting sqref="AT52:AT53 AE52:AE53 Q52:Q53">
    <cfRule type="colorScale" priority="7107">
      <colorScale>
        <cfvo type="min"/>
        <cfvo type="percentile" val="50"/>
        <cfvo type="max"/>
        <color rgb="FF63BE7B"/>
        <color rgb="FFFFEB84"/>
        <color rgb="FFF8696B"/>
      </colorScale>
    </cfRule>
    <cfRule type="colorScale" priority="7106">
      <colorScale>
        <cfvo type="min"/>
        <cfvo type="percentile" val="50"/>
        <cfvo type="max"/>
        <color rgb="FF63BE7B"/>
        <color rgb="FFFFEB84"/>
        <color rgb="FFF8696B"/>
      </colorScale>
    </cfRule>
    <cfRule type="colorScale" priority="7105">
      <colorScale>
        <cfvo type="min"/>
        <cfvo type="percentile" val="50"/>
        <cfvo type="max"/>
        <color rgb="FF63BE7B"/>
        <color rgb="FFFFEB84"/>
        <color rgb="FFF8696B"/>
      </colorScale>
    </cfRule>
    <cfRule type="colorScale" priority="7262">
      <colorScale>
        <cfvo type="min"/>
        <cfvo type="percentile" val="50"/>
        <cfvo type="max"/>
        <color rgb="FF63BE7B"/>
        <color rgb="FFFFEB84"/>
        <color rgb="FFF8696B"/>
      </colorScale>
    </cfRule>
    <cfRule type="colorScale" priority="7104">
      <colorScale>
        <cfvo type="min"/>
        <cfvo type="percentile" val="50"/>
        <cfvo type="max"/>
        <color rgb="FF63BE7B"/>
        <color rgb="FFFFEB84"/>
        <color rgb="FFF8696B"/>
      </colorScale>
    </cfRule>
  </conditionalFormatting>
  <conditionalFormatting sqref="AT52:AT53">
    <cfRule type="colorScale" priority="6549">
      <colorScale>
        <cfvo type="min"/>
        <cfvo type="percentile" val="50"/>
        <cfvo type="max"/>
        <color rgb="FF63BE7B"/>
        <color rgb="FFFFEB84"/>
        <color rgb="FFF8696B"/>
      </colorScale>
    </cfRule>
    <cfRule type="colorScale" priority="6548">
      <colorScale>
        <cfvo type="min"/>
        <cfvo type="percentile" val="50"/>
        <cfvo type="max"/>
        <color rgb="FF63BE7B"/>
        <color rgb="FFFFEB84"/>
        <color rgb="FFF8696B"/>
      </colorScale>
    </cfRule>
    <cfRule type="colorScale" priority="6547">
      <colorScale>
        <cfvo type="min"/>
        <cfvo type="percentile" val="50"/>
        <cfvo type="max"/>
        <color rgb="FF63BE7B"/>
        <color rgb="FFFFEB84"/>
        <color rgb="FFF8696B"/>
      </colorScale>
    </cfRule>
    <cfRule type="colorScale" priority="6546">
      <colorScale>
        <cfvo type="min"/>
        <cfvo type="percentile" val="50"/>
        <cfvo type="max"/>
        <color rgb="FF63BE7B"/>
        <color rgb="FFFFEB84"/>
        <color rgb="FFF8696B"/>
      </colorScale>
    </cfRule>
    <cfRule type="colorScale" priority="6545">
      <colorScale>
        <cfvo type="min"/>
        <cfvo type="percentile" val="50"/>
        <cfvo type="max"/>
        <color rgb="FF63BE7B"/>
        <color rgb="FFFFEB84"/>
        <color rgb="FFF8696B"/>
      </colorScale>
    </cfRule>
    <cfRule type="colorScale" priority="6544">
      <colorScale>
        <cfvo type="min"/>
        <cfvo type="percentile" val="50"/>
        <cfvo type="max"/>
        <color rgb="FF63BE7B"/>
        <color rgb="FFFFEB84"/>
        <color rgb="FFF8696B"/>
      </colorScale>
    </cfRule>
    <cfRule type="colorScale" priority="6543">
      <colorScale>
        <cfvo type="min"/>
        <cfvo type="percentile" val="50"/>
        <cfvo type="max"/>
        <color rgb="FF63BE7B"/>
        <color rgb="FFFFEB84"/>
        <color rgb="FFF8696B"/>
      </colorScale>
    </cfRule>
    <cfRule type="colorScale" priority="6542">
      <colorScale>
        <cfvo type="min"/>
        <cfvo type="percentile" val="50"/>
        <cfvo type="max"/>
        <color rgb="FF63BE7B"/>
        <color rgb="FFFFEB84"/>
        <color rgb="FFF8696B"/>
      </colorScale>
    </cfRule>
    <cfRule type="colorScale" priority="6541">
      <colorScale>
        <cfvo type="min"/>
        <cfvo type="percentile" val="50"/>
        <cfvo type="max"/>
        <color rgb="FF63BE7B"/>
        <color rgb="FFFFEB84"/>
        <color rgb="FFF8696B"/>
      </colorScale>
    </cfRule>
    <cfRule type="colorScale" priority="6540">
      <colorScale>
        <cfvo type="min"/>
        <cfvo type="percentile" val="50"/>
        <cfvo type="max"/>
        <color rgb="FF63BE7B"/>
        <color rgb="FFFFEB84"/>
        <color rgb="FFF8696B"/>
      </colorScale>
    </cfRule>
    <cfRule type="colorScale" priority="6539">
      <colorScale>
        <cfvo type="min"/>
        <cfvo type="percentile" val="50"/>
        <cfvo type="max"/>
        <color rgb="FF63BE7B"/>
        <color rgb="FFFFEB84"/>
        <color rgb="FFF8696B"/>
      </colorScale>
    </cfRule>
    <cfRule type="colorScale" priority="6538">
      <colorScale>
        <cfvo type="min"/>
        <cfvo type="percentile" val="50"/>
        <cfvo type="max"/>
        <color rgb="FF63BE7B"/>
        <color rgb="FFFFEB84"/>
        <color rgb="FFF8696B"/>
      </colorScale>
    </cfRule>
    <cfRule type="colorScale" priority="6537">
      <colorScale>
        <cfvo type="min"/>
        <cfvo type="percentile" val="50"/>
        <cfvo type="max"/>
        <color rgb="FF63BE7B"/>
        <color rgb="FFFFEB84"/>
        <color rgb="FFF8696B"/>
      </colorScale>
    </cfRule>
    <cfRule type="colorScale" priority="6536">
      <colorScale>
        <cfvo type="min"/>
        <cfvo type="percentile" val="50"/>
        <cfvo type="max"/>
        <color rgb="FF63BE7B"/>
        <color rgb="FFFFEB84"/>
        <color rgb="FFF8696B"/>
      </colorScale>
    </cfRule>
    <cfRule type="colorScale" priority="6535">
      <colorScale>
        <cfvo type="min"/>
        <cfvo type="percentile" val="50"/>
        <cfvo type="max"/>
        <color rgb="FF63BE7B"/>
        <color rgb="FFFFEB84"/>
        <color rgb="FFF8696B"/>
      </colorScale>
    </cfRule>
    <cfRule type="colorScale" priority="6534">
      <colorScale>
        <cfvo type="min"/>
        <cfvo type="percentile" val="50"/>
        <cfvo type="max"/>
        <color rgb="FF63BE7B"/>
        <color rgb="FFFFEB84"/>
        <color rgb="FFF8696B"/>
      </colorScale>
    </cfRule>
    <cfRule type="colorScale" priority="6533">
      <colorScale>
        <cfvo type="min"/>
        <cfvo type="percentile" val="50"/>
        <cfvo type="max"/>
        <color rgb="FF63BE7B"/>
        <color rgb="FFFFEB84"/>
        <color rgb="FFF8696B"/>
      </colorScale>
    </cfRule>
    <cfRule type="colorScale" priority="5937">
      <colorScale>
        <cfvo type="min"/>
        <cfvo type="percentile" val="50"/>
        <cfvo type="max"/>
        <color rgb="FF63BE7B"/>
        <color rgb="FFFFEB84"/>
        <color rgb="FFF8696B"/>
      </colorScale>
    </cfRule>
    <cfRule type="colorScale" priority="5938">
      <colorScale>
        <cfvo type="min"/>
        <cfvo type="percentile" val="50"/>
        <cfvo type="max"/>
        <color rgb="FF63BE7B"/>
        <color rgb="FFFFEB84"/>
        <color rgb="FFF8696B"/>
      </colorScale>
    </cfRule>
    <cfRule type="colorScale" priority="5939">
      <colorScale>
        <cfvo type="min"/>
        <cfvo type="percentile" val="50"/>
        <cfvo type="max"/>
        <color rgb="FF63BE7B"/>
        <color rgb="FFFFEB84"/>
        <color rgb="FFF8696B"/>
      </colorScale>
    </cfRule>
    <cfRule type="colorScale" priority="5940">
      <colorScale>
        <cfvo type="min"/>
        <cfvo type="percentile" val="50"/>
        <cfvo type="max"/>
        <color rgb="FF63BE7B"/>
        <color rgb="FFFFEB84"/>
        <color rgb="FFF8696B"/>
      </colorScale>
    </cfRule>
    <cfRule type="colorScale" priority="5941">
      <colorScale>
        <cfvo type="min"/>
        <cfvo type="percentile" val="50"/>
        <cfvo type="max"/>
        <color rgb="FF63BE7B"/>
        <color rgb="FFFFEB84"/>
        <color rgb="FFF8696B"/>
      </colorScale>
    </cfRule>
    <cfRule type="colorScale" priority="5942">
      <colorScale>
        <cfvo type="min"/>
        <cfvo type="percentile" val="50"/>
        <cfvo type="max"/>
        <color rgb="FF63BE7B"/>
        <color rgb="FFFFEB84"/>
        <color rgb="FFF8696B"/>
      </colorScale>
    </cfRule>
    <cfRule type="colorScale" priority="5943">
      <colorScale>
        <cfvo type="min"/>
        <cfvo type="percentile" val="50"/>
        <cfvo type="max"/>
        <color rgb="FF63BE7B"/>
        <color rgb="FFFFEB84"/>
        <color rgb="FFF8696B"/>
      </colorScale>
    </cfRule>
    <cfRule type="colorScale" priority="5944">
      <colorScale>
        <cfvo type="min"/>
        <cfvo type="percentile" val="50"/>
        <cfvo type="max"/>
        <color rgb="FF63BE7B"/>
        <color rgb="FFFFEB84"/>
        <color rgb="FFF8696B"/>
      </colorScale>
    </cfRule>
    <cfRule type="colorScale" priority="5945">
      <colorScale>
        <cfvo type="min"/>
        <cfvo type="percentile" val="50"/>
        <cfvo type="max"/>
        <color rgb="FF63BE7B"/>
        <color rgb="FFFFEB84"/>
        <color rgb="FFF8696B"/>
      </colorScale>
    </cfRule>
    <cfRule type="colorScale" priority="5946">
      <colorScale>
        <cfvo type="min"/>
        <cfvo type="percentile" val="50"/>
        <cfvo type="max"/>
        <color rgb="FF63BE7B"/>
        <color rgb="FFFFEB84"/>
        <color rgb="FFF8696B"/>
      </colorScale>
    </cfRule>
    <cfRule type="colorScale" priority="5947">
      <colorScale>
        <cfvo type="min"/>
        <cfvo type="percentile" val="50"/>
        <cfvo type="max"/>
        <color rgb="FF63BE7B"/>
        <color rgb="FFFFEB84"/>
        <color rgb="FFF8696B"/>
      </colorScale>
    </cfRule>
    <cfRule type="colorScale" priority="5948">
      <colorScale>
        <cfvo type="min"/>
        <cfvo type="percentile" val="50"/>
        <cfvo type="max"/>
        <color rgb="FF63BE7B"/>
        <color rgb="FFFFEB84"/>
        <color rgb="FFF8696B"/>
      </colorScale>
    </cfRule>
    <cfRule type="colorScale" priority="5949">
      <colorScale>
        <cfvo type="min"/>
        <cfvo type="percentile" val="50"/>
        <cfvo type="max"/>
        <color rgb="FF63BE7B"/>
        <color rgb="FFFFEB84"/>
        <color rgb="FFF8696B"/>
      </colorScale>
    </cfRule>
    <cfRule type="colorScale" priority="5950">
      <colorScale>
        <cfvo type="min"/>
        <cfvo type="percentile" val="50"/>
        <cfvo type="max"/>
        <color rgb="FF63BE7B"/>
        <color rgb="FFFFEB84"/>
        <color rgb="FFF8696B"/>
      </colorScale>
    </cfRule>
    <cfRule type="colorScale" priority="5951">
      <colorScale>
        <cfvo type="min"/>
        <cfvo type="percentile" val="50"/>
        <cfvo type="max"/>
        <color rgb="FF63BE7B"/>
        <color rgb="FFFFEB84"/>
        <color rgb="FFF8696B"/>
      </colorScale>
    </cfRule>
    <cfRule type="colorScale" priority="5952">
      <colorScale>
        <cfvo type="min"/>
        <cfvo type="percentile" val="50"/>
        <cfvo type="max"/>
        <color rgb="FF63BE7B"/>
        <color rgb="FFFFEB84"/>
        <color rgb="FFF8696B"/>
      </colorScale>
    </cfRule>
    <cfRule type="colorScale" priority="5953">
      <colorScale>
        <cfvo type="min"/>
        <cfvo type="percentile" val="50"/>
        <cfvo type="max"/>
        <color rgb="FF63BE7B"/>
        <color rgb="FFFFEB84"/>
        <color rgb="FFF8696B"/>
      </colorScale>
    </cfRule>
    <cfRule type="colorScale" priority="5954">
      <colorScale>
        <cfvo type="min"/>
        <cfvo type="percentile" val="50"/>
        <cfvo type="max"/>
        <color rgb="FF63BE7B"/>
        <color rgb="FFFFEB84"/>
        <color rgb="FFF8696B"/>
      </colorScale>
    </cfRule>
    <cfRule type="colorScale" priority="5955">
      <colorScale>
        <cfvo type="min"/>
        <cfvo type="percentile" val="50"/>
        <cfvo type="max"/>
        <color rgb="FF63BE7B"/>
        <color rgb="FFFFEB84"/>
        <color rgb="FFF8696B"/>
      </colorScale>
    </cfRule>
    <cfRule type="colorScale" priority="3587">
      <colorScale>
        <cfvo type="min"/>
        <cfvo type="percentile" val="50"/>
        <cfvo type="max"/>
        <color rgb="FF63BE7B"/>
        <color rgb="FFFFEB84"/>
        <color rgb="FFF8696B"/>
      </colorScale>
    </cfRule>
    <cfRule type="colorScale" priority="5406">
      <colorScale>
        <cfvo type="min"/>
        <cfvo type="percentile" val="50"/>
        <cfvo type="max"/>
        <color rgb="FF63BE7B"/>
        <color rgb="FFFFEB84"/>
        <color rgb="FFF8696B"/>
      </colorScale>
    </cfRule>
    <cfRule type="colorScale" priority="3612">
      <colorScale>
        <cfvo type="min"/>
        <cfvo type="percentile" val="50"/>
        <cfvo type="max"/>
        <color rgb="FF63BE7B"/>
        <color rgb="FFFFEB84"/>
        <color rgb="FFF8696B"/>
      </colorScale>
    </cfRule>
    <cfRule type="colorScale" priority="3611">
      <colorScale>
        <cfvo type="min"/>
        <cfvo type="percentile" val="50"/>
        <cfvo type="max"/>
        <color rgb="FF63BE7B"/>
        <color rgb="FFFFEB84"/>
        <color rgb="FFF8696B"/>
      </colorScale>
    </cfRule>
    <cfRule type="colorScale" priority="3610">
      <colorScale>
        <cfvo type="min"/>
        <cfvo type="percentile" val="50"/>
        <cfvo type="max"/>
        <color rgb="FF63BE7B"/>
        <color rgb="FFFFEB84"/>
        <color rgb="FFF8696B"/>
      </colorScale>
    </cfRule>
    <cfRule type="colorScale" priority="3609">
      <colorScale>
        <cfvo type="min"/>
        <cfvo type="percentile" val="50"/>
        <cfvo type="max"/>
        <color rgb="FF63BE7B"/>
        <color rgb="FFFFEB84"/>
        <color rgb="FFF8696B"/>
      </colorScale>
    </cfRule>
    <cfRule type="colorScale" priority="3608">
      <colorScale>
        <cfvo type="min"/>
        <cfvo type="percentile" val="50"/>
        <cfvo type="max"/>
        <color rgb="FF63BE7B"/>
        <color rgb="FFFFEB84"/>
        <color rgb="FFF8696B"/>
      </colorScale>
    </cfRule>
    <cfRule type="colorScale" priority="3607">
      <colorScale>
        <cfvo type="min"/>
        <cfvo type="percentile" val="50"/>
        <cfvo type="max"/>
        <color rgb="FF63BE7B"/>
        <color rgb="FFFFEB84"/>
        <color rgb="FFF8696B"/>
      </colorScale>
    </cfRule>
    <cfRule type="colorScale" priority="3606">
      <colorScale>
        <cfvo type="min"/>
        <cfvo type="percentile" val="50"/>
        <cfvo type="max"/>
        <color rgb="FF63BE7B"/>
        <color rgb="FFFFEB84"/>
        <color rgb="FFF8696B"/>
      </colorScale>
    </cfRule>
    <cfRule type="colorScale" priority="3605">
      <colorScale>
        <cfvo type="min"/>
        <cfvo type="percentile" val="50"/>
        <cfvo type="max"/>
        <color rgb="FF63BE7B"/>
        <color rgb="FFFFEB84"/>
        <color rgb="FFF8696B"/>
      </colorScale>
    </cfRule>
    <cfRule type="colorScale" priority="3604">
      <colorScale>
        <cfvo type="min"/>
        <cfvo type="percentile" val="50"/>
        <cfvo type="max"/>
        <color rgb="FF63BE7B"/>
        <color rgb="FFFFEB84"/>
        <color rgb="FFF8696B"/>
      </colorScale>
    </cfRule>
    <cfRule type="colorScale" priority="3603">
      <colorScale>
        <cfvo type="min"/>
        <cfvo type="percentile" val="50"/>
        <cfvo type="max"/>
        <color rgb="FF63BE7B"/>
        <color rgb="FFFFEB84"/>
        <color rgb="FFF8696B"/>
      </colorScale>
    </cfRule>
    <cfRule type="colorScale" priority="3602">
      <colorScale>
        <cfvo type="min"/>
        <cfvo type="percentile" val="50"/>
        <cfvo type="max"/>
        <color rgb="FF63BE7B"/>
        <color rgb="FFFFEB84"/>
        <color rgb="FFF8696B"/>
      </colorScale>
    </cfRule>
    <cfRule type="colorScale" priority="3601">
      <colorScale>
        <cfvo type="min"/>
        <cfvo type="percentile" val="50"/>
        <cfvo type="max"/>
        <color rgb="FF63BE7B"/>
        <color rgb="FFFFEB84"/>
        <color rgb="FFF8696B"/>
      </colorScale>
    </cfRule>
    <cfRule type="colorScale" priority="3600">
      <colorScale>
        <cfvo type="min"/>
        <cfvo type="percentile" val="50"/>
        <cfvo type="max"/>
        <color rgb="FF63BE7B"/>
        <color rgb="FFFFEB84"/>
        <color rgb="FFF8696B"/>
      </colorScale>
    </cfRule>
    <cfRule type="colorScale" priority="3599">
      <colorScale>
        <cfvo type="min"/>
        <cfvo type="percentile" val="50"/>
        <cfvo type="max"/>
        <color rgb="FF63BE7B"/>
        <color rgb="FFFFEB84"/>
        <color rgb="FFF8696B"/>
      </colorScale>
    </cfRule>
    <cfRule type="colorScale" priority="3598">
      <colorScale>
        <cfvo type="min"/>
        <cfvo type="percentile" val="50"/>
        <cfvo type="max"/>
        <color rgb="FF63BE7B"/>
        <color rgb="FFFFEB84"/>
        <color rgb="FFF8696B"/>
      </colorScale>
    </cfRule>
    <cfRule type="colorScale" priority="3597">
      <colorScale>
        <cfvo type="min"/>
        <cfvo type="percentile" val="50"/>
        <cfvo type="max"/>
        <color rgb="FF63BE7B"/>
        <color rgb="FFFFEB84"/>
        <color rgb="FFF8696B"/>
      </colorScale>
    </cfRule>
    <cfRule type="colorScale" priority="3596">
      <colorScale>
        <cfvo type="min"/>
        <cfvo type="percentile" val="50"/>
        <cfvo type="max"/>
        <color rgb="FF63BE7B"/>
        <color rgb="FFFFEB84"/>
        <color rgb="FFF8696B"/>
      </colorScale>
    </cfRule>
    <cfRule type="colorScale" priority="3595">
      <colorScale>
        <cfvo type="min"/>
        <cfvo type="percentile" val="50"/>
        <cfvo type="max"/>
        <color rgb="FF63BE7B"/>
        <color rgb="FFFFEB84"/>
        <color rgb="FFF8696B"/>
      </colorScale>
    </cfRule>
    <cfRule type="colorScale" priority="3594">
      <colorScale>
        <cfvo type="min"/>
        <cfvo type="percentile" val="50"/>
        <cfvo type="max"/>
        <color rgb="FF63BE7B"/>
        <color rgb="FFFFEB84"/>
        <color rgb="FFF8696B"/>
      </colorScale>
    </cfRule>
    <cfRule type="colorScale" priority="3593">
      <colorScale>
        <cfvo type="min"/>
        <cfvo type="percentile" val="50"/>
        <cfvo type="max"/>
        <color rgb="FF63BE7B"/>
        <color rgb="FFFFEB84"/>
        <color rgb="FFF8696B"/>
      </colorScale>
    </cfRule>
    <cfRule type="colorScale" priority="3592">
      <colorScale>
        <cfvo type="min"/>
        <cfvo type="percentile" val="50"/>
        <cfvo type="max"/>
        <color rgb="FF63BE7B"/>
        <color rgb="FFFFEB84"/>
        <color rgb="FFF8696B"/>
      </colorScale>
    </cfRule>
    <cfRule type="colorScale" priority="3591">
      <colorScale>
        <cfvo type="min"/>
        <cfvo type="percentile" val="50"/>
        <cfvo type="max"/>
        <color rgb="FF63BE7B"/>
        <color rgb="FFFFEB84"/>
        <color rgb="FFF8696B"/>
      </colorScale>
    </cfRule>
    <cfRule type="colorScale" priority="3590">
      <colorScale>
        <cfvo type="min"/>
        <cfvo type="percentile" val="50"/>
        <cfvo type="max"/>
        <color rgb="FF63BE7B"/>
        <color rgb="FFFFEB84"/>
        <color rgb="FFF8696B"/>
      </colorScale>
    </cfRule>
    <cfRule type="colorScale" priority="3589">
      <colorScale>
        <cfvo type="min"/>
        <cfvo type="percentile" val="50"/>
        <cfvo type="max"/>
        <color rgb="FF63BE7B"/>
        <color rgb="FFFFEB84"/>
        <color rgb="FFF8696B"/>
      </colorScale>
    </cfRule>
    <cfRule type="colorScale" priority="3588">
      <colorScale>
        <cfvo type="min"/>
        <cfvo type="percentile" val="50"/>
        <cfvo type="max"/>
        <color rgb="FF63BE7B"/>
        <color rgb="FFFFEB84"/>
        <color rgb="FFF8696B"/>
      </colorScale>
    </cfRule>
    <cfRule type="colorScale" priority="5403">
      <colorScale>
        <cfvo type="min"/>
        <cfvo type="percentile" val="50"/>
        <cfvo type="max"/>
        <color rgb="FF63BE7B"/>
        <color rgb="FFFFEB84"/>
        <color rgb="FFF8696B"/>
      </colorScale>
    </cfRule>
    <cfRule type="colorScale" priority="5380">
      <colorScale>
        <cfvo type="min"/>
        <cfvo type="percentile" val="50"/>
        <cfvo type="max"/>
        <color rgb="FF63BE7B"/>
        <color rgb="FFFFEB84"/>
        <color rgb="FFF8696B"/>
      </colorScale>
    </cfRule>
    <cfRule type="colorScale" priority="5381">
      <colorScale>
        <cfvo type="min"/>
        <cfvo type="percentile" val="50"/>
        <cfvo type="max"/>
        <color rgb="FF63BE7B"/>
        <color rgb="FFFFEB84"/>
        <color rgb="FFF8696B"/>
      </colorScale>
    </cfRule>
    <cfRule type="colorScale" priority="5382">
      <colorScale>
        <cfvo type="min"/>
        <cfvo type="percentile" val="50"/>
        <cfvo type="max"/>
        <color rgb="FF63BE7B"/>
        <color rgb="FFFFEB84"/>
        <color rgb="FFF8696B"/>
      </colorScale>
    </cfRule>
    <cfRule type="colorScale" priority="5383">
      <colorScale>
        <cfvo type="min"/>
        <cfvo type="percentile" val="50"/>
        <cfvo type="max"/>
        <color rgb="FF63BE7B"/>
        <color rgb="FFFFEB84"/>
        <color rgb="FFF8696B"/>
      </colorScale>
    </cfRule>
    <cfRule type="colorScale" priority="5384">
      <colorScale>
        <cfvo type="min"/>
        <cfvo type="percentile" val="50"/>
        <cfvo type="max"/>
        <color rgb="FF63BE7B"/>
        <color rgb="FFFFEB84"/>
        <color rgb="FFF8696B"/>
      </colorScale>
    </cfRule>
    <cfRule type="colorScale" priority="5385">
      <colorScale>
        <cfvo type="min"/>
        <cfvo type="percentile" val="50"/>
        <cfvo type="max"/>
        <color rgb="FF63BE7B"/>
        <color rgb="FFFFEB84"/>
        <color rgb="FFF8696B"/>
      </colorScale>
    </cfRule>
    <cfRule type="colorScale" priority="5386">
      <colorScale>
        <cfvo type="min"/>
        <cfvo type="percentile" val="50"/>
        <cfvo type="max"/>
        <color rgb="FF63BE7B"/>
        <color rgb="FFFFEB84"/>
        <color rgb="FFF8696B"/>
      </colorScale>
    </cfRule>
    <cfRule type="colorScale" priority="5387">
      <colorScale>
        <cfvo type="min"/>
        <cfvo type="percentile" val="50"/>
        <cfvo type="max"/>
        <color rgb="FF63BE7B"/>
        <color rgb="FFFFEB84"/>
        <color rgb="FFF8696B"/>
      </colorScale>
    </cfRule>
    <cfRule type="colorScale" priority="5388">
      <colorScale>
        <cfvo type="min"/>
        <cfvo type="percentile" val="50"/>
        <cfvo type="max"/>
        <color rgb="FF63BE7B"/>
        <color rgb="FFFFEB84"/>
        <color rgb="FFF8696B"/>
      </colorScale>
    </cfRule>
    <cfRule type="colorScale" priority="5389">
      <colorScale>
        <cfvo type="min"/>
        <cfvo type="percentile" val="50"/>
        <cfvo type="max"/>
        <color rgb="FF63BE7B"/>
        <color rgb="FFFFEB84"/>
        <color rgb="FFF8696B"/>
      </colorScale>
    </cfRule>
    <cfRule type="colorScale" priority="5390">
      <colorScale>
        <cfvo type="min"/>
        <cfvo type="percentile" val="50"/>
        <cfvo type="max"/>
        <color rgb="FF63BE7B"/>
        <color rgb="FFFFEB84"/>
        <color rgb="FFF8696B"/>
      </colorScale>
    </cfRule>
    <cfRule type="colorScale" priority="5391">
      <colorScale>
        <cfvo type="min"/>
        <cfvo type="percentile" val="50"/>
        <cfvo type="max"/>
        <color rgb="FF63BE7B"/>
        <color rgb="FFFFEB84"/>
        <color rgb="FFF8696B"/>
      </colorScale>
    </cfRule>
    <cfRule type="colorScale" priority="5392">
      <colorScale>
        <cfvo type="min"/>
        <cfvo type="percentile" val="50"/>
        <cfvo type="max"/>
        <color rgb="FF63BE7B"/>
        <color rgb="FFFFEB84"/>
        <color rgb="FFF8696B"/>
      </colorScale>
    </cfRule>
    <cfRule type="colorScale" priority="5393">
      <colorScale>
        <cfvo type="min"/>
        <cfvo type="percentile" val="50"/>
        <cfvo type="max"/>
        <color rgb="FF63BE7B"/>
        <color rgb="FFFFEB84"/>
        <color rgb="FFF8696B"/>
      </colorScale>
    </cfRule>
    <cfRule type="colorScale" priority="5394">
      <colorScale>
        <cfvo type="min"/>
        <cfvo type="percentile" val="50"/>
        <cfvo type="max"/>
        <color rgb="FF63BE7B"/>
        <color rgb="FFFFEB84"/>
        <color rgb="FFF8696B"/>
      </colorScale>
    </cfRule>
    <cfRule type="colorScale" priority="5395">
      <colorScale>
        <cfvo type="min"/>
        <cfvo type="percentile" val="50"/>
        <cfvo type="max"/>
        <color rgb="FF63BE7B"/>
        <color rgb="FFFFEB84"/>
        <color rgb="FFF8696B"/>
      </colorScale>
    </cfRule>
    <cfRule type="colorScale" priority="5396">
      <colorScale>
        <cfvo type="min"/>
        <cfvo type="percentile" val="50"/>
        <cfvo type="max"/>
        <color rgb="FF63BE7B"/>
        <color rgb="FFFFEB84"/>
        <color rgb="FFF8696B"/>
      </colorScale>
    </cfRule>
    <cfRule type="colorScale" priority="5397">
      <colorScale>
        <cfvo type="min"/>
        <cfvo type="percentile" val="50"/>
        <cfvo type="max"/>
        <color rgb="FF63BE7B"/>
        <color rgb="FFFFEB84"/>
        <color rgb="FFF8696B"/>
      </colorScale>
    </cfRule>
    <cfRule type="colorScale" priority="5398">
      <colorScale>
        <cfvo type="min"/>
        <cfvo type="percentile" val="50"/>
        <cfvo type="max"/>
        <color rgb="FF63BE7B"/>
        <color rgb="FFFFEB84"/>
        <color rgb="FFF8696B"/>
      </colorScale>
    </cfRule>
    <cfRule type="colorScale" priority="5399">
      <colorScale>
        <cfvo type="min"/>
        <cfvo type="percentile" val="50"/>
        <cfvo type="max"/>
        <color rgb="FF63BE7B"/>
        <color rgb="FFFFEB84"/>
        <color rgb="FFF8696B"/>
      </colorScale>
    </cfRule>
    <cfRule type="colorScale" priority="5400">
      <colorScale>
        <cfvo type="min"/>
        <cfvo type="percentile" val="50"/>
        <cfvo type="max"/>
        <color rgb="FF63BE7B"/>
        <color rgb="FFFFEB84"/>
        <color rgb="FFF8696B"/>
      </colorScale>
    </cfRule>
    <cfRule type="colorScale" priority="5401">
      <colorScale>
        <cfvo type="min"/>
        <cfvo type="percentile" val="50"/>
        <cfvo type="max"/>
        <color rgb="FF63BE7B"/>
        <color rgb="FFFFEB84"/>
        <color rgb="FFF8696B"/>
      </colorScale>
    </cfRule>
    <cfRule type="colorScale" priority="5402">
      <colorScale>
        <cfvo type="min"/>
        <cfvo type="percentile" val="50"/>
        <cfvo type="max"/>
        <color rgb="FF63BE7B"/>
        <color rgb="FFFFEB84"/>
        <color rgb="FFF8696B"/>
      </colorScale>
    </cfRule>
    <cfRule type="colorScale" priority="5404">
      <colorScale>
        <cfvo type="min"/>
        <cfvo type="percentile" val="50"/>
        <cfvo type="max"/>
        <color rgb="FF63BE7B"/>
        <color rgb="FFFFEB84"/>
        <color rgb="FFF8696B"/>
      </colorScale>
    </cfRule>
    <cfRule type="colorScale" priority="5405">
      <colorScale>
        <cfvo type="min"/>
        <cfvo type="percentile" val="50"/>
        <cfvo type="max"/>
        <color rgb="FF63BE7B"/>
        <color rgb="FFFFEB84"/>
        <color rgb="FFF8696B"/>
      </colorScale>
    </cfRule>
    <cfRule type="colorScale" priority="5407">
      <colorScale>
        <cfvo type="min"/>
        <cfvo type="percentile" val="50"/>
        <cfvo type="max"/>
        <color rgb="FF63BE7B"/>
        <color rgb="FFFFEB84"/>
        <color rgb="FFF8696B"/>
      </colorScale>
    </cfRule>
    <cfRule type="colorScale" priority="5408">
      <colorScale>
        <cfvo type="min"/>
        <cfvo type="percentile" val="50"/>
        <cfvo type="max"/>
        <color rgb="FF63BE7B"/>
        <color rgb="FFFFEB84"/>
        <color rgb="FFF8696B"/>
      </colorScale>
    </cfRule>
    <cfRule type="colorScale" priority="5409">
      <colorScale>
        <cfvo type="min"/>
        <cfvo type="percentile" val="50"/>
        <cfvo type="max"/>
        <color rgb="FF63BE7B"/>
        <color rgb="FFFFEB84"/>
        <color rgb="FFF8696B"/>
      </colorScale>
    </cfRule>
    <cfRule type="colorScale" priority="5410">
      <colorScale>
        <cfvo type="min"/>
        <cfvo type="percentile" val="50"/>
        <cfvo type="max"/>
        <color rgb="FF63BE7B"/>
        <color rgb="FFFFEB84"/>
        <color rgb="FFF8696B"/>
      </colorScale>
    </cfRule>
    <cfRule type="colorScale" priority="5411">
      <colorScale>
        <cfvo type="min"/>
        <cfvo type="percentile" val="50"/>
        <cfvo type="max"/>
        <color rgb="FF63BE7B"/>
        <color rgb="FFFFEB84"/>
        <color rgb="FFF8696B"/>
      </colorScale>
    </cfRule>
    <cfRule type="colorScale" priority="5412">
      <colorScale>
        <cfvo type="min"/>
        <cfvo type="percentile" val="50"/>
        <cfvo type="max"/>
        <color rgb="FF63BE7B"/>
        <color rgb="FFFFEB84"/>
        <color rgb="FFF8696B"/>
      </colorScale>
    </cfRule>
    <cfRule type="colorScale" priority="5413">
      <colorScale>
        <cfvo type="min"/>
        <cfvo type="percentile" val="50"/>
        <cfvo type="max"/>
        <color rgb="FF63BE7B"/>
        <color rgb="FFFFEB84"/>
        <color rgb="FFF8696B"/>
      </colorScale>
    </cfRule>
    <cfRule type="colorScale" priority="5414">
      <colorScale>
        <cfvo type="min"/>
        <cfvo type="percentile" val="50"/>
        <cfvo type="max"/>
        <color rgb="FF63BE7B"/>
        <color rgb="FFFFEB84"/>
        <color rgb="FFF8696B"/>
      </colorScale>
    </cfRule>
    <cfRule type="colorScale" priority="5415">
      <colorScale>
        <cfvo type="min"/>
        <cfvo type="percentile" val="50"/>
        <cfvo type="max"/>
        <color rgb="FF63BE7B"/>
        <color rgb="FFFFEB84"/>
        <color rgb="FFF8696B"/>
      </colorScale>
    </cfRule>
    <cfRule type="colorScale" priority="5416">
      <colorScale>
        <cfvo type="min"/>
        <cfvo type="percentile" val="50"/>
        <cfvo type="max"/>
        <color rgb="FF63BE7B"/>
        <color rgb="FFFFEB84"/>
        <color rgb="FFF8696B"/>
      </colorScale>
    </cfRule>
    <cfRule type="colorScale" priority="5417">
      <colorScale>
        <cfvo type="min"/>
        <cfvo type="percentile" val="50"/>
        <cfvo type="max"/>
        <color rgb="FF63BE7B"/>
        <color rgb="FFFFEB84"/>
        <color rgb="FFF8696B"/>
      </colorScale>
    </cfRule>
    <cfRule type="colorScale" priority="6550">
      <colorScale>
        <cfvo type="min"/>
        <cfvo type="percentile" val="50"/>
        <cfvo type="max"/>
        <color rgb="FF63BE7B"/>
        <color rgb="FFFFEB84"/>
        <color rgb="FFF8696B"/>
      </colorScale>
    </cfRule>
  </conditionalFormatting>
  <conditionalFormatting sqref="AT54:AT61">
    <cfRule type="colorScale" priority="12">
      <colorScale>
        <cfvo type="min"/>
        <cfvo type="percentile" val="50"/>
        <cfvo type="max"/>
        <color rgb="FF63BE7B"/>
        <color rgb="FFFFEB84"/>
        <color rgb="FFF8696B"/>
      </colorScale>
    </cfRule>
  </conditionalFormatting>
  <conditionalFormatting sqref="AT72:AT80">
    <cfRule type="colorScale" priority="12333">
      <colorScale>
        <cfvo type="min"/>
        <cfvo type="percentile" val="50"/>
        <cfvo type="max"/>
        <color rgb="FF63BE7B"/>
        <color rgb="FFFFEB84"/>
        <color rgb="FFF8696B"/>
      </colorScale>
    </cfRule>
  </conditionalFormatting>
  <conditionalFormatting sqref="AT88:AT91">
    <cfRule type="colorScale" priority="12060">
      <colorScale>
        <cfvo type="min"/>
        <cfvo type="percentile" val="50"/>
        <cfvo type="max"/>
        <color rgb="FF63BE7B"/>
        <color rgb="FFFFEB84"/>
        <color rgb="FFF8696B"/>
      </colorScale>
    </cfRule>
    <cfRule type="colorScale" priority="12062">
      <colorScale>
        <cfvo type="min"/>
        <cfvo type="percentile" val="50"/>
        <cfvo type="max"/>
        <color rgb="FF63BE7B"/>
        <color rgb="FFFFEB84"/>
        <color rgb="FFF8696B"/>
      </colorScale>
    </cfRule>
    <cfRule type="colorScale" priority="12063">
      <colorScale>
        <cfvo type="min"/>
        <cfvo type="percentile" val="50"/>
        <cfvo type="max"/>
        <color rgb="FF63BE7B"/>
        <color rgb="FFFFEB84"/>
        <color rgb="FFF8696B"/>
      </colorScale>
    </cfRule>
  </conditionalFormatting>
  <conditionalFormatting sqref="AT90">
    <cfRule type="colorScale" priority="12061">
      <colorScale>
        <cfvo type="min"/>
        <cfvo type="percentile" val="50"/>
        <cfvo type="max"/>
        <color rgb="FF63BE7B"/>
        <color rgb="FFFFEB84"/>
        <color rgb="FFF8696B"/>
      </colorScale>
    </cfRule>
  </conditionalFormatting>
  <conditionalFormatting sqref="AT103:AT111">
    <cfRule type="colorScale" priority="11727">
      <colorScale>
        <cfvo type="min"/>
        <cfvo type="percentile" val="50"/>
        <cfvo type="max"/>
        <color rgb="FF63BE7B"/>
        <color rgb="FFFFEB84"/>
        <color rgb="FFF8696B"/>
      </colorScale>
    </cfRule>
  </conditionalFormatting>
  <conditionalFormatting sqref="AT119:AT122">
    <cfRule type="colorScale" priority="11460">
      <colorScale>
        <cfvo type="min"/>
        <cfvo type="percentile" val="50"/>
        <cfvo type="max"/>
        <color rgb="FF63BE7B"/>
        <color rgb="FFFFEB84"/>
        <color rgb="FFF8696B"/>
      </colorScale>
    </cfRule>
    <cfRule type="colorScale" priority="11459">
      <colorScale>
        <cfvo type="min"/>
        <cfvo type="percentile" val="50"/>
        <cfvo type="max"/>
        <color rgb="FF63BE7B"/>
        <color rgb="FFFFEB84"/>
        <color rgb="FFF8696B"/>
      </colorScale>
    </cfRule>
    <cfRule type="colorScale" priority="11457">
      <colorScale>
        <cfvo type="min"/>
        <cfvo type="percentile" val="50"/>
        <cfvo type="max"/>
        <color rgb="FF63BE7B"/>
        <color rgb="FFFFEB84"/>
        <color rgb="FFF8696B"/>
      </colorScale>
    </cfRule>
  </conditionalFormatting>
  <conditionalFormatting sqref="AT121">
    <cfRule type="colorScale" priority="11458">
      <colorScale>
        <cfvo type="min"/>
        <cfvo type="percentile" val="50"/>
        <cfvo type="max"/>
        <color rgb="FF63BE7B"/>
        <color rgb="FFFFEB84"/>
        <color rgb="FFF8696B"/>
      </colorScale>
    </cfRule>
  </conditionalFormatting>
  <conditionalFormatting sqref="AU42:AU50">
    <cfRule type="colorScale" priority="7428">
      <colorScale>
        <cfvo type="min"/>
        <cfvo type="percentile" val="50"/>
        <cfvo type="max"/>
        <color rgb="FF63BE7B"/>
        <color rgb="FFFFEB84"/>
        <color rgb="FFF8696B"/>
      </colorScale>
    </cfRule>
  </conditionalFormatting>
  <conditionalFormatting sqref="AU51:AU53">
    <cfRule type="colorScale" priority="3557">
      <colorScale>
        <cfvo type="min"/>
        <cfvo type="percentile" val="50"/>
        <cfvo type="max"/>
        <color rgb="FF63BE7B"/>
        <color rgb="FFFFEB84"/>
        <color rgb="FFF8696B"/>
      </colorScale>
    </cfRule>
    <cfRule type="colorScale" priority="3496">
      <colorScale>
        <cfvo type="min"/>
        <cfvo type="percentile" val="50"/>
        <cfvo type="max"/>
        <color rgb="FFF8696B"/>
        <color rgb="FFFFEB84"/>
        <color rgb="FF63BE7B"/>
      </colorScale>
    </cfRule>
    <cfRule type="colorScale" priority="3584">
      <colorScale>
        <cfvo type="min"/>
        <cfvo type="percentile" val="50"/>
        <cfvo type="max"/>
        <color rgb="FF63BE7B"/>
        <color rgb="FFFFEB84"/>
        <color rgb="FFF8696B"/>
      </colorScale>
    </cfRule>
    <cfRule type="colorScale" priority="3585">
      <colorScale>
        <cfvo type="min"/>
        <cfvo type="percentile" val="50"/>
        <cfvo type="max"/>
        <color rgb="FF63BE7B"/>
        <color rgb="FFFFEB84"/>
        <color rgb="FFF8696B"/>
      </colorScale>
    </cfRule>
    <cfRule type="colorScale" priority="3524">
      <colorScale>
        <cfvo type="min"/>
        <cfvo type="percentile" val="50"/>
        <cfvo type="max"/>
        <color rgb="FF63BE7B"/>
        <color rgb="FFFFEB84"/>
        <color rgb="FFF8696B"/>
      </colorScale>
    </cfRule>
    <cfRule type="colorScale" priority="3525">
      <colorScale>
        <cfvo type="min"/>
        <cfvo type="percentile" val="50"/>
        <cfvo type="max"/>
        <color rgb="FF63BE7B"/>
        <color rgb="FFFFEB84"/>
        <color rgb="FFF8696B"/>
      </colorScale>
    </cfRule>
  </conditionalFormatting>
  <conditionalFormatting sqref="AU52:AU53">
    <cfRule type="colorScale" priority="3566">
      <colorScale>
        <cfvo type="min"/>
        <cfvo type="percentile" val="50"/>
        <cfvo type="max"/>
        <color rgb="FF63BE7B"/>
        <color rgb="FFFFEB84"/>
        <color rgb="FFF8696B"/>
      </colorScale>
    </cfRule>
    <cfRule type="colorScale" priority="3580">
      <colorScale>
        <cfvo type="min"/>
        <cfvo type="percentile" val="50"/>
        <cfvo type="max"/>
        <color rgb="FF63BE7B"/>
        <color rgb="FFFFEB84"/>
        <color rgb="FFF8696B"/>
      </colorScale>
    </cfRule>
    <cfRule type="colorScale" priority="3497">
      <colorScale>
        <cfvo type="min"/>
        <cfvo type="percentile" val="50"/>
        <cfvo type="max"/>
        <color rgb="FF63BE7B"/>
        <color rgb="FFFFEB84"/>
        <color rgb="FFF8696B"/>
      </colorScale>
    </cfRule>
    <cfRule type="colorScale" priority="3498">
      <colorScale>
        <cfvo type="min"/>
        <cfvo type="percentile" val="50"/>
        <cfvo type="max"/>
        <color rgb="FF63BE7B"/>
        <color rgb="FFFFEB84"/>
        <color rgb="FFF8696B"/>
      </colorScale>
    </cfRule>
    <cfRule type="colorScale" priority="3499">
      <colorScale>
        <cfvo type="min"/>
        <cfvo type="percentile" val="50"/>
        <cfvo type="max"/>
        <color rgb="FF63BE7B"/>
        <color rgb="FFFFEB84"/>
        <color rgb="FFF8696B"/>
      </colorScale>
    </cfRule>
    <cfRule type="colorScale" priority="3500">
      <colorScale>
        <cfvo type="min"/>
        <cfvo type="percentile" val="50"/>
        <cfvo type="max"/>
        <color rgb="FF63BE7B"/>
        <color rgb="FFFFEB84"/>
        <color rgb="FFF8696B"/>
      </colorScale>
    </cfRule>
    <cfRule type="colorScale" priority="3501">
      <colorScale>
        <cfvo type="min"/>
        <cfvo type="percentile" val="50"/>
        <cfvo type="max"/>
        <color rgb="FF63BE7B"/>
        <color rgb="FFFFEB84"/>
        <color rgb="FFF8696B"/>
      </colorScale>
    </cfRule>
    <cfRule type="colorScale" priority="3502">
      <colorScale>
        <cfvo type="min"/>
        <cfvo type="percentile" val="50"/>
        <cfvo type="max"/>
        <color rgb="FF63BE7B"/>
        <color rgb="FFFFEB84"/>
        <color rgb="FFF8696B"/>
      </colorScale>
    </cfRule>
    <cfRule type="colorScale" priority="3503">
      <colorScale>
        <cfvo type="min"/>
        <cfvo type="percentile" val="50"/>
        <cfvo type="max"/>
        <color rgb="FF63BE7B"/>
        <color rgb="FFFFEB84"/>
        <color rgb="FFF8696B"/>
      </colorScale>
    </cfRule>
    <cfRule type="colorScale" priority="3504">
      <colorScale>
        <cfvo type="min"/>
        <cfvo type="percentile" val="50"/>
        <cfvo type="max"/>
        <color rgb="FF63BE7B"/>
        <color rgb="FFFFEB84"/>
        <color rgb="FFF8696B"/>
      </colorScale>
    </cfRule>
    <cfRule type="colorScale" priority="3505">
      <colorScale>
        <cfvo type="min"/>
        <cfvo type="percentile" val="50"/>
        <cfvo type="max"/>
        <color rgb="FF63BE7B"/>
        <color rgb="FFFFEB84"/>
        <color rgb="FFF8696B"/>
      </colorScale>
    </cfRule>
    <cfRule type="colorScale" priority="3506">
      <colorScale>
        <cfvo type="min"/>
        <cfvo type="percentile" val="50"/>
        <cfvo type="max"/>
        <color rgb="FF63BE7B"/>
        <color rgb="FFFFEB84"/>
        <color rgb="FFF8696B"/>
      </colorScale>
    </cfRule>
    <cfRule type="colorScale" priority="3518">
      <colorScale>
        <cfvo type="min"/>
        <cfvo type="percentile" val="50"/>
        <cfvo type="max"/>
        <color rgb="FF63BE7B"/>
        <color rgb="FFFFEB84"/>
        <color rgb="FFF8696B"/>
      </colorScale>
    </cfRule>
    <cfRule type="colorScale" priority="3579">
      <colorScale>
        <cfvo type="min"/>
        <cfvo type="percentile" val="50"/>
        <cfvo type="max"/>
        <color rgb="FF63BE7B"/>
        <color rgb="FFFFEB84"/>
        <color rgb="FFF8696B"/>
      </colorScale>
    </cfRule>
    <cfRule type="colorScale" priority="3578">
      <colorScale>
        <cfvo type="min"/>
        <cfvo type="percentile" val="50"/>
        <cfvo type="max"/>
        <color rgb="FF63BE7B"/>
        <color rgb="FFFFEB84"/>
        <color rgb="FFF8696B"/>
      </colorScale>
    </cfRule>
    <cfRule type="colorScale" priority="3577">
      <colorScale>
        <cfvo type="min"/>
        <cfvo type="percentile" val="50"/>
        <cfvo type="max"/>
        <color rgb="FF63BE7B"/>
        <color rgb="FFFFEB84"/>
        <color rgb="FFF8696B"/>
      </colorScale>
    </cfRule>
    <cfRule type="colorScale" priority="3575">
      <colorScale>
        <cfvo type="min"/>
        <cfvo type="percentile" val="50"/>
        <cfvo type="max"/>
        <color rgb="FF63BE7B"/>
        <color rgb="FFFFEB84"/>
        <color rgb="FFF8696B"/>
      </colorScale>
    </cfRule>
    <cfRule type="colorScale" priority="3574">
      <colorScale>
        <cfvo type="min"/>
        <cfvo type="percentile" val="50"/>
        <cfvo type="max"/>
        <color rgb="FF63BE7B"/>
        <color rgb="FFFFEB84"/>
        <color rgb="FFF8696B"/>
      </colorScale>
    </cfRule>
    <cfRule type="colorScale" priority="3573">
      <colorScale>
        <cfvo type="min"/>
        <cfvo type="percentile" val="50"/>
        <cfvo type="max"/>
        <color rgb="FF63BE7B"/>
        <color rgb="FFFFEB84"/>
        <color rgb="FFF8696B"/>
      </colorScale>
    </cfRule>
    <cfRule type="colorScale" priority="3572">
      <colorScale>
        <cfvo type="min"/>
        <cfvo type="percentile" val="50"/>
        <cfvo type="max"/>
        <color rgb="FF63BE7B"/>
        <color rgb="FFFFEB84"/>
        <color rgb="FFF8696B"/>
      </colorScale>
    </cfRule>
    <cfRule type="colorScale" priority="3571">
      <colorScale>
        <cfvo type="min"/>
        <cfvo type="percentile" val="50"/>
        <cfvo type="max"/>
        <color rgb="FF63BE7B"/>
        <color rgb="FFFFEB84"/>
        <color rgb="FFF8696B"/>
      </colorScale>
    </cfRule>
    <cfRule type="colorScale" priority="3576">
      <colorScale>
        <cfvo type="min"/>
        <cfvo type="percentile" val="50"/>
        <cfvo type="max"/>
        <color rgb="FF63BE7B"/>
        <color rgb="FFFFEB84"/>
        <color rgb="FFF8696B"/>
      </colorScale>
    </cfRule>
    <cfRule type="colorScale" priority="3569">
      <colorScale>
        <cfvo type="min"/>
        <cfvo type="percentile" val="50"/>
        <cfvo type="max"/>
        <color rgb="FF63BE7B"/>
        <color rgb="FFFFEB84"/>
        <color rgb="FFF8696B"/>
      </colorScale>
    </cfRule>
    <cfRule type="colorScale" priority="3568">
      <colorScale>
        <cfvo type="min"/>
        <cfvo type="percentile" val="50"/>
        <cfvo type="max"/>
        <color rgb="FF63BE7B"/>
        <color rgb="FFFFEB84"/>
        <color rgb="FFF8696B"/>
      </colorScale>
    </cfRule>
    <cfRule type="colorScale" priority="3567">
      <colorScale>
        <cfvo type="min"/>
        <cfvo type="percentile" val="50"/>
        <cfvo type="max"/>
        <color rgb="FF63BE7B"/>
        <color rgb="FFFFEB84"/>
        <color rgb="FFF8696B"/>
      </colorScale>
    </cfRule>
    <cfRule type="colorScale" priority="3565">
      <colorScale>
        <cfvo type="min"/>
        <cfvo type="percentile" val="50"/>
        <cfvo type="max"/>
        <color rgb="FF63BE7B"/>
        <color rgb="FFFFEB84"/>
        <color rgb="FFF8696B"/>
      </colorScale>
    </cfRule>
    <cfRule type="colorScale" priority="3564">
      <colorScale>
        <cfvo type="min"/>
        <cfvo type="percentile" val="50"/>
        <cfvo type="max"/>
        <color rgb="FF63BE7B"/>
        <color rgb="FFFFEB84"/>
        <color rgb="FFF8696B"/>
      </colorScale>
    </cfRule>
    <cfRule type="colorScale" priority="3563">
      <colorScale>
        <cfvo type="min"/>
        <cfvo type="percentile" val="50"/>
        <cfvo type="max"/>
        <color rgb="FF63BE7B"/>
        <color rgb="FFFFEB84"/>
        <color rgb="FFF8696B"/>
      </colorScale>
    </cfRule>
    <cfRule type="colorScale" priority="3562">
      <colorScale>
        <cfvo type="min"/>
        <cfvo type="percentile" val="50"/>
        <cfvo type="max"/>
        <color rgb="FF63BE7B"/>
        <color rgb="FFFFEB84"/>
        <color rgb="FFF8696B"/>
      </colorScale>
    </cfRule>
    <cfRule type="colorScale" priority="3561">
      <colorScale>
        <cfvo type="min"/>
        <cfvo type="percentile" val="50"/>
        <cfvo type="max"/>
        <color rgb="FF63BE7B"/>
        <color rgb="FFFFEB84"/>
        <color rgb="FFF8696B"/>
      </colorScale>
    </cfRule>
    <cfRule type="colorScale" priority="3560">
      <colorScale>
        <cfvo type="min"/>
        <cfvo type="percentile" val="50"/>
        <cfvo type="max"/>
        <color rgb="FF63BE7B"/>
        <color rgb="FFFFEB84"/>
        <color rgb="FFF8696B"/>
      </colorScale>
    </cfRule>
    <cfRule type="colorScale" priority="3559">
      <colorScale>
        <cfvo type="min"/>
        <cfvo type="percentile" val="50"/>
        <cfvo type="max"/>
        <color rgb="FF63BE7B"/>
        <color rgb="FFFFEB84"/>
        <color rgb="FFF8696B"/>
      </colorScale>
    </cfRule>
    <cfRule type="colorScale" priority="3558">
      <colorScale>
        <cfvo type="min"/>
        <cfvo type="percentile" val="50"/>
        <cfvo type="max"/>
        <color rgb="FF63BE7B"/>
        <color rgb="FFFFEB84"/>
        <color rgb="FFF8696B"/>
      </colorScale>
    </cfRule>
    <cfRule type="colorScale" priority="3512">
      <colorScale>
        <cfvo type="min"/>
        <cfvo type="percentile" val="50"/>
        <cfvo type="max"/>
        <color rgb="FF63BE7B"/>
        <color rgb="FFFFEB84"/>
        <color rgb="FFF8696B"/>
      </colorScale>
    </cfRule>
    <cfRule type="colorScale" priority="3519">
      <colorScale>
        <cfvo type="min"/>
        <cfvo type="percentile" val="50"/>
        <cfvo type="max"/>
        <color rgb="FF63BE7B"/>
        <color rgb="FFFFEB84"/>
        <color rgb="FFF8696B"/>
      </colorScale>
    </cfRule>
    <cfRule type="colorScale" priority="3510">
      <colorScale>
        <cfvo type="min"/>
        <cfvo type="percentile" val="50"/>
        <cfvo type="max"/>
        <color rgb="FF63BE7B"/>
        <color rgb="FFFFEB84"/>
        <color rgb="FFF8696B"/>
      </colorScale>
    </cfRule>
    <cfRule type="colorScale" priority="3517">
      <colorScale>
        <cfvo type="min"/>
        <cfvo type="percentile" val="50"/>
        <cfvo type="max"/>
        <color rgb="FF63BE7B"/>
        <color rgb="FFFFEB84"/>
        <color rgb="FFF8696B"/>
      </colorScale>
    </cfRule>
    <cfRule type="colorScale" priority="3516">
      <colorScale>
        <cfvo type="min"/>
        <cfvo type="percentile" val="50"/>
        <cfvo type="max"/>
        <color rgb="FF63BE7B"/>
        <color rgb="FFFFEB84"/>
        <color rgb="FFF8696B"/>
      </colorScale>
    </cfRule>
    <cfRule type="colorScale" priority="3570">
      <colorScale>
        <cfvo type="min"/>
        <cfvo type="percentile" val="50"/>
        <cfvo type="max"/>
        <color rgb="FF63BE7B"/>
        <color rgb="FFFFEB84"/>
        <color rgb="FFF8696B"/>
      </colorScale>
    </cfRule>
    <cfRule type="colorScale" priority="3523">
      <colorScale>
        <cfvo type="min"/>
        <cfvo type="percentile" val="50"/>
        <cfvo type="max"/>
        <color rgb="FF63BE7B"/>
        <color rgb="FFFFEB84"/>
        <color rgb="FFF8696B"/>
      </colorScale>
    </cfRule>
    <cfRule type="colorScale" priority="3522">
      <colorScale>
        <cfvo type="min"/>
        <cfvo type="percentile" val="50"/>
        <cfvo type="max"/>
        <color rgb="FF63BE7B"/>
        <color rgb="FFFFEB84"/>
        <color rgb="FFF8696B"/>
      </colorScale>
    </cfRule>
    <cfRule type="colorScale" priority="3521">
      <colorScale>
        <cfvo type="min"/>
        <cfvo type="percentile" val="50"/>
        <cfvo type="max"/>
        <color rgb="FF63BE7B"/>
        <color rgb="FFFFEB84"/>
        <color rgb="FFF8696B"/>
      </colorScale>
    </cfRule>
    <cfRule type="colorScale" priority="3520">
      <colorScale>
        <cfvo type="min"/>
        <cfvo type="percentile" val="50"/>
        <cfvo type="max"/>
        <color rgb="FF63BE7B"/>
        <color rgb="FFFFEB84"/>
        <color rgb="FFF8696B"/>
      </colorScale>
    </cfRule>
    <cfRule type="colorScale" priority="3511">
      <colorScale>
        <cfvo type="min"/>
        <cfvo type="percentile" val="50"/>
        <cfvo type="max"/>
        <color rgb="FF63BE7B"/>
        <color rgb="FFFFEB84"/>
        <color rgb="FFF8696B"/>
      </colorScale>
    </cfRule>
    <cfRule type="colorScale" priority="3509">
      <colorScale>
        <cfvo type="min"/>
        <cfvo type="percentile" val="50"/>
        <cfvo type="max"/>
        <color rgb="FF63BE7B"/>
        <color rgb="FFFFEB84"/>
        <color rgb="FFF8696B"/>
      </colorScale>
    </cfRule>
    <cfRule type="colorScale" priority="3508">
      <colorScale>
        <cfvo type="min"/>
        <cfvo type="percentile" val="50"/>
        <cfvo type="max"/>
        <color rgb="FF63BE7B"/>
        <color rgb="FFFFEB84"/>
        <color rgb="FFF8696B"/>
      </colorScale>
    </cfRule>
    <cfRule type="colorScale" priority="3507">
      <colorScale>
        <cfvo type="min"/>
        <cfvo type="percentile" val="50"/>
        <cfvo type="max"/>
        <color rgb="FF63BE7B"/>
        <color rgb="FFFFEB84"/>
        <color rgb="FFF8696B"/>
      </colorScale>
    </cfRule>
    <cfRule type="colorScale" priority="3515">
      <colorScale>
        <cfvo type="min"/>
        <cfvo type="percentile" val="50"/>
        <cfvo type="max"/>
        <color rgb="FF63BE7B"/>
        <color rgb="FFFFEB84"/>
        <color rgb="FFF8696B"/>
      </colorScale>
    </cfRule>
    <cfRule type="colorScale" priority="3514">
      <colorScale>
        <cfvo type="min"/>
        <cfvo type="percentile" val="50"/>
        <cfvo type="max"/>
        <color rgb="FF63BE7B"/>
        <color rgb="FFFFEB84"/>
        <color rgb="FFF8696B"/>
      </colorScale>
    </cfRule>
    <cfRule type="colorScale" priority="3513">
      <colorScale>
        <cfvo type="min"/>
        <cfvo type="percentile" val="50"/>
        <cfvo type="max"/>
        <color rgb="FF63BE7B"/>
        <color rgb="FFFFEB84"/>
        <color rgb="FFF8696B"/>
      </colorScale>
    </cfRule>
    <cfRule type="colorScale" priority="3583">
      <colorScale>
        <cfvo type="min"/>
        <cfvo type="percentile" val="50"/>
        <cfvo type="max"/>
        <color rgb="FF63BE7B"/>
        <color rgb="FFFFEB84"/>
        <color rgb="FFF8696B"/>
      </colorScale>
    </cfRule>
    <cfRule type="colorScale" priority="3582">
      <colorScale>
        <cfvo type="min"/>
        <cfvo type="percentile" val="50"/>
        <cfvo type="max"/>
        <color rgb="FF63BE7B"/>
        <color rgb="FFFFEB84"/>
        <color rgb="FFF8696B"/>
      </colorScale>
    </cfRule>
    <cfRule type="colorScale" priority="3581">
      <colorScale>
        <cfvo type="min"/>
        <cfvo type="percentile" val="50"/>
        <cfvo type="max"/>
        <color rgb="FF63BE7B"/>
        <color rgb="FFFFEB84"/>
        <color rgb="FFF8696B"/>
      </colorScale>
    </cfRule>
  </conditionalFormatting>
  <conditionalFormatting sqref="AU54:AU61">
    <cfRule type="colorScale" priority="2">
      <colorScale>
        <cfvo type="min"/>
        <cfvo type="percentile" val="50"/>
        <cfvo type="max"/>
        <color rgb="FFF8696B"/>
        <color rgb="FFFFEB84"/>
        <color rgb="FF63BE7B"/>
      </colorScale>
    </cfRule>
    <cfRule type="colorScale" priority="11">
      <colorScale>
        <cfvo type="min"/>
        <cfvo type="percentile" val="50"/>
        <cfvo type="max"/>
        <color rgb="FF63BE7B"/>
        <color rgb="FFFFEB84"/>
        <color rgb="FFF8696B"/>
      </colorScale>
    </cfRule>
  </conditionalFormatting>
  <conditionalFormatting sqref="AU65:AU71">
    <cfRule type="colorScale" priority="12463">
      <colorScale>
        <cfvo type="min"/>
        <cfvo type="percentile" val="50"/>
        <cfvo type="max"/>
        <color rgb="FF63BE7B"/>
        <color rgb="FFFFEB84"/>
        <color rgb="FFF8696B"/>
      </colorScale>
    </cfRule>
    <cfRule type="colorScale" priority="12465">
      <colorScale>
        <cfvo type="min"/>
        <cfvo type="percentile" val="50"/>
        <cfvo type="max"/>
        <color rgb="FF63BE7B"/>
        <color rgb="FFFFEB84"/>
        <color rgb="FFF8696B"/>
      </colorScale>
    </cfRule>
    <cfRule type="colorScale" priority="12464">
      <colorScale>
        <cfvo type="min"/>
        <cfvo type="percentile" val="50"/>
        <cfvo type="max"/>
        <color rgb="FF63BE7B"/>
        <color rgb="FFFFEB84"/>
        <color rgb="FFF8696B"/>
      </colorScale>
    </cfRule>
  </conditionalFormatting>
  <conditionalFormatting sqref="AU66:AU71">
    <cfRule type="colorScale" priority="12466">
      <colorScale>
        <cfvo type="min"/>
        <cfvo type="percentile" val="50"/>
        <cfvo type="max"/>
        <color rgb="FF63BE7B"/>
        <color rgb="FFFFEB84"/>
        <color rgb="FFF8696B"/>
      </colorScale>
    </cfRule>
  </conditionalFormatting>
  <conditionalFormatting sqref="AU72:AU80">
    <cfRule type="colorScale" priority="12332">
      <colorScale>
        <cfvo type="min"/>
        <cfvo type="percentile" val="50"/>
        <cfvo type="max"/>
        <color rgb="FF63BE7B"/>
        <color rgb="FFFFEB84"/>
        <color rgb="FFF8696B"/>
      </colorScale>
    </cfRule>
  </conditionalFormatting>
  <conditionalFormatting sqref="AU81:AU83">
    <cfRule type="colorScale" priority="12242">
      <colorScale>
        <cfvo type="min"/>
        <cfvo type="percentile" val="50"/>
        <cfvo type="max"/>
        <color rgb="FF63BE7B"/>
        <color rgb="FFFFEB84"/>
        <color rgb="FFF8696B"/>
      </colorScale>
    </cfRule>
    <cfRule type="colorScale" priority="12245">
      <colorScale>
        <cfvo type="min"/>
        <cfvo type="percentile" val="50"/>
        <cfvo type="max"/>
        <color rgb="FF63BE7B"/>
        <color rgb="FFFFEB84"/>
        <color rgb="FFF8696B"/>
      </colorScale>
    </cfRule>
    <cfRule type="colorScale" priority="12244">
      <colorScale>
        <cfvo type="min"/>
        <cfvo type="percentile" val="50"/>
        <cfvo type="max"/>
        <color rgb="FF63BE7B"/>
        <color rgb="FFFFEB84"/>
        <color rgb="FFF8696B"/>
      </colorScale>
    </cfRule>
    <cfRule type="colorScale" priority="12243">
      <colorScale>
        <cfvo type="min"/>
        <cfvo type="percentile" val="50"/>
        <cfvo type="max"/>
        <color rgb="FF63BE7B"/>
        <color rgb="FFFFEB84"/>
        <color rgb="FFF8696B"/>
      </colorScale>
    </cfRule>
  </conditionalFormatting>
  <conditionalFormatting sqref="AU83:AU86">
    <cfRule type="colorScale" priority="12056">
      <colorScale>
        <cfvo type="min"/>
        <cfvo type="percentile" val="50"/>
        <cfvo type="max"/>
        <color rgb="FF63BE7B"/>
        <color rgb="FFFFEB84"/>
        <color rgb="FFF8696B"/>
      </colorScale>
    </cfRule>
    <cfRule type="colorScale" priority="12059">
      <colorScale>
        <cfvo type="min"/>
        <cfvo type="percentile" val="50"/>
        <cfvo type="max"/>
        <color rgb="FF63BE7B"/>
        <color rgb="FFFFEB84"/>
        <color rgb="FFF8696B"/>
      </colorScale>
    </cfRule>
    <cfRule type="colorScale" priority="12058">
      <colorScale>
        <cfvo type="min"/>
        <cfvo type="percentile" val="50"/>
        <cfvo type="max"/>
        <color rgb="FF63BE7B"/>
        <color rgb="FFFFEB84"/>
        <color rgb="FFF8696B"/>
      </colorScale>
    </cfRule>
  </conditionalFormatting>
  <conditionalFormatting sqref="AU84:AU91">
    <cfRule type="colorScale" priority="12052">
      <colorScale>
        <cfvo type="min"/>
        <cfvo type="percentile" val="50"/>
        <cfvo type="max"/>
        <color rgb="FF63BE7B"/>
        <color rgb="FFFFEB84"/>
        <color rgb="FFF8696B"/>
      </colorScale>
    </cfRule>
    <cfRule type="colorScale" priority="12055">
      <colorScale>
        <cfvo type="min"/>
        <cfvo type="percentile" val="50"/>
        <cfvo type="max"/>
        <color rgb="FF63BE7B"/>
        <color rgb="FFFFEB84"/>
        <color rgb="FFF8696B"/>
      </colorScale>
    </cfRule>
    <cfRule type="colorScale" priority="12054">
      <colorScale>
        <cfvo type="min"/>
        <cfvo type="percentile" val="50"/>
        <cfvo type="max"/>
        <color rgb="FF63BE7B"/>
        <color rgb="FFFFEB84"/>
        <color rgb="FFF8696B"/>
      </colorScale>
    </cfRule>
  </conditionalFormatting>
  <conditionalFormatting sqref="AU85">
    <cfRule type="colorScale" priority="12057">
      <colorScale>
        <cfvo type="min"/>
        <cfvo type="percentile" val="50"/>
        <cfvo type="max"/>
        <color rgb="FF63BE7B"/>
        <color rgb="FFFFEB84"/>
        <color rgb="FFF8696B"/>
      </colorScale>
    </cfRule>
  </conditionalFormatting>
  <conditionalFormatting sqref="AU86">
    <cfRule type="colorScale" priority="12053">
      <colorScale>
        <cfvo type="min"/>
        <cfvo type="percentile" val="50"/>
        <cfvo type="max"/>
        <color rgb="FF63BE7B"/>
        <color rgb="FFFFEB84"/>
        <color rgb="FFF8696B"/>
      </colorScale>
    </cfRule>
  </conditionalFormatting>
  <conditionalFormatting sqref="AU96:AU102">
    <cfRule type="colorScale" priority="11858">
      <colorScale>
        <cfvo type="min"/>
        <cfvo type="percentile" val="50"/>
        <cfvo type="max"/>
        <color rgb="FF63BE7B"/>
        <color rgb="FFFFEB84"/>
        <color rgb="FFF8696B"/>
      </colorScale>
    </cfRule>
    <cfRule type="colorScale" priority="11859">
      <colorScale>
        <cfvo type="min"/>
        <cfvo type="percentile" val="50"/>
        <cfvo type="max"/>
        <color rgb="FF63BE7B"/>
        <color rgb="FFFFEB84"/>
        <color rgb="FFF8696B"/>
      </colorScale>
    </cfRule>
    <cfRule type="colorScale" priority="11857">
      <colorScale>
        <cfvo type="min"/>
        <cfvo type="percentile" val="50"/>
        <cfvo type="max"/>
        <color rgb="FF63BE7B"/>
        <color rgb="FFFFEB84"/>
        <color rgb="FFF8696B"/>
      </colorScale>
    </cfRule>
  </conditionalFormatting>
  <conditionalFormatting sqref="AU97:AU102">
    <cfRule type="colorScale" priority="11860">
      <colorScale>
        <cfvo type="min"/>
        <cfvo type="percentile" val="50"/>
        <cfvo type="max"/>
        <color rgb="FF63BE7B"/>
        <color rgb="FFFFEB84"/>
        <color rgb="FFF8696B"/>
      </colorScale>
    </cfRule>
  </conditionalFormatting>
  <conditionalFormatting sqref="AU103:AU111">
    <cfRule type="colorScale" priority="11726">
      <colorScale>
        <cfvo type="min"/>
        <cfvo type="percentile" val="50"/>
        <cfvo type="max"/>
        <color rgb="FF63BE7B"/>
        <color rgb="FFFFEB84"/>
        <color rgb="FFF8696B"/>
      </colorScale>
    </cfRule>
  </conditionalFormatting>
  <conditionalFormatting sqref="AU112:AU114">
    <cfRule type="colorScale" priority="11639">
      <colorScale>
        <cfvo type="min"/>
        <cfvo type="percentile" val="50"/>
        <cfvo type="max"/>
        <color rgb="FF63BE7B"/>
        <color rgb="FFFFEB84"/>
        <color rgb="FFF8696B"/>
      </colorScale>
    </cfRule>
    <cfRule type="colorScale" priority="11640">
      <colorScale>
        <cfvo type="min"/>
        <cfvo type="percentile" val="50"/>
        <cfvo type="max"/>
        <color rgb="FF63BE7B"/>
        <color rgb="FFFFEB84"/>
        <color rgb="FFF8696B"/>
      </colorScale>
    </cfRule>
    <cfRule type="colorScale" priority="11641">
      <colorScale>
        <cfvo type="min"/>
        <cfvo type="percentile" val="50"/>
        <cfvo type="max"/>
        <color rgb="FF63BE7B"/>
        <color rgb="FFFFEB84"/>
        <color rgb="FFF8696B"/>
      </colorScale>
    </cfRule>
    <cfRule type="colorScale" priority="11642">
      <colorScale>
        <cfvo type="min"/>
        <cfvo type="percentile" val="50"/>
        <cfvo type="max"/>
        <color rgb="FF63BE7B"/>
        <color rgb="FFFFEB84"/>
        <color rgb="FFF8696B"/>
      </colorScale>
    </cfRule>
  </conditionalFormatting>
  <conditionalFormatting sqref="AU114:AU117">
    <cfRule type="colorScale" priority="11456">
      <colorScale>
        <cfvo type="min"/>
        <cfvo type="percentile" val="50"/>
        <cfvo type="max"/>
        <color rgb="FF63BE7B"/>
        <color rgb="FFFFEB84"/>
        <color rgb="FFF8696B"/>
      </colorScale>
    </cfRule>
    <cfRule type="colorScale" priority="11455">
      <colorScale>
        <cfvo type="min"/>
        <cfvo type="percentile" val="50"/>
        <cfvo type="max"/>
        <color rgb="FF63BE7B"/>
        <color rgb="FFFFEB84"/>
        <color rgb="FFF8696B"/>
      </colorScale>
    </cfRule>
    <cfRule type="colorScale" priority="11453">
      <colorScale>
        <cfvo type="min"/>
        <cfvo type="percentile" val="50"/>
        <cfvo type="max"/>
        <color rgb="FF63BE7B"/>
        <color rgb="FFFFEB84"/>
        <color rgb="FFF8696B"/>
      </colorScale>
    </cfRule>
  </conditionalFormatting>
  <conditionalFormatting sqref="AU115:AU122">
    <cfRule type="colorScale" priority="11449">
      <colorScale>
        <cfvo type="min"/>
        <cfvo type="percentile" val="50"/>
        <cfvo type="max"/>
        <color rgb="FF63BE7B"/>
        <color rgb="FFFFEB84"/>
        <color rgb="FFF8696B"/>
      </colorScale>
    </cfRule>
    <cfRule type="colorScale" priority="11452">
      <colorScale>
        <cfvo type="min"/>
        <cfvo type="percentile" val="50"/>
        <cfvo type="max"/>
        <color rgb="FF63BE7B"/>
        <color rgb="FFFFEB84"/>
        <color rgb="FFF8696B"/>
      </colorScale>
    </cfRule>
    <cfRule type="colorScale" priority="11451">
      <colorScale>
        <cfvo type="min"/>
        <cfvo type="percentile" val="50"/>
        <cfvo type="max"/>
        <color rgb="FF63BE7B"/>
        <color rgb="FFFFEB84"/>
        <color rgb="FFF8696B"/>
      </colorScale>
    </cfRule>
  </conditionalFormatting>
  <conditionalFormatting sqref="AU116">
    <cfRule type="colorScale" priority="11454">
      <colorScale>
        <cfvo type="min"/>
        <cfvo type="percentile" val="50"/>
        <cfvo type="max"/>
        <color rgb="FF63BE7B"/>
        <color rgb="FFFFEB84"/>
        <color rgb="FFF8696B"/>
      </colorScale>
    </cfRule>
  </conditionalFormatting>
  <conditionalFormatting sqref="AU117">
    <cfRule type="colorScale" priority="11450">
      <colorScale>
        <cfvo type="min"/>
        <cfvo type="percentile" val="50"/>
        <cfvo type="max"/>
        <color rgb="FF63BE7B"/>
        <color rgb="FFFFEB84"/>
        <color rgb="FFF8696B"/>
      </colorScale>
    </cfRule>
  </conditionalFormatting>
  <conditionalFormatting sqref="AU35:AV37">
    <cfRule type="colorScale" priority="7803">
      <colorScale>
        <cfvo type="min"/>
        <cfvo type="percentile" val="50"/>
        <cfvo type="max"/>
        <color rgb="FF63BE7B"/>
        <color rgb="FFFFEB84"/>
        <color rgb="FFF8696B"/>
      </colorScale>
    </cfRule>
    <cfRule type="colorScale" priority="7933">
      <colorScale>
        <cfvo type="min"/>
        <cfvo type="percentile" val="50"/>
        <cfvo type="max"/>
        <color rgb="FF63BE7B"/>
        <color rgb="FFFFEB84"/>
        <color rgb="FFF8696B"/>
      </colorScale>
    </cfRule>
    <cfRule type="colorScale" priority="7861">
      <colorScale>
        <cfvo type="min"/>
        <cfvo type="percentile" val="50"/>
        <cfvo type="max"/>
        <color rgb="FF63BE7B"/>
        <color rgb="FFFFEB84"/>
        <color rgb="FFF8696B"/>
      </colorScale>
    </cfRule>
    <cfRule type="colorScale" priority="9687">
      <colorScale>
        <cfvo type="min"/>
        <cfvo type="percentile" val="50"/>
        <cfvo type="max"/>
        <color rgb="FF63BE7B"/>
        <color rgb="FFFFEB84"/>
        <color rgb="FFF8696B"/>
      </colorScale>
    </cfRule>
    <cfRule type="colorScale" priority="7801">
      <colorScale>
        <cfvo type="min"/>
        <cfvo type="percentile" val="50"/>
        <cfvo type="max"/>
        <color rgb="FF63BE7B"/>
        <color rgb="FFFFEB84"/>
        <color rgb="FFF8696B"/>
      </colorScale>
    </cfRule>
    <cfRule type="colorScale" priority="7800">
      <colorScale>
        <cfvo type="min"/>
        <cfvo type="percentile" val="50"/>
        <cfvo type="max"/>
        <color rgb="FF63BE7B"/>
        <color rgb="FFFFEB84"/>
        <color rgb="FFF8696B"/>
      </colorScale>
    </cfRule>
    <cfRule type="colorScale" priority="7799">
      <colorScale>
        <cfvo type="min"/>
        <cfvo type="percentile" val="50"/>
        <cfvo type="max"/>
        <color rgb="FF63BE7B"/>
        <color rgb="FFFFEB84"/>
        <color rgb="FFF8696B"/>
      </colorScale>
    </cfRule>
    <cfRule type="colorScale" priority="7798">
      <colorScale>
        <cfvo type="min"/>
        <cfvo type="percentile" val="50"/>
        <cfvo type="max"/>
        <color rgb="FF63BE7B"/>
        <color rgb="FFFFEB84"/>
        <color rgb="FFF8696B"/>
      </colorScale>
    </cfRule>
    <cfRule type="colorScale" priority="9686">
      <colorScale>
        <cfvo type="min"/>
        <cfvo type="percentile" val="50"/>
        <cfvo type="max"/>
        <color rgb="FF63BE7B"/>
        <color rgb="FFFFEB84"/>
        <color rgb="FFF8696B"/>
      </colorScale>
    </cfRule>
    <cfRule type="colorScale" priority="7817">
      <colorScale>
        <cfvo type="min"/>
        <cfvo type="percentile" val="50"/>
        <cfvo type="max"/>
        <color rgb="FF63BE7B"/>
        <color rgb="FFFFEB84"/>
        <color rgb="FFF8696B"/>
      </colorScale>
    </cfRule>
    <cfRule type="colorScale" priority="9685">
      <colorScale>
        <cfvo type="min"/>
        <cfvo type="percentile" val="50"/>
        <cfvo type="max"/>
        <color rgb="FF63BE7B"/>
        <color rgb="FFFFEB84"/>
        <color rgb="FFF8696B"/>
      </colorScale>
    </cfRule>
    <cfRule type="colorScale" priority="7852">
      <colorScale>
        <cfvo type="min"/>
        <cfvo type="percentile" val="50"/>
        <cfvo type="max"/>
        <color rgb="FF63BE7B"/>
        <color rgb="FFFFEB84"/>
        <color rgb="FFF8696B"/>
      </colorScale>
    </cfRule>
    <cfRule type="colorScale" priority="7851">
      <colorScale>
        <cfvo type="min"/>
        <cfvo type="percentile" val="50"/>
        <cfvo type="max"/>
        <color rgb="FF63BE7B"/>
        <color rgb="FFFFEB84"/>
        <color rgb="FFF8696B"/>
      </colorScale>
    </cfRule>
    <cfRule type="colorScale" priority="9677">
      <colorScale>
        <cfvo type="min"/>
        <cfvo type="percentile" val="50"/>
        <cfvo type="max"/>
        <color rgb="FF63BE7B"/>
        <color rgb="FFFFEB84"/>
        <color rgb="FFF8696B"/>
      </colorScale>
    </cfRule>
    <cfRule type="colorScale" priority="7849">
      <colorScale>
        <cfvo type="min"/>
        <cfvo type="percentile" val="50"/>
        <cfvo type="max"/>
        <color rgb="FF63BE7B"/>
        <color rgb="FFFFEB84"/>
        <color rgb="FFF8696B"/>
      </colorScale>
    </cfRule>
    <cfRule type="colorScale" priority="7847">
      <colorScale>
        <cfvo type="min"/>
        <cfvo type="percentile" val="50"/>
        <cfvo type="max"/>
        <color rgb="FF63BE7B"/>
        <color rgb="FFFFEB84"/>
        <color rgb="FFF8696B"/>
      </colorScale>
    </cfRule>
    <cfRule type="colorScale" priority="7846">
      <colorScale>
        <cfvo type="min"/>
        <cfvo type="percentile" val="50"/>
        <cfvo type="max"/>
        <color rgb="FF63BE7B"/>
        <color rgb="FFFFEB84"/>
        <color rgb="FFF8696B"/>
      </colorScale>
    </cfRule>
    <cfRule type="colorScale" priority="7848">
      <colorScale>
        <cfvo type="min"/>
        <cfvo type="percentile" val="50"/>
        <cfvo type="max"/>
        <color rgb="FF63BE7B"/>
        <color rgb="FFFFEB84"/>
        <color rgb="FFF8696B"/>
      </colorScale>
    </cfRule>
    <cfRule type="colorScale" priority="8492">
      <colorScale>
        <cfvo type="min"/>
        <cfvo type="percentile" val="50"/>
        <cfvo type="max"/>
        <color rgb="FF63BE7B"/>
        <color rgb="FFFFEB84"/>
        <color rgb="FFF8696B"/>
      </colorScale>
    </cfRule>
    <cfRule type="colorScale" priority="7888">
      <colorScale>
        <cfvo type="min"/>
        <cfvo type="percentile" val="50"/>
        <cfvo type="max"/>
        <color rgb="FF63BE7B"/>
        <color rgb="FFFFEB84"/>
        <color rgb="FFF8696B"/>
      </colorScale>
    </cfRule>
    <cfRule type="colorScale" priority="8491">
      <colorScale>
        <cfvo type="min"/>
        <cfvo type="percentile" val="50"/>
        <cfvo type="max"/>
        <color rgb="FF63BE7B"/>
        <color rgb="FFFFEB84"/>
        <color rgb="FFF8696B"/>
      </colorScale>
    </cfRule>
    <cfRule type="colorScale" priority="8489">
      <colorScale>
        <cfvo type="min"/>
        <cfvo type="percentile" val="50"/>
        <cfvo type="max"/>
        <color rgb="FF63BE7B"/>
        <color rgb="FFFFEB84"/>
        <color rgb="FFF8696B"/>
      </colorScale>
    </cfRule>
    <cfRule type="colorScale" priority="7790">
      <colorScale>
        <cfvo type="min"/>
        <cfvo type="percentile" val="50"/>
        <cfvo type="max"/>
        <color rgb="FF63BE7B"/>
        <color rgb="FFFFEB84"/>
        <color rgb="FFF8696B"/>
      </colorScale>
    </cfRule>
    <cfRule type="colorScale" priority="8488">
      <colorScale>
        <cfvo type="min"/>
        <cfvo type="percentile" val="50"/>
        <cfvo type="max"/>
        <color rgb="FF63BE7B"/>
        <color rgb="FFFFEB84"/>
        <color rgb="FFF8696B"/>
      </colorScale>
    </cfRule>
    <cfRule type="colorScale" priority="8487">
      <colorScale>
        <cfvo type="min"/>
        <cfvo type="percentile" val="50"/>
        <cfvo type="max"/>
        <color rgb="FF63BE7B"/>
        <color rgb="FFFFEB84"/>
        <color rgb="FFF8696B"/>
      </colorScale>
    </cfRule>
    <cfRule type="colorScale" priority="7838">
      <colorScale>
        <cfvo type="min"/>
        <cfvo type="percentile" val="50"/>
        <cfvo type="max"/>
        <color rgb="FF63BE7B"/>
        <color rgb="FFFFEB84"/>
        <color rgb="FFF8696B"/>
      </colorScale>
    </cfRule>
    <cfRule type="colorScale" priority="8486">
      <colorScale>
        <cfvo type="min"/>
        <cfvo type="percentile" val="50"/>
        <cfvo type="max"/>
        <color rgb="FF63BE7B"/>
        <color rgb="FFFFEB84"/>
        <color rgb="FFF8696B"/>
      </colorScale>
    </cfRule>
    <cfRule type="colorScale" priority="8478">
      <colorScale>
        <cfvo type="min"/>
        <cfvo type="percentile" val="50"/>
        <cfvo type="max"/>
        <color rgb="FF63BE7B"/>
        <color rgb="FFFFEB84"/>
        <color rgb="FFF8696B"/>
      </colorScale>
    </cfRule>
    <cfRule type="colorScale" priority="8465">
      <colorScale>
        <cfvo type="min"/>
        <cfvo type="percentile" val="50"/>
        <cfvo type="max"/>
        <color rgb="FF63BE7B"/>
        <color rgb="FFFFEB84"/>
        <color rgb="FFF8696B"/>
      </colorScale>
    </cfRule>
    <cfRule type="colorScale" priority="8464">
      <colorScale>
        <cfvo type="min"/>
        <cfvo type="percentile" val="50"/>
        <cfvo type="max"/>
        <color rgb="FF63BE7B"/>
        <color rgb="FFFFEB84"/>
        <color rgb="FFF8696B"/>
      </colorScale>
    </cfRule>
    <cfRule type="colorScale" priority="7910">
      <colorScale>
        <cfvo type="min"/>
        <cfvo type="percentile" val="50"/>
        <cfvo type="max"/>
        <color rgb="FF63BE7B"/>
        <color rgb="FFFFEB84"/>
        <color rgb="FFF8696B"/>
      </colorScale>
    </cfRule>
    <cfRule type="colorScale" priority="8462">
      <colorScale>
        <cfvo type="min"/>
        <cfvo type="percentile" val="50"/>
        <cfvo type="max"/>
        <color rgb="FF63BE7B"/>
        <color rgb="FFFFEB84"/>
        <color rgb="FFF8696B"/>
      </colorScale>
    </cfRule>
    <cfRule type="colorScale" priority="8461">
      <colorScale>
        <cfvo type="min"/>
        <cfvo type="percentile" val="50"/>
        <cfvo type="max"/>
        <color rgb="FF63BE7B"/>
        <color rgb="FFFFEB84"/>
        <color rgb="FFF8696B"/>
      </colorScale>
    </cfRule>
    <cfRule type="colorScale" priority="7875">
      <colorScale>
        <cfvo type="min"/>
        <cfvo type="percentile" val="50"/>
        <cfvo type="max"/>
        <color rgb="FF63BE7B"/>
        <color rgb="FFFFEB84"/>
        <color rgb="FFF8696B"/>
      </colorScale>
    </cfRule>
    <cfRule type="colorScale" priority="7874">
      <colorScale>
        <cfvo type="min"/>
        <cfvo type="percentile" val="50"/>
        <cfvo type="max"/>
        <color rgb="FF63BE7B"/>
        <color rgb="FFFFEB84"/>
        <color rgb="FFF8696B"/>
      </colorScale>
    </cfRule>
    <cfRule type="colorScale" priority="8460">
      <colorScale>
        <cfvo type="min"/>
        <cfvo type="percentile" val="50"/>
        <cfvo type="max"/>
        <color rgb="FF63BE7B"/>
        <color rgb="FFFFEB84"/>
        <color rgb="FFF8696B"/>
      </colorScale>
    </cfRule>
    <cfRule type="colorScale" priority="7872">
      <colorScale>
        <cfvo type="min"/>
        <cfvo type="percentile" val="50"/>
        <cfvo type="max"/>
        <color rgb="FF63BE7B"/>
        <color rgb="FFFFEB84"/>
        <color rgb="FFF8696B"/>
      </colorScale>
    </cfRule>
    <cfRule type="colorScale" priority="7871">
      <colorScale>
        <cfvo type="min"/>
        <cfvo type="percentile" val="50"/>
        <cfvo type="max"/>
        <color rgb="FF63BE7B"/>
        <color rgb="FFFFEB84"/>
        <color rgb="FFF8696B"/>
      </colorScale>
    </cfRule>
    <cfRule type="colorScale" priority="7902">
      <colorScale>
        <cfvo type="min"/>
        <cfvo type="percentile" val="50"/>
        <cfvo type="max"/>
        <color rgb="FF63BE7B"/>
        <color rgb="FFFFEB84"/>
        <color rgb="FFF8696B"/>
      </colorScale>
    </cfRule>
    <cfRule type="colorScale" priority="7901">
      <colorScale>
        <cfvo type="min"/>
        <cfvo type="percentile" val="50"/>
        <cfvo type="max"/>
        <color rgb="FF63BE7B"/>
        <color rgb="FFFFEB84"/>
        <color rgb="FFF8696B"/>
      </colorScale>
    </cfRule>
    <cfRule type="colorScale" priority="7870">
      <colorScale>
        <cfvo type="min"/>
        <cfvo type="percentile" val="50"/>
        <cfvo type="max"/>
        <color rgb="FF63BE7B"/>
        <color rgb="FFFFEB84"/>
        <color rgb="FFF8696B"/>
      </colorScale>
    </cfRule>
    <cfRule type="colorScale" priority="7899">
      <colorScale>
        <cfvo type="min"/>
        <cfvo type="percentile" val="50"/>
        <cfvo type="max"/>
        <color rgb="FF63BE7B"/>
        <color rgb="FFFFEB84"/>
        <color rgb="FFF8696B"/>
      </colorScale>
    </cfRule>
    <cfRule type="colorScale" priority="7898">
      <colorScale>
        <cfvo type="min"/>
        <cfvo type="percentile" val="50"/>
        <cfvo type="max"/>
        <color rgb="FF63BE7B"/>
        <color rgb="FFFFEB84"/>
        <color rgb="FFF8696B"/>
      </colorScale>
    </cfRule>
    <cfRule type="colorScale" priority="7897">
      <colorScale>
        <cfvo type="min"/>
        <cfvo type="percentile" val="50"/>
        <cfvo type="max"/>
        <color rgb="FF63BE7B"/>
        <color rgb="FFFFEB84"/>
        <color rgb="FFF8696B"/>
      </colorScale>
    </cfRule>
    <cfRule type="colorScale" priority="7896">
      <colorScale>
        <cfvo type="min"/>
        <cfvo type="percentile" val="50"/>
        <cfvo type="max"/>
        <color rgb="FF63BE7B"/>
        <color rgb="FFFFEB84"/>
        <color rgb="FFF8696B"/>
      </colorScale>
    </cfRule>
    <cfRule type="colorScale" priority="7869">
      <colorScale>
        <cfvo type="min"/>
        <cfvo type="percentile" val="50"/>
        <cfvo type="max"/>
        <color rgb="FF63BE7B"/>
        <color rgb="FFFFEB84"/>
        <color rgb="FFF8696B"/>
      </colorScale>
    </cfRule>
    <cfRule type="colorScale" priority="8459">
      <colorScale>
        <cfvo type="min"/>
        <cfvo type="percentile" val="50"/>
        <cfvo type="max"/>
        <color rgb="FF63BE7B"/>
        <color rgb="FFFFEB84"/>
        <color rgb="FFF8696B"/>
      </colorScale>
    </cfRule>
    <cfRule type="colorScale" priority="8451">
      <colorScale>
        <cfvo type="min"/>
        <cfvo type="percentile" val="50"/>
        <cfvo type="max"/>
        <color rgb="FF63BE7B"/>
        <color rgb="FFFFEB84"/>
        <color rgb="FFF8696B"/>
      </colorScale>
    </cfRule>
    <cfRule type="colorScale" priority="9691">
      <colorScale>
        <cfvo type="min"/>
        <cfvo type="percentile" val="50"/>
        <cfvo type="max"/>
        <color rgb="FF63BE7B"/>
        <color rgb="FFFFEB84"/>
        <color rgb="FFF8696B"/>
      </colorScale>
    </cfRule>
    <cfRule type="colorScale" priority="9690">
      <colorScale>
        <cfvo type="min"/>
        <cfvo type="percentile" val="50"/>
        <cfvo type="max"/>
        <color rgb="FF63BE7B"/>
        <color rgb="FFFFEB84"/>
        <color rgb="FFF8696B"/>
      </colorScale>
    </cfRule>
    <cfRule type="colorScale" priority="10630">
      <colorScale>
        <cfvo type="min"/>
        <cfvo type="percentile" val="50"/>
        <cfvo type="max"/>
        <color rgb="FF63BE7B"/>
        <color rgb="FFFFEB84"/>
        <color rgb="FFF8696B"/>
      </colorScale>
    </cfRule>
    <cfRule type="colorScale" priority="9688">
      <colorScale>
        <cfvo type="min"/>
        <cfvo type="percentile" val="50"/>
        <cfvo type="max"/>
        <color rgb="FF63BE7B"/>
        <color rgb="FFFFEB84"/>
        <color rgb="FFF8696B"/>
      </colorScale>
    </cfRule>
    <cfRule type="colorScale" priority="7804">
      <colorScale>
        <cfvo type="min"/>
        <cfvo type="percentile" val="50"/>
        <cfvo type="max"/>
        <color rgb="FF63BE7B"/>
        <color rgb="FFFFEB84"/>
        <color rgb="FFF8696B"/>
      </colorScale>
    </cfRule>
  </conditionalFormatting>
  <conditionalFormatting sqref="AU35:AV40">
    <cfRule type="colorScale" priority="7836">
      <colorScale>
        <cfvo type="min"/>
        <cfvo type="percentile" val="50"/>
        <cfvo type="max"/>
        <color rgb="FF63BE7B"/>
        <color rgb="FFFFEB84"/>
        <color rgb="FFF8696B"/>
      </colorScale>
    </cfRule>
    <cfRule type="colorScale" priority="7845">
      <colorScale>
        <cfvo type="min"/>
        <cfvo type="percentile" val="50"/>
        <cfvo type="max"/>
        <color rgb="FF63BE7B"/>
        <color rgb="FFFFEB84"/>
        <color rgb="FFF8696B"/>
      </colorScale>
    </cfRule>
    <cfRule type="colorScale" priority="7844">
      <colorScale>
        <cfvo type="min"/>
        <cfvo type="percentile" val="50"/>
        <cfvo type="max"/>
        <color rgb="FF63BE7B"/>
        <color rgb="FFFFEB84"/>
        <color rgb="FFF8696B"/>
      </colorScale>
    </cfRule>
    <cfRule type="colorScale" priority="7843">
      <colorScale>
        <cfvo type="min"/>
        <cfvo type="percentile" val="50"/>
        <cfvo type="max"/>
        <color rgb="FF63BE7B"/>
        <color rgb="FFFFEB84"/>
        <color rgb="FFF8696B"/>
      </colorScale>
    </cfRule>
    <cfRule type="colorScale" priority="7842">
      <colorScale>
        <cfvo type="min"/>
        <cfvo type="percentile" val="50"/>
        <cfvo type="max"/>
        <color rgb="FF63BE7B"/>
        <color rgb="FFFFEB84"/>
        <color rgb="FFF8696B"/>
      </colorScale>
    </cfRule>
    <cfRule type="colorScale" priority="7841">
      <colorScale>
        <cfvo type="min"/>
        <cfvo type="percentile" val="50"/>
        <cfvo type="max"/>
        <color rgb="FF63BE7B"/>
        <color rgb="FFFFEB84"/>
        <color rgb="FFF8696B"/>
      </colorScale>
    </cfRule>
    <cfRule type="colorScale" priority="7840">
      <colorScale>
        <cfvo type="min"/>
        <cfvo type="percentile" val="50"/>
        <cfvo type="max"/>
        <color rgb="FF63BE7B"/>
        <color rgb="FFFFEB84"/>
        <color rgb="FFF8696B"/>
      </colorScale>
    </cfRule>
    <cfRule type="colorScale" priority="7839">
      <colorScale>
        <cfvo type="min"/>
        <cfvo type="percentile" val="50"/>
        <cfvo type="max"/>
        <color rgb="FF63BE7B"/>
        <color rgb="FFFFEB84"/>
        <color rgb="FFF8696B"/>
      </colorScale>
    </cfRule>
    <cfRule type="colorScale" priority="7837">
      <colorScale>
        <cfvo type="min"/>
        <cfvo type="percentile" val="50"/>
        <cfvo type="max"/>
        <color rgb="FF63BE7B"/>
        <color rgb="FFFFEB84"/>
        <color rgb="FFF8696B"/>
      </colorScale>
    </cfRule>
  </conditionalFormatting>
  <conditionalFormatting sqref="AU35:AV41">
    <cfRule type="colorScale" priority="7934">
      <colorScale>
        <cfvo type="min"/>
        <cfvo type="percentile" val="50"/>
        <cfvo type="max"/>
        <color rgb="FF63BE7B"/>
        <color rgb="FFFFEB84"/>
        <color rgb="FFF8696B"/>
      </colorScale>
    </cfRule>
    <cfRule type="colorScale" priority="7932">
      <colorScale>
        <cfvo type="min"/>
        <cfvo type="percentile" val="50"/>
        <cfvo type="max"/>
        <color rgb="FF63BE7B"/>
        <color rgb="FFFFEB84"/>
        <color rgb="FFF8696B"/>
      </colorScale>
    </cfRule>
    <cfRule type="colorScale" priority="7931">
      <colorScale>
        <cfvo type="min"/>
        <cfvo type="percentile" val="50"/>
        <cfvo type="max"/>
        <color rgb="FF63BE7B"/>
        <color rgb="FFFFEB84"/>
        <color rgb="FFF8696B"/>
      </colorScale>
    </cfRule>
    <cfRule type="colorScale" priority="7930">
      <colorScale>
        <cfvo type="min"/>
        <cfvo type="percentile" val="50"/>
        <cfvo type="max"/>
        <color rgb="FF63BE7B"/>
        <color rgb="FFFFEB84"/>
        <color rgb="FFF8696B"/>
      </colorScale>
    </cfRule>
    <cfRule type="colorScale" priority="7929">
      <colorScale>
        <cfvo type="min"/>
        <cfvo type="percentile" val="50"/>
        <cfvo type="max"/>
        <color rgb="FF63BE7B"/>
        <color rgb="FFFFEB84"/>
        <color rgb="FFF8696B"/>
      </colorScale>
    </cfRule>
    <cfRule type="colorScale" priority="7928">
      <colorScale>
        <cfvo type="min"/>
        <cfvo type="percentile" val="50"/>
        <cfvo type="max"/>
        <color rgb="FF63BE7B"/>
        <color rgb="FFFFEB84"/>
        <color rgb="FFF8696B"/>
      </colorScale>
    </cfRule>
    <cfRule type="colorScale" priority="7927">
      <colorScale>
        <cfvo type="min"/>
        <cfvo type="percentile" val="50"/>
        <cfvo type="max"/>
        <color rgb="FF63BE7B"/>
        <color rgb="FFFFEB84"/>
        <color rgb="FFF8696B"/>
      </colorScale>
    </cfRule>
    <cfRule type="colorScale" priority="7926">
      <colorScale>
        <cfvo type="min"/>
        <cfvo type="percentile" val="50"/>
        <cfvo type="max"/>
        <color rgb="FF63BE7B"/>
        <color rgb="FFFFEB84"/>
        <color rgb="FFF8696B"/>
      </colorScale>
    </cfRule>
    <cfRule type="colorScale" priority="7925">
      <colorScale>
        <cfvo type="min"/>
        <cfvo type="percentile" val="50"/>
        <cfvo type="max"/>
        <color rgb="FF63BE7B"/>
        <color rgb="FFFFEB84"/>
        <color rgb="FFF8696B"/>
      </colorScale>
    </cfRule>
    <cfRule type="colorScale" priority="7924">
      <colorScale>
        <cfvo type="min"/>
        <cfvo type="percentile" val="50"/>
        <cfvo type="max"/>
        <color rgb="FF63BE7B"/>
        <color rgb="FFFFEB84"/>
        <color rgb="FFF8696B"/>
      </colorScale>
    </cfRule>
    <cfRule type="colorScale" priority="7923">
      <colorScale>
        <cfvo type="min"/>
        <cfvo type="percentile" val="50"/>
        <cfvo type="max"/>
        <color rgb="FF63BE7B"/>
        <color rgb="FFFFEB84"/>
        <color rgb="FFF8696B"/>
      </colorScale>
    </cfRule>
    <cfRule type="colorScale" priority="7922">
      <colorScale>
        <cfvo type="min"/>
        <cfvo type="percentile" val="50"/>
        <cfvo type="max"/>
        <color rgb="FF63BE7B"/>
        <color rgb="FFFFEB84"/>
        <color rgb="FFF8696B"/>
      </colorScale>
    </cfRule>
    <cfRule type="colorScale" priority="7921">
      <colorScale>
        <cfvo type="min"/>
        <cfvo type="percentile" val="50"/>
        <cfvo type="max"/>
        <color rgb="FF63BE7B"/>
        <color rgb="FFFFEB84"/>
        <color rgb="FFF8696B"/>
      </colorScale>
    </cfRule>
    <cfRule type="colorScale" priority="7920">
      <colorScale>
        <cfvo type="min"/>
        <cfvo type="percentile" val="50"/>
        <cfvo type="max"/>
        <color rgb="FF63BE7B"/>
        <color rgb="FFFFEB84"/>
        <color rgb="FFF8696B"/>
      </colorScale>
    </cfRule>
    <cfRule type="colorScale" priority="7919">
      <colorScale>
        <cfvo type="min"/>
        <cfvo type="percentile" val="50"/>
        <cfvo type="max"/>
        <color rgb="FF63BE7B"/>
        <color rgb="FFFFEB84"/>
        <color rgb="FFF8696B"/>
      </colorScale>
    </cfRule>
    <cfRule type="colorScale" priority="8477">
      <colorScale>
        <cfvo type="min"/>
        <cfvo type="percentile" val="50"/>
        <cfvo type="max"/>
        <color rgb="FF63BE7B"/>
        <color rgb="FFFFEB84"/>
        <color rgb="FFF8696B"/>
      </colorScale>
    </cfRule>
    <cfRule type="colorScale" priority="8479">
      <colorScale>
        <cfvo type="min"/>
        <cfvo type="percentile" val="50"/>
        <cfvo type="max"/>
        <color rgb="FF63BE7B"/>
        <color rgb="FFFFEB84"/>
        <color rgb="FFF8696B"/>
      </colorScale>
    </cfRule>
    <cfRule type="colorScale" priority="8480">
      <colorScale>
        <cfvo type="min"/>
        <cfvo type="percentile" val="50"/>
        <cfvo type="max"/>
        <color rgb="FF63BE7B"/>
        <color rgb="FFFFEB84"/>
        <color rgb="FFF8696B"/>
      </colorScale>
    </cfRule>
    <cfRule type="colorScale" priority="8481">
      <colorScale>
        <cfvo type="min"/>
        <cfvo type="percentile" val="50"/>
        <cfvo type="max"/>
        <color rgb="FF63BE7B"/>
        <color rgb="FFFFEB84"/>
        <color rgb="FFF8696B"/>
      </colorScale>
    </cfRule>
    <cfRule type="colorScale" priority="7918">
      <colorScale>
        <cfvo type="min"/>
        <cfvo type="percentile" val="50"/>
        <cfvo type="max"/>
        <color rgb="FF63BE7B"/>
        <color rgb="FFFFEB84"/>
        <color rgb="FFF8696B"/>
      </colorScale>
    </cfRule>
    <cfRule type="colorScale" priority="7917">
      <colorScale>
        <cfvo type="min"/>
        <cfvo type="percentile" val="50"/>
        <cfvo type="max"/>
        <color rgb="FF63BE7B"/>
        <color rgb="FFFFEB84"/>
        <color rgb="FFF8696B"/>
      </colorScale>
    </cfRule>
    <cfRule type="colorScale" priority="7916">
      <colorScale>
        <cfvo type="min"/>
        <cfvo type="percentile" val="50"/>
        <cfvo type="max"/>
        <color rgb="FF63BE7B"/>
        <color rgb="FFFFEB84"/>
        <color rgb="FFF8696B"/>
      </colorScale>
    </cfRule>
    <cfRule type="colorScale" priority="7915">
      <colorScale>
        <cfvo type="min"/>
        <cfvo type="percentile" val="50"/>
        <cfvo type="max"/>
        <color rgb="FF63BE7B"/>
        <color rgb="FFFFEB84"/>
        <color rgb="FFF8696B"/>
      </colorScale>
    </cfRule>
    <cfRule type="colorScale" priority="7914">
      <colorScale>
        <cfvo type="min"/>
        <cfvo type="percentile" val="50"/>
        <cfvo type="max"/>
        <color rgb="FF63BE7B"/>
        <color rgb="FFFFEB84"/>
        <color rgb="FFF8696B"/>
      </colorScale>
    </cfRule>
    <cfRule type="colorScale" priority="7913">
      <colorScale>
        <cfvo type="min"/>
        <cfvo type="percentile" val="50"/>
        <cfvo type="max"/>
        <color rgb="FF63BE7B"/>
        <color rgb="FFFFEB84"/>
        <color rgb="FFF8696B"/>
      </colorScale>
    </cfRule>
    <cfRule type="colorScale" priority="7912">
      <colorScale>
        <cfvo type="min"/>
        <cfvo type="percentile" val="50"/>
        <cfvo type="max"/>
        <color rgb="FF63BE7B"/>
        <color rgb="FFFFEB84"/>
        <color rgb="FFF8696B"/>
      </colorScale>
    </cfRule>
    <cfRule type="colorScale" priority="9701">
      <colorScale>
        <cfvo type="min"/>
        <cfvo type="percentile" val="50"/>
        <cfvo type="max"/>
        <color rgb="FF63BE7B"/>
        <color rgb="FFFFEB84"/>
        <color rgb="FFF8696B"/>
      </colorScale>
    </cfRule>
    <cfRule type="colorScale" priority="8482">
      <colorScale>
        <cfvo type="min"/>
        <cfvo type="percentile" val="50"/>
        <cfvo type="max"/>
        <color rgb="FF63BE7B"/>
        <color rgb="FFFFEB84"/>
        <color rgb="FFF8696B"/>
      </colorScale>
    </cfRule>
    <cfRule type="colorScale" priority="7911">
      <colorScale>
        <cfvo type="min"/>
        <cfvo type="percentile" val="50"/>
        <cfvo type="max"/>
        <color rgb="FF63BE7B"/>
        <color rgb="FFFFEB84"/>
        <color rgb="FFF8696B"/>
      </colorScale>
    </cfRule>
    <cfRule type="colorScale" priority="7909">
      <colorScale>
        <cfvo type="min"/>
        <cfvo type="percentile" val="50"/>
        <cfvo type="max"/>
        <color rgb="FF63BE7B"/>
        <color rgb="FFFFEB84"/>
        <color rgb="FFF8696B"/>
      </colorScale>
    </cfRule>
    <cfRule type="colorScale" priority="7908">
      <colorScale>
        <cfvo type="min"/>
        <cfvo type="percentile" val="50"/>
        <cfvo type="max"/>
        <color rgb="FF63BE7B"/>
        <color rgb="FFFFEB84"/>
        <color rgb="FFF8696B"/>
      </colorScale>
    </cfRule>
    <cfRule type="colorScale" priority="7907">
      <colorScale>
        <cfvo type="min"/>
        <cfvo type="percentile" val="50"/>
        <cfvo type="max"/>
        <color rgb="FFF8696B"/>
        <color rgb="FFFFEB84"/>
        <color rgb="FF63BE7B"/>
      </colorScale>
    </cfRule>
    <cfRule type="colorScale" priority="8469">
      <colorScale>
        <cfvo type="min"/>
        <cfvo type="percentile" val="50"/>
        <cfvo type="max"/>
        <color rgb="FF63BE7B"/>
        <color rgb="FFFFEB84"/>
        <color rgb="FFF8696B"/>
      </colorScale>
    </cfRule>
    <cfRule type="colorScale" priority="7905">
      <colorScale>
        <cfvo type="min"/>
        <cfvo type="percentile" val="50"/>
        <cfvo type="max"/>
        <color rgb="FF63BE7B"/>
        <color rgb="FFFFEB84"/>
        <color rgb="FFF8696B"/>
      </colorScale>
    </cfRule>
    <cfRule type="colorScale" priority="7904">
      <colorScale>
        <cfvo type="min"/>
        <cfvo type="percentile" val="50"/>
        <cfvo type="max"/>
        <color rgb="FF63BE7B"/>
        <color rgb="FFFFEB84"/>
        <color rgb="FFF8696B"/>
      </colorScale>
    </cfRule>
    <cfRule type="colorScale" priority="7903">
      <colorScale>
        <cfvo type="min"/>
        <cfvo type="percentile" val="50"/>
        <cfvo type="max"/>
        <color rgb="FF63BE7B"/>
        <color rgb="FFFFEB84"/>
        <color rgb="FFF8696B"/>
      </colorScale>
    </cfRule>
    <cfRule type="colorScale" priority="8470">
      <colorScale>
        <cfvo type="min"/>
        <cfvo type="percentile" val="50"/>
        <cfvo type="max"/>
        <color rgb="FF63BE7B"/>
        <color rgb="FFFFEB84"/>
        <color rgb="FFF8696B"/>
      </colorScale>
    </cfRule>
    <cfRule type="colorScale" priority="7895">
      <colorScale>
        <cfvo type="min"/>
        <cfvo type="percentile" val="50"/>
        <cfvo type="max"/>
        <color rgb="FF63BE7B"/>
        <color rgb="FFFFEB84"/>
        <color rgb="FFF8696B"/>
      </colorScale>
    </cfRule>
    <cfRule type="colorScale" priority="7894">
      <colorScale>
        <cfvo type="min"/>
        <cfvo type="percentile" val="50"/>
        <cfvo type="max"/>
        <color rgb="FF63BE7B"/>
        <color rgb="FFFFEB84"/>
        <color rgb="FFF8696B"/>
      </colorScale>
    </cfRule>
    <cfRule type="colorScale" priority="7893">
      <colorScale>
        <cfvo type="min"/>
        <cfvo type="percentile" val="50"/>
        <cfvo type="max"/>
        <color rgb="FF63BE7B"/>
        <color rgb="FFFFEB84"/>
        <color rgb="FFF8696B"/>
      </colorScale>
    </cfRule>
    <cfRule type="colorScale" priority="10628">
      <colorScale>
        <cfvo type="min"/>
        <cfvo type="percentile" val="50"/>
        <cfvo type="max"/>
        <color rgb="FF63BE7B"/>
        <color rgb="FFFFEB84"/>
        <color rgb="FFF8696B"/>
      </colorScale>
    </cfRule>
    <cfRule type="colorScale" priority="10629">
      <colorScale>
        <cfvo type="min"/>
        <cfvo type="percentile" val="50"/>
        <cfvo type="max"/>
        <color rgb="FF63BE7B"/>
        <color rgb="FFFFEB84"/>
        <color rgb="FFF8696B"/>
      </colorScale>
    </cfRule>
    <cfRule type="colorScale" priority="10631">
      <colorScale>
        <cfvo type="min"/>
        <cfvo type="percentile" val="50"/>
        <cfvo type="max"/>
        <color rgb="FF63BE7B"/>
        <color rgb="FFFFEB84"/>
        <color rgb="FFF8696B"/>
      </colorScale>
    </cfRule>
    <cfRule type="colorScale" priority="10632">
      <colorScale>
        <cfvo type="min"/>
        <cfvo type="percentile" val="50"/>
        <cfvo type="max"/>
        <color rgb="FF63BE7B"/>
        <color rgb="FFFFEB84"/>
        <color rgb="FFF8696B"/>
      </colorScale>
    </cfRule>
    <cfRule type="colorScale" priority="10633">
      <colorScale>
        <cfvo type="min"/>
        <cfvo type="percentile" val="50"/>
        <cfvo type="max"/>
        <color rgb="FF63BE7B"/>
        <color rgb="FFFFEB84"/>
        <color rgb="FFF8696B"/>
      </colorScale>
    </cfRule>
    <cfRule type="colorScale" priority="10634">
      <colorScale>
        <cfvo type="min"/>
        <cfvo type="percentile" val="50"/>
        <cfvo type="max"/>
        <color rgb="FF63BE7B"/>
        <color rgb="FFFFEB84"/>
        <color rgb="FFF8696B"/>
      </colorScale>
    </cfRule>
    <cfRule type="colorScale" priority="10635">
      <colorScale>
        <cfvo type="min"/>
        <cfvo type="percentile" val="50"/>
        <cfvo type="max"/>
        <color rgb="FF63BE7B"/>
        <color rgb="FFFFEB84"/>
        <color rgb="FFF8696B"/>
      </colorScale>
    </cfRule>
    <cfRule type="colorScale" priority="10636">
      <colorScale>
        <cfvo type="min"/>
        <cfvo type="percentile" val="50"/>
        <cfvo type="max"/>
        <color rgb="FF63BE7B"/>
        <color rgb="FFFFEB84"/>
        <color rgb="FFF8696B"/>
      </colorScale>
    </cfRule>
    <cfRule type="colorScale" priority="10637">
      <colorScale>
        <cfvo type="min"/>
        <cfvo type="percentile" val="50"/>
        <cfvo type="max"/>
        <color rgb="FF63BE7B"/>
        <color rgb="FFFFEB84"/>
        <color rgb="FFF8696B"/>
      </colorScale>
    </cfRule>
    <cfRule type="colorScale" priority="10638">
      <colorScale>
        <cfvo type="min"/>
        <cfvo type="percentile" val="50"/>
        <cfvo type="max"/>
        <color rgb="FF63BE7B"/>
        <color rgb="FFFFEB84"/>
        <color rgb="FFF8696B"/>
      </colorScale>
    </cfRule>
    <cfRule type="colorScale" priority="10639">
      <colorScale>
        <cfvo type="min"/>
        <cfvo type="percentile" val="50"/>
        <cfvo type="max"/>
        <color rgb="FF63BE7B"/>
        <color rgb="FFFFEB84"/>
        <color rgb="FFF8696B"/>
      </colorScale>
    </cfRule>
    <cfRule type="colorScale" priority="10640">
      <colorScale>
        <cfvo type="min"/>
        <cfvo type="percentile" val="50"/>
        <cfvo type="max"/>
        <color rgb="FF63BE7B"/>
        <color rgb="FFFFEB84"/>
        <color rgb="FFF8696B"/>
      </colorScale>
    </cfRule>
    <cfRule type="colorScale" priority="10641">
      <colorScale>
        <cfvo type="min"/>
        <cfvo type="percentile" val="50"/>
        <cfvo type="max"/>
        <color rgb="FF63BE7B"/>
        <color rgb="FFFFEB84"/>
        <color rgb="FFF8696B"/>
      </colorScale>
    </cfRule>
    <cfRule type="colorScale" priority="10642">
      <colorScale>
        <cfvo type="min"/>
        <cfvo type="percentile" val="50"/>
        <cfvo type="max"/>
        <color rgb="FF63BE7B"/>
        <color rgb="FFFFEB84"/>
        <color rgb="FFF8696B"/>
      </colorScale>
    </cfRule>
    <cfRule type="colorScale" priority="10643">
      <colorScale>
        <cfvo type="min"/>
        <cfvo type="percentile" val="50"/>
        <cfvo type="max"/>
        <color rgb="FF63BE7B"/>
        <color rgb="FFFFEB84"/>
        <color rgb="FFF8696B"/>
      </colorScale>
    </cfRule>
    <cfRule type="colorScale" priority="10644">
      <colorScale>
        <cfvo type="min"/>
        <cfvo type="percentile" val="50"/>
        <cfvo type="max"/>
        <color rgb="FF63BE7B"/>
        <color rgb="FFFFEB84"/>
        <color rgb="FFF8696B"/>
      </colorScale>
    </cfRule>
    <cfRule type="colorScale" priority="10645">
      <colorScale>
        <cfvo type="min"/>
        <cfvo type="percentile" val="50"/>
        <cfvo type="max"/>
        <color rgb="FF63BE7B"/>
        <color rgb="FFFFEB84"/>
        <color rgb="FFF8696B"/>
      </colorScale>
    </cfRule>
    <cfRule type="colorScale" priority="10646">
      <colorScale>
        <cfvo type="min"/>
        <cfvo type="percentile" val="50"/>
        <cfvo type="max"/>
        <color rgb="FF63BE7B"/>
        <color rgb="FFFFEB84"/>
        <color rgb="FFF8696B"/>
      </colorScale>
    </cfRule>
    <cfRule type="colorScale" priority="7892">
      <colorScale>
        <cfvo type="min"/>
        <cfvo type="percentile" val="50"/>
        <cfvo type="max"/>
        <color rgb="FF63BE7B"/>
        <color rgb="FFFFEB84"/>
        <color rgb="FFF8696B"/>
      </colorScale>
    </cfRule>
    <cfRule type="colorScale" priority="7891">
      <colorScale>
        <cfvo type="min"/>
        <cfvo type="percentile" val="50"/>
        <cfvo type="max"/>
        <color rgb="FF63BE7B"/>
        <color rgb="FFFFEB84"/>
        <color rgb="FFF8696B"/>
      </colorScale>
    </cfRule>
    <cfRule type="colorScale" priority="7890">
      <colorScale>
        <cfvo type="min"/>
        <cfvo type="percentile" val="50"/>
        <cfvo type="max"/>
        <color rgb="FF63BE7B"/>
        <color rgb="FFFFEB84"/>
        <color rgb="FFF8696B"/>
      </colorScale>
    </cfRule>
    <cfRule type="colorScale" priority="7889">
      <colorScale>
        <cfvo type="min"/>
        <cfvo type="percentile" val="50"/>
        <cfvo type="max"/>
        <color rgb="FF63BE7B"/>
        <color rgb="FFFFEB84"/>
        <color rgb="FFF8696B"/>
      </colorScale>
    </cfRule>
    <cfRule type="colorScale" priority="7887">
      <colorScale>
        <cfvo type="min"/>
        <cfvo type="percentile" val="50"/>
        <cfvo type="max"/>
        <color rgb="FF63BE7B"/>
        <color rgb="FFFFEB84"/>
        <color rgb="FFF8696B"/>
      </colorScale>
    </cfRule>
    <cfRule type="colorScale" priority="7886">
      <colorScale>
        <cfvo type="min"/>
        <cfvo type="percentile" val="50"/>
        <cfvo type="max"/>
        <color rgb="FF63BE7B"/>
        <color rgb="FFFFEB84"/>
        <color rgb="FFF8696B"/>
      </colorScale>
    </cfRule>
    <cfRule type="colorScale" priority="7885">
      <colorScale>
        <cfvo type="min"/>
        <cfvo type="percentile" val="50"/>
        <cfvo type="max"/>
        <color rgb="FF63BE7B"/>
        <color rgb="FFFFEB84"/>
        <color rgb="FFF8696B"/>
      </colorScale>
    </cfRule>
    <cfRule type="colorScale" priority="7884">
      <colorScale>
        <cfvo type="min"/>
        <cfvo type="percentile" val="50"/>
        <cfvo type="max"/>
        <color rgb="FF63BE7B"/>
        <color rgb="FFFFEB84"/>
        <color rgb="FFF8696B"/>
      </colorScale>
    </cfRule>
    <cfRule type="colorScale" priority="8471">
      <colorScale>
        <cfvo type="min"/>
        <cfvo type="percentile" val="50"/>
        <cfvo type="max"/>
        <color rgb="FF63BE7B"/>
        <color rgb="FFFFEB84"/>
        <color rgb="FFF8696B"/>
      </colorScale>
    </cfRule>
    <cfRule type="colorScale" priority="7882">
      <colorScale>
        <cfvo type="min"/>
        <cfvo type="percentile" val="50"/>
        <cfvo type="max"/>
        <color rgb="FF63BE7B"/>
        <color rgb="FFFFEB84"/>
        <color rgb="FFF8696B"/>
      </colorScale>
    </cfRule>
    <cfRule type="colorScale" priority="7881">
      <colorScale>
        <cfvo type="min"/>
        <cfvo type="percentile" val="50"/>
        <cfvo type="max"/>
        <color rgb="FF63BE7B"/>
        <color rgb="FFFFEB84"/>
        <color rgb="FFF8696B"/>
      </colorScale>
    </cfRule>
    <cfRule type="colorScale" priority="7880">
      <colorScale>
        <cfvo type="min"/>
        <cfvo type="percentile" val="50"/>
        <cfvo type="max"/>
        <color rgb="FF63BE7B"/>
        <color rgb="FFFFEB84"/>
        <color rgb="FFF8696B"/>
      </colorScale>
    </cfRule>
    <cfRule type="colorScale" priority="7879">
      <colorScale>
        <cfvo type="min"/>
        <cfvo type="percentile" val="50"/>
        <cfvo type="max"/>
        <color rgb="FF63BE7B"/>
        <color rgb="FFFFEB84"/>
        <color rgb="FFF8696B"/>
      </colorScale>
    </cfRule>
    <cfRule type="colorScale" priority="7878">
      <colorScale>
        <cfvo type="min"/>
        <cfvo type="percentile" val="50"/>
        <cfvo type="max"/>
        <color rgb="FF63BE7B"/>
        <color rgb="FFFFEB84"/>
        <color rgb="FFF8696B"/>
      </colorScale>
    </cfRule>
    <cfRule type="colorScale" priority="7877">
      <colorScale>
        <cfvo type="min"/>
        <cfvo type="percentile" val="50"/>
        <cfvo type="max"/>
        <color rgb="FF63BE7B"/>
        <color rgb="FFFFEB84"/>
        <color rgb="FFF8696B"/>
      </colorScale>
    </cfRule>
    <cfRule type="colorScale" priority="7876">
      <colorScale>
        <cfvo type="min"/>
        <cfvo type="percentile" val="50"/>
        <cfvo type="max"/>
        <color rgb="FF63BE7B"/>
        <color rgb="FFFFEB84"/>
        <color rgb="FFF8696B"/>
      </colorScale>
    </cfRule>
    <cfRule type="colorScale" priority="8472">
      <colorScale>
        <cfvo type="min"/>
        <cfvo type="percentile" val="50"/>
        <cfvo type="max"/>
        <color rgb="FF63BE7B"/>
        <color rgb="FFFFEB84"/>
        <color rgb="FFF8696B"/>
      </colorScale>
    </cfRule>
    <cfRule type="colorScale" priority="7868">
      <colorScale>
        <cfvo type="min"/>
        <cfvo type="percentile" val="50"/>
        <cfvo type="max"/>
        <color rgb="FF63BE7B"/>
        <color rgb="FFFFEB84"/>
        <color rgb="FFF8696B"/>
      </colorScale>
    </cfRule>
    <cfRule type="colorScale" priority="7867">
      <colorScale>
        <cfvo type="min"/>
        <cfvo type="percentile" val="50"/>
        <cfvo type="max"/>
        <color rgb="FF63BE7B"/>
        <color rgb="FFFFEB84"/>
        <color rgb="FFF8696B"/>
      </colorScale>
    </cfRule>
    <cfRule type="colorScale" priority="7866">
      <colorScale>
        <cfvo type="min"/>
        <cfvo type="percentile" val="50"/>
        <cfvo type="max"/>
        <color rgb="FF63BE7B"/>
        <color rgb="FFFFEB84"/>
        <color rgb="FFF8696B"/>
      </colorScale>
    </cfRule>
    <cfRule type="colorScale" priority="7865">
      <colorScale>
        <cfvo type="min"/>
        <cfvo type="percentile" val="50"/>
        <cfvo type="max"/>
        <color rgb="FF63BE7B"/>
        <color rgb="FFFFEB84"/>
        <color rgb="FFF8696B"/>
      </colorScale>
    </cfRule>
    <cfRule type="colorScale" priority="7864">
      <colorScale>
        <cfvo type="min"/>
        <cfvo type="percentile" val="50"/>
        <cfvo type="max"/>
        <color rgb="FF63BE7B"/>
        <color rgb="FFFFEB84"/>
        <color rgb="FFF8696B"/>
      </colorScale>
    </cfRule>
    <cfRule type="colorScale" priority="7863">
      <colorScale>
        <cfvo type="min"/>
        <cfvo type="percentile" val="50"/>
        <cfvo type="max"/>
        <color rgb="FF63BE7B"/>
        <color rgb="FFFFEB84"/>
        <color rgb="FFF8696B"/>
      </colorScale>
    </cfRule>
    <cfRule type="colorScale" priority="7862">
      <colorScale>
        <cfvo type="min"/>
        <cfvo type="percentile" val="50"/>
        <cfvo type="max"/>
        <color rgb="FF63BE7B"/>
        <color rgb="FFFFEB84"/>
        <color rgb="FFF8696B"/>
      </colorScale>
    </cfRule>
    <cfRule type="colorScale" priority="7860">
      <colorScale>
        <cfvo type="min"/>
        <cfvo type="percentile" val="50"/>
        <cfvo type="max"/>
        <color rgb="FF63BE7B"/>
        <color rgb="FFFFEB84"/>
        <color rgb="FFF8696B"/>
      </colorScale>
    </cfRule>
    <cfRule type="colorScale" priority="7859">
      <colorScale>
        <cfvo type="min"/>
        <cfvo type="percentile" val="50"/>
        <cfvo type="max"/>
        <color rgb="FF63BE7B"/>
        <color rgb="FFFFEB84"/>
        <color rgb="FFF8696B"/>
      </colorScale>
    </cfRule>
    <cfRule type="colorScale" priority="7858">
      <colorScale>
        <cfvo type="min"/>
        <cfvo type="percentile" val="50"/>
        <cfvo type="max"/>
        <color rgb="FF63BE7B"/>
        <color rgb="FFFFEB84"/>
        <color rgb="FFF8696B"/>
      </colorScale>
    </cfRule>
    <cfRule type="colorScale" priority="7857">
      <colorScale>
        <cfvo type="min"/>
        <cfvo type="percentile" val="50"/>
        <cfvo type="max"/>
        <color rgb="FF63BE7B"/>
        <color rgb="FFFFEB84"/>
        <color rgb="FFF8696B"/>
      </colorScale>
    </cfRule>
    <cfRule type="colorScale" priority="8474">
      <colorScale>
        <cfvo type="min"/>
        <cfvo type="percentile" val="50"/>
        <cfvo type="max"/>
        <color rgb="FF63BE7B"/>
        <color rgb="FFFFEB84"/>
        <color rgb="FFF8696B"/>
      </colorScale>
    </cfRule>
    <cfRule type="colorScale" priority="7855">
      <colorScale>
        <cfvo type="min"/>
        <cfvo type="percentile" val="50"/>
        <cfvo type="max"/>
        <color rgb="FF63BE7B"/>
        <color rgb="FFFFEB84"/>
        <color rgb="FFF8696B"/>
      </colorScale>
    </cfRule>
    <cfRule type="colorScale" priority="7854">
      <colorScale>
        <cfvo type="min"/>
        <cfvo type="percentile" val="50"/>
        <cfvo type="max"/>
        <color rgb="FF63BE7B"/>
        <color rgb="FFFFEB84"/>
        <color rgb="FFF8696B"/>
      </colorScale>
    </cfRule>
    <cfRule type="colorScale" priority="7853">
      <colorScale>
        <cfvo type="min"/>
        <cfvo type="percentile" val="50"/>
        <cfvo type="max"/>
        <color rgb="FF63BE7B"/>
        <color rgb="FFFFEB84"/>
        <color rgb="FFF8696B"/>
      </colorScale>
    </cfRule>
    <cfRule type="colorScale" priority="8475">
      <colorScale>
        <cfvo type="min"/>
        <cfvo type="percentile" val="50"/>
        <cfvo type="max"/>
        <color rgb="FF63BE7B"/>
        <color rgb="FFFFEB84"/>
        <color rgb="FFF8696B"/>
      </colorScale>
    </cfRule>
    <cfRule type="colorScale" priority="7835">
      <colorScale>
        <cfvo type="min"/>
        <cfvo type="percentile" val="50"/>
        <cfvo type="max"/>
        <color rgb="FFF8696B"/>
        <color rgb="FFFFEB84"/>
        <color rgb="FF63BE7B"/>
      </colorScale>
    </cfRule>
    <cfRule type="colorScale" priority="7834">
      <colorScale>
        <cfvo type="min"/>
        <cfvo type="percentile" val="50"/>
        <cfvo type="max"/>
        <color rgb="FF63BE7B"/>
        <color rgb="FFFFEB84"/>
        <color rgb="FFF8696B"/>
      </colorScale>
    </cfRule>
    <cfRule type="colorScale" priority="7833">
      <colorScale>
        <cfvo type="min"/>
        <cfvo type="percentile" val="50"/>
        <cfvo type="max"/>
        <color rgb="FF63BE7B"/>
        <color rgb="FFFFEB84"/>
        <color rgb="FFF8696B"/>
      </colorScale>
    </cfRule>
    <cfRule type="colorScale" priority="8476">
      <colorScale>
        <cfvo type="min"/>
        <cfvo type="percentile" val="50"/>
        <cfvo type="max"/>
        <color rgb="FF63BE7B"/>
        <color rgb="FFFFEB84"/>
        <color rgb="FFF8696B"/>
      </colorScale>
    </cfRule>
    <cfRule type="colorScale" priority="7831">
      <colorScale>
        <cfvo type="min"/>
        <cfvo type="percentile" val="50"/>
        <cfvo type="max"/>
        <color rgb="FF63BE7B"/>
        <color rgb="FFFFEB84"/>
        <color rgb="FFF8696B"/>
      </colorScale>
    </cfRule>
    <cfRule type="colorScale" priority="7830">
      <colorScale>
        <cfvo type="min"/>
        <cfvo type="percentile" val="50"/>
        <cfvo type="max"/>
        <color rgb="FF63BE7B"/>
        <color rgb="FFFFEB84"/>
        <color rgb="FFF8696B"/>
      </colorScale>
    </cfRule>
    <cfRule type="colorScale" priority="7829">
      <colorScale>
        <cfvo type="min"/>
        <cfvo type="percentile" val="50"/>
        <cfvo type="max"/>
        <color rgb="FF63BE7B"/>
        <color rgb="FFFFEB84"/>
        <color rgb="FFF8696B"/>
      </colorScale>
    </cfRule>
    <cfRule type="colorScale" priority="7828">
      <colorScale>
        <cfvo type="min"/>
        <cfvo type="percentile" val="50"/>
        <cfvo type="max"/>
        <color rgb="FF63BE7B"/>
        <color rgb="FFFFEB84"/>
        <color rgb="FFF8696B"/>
      </colorScale>
    </cfRule>
    <cfRule type="colorScale" priority="7827">
      <colorScale>
        <cfvo type="min"/>
        <cfvo type="percentile" val="50"/>
        <cfvo type="max"/>
        <color rgb="FF63BE7B"/>
        <color rgb="FFFFEB84"/>
        <color rgb="FFF8696B"/>
      </colorScale>
    </cfRule>
    <cfRule type="colorScale" priority="7826">
      <colorScale>
        <cfvo type="min"/>
        <cfvo type="percentile" val="50"/>
        <cfvo type="max"/>
        <color rgb="FF63BE7B"/>
        <color rgb="FFFFEB84"/>
        <color rgb="FFF8696B"/>
      </colorScale>
    </cfRule>
    <cfRule type="colorScale" priority="7825">
      <colorScale>
        <cfvo type="min"/>
        <cfvo type="percentile" val="50"/>
        <cfvo type="max"/>
        <color rgb="FF63BE7B"/>
        <color rgb="FFFFEB84"/>
        <color rgb="FFF8696B"/>
      </colorScale>
    </cfRule>
    <cfRule type="colorScale" priority="7824">
      <colorScale>
        <cfvo type="min"/>
        <cfvo type="percentile" val="50"/>
        <cfvo type="max"/>
        <color rgb="FF63BE7B"/>
        <color rgb="FFFFEB84"/>
        <color rgb="FFF8696B"/>
      </colorScale>
    </cfRule>
    <cfRule type="colorScale" priority="7823">
      <colorScale>
        <cfvo type="min"/>
        <cfvo type="percentile" val="50"/>
        <cfvo type="max"/>
        <color rgb="FF63BE7B"/>
        <color rgb="FFFFEB84"/>
        <color rgb="FFF8696B"/>
      </colorScale>
    </cfRule>
    <cfRule type="colorScale" priority="7822">
      <colorScale>
        <cfvo type="min"/>
        <cfvo type="percentile" val="50"/>
        <cfvo type="max"/>
        <color rgb="FF63BE7B"/>
        <color rgb="FFFFEB84"/>
        <color rgb="FFF8696B"/>
      </colorScale>
    </cfRule>
    <cfRule type="colorScale" priority="7821">
      <colorScale>
        <cfvo type="min"/>
        <cfvo type="percentile" val="50"/>
        <cfvo type="max"/>
        <color rgb="FF63BE7B"/>
        <color rgb="FFFFEB84"/>
        <color rgb="FFF8696B"/>
      </colorScale>
    </cfRule>
    <cfRule type="colorScale" priority="7820">
      <colorScale>
        <cfvo type="min"/>
        <cfvo type="percentile" val="50"/>
        <cfvo type="max"/>
        <color rgb="FF63BE7B"/>
        <color rgb="FFFFEB84"/>
        <color rgb="FFF8696B"/>
      </colorScale>
    </cfRule>
    <cfRule type="colorScale" priority="7819">
      <colorScale>
        <cfvo type="min"/>
        <cfvo type="percentile" val="50"/>
        <cfvo type="max"/>
        <color rgb="FF63BE7B"/>
        <color rgb="FFFFEB84"/>
        <color rgb="FFF8696B"/>
      </colorScale>
    </cfRule>
    <cfRule type="colorScale" priority="7818">
      <colorScale>
        <cfvo type="min"/>
        <cfvo type="percentile" val="50"/>
        <cfvo type="max"/>
        <color rgb="FF63BE7B"/>
        <color rgb="FFFFEB84"/>
        <color rgb="FFF8696B"/>
      </colorScale>
    </cfRule>
    <cfRule type="colorScale" priority="7816">
      <colorScale>
        <cfvo type="min"/>
        <cfvo type="percentile" val="50"/>
        <cfvo type="max"/>
        <color rgb="FF63BE7B"/>
        <color rgb="FFFFEB84"/>
        <color rgb="FFF8696B"/>
      </colorScale>
    </cfRule>
    <cfRule type="colorScale" priority="7815">
      <colorScale>
        <cfvo type="min"/>
        <cfvo type="percentile" val="50"/>
        <cfvo type="max"/>
        <color rgb="FF63BE7B"/>
        <color rgb="FFFFEB84"/>
        <color rgb="FFF8696B"/>
      </colorScale>
    </cfRule>
    <cfRule type="colorScale" priority="7814">
      <colorScale>
        <cfvo type="min"/>
        <cfvo type="percentile" val="50"/>
        <cfvo type="max"/>
        <color rgb="FF63BE7B"/>
        <color rgb="FFFFEB84"/>
        <color rgb="FFF8696B"/>
      </colorScale>
    </cfRule>
    <cfRule type="colorScale" priority="7813">
      <colorScale>
        <cfvo type="min"/>
        <cfvo type="percentile" val="50"/>
        <cfvo type="max"/>
        <color rgb="FF63BE7B"/>
        <color rgb="FFFFEB84"/>
        <color rgb="FFF8696B"/>
      </colorScale>
    </cfRule>
    <cfRule type="colorScale" priority="8483">
      <colorScale>
        <cfvo type="min"/>
        <cfvo type="percentile" val="50"/>
        <cfvo type="max"/>
        <color rgb="FF63BE7B"/>
        <color rgb="FFFFEB84"/>
        <color rgb="FFF8696B"/>
      </colorScale>
    </cfRule>
    <cfRule type="colorScale" priority="8484">
      <colorScale>
        <cfvo type="min"/>
        <cfvo type="percentile" val="50"/>
        <cfvo type="max"/>
        <color rgb="FF63BE7B"/>
        <color rgb="FFFFEB84"/>
        <color rgb="FFF8696B"/>
      </colorScale>
    </cfRule>
    <cfRule type="colorScale" priority="8485">
      <colorScale>
        <cfvo type="min"/>
        <cfvo type="percentile" val="50"/>
        <cfvo type="max"/>
        <color rgb="FF63BE7B"/>
        <color rgb="FFFFEB84"/>
        <color rgb="FFF8696B"/>
      </colorScale>
    </cfRule>
    <cfRule type="colorScale" priority="8493">
      <colorScale>
        <cfvo type="min"/>
        <cfvo type="percentile" val="50"/>
        <cfvo type="max"/>
        <color rgb="FF63BE7B"/>
        <color rgb="FFFFEB84"/>
        <color rgb="FFF8696B"/>
      </colorScale>
    </cfRule>
    <cfRule type="colorScale" priority="8494">
      <colorScale>
        <cfvo type="min"/>
        <cfvo type="percentile" val="50"/>
        <cfvo type="max"/>
        <color rgb="FF63BE7B"/>
        <color rgb="FFFFEB84"/>
        <color rgb="FFF8696B"/>
      </colorScale>
    </cfRule>
    <cfRule type="colorScale" priority="8495">
      <colorScale>
        <cfvo type="min"/>
        <cfvo type="percentile" val="50"/>
        <cfvo type="max"/>
        <color rgb="FF63BE7B"/>
        <color rgb="FFFFEB84"/>
        <color rgb="FFF8696B"/>
      </colorScale>
    </cfRule>
    <cfRule type="colorScale" priority="8496">
      <colorScale>
        <cfvo type="min"/>
        <cfvo type="percentile" val="50"/>
        <cfvo type="max"/>
        <color rgb="FF63BE7B"/>
        <color rgb="FFFFEB84"/>
        <color rgb="FFF8696B"/>
      </colorScale>
    </cfRule>
    <cfRule type="colorScale" priority="8497">
      <colorScale>
        <cfvo type="min"/>
        <cfvo type="percentile" val="50"/>
        <cfvo type="max"/>
        <color rgb="FF63BE7B"/>
        <color rgb="FFFFEB84"/>
        <color rgb="FFF8696B"/>
      </colorScale>
    </cfRule>
    <cfRule type="colorScale" priority="7811">
      <colorScale>
        <cfvo type="min"/>
        <cfvo type="percentile" val="50"/>
        <cfvo type="max"/>
        <color rgb="FF63BE7B"/>
        <color rgb="FFFFEB84"/>
        <color rgb="FFF8696B"/>
      </colorScale>
    </cfRule>
    <cfRule type="colorScale" priority="7810">
      <colorScale>
        <cfvo type="min"/>
        <cfvo type="percentile" val="50"/>
        <cfvo type="max"/>
        <color rgb="FF63BE7B"/>
        <color rgb="FFFFEB84"/>
        <color rgb="FFF8696B"/>
      </colorScale>
    </cfRule>
    <cfRule type="colorScale" priority="7809">
      <colorScale>
        <cfvo type="min"/>
        <cfvo type="percentile" val="50"/>
        <cfvo type="max"/>
        <color rgb="FF63BE7B"/>
        <color rgb="FFFFEB84"/>
        <color rgb="FFF8696B"/>
      </colorScale>
    </cfRule>
    <cfRule type="colorScale" priority="7808">
      <colorScale>
        <cfvo type="min"/>
        <cfvo type="percentile" val="50"/>
        <cfvo type="max"/>
        <color rgb="FF63BE7B"/>
        <color rgb="FFFFEB84"/>
        <color rgb="FFF8696B"/>
      </colorScale>
    </cfRule>
    <cfRule type="colorScale" priority="7807">
      <colorScale>
        <cfvo type="min"/>
        <cfvo type="percentile" val="50"/>
        <cfvo type="max"/>
        <color rgb="FF63BE7B"/>
        <color rgb="FFFFEB84"/>
        <color rgb="FFF8696B"/>
      </colorScale>
    </cfRule>
    <cfRule type="colorScale" priority="7806">
      <colorScale>
        <cfvo type="min"/>
        <cfvo type="percentile" val="50"/>
        <cfvo type="max"/>
        <color rgb="FF63BE7B"/>
        <color rgb="FFFFEB84"/>
        <color rgb="FFF8696B"/>
      </colorScale>
    </cfRule>
    <cfRule type="colorScale" priority="7805">
      <colorScale>
        <cfvo type="min"/>
        <cfvo type="percentile" val="50"/>
        <cfvo type="max"/>
        <color rgb="FF63BE7B"/>
        <color rgb="FFFFEB84"/>
        <color rgb="FFF8696B"/>
      </colorScale>
    </cfRule>
    <cfRule type="colorScale" priority="7797">
      <colorScale>
        <cfvo type="min"/>
        <cfvo type="percentile" val="50"/>
        <cfvo type="max"/>
        <color rgb="FF63BE7B"/>
        <color rgb="FFFFEB84"/>
        <color rgb="FFF8696B"/>
      </colorScale>
    </cfRule>
    <cfRule type="colorScale" priority="7796">
      <colorScale>
        <cfvo type="min"/>
        <cfvo type="percentile" val="50"/>
        <cfvo type="max"/>
        <color rgb="FF63BE7B"/>
        <color rgb="FFFFEB84"/>
        <color rgb="FFF8696B"/>
      </colorScale>
    </cfRule>
    <cfRule type="colorScale" priority="7795">
      <colorScale>
        <cfvo type="min"/>
        <cfvo type="percentile" val="50"/>
        <cfvo type="max"/>
        <color rgb="FF63BE7B"/>
        <color rgb="FFFFEB84"/>
        <color rgb="FFF8696B"/>
      </colorScale>
    </cfRule>
    <cfRule type="colorScale" priority="7794">
      <colorScale>
        <cfvo type="min"/>
        <cfvo type="percentile" val="50"/>
        <cfvo type="max"/>
        <color rgb="FF63BE7B"/>
        <color rgb="FFFFEB84"/>
        <color rgb="FFF8696B"/>
      </colorScale>
    </cfRule>
    <cfRule type="colorScale" priority="7793">
      <colorScale>
        <cfvo type="min"/>
        <cfvo type="percentile" val="50"/>
        <cfvo type="max"/>
        <color rgb="FF63BE7B"/>
        <color rgb="FFFFEB84"/>
        <color rgb="FFF8696B"/>
      </colorScale>
    </cfRule>
    <cfRule type="colorScale" priority="7792">
      <colorScale>
        <cfvo type="min"/>
        <cfvo type="percentile" val="50"/>
        <cfvo type="max"/>
        <color rgb="FF63BE7B"/>
        <color rgb="FFFFEB84"/>
        <color rgb="FFF8696B"/>
      </colorScale>
    </cfRule>
    <cfRule type="colorScale" priority="7791">
      <colorScale>
        <cfvo type="min"/>
        <cfvo type="percentile" val="50"/>
        <cfvo type="max"/>
        <color rgb="FF63BE7B"/>
        <color rgb="FFFFEB84"/>
        <color rgb="FFF8696B"/>
      </colorScale>
    </cfRule>
    <cfRule type="colorScale" priority="7789">
      <colorScale>
        <cfvo type="min"/>
        <cfvo type="percentile" val="50"/>
        <cfvo type="max"/>
        <color rgb="FF63BE7B"/>
        <color rgb="FFFFEB84"/>
        <color rgb="FFF8696B"/>
      </colorScale>
    </cfRule>
    <cfRule type="colorScale" priority="7788">
      <colorScale>
        <cfvo type="min"/>
        <cfvo type="percentile" val="50"/>
        <cfvo type="max"/>
        <color rgb="FF63BE7B"/>
        <color rgb="FFFFEB84"/>
        <color rgb="FFF8696B"/>
      </colorScale>
    </cfRule>
    <cfRule type="colorScale" priority="7787">
      <colorScale>
        <cfvo type="min"/>
        <cfvo type="percentile" val="50"/>
        <cfvo type="max"/>
        <color rgb="FFF8696B"/>
        <color rgb="FFFFEB84"/>
        <color rgb="FF63BE7B"/>
      </colorScale>
    </cfRule>
    <cfRule type="colorScale" priority="8498">
      <colorScale>
        <cfvo type="min"/>
        <cfvo type="percentile" val="50"/>
        <cfvo type="max"/>
        <color rgb="FF63BE7B"/>
        <color rgb="FFFFEB84"/>
        <color rgb="FFF8696B"/>
      </colorScale>
    </cfRule>
    <cfRule type="colorScale" priority="8499">
      <colorScale>
        <cfvo type="min"/>
        <cfvo type="percentile" val="50"/>
        <cfvo type="max"/>
        <color rgb="FF63BE7B"/>
        <color rgb="FFFFEB84"/>
        <color rgb="FFF8696B"/>
      </colorScale>
    </cfRule>
    <cfRule type="colorScale" priority="8501">
      <colorScale>
        <cfvo type="min"/>
        <cfvo type="percentile" val="50"/>
        <cfvo type="max"/>
        <color rgb="FF63BE7B"/>
        <color rgb="FFFFEB84"/>
        <color rgb="FFF8696B"/>
      </colorScale>
    </cfRule>
    <cfRule type="colorScale" priority="8502">
      <colorScale>
        <cfvo type="min"/>
        <cfvo type="percentile" val="50"/>
        <cfvo type="max"/>
        <color rgb="FF63BE7B"/>
        <color rgb="FFFFEB84"/>
        <color rgb="FFF8696B"/>
      </colorScale>
    </cfRule>
    <cfRule type="colorScale" priority="9700">
      <colorScale>
        <cfvo type="min"/>
        <cfvo type="percentile" val="50"/>
        <cfvo type="max"/>
        <color rgb="FF63BE7B"/>
        <color rgb="FFFFEB84"/>
        <color rgb="FFF8696B"/>
      </colorScale>
    </cfRule>
    <cfRule type="colorScale" priority="9698">
      <colorScale>
        <cfvo type="min"/>
        <cfvo type="percentile" val="50"/>
        <cfvo type="max"/>
        <color rgb="FF63BE7B"/>
        <color rgb="FFFFEB84"/>
        <color rgb="FFF8696B"/>
      </colorScale>
    </cfRule>
    <cfRule type="colorScale" priority="9697">
      <colorScale>
        <cfvo type="min"/>
        <cfvo type="percentile" val="50"/>
        <cfvo type="max"/>
        <color rgb="FF63BE7B"/>
        <color rgb="FFFFEB84"/>
        <color rgb="FFF8696B"/>
      </colorScale>
    </cfRule>
    <cfRule type="colorScale" priority="9696">
      <colorScale>
        <cfvo type="min"/>
        <cfvo type="percentile" val="50"/>
        <cfvo type="max"/>
        <color rgb="FF63BE7B"/>
        <color rgb="FFFFEB84"/>
        <color rgb="FFF8696B"/>
      </colorScale>
    </cfRule>
    <cfRule type="colorScale" priority="9695">
      <colorScale>
        <cfvo type="min"/>
        <cfvo type="percentile" val="50"/>
        <cfvo type="max"/>
        <color rgb="FF63BE7B"/>
        <color rgb="FFFFEB84"/>
        <color rgb="FFF8696B"/>
      </colorScale>
    </cfRule>
    <cfRule type="colorScale" priority="9694">
      <colorScale>
        <cfvo type="min"/>
        <cfvo type="percentile" val="50"/>
        <cfvo type="max"/>
        <color rgb="FF63BE7B"/>
        <color rgb="FFFFEB84"/>
        <color rgb="FFF8696B"/>
      </colorScale>
    </cfRule>
    <cfRule type="colorScale" priority="9693">
      <colorScale>
        <cfvo type="min"/>
        <cfvo type="percentile" val="50"/>
        <cfvo type="max"/>
        <color rgb="FF63BE7B"/>
        <color rgb="FFFFEB84"/>
        <color rgb="FFF8696B"/>
      </colorScale>
    </cfRule>
    <cfRule type="colorScale" priority="9692">
      <colorScale>
        <cfvo type="min"/>
        <cfvo type="percentile" val="50"/>
        <cfvo type="max"/>
        <color rgb="FF63BE7B"/>
        <color rgb="FFFFEB84"/>
        <color rgb="FFF8696B"/>
      </colorScale>
    </cfRule>
    <cfRule type="colorScale" priority="9684">
      <colorScale>
        <cfvo type="min"/>
        <cfvo type="percentile" val="50"/>
        <cfvo type="max"/>
        <color rgb="FF63BE7B"/>
        <color rgb="FFFFEB84"/>
        <color rgb="FFF8696B"/>
      </colorScale>
    </cfRule>
    <cfRule type="colorScale" priority="9683">
      <colorScale>
        <cfvo type="min"/>
        <cfvo type="percentile" val="50"/>
        <cfvo type="max"/>
        <color rgb="FF63BE7B"/>
        <color rgb="FFFFEB84"/>
        <color rgb="FFF8696B"/>
      </colorScale>
    </cfRule>
    <cfRule type="colorScale" priority="9682">
      <colorScale>
        <cfvo type="min"/>
        <cfvo type="percentile" val="50"/>
        <cfvo type="max"/>
        <color rgb="FF63BE7B"/>
        <color rgb="FFFFEB84"/>
        <color rgb="FFF8696B"/>
      </colorScale>
    </cfRule>
    <cfRule type="colorScale" priority="9680">
      <colorScale>
        <cfvo type="min"/>
        <cfvo type="percentile" val="50"/>
        <cfvo type="max"/>
        <color rgb="FF63BE7B"/>
        <color rgb="FFFFEB84"/>
        <color rgb="FFF8696B"/>
      </colorScale>
    </cfRule>
    <cfRule type="colorScale" priority="9679">
      <colorScale>
        <cfvo type="min"/>
        <cfvo type="percentile" val="50"/>
        <cfvo type="max"/>
        <color rgb="FF63BE7B"/>
        <color rgb="FFFFEB84"/>
        <color rgb="FFF8696B"/>
      </colorScale>
    </cfRule>
    <cfRule type="colorScale" priority="9678">
      <colorScale>
        <cfvo type="min"/>
        <cfvo type="percentile" val="50"/>
        <cfvo type="max"/>
        <color rgb="FF63BE7B"/>
        <color rgb="FFFFEB84"/>
        <color rgb="FFF8696B"/>
      </colorScale>
    </cfRule>
    <cfRule type="colorScale" priority="9676">
      <colorScale>
        <cfvo type="min"/>
        <cfvo type="percentile" val="50"/>
        <cfvo type="max"/>
        <color rgb="FF63BE7B"/>
        <color rgb="FFFFEB84"/>
        <color rgb="FFF8696B"/>
      </colorScale>
    </cfRule>
    <cfRule type="colorScale" priority="9675">
      <colorScale>
        <cfvo type="min"/>
        <cfvo type="percentile" val="50"/>
        <cfvo type="max"/>
        <color rgb="FF63BE7B"/>
        <color rgb="FFFFEB84"/>
        <color rgb="FFF8696B"/>
      </colorScale>
    </cfRule>
    <cfRule type="colorScale" priority="9308">
      <colorScale>
        <cfvo type="min"/>
        <cfvo type="percentile" val="50"/>
        <cfvo type="max"/>
        <color rgb="FFF8696B"/>
        <color rgb="FFFFEB84"/>
        <color rgb="FF63BE7B"/>
      </colorScale>
    </cfRule>
    <cfRule type="colorScale" priority="7936">
      <colorScale>
        <cfvo type="min"/>
        <cfvo type="percentile" val="50"/>
        <cfvo type="max"/>
        <color rgb="FF63BE7B"/>
        <color rgb="FFFFEB84"/>
        <color rgb="FFF8696B"/>
      </colorScale>
    </cfRule>
    <cfRule type="colorScale" priority="7937">
      <colorScale>
        <cfvo type="min"/>
        <cfvo type="percentile" val="50"/>
        <cfvo type="max"/>
        <color rgb="FF63BE7B"/>
        <color rgb="FFFFEB84"/>
        <color rgb="FFF8696B"/>
      </colorScale>
    </cfRule>
    <cfRule type="colorScale" priority="7938">
      <colorScale>
        <cfvo type="min"/>
        <cfvo type="percentile" val="50"/>
        <cfvo type="max"/>
        <color rgb="FF63BE7B"/>
        <color rgb="FFFFEB84"/>
        <color rgb="FFF8696B"/>
      </colorScale>
    </cfRule>
    <cfRule type="colorScale" priority="7939">
      <colorScale>
        <cfvo type="min"/>
        <cfvo type="percentile" val="50"/>
        <cfvo type="max"/>
        <color rgb="FF63BE7B"/>
        <color rgb="FFFFEB84"/>
        <color rgb="FFF8696B"/>
      </colorScale>
    </cfRule>
    <cfRule type="colorScale" priority="7940">
      <colorScale>
        <cfvo type="min"/>
        <cfvo type="percentile" val="50"/>
        <cfvo type="max"/>
        <color rgb="FF63BE7B"/>
        <color rgb="FFFFEB84"/>
        <color rgb="FFF8696B"/>
      </colorScale>
    </cfRule>
    <cfRule type="colorScale" priority="7941">
      <colorScale>
        <cfvo type="min"/>
        <cfvo type="percentile" val="50"/>
        <cfvo type="max"/>
        <color rgb="FF63BE7B"/>
        <color rgb="FFFFEB84"/>
        <color rgb="FFF8696B"/>
      </colorScale>
    </cfRule>
    <cfRule type="colorScale" priority="7942">
      <colorScale>
        <cfvo type="min"/>
        <cfvo type="percentile" val="50"/>
        <cfvo type="max"/>
        <color rgb="FF63BE7B"/>
        <color rgb="FFFFEB84"/>
        <color rgb="FFF8696B"/>
      </colorScale>
    </cfRule>
    <cfRule type="colorScale" priority="7943">
      <colorScale>
        <cfvo type="min"/>
        <cfvo type="percentile" val="50"/>
        <cfvo type="max"/>
        <color rgb="FF63BE7B"/>
        <color rgb="FFFFEB84"/>
        <color rgb="FFF8696B"/>
      </colorScale>
    </cfRule>
    <cfRule type="colorScale" priority="7944">
      <colorScale>
        <cfvo type="min"/>
        <cfvo type="percentile" val="50"/>
        <cfvo type="max"/>
        <color rgb="FF63BE7B"/>
        <color rgb="FFFFEB84"/>
        <color rgb="FFF8696B"/>
      </colorScale>
    </cfRule>
    <cfRule type="colorScale" priority="7945">
      <colorScale>
        <cfvo type="min"/>
        <cfvo type="percentile" val="50"/>
        <cfvo type="max"/>
        <color rgb="FF63BE7B"/>
        <color rgb="FFFFEB84"/>
        <color rgb="FFF8696B"/>
      </colorScale>
    </cfRule>
    <cfRule type="colorScale" priority="7946">
      <colorScale>
        <cfvo type="min"/>
        <cfvo type="percentile" val="50"/>
        <cfvo type="max"/>
        <color rgb="FF63BE7B"/>
        <color rgb="FFFFEB84"/>
        <color rgb="FFF8696B"/>
      </colorScale>
    </cfRule>
    <cfRule type="colorScale" priority="7947">
      <colorScale>
        <cfvo type="min"/>
        <cfvo type="percentile" val="50"/>
        <cfvo type="max"/>
        <color rgb="FF63BE7B"/>
        <color rgb="FFFFEB84"/>
        <color rgb="FFF8696B"/>
      </colorScale>
    </cfRule>
    <cfRule type="colorScale" priority="7948">
      <colorScale>
        <cfvo type="min"/>
        <cfvo type="percentile" val="50"/>
        <cfvo type="max"/>
        <color rgb="FF63BE7B"/>
        <color rgb="FFFFEB84"/>
        <color rgb="FFF8696B"/>
      </colorScale>
    </cfRule>
    <cfRule type="colorScale" priority="7949">
      <colorScale>
        <cfvo type="min"/>
        <cfvo type="percentile" val="50"/>
        <cfvo type="max"/>
        <color rgb="FF63BE7B"/>
        <color rgb="FFFFEB84"/>
        <color rgb="FFF8696B"/>
      </colorScale>
    </cfRule>
    <cfRule type="colorScale" priority="7950">
      <colorScale>
        <cfvo type="min"/>
        <cfvo type="percentile" val="50"/>
        <cfvo type="max"/>
        <color rgb="FF63BE7B"/>
        <color rgb="FFFFEB84"/>
        <color rgb="FFF8696B"/>
      </colorScale>
    </cfRule>
    <cfRule type="colorScale" priority="7935">
      <colorScale>
        <cfvo type="min"/>
        <cfvo type="percentile" val="50"/>
        <cfvo type="max"/>
        <color rgb="FF63BE7B"/>
        <color rgb="FFFFEB84"/>
        <color rgb="FFF8696B"/>
      </colorScale>
    </cfRule>
    <cfRule type="colorScale" priority="7951">
      <colorScale>
        <cfvo type="min"/>
        <cfvo type="percentile" val="50"/>
        <cfvo type="max"/>
        <color rgb="FF63BE7B"/>
        <color rgb="FFFFEB84"/>
        <color rgb="FFF8696B"/>
      </colorScale>
    </cfRule>
    <cfRule type="colorScale" priority="9681">
      <colorScale>
        <cfvo type="min"/>
        <cfvo type="percentile" val="50"/>
        <cfvo type="max"/>
        <color rgb="FF63BE7B"/>
        <color rgb="FFFFEB84"/>
        <color rgb="FFF8696B"/>
      </colorScale>
    </cfRule>
    <cfRule type="colorScale" priority="8449">
      <colorScale>
        <cfvo type="min"/>
        <cfvo type="percentile" val="50"/>
        <cfvo type="max"/>
        <color rgb="FF63BE7B"/>
        <color rgb="FFFFEB84"/>
        <color rgb="FFF8696B"/>
      </colorScale>
    </cfRule>
    <cfRule type="colorScale" priority="8450">
      <colorScale>
        <cfvo type="min"/>
        <cfvo type="percentile" val="50"/>
        <cfvo type="max"/>
        <color rgb="FF63BE7B"/>
        <color rgb="FFFFEB84"/>
        <color rgb="FFF8696B"/>
      </colorScale>
    </cfRule>
    <cfRule type="colorScale" priority="8452">
      <colorScale>
        <cfvo type="min"/>
        <cfvo type="percentile" val="50"/>
        <cfvo type="max"/>
        <color rgb="FF63BE7B"/>
        <color rgb="FFFFEB84"/>
        <color rgb="FFF8696B"/>
      </colorScale>
    </cfRule>
    <cfRule type="colorScale" priority="8453">
      <colorScale>
        <cfvo type="min"/>
        <cfvo type="percentile" val="50"/>
        <cfvo type="max"/>
        <color rgb="FF63BE7B"/>
        <color rgb="FFFFEB84"/>
        <color rgb="FFF8696B"/>
      </colorScale>
    </cfRule>
    <cfRule type="colorScale" priority="8454">
      <colorScale>
        <cfvo type="min"/>
        <cfvo type="percentile" val="50"/>
        <cfvo type="max"/>
        <color rgb="FF63BE7B"/>
        <color rgb="FFFFEB84"/>
        <color rgb="FFF8696B"/>
      </colorScale>
    </cfRule>
    <cfRule type="colorScale" priority="8455">
      <colorScale>
        <cfvo type="min"/>
        <cfvo type="percentile" val="50"/>
        <cfvo type="max"/>
        <color rgb="FF63BE7B"/>
        <color rgb="FFFFEB84"/>
        <color rgb="FFF8696B"/>
      </colorScale>
    </cfRule>
    <cfRule type="colorScale" priority="8456">
      <colorScale>
        <cfvo type="min"/>
        <cfvo type="percentile" val="50"/>
        <cfvo type="max"/>
        <color rgb="FF63BE7B"/>
        <color rgb="FFFFEB84"/>
        <color rgb="FFF8696B"/>
      </colorScale>
    </cfRule>
    <cfRule type="colorScale" priority="8457">
      <colorScale>
        <cfvo type="min"/>
        <cfvo type="percentile" val="50"/>
        <cfvo type="max"/>
        <color rgb="FF63BE7B"/>
        <color rgb="FFFFEB84"/>
        <color rgb="FFF8696B"/>
      </colorScale>
    </cfRule>
    <cfRule type="colorScale" priority="8458">
      <colorScale>
        <cfvo type="min"/>
        <cfvo type="percentile" val="50"/>
        <cfvo type="max"/>
        <color rgb="FF63BE7B"/>
        <color rgb="FFFFEB84"/>
        <color rgb="FFF8696B"/>
      </colorScale>
    </cfRule>
    <cfRule type="colorScale" priority="8466">
      <colorScale>
        <cfvo type="min"/>
        <cfvo type="percentile" val="50"/>
        <cfvo type="max"/>
        <color rgb="FF63BE7B"/>
        <color rgb="FFFFEB84"/>
        <color rgb="FFF8696B"/>
      </colorScale>
    </cfRule>
    <cfRule type="colorScale" priority="8467">
      <colorScale>
        <cfvo type="min"/>
        <cfvo type="percentile" val="50"/>
        <cfvo type="max"/>
        <color rgb="FF63BE7B"/>
        <color rgb="FFFFEB84"/>
        <color rgb="FFF8696B"/>
      </colorScale>
    </cfRule>
    <cfRule type="colorScale" priority="8468">
      <colorScale>
        <cfvo type="min"/>
        <cfvo type="percentile" val="50"/>
        <cfvo type="max"/>
        <color rgb="FF63BE7B"/>
        <color rgb="FFFFEB84"/>
        <color rgb="FFF8696B"/>
      </colorScale>
    </cfRule>
  </conditionalFormatting>
  <conditionalFormatting sqref="AU36:AV37">
    <cfRule type="colorScale" priority="7900">
      <colorScale>
        <cfvo type="min"/>
        <cfvo type="percentile" val="50"/>
        <cfvo type="max"/>
        <color rgb="FF63BE7B"/>
        <color rgb="FFFFEB84"/>
        <color rgb="FFF8696B"/>
      </colorScale>
    </cfRule>
    <cfRule type="colorScale" priority="7873">
      <colorScale>
        <cfvo type="min"/>
        <cfvo type="percentile" val="50"/>
        <cfvo type="max"/>
        <color rgb="FF63BE7B"/>
        <color rgb="FFFFEB84"/>
        <color rgb="FFF8696B"/>
      </colorScale>
    </cfRule>
    <cfRule type="colorScale" priority="7850">
      <colorScale>
        <cfvo type="min"/>
        <cfvo type="percentile" val="50"/>
        <cfvo type="max"/>
        <color rgb="FF63BE7B"/>
        <color rgb="FFFFEB84"/>
        <color rgb="FFF8696B"/>
      </colorScale>
    </cfRule>
    <cfRule type="colorScale" priority="9689">
      <colorScale>
        <cfvo type="min"/>
        <cfvo type="percentile" val="50"/>
        <cfvo type="max"/>
        <color rgb="FF63BE7B"/>
        <color rgb="FFFFEB84"/>
        <color rgb="FFF8696B"/>
      </colorScale>
    </cfRule>
    <cfRule type="colorScale" priority="8490">
      <colorScale>
        <cfvo type="min"/>
        <cfvo type="percentile" val="50"/>
        <cfvo type="max"/>
        <color rgb="FF63BE7B"/>
        <color rgb="FFFFEB84"/>
        <color rgb="FFF8696B"/>
      </colorScale>
    </cfRule>
    <cfRule type="colorScale" priority="7802">
      <colorScale>
        <cfvo type="min"/>
        <cfvo type="percentile" val="50"/>
        <cfvo type="max"/>
        <color rgb="FF63BE7B"/>
        <color rgb="FFFFEB84"/>
        <color rgb="FFF8696B"/>
      </colorScale>
    </cfRule>
    <cfRule type="colorScale" priority="8463">
      <colorScale>
        <cfvo type="min"/>
        <cfvo type="percentile" val="50"/>
        <cfvo type="max"/>
        <color rgb="FF63BE7B"/>
        <color rgb="FFFFEB84"/>
        <color rgb="FFF8696B"/>
      </colorScale>
    </cfRule>
  </conditionalFormatting>
  <conditionalFormatting sqref="AU36:AV41">
    <cfRule type="colorScale" priority="7906">
      <colorScale>
        <cfvo type="min"/>
        <cfvo type="percentile" val="50"/>
        <cfvo type="max"/>
        <color rgb="FF63BE7B"/>
        <color rgb="FFFFEB84"/>
        <color rgb="FFF8696B"/>
      </colorScale>
    </cfRule>
    <cfRule type="colorScale" priority="7883">
      <colorScale>
        <cfvo type="min"/>
        <cfvo type="percentile" val="50"/>
        <cfvo type="max"/>
        <color rgb="FF63BE7B"/>
        <color rgb="FFFFEB84"/>
        <color rgb="FFF8696B"/>
      </colorScale>
    </cfRule>
    <cfRule type="colorScale" priority="7856">
      <colorScale>
        <cfvo type="min"/>
        <cfvo type="percentile" val="50"/>
        <cfvo type="max"/>
        <color rgb="FF63BE7B"/>
        <color rgb="FFFFEB84"/>
        <color rgb="FFF8696B"/>
      </colorScale>
    </cfRule>
    <cfRule type="colorScale" priority="7832">
      <colorScale>
        <cfvo type="min"/>
        <cfvo type="percentile" val="50"/>
        <cfvo type="max"/>
        <color rgb="FF63BE7B"/>
        <color rgb="FFFFEB84"/>
        <color rgb="FFF8696B"/>
      </colorScale>
    </cfRule>
    <cfRule type="colorScale" priority="7812">
      <colorScale>
        <cfvo type="min"/>
        <cfvo type="percentile" val="50"/>
        <cfvo type="max"/>
        <color rgb="FF63BE7B"/>
        <color rgb="FFFFEB84"/>
        <color rgb="FFF8696B"/>
      </colorScale>
    </cfRule>
    <cfRule type="colorScale" priority="8473">
      <colorScale>
        <cfvo type="min"/>
        <cfvo type="percentile" val="50"/>
        <cfvo type="max"/>
        <color rgb="FF63BE7B"/>
        <color rgb="FFFFEB84"/>
        <color rgb="FFF8696B"/>
      </colorScale>
    </cfRule>
    <cfRule type="colorScale" priority="9699">
      <colorScale>
        <cfvo type="min"/>
        <cfvo type="percentile" val="50"/>
        <cfvo type="max"/>
        <color rgb="FF63BE7B"/>
        <color rgb="FFFFEB84"/>
        <color rgb="FFF8696B"/>
      </colorScale>
    </cfRule>
    <cfRule type="colorScale" priority="8500">
      <colorScale>
        <cfvo type="min"/>
        <cfvo type="percentile" val="50"/>
        <cfvo type="max"/>
        <color rgb="FF63BE7B"/>
        <color rgb="FFFFEB84"/>
        <color rgb="FFF8696B"/>
      </colorScale>
    </cfRule>
  </conditionalFormatting>
  <conditionalFormatting sqref="AU42:AV50">
    <cfRule type="colorScale" priority="12944">
      <colorScale>
        <cfvo type="min"/>
        <cfvo type="percentile" val="50"/>
        <cfvo type="max"/>
        <color rgb="FF63BE7B"/>
        <color rgb="FFFFEB84"/>
        <color rgb="FFF8696B"/>
      </colorScale>
    </cfRule>
  </conditionalFormatting>
  <conditionalFormatting sqref="AU52:AV53">
    <cfRule type="colorScale" priority="4860">
      <colorScale>
        <cfvo type="min"/>
        <cfvo type="percentile" val="50"/>
        <cfvo type="max"/>
        <color rgb="FF63BE7B"/>
        <color rgb="FFFFEB84"/>
        <color rgb="FFF8696B"/>
      </colorScale>
    </cfRule>
    <cfRule type="colorScale" priority="4861">
      <colorScale>
        <cfvo type="min"/>
        <cfvo type="percentile" val="50"/>
        <cfvo type="max"/>
        <color rgb="FF63BE7B"/>
        <color rgb="FFFFEB84"/>
        <color rgb="FFF8696B"/>
      </colorScale>
    </cfRule>
    <cfRule type="colorScale" priority="4862">
      <colorScale>
        <cfvo type="min"/>
        <cfvo type="percentile" val="50"/>
        <cfvo type="max"/>
        <color rgb="FF63BE7B"/>
        <color rgb="FFFFEB84"/>
        <color rgb="FFF8696B"/>
      </colorScale>
    </cfRule>
    <cfRule type="colorScale" priority="4863">
      <colorScale>
        <cfvo type="min"/>
        <cfvo type="percentile" val="50"/>
        <cfvo type="max"/>
        <color rgb="FF63BE7B"/>
        <color rgb="FFFFEB84"/>
        <color rgb="FFF8696B"/>
      </colorScale>
    </cfRule>
    <cfRule type="colorScale" priority="4864">
      <colorScale>
        <cfvo type="min"/>
        <cfvo type="percentile" val="50"/>
        <cfvo type="max"/>
        <color rgb="FF63BE7B"/>
        <color rgb="FFFFEB84"/>
        <color rgb="FFF8696B"/>
      </colorScale>
    </cfRule>
    <cfRule type="colorScale" priority="4865">
      <colorScale>
        <cfvo type="min"/>
        <cfvo type="percentile" val="50"/>
        <cfvo type="max"/>
        <color rgb="FF63BE7B"/>
        <color rgb="FFFFEB84"/>
        <color rgb="FFF8696B"/>
      </colorScale>
    </cfRule>
    <cfRule type="colorScale" priority="4866">
      <colorScale>
        <cfvo type="min"/>
        <cfvo type="percentile" val="50"/>
        <cfvo type="max"/>
        <color rgb="FF63BE7B"/>
        <color rgb="FFFFEB84"/>
        <color rgb="FFF8696B"/>
      </colorScale>
    </cfRule>
    <cfRule type="colorScale" priority="4867">
      <colorScale>
        <cfvo type="min"/>
        <cfvo type="percentile" val="50"/>
        <cfvo type="max"/>
        <color rgb="FF63BE7B"/>
        <color rgb="FFFFEB84"/>
        <color rgb="FFF8696B"/>
      </colorScale>
    </cfRule>
    <cfRule type="colorScale" priority="4868">
      <colorScale>
        <cfvo type="min"/>
        <cfvo type="percentile" val="50"/>
        <cfvo type="max"/>
        <color rgb="FF63BE7B"/>
        <color rgb="FFFFEB84"/>
        <color rgb="FFF8696B"/>
      </colorScale>
    </cfRule>
    <cfRule type="colorScale" priority="4869">
      <colorScale>
        <cfvo type="min"/>
        <cfvo type="percentile" val="50"/>
        <cfvo type="max"/>
        <color rgb="FF63BE7B"/>
        <color rgb="FFFFEB84"/>
        <color rgb="FFF8696B"/>
      </colorScale>
    </cfRule>
    <cfRule type="colorScale" priority="4870">
      <colorScale>
        <cfvo type="min"/>
        <cfvo type="percentile" val="50"/>
        <cfvo type="max"/>
        <color rgb="FF63BE7B"/>
        <color rgb="FFFFEB84"/>
        <color rgb="FFF8696B"/>
      </colorScale>
    </cfRule>
    <cfRule type="colorScale" priority="4871">
      <colorScale>
        <cfvo type="min"/>
        <cfvo type="percentile" val="50"/>
        <cfvo type="max"/>
        <color rgb="FF63BE7B"/>
        <color rgb="FFFFEB84"/>
        <color rgb="FFF8696B"/>
      </colorScale>
    </cfRule>
    <cfRule type="colorScale" priority="4872">
      <colorScale>
        <cfvo type="min"/>
        <cfvo type="percentile" val="50"/>
        <cfvo type="max"/>
        <color rgb="FF63BE7B"/>
        <color rgb="FFFFEB84"/>
        <color rgb="FFF8696B"/>
      </colorScale>
    </cfRule>
    <cfRule type="colorScale" priority="4873">
      <colorScale>
        <cfvo type="min"/>
        <cfvo type="percentile" val="50"/>
        <cfvo type="max"/>
        <color rgb="FF63BE7B"/>
        <color rgb="FFFFEB84"/>
        <color rgb="FFF8696B"/>
      </colorScale>
    </cfRule>
    <cfRule type="colorScale" priority="4874">
      <colorScale>
        <cfvo type="min"/>
        <cfvo type="percentile" val="50"/>
        <cfvo type="max"/>
        <color rgb="FF63BE7B"/>
        <color rgb="FFFFEB84"/>
        <color rgb="FFF8696B"/>
      </colorScale>
    </cfRule>
    <cfRule type="colorScale" priority="4875">
      <colorScale>
        <cfvo type="min"/>
        <cfvo type="percentile" val="50"/>
        <cfvo type="max"/>
        <color rgb="FF63BE7B"/>
        <color rgb="FFFFEB84"/>
        <color rgb="FFF8696B"/>
      </colorScale>
    </cfRule>
    <cfRule type="colorScale" priority="5342">
      <colorScale>
        <cfvo type="min"/>
        <cfvo type="percentile" val="50"/>
        <cfvo type="max"/>
        <color rgb="FF63BE7B"/>
        <color rgb="FFFFEB84"/>
        <color rgb="FFF8696B"/>
      </colorScale>
    </cfRule>
    <cfRule type="colorScale" priority="5343">
      <colorScale>
        <cfvo type="min"/>
        <cfvo type="percentile" val="50"/>
        <cfvo type="max"/>
        <color rgb="FF63BE7B"/>
        <color rgb="FFFFEB84"/>
        <color rgb="FFF8696B"/>
      </colorScale>
    </cfRule>
    <cfRule type="colorScale" priority="5344">
      <colorScale>
        <cfvo type="min"/>
        <cfvo type="percentile" val="50"/>
        <cfvo type="max"/>
        <color rgb="FF63BE7B"/>
        <color rgb="FFFFEB84"/>
        <color rgb="FFF8696B"/>
      </colorScale>
    </cfRule>
    <cfRule type="colorScale" priority="5345">
      <colorScale>
        <cfvo type="min"/>
        <cfvo type="percentile" val="50"/>
        <cfvo type="max"/>
        <color rgb="FF63BE7B"/>
        <color rgb="FFFFEB84"/>
        <color rgb="FFF8696B"/>
      </colorScale>
    </cfRule>
    <cfRule type="colorScale" priority="5346">
      <colorScale>
        <cfvo type="min"/>
        <cfvo type="percentile" val="50"/>
        <cfvo type="max"/>
        <color rgb="FF63BE7B"/>
        <color rgb="FFFFEB84"/>
        <color rgb="FFF8696B"/>
      </colorScale>
    </cfRule>
    <cfRule type="colorScale" priority="5347">
      <colorScale>
        <cfvo type="min"/>
        <cfvo type="percentile" val="50"/>
        <cfvo type="max"/>
        <color rgb="FF63BE7B"/>
        <color rgb="FFFFEB84"/>
        <color rgb="FFF8696B"/>
      </colorScale>
    </cfRule>
    <cfRule type="colorScale" priority="5348">
      <colorScale>
        <cfvo type="min"/>
        <cfvo type="percentile" val="50"/>
        <cfvo type="max"/>
        <color rgb="FF63BE7B"/>
        <color rgb="FFFFEB84"/>
        <color rgb="FFF8696B"/>
      </colorScale>
    </cfRule>
    <cfRule type="colorScale" priority="5349">
      <colorScale>
        <cfvo type="min"/>
        <cfvo type="percentile" val="50"/>
        <cfvo type="max"/>
        <color rgb="FF63BE7B"/>
        <color rgb="FFFFEB84"/>
        <color rgb="FFF8696B"/>
      </colorScale>
    </cfRule>
    <cfRule type="colorScale" priority="5350">
      <colorScale>
        <cfvo type="min"/>
        <cfvo type="percentile" val="50"/>
        <cfvo type="max"/>
        <color rgb="FF63BE7B"/>
        <color rgb="FFFFEB84"/>
        <color rgb="FFF8696B"/>
      </colorScale>
    </cfRule>
    <cfRule type="colorScale" priority="5351">
      <colorScale>
        <cfvo type="min"/>
        <cfvo type="percentile" val="50"/>
        <cfvo type="max"/>
        <color rgb="FF63BE7B"/>
        <color rgb="FFFFEB84"/>
        <color rgb="FFF8696B"/>
      </colorScale>
    </cfRule>
    <cfRule type="colorScale" priority="5352">
      <colorScale>
        <cfvo type="min"/>
        <cfvo type="percentile" val="50"/>
        <cfvo type="max"/>
        <color rgb="FF63BE7B"/>
        <color rgb="FFFFEB84"/>
        <color rgb="FFF8696B"/>
      </colorScale>
    </cfRule>
    <cfRule type="colorScale" priority="5353">
      <colorScale>
        <cfvo type="min"/>
        <cfvo type="percentile" val="50"/>
        <cfvo type="max"/>
        <color rgb="FF63BE7B"/>
        <color rgb="FFFFEB84"/>
        <color rgb="FFF8696B"/>
      </colorScale>
    </cfRule>
    <cfRule type="colorScale" priority="5354">
      <colorScale>
        <cfvo type="min"/>
        <cfvo type="percentile" val="50"/>
        <cfvo type="max"/>
        <color rgb="FF63BE7B"/>
        <color rgb="FFFFEB84"/>
        <color rgb="FFF8696B"/>
      </colorScale>
    </cfRule>
    <cfRule type="colorScale" priority="5355">
      <colorScale>
        <cfvo type="min"/>
        <cfvo type="percentile" val="50"/>
        <cfvo type="max"/>
        <color rgb="FF63BE7B"/>
        <color rgb="FFFFEB84"/>
        <color rgb="FFF8696B"/>
      </colorScale>
    </cfRule>
    <cfRule type="colorScale" priority="5356">
      <colorScale>
        <cfvo type="min"/>
        <cfvo type="percentile" val="50"/>
        <cfvo type="max"/>
        <color rgb="FF63BE7B"/>
        <color rgb="FFFFEB84"/>
        <color rgb="FFF8696B"/>
      </colorScale>
    </cfRule>
    <cfRule type="colorScale" priority="5357">
      <colorScale>
        <cfvo type="min"/>
        <cfvo type="percentile" val="50"/>
        <cfvo type="max"/>
        <color rgb="FF63BE7B"/>
        <color rgb="FFFFEB84"/>
        <color rgb="FFF8696B"/>
      </colorScale>
    </cfRule>
    <cfRule type="colorScale" priority="5358">
      <colorScale>
        <cfvo type="min"/>
        <cfvo type="percentile" val="50"/>
        <cfvo type="max"/>
        <color rgb="FF63BE7B"/>
        <color rgb="FFFFEB84"/>
        <color rgb="FFF8696B"/>
      </colorScale>
    </cfRule>
    <cfRule type="colorScale" priority="5359">
      <colorScale>
        <cfvo type="min"/>
        <cfvo type="percentile" val="50"/>
        <cfvo type="max"/>
        <color rgb="FF63BE7B"/>
        <color rgb="FFFFEB84"/>
        <color rgb="FFF8696B"/>
      </colorScale>
    </cfRule>
    <cfRule type="colorScale" priority="5360">
      <colorScale>
        <cfvo type="min"/>
        <cfvo type="percentile" val="50"/>
        <cfvo type="max"/>
        <color rgb="FF63BE7B"/>
        <color rgb="FFFFEB84"/>
        <color rgb="FFF8696B"/>
      </colorScale>
    </cfRule>
    <cfRule type="colorScale" priority="5361">
      <colorScale>
        <cfvo type="min"/>
        <cfvo type="percentile" val="50"/>
        <cfvo type="max"/>
        <color rgb="FF63BE7B"/>
        <color rgb="FFFFEB84"/>
        <color rgb="FFF8696B"/>
      </colorScale>
    </cfRule>
    <cfRule type="colorScale" priority="5362">
      <colorScale>
        <cfvo type="min"/>
        <cfvo type="percentile" val="50"/>
        <cfvo type="max"/>
        <color rgb="FF63BE7B"/>
        <color rgb="FFFFEB84"/>
        <color rgb="FFF8696B"/>
      </colorScale>
    </cfRule>
    <cfRule type="colorScale" priority="5363">
      <colorScale>
        <cfvo type="min"/>
        <cfvo type="percentile" val="50"/>
        <cfvo type="max"/>
        <color rgb="FF63BE7B"/>
        <color rgb="FFFFEB84"/>
        <color rgb="FFF8696B"/>
      </colorScale>
    </cfRule>
    <cfRule type="colorScale" priority="5364">
      <colorScale>
        <cfvo type="min"/>
        <cfvo type="percentile" val="50"/>
        <cfvo type="max"/>
        <color rgb="FF63BE7B"/>
        <color rgb="FFFFEB84"/>
        <color rgb="FFF8696B"/>
      </colorScale>
    </cfRule>
    <cfRule type="colorScale" priority="5365">
      <colorScale>
        <cfvo type="min"/>
        <cfvo type="percentile" val="50"/>
        <cfvo type="max"/>
        <color rgb="FF63BE7B"/>
        <color rgb="FFFFEB84"/>
        <color rgb="FFF8696B"/>
      </colorScale>
    </cfRule>
    <cfRule type="colorScale" priority="5366">
      <colorScale>
        <cfvo type="min"/>
        <cfvo type="percentile" val="50"/>
        <cfvo type="max"/>
        <color rgb="FF63BE7B"/>
        <color rgb="FFFFEB84"/>
        <color rgb="FFF8696B"/>
      </colorScale>
    </cfRule>
    <cfRule type="colorScale" priority="5367">
      <colorScale>
        <cfvo type="min"/>
        <cfvo type="percentile" val="50"/>
        <cfvo type="max"/>
        <color rgb="FF63BE7B"/>
        <color rgb="FFFFEB84"/>
        <color rgb="FFF8696B"/>
      </colorScale>
    </cfRule>
    <cfRule type="colorScale" priority="5368">
      <colorScale>
        <cfvo type="min"/>
        <cfvo type="percentile" val="50"/>
        <cfvo type="max"/>
        <color rgb="FF63BE7B"/>
        <color rgb="FFFFEB84"/>
        <color rgb="FFF8696B"/>
      </colorScale>
    </cfRule>
    <cfRule type="colorScale" priority="5369">
      <colorScale>
        <cfvo type="min"/>
        <cfvo type="percentile" val="50"/>
        <cfvo type="max"/>
        <color rgb="FF63BE7B"/>
        <color rgb="FFFFEB84"/>
        <color rgb="FFF8696B"/>
      </colorScale>
    </cfRule>
    <cfRule type="colorScale" priority="5370">
      <colorScale>
        <cfvo type="min"/>
        <cfvo type="percentile" val="50"/>
        <cfvo type="max"/>
        <color rgb="FF63BE7B"/>
        <color rgb="FFFFEB84"/>
        <color rgb="FFF8696B"/>
      </colorScale>
    </cfRule>
    <cfRule type="colorScale" priority="5371">
      <colorScale>
        <cfvo type="min"/>
        <cfvo type="percentile" val="50"/>
        <cfvo type="max"/>
        <color rgb="FF63BE7B"/>
        <color rgb="FFFFEB84"/>
        <color rgb="FFF8696B"/>
      </colorScale>
    </cfRule>
    <cfRule type="colorScale" priority="5372">
      <colorScale>
        <cfvo type="min"/>
        <cfvo type="percentile" val="50"/>
        <cfvo type="max"/>
        <color rgb="FF63BE7B"/>
        <color rgb="FFFFEB84"/>
        <color rgb="FFF8696B"/>
      </colorScale>
    </cfRule>
    <cfRule type="colorScale" priority="5373">
      <colorScale>
        <cfvo type="min"/>
        <cfvo type="percentile" val="50"/>
        <cfvo type="max"/>
        <color rgb="FF63BE7B"/>
        <color rgb="FFFFEB84"/>
        <color rgb="FFF8696B"/>
      </colorScale>
    </cfRule>
    <cfRule type="colorScale" priority="5374">
      <colorScale>
        <cfvo type="min"/>
        <cfvo type="percentile" val="50"/>
        <cfvo type="max"/>
        <color rgb="FF63BE7B"/>
        <color rgb="FFFFEB84"/>
        <color rgb="FFF8696B"/>
      </colorScale>
    </cfRule>
    <cfRule type="colorScale" priority="5375">
      <colorScale>
        <cfvo type="min"/>
        <cfvo type="percentile" val="50"/>
        <cfvo type="max"/>
        <color rgb="FF63BE7B"/>
        <color rgb="FFFFEB84"/>
        <color rgb="FFF8696B"/>
      </colorScale>
    </cfRule>
    <cfRule type="colorScale" priority="5376">
      <colorScale>
        <cfvo type="min"/>
        <cfvo type="percentile" val="50"/>
        <cfvo type="max"/>
        <color rgb="FF63BE7B"/>
        <color rgb="FFFFEB84"/>
        <color rgb="FFF8696B"/>
      </colorScale>
    </cfRule>
    <cfRule type="colorScale" priority="5377">
      <colorScale>
        <cfvo type="min"/>
        <cfvo type="percentile" val="50"/>
        <cfvo type="max"/>
        <color rgb="FF63BE7B"/>
        <color rgb="FFFFEB84"/>
        <color rgb="FFF8696B"/>
      </colorScale>
    </cfRule>
    <cfRule type="colorScale" priority="5378">
      <colorScale>
        <cfvo type="min"/>
        <cfvo type="percentile" val="50"/>
        <cfvo type="max"/>
        <color rgb="FF63BE7B"/>
        <color rgb="FFFFEB84"/>
        <color rgb="FFF8696B"/>
      </colorScale>
    </cfRule>
    <cfRule type="colorScale" priority="5379">
      <colorScale>
        <cfvo type="min"/>
        <cfvo type="percentile" val="50"/>
        <cfvo type="max"/>
        <color rgb="FF63BE7B"/>
        <color rgb="FFFFEB84"/>
        <color rgb="FFF8696B"/>
      </colorScale>
    </cfRule>
    <cfRule type="colorScale" priority="6532">
      <colorScale>
        <cfvo type="min"/>
        <cfvo type="percentile" val="50"/>
        <cfvo type="max"/>
        <color rgb="FF63BE7B"/>
        <color rgb="FFFFEB84"/>
        <color rgb="FFF8696B"/>
      </colorScale>
    </cfRule>
    <cfRule type="colorScale" priority="6531">
      <colorScale>
        <cfvo type="min"/>
        <cfvo type="percentile" val="50"/>
        <cfvo type="max"/>
        <color rgb="FF63BE7B"/>
        <color rgb="FFFFEB84"/>
        <color rgb="FFF8696B"/>
      </colorScale>
    </cfRule>
    <cfRule type="colorScale" priority="6530">
      <colorScale>
        <cfvo type="min"/>
        <cfvo type="percentile" val="50"/>
        <cfvo type="max"/>
        <color rgb="FF63BE7B"/>
        <color rgb="FFFFEB84"/>
        <color rgb="FFF8696B"/>
      </colorScale>
    </cfRule>
    <cfRule type="colorScale" priority="6529">
      <colorScale>
        <cfvo type="min"/>
        <cfvo type="percentile" val="50"/>
        <cfvo type="max"/>
        <color rgb="FF63BE7B"/>
        <color rgb="FFFFEB84"/>
        <color rgb="FFF8696B"/>
      </colorScale>
    </cfRule>
    <cfRule type="colorScale" priority="6528">
      <colorScale>
        <cfvo type="min"/>
        <cfvo type="percentile" val="50"/>
        <cfvo type="max"/>
        <color rgb="FF63BE7B"/>
        <color rgb="FFFFEB84"/>
        <color rgb="FFF8696B"/>
      </colorScale>
    </cfRule>
    <cfRule type="colorScale" priority="6527">
      <colorScale>
        <cfvo type="min"/>
        <cfvo type="percentile" val="50"/>
        <cfvo type="max"/>
        <color rgb="FF63BE7B"/>
        <color rgb="FFFFEB84"/>
        <color rgb="FFF8696B"/>
      </colorScale>
    </cfRule>
    <cfRule type="colorScale" priority="6526">
      <colorScale>
        <cfvo type="min"/>
        <cfvo type="percentile" val="50"/>
        <cfvo type="max"/>
        <color rgb="FF63BE7B"/>
        <color rgb="FFFFEB84"/>
        <color rgb="FFF8696B"/>
      </colorScale>
    </cfRule>
    <cfRule type="colorScale" priority="6525">
      <colorScale>
        <cfvo type="min"/>
        <cfvo type="percentile" val="50"/>
        <cfvo type="max"/>
        <color rgb="FF63BE7B"/>
        <color rgb="FFFFEB84"/>
        <color rgb="FFF8696B"/>
      </colorScale>
    </cfRule>
    <cfRule type="colorScale" priority="6524">
      <colorScale>
        <cfvo type="min"/>
        <cfvo type="percentile" val="50"/>
        <cfvo type="max"/>
        <color rgb="FF63BE7B"/>
        <color rgb="FFFFEB84"/>
        <color rgb="FFF8696B"/>
      </colorScale>
    </cfRule>
    <cfRule type="colorScale" priority="6523">
      <colorScale>
        <cfvo type="min"/>
        <cfvo type="percentile" val="50"/>
        <cfvo type="max"/>
        <color rgb="FF63BE7B"/>
        <color rgb="FFFFEB84"/>
        <color rgb="FFF8696B"/>
      </colorScale>
    </cfRule>
    <cfRule type="colorScale" priority="6522">
      <colorScale>
        <cfvo type="min"/>
        <cfvo type="percentile" val="50"/>
        <cfvo type="max"/>
        <color rgb="FF63BE7B"/>
        <color rgb="FFFFEB84"/>
        <color rgb="FFF8696B"/>
      </colorScale>
    </cfRule>
    <cfRule type="colorScale" priority="6521">
      <colorScale>
        <cfvo type="min"/>
        <cfvo type="percentile" val="50"/>
        <cfvo type="max"/>
        <color rgb="FF63BE7B"/>
        <color rgb="FFFFEB84"/>
        <color rgb="FFF8696B"/>
      </colorScale>
    </cfRule>
    <cfRule type="colorScale" priority="6520">
      <colorScale>
        <cfvo type="min"/>
        <cfvo type="percentile" val="50"/>
        <cfvo type="max"/>
        <color rgb="FF63BE7B"/>
        <color rgb="FFFFEB84"/>
        <color rgb="FFF8696B"/>
      </colorScale>
    </cfRule>
    <cfRule type="colorScale" priority="6519">
      <colorScale>
        <cfvo type="min"/>
        <cfvo type="percentile" val="50"/>
        <cfvo type="max"/>
        <color rgb="FF63BE7B"/>
        <color rgb="FFFFEB84"/>
        <color rgb="FFF8696B"/>
      </colorScale>
    </cfRule>
    <cfRule type="colorScale" priority="6518">
      <colorScale>
        <cfvo type="min"/>
        <cfvo type="percentile" val="50"/>
        <cfvo type="max"/>
        <color rgb="FF63BE7B"/>
        <color rgb="FFFFEB84"/>
        <color rgb="FFF8696B"/>
      </colorScale>
    </cfRule>
    <cfRule type="colorScale" priority="6517">
      <colorScale>
        <cfvo type="min"/>
        <cfvo type="percentile" val="50"/>
        <cfvo type="max"/>
        <color rgb="FF63BE7B"/>
        <color rgb="FFFFEB84"/>
        <color rgb="FFF8696B"/>
      </colorScale>
    </cfRule>
    <cfRule type="colorScale" priority="6516">
      <colorScale>
        <cfvo type="min"/>
        <cfvo type="percentile" val="50"/>
        <cfvo type="max"/>
        <color rgb="FF63BE7B"/>
        <color rgb="FFFFEB84"/>
        <color rgb="FFF8696B"/>
      </colorScale>
    </cfRule>
    <cfRule type="colorScale" priority="6515">
      <colorScale>
        <cfvo type="min"/>
        <cfvo type="percentile" val="50"/>
        <cfvo type="max"/>
        <color rgb="FF63BE7B"/>
        <color rgb="FFFFEB84"/>
        <color rgb="FFF8696B"/>
      </colorScale>
    </cfRule>
    <cfRule type="colorScale" priority="5906">
      <colorScale>
        <cfvo type="min"/>
        <cfvo type="percentile" val="50"/>
        <cfvo type="max"/>
        <color rgb="FFF8696B"/>
        <color rgb="FFFFEB84"/>
        <color rgb="FF63BE7B"/>
      </colorScale>
    </cfRule>
    <cfRule type="colorScale" priority="5918">
      <colorScale>
        <cfvo type="min"/>
        <cfvo type="percentile" val="50"/>
        <cfvo type="max"/>
        <color rgb="FF63BE7B"/>
        <color rgb="FFFFEB84"/>
        <color rgb="FFF8696B"/>
      </colorScale>
    </cfRule>
    <cfRule type="colorScale" priority="5919">
      <colorScale>
        <cfvo type="min"/>
        <cfvo type="percentile" val="50"/>
        <cfvo type="max"/>
        <color rgb="FF63BE7B"/>
        <color rgb="FFFFEB84"/>
        <color rgb="FFF8696B"/>
      </colorScale>
    </cfRule>
    <cfRule type="colorScale" priority="5920">
      <colorScale>
        <cfvo type="min"/>
        <cfvo type="percentile" val="50"/>
        <cfvo type="max"/>
        <color rgb="FF63BE7B"/>
        <color rgb="FFFFEB84"/>
        <color rgb="FFF8696B"/>
      </colorScale>
    </cfRule>
    <cfRule type="colorScale" priority="5921">
      <colorScale>
        <cfvo type="min"/>
        <cfvo type="percentile" val="50"/>
        <cfvo type="max"/>
        <color rgb="FF63BE7B"/>
        <color rgb="FFFFEB84"/>
        <color rgb="FFF8696B"/>
      </colorScale>
    </cfRule>
    <cfRule type="colorScale" priority="5922">
      <colorScale>
        <cfvo type="min"/>
        <cfvo type="percentile" val="50"/>
        <cfvo type="max"/>
        <color rgb="FF63BE7B"/>
        <color rgb="FFFFEB84"/>
        <color rgb="FFF8696B"/>
      </colorScale>
    </cfRule>
    <cfRule type="colorScale" priority="5923">
      <colorScale>
        <cfvo type="min"/>
        <cfvo type="percentile" val="50"/>
        <cfvo type="max"/>
        <color rgb="FF63BE7B"/>
        <color rgb="FFFFEB84"/>
        <color rgb="FFF8696B"/>
      </colorScale>
    </cfRule>
    <cfRule type="colorScale" priority="5924">
      <colorScale>
        <cfvo type="min"/>
        <cfvo type="percentile" val="50"/>
        <cfvo type="max"/>
        <color rgb="FF63BE7B"/>
        <color rgb="FFFFEB84"/>
        <color rgb="FFF8696B"/>
      </colorScale>
    </cfRule>
    <cfRule type="colorScale" priority="5925">
      <colorScale>
        <cfvo type="min"/>
        <cfvo type="percentile" val="50"/>
        <cfvo type="max"/>
        <color rgb="FF63BE7B"/>
        <color rgb="FFFFEB84"/>
        <color rgb="FFF8696B"/>
      </colorScale>
    </cfRule>
    <cfRule type="colorScale" priority="4876">
      <colorScale>
        <cfvo type="min"/>
        <cfvo type="percentile" val="50"/>
        <cfvo type="max"/>
        <color rgb="FF63BE7B"/>
        <color rgb="FFFFEB84"/>
        <color rgb="FFF8696B"/>
      </colorScale>
    </cfRule>
    <cfRule type="colorScale" priority="4877">
      <colorScale>
        <cfvo type="min"/>
        <cfvo type="percentile" val="50"/>
        <cfvo type="max"/>
        <color rgb="FF63BE7B"/>
        <color rgb="FFFFEB84"/>
        <color rgb="FFF8696B"/>
      </colorScale>
    </cfRule>
    <cfRule type="colorScale" priority="4878">
      <colorScale>
        <cfvo type="min"/>
        <cfvo type="percentile" val="50"/>
        <cfvo type="max"/>
        <color rgb="FF63BE7B"/>
        <color rgb="FFFFEB84"/>
        <color rgb="FFF8696B"/>
      </colorScale>
    </cfRule>
    <cfRule type="colorScale" priority="4879">
      <colorScale>
        <cfvo type="min"/>
        <cfvo type="percentile" val="50"/>
        <cfvo type="max"/>
        <color rgb="FF63BE7B"/>
        <color rgb="FFFFEB84"/>
        <color rgb="FFF8696B"/>
      </colorScale>
    </cfRule>
    <cfRule type="colorScale" priority="5926">
      <colorScale>
        <cfvo type="min"/>
        <cfvo type="percentile" val="50"/>
        <cfvo type="max"/>
        <color rgb="FF63BE7B"/>
        <color rgb="FFFFEB84"/>
        <color rgb="FFF8696B"/>
      </colorScale>
    </cfRule>
    <cfRule type="colorScale" priority="5927">
      <colorScale>
        <cfvo type="min"/>
        <cfvo type="percentile" val="50"/>
        <cfvo type="max"/>
        <color rgb="FF63BE7B"/>
        <color rgb="FFFFEB84"/>
        <color rgb="FFF8696B"/>
      </colorScale>
    </cfRule>
    <cfRule type="colorScale" priority="4880">
      <colorScale>
        <cfvo type="min"/>
        <cfvo type="percentile" val="50"/>
        <cfvo type="max"/>
        <color rgb="FF63BE7B"/>
        <color rgb="FFFFEB84"/>
        <color rgb="FFF8696B"/>
      </colorScale>
    </cfRule>
    <cfRule type="colorScale" priority="4881">
      <colorScale>
        <cfvo type="min"/>
        <cfvo type="percentile" val="50"/>
        <cfvo type="max"/>
        <color rgb="FF63BE7B"/>
        <color rgb="FFFFEB84"/>
        <color rgb="FFF8696B"/>
      </colorScale>
    </cfRule>
    <cfRule type="colorScale" priority="4882">
      <colorScale>
        <cfvo type="min"/>
        <cfvo type="percentile" val="50"/>
        <cfvo type="max"/>
        <color rgb="FF63BE7B"/>
        <color rgb="FFFFEB84"/>
        <color rgb="FFF8696B"/>
      </colorScale>
    </cfRule>
    <cfRule type="colorScale" priority="4883">
      <colorScale>
        <cfvo type="min"/>
        <cfvo type="percentile" val="50"/>
        <cfvo type="max"/>
        <color rgb="FF63BE7B"/>
        <color rgb="FFFFEB84"/>
        <color rgb="FFF8696B"/>
      </colorScale>
    </cfRule>
    <cfRule type="colorScale" priority="4884">
      <colorScale>
        <cfvo type="min"/>
        <cfvo type="percentile" val="50"/>
        <cfvo type="max"/>
        <color rgb="FF63BE7B"/>
        <color rgb="FFFFEB84"/>
        <color rgb="FFF8696B"/>
      </colorScale>
    </cfRule>
    <cfRule type="colorScale" priority="4885">
      <colorScale>
        <cfvo type="min"/>
        <cfvo type="percentile" val="50"/>
        <cfvo type="max"/>
        <color rgb="FF63BE7B"/>
        <color rgb="FFFFEB84"/>
        <color rgb="FFF8696B"/>
      </colorScale>
    </cfRule>
    <cfRule type="colorScale" priority="4886">
      <colorScale>
        <cfvo type="min"/>
        <cfvo type="percentile" val="50"/>
        <cfvo type="max"/>
        <color rgb="FF63BE7B"/>
        <color rgb="FFFFEB84"/>
        <color rgb="FFF8696B"/>
      </colorScale>
    </cfRule>
    <cfRule type="colorScale" priority="4887">
      <colorScale>
        <cfvo type="min"/>
        <cfvo type="percentile" val="50"/>
        <cfvo type="max"/>
        <color rgb="FF63BE7B"/>
        <color rgb="FFFFEB84"/>
        <color rgb="FFF8696B"/>
      </colorScale>
    </cfRule>
    <cfRule type="colorScale" priority="4888">
      <colorScale>
        <cfvo type="min"/>
        <cfvo type="percentile" val="50"/>
        <cfvo type="max"/>
        <color rgb="FF63BE7B"/>
        <color rgb="FFFFEB84"/>
        <color rgb="FFF8696B"/>
      </colorScale>
    </cfRule>
    <cfRule type="colorScale" priority="4889">
      <colorScale>
        <cfvo type="min"/>
        <cfvo type="percentile" val="50"/>
        <cfvo type="max"/>
        <color rgb="FF63BE7B"/>
        <color rgb="FFFFEB84"/>
        <color rgb="FFF8696B"/>
      </colorScale>
    </cfRule>
    <cfRule type="colorScale" priority="4890">
      <colorScale>
        <cfvo type="min"/>
        <cfvo type="percentile" val="50"/>
        <cfvo type="max"/>
        <color rgb="FF63BE7B"/>
        <color rgb="FFFFEB84"/>
        <color rgb="FFF8696B"/>
      </colorScale>
    </cfRule>
    <cfRule type="colorScale" priority="5931">
      <colorScale>
        <cfvo type="min"/>
        <cfvo type="percentile" val="50"/>
        <cfvo type="max"/>
        <color rgb="FF63BE7B"/>
        <color rgb="FFFFEB84"/>
        <color rgb="FFF8696B"/>
      </colorScale>
    </cfRule>
    <cfRule type="colorScale" priority="5930">
      <colorScale>
        <cfvo type="min"/>
        <cfvo type="percentile" val="50"/>
        <cfvo type="max"/>
        <color rgb="FF63BE7B"/>
        <color rgb="FFFFEB84"/>
        <color rgb="FFF8696B"/>
      </colorScale>
    </cfRule>
    <cfRule type="colorScale" priority="4891">
      <colorScale>
        <cfvo type="min"/>
        <cfvo type="percentile" val="50"/>
        <cfvo type="max"/>
        <color rgb="FF63BE7B"/>
        <color rgb="FFFFEB84"/>
        <color rgb="FFF8696B"/>
      </colorScale>
    </cfRule>
    <cfRule type="colorScale" priority="4892">
      <colorScale>
        <cfvo type="min"/>
        <cfvo type="percentile" val="50"/>
        <cfvo type="max"/>
        <color rgb="FFF8696B"/>
        <color rgb="FFFFEB84"/>
        <color rgb="FF63BE7B"/>
      </colorScale>
    </cfRule>
    <cfRule type="colorScale" priority="4893">
      <colorScale>
        <cfvo type="min"/>
        <cfvo type="percentile" val="50"/>
        <cfvo type="max"/>
        <color rgb="FF63BE7B"/>
        <color rgb="FFFFEB84"/>
        <color rgb="FFF8696B"/>
      </colorScale>
    </cfRule>
    <cfRule type="colorScale" priority="4894">
      <colorScale>
        <cfvo type="min"/>
        <cfvo type="percentile" val="50"/>
        <cfvo type="max"/>
        <color rgb="FF63BE7B"/>
        <color rgb="FFFFEB84"/>
        <color rgb="FFF8696B"/>
      </colorScale>
    </cfRule>
    <cfRule type="colorScale" priority="4895">
      <colorScale>
        <cfvo type="min"/>
        <cfvo type="percentile" val="50"/>
        <cfvo type="max"/>
        <color rgb="FF63BE7B"/>
        <color rgb="FFFFEB84"/>
        <color rgb="FFF8696B"/>
      </colorScale>
    </cfRule>
    <cfRule type="colorScale" priority="4896">
      <colorScale>
        <cfvo type="min"/>
        <cfvo type="percentile" val="50"/>
        <cfvo type="max"/>
        <color rgb="FF63BE7B"/>
        <color rgb="FFFFEB84"/>
        <color rgb="FFF8696B"/>
      </colorScale>
    </cfRule>
    <cfRule type="colorScale" priority="4897">
      <colorScale>
        <cfvo type="min"/>
        <cfvo type="percentile" val="50"/>
        <cfvo type="max"/>
        <color rgb="FF63BE7B"/>
        <color rgb="FFFFEB84"/>
        <color rgb="FFF8696B"/>
      </colorScale>
    </cfRule>
    <cfRule type="colorScale" priority="4898">
      <colorScale>
        <cfvo type="min"/>
        <cfvo type="percentile" val="50"/>
        <cfvo type="max"/>
        <color rgb="FF63BE7B"/>
        <color rgb="FFFFEB84"/>
        <color rgb="FFF8696B"/>
      </colorScale>
    </cfRule>
    <cfRule type="colorScale" priority="4899">
      <colorScale>
        <cfvo type="min"/>
        <cfvo type="percentile" val="50"/>
        <cfvo type="max"/>
        <color rgb="FF63BE7B"/>
        <color rgb="FFFFEB84"/>
        <color rgb="FFF8696B"/>
      </colorScale>
    </cfRule>
    <cfRule type="colorScale" priority="4900">
      <colorScale>
        <cfvo type="min"/>
        <cfvo type="percentile" val="50"/>
        <cfvo type="max"/>
        <color rgb="FF63BE7B"/>
        <color rgb="FFFFEB84"/>
        <color rgb="FFF8696B"/>
      </colorScale>
    </cfRule>
    <cfRule type="colorScale" priority="4902">
      <colorScale>
        <cfvo type="min"/>
        <cfvo type="percentile" val="50"/>
        <cfvo type="max"/>
        <color rgb="FF63BE7B"/>
        <color rgb="FFFFEB84"/>
        <color rgb="FFF8696B"/>
      </colorScale>
    </cfRule>
    <cfRule type="colorScale" priority="4903">
      <colorScale>
        <cfvo type="min"/>
        <cfvo type="percentile" val="50"/>
        <cfvo type="max"/>
        <color rgb="FF63BE7B"/>
        <color rgb="FFFFEB84"/>
        <color rgb="FFF8696B"/>
      </colorScale>
    </cfRule>
    <cfRule type="colorScale" priority="4904">
      <colorScale>
        <cfvo type="min"/>
        <cfvo type="percentile" val="50"/>
        <cfvo type="max"/>
        <color rgb="FF63BE7B"/>
        <color rgb="FFFFEB84"/>
        <color rgb="FFF8696B"/>
      </colorScale>
    </cfRule>
    <cfRule type="colorScale" priority="4905">
      <colorScale>
        <cfvo type="min"/>
        <cfvo type="percentile" val="50"/>
        <cfvo type="max"/>
        <color rgb="FF63BE7B"/>
        <color rgb="FFFFEB84"/>
        <color rgb="FFF8696B"/>
      </colorScale>
    </cfRule>
    <cfRule type="colorScale" priority="4906">
      <colorScale>
        <cfvo type="min"/>
        <cfvo type="percentile" val="50"/>
        <cfvo type="max"/>
        <color rgb="FF63BE7B"/>
        <color rgb="FFFFEB84"/>
        <color rgb="FFF8696B"/>
      </colorScale>
    </cfRule>
    <cfRule type="colorScale" priority="4907">
      <colorScale>
        <cfvo type="min"/>
        <cfvo type="percentile" val="50"/>
        <cfvo type="max"/>
        <color rgb="FF63BE7B"/>
        <color rgb="FFFFEB84"/>
        <color rgb="FFF8696B"/>
      </colorScale>
    </cfRule>
    <cfRule type="colorScale" priority="4908">
      <colorScale>
        <cfvo type="min"/>
        <cfvo type="percentile" val="50"/>
        <cfvo type="max"/>
        <color rgb="FF63BE7B"/>
        <color rgb="FFFFEB84"/>
        <color rgb="FFF8696B"/>
      </colorScale>
    </cfRule>
    <cfRule type="colorScale" priority="4909">
      <colorScale>
        <cfvo type="min"/>
        <cfvo type="percentile" val="50"/>
        <cfvo type="max"/>
        <color rgb="FF63BE7B"/>
        <color rgb="FFFFEB84"/>
        <color rgb="FFF8696B"/>
      </colorScale>
    </cfRule>
    <cfRule type="colorScale" priority="4910">
      <colorScale>
        <cfvo type="min"/>
        <cfvo type="percentile" val="50"/>
        <cfvo type="max"/>
        <color rgb="FF63BE7B"/>
        <color rgb="FFFFEB84"/>
        <color rgb="FFF8696B"/>
      </colorScale>
    </cfRule>
    <cfRule type="colorScale" priority="4911">
      <colorScale>
        <cfvo type="min"/>
        <cfvo type="percentile" val="50"/>
        <cfvo type="max"/>
        <color rgb="FF63BE7B"/>
        <color rgb="FFFFEB84"/>
        <color rgb="FFF8696B"/>
      </colorScale>
    </cfRule>
    <cfRule type="colorScale" priority="4912">
      <colorScale>
        <cfvo type="min"/>
        <cfvo type="percentile" val="50"/>
        <cfvo type="max"/>
        <color rgb="FF63BE7B"/>
        <color rgb="FFFFEB84"/>
        <color rgb="FFF8696B"/>
      </colorScale>
    </cfRule>
    <cfRule type="colorScale" priority="4913">
      <colorScale>
        <cfvo type="min"/>
        <cfvo type="percentile" val="50"/>
        <cfvo type="max"/>
        <color rgb="FF63BE7B"/>
        <color rgb="FFFFEB84"/>
        <color rgb="FFF8696B"/>
      </colorScale>
    </cfRule>
    <cfRule type="colorScale" priority="4914">
      <colorScale>
        <cfvo type="min"/>
        <cfvo type="percentile" val="50"/>
        <cfvo type="max"/>
        <color rgb="FF63BE7B"/>
        <color rgb="FFFFEB84"/>
        <color rgb="FFF8696B"/>
      </colorScale>
    </cfRule>
    <cfRule type="colorScale" priority="4915">
      <colorScale>
        <cfvo type="min"/>
        <cfvo type="percentile" val="50"/>
        <cfvo type="max"/>
        <color rgb="FF63BE7B"/>
        <color rgb="FFFFEB84"/>
        <color rgb="FFF8696B"/>
      </colorScale>
    </cfRule>
    <cfRule type="colorScale" priority="4916">
      <colorScale>
        <cfvo type="min"/>
        <cfvo type="percentile" val="50"/>
        <cfvo type="max"/>
        <color rgb="FF63BE7B"/>
        <color rgb="FFFFEB84"/>
        <color rgb="FFF8696B"/>
      </colorScale>
    </cfRule>
    <cfRule type="colorScale" priority="5929">
      <colorScale>
        <cfvo type="min"/>
        <cfvo type="percentile" val="50"/>
        <cfvo type="max"/>
        <color rgb="FF63BE7B"/>
        <color rgb="FFFFEB84"/>
        <color rgb="FFF8696B"/>
      </colorScale>
    </cfRule>
    <cfRule type="colorScale" priority="4917">
      <colorScale>
        <cfvo type="min"/>
        <cfvo type="percentile" val="50"/>
        <cfvo type="max"/>
        <color rgb="FF63BE7B"/>
        <color rgb="FFFFEB84"/>
        <color rgb="FFF8696B"/>
      </colorScale>
    </cfRule>
    <cfRule type="colorScale" priority="4918">
      <colorScale>
        <cfvo type="min"/>
        <cfvo type="percentile" val="50"/>
        <cfvo type="max"/>
        <color rgb="FF63BE7B"/>
        <color rgb="FFFFEB84"/>
        <color rgb="FFF8696B"/>
      </colorScale>
    </cfRule>
    <cfRule type="colorScale" priority="4919">
      <colorScale>
        <cfvo type="min"/>
        <cfvo type="percentile" val="50"/>
        <cfvo type="max"/>
        <color rgb="FF63BE7B"/>
        <color rgb="FFFFEB84"/>
        <color rgb="FFF8696B"/>
      </colorScale>
    </cfRule>
    <cfRule type="colorScale" priority="4920">
      <colorScale>
        <cfvo type="min"/>
        <cfvo type="percentile" val="50"/>
        <cfvo type="max"/>
        <color rgb="FF63BE7B"/>
        <color rgb="FFFFEB84"/>
        <color rgb="FFF8696B"/>
      </colorScale>
    </cfRule>
    <cfRule type="colorScale" priority="4921">
      <colorScale>
        <cfvo type="min"/>
        <cfvo type="percentile" val="50"/>
        <cfvo type="max"/>
        <color rgb="FF63BE7B"/>
        <color rgb="FFFFEB84"/>
        <color rgb="FFF8696B"/>
      </colorScale>
    </cfRule>
    <cfRule type="colorScale" priority="4922">
      <colorScale>
        <cfvo type="min"/>
        <cfvo type="percentile" val="50"/>
        <cfvo type="max"/>
        <color rgb="FF63BE7B"/>
        <color rgb="FFFFEB84"/>
        <color rgb="FFF8696B"/>
      </colorScale>
    </cfRule>
    <cfRule type="colorScale" priority="4923">
      <colorScale>
        <cfvo type="min"/>
        <cfvo type="percentile" val="50"/>
        <cfvo type="max"/>
        <color rgb="FF63BE7B"/>
        <color rgb="FFFFEB84"/>
        <color rgb="FFF8696B"/>
      </colorScale>
    </cfRule>
    <cfRule type="colorScale" priority="4924">
      <colorScale>
        <cfvo type="min"/>
        <cfvo type="percentile" val="50"/>
        <cfvo type="max"/>
        <color rgb="FF63BE7B"/>
        <color rgb="FFFFEB84"/>
        <color rgb="FFF8696B"/>
      </colorScale>
    </cfRule>
    <cfRule type="colorScale" priority="4925">
      <colorScale>
        <cfvo type="min"/>
        <cfvo type="percentile" val="50"/>
        <cfvo type="max"/>
        <color rgb="FF63BE7B"/>
        <color rgb="FFFFEB84"/>
        <color rgb="FFF8696B"/>
      </colorScale>
    </cfRule>
    <cfRule type="colorScale" priority="4926">
      <colorScale>
        <cfvo type="min"/>
        <cfvo type="percentile" val="50"/>
        <cfvo type="max"/>
        <color rgb="FF63BE7B"/>
        <color rgb="FFFFEB84"/>
        <color rgb="FFF8696B"/>
      </colorScale>
    </cfRule>
    <cfRule type="colorScale" priority="4927">
      <colorScale>
        <cfvo type="min"/>
        <cfvo type="percentile" val="50"/>
        <cfvo type="max"/>
        <color rgb="FF63BE7B"/>
        <color rgb="FFFFEB84"/>
        <color rgb="FFF8696B"/>
      </colorScale>
    </cfRule>
    <cfRule type="colorScale" priority="4928">
      <colorScale>
        <cfvo type="min"/>
        <cfvo type="percentile" val="50"/>
        <cfvo type="max"/>
        <color rgb="FF63BE7B"/>
        <color rgb="FFFFEB84"/>
        <color rgb="FFF8696B"/>
      </colorScale>
    </cfRule>
    <cfRule type="colorScale" priority="4929">
      <colorScale>
        <cfvo type="min"/>
        <cfvo type="percentile" val="50"/>
        <cfvo type="max"/>
        <color rgb="FF63BE7B"/>
        <color rgb="FFFFEB84"/>
        <color rgb="FFF8696B"/>
      </colorScale>
    </cfRule>
    <cfRule type="colorScale" priority="4930">
      <colorScale>
        <cfvo type="min"/>
        <cfvo type="percentile" val="50"/>
        <cfvo type="max"/>
        <color rgb="FF63BE7B"/>
        <color rgb="FFFFEB84"/>
        <color rgb="FFF8696B"/>
      </colorScale>
    </cfRule>
    <cfRule type="colorScale" priority="4931">
      <colorScale>
        <cfvo type="min"/>
        <cfvo type="percentile" val="50"/>
        <cfvo type="max"/>
        <color rgb="FF63BE7B"/>
        <color rgb="FFFFEB84"/>
        <color rgb="FFF8696B"/>
      </colorScale>
    </cfRule>
    <cfRule type="colorScale" priority="5928">
      <colorScale>
        <cfvo type="min"/>
        <cfvo type="percentile" val="50"/>
        <cfvo type="max"/>
        <color rgb="FF63BE7B"/>
        <color rgb="FFFFEB84"/>
        <color rgb="FFF8696B"/>
      </colorScale>
    </cfRule>
    <cfRule type="colorScale" priority="4932">
      <colorScale>
        <cfvo type="min"/>
        <cfvo type="percentile" val="50"/>
        <cfvo type="max"/>
        <color rgb="FF63BE7B"/>
        <color rgb="FFFFEB84"/>
        <color rgb="FFF8696B"/>
      </colorScale>
    </cfRule>
    <cfRule type="colorScale" priority="4933">
      <colorScale>
        <cfvo type="min"/>
        <cfvo type="percentile" val="50"/>
        <cfvo type="max"/>
        <color rgb="FF63BE7B"/>
        <color rgb="FFFFEB84"/>
        <color rgb="FFF8696B"/>
      </colorScale>
    </cfRule>
    <cfRule type="colorScale" priority="4934">
      <colorScale>
        <cfvo type="min"/>
        <cfvo type="percentile" val="50"/>
        <cfvo type="max"/>
        <color rgb="FF63BE7B"/>
        <color rgb="FFFFEB84"/>
        <color rgb="FFF8696B"/>
      </colorScale>
    </cfRule>
    <cfRule type="colorScale" priority="4935">
      <colorScale>
        <cfvo type="min"/>
        <cfvo type="percentile" val="50"/>
        <cfvo type="max"/>
        <color rgb="FF63BE7B"/>
        <color rgb="FFFFEB84"/>
        <color rgb="FFF8696B"/>
      </colorScale>
    </cfRule>
    <cfRule type="colorScale" priority="4936">
      <colorScale>
        <cfvo type="min"/>
        <cfvo type="percentile" val="50"/>
        <cfvo type="max"/>
        <color rgb="FF63BE7B"/>
        <color rgb="FFFFEB84"/>
        <color rgb="FFF8696B"/>
      </colorScale>
    </cfRule>
    <cfRule type="colorScale" priority="4937">
      <colorScale>
        <cfvo type="min"/>
        <cfvo type="percentile" val="50"/>
        <cfvo type="max"/>
        <color rgb="FF63BE7B"/>
        <color rgb="FFFFEB84"/>
        <color rgb="FFF8696B"/>
      </colorScale>
    </cfRule>
    <cfRule type="colorScale" priority="4938">
      <colorScale>
        <cfvo type="min"/>
        <cfvo type="percentile" val="50"/>
        <cfvo type="max"/>
        <color rgb="FF63BE7B"/>
        <color rgb="FFFFEB84"/>
        <color rgb="FFF8696B"/>
      </colorScale>
    </cfRule>
    <cfRule type="colorScale" priority="4939">
      <colorScale>
        <cfvo type="min"/>
        <cfvo type="percentile" val="50"/>
        <cfvo type="max"/>
        <color rgb="FF63BE7B"/>
        <color rgb="FFFFEB84"/>
        <color rgb="FFF8696B"/>
      </colorScale>
    </cfRule>
    <cfRule type="colorScale" priority="4940">
      <colorScale>
        <cfvo type="min"/>
        <cfvo type="percentile" val="50"/>
        <cfvo type="max"/>
        <color rgb="FFF8696B"/>
        <color rgb="FFFFEB84"/>
        <color rgb="FF63BE7B"/>
      </colorScale>
    </cfRule>
    <cfRule type="colorScale" priority="4941">
      <colorScale>
        <cfvo type="min"/>
        <cfvo type="percentile" val="50"/>
        <cfvo type="max"/>
        <color rgb="FF63BE7B"/>
        <color rgb="FFFFEB84"/>
        <color rgb="FFF8696B"/>
      </colorScale>
    </cfRule>
    <cfRule type="colorScale" priority="4942">
      <colorScale>
        <cfvo type="min"/>
        <cfvo type="percentile" val="50"/>
        <cfvo type="max"/>
        <color rgb="FF63BE7B"/>
        <color rgb="FFFFEB84"/>
        <color rgb="FFF8696B"/>
      </colorScale>
    </cfRule>
    <cfRule type="colorScale" priority="4943">
      <colorScale>
        <cfvo type="min"/>
        <cfvo type="percentile" val="50"/>
        <cfvo type="max"/>
        <color rgb="FF63BE7B"/>
        <color rgb="FFFFEB84"/>
        <color rgb="FFF8696B"/>
      </colorScale>
    </cfRule>
    <cfRule type="colorScale" priority="4944">
      <colorScale>
        <cfvo type="min"/>
        <cfvo type="percentile" val="50"/>
        <cfvo type="max"/>
        <color rgb="FF63BE7B"/>
        <color rgb="FFFFEB84"/>
        <color rgb="FFF8696B"/>
      </colorScale>
    </cfRule>
    <cfRule type="colorScale" priority="4945">
      <colorScale>
        <cfvo type="min"/>
        <cfvo type="percentile" val="50"/>
        <cfvo type="max"/>
        <color rgb="FF63BE7B"/>
        <color rgb="FFFFEB84"/>
        <color rgb="FFF8696B"/>
      </colorScale>
    </cfRule>
    <cfRule type="colorScale" priority="4946">
      <colorScale>
        <cfvo type="min"/>
        <cfvo type="percentile" val="50"/>
        <cfvo type="max"/>
        <color rgb="FF63BE7B"/>
        <color rgb="FFFFEB84"/>
        <color rgb="FFF8696B"/>
      </colorScale>
    </cfRule>
    <cfRule type="colorScale" priority="4947">
      <colorScale>
        <cfvo type="min"/>
        <cfvo type="percentile" val="50"/>
        <cfvo type="max"/>
        <color rgb="FF63BE7B"/>
        <color rgb="FFFFEB84"/>
        <color rgb="FFF8696B"/>
      </colorScale>
    </cfRule>
    <cfRule type="colorScale" priority="4948">
      <colorScale>
        <cfvo type="min"/>
        <cfvo type="percentile" val="50"/>
        <cfvo type="max"/>
        <color rgb="FF63BE7B"/>
        <color rgb="FFFFEB84"/>
        <color rgb="FFF8696B"/>
      </colorScale>
    </cfRule>
    <cfRule type="colorScale" priority="4949">
      <colorScale>
        <cfvo type="min"/>
        <cfvo type="percentile" val="50"/>
        <cfvo type="max"/>
        <color rgb="FF63BE7B"/>
        <color rgb="FFFFEB84"/>
        <color rgb="FFF8696B"/>
      </colorScale>
    </cfRule>
    <cfRule type="colorScale" priority="4950">
      <colorScale>
        <cfvo type="min"/>
        <cfvo type="percentile" val="50"/>
        <cfvo type="max"/>
        <color rgb="FF63BE7B"/>
        <color rgb="FFFFEB84"/>
        <color rgb="FFF8696B"/>
      </colorScale>
    </cfRule>
    <cfRule type="colorScale" priority="4951">
      <colorScale>
        <cfvo type="min"/>
        <cfvo type="percentile" val="50"/>
        <cfvo type="max"/>
        <color rgb="FF63BE7B"/>
        <color rgb="FFFFEB84"/>
        <color rgb="FFF8696B"/>
      </colorScale>
    </cfRule>
    <cfRule type="colorScale" priority="4952">
      <colorScale>
        <cfvo type="min"/>
        <cfvo type="percentile" val="50"/>
        <cfvo type="max"/>
        <color rgb="FF63BE7B"/>
        <color rgb="FFFFEB84"/>
        <color rgb="FFF8696B"/>
      </colorScale>
    </cfRule>
    <cfRule type="colorScale" priority="4953">
      <colorScale>
        <cfvo type="min"/>
        <cfvo type="percentile" val="50"/>
        <cfvo type="max"/>
        <color rgb="FF63BE7B"/>
        <color rgb="FFFFEB84"/>
        <color rgb="FFF8696B"/>
      </colorScale>
    </cfRule>
    <cfRule type="colorScale" priority="4954">
      <colorScale>
        <cfvo type="min"/>
        <cfvo type="percentile" val="50"/>
        <cfvo type="max"/>
        <color rgb="FF63BE7B"/>
        <color rgb="FFFFEB84"/>
        <color rgb="FFF8696B"/>
      </colorScale>
    </cfRule>
    <cfRule type="colorScale" priority="4955">
      <colorScale>
        <cfvo type="min"/>
        <cfvo type="percentile" val="50"/>
        <cfvo type="max"/>
        <color rgb="FF63BE7B"/>
        <color rgb="FFFFEB84"/>
        <color rgb="FFF8696B"/>
      </colorScale>
    </cfRule>
    <cfRule type="colorScale" priority="4956">
      <colorScale>
        <cfvo type="min"/>
        <cfvo type="percentile" val="50"/>
        <cfvo type="max"/>
        <color rgb="FF63BE7B"/>
        <color rgb="FFFFEB84"/>
        <color rgb="FFF8696B"/>
      </colorScale>
    </cfRule>
    <cfRule type="colorScale" priority="4957">
      <colorScale>
        <cfvo type="min"/>
        <cfvo type="percentile" val="50"/>
        <cfvo type="max"/>
        <color rgb="FF63BE7B"/>
        <color rgb="FFFFEB84"/>
        <color rgb="FFF8696B"/>
      </colorScale>
    </cfRule>
    <cfRule type="colorScale" priority="4958">
      <colorScale>
        <cfvo type="min"/>
        <cfvo type="percentile" val="50"/>
        <cfvo type="max"/>
        <color rgb="FF63BE7B"/>
        <color rgb="FFFFEB84"/>
        <color rgb="FFF8696B"/>
      </colorScale>
    </cfRule>
    <cfRule type="colorScale" priority="4959">
      <colorScale>
        <cfvo type="min"/>
        <cfvo type="percentile" val="50"/>
        <cfvo type="max"/>
        <color rgb="FF63BE7B"/>
        <color rgb="FFFFEB84"/>
        <color rgb="FFF8696B"/>
      </colorScale>
    </cfRule>
    <cfRule type="colorScale" priority="4960">
      <colorScale>
        <cfvo type="min"/>
        <cfvo type="percentile" val="50"/>
        <cfvo type="max"/>
        <color rgb="FF63BE7B"/>
        <color rgb="FFFFEB84"/>
        <color rgb="FFF8696B"/>
      </colorScale>
    </cfRule>
    <cfRule type="colorScale" priority="4961">
      <colorScale>
        <cfvo type="min"/>
        <cfvo type="percentile" val="50"/>
        <cfvo type="max"/>
        <color rgb="FF63BE7B"/>
        <color rgb="FFFFEB84"/>
        <color rgb="FFF8696B"/>
      </colorScale>
    </cfRule>
    <cfRule type="colorScale" priority="4962">
      <colorScale>
        <cfvo type="min"/>
        <cfvo type="percentile" val="50"/>
        <cfvo type="max"/>
        <color rgb="FF63BE7B"/>
        <color rgb="FFFFEB84"/>
        <color rgb="FFF8696B"/>
      </colorScale>
    </cfRule>
    <cfRule type="colorScale" priority="4963">
      <colorScale>
        <cfvo type="min"/>
        <cfvo type="percentile" val="50"/>
        <cfvo type="max"/>
        <color rgb="FF63BE7B"/>
        <color rgb="FFFFEB84"/>
        <color rgb="FFF8696B"/>
      </colorScale>
    </cfRule>
    <cfRule type="colorScale" priority="4964">
      <colorScale>
        <cfvo type="min"/>
        <cfvo type="percentile" val="50"/>
        <cfvo type="max"/>
        <color rgb="FF63BE7B"/>
        <color rgb="FFFFEB84"/>
        <color rgb="FFF8696B"/>
      </colorScale>
    </cfRule>
    <cfRule type="colorScale" priority="4965">
      <colorScale>
        <cfvo type="min"/>
        <cfvo type="percentile" val="50"/>
        <cfvo type="max"/>
        <color rgb="FF63BE7B"/>
        <color rgb="FFFFEB84"/>
        <color rgb="FFF8696B"/>
      </colorScale>
    </cfRule>
    <cfRule type="colorScale" priority="4966">
      <colorScale>
        <cfvo type="min"/>
        <cfvo type="percentile" val="50"/>
        <cfvo type="max"/>
        <color rgb="FF63BE7B"/>
        <color rgb="FFFFEB84"/>
        <color rgb="FFF8696B"/>
      </colorScale>
    </cfRule>
    <cfRule type="colorScale" priority="4967">
      <colorScale>
        <cfvo type="min"/>
        <cfvo type="percentile" val="50"/>
        <cfvo type="max"/>
        <color rgb="FF63BE7B"/>
        <color rgb="FFFFEB84"/>
        <color rgb="FFF8696B"/>
      </colorScale>
    </cfRule>
    <cfRule type="colorScale" priority="4968">
      <colorScale>
        <cfvo type="min"/>
        <cfvo type="percentile" val="50"/>
        <cfvo type="max"/>
        <color rgb="FF63BE7B"/>
        <color rgb="FFFFEB84"/>
        <color rgb="FFF8696B"/>
      </colorScale>
    </cfRule>
    <cfRule type="colorScale" priority="4969">
      <colorScale>
        <cfvo type="min"/>
        <cfvo type="percentile" val="50"/>
        <cfvo type="max"/>
        <color rgb="FF63BE7B"/>
        <color rgb="FFFFEB84"/>
        <color rgb="FFF8696B"/>
      </colorScale>
    </cfRule>
    <cfRule type="colorScale" priority="4970">
      <colorScale>
        <cfvo type="min"/>
        <cfvo type="percentile" val="50"/>
        <cfvo type="max"/>
        <color rgb="FF63BE7B"/>
        <color rgb="FFFFEB84"/>
        <color rgb="FFF8696B"/>
      </colorScale>
    </cfRule>
    <cfRule type="colorScale" priority="4971">
      <colorScale>
        <cfvo type="min"/>
        <cfvo type="percentile" val="50"/>
        <cfvo type="max"/>
        <color rgb="FF63BE7B"/>
        <color rgb="FFFFEB84"/>
        <color rgb="FFF8696B"/>
      </colorScale>
    </cfRule>
    <cfRule type="colorScale" priority="4972">
      <colorScale>
        <cfvo type="min"/>
        <cfvo type="percentile" val="50"/>
        <cfvo type="max"/>
        <color rgb="FF63BE7B"/>
        <color rgb="FFFFEB84"/>
        <color rgb="FFF8696B"/>
      </colorScale>
    </cfRule>
    <cfRule type="colorScale" priority="4973">
      <colorScale>
        <cfvo type="min"/>
        <cfvo type="percentile" val="50"/>
        <cfvo type="max"/>
        <color rgb="FF63BE7B"/>
        <color rgb="FFFFEB84"/>
        <color rgb="FFF8696B"/>
      </colorScale>
    </cfRule>
    <cfRule type="colorScale" priority="4974">
      <colorScale>
        <cfvo type="min"/>
        <cfvo type="percentile" val="50"/>
        <cfvo type="max"/>
        <color rgb="FF63BE7B"/>
        <color rgb="FFFFEB84"/>
        <color rgb="FFF8696B"/>
      </colorScale>
    </cfRule>
    <cfRule type="colorScale" priority="4975">
      <colorScale>
        <cfvo type="min"/>
        <cfvo type="percentile" val="50"/>
        <cfvo type="max"/>
        <color rgb="FF63BE7B"/>
        <color rgb="FFFFEB84"/>
        <color rgb="FFF8696B"/>
      </colorScale>
    </cfRule>
    <cfRule type="colorScale" priority="4976">
      <colorScale>
        <cfvo type="min"/>
        <cfvo type="percentile" val="50"/>
        <cfvo type="max"/>
        <color rgb="FF63BE7B"/>
        <color rgb="FFFFEB84"/>
        <color rgb="FFF8696B"/>
      </colorScale>
    </cfRule>
    <cfRule type="colorScale" priority="4977">
      <colorScale>
        <cfvo type="min"/>
        <cfvo type="percentile" val="50"/>
        <cfvo type="max"/>
        <color rgb="FF63BE7B"/>
        <color rgb="FFFFEB84"/>
        <color rgb="FFF8696B"/>
      </colorScale>
    </cfRule>
    <cfRule type="colorScale" priority="4978">
      <colorScale>
        <cfvo type="min"/>
        <cfvo type="percentile" val="50"/>
        <cfvo type="max"/>
        <color rgb="FF63BE7B"/>
        <color rgb="FFFFEB84"/>
        <color rgb="FFF8696B"/>
      </colorScale>
    </cfRule>
    <cfRule type="colorScale" priority="4979">
      <colorScale>
        <cfvo type="min"/>
        <cfvo type="percentile" val="50"/>
        <cfvo type="max"/>
        <color rgb="FF63BE7B"/>
        <color rgb="FFFFEB84"/>
        <color rgb="FFF8696B"/>
      </colorScale>
    </cfRule>
    <cfRule type="colorScale" priority="4980">
      <colorScale>
        <cfvo type="min"/>
        <cfvo type="percentile" val="50"/>
        <cfvo type="max"/>
        <color rgb="FF63BE7B"/>
        <color rgb="FFFFEB84"/>
        <color rgb="FFF8696B"/>
      </colorScale>
    </cfRule>
    <cfRule type="colorScale" priority="4981">
      <colorScale>
        <cfvo type="min"/>
        <cfvo type="percentile" val="50"/>
        <cfvo type="max"/>
        <color rgb="FF63BE7B"/>
        <color rgb="FFFFEB84"/>
        <color rgb="FFF8696B"/>
      </colorScale>
    </cfRule>
    <cfRule type="colorScale" priority="4982">
      <colorScale>
        <cfvo type="min"/>
        <cfvo type="percentile" val="50"/>
        <cfvo type="max"/>
        <color rgb="FF63BE7B"/>
        <color rgb="FFFFEB84"/>
        <color rgb="FFF8696B"/>
      </colorScale>
    </cfRule>
    <cfRule type="colorScale" priority="4856">
      <colorScale>
        <cfvo type="min"/>
        <cfvo type="percentile" val="50"/>
        <cfvo type="max"/>
        <color rgb="FF63BE7B"/>
        <color rgb="FFFFEB84"/>
        <color rgb="FFF8696B"/>
      </colorScale>
    </cfRule>
    <cfRule type="colorScale" priority="5936">
      <colorScale>
        <cfvo type="min"/>
        <cfvo type="percentile" val="50"/>
        <cfvo type="max"/>
        <color rgb="FF63BE7B"/>
        <color rgb="FFFFEB84"/>
        <color rgb="FFF8696B"/>
      </colorScale>
    </cfRule>
    <cfRule type="colorScale" priority="4901">
      <colorScale>
        <cfvo type="min"/>
        <cfvo type="percentile" val="50"/>
        <cfvo type="max"/>
        <color rgb="FF63BE7B"/>
        <color rgb="FFFFEB84"/>
        <color rgb="FFF8696B"/>
      </colorScale>
    </cfRule>
    <cfRule type="colorScale" priority="5935">
      <colorScale>
        <cfvo type="min"/>
        <cfvo type="percentile" val="50"/>
        <cfvo type="max"/>
        <color rgb="FF63BE7B"/>
        <color rgb="FFFFEB84"/>
        <color rgb="FFF8696B"/>
      </colorScale>
    </cfRule>
    <cfRule type="colorScale" priority="5934">
      <colorScale>
        <cfvo type="min"/>
        <cfvo type="percentile" val="50"/>
        <cfvo type="max"/>
        <color rgb="FF63BE7B"/>
        <color rgb="FFFFEB84"/>
        <color rgb="FFF8696B"/>
      </colorScale>
    </cfRule>
    <cfRule type="colorScale" priority="5933">
      <colorScale>
        <cfvo type="min"/>
        <cfvo type="percentile" val="50"/>
        <cfvo type="max"/>
        <color rgb="FF63BE7B"/>
        <color rgb="FFFFEB84"/>
        <color rgb="FFF8696B"/>
      </colorScale>
    </cfRule>
    <cfRule type="colorScale" priority="5932">
      <colorScale>
        <cfvo type="min"/>
        <cfvo type="percentile" val="50"/>
        <cfvo type="max"/>
        <color rgb="FF63BE7B"/>
        <color rgb="FFFFEB84"/>
        <color rgb="FFF8696B"/>
      </colorScale>
    </cfRule>
    <cfRule type="colorScale" priority="4853">
      <colorScale>
        <cfvo type="min"/>
        <cfvo type="percentile" val="50"/>
        <cfvo type="max"/>
        <color rgb="FFF8696B"/>
        <color rgb="FFFFEB84"/>
        <color rgb="FF63BE7B"/>
      </colorScale>
    </cfRule>
    <cfRule type="colorScale" priority="4854">
      <colorScale>
        <cfvo type="min"/>
        <cfvo type="percentile" val="50"/>
        <cfvo type="max"/>
        <color rgb="FF63BE7B"/>
        <color rgb="FFFFEB84"/>
        <color rgb="FFF8696B"/>
      </colorScale>
    </cfRule>
    <cfRule type="colorScale" priority="4855">
      <colorScale>
        <cfvo type="min"/>
        <cfvo type="percentile" val="50"/>
        <cfvo type="max"/>
        <color rgb="FF63BE7B"/>
        <color rgb="FFFFEB84"/>
        <color rgb="FFF8696B"/>
      </colorScale>
    </cfRule>
    <cfRule type="colorScale" priority="4857">
      <colorScale>
        <cfvo type="min"/>
        <cfvo type="percentile" val="50"/>
        <cfvo type="max"/>
        <color rgb="FF63BE7B"/>
        <color rgb="FFFFEB84"/>
        <color rgb="FFF8696B"/>
      </colorScale>
    </cfRule>
    <cfRule type="colorScale" priority="4858">
      <colorScale>
        <cfvo type="min"/>
        <cfvo type="percentile" val="50"/>
        <cfvo type="max"/>
        <color rgb="FF63BE7B"/>
        <color rgb="FFFFEB84"/>
        <color rgb="FFF8696B"/>
      </colorScale>
    </cfRule>
    <cfRule type="colorScale" priority="4859">
      <colorScale>
        <cfvo type="min"/>
        <cfvo type="percentile" val="50"/>
        <cfvo type="max"/>
        <color rgb="FF63BE7B"/>
        <color rgb="FFFFEB84"/>
        <color rgb="FFF8696B"/>
      </colorScale>
    </cfRule>
  </conditionalFormatting>
  <conditionalFormatting sqref="AV42:AV50">
    <cfRule type="colorScale" priority="7426">
      <colorScale>
        <cfvo type="min"/>
        <cfvo type="percentile" val="50"/>
        <cfvo type="max"/>
        <color rgb="FF63BE7B"/>
        <color rgb="FFFFEB84"/>
        <color rgb="FFF8696B"/>
      </colorScale>
    </cfRule>
    <cfRule type="colorScale" priority="7427">
      <colorScale>
        <cfvo type="min"/>
        <cfvo type="percentile" val="50"/>
        <cfvo type="max"/>
        <color rgb="FF63BE7B"/>
        <color rgb="FFFFEB84"/>
        <color rgb="FFF8696B"/>
      </colorScale>
    </cfRule>
  </conditionalFormatting>
  <conditionalFormatting sqref="AV51:AV53">
    <cfRule type="colorScale" priority="3556">
      <colorScale>
        <cfvo type="min"/>
        <cfvo type="percentile" val="50"/>
        <cfvo type="max"/>
        <color rgb="FF63BE7B"/>
        <color rgb="FFFFEB84"/>
        <color rgb="FFF8696B"/>
      </colorScale>
    </cfRule>
    <cfRule type="colorScale" priority="3526">
      <colorScale>
        <cfvo type="min"/>
        <cfvo type="percentile" val="50"/>
        <cfvo type="max"/>
        <color rgb="FFF8696B"/>
        <color rgb="FFFFEB84"/>
        <color rgb="FF63BE7B"/>
      </colorScale>
    </cfRule>
    <cfRule type="colorScale" priority="3555">
      <colorScale>
        <cfvo type="min"/>
        <cfvo type="percentile" val="50"/>
        <cfvo type="max"/>
        <color rgb="FF63BE7B"/>
        <color rgb="FFFFEB84"/>
        <color rgb="FFF8696B"/>
      </colorScale>
    </cfRule>
  </conditionalFormatting>
  <conditionalFormatting sqref="AV52:AV53">
    <cfRule type="colorScale" priority="3532">
      <colorScale>
        <cfvo type="min"/>
        <cfvo type="percentile" val="50"/>
        <cfvo type="max"/>
        <color rgb="FF63BE7B"/>
        <color rgb="FFFFEB84"/>
        <color rgb="FFF8696B"/>
      </colorScale>
    </cfRule>
    <cfRule type="colorScale" priority="3554">
      <colorScale>
        <cfvo type="min"/>
        <cfvo type="percentile" val="50"/>
        <cfvo type="max"/>
        <color rgb="FF63BE7B"/>
        <color rgb="FFFFEB84"/>
        <color rgb="FFF8696B"/>
      </colorScale>
    </cfRule>
    <cfRule type="colorScale" priority="3547">
      <colorScale>
        <cfvo type="min"/>
        <cfvo type="percentile" val="50"/>
        <cfvo type="max"/>
        <color rgb="FF63BE7B"/>
        <color rgb="FFFFEB84"/>
        <color rgb="FFF8696B"/>
      </colorScale>
    </cfRule>
    <cfRule type="colorScale" priority="3542">
      <colorScale>
        <cfvo type="min"/>
        <cfvo type="percentile" val="50"/>
        <cfvo type="max"/>
        <color rgb="FF63BE7B"/>
        <color rgb="FFFFEB84"/>
        <color rgb="FFF8696B"/>
      </colorScale>
    </cfRule>
    <cfRule type="colorScale" priority="3543">
      <colorScale>
        <cfvo type="min"/>
        <cfvo type="percentile" val="50"/>
        <cfvo type="max"/>
        <color rgb="FF63BE7B"/>
        <color rgb="FFFFEB84"/>
        <color rgb="FFF8696B"/>
      </colorScale>
    </cfRule>
    <cfRule type="colorScale" priority="3541">
      <colorScale>
        <cfvo type="min"/>
        <cfvo type="percentile" val="50"/>
        <cfvo type="max"/>
        <color rgb="FF63BE7B"/>
        <color rgb="FFFFEB84"/>
        <color rgb="FFF8696B"/>
      </colorScale>
    </cfRule>
    <cfRule type="colorScale" priority="3546">
      <colorScale>
        <cfvo type="min"/>
        <cfvo type="percentile" val="50"/>
        <cfvo type="max"/>
        <color rgb="FF63BE7B"/>
        <color rgb="FFFFEB84"/>
        <color rgb="FFF8696B"/>
      </colorScale>
    </cfRule>
    <cfRule type="colorScale" priority="3540">
      <colorScale>
        <cfvo type="min"/>
        <cfvo type="percentile" val="50"/>
        <cfvo type="max"/>
        <color rgb="FF63BE7B"/>
        <color rgb="FFFFEB84"/>
        <color rgb="FFF8696B"/>
      </colorScale>
    </cfRule>
    <cfRule type="colorScale" priority="3539">
      <colorScale>
        <cfvo type="min"/>
        <cfvo type="percentile" val="50"/>
        <cfvo type="max"/>
        <color rgb="FF63BE7B"/>
        <color rgb="FFFFEB84"/>
        <color rgb="FFF8696B"/>
      </colorScale>
    </cfRule>
    <cfRule type="colorScale" priority="3538">
      <colorScale>
        <cfvo type="min"/>
        <cfvo type="percentile" val="50"/>
        <cfvo type="max"/>
        <color rgb="FF63BE7B"/>
        <color rgb="FFFFEB84"/>
        <color rgb="FFF8696B"/>
      </colorScale>
    </cfRule>
    <cfRule type="colorScale" priority="3536">
      <colorScale>
        <cfvo type="min"/>
        <cfvo type="percentile" val="50"/>
        <cfvo type="max"/>
        <color rgb="FF63BE7B"/>
        <color rgb="FFFFEB84"/>
        <color rgb="FFF8696B"/>
      </colorScale>
    </cfRule>
    <cfRule type="colorScale" priority="3537">
      <colorScale>
        <cfvo type="min"/>
        <cfvo type="percentile" val="50"/>
        <cfvo type="max"/>
        <color rgb="FF63BE7B"/>
        <color rgb="FFFFEB84"/>
        <color rgb="FFF8696B"/>
      </colorScale>
    </cfRule>
    <cfRule type="colorScale" priority="3545">
      <colorScale>
        <cfvo type="min"/>
        <cfvo type="percentile" val="50"/>
        <cfvo type="max"/>
        <color rgb="FF63BE7B"/>
        <color rgb="FFFFEB84"/>
        <color rgb="FFF8696B"/>
      </colorScale>
    </cfRule>
    <cfRule type="colorScale" priority="3544">
      <colorScale>
        <cfvo type="min"/>
        <cfvo type="percentile" val="50"/>
        <cfvo type="max"/>
        <color rgb="FF63BE7B"/>
        <color rgb="FFFFEB84"/>
        <color rgb="FFF8696B"/>
      </colorScale>
    </cfRule>
    <cfRule type="colorScale" priority="3530">
      <colorScale>
        <cfvo type="min"/>
        <cfvo type="percentile" val="50"/>
        <cfvo type="max"/>
        <color rgb="FF63BE7B"/>
        <color rgb="FFFFEB84"/>
        <color rgb="FFF8696B"/>
      </colorScale>
    </cfRule>
    <cfRule type="colorScale" priority="3535">
      <colorScale>
        <cfvo type="min"/>
        <cfvo type="percentile" val="50"/>
        <cfvo type="max"/>
        <color rgb="FF63BE7B"/>
        <color rgb="FFFFEB84"/>
        <color rgb="FFF8696B"/>
      </colorScale>
    </cfRule>
    <cfRule type="colorScale" priority="3531">
      <colorScale>
        <cfvo type="min"/>
        <cfvo type="percentile" val="50"/>
        <cfvo type="max"/>
        <color rgb="FF63BE7B"/>
        <color rgb="FFFFEB84"/>
        <color rgb="FFF8696B"/>
      </colorScale>
    </cfRule>
    <cfRule type="colorScale" priority="3553">
      <colorScale>
        <cfvo type="min"/>
        <cfvo type="percentile" val="50"/>
        <cfvo type="max"/>
        <color rgb="FF63BE7B"/>
        <color rgb="FFFFEB84"/>
        <color rgb="FFF8696B"/>
      </colorScale>
    </cfRule>
    <cfRule type="colorScale" priority="3529">
      <colorScale>
        <cfvo type="min"/>
        <cfvo type="percentile" val="50"/>
        <cfvo type="max"/>
        <color rgb="FF63BE7B"/>
        <color rgb="FFFFEB84"/>
        <color rgb="FFF8696B"/>
      </colorScale>
    </cfRule>
    <cfRule type="colorScale" priority="3528">
      <colorScale>
        <cfvo type="min"/>
        <cfvo type="percentile" val="50"/>
        <cfvo type="max"/>
        <color rgb="FF63BE7B"/>
        <color rgb="FFFFEB84"/>
        <color rgb="FFF8696B"/>
      </colorScale>
    </cfRule>
    <cfRule type="colorScale" priority="3552">
      <colorScale>
        <cfvo type="min"/>
        <cfvo type="percentile" val="50"/>
        <cfvo type="max"/>
        <color rgb="FF63BE7B"/>
        <color rgb="FFFFEB84"/>
        <color rgb="FFF8696B"/>
      </colorScale>
    </cfRule>
    <cfRule type="colorScale" priority="3551">
      <colorScale>
        <cfvo type="min"/>
        <cfvo type="percentile" val="50"/>
        <cfvo type="max"/>
        <color rgb="FF63BE7B"/>
        <color rgb="FFFFEB84"/>
        <color rgb="FFF8696B"/>
      </colorScale>
    </cfRule>
    <cfRule type="colorScale" priority="3550">
      <colorScale>
        <cfvo type="min"/>
        <cfvo type="percentile" val="50"/>
        <cfvo type="max"/>
        <color rgb="FF63BE7B"/>
        <color rgb="FFFFEB84"/>
        <color rgb="FFF8696B"/>
      </colorScale>
    </cfRule>
    <cfRule type="colorScale" priority="3549">
      <colorScale>
        <cfvo type="min"/>
        <cfvo type="percentile" val="50"/>
        <cfvo type="max"/>
        <color rgb="FF63BE7B"/>
        <color rgb="FFFFEB84"/>
        <color rgb="FFF8696B"/>
      </colorScale>
    </cfRule>
    <cfRule type="colorScale" priority="3548">
      <colorScale>
        <cfvo type="min"/>
        <cfvo type="percentile" val="50"/>
        <cfvo type="max"/>
        <color rgb="FF63BE7B"/>
        <color rgb="FFFFEB84"/>
        <color rgb="FFF8696B"/>
      </colorScale>
    </cfRule>
    <cfRule type="colorScale" priority="3534">
      <colorScale>
        <cfvo type="min"/>
        <cfvo type="percentile" val="50"/>
        <cfvo type="max"/>
        <color rgb="FF63BE7B"/>
        <color rgb="FFFFEB84"/>
        <color rgb="FFF8696B"/>
      </colorScale>
    </cfRule>
    <cfRule type="colorScale" priority="3533">
      <colorScale>
        <cfvo type="min"/>
        <cfvo type="percentile" val="50"/>
        <cfvo type="max"/>
        <color rgb="FF63BE7B"/>
        <color rgb="FFFFEB84"/>
        <color rgb="FFF8696B"/>
      </colorScale>
    </cfRule>
  </conditionalFormatting>
  <conditionalFormatting sqref="AV54:AV61">
    <cfRule type="colorScale" priority="8">
      <colorScale>
        <cfvo type="min"/>
        <cfvo type="percentile" val="50"/>
        <cfvo type="max"/>
        <color rgb="FFF8696B"/>
        <color rgb="FFFFEB84"/>
        <color rgb="FF63BE7B"/>
      </colorScale>
    </cfRule>
  </conditionalFormatting>
  <conditionalFormatting sqref="AW58:AW61 AW56 BA65:BA67">
    <cfRule type="colorScale" priority="12634">
      <colorScale>
        <cfvo type="min"/>
        <cfvo type="percentile" val="50"/>
        <cfvo type="max"/>
        <color rgb="FF63BE7B"/>
        <color rgb="FFFFEB84"/>
        <color rgb="FFF8696B"/>
      </colorScale>
    </cfRule>
  </conditionalFormatting>
  <conditionalFormatting sqref="AW59">
    <cfRule type="colorScale" priority="12632">
      <colorScale>
        <cfvo type="min"/>
        <cfvo type="percentile" val="50"/>
        <cfvo type="max"/>
        <color rgb="FF63BE7B"/>
        <color rgb="FFFFEB84"/>
        <color rgb="FFF8696B"/>
      </colorScale>
    </cfRule>
  </conditionalFormatting>
  <conditionalFormatting sqref="AW65:AW71">
    <cfRule type="colorScale" priority="12461">
      <colorScale>
        <cfvo type="min"/>
        <cfvo type="percentile" val="50"/>
        <cfvo type="max"/>
        <color rgb="FF63BE7B"/>
        <color rgb="FFFFEB84"/>
        <color rgb="FFF8696B"/>
      </colorScale>
    </cfRule>
    <cfRule type="colorScale" priority="12459">
      <colorScale>
        <cfvo type="min"/>
        <cfvo type="percentile" val="50"/>
        <cfvo type="max"/>
        <color rgb="FF63BE7B"/>
        <color rgb="FFFFEB84"/>
        <color rgb="FFF8696B"/>
      </colorScale>
    </cfRule>
    <cfRule type="colorScale" priority="12460">
      <colorScale>
        <cfvo type="min"/>
        <cfvo type="percentile" val="50"/>
        <cfvo type="max"/>
        <color rgb="FF63BE7B"/>
        <color rgb="FFFFEB84"/>
        <color rgb="FFF8696B"/>
      </colorScale>
    </cfRule>
  </conditionalFormatting>
  <conditionalFormatting sqref="AW66:AW71">
    <cfRule type="colorScale" priority="12462">
      <colorScale>
        <cfvo type="min"/>
        <cfvo type="percentile" val="50"/>
        <cfvo type="max"/>
        <color rgb="FF63BE7B"/>
        <color rgb="FFFFEB84"/>
        <color rgb="FFF8696B"/>
      </colorScale>
    </cfRule>
  </conditionalFormatting>
  <conditionalFormatting sqref="AW72:AW80">
    <cfRule type="colorScale" priority="12331">
      <colorScale>
        <cfvo type="min"/>
        <cfvo type="percentile" val="50"/>
        <cfvo type="max"/>
        <color rgb="FF63BE7B"/>
        <color rgb="FFFFEB84"/>
        <color rgb="FFF8696B"/>
      </colorScale>
    </cfRule>
  </conditionalFormatting>
  <conditionalFormatting sqref="AW81:AW83">
    <cfRule type="colorScale" priority="12239">
      <colorScale>
        <cfvo type="min"/>
        <cfvo type="percentile" val="50"/>
        <cfvo type="max"/>
        <color rgb="FF63BE7B"/>
        <color rgb="FFFFEB84"/>
        <color rgb="FFF8696B"/>
      </colorScale>
    </cfRule>
    <cfRule type="colorScale" priority="12241">
      <colorScale>
        <cfvo type="min"/>
        <cfvo type="percentile" val="50"/>
        <cfvo type="max"/>
        <color rgb="FF63BE7B"/>
        <color rgb="FFFFEB84"/>
        <color rgb="FFF8696B"/>
      </colorScale>
    </cfRule>
    <cfRule type="colorScale" priority="12240">
      <colorScale>
        <cfvo type="min"/>
        <cfvo type="percentile" val="50"/>
        <cfvo type="max"/>
        <color rgb="FF63BE7B"/>
        <color rgb="FFFFEB84"/>
        <color rgb="FFF8696B"/>
      </colorScale>
    </cfRule>
    <cfRule type="colorScale" priority="12238">
      <colorScale>
        <cfvo type="min"/>
        <cfvo type="percentile" val="50"/>
        <cfvo type="max"/>
        <color rgb="FF63BE7B"/>
        <color rgb="FFFFEB84"/>
        <color rgb="FFF8696B"/>
      </colorScale>
    </cfRule>
  </conditionalFormatting>
  <conditionalFormatting sqref="AW84:AW91">
    <cfRule type="colorScale" priority="12048">
      <colorScale>
        <cfvo type="min"/>
        <cfvo type="percentile" val="50"/>
        <cfvo type="max"/>
        <color rgb="FF63BE7B"/>
        <color rgb="FFFFEB84"/>
        <color rgb="FFF8696B"/>
      </colorScale>
    </cfRule>
    <cfRule type="colorScale" priority="12050">
      <colorScale>
        <cfvo type="min"/>
        <cfvo type="percentile" val="50"/>
        <cfvo type="max"/>
        <color rgb="FF63BE7B"/>
        <color rgb="FFFFEB84"/>
        <color rgb="FFF8696B"/>
      </colorScale>
    </cfRule>
    <cfRule type="colorScale" priority="12051">
      <colorScale>
        <cfvo type="min"/>
        <cfvo type="percentile" val="50"/>
        <cfvo type="max"/>
        <color rgb="FF63BE7B"/>
        <color rgb="FFFFEB84"/>
        <color rgb="FFF8696B"/>
      </colorScale>
    </cfRule>
  </conditionalFormatting>
  <conditionalFormatting sqref="AW86">
    <cfRule type="colorScale" priority="12049">
      <colorScale>
        <cfvo type="min"/>
        <cfvo type="percentile" val="50"/>
        <cfvo type="max"/>
        <color rgb="FF63BE7B"/>
        <color rgb="FFFFEB84"/>
        <color rgb="FFF8696B"/>
      </colorScale>
    </cfRule>
  </conditionalFormatting>
  <conditionalFormatting sqref="AW96:AW102">
    <cfRule type="colorScale" priority="11853">
      <colorScale>
        <cfvo type="min"/>
        <cfvo type="percentile" val="50"/>
        <cfvo type="max"/>
        <color rgb="FF63BE7B"/>
        <color rgb="FFFFEB84"/>
        <color rgb="FFF8696B"/>
      </colorScale>
    </cfRule>
    <cfRule type="colorScale" priority="11854">
      <colorScale>
        <cfvo type="min"/>
        <cfvo type="percentile" val="50"/>
        <cfvo type="max"/>
        <color rgb="FF63BE7B"/>
        <color rgb="FFFFEB84"/>
        <color rgb="FFF8696B"/>
      </colorScale>
    </cfRule>
    <cfRule type="colorScale" priority="11855">
      <colorScale>
        <cfvo type="min"/>
        <cfvo type="percentile" val="50"/>
        <cfvo type="max"/>
        <color rgb="FF63BE7B"/>
        <color rgb="FFFFEB84"/>
        <color rgb="FFF8696B"/>
      </colorScale>
    </cfRule>
  </conditionalFormatting>
  <conditionalFormatting sqref="AW97:AW102">
    <cfRule type="colorScale" priority="11856">
      <colorScale>
        <cfvo type="min"/>
        <cfvo type="percentile" val="50"/>
        <cfvo type="max"/>
        <color rgb="FF63BE7B"/>
        <color rgb="FFFFEB84"/>
        <color rgb="FFF8696B"/>
      </colorScale>
    </cfRule>
  </conditionalFormatting>
  <conditionalFormatting sqref="AW103:AW111">
    <cfRule type="colorScale" priority="11725">
      <colorScale>
        <cfvo type="min"/>
        <cfvo type="percentile" val="50"/>
        <cfvo type="max"/>
        <color rgb="FF63BE7B"/>
        <color rgb="FFFFEB84"/>
        <color rgb="FFF8696B"/>
      </colorScale>
    </cfRule>
  </conditionalFormatting>
  <conditionalFormatting sqref="AW112:AW114">
    <cfRule type="colorScale" priority="11637">
      <colorScale>
        <cfvo type="min"/>
        <cfvo type="percentile" val="50"/>
        <cfvo type="max"/>
        <color rgb="FF63BE7B"/>
        <color rgb="FFFFEB84"/>
        <color rgb="FFF8696B"/>
      </colorScale>
    </cfRule>
    <cfRule type="colorScale" priority="11638">
      <colorScale>
        <cfvo type="min"/>
        <cfvo type="percentile" val="50"/>
        <cfvo type="max"/>
        <color rgb="FF63BE7B"/>
        <color rgb="FFFFEB84"/>
        <color rgb="FFF8696B"/>
      </colorScale>
    </cfRule>
    <cfRule type="colorScale" priority="11636">
      <colorScale>
        <cfvo type="min"/>
        <cfvo type="percentile" val="50"/>
        <cfvo type="max"/>
        <color rgb="FF63BE7B"/>
        <color rgb="FFFFEB84"/>
        <color rgb="FFF8696B"/>
      </colorScale>
    </cfRule>
    <cfRule type="colorScale" priority="11635">
      <colorScale>
        <cfvo type="min"/>
        <cfvo type="percentile" val="50"/>
        <cfvo type="max"/>
        <color rgb="FF63BE7B"/>
        <color rgb="FFFFEB84"/>
        <color rgb="FFF8696B"/>
      </colorScale>
    </cfRule>
  </conditionalFormatting>
  <conditionalFormatting sqref="AW115:AW122">
    <cfRule type="colorScale" priority="11445">
      <colorScale>
        <cfvo type="min"/>
        <cfvo type="percentile" val="50"/>
        <cfvo type="max"/>
        <color rgb="FF63BE7B"/>
        <color rgb="FFFFEB84"/>
        <color rgb="FFF8696B"/>
      </colorScale>
    </cfRule>
    <cfRule type="colorScale" priority="11447">
      <colorScale>
        <cfvo type="min"/>
        <cfvo type="percentile" val="50"/>
        <cfvo type="max"/>
        <color rgb="FF63BE7B"/>
        <color rgb="FFFFEB84"/>
        <color rgb="FFF8696B"/>
      </colorScale>
    </cfRule>
    <cfRule type="colorScale" priority="11448">
      <colorScale>
        <cfvo type="min"/>
        <cfvo type="percentile" val="50"/>
        <cfvo type="max"/>
        <color rgb="FF63BE7B"/>
        <color rgb="FFFFEB84"/>
        <color rgb="FFF8696B"/>
      </colorScale>
    </cfRule>
  </conditionalFormatting>
  <conditionalFormatting sqref="AW117">
    <cfRule type="colorScale" priority="11446">
      <colorScale>
        <cfvo type="min"/>
        <cfvo type="percentile" val="50"/>
        <cfvo type="max"/>
        <color rgb="FF63BE7B"/>
        <color rgb="FFFFEB84"/>
        <color rgb="FFF8696B"/>
      </colorScale>
    </cfRule>
  </conditionalFormatting>
  <conditionalFormatting sqref="AX75:AX78">
    <cfRule type="colorScale" priority="12330">
      <colorScale>
        <cfvo type="min"/>
        <cfvo type="percentile" val="50"/>
        <cfvo type="max"/>
        <color rgb="FF63BE7B"/>
        <color rgb="FFFFEB84"/>
        <color rgb="FFF8696B"/>
      </colorScale>
    </cfRule>
  </conditionalFormatting>
  <conditionalFormatting sqref="AX106:AX109">
    <cfRule type="colorScale" priority="11724">
      <colorScale>
        <cfvo type="min"/>
        <cfvo type="percentile" val="50"/>
        <cfvo type="max"/>
        <color rgb="FF63BE7B"/>
        <color rgb="FFFFEB84"/>
        <color rgb="FFF8696B"/>
      </colorScale>
    </cfRule>
  </conditionalFormatting>
  <conditionalFormatting sqref="AX68:AY94 X64 B68:AW91 C65:AW67">
    <cfRule type="colorScale" priority="14639">
      <colorScale>
        <cfvo type="min"/>
        <cfvo type="percentile" val="50"/>
        <cfvo type="max"/>
        <color rgb="FF63BE7B"/>
        <color rgb="FFFFEB84"/>
        <color rgb="FFF8696B"/>
      </colorScale>
    </cfRule>
  </conditionalFormatting>
  <conditionalFormatting sqref="AX99:AY125 X95 B96:AW122">
    <cfRule type="colorScale" priority="12023">
      <colorScale>
        <cfvo type="min"/>
        <cfvo type="percentile" val="50"/>
        <cfvo type="max"/>
        <color rgb="FF63BE7B"/>
        <color rgb="FFFFEB84"/>
        <color rgb="FFF8696B"/>
      </colorScale>
    </cfRule>
  </conditionalFormatting>
  <conditionalFormatting sqref="AY75:AY83">
    <cfRule type="colorScale" priority="12328">
      <colorScale>
        <cfvo type="min"/>
        <cfvo type="percentile" val="50"/>
        <cfvo type="max"/>
        <color rgb="FF63BE7B"/>
        <color rgb="FFFFEB84"/>
        <color rgb="FFF8696B"/>
      </colorScale>
    </cfRule>
  </conditionalFormatting>
  <conditionalFormatting sqref="AY87:AY94">
    <cfRule type="colorScale" priority="12043">
      <colorScale>
        <cfvo type="min"/>
        <cfvo type="percentile" val="50"/>
        <cfvo type="max"/>
        <color rgb="FF63BE7B"/>
        <color rgb="FFFFEB84"/>
        <color rgb="FFF8696B"/>
      </colorScale>
    </cfRule>
    <cfRule type="colorScale" priority="12042">
      <colorScale>
        <cfvo type="min"/>
        <cfvo type="percentile" val="50"/>
        <cfvo type="max"/>
        <color rgb="FF63BE7B"/>
        <color rgb="FFFFEB84"/>
        <color rgb="FFF8696B"/>
      </colorScale>
    </cfRule>
    <cfRule type="colorScale" priority="12040">
      <colorScale>
        <cfvo type="min"/>
        <cfvo type="percentile" val="50"/>
        <cfvo type="max"/>
        <color rgb="FF63BE7B"/>
        <color rgb="FFFFEB84"/>
        <color rgb="FFF8696B"/>
      </colorScale>
    </cfRule>
  </conditionalFormatting>
  <conditionalFormatting sqref="AY89">
    <cfRule type="colorScale" priority="12041">
      <colorScale>
        <cfvo type="min"/>
        <cfvo type="percentile" val="50"/>
        <cfvo type="max"/>
        <color rgb="FF63BE7B"/>
        <color rgb="FFFFEB84"/>
        <color rgb="FFF8696B"/>
      </colorScale>
    </cfRule>
  </conditionalFormatting>
  <conditionalFormatting sqref="AY106:AY114">
    <cfRule type="colorScale" priority="11723">
      <colorScale>
        <cfvo type="min"/>
        <cfvo type="percentile" val="50"/>
        <cfvo type="max"/>
        <color rgb="FF63BE7B"/>
        <color rgb="FFFFEB84"/>
        <color rgb="FFF8696B"/>
      </colorScale>
    </cfRule>
  </conditionalFormatting>
  <conditionalFormatting sqref="AY118:AY125">
    <cfRule type="colorScale" priority="11441">
      <colorScale>
        <cfvo type="min"/>
        <cfvo type="percentile" val="50"/>
        <cfvo type="max"/>
        <color rgb="FF63BE7B"/>
        <color rgb="FFFFEB84"/>
        <color rgb="FFF8696B"/>
      </colorScale>
    </cfRule>
    <cfRule type="colorScale" priority="11443">
      <colorScale>
        <cfvo type="min"/>
        <cfvo type="percentile" val="50"/>
        <cfvo type="max"/>
        <color rgb="FF63BE7B"/>
        <color rgb="FFFFEB84"/>
        <color rgb="FFF8696B"/>
      </colorScale>
    </cfRule>
    <cfRule type="colorScale" priority="11444">
      <colorScale>
        <cfvo type="min"/>
        <cfvo type="percentile" val="50"/>
        <cfvo type="max"/>
        <color rgb="FF63BE7B"/>
        <color rgb="FFFFEB84"/>
        <color rgb="FFF8696B"/>
      </colorScale>
    </cfRule>
  </conditionalFormatting>
  <conditionalFormatting sqref="AY120">
    <cfRule type="colorScale" priority="11442">
      <colorScale>
        <cfvo type="min"/>
        <cfvo type="percentile" val="50"/>
        <cfvo type="max"/>
        <color rgb="FF63BE7B"/>
        <color rgb="FFFFEB84"/>
        <color rgb="FFF8696B"/>
      </colorScale>
    </cfRule>
  </conditionalFormatting>
  <conditionalFormatting sqref="BD37:BD39">
    <cfRule type="colorScale" priority="9403">
      <colorScale>
        <cfvo type="min"/>
        <cfvo type="percentile" val="50"/>
        <cfvo type="max"/>
        <color rgb="FF63BE7B"/>
        <color rgb="FFFFEB84"/>
        <color rgb="FFF8696B"/>
      </colorScale>
    </cfRule>
    <cfRule type="colorScale" priority="9411">
      <colorScale>
        <cfvo type="min"/>
        <cfvo type="percentile" val="50"/>
        <cfvo type="max"/>
        <color rgb="FF63BE7B"/>
        <color rgb="FFFFEB84"/>
        <color rgb="FFF8696B"/>
      </colorScale>
    </cfRule>
    <cfRule type="colorScale" priority="9412">
      <colorScale>
        <cfvo type="min"/>
        <cfvo type="percentile" val="50"/>
        <cfvo type="max"/>
        <color rgb="FF63BE7B"/>
        <color rgb="FFFFEB84"/>
        <color rgb="FFF8696B"/>
      </colorScale>
    </cfRule>
    <cfRule type="colorScale" priority="9413">
      <colorScale>
        <cfvo type="min"/>
        <cfvo type="percentile" val="50"/>
        <cfvo type="max"/>
        <color rgb="FF63BE7B"/>
        <color rgb="FFFFEB84"/>
        <color rgb="FFF8696B"/>
      </colorScale>
    </cfRule>
    <cfRule type="colorScale" priority="9414">
      <colorScale>
        <cfvo type="min"/>
        <cfvo type="percentile" val="50"/>
        <cfvo type="max"/>
        <color rgb="FF63BE7B"/>
        <color rgb="FFFFEB84"/>
        <color rgb="FFF8696B"/>
      </colorScale>
    </cfRule>
    <cfRule type="colorScale" priority="9614">
      <colorScale>
        <cfvo type="min"/>
        <cfvo type="percentile" val="50"/>
        <cfvo type="max"/>
        <color rgb="FF63BE7B"/>
        <color rgb="FFFFEB84"/>
        <color rgb="FFF8696B"/>
      </colorScale>
    </cfRule>
    <cfRule type="colorScale" priority="9416">
      <colorScale>
        <cfvo type="min"/>
        <cfvo type="percentile" val="50"/>
        <cfvo type="max"/>
        <color rgb="FF63BE7B"/>
        <color rgb="FFFFEB84"/>
        <color rgb="FFF8696B"/>
      </colorScale>
    </cfRule>
    <cfRule type="colorScale" priority="9417">
      <colorScale>
        <cfvo type="min"/>
        <cfvo type="percentile" val="50"/>
        <cfvo type="max"/>
        <color rgb="FF63BE7B"/>
        <color rgb="FFFFEB84"/>
        <color rgb="FFF8696B"/>
      </colorScale>
    </cfRule>
  </conditionalFormatting>
  <conditionalFormatting sqref="BD37:BD43">
    <cfRule type="colorScale" priority="9402">
      <colorScale>
        <cfvo type="min"/>
        <cfvo type="percentile" val="50"/>
        <cfvo type="max"/>
        <color rgb="FF63BE7B"/>
        <color rgb="FFFFEB84"/>
        <color rgb="FFF8696B"/>
      </colorScale>
    </cfRule>
    <cfRule type="colorScale" priority="9404">
      <colorScale>
        <cfvo type="min"/>
        <cfvo type="percentile" val="50"/>
        <cfvo type="max"/>
        <color rgb="FF63BE7B"/>
        <color rgb="FFFFEB84"/>
        <color rgb="FFF8696B"/>
      </colorScale>
    </cfRule>
    <cfRule type="colorScale" priority="9405">
      <colorScale>
        <cfvo type="min"/>
        <cfvo type="percentile" val="50"/>
        <cfvo type="max"/>
        <color rgb="FF63BE7B"/>
        <color rgb="FFFFEB84"/>
        <color rgb="FFF8696B"/>
      </colorScale>
    </cfRule>
    <cfRule type="colorScale" priority="9406">
      <colorScale>
        <cfvo type="min"/>
        <cfvo type="percentile" val="50"/>
        <cfvo type="max"/>
        <color rgb="FF63BE7B"/>
        <color rgb="FFFFEB84"/>
        <color rgb="FFF8696B"/>
      </colorScale>
    </cfRule>
    <cfRule type="colorScale" priority="9407">
      <colorScale>
        <cfvo type="min"/>
        <cfvo type="percentile" val="50"/>
        <cfvo type="max"/>
        <color rgb="FF63BE7B"/>
        <color rgb="FFFFEB84"/>
        <color rgb="FFF8696B"/>
      </colorScale>
    </cfRule>
    <cfRule type="colorScale" priority="9408">
      <colorScale>
        <cfvo type="min"/>
        <cfvo type="percentile" val="50"/>
        <cfvo type="max"/>
        <color rgb="FF63BE7B"/>
        <color rgb="FFFFEB84"/>
        <color rgb="FFF8696B"/>
      </colorScale>
    </cfRule>
    <cfRule type="colorScale" priority="9409">
      <colorScale>
        <cfvo type="min"/>
        <cfvo type="percentile" val="50"/>
        <cfvo type="max"/>
        <color rgb="FF63BE7B"/>
        <color rgb="FFFFEB84"/>
        <color rgb="FFF8696B"/>
      </colorScale>
    </cfRule>
    <cfRule type="colorScale" priority="9410">
      <colorScale>
        <cfvo type="min"/>
        <cfvo type="percentile" val="50"/>
        <cfvo type="max"/>
        <color rgb="FF63BE7B"/>
        <color rgb="FFFFEB84"/>
        <color rgb="FFF8696B"/>
      </colorScale>
    </cfRule>
    <cfRule type="colorScale" priority="9566">
      <colorScale>
        <cfvo type="min"/>
        <cfvo type="percentile" val="50"/>
        <cfvo type="max"/>
        <color rgb="FF63BE7B"/>
        <color rgb="FFFFEB84"/>
        <color rgb="FFF8696B"/>
      </colorScale>
    </cfRule>
    <cfRule type="colorScale" priority="9418">
      <colorScale>
        <cfvo type="min"/>
        <cfvo type="percentile" val="50"/>
        <cfvo type="max"/>
        <color rgb="FF63BE7B"/>
        <color rgb="FFFFEB84"/>
        <color rgb="FFF8696B"/>
      </colorScale>
    </cfRule>
    <cfRule type="colorScale" priority="9419">
      <colorScale>
        <cfvo type="min"/>
        <cfvo type="percentile" val="50"/>
        <cfvo type="max"/>
        <color rgb="FF63BE7B"/>
        <color rgb="FFFFEB84"/>
        <color rgb="FFF8696B"/>
      </colorScale>
    </cfRule>
    <cfRule type="colorScale" priority="9420">
      <colorScale>
        <cfvo type="min"/>
        <cfvo type="percentile" val="50"/>
        <cfvo type="max"/>
        <color rgb="FF63BE7B"/>
        <color rgb="FFFFEB84"/>
        <color rgb="FFF8696B"/>
      </colorScale>
    </cfRule>
    <cfRule type="colorScale" priority="9421">
      <colorScale>
        <cfvo type="min"/>
        <cfvo type="percentile" val="50"/>
        <cfvo type="max"/>
        <color rgb="FF63BE7B"/>
        <color rgb="FFFFEB84"/>
        <color rgb="FFF8696B"/>
      </colorScale>
    </cfRule>
    <cfRule type="colorScale" priority="9422">
      <colorScale>
        <cfvo type="min"/>
        <cfvo type="percentile" val="50"/>
        <cfvo type="max"/>
        <color rgb="FF63BE7B"/>
        <color rgb="FFFFEB84"/>
        <color rgb="FFF8696B"/>
      </colorScale>
    </cfRule>
    <cfRule type="colorScale" priority="9423">
      <colorScale>
        <cfvo type="min"/>
        <cfvo type="percentile" val="50"/>
        <cfvo type="max"/>
        <color rgb="FF63BE7B"/>
        <color rgb="FFFFEB84"/>
        <color rgb="FFF8696B"/>
      </colorScale>
    </cfRule>
    <cfRule type="colorScale" priority="9424">
      <colorScale>
        <cfvo type="min"/>
        <cfvo type="percentile" val="50"/>
        <cfvo type="max"/>
        <color rgb="FF63BE7B"/>
        <color rgb="FFFFEB84"/>
        <color rgb="FFF8696B"/>
      </colorScale>
    </cfRule>
    <cfRule type="colorScale" priority="9426">
      <colorScale>
        <cfvo type="min"/>
        <cfvo type="percentile" val="50"/>
        <cfvo type="max"/>
        <color rgb="FF63BE7B"/>
        <color rgb="FFFFEB84"/>
        <color rgb="FFF8696B"/>
      </colorScale>
    </cfRule>
    <cfRule type="colorScale" priority="9427">
      <colorScale>
        <cfvo type="min"/>
        <cfvo type="percentile" val="50"/>
        <cfvo type="max"/>
        <color rgb="FF63BE7B"/>
        <color rgb="FFFFEB84"/>
        <color rgb="FFF8696B"/>
      </colorScale>
    </cfRule>
    <cfRule type="colorScale" priority="9628">
      <colorScale>
        <cfvo type="min"/>
        <cfvo type="percentile" val="50"/>
        <cfvo type="max"/>
        <color rgb="FF63BE7B"/>
        <color rgb="FFFFEB84"/>
        <color rgb="FFF8696B"/>
      </colorScale>
    </cfRule>
    <cfRule type="colorScale" priority="9629">
      <colorScale>
        <cfvo type="min"/>
        <cfvo type="percentile" val="50"/>
        <cfvo type="max"/>
        <color rgb="FF63BE7B"/>
        <color rgb="FFFFEB84"/>
        <color rgb="FFF8696B"/>
      </colorScale>
    </cfRule>
    <cfRule type="colorScale" priority="9648">
      <colorScale>
        <cfvo type="min"/>
        <cfvo type="percentile" val="50"/>
        <cfvo type="max"/>
        <color rgb="FF63BE7B"/>
        <color rgb="FFFFEB84"/>
        <color rgb="FFF8696B"/>
      </colorScale>
    </cfRule>
    <cfRule type="colorScale" priority="9509">
      <colorScale>
        <cfvo type="min"/>
        <cfvo type="percentile" val="50"/>
        <cfvo type="max"/>
        <color rgb="FF63BE7B"/>
        <color rgb="FFFFEB84"/>
        <color rgb="FFF8696B"/>
      </colorScale>
    </cfRule>
    <cfRule type="colorScale" priority="9650">
      <colorScale>
        <cfvo type="min"/>
        <cfvo type="percentile" val="50"/>
        <cfvo type="max"/>
        <color rgb="FF63BE7B"/>
        <color rgb="FFFFEB84"/>
        <color rgb="FFF8696B"/>
      </colorScale>
    </cfRule>
    <cfRule type="colorScale" priority="9630">
      <colorScale>
        <cfvo type="min"/>
        <cfvo type="percentile" val="50"/>
        <cfvo type="max"/>
        <color rgb="FF63BE7B"/>
        <color rgb="FFFFEB84"/>
        <color rgb="FFF8696B"/>
      </colorScale>
    </cfRule>
    <cfRule type="colorScale" priority="9631">
      <colorScale>
        <cfvo type="min"/>
        <cfvo type="percentile" val="50"/>
        <cfvo type="max"/>
        <color rgb="FF63BE7B"/>
        <color rgb="FFFFEB84"/>
        <color rgb="FFF8696B"/>
      </colorScale>
    </cfRule>
    <cfRule type="colorScale" priority="9644">
      <colorScale>
        <cfvo type="min"/>
        <cfvo type="percentile" val="50"/>
        <cfvo type="max"/>
        <color rgb="FF63BE7B"/>
        <color rgb="FFFFEB84"/>
        <color rgb="FFF8696B"/>
      </colorScale>
    </cfRule>
    <cfRule type="colorScale" priority="9401">
      <colorScale>
        <cfvo type="min"/>
        <cfvo type="percentile" val="50"/>
        <cfvo type="max"/>
        <color rgb="FF63BE7B"/>
        <color rgb="FFFFEB84"/>
        <color rgb="FFF8696B"/>
      </colorScale>
    </cfRule>
  </conditionalFormatting>
  <conditionalFormatting sqref="BD38:BD39">
    <cfRule type="colorScale" priority="9415">
      <colorScale>
        <cfvo type="min"/>
        <cfvo type="percentile" val="50"/>
        <cfvo type="max"/>
        <color rgb="FF63BE7B"/>
        <color rgb="FFFFEB84"/>
        <color rgb="FFF8696B"/>
      </colorScale>
    </cfRule>
  </conditionalFormatting>
  <conditionalFormatting sqref="BD38:BD43">
    <cfRule type="colorScale" priority="9425">
      <colorScale>
        <cfvo type="min"/>
        <cfvo type="percentile" val="50"/>
        <cfvo type="max"/>
        <color rgb="FF63BE7B"/>
        <color rgb="FFFFEB84"/>
        <color rgb="FFF8696B"/>
      </colorScale>
    </cfRule>
  </conditionalFormatting>
  <conditionalFormatting sqref="BD37:BI43">
    <cfRule type="colorScale" priority="9669">
      <colorScale>
        <cfvo type="min"/>
        <cfvo type="percentile" val="50"/>
        <cfvo type="max"/>
        <color rgb="FFF8696B"/>
        <color rgb="FFFFEB84"/>
        <color rgb="FF63BE7B"/>
      </colorScale>
    </cfRule>
    <cfRule type="colorScale" priority="9666">
      <colorScale>
        <cfvo type="min"/>
        <cfvo type="percentile" val="50"/>
        <cfvo type="max"/>
        <color rgb="FF63BE7B"/>
        <color rgb="FFFFEB84"/>
        <color rgb="FFF8696B"/>
      </colorScale>
    </cfRule>
    <cfRule type="colorScale" priority="9653">
      <colorScale>
        <cfvo type="min"/>
        <cfvo type="percentile" val="50"/>
        <cfvo type="max"/>
        <color rgb="FF63BE7B"/>
        <color rgb="FFFFEB84"/>
        <color rgb="FFF8696B"/>
      </colorScale>
    </cfRule>
    <cfRule type="colorScale" priority="9671">
      <colorScale>
        <cfvo type="min"/>
        <cfvo type="percentile" val="50"/>
        <cfvo type="max"/>
        <color rgb="FF63BE7B"/>
        <color rgb="FFFFEB84"/>
        <color rgb="FFF8696B"/>
      </colorScale>
    </cfRule>
    <cfRule type="colorScale" priority="9652">
      <colorScale>
        <cfvo type="min"/>
        <cfvo type="percentile" val="50"/>
        <cfvo type="max"/>
        <color rgb="FF63BE7B"/>
        <color rgb="FFFFEB84"/>
        <color rgb="FFF8696B"/>
      </colorScale>
    </cfRule>
    <cfRule type="colorScale" priority="9674">
      <colorScale>
        <cfvo type="min"/>
        <cfvo type="percentile" val="50"/>
        <cfvo type="max"/>
        <color rgb="FF63BE7B"/>
        <color rgb="FFFFEB84"/>
        <color rgb="FFF8696B"/>
      </colorScale>
    </cfRule>
    <cfRule type="colorScale" priority="9672">
      <colorScale>
        <cfvo type="min"/>
        <cfvo type="percentile" val="50"/>
        <cfvo type="max"/>
        <color rgb="FF63BE7B"/>
        <color rgb="FFFFEB84"/>
        <color rgb="FFF8696B"/>
      </colorScale>
    </cfRule>
    <cfRule type="colorScale" priority="9661">
      <colorScale>
        <cfvo type="min"/>
        <cfvo type="percentile" val="50"/>
        <cfvo type="max"/>
        <color rgb="FF63BE7B"/>
        <color rgb="FFFFEB84"/>
        <color rgb="FFF8696B"/>
      </colorScale>
    </cfRule>
    <cfRule type="colorScale" priority="9656">
      <colorScale>
        <cfvo type="min"/>
        <cfvo type="percentile" val="50"/>
        <cfvo type="max"/>
        <color rgb="FF63BE7B"/>
        <color rgb="FFFFEB84"/>
        <color rgb="FFF8696B"/>
      </colorScale>
    </cfRule>
    <cfRule type="colorScale" priority="9660">
      <colorScale>
        <cfvo type="min"/>
        <cfvo type="percentile" val="50"/>
        <cfvo type="max"/>
        <color rgb="FF63BE7B"/>
        <color rgb="FFFFEB84"/>
        <color rgb="FFF8696B"/>
      </colorScale>
    </cfRule>
    <cfRule type="colorScale" priority="9665">
      <colorScale>
        <cfvo type="min"/>
        <cfvo type="percentile" val="50"/>
        <cfvo type="max"/>
        <color rgb="FFF8696B"/>
        <color rgb="FFFFEB84"/>
        <color rgb="FF63BE7B"/>
      </colorScale>
    </cfRule>
    <cfRule type="colorScale" priority="9659">
      <colorScale>
        <cfvo type="min"/>
        <cfvo type="percentile" val="50"/>
        <cfvo type="max"/>
        <color rgb="FF63BE7B"/>
        <color rgb="FFFFEB84"/>
        <color rgb="FFF8696B"/>
      </colorScale>
    </cfRule>
    <cfRule type="colorScale" priority="9658">
      <colorScale>
        <cfvo type="min"/>
        <cfvo type="percentile" val="50"/>
        <cfvo type="max"/>
        <color rgb="FF63BE7B"/>
        <color rgb="FFFFEB84"/>
        <color rgb="FFF8696B"/>
      </colorScale>
    </cfRule>
    <cfRule type="colorScale" priority="9657">
      <colorScale>
        <cfvo type="min"/>
        <cfvo type="percentile" val="50"/>
        <cfvo type="max"/>
        <color rgb="FF63BE7B"/>
        <color rgb="FFFFEB84"/>
        <color rgb="FFF8696B"/>
      </colorScale>
    </cfRule>
    <cfRule type="colorScale" priority="9654">
      <colorScale>
        <cfvo type="min"/>
        <cfvo type="percentile" val="50"/>
        <cfvo type="max"/>
        <color rgb="FF63BE7B"/>
        <color rgb="FFFFEB84"/>
        <color rgb="FFF8696B"/>
      </colorScale>
    </cfRule>
    <cfRule type="colorScale" priority="9515">
      <colorScale>
        <cfvo type="min"/>
        <cfvo type="percentile" val="50"/>
        <cfvo type="max"/>
        <color rgb="FFF8696B"/>
        <color rgb="FFFFEB84"/>
        <color rgb="FF63BE7B"/>
      </colorScale>
    </cfRule>
    <cfRule type="colorScale" priority="9670">
      <colorScale>
        <cfvo type="min"/>
        <cfvo type="percentile" val="50"/>
        <cfvo type="max"/>
        <color rgb="FF63BE7B"/>
        <color rgb="FFFFEB84"/>
        <color rgb="FFF8696B"/>
      </colorScale>
    </cfRule>
    <cfRule type="colorScale" priority="9668">
      <colorScale>
        <cfvo type="min"/>
        <cfvo type="percentile" val="50"/>
        <cfvo type="max"/>
        <color rgb="FF63BE7B"/>
        <color rgb="FFFFEB84"/>
        <color rgb="FFF8696B"/>
      </colorScale>
    </cfRule>
    <cfRule type="colorScale" priority="9667">
      <colorScale>
        <cfvo type="min"/>
        <cfvo type="percentile" val="50"/>
        <cfvo type="max"/>
        <color rgb="FF63BE7B"/>
        <color rgb="FFFFEB84"/>
        <color rgb="FFF8696B"/>
      </colorScale>
    </cfRule>
    <cfRule type="colorScale" priority="9664">
      <colorScale>
        <cfvo type="min"/>
        <cfvo type="percentile" val="50"/>
        <cfvo type="max"/>
        <color rgb="FFF8696B"/>
        <color rgb="FFFFEB84"/>
        <color rgb="FF63BE7B"/>
      </colorScale>
    </cfRule>
    <cfRule type="colorScale" priority="9663">
      <colorScale>
        <cfvo type="min"/>
        <cfvo type="percentile" val="50"/>
        <cfvo type="max"/>
        <color rgb="FFF8696B"/>
        <color rgb="FFFFEB84"/>
        <color rgb="FF63BE7B"/>
      </colorScale>
    </cfRule>
    <cfRule type="colorScale" priority="9655">
      <colorScale>
        <cfvo type="min"/>
        <cfvo type="percentile" val="50"/>
        <cfvo type="max"/>
        <color rgb="FF63BE7B"/>
        <color rgb="FFFFEB84"/>
        <color rgb="FFF8696B"/>
      </colorScale>
    </cfRule>
    <cfRule type="colorScale" priority="9662">
      <colorScale>
        <cfvo type="min"/>
        <cfvo type="percentile" val="50"/>
        <cfvo type="max"/>
        <color rgb="FFF8696B"/>
        <color rgb="FFFFEB84"/>
        <color rgb="FF63BE7B"/>
      </colorScale>
    </cfRule>
  </conditionalFormatting>
  <conditionalFormatting sqref="BE37:BE39">
    <cfRule type="colorScale" priority="9611">
      <colorScale>
        <cfvo type="min"/>
        <cfvo type="percentile" val="50"/>
        <cfvo type="max"/>
        <color rgb="FF63BE7B"/>
        <color rgb="FFFFEB84"/>
        <color rgb="FFF8696B"/>
      </colorScale>
    </cfRule>
    <cfRule type="colorScale" priority="9612">
      <colorScale>
        <cfvo type="min"/>
        <cfvo type="percentile" val="50"/>
        <cfvo type="max"/>
        <color rgb="FF63BE7B"/>
        <color rgb="FFFFEB84"/>
        <color rgb="FFF8696B"/>
      </colorScale>
    </cfRule>
    <cfRule type="colorScale" priority="9610">
      <colorScale>
        <cfvo type="min"/>
        <cfvo type="percentile" val="50"/>
        <cfvo type="max"/>
        <color rgb="FF63BE7B"/>
        <color rgb="FFFFEB84"/>
        <color rgb="FFF8696B"/>
      </colorScale>
    </cfRule>
    <cfRule type="colorScale" priority="9558">
      <colorScale>
        <cfvo type="min"/>
        <cfvo type="percentile" val="50"/>
        <cfvo type="max"/>
        <color rgb="FF63BE7B"/>
        <color rgb="FFFFEB84"/>
        <color rgb="FFF8696B"/>
      </colorScale>
    </cfRule>
    <cfRule type="colorScale" priority="9609">
      <colorScale>
        <cfvo type="min"/>
        <cfvo type="percentile" val="50"/>
        <cfvo type="max"/>
        <color rgb="FF63BE7B"/>
        <color rgb="FFFFEB84"/>
        <color rgb="FFF8696B"/>
      </colorScale>
    </cfRule>
  </conditionalFormatting>
  <conditionalFormatting sqref="BE37:BE43">
    <cfRule type="colorScale" priority="9559">
      <colorScale>
        <cfvo type="min"/>
        <cfvo type="percentile" val="50"/>
        <cfvo type="max"/>
        <color rgb="FF63BE7B"/>
        <color rgb="FFFFEB84"/>
        <color rgb="FFF8696B"/>
      </colorScale>
    </cfRule>
    <cfRule type="colorScale" priority="9560">
      <colorScale>
        <cfvo type="min"/>
        <cfvo type="percentile" val="50"/>
        <cfvo type="max"/>
        <color rgb="FF63BE7B"/>
        <color rgb="FFFFEB84"/>
        <color rgb="FFF8696B"/>
      </colorScale>
    </cfRule>
    <cfRule type="colorScale" priority="9561">
      <colorScale>
        <cfvo type="min"/>
        <cfvo type="percentile" val="50"/>
        <cfvo type="max"/>
        <color rgb="FF63BE7B"/>
        <color rgb="FFFFEB84"/>
        <color rgb="FFF8696B"/>
      </colorScale>
    </cfRule>
    <cfRule type="colorScale" priority="9562">
      <colorScale>
        <cfvo type="min"/>
        <cfvo type="percentile" val="50"/>
        <cfvo type="max"/>
        <color rgb="FF63BE7B"/>
        <color rgb="FFFFEB84"/>
        <color rgb="FFF8696B"/>
      </colorScale>
    </cfRule>
    <cfRule type="colorScale" priority="9643">
      <colorScale>
        <cfvo type="min"/>
        <cfvo type="percentile" val="50"/>
        <cfvo type="max"/>
        <color rgb="FF63BE7B"/>
        <color rgb="FFFFEB84"/>
        <color rgb="FFF8696B"/>
      </colorScale>
    </cfRule>
    <cfRule type="colorScale" priority="9647">
      <colorScale>
        <cfvo type="min"/>
        <cfvo type="percentile" val="50"/>
        <cfvo type="max"/>
        <color rgb="FF63BE7B"/>
        <color rgb="FFFFEB84"/>
        <color rgb="FFF8696B"/>
      </colorScale>
    </cfRule>
    <cfRule type="colorScale" priority="9563">
      <colorScale>
        <cfvo type="min"/>
        <cfvo type="percentile" val="50"/>
        <cfvo type="max"/>
        <color rgb="FF63BE7B"/>
        <color rgb="FFFFEB84"/>
        <color rgb="FFF8696B"/>
      </colorScale>
    </cfRule>
    <cfRule type="colorScale" priority="9565">
      <colorScale>
        <cfvo type="min"/>
        <cfvo type="percentile" val="50"/>
        <cfvo type="max"/>
        <color rgb="FF63BE7B"/>
        <color rgb="FFFFEB84"/>
        <color rgb="FFF8696B"/>
      </colorScale>
    </cfRule>
    <cfRule type="colorScale" priority="9556">
      <colorScale>
        <cfvo type="min"/>
        <cfvo type="percentile" val="50"/>
        <cfvo type="max"/>
        <color rgb="FF63BE7B"/>
        <color rgb="FFFFEB84"/>
        <color rgb="FFF8696B"/>
      </colorScale>
    </cfRule>
    <cfRule type="colorScale" priority="9564">
      <colorScale>
        <cfvo type="min"/>
        <cfvo type="percentile" val="50"/>
        <cfvo type="max"/>
        <color rgb="FF63BE7B"/>
        <color rgb="FFFFEB84"/>
        <color rgb="FFF8696B"/>
      </colorScale>
    </cfRule>
    <cfRule type="colorScale" priority="9557">
      <colorScale>
        <cfvo type="min"/>
        <cfvo type="percentile" val="50"/>
        <cfvo type="max"/>
        <color rgb="FF63BE7B"/>
        <color rgb="FFFFEB84"/>
        <color rgb="FFF8696B"/>
      </colorScale>
    </cfRule>
  </conditionalFormatting>
  <conditionalFormatting sqref="BE38:BE39">
    <cfRule type="colorScale" priority="9613">
      <colorScale>
        <cfvo type="min"/>
        <cfvo type="percentile" val="50"/>
        <cfvo type="max"/>
        <color rgb="FF63BE7B"/>
        <color rgb="FFFFEB84"/>
        <color rgb="FFF8696B"/>
      </colorScale>
    </cfRule>
  </conditionalFormatting>
  <conditionalFormatting sqref="BE37:BF43">
    <cfRule type="colorScale" priority="9514">
      <colorScale>
        <cfvo type="min"/>
        <cfvo type="percentile" val="50"/>
        <cfvo type="max"/>
        <color rgb="FFF8696B"/>
        <color rgb="FFFFEB84"/>
        <color rgb="FF63BE7B"/>
      </colorScale>
    </cfRule>
    <cfRule type="colorScale" priority="9579">
      <colorScale>
        <cfvo type="min"/>
        <cfvo type="percentile" val="50"/>
        <cfvo type="max"/>
        <color rgb="FF63BE7B"/>
        <color rgb="FFFFEB84"/>
        <color rgb="FFF8696B"/>
      </colorScale>
    </cfRule>
    <cfRule type="colorScale" priority="9578">
      <colorScale>
        <cfvo type="min"/>
        <cfvo type="percentile" val="50"/>
        <cfvo type="max"/>
        <color rgb="FF63BE7B"/>
        <color rgb="FFFFEB84"/>
        <color rgb="FFF8696B"/>
      </colorScale>
    </cfRule>
    <cfRule type="colorScale" priority="9577">
      <colorScale>
        <cfvo type="min"/>
        <cfvo type="percentile" val="50"/>
        <cfvo type="max"/>
        <color rgb="FFF8696B"/>
        <color rgb="FFFFEB84"/>
        <color rgb="FF63BE7B"/>
      </colorScale>
    </cfRule>
  </conditionalFormatting>
  <conditionalFormatting sqref="BF37:BF39">
    <cfRule type="colorScale" priority="9603">
      <colorScale>
        <cfvo type="min"/>
        <cfvo type="percentile" val="50"/>
        <cfvo type="max"/>
        <color rgb="FF63BE7B"/>
        <color rgb="FFFFEB84"/>
        <color rgb="FFF8696B"/>
      </colorScale>
    </cfRule>
    <cfRule type="colorScale" priority="9602">
      <colorScale>
        <cfvo type="min"/>
        <cfvo type="percentile" val="50"/>
        <cfvo type="max"/>
        <color rgb="FF63BE7B"/>
        <color rgb="FFFFEB84"/>
        <color rgb="FFF8696B"/>
      </colorScale>
    </cfRule>
    <cfRule type="colorScale" priority="9548">
      <colorScale>
        <cfvo type="min"/>
        <cfvo type="percentile" val="50"/>
        <cfvo type="max"/>
        <color rgb="FF63BE7B"/>
        <color rgb="FFFFEB84"/>
        <color rgb="FFF8696B"/>
      </colorScale>
    </cfRule>
    <cfRule type="colorScale" priority="9608">
      <colorScale>
        <cfvo type="min"/>
        <cfvo type="percentile" val="50"/>
        <cfvo type="max"/>
        <color rgb="FF63BE7B"/>
        <color rgb="FFFFEB84"/>
        <color rgb="FFF8696B"/>
      </colorScale>
    </cfRule>
    <cfRule type="colorScale" priority="9605">
      <colorScale>
        <cfvo type="min"/>
        <cfvo type="percentile" val="50"/>
        <cfvo type="max"/>
        <color rgb="FF63BE7B"/>
        <color rgb="FFFFEB84"/>
        <color rgb="FFF8696B"/>
      </colorScale>
    </cfRule>
    <cfRule type="colorScale" priority="9604">
      <colorScale>
        <cfvo type="min"/>
        <cfvo type="percentile" val="50"/>
        <cfvo type="max"/>
        <color rgb="FF63BE7B"/>
        <color rgb="FFFFEB84"/>
        <color rgb="FFF8696B"/>
      </colorScale>
    </cfRule>
    <cfRule type="colorScale" priority="9607">
      <colorScale>
        <cfvo type="min"/>
        <cfvo type="percentile" val="50"/>
        <cfvo type="max"/>
        <color rgb="FF63BE7B"/>
        <color rgb="FFFFEB84"/>
        <color rgb="FFF8696B"/>
      </colorScale>
    </cfRule>
  </conditionalFormatting>
  <conditionalFormatting sqref="BF37:BF43">
    <cfRule type="colorScale" priority="9554">
      <colorScale>
        <cfvo type="min"/>
        <cfvo type="percentile" val="50"/>
        <cfvo type="max"/>
        <color rgb="FF63BE7B"/>
        <color rgb="FFFFEB84"/>
        <color rgb="FFF8696B"/>
      </colorScale>
    </cfRule>
    <cfRule type="colorScale" priority="9553">
      <colorScale>
        <cfvo type="min"/>
        <cfvo type="percentile" val="50"/>
        <cfvo type="max"/>
        <color rgb="FF63BE7B"/>
        <color rgb="FFFFEB84"/>
        <color rgb="FFF8696B"/>
      </colorScale>
    </cfRule>
    <cfRule type="colorScale" priority="9552">
      <colorScale>
        <cfvo type="min"/>
        <cfvo type="percentile" val="50"/>
        <cfvo type="max"/>
        <color rgb="FF63BE7B"/>
        <color rgb="FFFFEB84"/>
        <color rgb="FFF8696B"/>
      </colorScale>
    </cfRule>
    <cfRule type="colorScale" priority="9551">
      <colorScale>
        <cfvo type="min"/>
        <cfvo type="percentile" val="50"/>
        <cfvo type="max"/>
        <color rgb="FF63BE7B"/>
        <color rgb="FFFFEB84"/>
        <color rgb="FFF8696B"/>
      </colorScale>
    </cfRule>
    <cfRule type="colorScale" priority="9550">
      <colorScale>
        <cfvo type="min"/>
        <cfvo type="percentile" val="50"/>
        <cfvo type="max"/>
        <color rgb="FF63BE7B"/>
        <color rgb="FFFFEB84"/>
        <color rgb="FFF8696B"/>
      </colorScale>
    </cfRule>
    <cfRule type="colorScale" priority="9549">
      <colorScale>
        <cfvo type="min"/>
        <cfvo type="percentile" val="50"/>
        <cfvo type="max"/>
        <color rgb="FF63BE7B"/>
        <color rgb="FFFFEB84"/>
        <color rgb="FFF8696B"/>
      </colorScale>
    </cfRule>
    <cfRule type="colorScale" priority="9547">
      <colorScale>
        <cfvo type="min"/>
        <cfvo type="percentile" val="50"/>
        <cfvo type="max"/>
        <color rgb="FF63BE7B"/>
        <color rgb="FFFFEB84"/>
        <color rgb="FFF8696B"/>
      </colorScale>
    </cfRule>
    <cfRule type="colorScale" priority="9546">
      <colorScale>
        <cfvo type="min"/>
        <cfvo type="percentile" val="50"/>
        <cfvo type="max"/>
        <color rgb="FF63BE7B"/>
        <color rgb="FFFFEB84"/>
        <color rgb="FFF8696B"/>
      </colorScale>
    </cfRule>
    <cfRule type="colorScale" priority="9651">
      <colorScale>
        <cfvo type="min"/>
        <cfvo type="percentile" val="50"/>
        <cfvo type="max"/>
        <color rgb="FF63BE7B"/>
        <color rgb="FFFFEB84"/>
        <color rgb="FFF8696B"/>
      </colorScale>
    </cfRule>
    <cfRule type="colorScale" priority="9555">
      <colorScale>
        <cfvo type="min"/>
        <cfvo type="percentile" val="50"/>
        <cfvo type="max"/>
        <color rgb="FF63BE7B"/>
        <color rgb="FFFFEB84"/>
        <color rgb="FFF8696B"/>
      </colorScale>
    </cfRule>
  </conditionalFormatting>
  <conditionalFormatting sqref="BF38:BF39">
    <cfRule type="colorScale" priority="9606">
      <colorScale>
        <cfvo type="min"/>
        <cfvo type="percentile" val="50"/>
        <cfvo type="max"/>
        <color rgb="FF63BE7B"/>
        <color rgb="FFFFEB84"/>
        <color rgb="FFF8696B"/>
      </colorScale>
    </cfRule>
  </conditionalFormatting>
  <conditionalFormatting sqref="BF38:BF40 BD38:BE39 BG38:BI39">
    <cfRule type="colorScale" priority="9673">
      <colorScale>
        <cfvo type="min"/>
        <cfvo type="percentile" val="50"/>
        <cfvo type="max"/>
        <color rgb="FF63BE7B"/>
        <color rgb="FFFFEB84"/>
        <color rgb="FFF8696B"/>
      </colorScale>
    </cfRule>
  </conditionalFormatting>
  <conditionalFormatting sqref="BF38:BF43">
    <cfRule type="colorScale" priority="9567">
      <colorScale>
        <cfvo type="min"/>
        <cfvo type="percentile" val="50"/>
        <cfvo type="max"/>
        <color rgb="FFF8696B"/>
        <color rgb="FFFFEB84"/>
        <color rgb="FF63BE7B"/>
      </colorScale>
    </cfRule>
    <cfRule type="colorScale" priority="9570">
      <colorScale>
        <cfvo type="min"/>
        <cfvo type="percentile" val="50"/>
        <cfvo type="max"/>
        <color rgb="FF63BE7B"/>
        <color rgb="FFFFEB84"/>
        <color rgb="FFF8696B"/>
      </colorScale>
    </cfRule>
    <cfRule type="colorScale" priority="9569">
      <colorScale>
        <cfvo type="min"/>
        <cfvo type="percentile" val="50"/>
        <cfvo type="max"/>
        <color rgb="FF63BE7B"/>
        <color rgb="FFFFEB84"/>
        <color rgb="FFF8696B"/>
      </colorScale>
    </cfRule>
    <cfRule type="colorScale" priority="9568">
      <colorScale>
        <cfvo type="min"/>
        <cfvo type="percentile" val="50"/>
        <cfvo type="max"/>
        <color rgb="FFF8696B"/>
        <color rgb="FFFFEB84"/>
        <color rgb="FF63BE7B"/>
      </colorScale>
    </cfRule>
  </conditionalFormatting>
  <conditionalFormatting sqref="BG37:BG39">
    <cfRule type="colorScale" priority="9597">
      <colorScale>
        <cfvo type="min"/>
        <cfvo type="percentile" val="50"/>
        <cfvo type="max"/>
        <color rgb="FF63BE7B"/>
        <color rgb="FFFFEB84"/>
        <color rgb="FFF8696B"/>
      </colorScale>
    </cfRule>
    <cfRule type="colorScale" priority="9598">
      <colorScale>
        <cfvo type="min"/>
        <cfvo type="percentile" val="50"/>
        <cfvo type="max"/>
        <color rgb="FF63BE7B"/>
        <color rgb="FFFFEB84"/>
        <color rgb="FFF8696B"/>
      </colorScale>
    </cfRule>
    <cfRule type="colorScale" priority="9538">
      <colorScale>
        <cfvo type="min"/>
        <cfvo type="percentile" val="50"/>
        <cfvo type="max"/>
        <color rgb="FF63BE7B"/>
        <color rgb="FFFFEB84"/>
        <color rgb="FFF8696B"/>
      </colorScale>
    </cfRule>
    <cfRule type="colorScale" priority="9600">
      <colorScale>
        <cfvo type="min"/>
        <cfvo type="percentile" val="50"/>
        <cfvo type="max"/>
        <color rgb="FF63BE7B"/>
        <color rgb="FFFFEB84"/>
        <color rgb="FFF8696B"/>
      </colorScale>
    </cfRule>
    <cfRule type="colorScale" priority="9601">
      <colorScale>
        <cfvo type="min"/>
        <cfvo type="percentile" val="50"/>
        <cfvo type="max"/>
        <color rgb="FF63BE7B"/>
        <color rgb="FFFFEB84"/>
        <color rgb="FFF8696B"/>
      </colorScale>
    </cfRule>
    <cfRule type="colorScale" priority="9444">
      <colorScale>
        <cfvo type="min"/>
        <cfvo type="percentile" val="50"/>
        <cfvo type="max"/>
        <color rgb="FF63BE7B"/>
        <color rgb="FFFFEB84"/>
        <color rgb="FFF8696B"/>
      </colorScale>
    </cfRule>
    <cfRule type="colorScale" priority="9498">
      <colorScale>
        <cfvo type="min"/>
        <cfvo type="percentile" val="50"/>
        <cfvo type="max"/>
        <color rgb="FF63BE7B"/>
        <color rgb="FFFFEB84"/>
        <color rgb="FFF8696B"/>
      </colorScale>
    </cfRule>
    <cfRule type="colorScale" priority="9497">
      <colorScale>
        <cfvo type="min"/>
        <cfvo type="percentile" val="50"/>
        <cfvo type="max"/>
        <color rgb="FF63BE7B"/>
        <color rgb="FFFFEB84"/>
        <color rgb="FFF8696B"/>
      </colorScale>
    </cfRule>
    <cfRule type="colorScale" priority="9495">
      <colorScale>
        <cfvo type="min"/>
        <cfvo type="percentile" val="50"/>
        <cfvo type="max"/>
        <color rgb="FF63BE7B"/>
        <color rgb="FFFFEB84"/>
        <color rgb="FFF8696B"/>
      </colorScale>
    </cfRule>
    <cfRule type="colorScale" priority="9494">
      <colorScale>
        <cfvo type="min"/>
        <cfvo type="percentile" val="50"/>
        <cfvo type="max"/>
        <color rgb="FF63BE7B"/>
        <color rgb="FFFFEB84"/>
        <color rgb="FFF8696B"/>
      </colorScale>
    </cfRule>
    <cfRule type="colorScale" priority="9493">
      <colorScale>
        <cfvo type="min"/>
        <cfvo type="percentile" val="50"/>
        <cfvo type="max"/>
        <color rgb="FF63BE7B"/>
        <color rgb="FFFFEB84"/>
        <color rgb="FFF8696B"/>
      </colorScale>
    </cfRule>
    <cfRule type="colorScale" priority="9484">
      <colorScale>
        <cfvo type="min"/>
        <cfvo type="percentile" val="50"/>
        <cfvo type="max"/>
        <color rgb="FF63BE7B"/>
        <color rgb="FFFFEB84"/>
        <color rgb="FFF8696B"/>
      </colorScale>
    </cfRule>
    <cfRule type="colorScale" priority="9438">
      <colorScale>
        <cfvo type="min"/>
        <cfvo type="percentile" val="50"/>
        <cfvo type="max"/>
        <color rgb="FF63BE7B"/>
        <color rgb="FFFFEB84"/>
        <color rgb="FFF8696B"/>
      </colorScale>
    </cfRule>
    <cfRule type="colorScale" priority="9439">
      <colorScale>
        <cfvo type="min"/>
        <cfvo type="percentile" val="50"/>
        <cfvo type="max"/>
        <color rgb="FF63BE7B"/>
        <color rgb="FFFFEB84"/>
        <color rgb="FFF8696B"/>
      </colorScale>
    </cfRule>
    <cfRule type="colorScale" priority="9440">
      <colorScale>
        <cfvo type="min"/>
        <cfvo type="percentile" val="50"/>
        <cfvo type="max"/>
        <color rgb="FF63BE7B"/>
        <color rgb="FFFFEB84"/>
        <color rgb="FFF8696B"/>
      </colorScale>
    </cfRule>
    <cfRule type="colorScale" priority="9441">
      <colorScale>
        <cfvo type="min"/>
        <cfvo type="percentile" val="50"/>
        <cfvo type="max"/>
        <color rgb="FF63BE7B"/>
        <color rgb="FFFFEB84"/>
        <color rgb="FFF8696B"/>
      </colorScale>
    </cfRule>
    <cfRule type="colorScale" priority="9492">
      <colorScale>
        <cfvo type="min"/>
        <cfvo type="percentile" val="50"/>
        <cfvo type="max"/>
        <color rgb="FF63BE7B"/>
        <color rgb="FFFFEB84"/>
        <color rgb="FFF8696B"/>
      </colorScale>
    </cfRule>
    <cfRule type="colorScale" priority="9443">
      <colorScale>
        <cfvo type="min"/>
        <cfvo type="percentile" val="50"/>
        <cfvo type="max"/>
        <color rgb="FF63BE7B"/>
        <color rgb="FFFFEB84"/>
        <color rgb="FFF8696B"/>
      </colorScale>
    </cfRule>
    <cfRule type="colorScale" priority="9430">
      <colorScale>
        <cfvo type="min"/>
        <cfvo type="percentile" val="50"/>
        <cfvo type="max"/>
        <color rgb="FF63BE7B"/>
        <color rgb="FFFFEB84"/>
        <color rgb="FFF8696B"/>
      </colorScale>
    </cfRule>
    <cfRule type="colorScale" priority="9595">
      <colorScale>
        <cfvo type="min"/>
        <cfvo type="percentile" val="50"/>
        <cfvo type="max"/>
        <color rgb="FF63BE7B"/>
        <color rgb="FFFFEB84"/>
        <color rgb="FFF8696B"/>
      </colorScale>
    </cfRule>
    <cfRule type="colorScale" priority="9596">
      <colorScale>
        <cfvo type="min"/>
        <cfvo type="percentile" val="50"/>
        <cfvo type="max"/>
        <color rgb="FF63BE7B"/>
        <color rgb="FFFFEB84"/>
        <color rgb="FFF8696B"/>
      </colorScale>
    </cfRule>
  </conditionalFormatting>
  <conditionalFormatting sqref="BG37:BG43">
    <cfRule type="colorScale" priority="9536">
      <colorScale>
        <cfvo type="min"/>
        <cfvo type="percentile" val="50"/>
        <cfvo type="max"/>
        <color rgb="FF63BE7B"/>
        <color rgb="FFFFEB84"/>
        <color rgb="FFF8696B"/>
      </colorScale>
    </cfRule>
    <cfRule type="colorScale" priority="9537">
      <colorScale>
        <cfvo type="min"/>
        <cfvo type="percentile" val="50"/>
        <cfvo type="max"/>
        <color rgb="FF63BE7B"/>
        <color rgb="FFFFEB84"/>
        <color rgb="FFF8696B"/>
      </colorScale>
    </cfRule>
    <cfRule type="colorScale" priority="9539">
      <colorScale>
        <cfvo type="min"/>
        <cfvo type="percentile" val="50"/>
        <cfvo type="max"/>
        <color rgb="FF63BE7B"/>
        <color rgb="FFFFEB84"/>
        <color rgb="FFF8696B"/>
      </colorScale>
    </cfRule>
    <cfRule type="colorScale" priority="9540">
      <colorScale>
        <cfvo type="min"/>
        <cfvo type="percentile" val="50"/>
        <cfvo type="max"/>
        <color rgb="FF63BE7B"/>
        <color rgb="FFFFEB84"/>
        <color rgb="FFF8696B"/>
      </colorScale>
    </cfRule>
    <cfRule type="colorScale" priority="9541">
      <colorScale>
        <cfvo type="min"/>
        <cfvo type="percentile" val="50"/>
        <cfvo type="max"/>
        <color rgb="FF63BE7B"/>
        <color rgb="FFFFEB84"/>
        <color rgb="FFF8696B"/>
      </colorScale>
    </cfRule>
    <cfRule type="colorScale" priority="9642">
      <colorScale>
        <cfvo type="min"/>
        <cfvo type="percentile" val="50"/>
        <cfvo type="max"/>
        <color rgb="FF63BE7B"/>
        <color rgb="FFFFEB84"/>
        <color rgb="FFF8696B"/>
      </colorScale>
    </cfRule>
    <cfRule type="colorScale" priority="9436">
      <colorScale>
        <cfvo type="min"/>
        <cfvo type="percentile" val="50"/>
        <cfvo type="max"/>
        <color rgb="FF63BE7B"/>
        <color rgb="FFFFEB84"/>
        <color rgb="FFF8696B"/>
      </colorScale>
    </cfRule>
    <cfRule type="colorScale" priority="9646">
      <colorScale>
        <cfvo type="min"/>
        <cfvo type="percentile" val="50"/>
        <cfvo type="max"/>
        <color rgb="FF63BE7B"/>
        <color rgb="FFFFEB84"/>
        <color rgb="FFF8696B"/>
      </colorScale>
    </cfRule>
    <cfRule type="colorScale" priority="9435">
      <colorScale>
        <cfvo type="min"/>
        <cfvo type="percentile" val="50"/>
        <cfvo type="max"/>
        <color rgb="FF63BE7B"/>
        <color rgb="FFFFEB84"/>
        <color rgb="FFF8696B"/>
      </colorScale>
    </cfRule>
    <cfRule type="colorScale" priority="9482">
      <colorScale>
        <cfvo type="min"/>
        <cfvo type="percentile" val="50"/>
        <cfvo type="max"/>
        <color rgb="FF63BE7B"/>
        <color rgb="FFFFEB84"/>
        <color rgb="FFF8696B"/>
      </colorScale>
    </cfRule>
    <cfRule type="colorScale" priority="9485">
      <colorScale>
        <cfvo type="min"/>
        <cfvo type="percentile" val="50"/>
        <cfvo type="max"/>
        <color rgb="FF63BE7B"/>
        <color rgb="FFFFEB84"/>
        <color rgb="FFF8696B"/>
      </colorScale>
    </cfRule>
    <cfRule type="colorScale" priority="9487">
      <colorScale>
        <cfvo type="min"/>
        <cfvo type="percentile" val="50"/>
        <cfvo type="max"/>
        <color rgb="FF63BE7B"/>
        <color rgb="FFFFEB84"/>
        <color rgb="FFF8696B"/>
      </colorScale>
    </cfRule>
    <cfRule type="colorScale" priority="9488">
      <colorScale>
        <cfvo type="min"/>
        <cfvo type="percentile" val="50"/>
        <cfvo type="max"/>
        <color rgb="FF63BE7B"/>
        <color rgb="FFFFEB84"/>
        <color rgb="FFF8696B"/>
      </colorScale>
    </cfRule>
    <cfRule type="colorScale" priority="9489">
      <colorScale>
        <cfvo type="min"/>
        <cfvo type="percentile" val="50"/>
        <cfvo type="max"/>
        <color rgb="FF63BE7B"/>
        <color rgb="FFFFEB84"/>
        <color rgb="FFF8696B"/>
      </colorScale>
    </cfRule>
    <cfRule type="colorScale" priority="9490">
      <colorScale>
        <cfvo type="min"/>
        <cfvo type="percentile" val="50"/>
        <cfvo type="max"/>
        <color rgb="FF63BE7B"/>
        <color rgb="FFFFEB84"/>
        <color rgb="FFF8696B"/>
      </colorScale>
    </cfRule>
    <cfRule type="colorScale" priority="9491">
      <colorScale>
        <cfvo type="min"/>
        <cfvo type="percentile" val="50"/>
        <cfvo type="max"/>
        <color rgb="FF63BE7B"/>
        <color rgb="FFFFEB84"/>
        <color rgb="FFF8696B"/>
      </colorScale>
    </cfRule>
    <cfRule type="colorScale" priority="9542">
      <colorScale>
        <cfvo type="min"/>
        <cfvo type="percentile" val="50"/>
        <cfvo type="max"/>
        <color rgb="FF63BE7B"/>
        <color rgb="FFFFEB84"/>
        <color rgb="FFF8696B"/>
      </colorScale>
    </cfRule>
    <cfRule type="colorScale" priority="9428">
      <colorScale>
        <cfvo type="min"/>
        <cfvo type="percentile" val="50"/>
        <cfvo type="max"/>
        <color rgb="FF63BE7B"/>
        <color rgb="FFFFEB84"/>
        <color rgb="FFF8696B"/>
      </colorScale>
    </cfRule>
    <cfRule type="colorScale" priority="9429">
      <colorScale>
        <cfvo type="min"/>
        <cfvo type="percentile" val="50"/>
        <cfvo type="max"/>
        <color rgb="FF63BE7B"/>
        <color rgb="FFFFEB84"/>
        <color rgb="FFF8696B"/>
      </colorScale>
    </cfRule>
    <cfRule type="colorScale" priority="9437">
      <colorScale>
        <cfvo type="min"/>
        <cfvo type="percentile" val="50"/>
        <cfvo type="max"/>
        <color rgb="FF63BE7B"/>
        <color rgb="FFFFEB84"/>
        <color rgb="FFF8696B"/>
      </colorScale>
    </cfRule>
    <cfRule type="colorScale" priority="9431">
      <colorScale>
        <cfvo type="min"/>
        <cfvo type="percentile" val="50"/>
        <cfvo type="max"/>
        <color rgb="FF63BE7B"/>
        <color rgb="FFFFEB84"/>
        <color rgb="FFF8696B"/>
      </colorScale>
    </cfRule>
    <cfRule type="colorScale" priority="9432">
      <colorScale>
        <cfvo type="min"/>
        <cfvo type="percentile" val="50"/>
        <cfvo type="max"/>
        <color rgb="FF63BE7B"/>
        <color rgb="FFFFEB84"/>
        <color rgb="FFF8696B"/>
      </colorScale>
    </cfRule>
    <cfRule type="colorScale" priority="9445">
      <colorScale>
        <cfvo type="min"/>
        <cfvo type="percentile" val="50"/>
        <cfvo type="max"/>
        <color rgb="FF63BE7B"/>
        <color rgb="FFFFEB84"/>
        <color rgb="FFF8696B"/>
      </colorScale>
    </cfRule>
    <cfRule type="colorScale" priority="9499">
      <colorScale>
        <cfvo type="min"/>
        <cfvo type="percentile" val="50"/>
        <cfvo type="max"/>
        <color rgb="FF63BE7B"/>
        <color rgb="FFFFEB84"/>
        <color rgb="FFF8696B"/>
      </colorScale>
    </cfRule>
    <cfRule type="colorScale" priority="9500">
      <colorScale>
        <cfvo type="min"/>
        <cfvo type="percentile" val="50"/>
        <cfvo type="max"/>
        <color rgb="FF63BE7B"/>
        <color rgb="FFFFEB84"/>
        <color rgb="FFF8696B"/>
      </colorScale>
    </cfRule>
    <cfRule type="colorScale" priority="9501">
      <colorScale>
        <cfvo type="min"/>
        <cfvo type="percentile" val="50"/>
        <cfvo type="max"/>
        <color rgb="FF63BE7B"/>
        <color rgb="FFFFEB84"/>
        <color rgb="FFF8696B"/>
      </colorScale>
    </cfRule>
    <cfRule type="colorScale" priority="9502">
      <colorScale>
        <cfvo type="min"/>
        <cfvo type="percentile" val="50"/>
        <cfvo type="max"/>
        <color rgb="FF63BE7B"/>
        <color rgb="FFFFEB84"/>
        <color rgb="FFF8696B"/>
      </colorScale>
    </cfRule>
    <cfRule type="colorScale" priority="9503">
      <colorScale>
        <cfvo type="min"/>
        <cfvo type="percentile" val="50"/>
        <cfvo type="max"/>
        <color rgb="FF63BE7B"/>
        <color rgb="FFFFEB84"/>
        <color rgb="FFF8696B"/>
      </colorScale>
    </cfRule>
    <cfRule type="colorScale" priority="9504">
      <colorScale>
        <cfvo type="min"/>
        <cfvo type="percentile" val="50"/>
        <cfvo type="max"/>
        <color rgb="FF63BE7B"/>
        <color rgb="FFFFEB84"/>
        <color rgb="FFF8696B"/>
      </colorScale>
    </cfRule>
    <cfRule type="colorScale" priority="9446">
      <colorScale>
        <cfvo type="min"/>
        <cfvo type="percentile" val="50"/>
        <cfvo type="max"/>
        <color rgb="FF63BE7B"/>
        <color rgb="FFFFEB84"/>
        <color rgb="FFF8696B"/>
      </colorScale>
    </cfRule>
    <cfRule type="colorScale" priority="9505">
      <colorScale>
        <cfvo type="min"/>
        <cfvo type="percentile" val="50"/>
        <cfvo type="max"/>
        <color rgb="FF63BE7B"/>
        <color rgb="FFFFEB84"/>
        <color rgb="FFF8696B"/>
      </colorScale>
    </cfRule>
    <cfRule type="colorScale" priority="9447">
      <colorScale>
        <cfvo type="min"/>
        <cfvo type="percentile" val="50"/>
        <cfvo type="max"/>
        <color rgb="FF63BE7B"/>
        <color rgb="FFFFEB84"/>
        <color rgb="FFF8696B"/>
      </colorScale>
    </cfRule>
    <cfRule type="colorScale" priority="9448">
      <colorScale>
        <cfvo type="min"/>
        <cfvo type="percentile" val="50"/>
        <cfvo type="max"/>
        <color rgb="FF63BE7B"/>
        <color rgb="FFFFEB84"/>
        <color rgb="FFF8696B"/>
      </colorScale>
    </cfRule>
    <cfRule type="colorScale" priority="9449">
      <colorScale>
        <cfvo type="min"/>
        <cfvo type="percentile" val="50"/>
        <cfvo type="max"/>
        <color rgb="FF63BE7B"/>
        <color rgb="FFFFEB84"/>
        <color rgb="FFF8696B"/>
      </colorScale>
    </cfRule>
    <cfRule type="colorScale" priority="9450">
      <colorScale>
        <cfvo type="min"/>
        <cfvo type="percentile" val="50"/>
        <cfvo type="max"/>
        <color rgb="FF63BE7B"/>
        <color rgb="FFFFEB84"/>
        <color rgb="FFF8696B"/>
      </colorScale>
    </cfRule>
    <cfRule type="colorScale" priority="9451">
      <colorScale>
        <cfvo type="min"/>
        <cfvo type="percentile" val="50"/>
        <cfvo type="max"/>
        <color rgb="FF63BE7B"/>
        <color rgb="FFFFEB84"/>
        <color rgb="FFF8696B"/>
      </colorScale>
    </cfRule>
    <cfRule type="colorScale" priority="9507">
      <colorScale>
        <cfvo type="min"/>
        <cfvo type="percentile" val="50"/>
        <cfvo type="max"/>
        <color rgb="FF63BE7B"/>
        <color rgb="FFFFEB84"/>
        <color rgb="FFF8696B"/>
      </colorScale>
    </cfRule>
    <cfRule type="colorScale" priority="9453">
      <colorScale>
        <cfvo type="min"/>
        <cfvo type="percentile" val="50"/>
        <cfvo type="max"/>
        <color rgb="FF63BE7B"/>
        <color rgb="FFFFEB84"/>
        <color rgb="FFF8696B"/>
      </colorScale>
    </cfRule>
    <cfRule type="colorScale" priority="9508">
      <colorScale>
        <cfvo type="min"/>
        <cfvo type="percentile" val="50"/>
        <cfvo type="max"/>
        <color rgb="FF63BE7B"/>
        <color rgb="FFFFEB84"/>
        <color rgb="FFF8696B"/>
      </colorScale>
    </cfRule>
    <cfRule type="colorScale" priority="9454">
      <colorScale>
        <cfvo type="min"/>
        <cfvo type="percentile" val="50"/>
        <cfvo type="max"/>
        <color rgb="FF63BE7B"/>
        <color rgb="FFFFEB84"/>
        <color rgb="FFF8696B"/>
      </colorScale>
    </cfRule>
    <cfRule type="colorScale" priority="9627">
      <colorScale>
        <cfvo type="min"/>
        <cfvo type="percentile" val="50"/>
        <cfvo type="max"/>
        <color rgb="FF63BE7B"/>
        <color rgb="FFFFEB84"/>
        <color rgb="FFF8696B"/>
      </colorScale>
    </cfRule>
    <cfRule type="colorScale" priority="9434">
      <colorScale>
        <cfvo type="min"/>
        <cfvo type="percentile" val="50"/>
        <cfvo type="max"/>
        <color rgb="FF63BE7B"/>
        <color rgb="FFFFEB84"/>
        <color rgb="FFF8696B"/>
      </colorScale>
    </cfRule>
    <cfRule type="colorScale" priority="9483">
      <colorScale>
        <cfvo type="min"/>
        <cfvo type="percentile" val="50"/>
        <cfvo type="max"/>
        <color rgb="FF63BE7B"/>
        <color rgb="FFFFEB84"/>
        <color rgb="FFF8696B"/>
      </colorScale>
    </cfRule>
    <cfRule type="colorScale" priority="9486">
      <colorScale>
        <cfvo type="min"/>
        <cfvo type="percentile" val="50"/>
        <cfvo type="max"/>
        <color rgb="FF63BE7B"/>
        <color rgb="FFFFEB84"/>
        <color rgb="FFF8696B"/>
      </colorScale>
    </cfRule>
    <cfRule type="colorScale" priority="9433">
      <colorScale>
        <cfvo type="min"/>
        <cfvo type="percentile" val="50"/>
        <cfvo type="max"/>
        <color rgb="FF63BE7B"/>
        <color rgb="FFFFEB84"/>
        <color rgb="FFF8696B"/>
      </colorScale>
    </cfRule>
    <cfRule type="colorScale" priority="9545">
      <colorScale>
        <cfvo type="min"/>
        <cfvo type="percentile" val="50"/>
        <cfvo type="max"/>
        <color rgb="FF63BE7B"/>
        <color rgb="FFFFEB84"/>
        <color rgb="FFF8696B"/>
      </colorScale>
    </cfRule>
    <cfRule type="colorScale" priority="9544">
      <colorScale>
        <cfvo type="min"/>
        <cfvo type="percentile" val="50"/>
        <cfvo type="max"/>
        <color rgb="FF63BE7B"/>
        <color rgb="FFFFEB84"/>
        <color rgb="FFF8696B"/>
      </colorScale>
    </cfRule>
    <cfRule type="colorScale" priority="9543">
      <colorScale>
        <cfvo type="min"/>
        <cfvo type="percentile" val="50"/>
        <cfvo type="max"/>
        <color rgb="FF63BE7B"/>
        <color rgb="FFFFEB84"/>
        <color rgb="FFF8696B"/>
      </colorScale>
    </cfRule>
    <cfRule type="colorScale" priority="9624">
      <colorScale>
        <cfvo type="min"/>
        <cfvo type="percentile" val="50"/>
        <cfvo type="max"/>
        <color rgb="FF63BE7B"/>
        <color rgb="FFFFEB84"/>
        <color rgb="FFF8696B"/>
      </colorScale>
    </cfRule>
    <cfRule type="colorScale" priority="9625">
      <colorScale>
        <cfvo type="min"/>
        <cfvo type="percentile" val="50"/>
        <cfvo type="max"/>
        <color rgb="FF63BE7B"/>
        <color rgb="FFFFEB84"/>
        <color rgb="FFF8696B"/>
      </colorScale>
    </cfRule>
    <cfRule type="colorScale" priority="9626">
      <colorScale>
        <cfvo type="min"/>
        <cfvo type="percentile" val="50"/>
        <cfvo type="max"/>
        <color rgb="FF63BE7B"/>
        <color rgb="FFFFEB84"/>
        <color rgb="FFF8696B"/>
      </colorScale>
    </cfRule>
    <cfRule type="colorScale" priority="9636">
      <colorScale>
        <cfvo type="min"/>
        <cfvo type="percentile" val="50"/>
        <cfvo type="max"/>
        <color rgb="FF63BE7B"/>
        <color rgb="FFFFEB84"/>
        <color rgb="FFF8696B"/>
      </colorScale>
    </cfRule>
    <cfRule type="colorScale" priority="9637">
      <colorScale>
        <cfvo type="min"/>
        <cfvo type="percentile" val="50"/>
        <cfvo type="max"/>
        <color rgb="FF63BE7B"/>
        <color rgb="FFFFEB84"/>
        <color rgb="FFF8696B"/>
      </colorScale>
    </cfRule>
    <cfRule type="colorScale" priority="9638">
      <colorScale>
        <cfvo type="min"/>
        <cfvo type="percentile" val="50"/>
        <cfvo type="max"/>
        <color rgb="FF63BE7B"/>
        <color rgb="FFFFEB84"/>
        <color rgb="FFF8696B"/>
      </colorScale>
    </cfRule>
  </conditionalFormatting>
  <conditionalFormatting sqref="BG38:BG39">
    <cfRule type="colorScale" priority="9496">
      <colorScale>
        <cfvo type="min"/>
        <cfvo type="percentile" val="50"/>
        <cfvo type="max"/>
        <color rgb="FF63BE7B"/>
        <color rgb="FFFFEB84"/>
        <color rgb="FFF8696B"/>
      </colorScale>
    </cfRule>
    <cfRule type="colorScale" priority="9442">
      <colorScale>
        <cfvo type="min"/>
        <cfvo type="percentile" val="50"/>
        <cfvo type="max"/>
        <color rgb="FF63BE7B"/>
        <color rgb="FFFFEB84"/>
        <color rgb="FFF8696B"/>
      </colorScale>
    </cfRule>
    <cfRule type="colorScale" priority="9599">
      <colorScale>
        <cfvo type="min"/>
        <cfvo type="percentile" val="50"/>
        <cfvo type="max"/>
        <color rgb="FF63BE7B"/>
        <color rgb="FFFFEB84"/>
        <color rgb="FFF8696B"/>
      </colorScale>
    </cfRule>
  </conditionalFormatting>
  <conditionalFormatting sqref="BG38:BG43">
    <cfRule type="colorScale" priority="9506">
      <colorScale>
        <cfvo type="min"/>
        <cfvo type="percentile" val="50"/>
        <cfvo type="max"/>
        <color rgb="FF63BE7B"/>
        <color rgb="FFFFEB84"/>
        <color rgb="FFF8696B"/>
      </colorScale>
    </cfRule>
    <cfRule type="colorScale" priority="9639">
      <colorScale>
        <cfvo type="min"/>
        <cfvo type="percentile" val="50"/>
        <cfvo type="max"/>
        <color rgb="FF63BE7B"/>
        <color rgb="FFFFEB84"/>
        <color rgb="FFF8696B"/>
      </colorScale>
    </cfRule>
    <cfRule type="colorScale" priority="9452">
      <colorScale>
        <cfvo type="min"/>
        <cfvo type="percentile" val="50"/>
        <cfvo type="max"/>
        <color rgb="FF63BE7B"/>
        <color rgb="FFFFEB84"/>
        <color rgb="FFF8696B"/>
      </colorScale>
    </cfRule>
  </conditionalFormatting>
  <conditionalFormatting sqref="BH37:BH39">
    <cfRule type="colorScale" priority="9470">
      <colorScale>
        <cfvo type="min"/>
        <cfvo type="percentile" val="50"/>
        <cfvo type="max"/>
        <color rgb="FF63BE7B"/>
        <color rgb="FFFFEB84"/>
        <color rgb="FFF8696B"/>
      </colorScale>
    </cfRule>
    <cfRule type="colorScale" priority="9471">
      <colorScale>
        <cfvo type="min"/>
        <cfvo type="percentile" val="50"/>
        <cfvo type="max"/>
        <color rgb="FF63BE7B"/>
        <color rgb="FFFFEB84"/>
        <color rgb="FFF8696B"/>
      </colorScale>
    </cfRule>
    <cfRule type="colorScale" priority="9349">
      <colorScale>
        <cfvo type="min"/>
        <cfvo type="percentile" val="50"/>
        <cfvo type="max"/>
        <color rgb="FF63BE7B"/>
        <color rgb="FFFFEB84"/>
        <color rgb="FFF8696B"/>
      </colorScale>
    </cfRule>
    <cfRule type="colorScale" priority="9359">
      <colorScale>
        <cfvo type="min"/>
        <cfvo type="percentile" val="50"/>
        <cfvo type="max"/>
        <color rgb="FF63BE7B"/>
        <color rgb="FFFFEB84"/>
        <color rgb="FFF8696B"/>
      </colorScale>
    </cfRule>
    <cfRule type="colorScale" priority="9588">
      <colorScale>
        <cfvo type="min"/>
        <cfvo type="percentile" val="50"/>
        <cfvo type="max"/>
        <color rgb="FF63BE7B"/>
        <color rgb="FFFFEB84"/>
        <color rgb="FFF8696B"/>
      </colorScale>
    </cfRule>
    <cfRule type="colorScale" priority="9589">
      <colorScale>
        <cfvo type="min"/>
        <cfvo type="percentile" val="50"/>
        <cfvo type="max"/>
        <color rgb="FF63BE7B"/>
        <color rgb="FFFFEB84"/>
        <color rgb="FFF8696B"/>
      </colorScale>
    </cfRule>
    <cfRule type="colorScale" priority="9590">
      <colorScale>
        <cfvo type="min"/>
        <cfvo type="percentile" val="50"/>
        <cfvo type="max"/>
        <color rgb="FF63BE7B"/>
        <color rgb="FFFFEB84"/>
        <color rgb="FFF8696B"/>
      </colorScale>
    </cfRule>
    <cfRule type="colorScale" priority="9591">
      <colorScale>
        <cfvo type="min"/>
        <cfvo type="percentile" val="50"/>
        <cfvo type="max"/>
        <color rgb="FF63BE7B"/>
        <color rgb="FFFFEB84"/>
        <color rgb="FFF8696B"/>
      </colorScale>
    </cfRule>
    <cfRule type="colorScale" priority="9593">
      <colorScale>
        <cfvo type="min"/>
        <cfvo type="percentile" val="50"/>
        <cfvo type="max"/>
        <color rgb="FF63BE7B"/>
        <color rgb="FFFFEB84"/>
        <color rgb="FFF8696B"/>
      </colorScale>
    </cfRule>
    <cfRule type="colorScale" priority="9468">
      <colorScale>
        <cfvo type="min"/>
        <cfvo type="percentile" val="50"/>
        <cfvo type="max"/>
        <color rgb="FF63BE7B"/>
        <color rgb="FFFFEB84"/>
        <color rgb="FFF8696B"/>
      </colorScale>
    </cfRule>
    <cfRule type="colorScale" priority="9528">
      <colorScale>
        <cfvo type="min"/>
        <cfvo type="percentile" val="50"/>
        <cfvo type="max"/>
        <color rgb="FF63BE7B"/>
        <color rgb="FFFFEB84"/>
        <color rgb="FFF8696B"/>
      </colorScale>
    </cfRule>
    <cfRule type="colorScale" priority="9360">
      <colorScale>
        <cfvo type="min"/>
        <cfvo type="percentile" val="50"/>
        <cfvo type="max"/>
        <color rgb="FF63BE7B"/>
        <color rgb="FFFFEB84"/>
        <color rgb="FFF8696B"/>
      </colorScale>
    </cfRule>
    <cfRule type="colorScale" priority="9466">
      <colorScale>
        <cfvo type="min"/>
        <cfvo type="percentile" val="50"/>
        <cfvo type="max"/>
        <color rgb="FF63BE7B"/>
        <color rgb="FFFFEB84"/>
        <color rgb="FFF8696B"/>
      </colorScale>
    </cfRule>
    <cfRule type="colorScale" priority="9465">
      <colorScale>
        <cfvo type="min"/>
        <cfvo type="percentile" val="50"/>
        <cfvo type="max"/>
        <color rgb="FF63BE7B"/>
        <color rgb="FFFFEB84"/>
        <color rgb="FFF8696B"/>
      </colorScale>
    </cfRule>
    <cfRule type="colorScale" priority="9594">
      <colorScale>
        <cfvo type="min"/>
        <cfvo type="percentile" val="50"/>
        <cfvo type="max"/>
        <color rgb="FF63BE7B"/>
        <color rgb="FFFFEB84"/>
        <color rgb="FFF8696B"/>
      </colorScale>
    </cfRule>
    <cfRule type="colorScale" priority="9358">
      <colorScale>
        <cfvo type="min"/>
        <cfvo type="percentile" val="50"/>
        <cfvo type="max"/>
        <color rgb="FF63BE7B"/>
        <color rgb="FFFFEB84"/>
        <color rgb="FFF8696B"/>
      </colorScale>
    </cfRule>
    <cfRule type="colorScale" priority="9467">
      <colorScale>
        <cfvo type="min"/>
        <cfvo type="percentile" val="50"/>
        <cfvo type="max"/>
        <color rgb="FF63BE7B"/>
        <color rgb="FFFFEB84"/>
        <color rgb="FFF8696B"/>
      </colorScale>
    </cfRule>
    <cfRule type="colorScale" priority="9362">
      <colorScale>
        <cfvo type="min"/>
        <cfvo type="percentile" val="50"/>
        <cfvo type="max"/>
        <color rgb="FF63BE7B"/>
        <color rgb="FFFFEB84"/>
        <color rgb="FFF8696B"/>
      </colorScale>
    </cfRule>
    <cfRule type="colorScale" priority="9357">
      <colorScale>
        <cfvo type="min"/>
        <cfvo type="percentile" val="50"/>
        <cfvo type="max"/>
        <color rgb="FF63BE7B"/>
        <color rgb="FFFFEB84"/>
        <color rgb="FFF8696B"/>
      </colorScale>
    </cfRule>
    <cfRule type="colorScale" priority="9363">
      <colorScale>
        <cfvo type="min"/>
        <cfvo type="percentile" val="50"/>
        <cfvo type="max"/>
        <color rgb="FF63BE7B"/>
        <color rgb="FFFFEB84"/>
        <color rgb="FFF8696B"/>
      </colorScale>
    </cfRule>
    <cfRule type="colorScale" priority="9457">
      <colorScale>
        <cfvo type="min"/>
        <cfvo type="percentile" val="50"/>
        <cfvo type="max"/>
        <color rgb="FF63BE7B"/>
        <color rgb="FFFFEB84"/>
        <color rgb="FFF8696B"/>
      </colorScale>
    </cfRule>
  </conditionalFormatting>
  <conditionalFormatting sqref="BH37:BH43">
    <cfRule type="colorScale" priority="9462">
      <colorScale>
        <cfvo type="min"/>
        <cfvo type="percentile" val="50"/>
        <cfvo type="max"/>
        <color rgb="FF63BE7B"/>
        <color rgb="FFFFEB84"/>
        <color rgb="FFF8696B"/>
      </colorScale>
    </cfRule>
    <cfRule type="colorScale" priority="9461">
      <colorScale>
        <cfvo type="min"/>
        <cfvo type="percentile" val="50"/>
        <cfvo type="max"/>
        <color rgb="FF63BE7B"/>
        <color rgb="FFFFEB84"/>
        <color rgb="FFF8696B"/>
      </colorScale>
    </cfRule>
    <cfRule type="colorScale" priority="9460">
      <colorScale>
        <cfvo type="min"/>
        <cfvo type="percentile" val="50"/>
        <cfvo type="max"/>
        <color rgb="FF63BE7B"/>
        <color rgb="FFFFEB84"/>
        <color rgb="FFF8696B"/>
      </colorScale>
    </cfRule>
    <cfRule type="colorScale" priority="9370">
      <colorScale>
        <cfvo type="min"/>
        <cfvo type="percentile" val="50"/>
        <cfvo type="max"/>
        <color rgb="FF63BE7B"/>
        <color rgb="FFFFEB84"/>
        <color rgb="FFF8696B"/>
      </colorScale>
    </cfRule>
    <cfRule type="colorScale" priority="9369">
      <colorScale>
        <cfvo type="min"/>
        <cfvo type="percentile" val="50"/>
        <cfvo type="max"/>
        <color rgb="FF63BE7B"/>
        <color rgb="FFFFEB84"/>
        <color rgb="FFF8696B"/>
      </colorScale>
    </cfRule>
    <cfRule type="colorScale" priority="9356">
      <colorScale>
        <cfvo type="min"/>
        <cfvo type="percentile" val="50"/>
        <cfvo type="max"/>
        <color rgb="FF63BE7B"/>
        <color rgb="FFFFEB84"/>
        <color rgb="FFF8696B"/>
      </colorScale>
    </cfRule>
    <cfRule type="colorScale" priority="9367">
      <colorScale>
        <cfvo type="min"/>
        <cfvo type="percentile" val="50"/>
        <cfvo type="max"/>
        <color rgb="FF63BE7B"/>
        <color rgb="FFFFEB84"/>
        <color rgb="FFF8696B"/>
      </colorScale>
    </cfRule>
    <cfRule type="colorScale" priority="9366">
      <colorScale>
        <cfvo type="min"/>
        <cfvo type="percentile" val="50"/>
        <cfvo type="max"/>
        <color rgb="FF63BE7B"/>
        <color rgb="FFFFEB84"/>
        <color rgb="FFF8696B"/>
      </colorScale>
    </cfRule>
    <cfRule type="colorScale" priority="9365">
      <colorScale>
        <cfvo type="min"/>
        <cfvo type="percentile" val="50"/>
        <cfvo type="max"/>
        <color rgb="FF63BE7B"/>
        <color rgb="FFFFEB84"/>
        <color rgb="FFF8696B"/>
      </colorScale>
    </cfRule>
    <cfRule type="colorScale" priority="9364">
      <colorScale>
        <cfvo type="min"/>
        <cfvo type="percentile" val="50"/>
        <cfvo type="max"/>
        <color rgb="FF63BE7B"/>
        <color rgb="FFFFEB84"/>
        <color rgb="FFF8696B"/>
      </colorScale>
    </cfRule>
    <cfRule type="colorScale" priority="9574">
      <colorScale>
        <cfvo type="min"/>
        <cfvo type="percentile" val="50"/>
        <cfvo type="max"/>
        <color rgb="FFF8696B"/>
        <color rgb="FFFFEB84"/>
        <color rgb="FF63BE7B"/>
      </colorScale>
    </cfRule>
    <cfRule type="colorScale" priority="9534">
      <colorScale>
        <cfvo type="min"/>
        <cfvo type="percentile" val="50"/>
        <cfvo type="max"/>
        <color rgb="FF63BE7B"/>
        <color rgb="FFFFEB84"/>
        <color rgb="FFF8696B"/>
      </colorScale>
    </cfRule>
    <cfRule type="colorScale" priority="9576">
      <colorScale>
        <cfvo type="min"/>
        <cfvo type="percentile" val="50"/>
        <cfvo type="max"/>
        <color rgb="FF63BE7B"/>
        <color rgb="FFFFEB84"/>
        <color rgb="FFF8696B"/>
      </colorScale>
    </cfRule>
    <cfRule type="colorScale" priority="9355">
      <colorScale>
        <cfvo type="min"/>
        <cfvo type="percentile" val="50"/>
        <cfvo type="max"/>
        <color rgb="FF63BE7B"/>
        <color rgb="FFFFEB84"/>
        <color rgb="FFF8696B"/>
      </colorScale>
    </cfRule>
    <cfRule type="colorScale" priority="9354">
      <colorScale>
        <cfvo type="min"/>
        <cfvo type="percentile" val="50"/>
        <cfvo type="max"/>
        <color rgb="FF63BE7B"/>
        <color rgb="FFFFEB84"/>
        <color rgb="FFF8696B"/>
      </colorScale>
    </cfRule>
    <cfRule type="colorScale" priority="9353">
      <colorScale>
        <cfvo type="min"/>
        <cfvo type="percentile" val="50"/>
        <cfvo type="max"/>
        <color rgb="FF63BE7B"/>
        <color rgb="FFFFEB84"/>
        <color rgb="FFF8696B"/>
      </colorScale>
    </cfRule>
    <cfRule type="colorScale" priority="9352">
      <colorScale>
        <cfvo type="min"/>
        <cfvo type="percentile" val="50"/>
        <cfvo type="max"/>
        <color rgb="FF63BE7B"/>
        <color rgb="FFFFEB84"/>
        <color rgb="FFF8696B"/>
      </colorScale>
    </cfRule>
    <cfRule type="colorScale" priority="9351">
      <colorScale>
        <cfvo type="min"/>
        <cfvo type="percentile" val="50"/>
        <cfvo type="max"/>
        <color rgb="FF63BE7B"/>
        <color rgb="FFFFEB84"/>
        <color rgb="FFF8696B"/>
      </colorScale>
    </cfRule>
    <cfRule type="colorScale" priority="9350">
      <colorScale>
        <cfvo type="min"/>
        <cfvo type="percentile" val="50"/>
        <cfvo type="max"/>
        <color rgb="FF63BE7B"/>
        <color rgb="FFFFEB84"/>
        <color rgb="FFF8696B"/>
      </colorScale>
    </cfRule>
    <cfRule type="colorScale" priority="9620">
      <colorScale>
        <cfvo type="min"/>
        <cfvo type="percentile" val="50"/>
        <cfvo type="max"/>
        <color rgb="FF63BE7B"/>
        <color rgb="FFFFEB84"/>
        <color rgb="FFF8696B"/>
      </colorScale>
    </cfRule>
    <cfRule type="colorScale" priority="9621">
      <colorScale>
        <cfvo type="min"/>
        <cfvo type="percentile" val="50"/>
        <cfvo type="max"/>
        <color rgb="FF63BE7B"/>
        <color rgb="FFFFEB84"/>
        <color rgb="FFF8696B"/>
      </colorScale>
    </cfRule>
    <cfRule type="colorScale" priority="9622">
      <colorScale>
        <cfvo type="min"/>
        <cfvo type="percentile" val="50"/>
        <cfvo type="max"/>
        <color rgb="FF63BE7B"/>
        <color rgb="FFFFEB84"/>
        <color rgb="FFF8696B"/>
      </colorScale>
    </cfRule>
    <cfRule type="colorScale" priority="9623">
      <colorScale>
        <cfvo type="min"/>
        <cfvo type="percentile" val="50"/>
        <cfvo type="max"/>
        <color rgb="FF63BE7B"/>
        <color rgb="FFFFEB84"/>
        <color rgb="FFF8696B"/>
      </colorScale>
    </cfRule>
    <cfRule type="colorScale" priority="9348">
      <colorScale>
        <cfvo type="min"/>
        <cfvo type="percentile" val="50"/>
        <cfvo type="max"/>
        <color rgb="FF63BE7B"/>
        <color rgb="FFFFEB84"/>
        <color rgb="FFF8696B"/>
      </colorScale>
    </cfRule>
    <cfRule type="colorScale" priority="9347">
      <colorScale>
        <cfvo type="min"/>
        <cfvo type="percentile" val="50"/>
        <cfvo type="max"/>
        <color rgb="FF63BE7B"/>
        <color rgb="FFFFEB84"/>
        <color rgb="FFF8696B"/>
      </colorScale>
    </cfRule>
    <cfRule type="colorScale" priority="9535">
      <colorScale>
        <cfvo type="min"/>
        <cfvo type="percentile" val="50"/>
        <cfvo type="max"/>
        <color rgb="FF63BE7B"/>
        <color rgb="FFFFEB84"/>
        <color rgb="FFF8696B"/>
      </colorScale>
    </cfRule>
    <cfRule type="colorScale" priority="9575">
      <colorScale>
        <cfvo type="min"/>
        <cfvo type="percentile" val="50"/>
        <cfvo type="max"/>
        <color rgb="FF63BE7B"/>
        <color rgb="FFFFEB84"/>
        <color rgb="FFF8696B"/>
      </colorScale>
    </cfRule>
    <cfRule type="colorScale" priority="9533">
      <colorScale>
        <cfvo type="min"/>
        <cfvo type="percentile" val="50"/>
        <cfvo type="max"/>
        <color rgb="FF63BE7B"/>
        <color rgb="FFFFEB84"/>
        <color rgb="FFF8696B"/>
      </colorScale>
    </cfRule>
    <cfRule type="colorScale" priority="9373">
      <colorScale>
        <cfvo type="min"/>
        <cfvo type="percentile" val="50"/>
        <cfvo type="max"/>
        <color rgb="FF63BE7B"/>
        <color rgb="FFFFEB84"/>
        <color rgb="FFF8696B"/>
      </colorScale>
    </cfRule>
    <cfRule type="colorScale" priority="9368">
      <colorScale>
        <cfvo type="min"/>
        <cfvo type="percentile" val="50"/>
        <cfvo type="max"/>
        <color rgb="FF63BE7B"/>
        <color rgb="FFFFEB84"/>
        <color rgb="FFF8696B"/>
      </colorScale>
    </cfRule>
    <cfRule type="colorScale" priority="9372">
      <colorScale>
        <cfvo type="min"/>
        <cfvo type="percentile" val="50"/>
        <cfvo type="max"/>
        <color rgb="FF63BE7B"/>
        <color rgb="FFFFEB84"/>
        <color rgb="FFF8696B"/>
      </colorScale>
    </cfRule>
    <cfRule type="colorScale" priority="9532">
      <colorScale>
        <cfvo type="min"/>
        <cfvo type="percentile" val="50"/>
        <cfvo type="max"/>
        <color rgb="FF63BE7B"/>
        <color rgb="FFFFEB84"/>
        <color rgb="FFF8696B"/>
      </colorScale>
    </cfRule>
    <cfRule type="colorScale" priority="9531">
      <colorScale>
        <cfvo type="min"/>
        <cfvo type="percentile" val="50"/>
        <cfvo type="max"/>
        <color rgb="FF63BE7B"/>
        <color rgb="FFFFEB84"/>
        <color rgb="FFF8696B"/>
      </colorScale>
    </cfRule>
    <cfRule type="colorScale" priority="9530">
      <colorScale>
        <cfvo type="min"/>
        <cfvo type="percentile" val="50"/>
        <cfvo type="max"/>
        <color rgb="FF63BE7B"/>
        <color rgb="FFFFEB84"/>
        <color rgb="FFF8696B"/>
      </colorScale>
    </cfRule>
    <cfRule type="colorScale" priority="9529">
      <colorScale>
        <cfvo type="min"/>
        <cfvo type="percentile" val="50"/>
        <cfvo type="max"/>
        <color rgb="FF63BE7B"/>
        <color rgb="FFFFEB84"/>
        <color rgb="FFF8696B"/>
      </colorScale>
    </cfRule>
    <cfRule type="colorScale" priority="9641">
      <colorScale>
        <cfvo type="min"/>
        <cfvo type="percentile" val="50"/>
        <cfvo type="max"/>
        <color rgb="FF63BE7B"/>
        <color rgb="FFFFEB84"/>
        <color rgb="FFF8696B"/>
      </colorScale>
    </cfRule>
    <cfRule type="colorScale" priority="9527">
      <colorScale>
        <cfvo type="min"/>
        <cfvo type="percentile" val="50"/>
        <cfvo type="max"/>
        <color rgb="FF63BE7B"/>
        <color rgb="FFFFEB84"/>
        <color rgb="FFF8696B"/>
      </colorScale>
    </cfRule>
    <cfRule type="colorScale" priority="9526">
      <colorScale>
        <cfvo type="min"/>
        <cfvo type="percentile" val="50"/>
        <cfvo type="max"/>
        <color rgb="FF63BE7B"/>
        <color rgb="FFFFEB84"/>
        <color rgb="FFF8696B"/>
      </colorScale>
    </cfRule>
    <cfRule type="colorScale" priority="9513">
      <colorScale>
        <cfvo type="min"/>
        <cfvo type="percentile" val="50"/>
        <cfvo type="max"/>
        <color rgb="FFF8696B"/>
        <color rgb="FFFFEB84"/>
        <color rgb="FF63BE7B"/>
      </colorScale>
    </cfRule>
    <cfRule type="colorScale" priority="9481">
      <colorScale>
        <cfvo type="min"/>
        <cfvo type="percentile" val="50"/>
        <cfvo type="max"/>
        <color rgb="FF63BE7B"/>
        <color rgb="FFFFEB84"/>
        <color rgb="FFF8696B"/>
      </colorScale>
    </cfRule>
    <cfRule type="colorScale" priority="9480">
      <colorScale>
        <cfvo type="min"/>
        <cfvo type="percentile" val="50"/>
        <cfvo type="max"/>
        <color rgb="FF63BE7B"/>
        <color rgb="FFFFEB84"/>
        <color rgb="FFF8696B"/>
      </colorScale>
    </cfRule>
    <cfRule type="colorScale" priority="9478">
      <colorScale>
        <cfvo type="min"/>
        <cfvo type="percentile" val="50"/>
        <cfvo type="max"/>
        <color rgb="FF63BE7B"/>
        <color rgb="FFFFEB84"/>
        <color rgb="FFF8696B"/>
      </colorScale>
    </cfRule>
    <cfRule type="colorScale" priority="9477">
      <colorScale>
        <cfvo type="min"/>
        <cfvo type="percentile" val="50"/>
        <cfvo type="max"/>
        <color rgb="FF63BE7B"/>
        <color rgb="FFFFEB84"/>
        <color rgb="FFF8696B"/>
      </colorScale>
    </cfRule>
    <cfRule type="colorScale" priority="9476">
      <colorScale>
        <cfvo type="min"/>
        <cfvo type="percentile" val="50"/>
        <cfvo type="max"/>
        <color rgb="FF63BE7B"/>
        <color rgb="FFFFEB84"/>
        <color rgb="FFF8696B"/>
      </colorScale>
    </cfRule>
    <cfRule type="colorScale" priority="9475">
      <colorScale>
        <cfvo type="min"/>
        <cfvo type="percentile" val="50"/>
        <cfvo type="max"/>
        <color rgb="FF63BE7B"/>
        <color rgb="FFFFEB84"/>
        <color rgb="FFF8696B"/>
      </colorScale>
    </cfRule>
    <cfRule type="colorScale" priority="9474">
      <colorScale>
        <cfvo type="min"/>
        <cfvo type="percentile" val="50"/>
        <cfvo type="max"/>
        <color rgb="FF63BE7B"/>
        <color rgb="FFFFEB84"/>
        <color rgb="FFF8696B"/>
      </colorScale>
    </cfRule>
    <cfRule type="colorScale" priority="9473">
      <colorScale>
        <cfvo type="min"/>
        <cfvo type="percentile" val="50"/>
        <cfvo type="max"/>
        <color rgb="FF63BE7B"/>
        <color rgb="FFFFEB84"/>
        <color rgb="FFF8696B"/>
      </colorScale>
    </cfRule>
    <cfRule type="colorScale" priority="9472">
      <colorScale>
        <cfvo type="min"/>
        <cfvo type="percentile" val="50"/>
        <cfvo type="max"/>
        <color rgb="FF63BE7B"/>
        <color rgb="FFFFEB84"/>
        <color rgb="FFF8696B"/>
      </colorScale>
    </cfRule>
    <cfRule type="colorScale" priority="9464">
      <colorScale>
        <cfvo type="min"/>
        <cfvo type="percentile" val="50"/>
        <cfvo type="max"/>
        <color rgb="FF63BE7B"/>
        <color rgb="FFFFEB84"/>
        <color rgb="FFF8696B"/>
      </colorScale>
    </cfRule>
    <cfRule type="colorScale" priority="9455">
      <colorScale>
        <cfvo type="min"/>
        <cfvo type="percentile" val="50"/>
        <cfvo type="max"/>
        <color rgb="FF63BE7B"/>
        <color rgb="FFFFEB84"/>
        <color rgb="FFF8696B"/>
      </colorScale>
    </cfRule>
    <cfRule type="colorScale" priority="9456">
      <colorScale>
        <cfvo type="min"/>
        <cfvo type="percentile" val="50"/>
        <cfvo type="max"/>
        <color rgb="FF63BE7B"/>
        <color rgb="FFFFEB84"/>
        <color rgb="FFF8696B"/>
      </colorScale>
    </cfRule>
    <cfRule type="colorScale" priority="9463">
      <colorScale>
        <cfvo type="min"/>
        <cfvo type="percentile" val="50"/>
        <cfvo type="max"/>
        <color rgb="FF63BE7B"/>
        <color rgb="FFFFEB84"/>
        <color rgb="FFF8696B"/>
      </colorScale>
    </cfRule>
    <cfRule type="colorScale" priority="9458">
      <colorScale>
        <cfvo type="min"/>
        <cfvo type="percentile" val="50"/>
        <cfvo type="max"/>
        <color rgb="FF63BE7B"/>
        <color rgb="FFFFEB84"/>
        <color rgb="FFF8696B"/>
      </colorScale>
    </cfRule>
    <cfRule type="colorScale" priority="9459">
      <colorScale>
        <cfvo type="min"/>
        <cfvo type="percentile" val="50"/>
        <cfvo type="max"/>
        <color rgb="FF63BE7B"/>
        <color rgb="FFFFEB84"/>
        <color rgb="FFF8696B"/>
      </colorScale>
    </cfRule>
  </conditionalFormatting>
  <conditionalFormatting sqref="BH38:BH39">
    <cfRule type="colorScale" priority="9361">
      <colorScale>
        <cfvo type="min"/>
        <cfvo type="percentile" val="50"/>
        <cfvo type="max"/>
        <color rgb="FF63BE7B"/>
        <color rgb="FFFFEB84"/>
        <color rgb="FFF8696B"/>
      </colorScale>
    </cfRule>
    <cfRule type="colorScale" priority="9469">
      <colorScale>
        <cfvo type="min"/>
        <cfvo type="percentile" val="50"/>
        <cfvo type="max"/>
        <color rgb="FF63BE7B"/>
        <color rgb="FFFFEB84"/>
        <color rgb="FFF8696B"/>
      </colorScale>
    </cfRule>
    <cfRule type="colorScale" priority="9592">
      <colorScale>
        <cfvo type="min"/>
        <cfvo type="percentile" val="50"/>
        <cfvo type="max"/>
        <color rgb="FF63BE7B"/>
        <color rgb="FFFFEB84"/>
        <color rgb="FFF8696B"/>
      </colorScale>
    </cfRule>
  </conditionalFormatting>
  <conditionalFormatting sqref="BH38:BH43">
    <cfRule type="colorScale" priority="9371">
      <colorScale>
        <cfvo type="min"/>
        <cfvo type="percentile" val="50"/>
        <cfvo type="max"/>
        <color rgb="FF63BE7B"/>
        <color rgb="FFFFEB84"/>
        <color rgb="FFF8696B"/>
      </colorScale>
    </cfRule>
    <cfRule type="colorScale" priority="9479">
      <colorScale>
        <cfvo type="min"/>
        <cfvo type="percentile" val="50"/>
        <cfvo type="max"/>
        <color rgb="FF63BE7B"/>
        <color rgb="FFFFEB84"/>
        <color rgb="FFF8696B"/>
      </colorScale>
    </cfRule>
  </conditionalFormatting>
  <conditionalFormatting sqref="BI37:BI39">
    <cfRule type="colorScale" priority="9518">
      <colorScale>
        <cfvo type="min"/>
        <cfvo type="percentile" val="50"/>
        <cfvo type="max"/>
        <color rgb="FF63BE7B"/>
        <color rgb="FFFFEB84"/>
        <color rgb="FFF8696B"/>
      </colorScale>
    </cfRule>
    <cfRule type="colorScale" priority="9322">
      <colorScale>
        <cfvo type="min"/>
        <cfvo type="percentile" val="50"/>
        <cfvo type="max"/>
        <color rgb="FF63BE7B"/>
        <color rgb="FFFFEB84"/>
        <color rgb="FFF8696B"/>
      </colorScale>
    </cfRule>
    <cfRule type="colorScale" priority="9336">
      <colorScale>
        <cfvo type="min"/>
        <cfvo type="percentile" val="50"/>
        <cfvo type="max"/>
        <color rgb="FF63BE7B"/>
        <color rgb="FFFFEB84"/>
        <color rgb="FFF8696B"/>
      </colorScale>
    </cfRule>
    <cfRule type="colorScale" priority="9581">
      <colorScale>
        <cfvo type="min"/>
        <cfvo type="percentile" val="50"/>
        <cfvo type="max"/>
        <color rgb="FF63BE7B"/>
        <color rgb="FFFFEB84"/>
        <color rgb="FFF8696B"/>
      </colorScale>
    </cfRule>
    <cfRule type="colorScale" priority="9582">
      <colorScale>
        <cfvo type="min"/>
        <cfvo type="percentile" val="50"/>
        <cfvo type="max"/>
        <color rgb="FF63BE7B"/>
        <color rgb="FFFFEB84"/>
        <color rgb="FFF8696B"/>
      </colorScale>
    </cfRule>
    <cfRule type="colorScale" priority="9583">
      <colorScale>
        <cfvo type="min"/>
        <cfvo type="percentile" val="50"/>
        <cfvo type="max"/>
        <color rgb="FF63BE7B"/>
        <color rgb="FFFFEB84"/>
        <color rgb="FFF8696B"/>
      </colorScale>
    </cfRule>
    <cfRule type="colorScale" priority="9584">
      <colorScale>
        <cfvo type="min"/>
        <cfvo type="percentile" val="50"/>
        <cfvo type="max"/>
        <color rgb="FF63BE7B"/>
        <color rgb="FFFFEB84"/>
        <color rgb="FFF8696B"/>
      </colorScale>
    </cfRule>
    <cfRule type="colorScale" priority="9586">
      <colorScale>
        <cfvo type="min"/>
        <cfvo type="percentile" val="50"/>
        <cfvo type="max"/>
        <color rgb="FF63BE7B"/>
        <color rgb="FFFFEB84"/>
        <color rgb="FFF8696B"/>
      </colorScale>
    </cfRule>
    <cfRule type="colorScale" priority="9587">
      <colorScale>
        <cfvo type="min"/>
        <cfvo type="percentile" val="50"/>
        <cfvo type="max"/>
        <color rgb="FF63BE7B"/>
        <color rgb="FFFFEB84"/>
        <color rgb="FFF8696B"/>
      </colorScale>
    </cfRule>
    <cfRule type="colorScale" priority="9335">
      <colorScale>
        <cfvo type="min"/>
        <cfvo type="percentile" val="50"/>
        <cfvo type="max"/>
        <color rgb="FF63BE7B"/>
        <color rgb="FFFFEB84"/>
        <color rgb="FFF8696B"/>
      </colorScale>
    </cfRule>
    <cfRule type="colorScale" priority="9333">
      <colorScale>
        <cfvo type="min"/>
        <cfvo type="percentile" val="50"/>
        <cfvo type="max"/>
        <color rgb="FF63BE7B"/>
        <color rgb="FFFFEB84"/>
        <color rgb="FFF8696B"/>
      </colorScale>
    </cfRule>
    <cfRule type="colorScale" priority="9331">
      <colorScale>
        <cfvo type="min"/>
        <cfvo type="percentile" val="50"/>
        <cfvo type="max"/>
        <color rgb="FF63BE7B"/>
        <color rgb="FFFFEB84"/>
        <color rgb="FFF8696B"/>
      </colorScale>
    </cfRule>
    <cfRule type="colorScale" priority="9330">
      <colorScale>
        <cfvo type="min"/>
        <cfvo type="percentile" val="50"/>
        <cfvo type="max"/>
        <color rgb="FF63BE7B"/>
        <color rgb="FFFFEB84"/>
        <color rgb="FFF8696B"/>
      </colorScale>
    </cfRule>
    <cfRule type="colorScale" priority="9332">
      <colorScale>
        <cfvo type="min"/>
        <cfvo type="percentile" val="50"/>
        <cfvo type="max"/>
        <color rgb="FF63BE7B"/>
        <color rgb="FFFFEB84"/>
        <color rgb="FFF8696B"/>
      </colorScale>
    </cfRule>
  </conditionalFormatting>
  <conditionalFormatting sqref="BI37:BI43">
    <cfRule type="colorScale" priority="9524">
      <colorScale>
        <cfvo type="min"/>
        <cfvo type="percentile" val="50"/>
        <cfvo type="max"/>
        <color rgb="FF63BE7B"/>
        <color rgb="FFFFEB84"/>
        <color rgb="FFF8696B"/>
      </colorScale>
    </cfRule>
    <cfRule type="colorScale" priority="9346">
      <colorScale>
        <cfvo type="min"/>
        <cfvo type="percentile" val="50"/>
        <cfvo type="max"/>
        <color rgb="FF63BE7B"/>
        <color rgb="FFFFEB84"/>
        <color rgb="FFF8696B"/>
      </colorScale>
    </cfRule>
    <cfRule type="colorScale" priority="9345">
      <colorScale>
        <cfvo type="min"/>
        <cfvo type="percentile" val="50"/>
        <cfvo type="max"/>
        <color rgb="FF63BE7B"/>
        <color rgb="FFFFEB84"/>
        <color rgb="FFF8696B"/>
      </colorScale>
    </cfRule>
    <cfRule type="colorScale" priority="9633">
      <colorScale>
        <cfvo type="min"/>
        <cfvo type="percentile" val="50"/>
        <cfvo type="max"/>
        <color rgb="FF63BE7B"/>
        <color rgb="FFFFEB84"/>
        <color rgb="FFF8696B"/>
      </colorScale>
    </cfRule>
    <cfRule type="colorScale" priority="9343">
      <colorScale>
        <cfvo type="min"/>
        <cfvo type="percentile" val="50"/>
        <cfvo type="max"/>
        <color rgb="FF63BE7B"/>
        <color rgb="FFFFEB84"/>
        <color rgb="FFF8696B"/>
      </colorScale>
    </cfRule>
    <cfRule type="colorScale" priority="9342">
      <colorScale>
        <cfvo type="min"/>
        <cfvo type="percentile" val="50"/>
        <cfvo type="max"/>
        <color rgb="FF63BE7B"/>
        <color rgb="FFFFEB84"/>
        <color rgb="FFF8696B"/>
      </colorScale>
    </cfRule>
    <cfRule type="colorScale" priority="9341">
      <colorScale>
        <cfvo type="min"/>
        <cfvo type="percentile" val="50"/>
        <cfvo type="max"/>
        <color rgb="FF63BE7B"/>
        <color rgb="FFFFEB84"/>
        <color rgb="FFF8696B"/>
      </colorScale>
    </cfRule>
    <cfRule type="colorScale" priority="9340">
      <colorScale>
        <cfvo type="min"/>
        <cfvo type="percentile" val="50"/>
        <cfvo type="max"/>
        <color rgb="FF63BE7B"/>
        <color rgb="FFFFEB84"/>
        <color rgb="FFF8696B"/>
      </colorScale>
    </cfRule>
    <cfRule type="colorScale" priority="9339">
      <colorScale>
        <cfvo type="min"/>
        <cfvo type="percentile" val="50"/>
        <cfvo type="max"/>
        <color rgb="FF63BE7B"/>
        <color rgb="FFFFEB84"/>
        <color rgb="FFF8696B"/>
      </colorScale>
    </cfRule>
    <cfRule type="colorScale" priority="9632">
      <colorScale>
        <cfvo type="min"/>
        <cfvo type="percentile" val="50"/>
        <cfvo type="max"/>
        <color rgb="FF63BE7B"/>
        <color rgb="FFFFEB84"/>
        <color rgb="FFF8696B"/>
      </colorScale>
    </cfRule>
    <cfRule type="colorScale" priority="9325">
      <colorScale>
        <cfvo type="min"/>
        <cfvo type="percentile" val="50"/>
        <cfvo type="max"/>
        <color rgb="FF63BE7B"/>
        <color rgb="FFFFEB84"/>
        <color rgb="FFF8696B"/>
      </colorScale>
    </cfRule>
    <cfRule type="colorScale" priority="9634">
      <colorScale>
        <cfvo type="min"/>
        <cfvo type="percentile" val="50"/>
        <cfvo type="max"/>
        <color rgb="FF63BE7B"/>
        <color rgb="FFFFEB84"/>
        <color rgb="FFF8696B"/>
      </colorScale>
    </cfRule>
    <cfRule type="colorScale" priority="9324">
      <colorScale>
        <cfvo type="min"/>
        <cfvo type="percentile" val="50"/>
        <cfvo type="max"/>
        <color rgb="FF63BE7B"/>
        <color rgb="FFFFEB84"/>
        <color rgb="FFF8696B"/>
      </colorScale>
    </cfRule>
    <cfRule type="colorScale" priority="9323">
      <colorScale>
        <cfvo type="min"/>
        <cfvo type="percentile" val="50"/>
        <cfvo type="max"/>
        <color rgb="FF63BE7B"/>
        <color rgb="FFFFEB84"/>
        <color rgb="FFF8696B"/>
      </colorScale>
    </cfRule>
    <cfRule type="colorScale" priority="9517">
      <colorScale>
        <cfvo type="min"/>
        <cfvo type="percentile" val="50"/>
        <cfvo type="max"/>
        <color rgb="FF63BE7B"/>
        <color rgb="FFFFEB84"/>
        <color rgb="FFF8696B"/>
      </colorScale>
    </cfRule>
    <cfRule type="colorScale" priority="9321">
      <colorScale>
        <cfvo type="min"/>
        <cfvo type="percentile" val="50"/>
        <cfvo type="max"/>
        <color rgb="FF63BE7B"/>
        <color rgb="FFFFEB84"/>
        <color rgb="FFF8696B"/>
      </colorScale>
    </cfRule>
    <cfRule type="colorScale" priority="9320">
      <colorScale>
        <cfvo type="min"/>
        <cfvo type="percentile" val="50"/>
        <cfvo type="max"/>
        <color rgb="FF63BE7B"/>
        <color rgb="FFFFEB84"/>
        <color rgb="FFF8696B"/>
      </colorScale>
    </cfRule>
    <cfRule type="colorScale" priority="9519">
      <colorScale>
        <cfvo type="min"/>
        <cfvo type="percentile" val="50"/>
        <cfvo type="max"/>
        <color rgb="FF63BE7B"/>
        <color rgb="FFFFEB84"/>
        <color rgb="FFF8696B"/>
      </colorScale>
    </cfRule>
    <cfRule type="colorScale" priority="9520">
      <colorScale>
        <cfvo type="min"/>
        <cfvo type="percentile" val="50"/>
        <cfvo type="max"/>
        <color rgb="FF63BE7B"/>
        <color rgb="FFFFEB84"/>
        <color rgb="FFF8696B"/>
      </colorScale>
    </cfRule>
    <cfRule type="colorScale" priority="9645">
      <colorScale>
        <cfvo type="min"/>
        <cfvo type="percentile" val="50"/>
        <cfvo type="max"/>
        <color rgb="FF63BE7B"/>
        <color rgb="FFFFEB84"/>
        <color rgb="FFF8696B"/>
      </colorScale>
    </cfRule>
    <cfRule type="colorScale" priority="9338">
      <colorScale>
        <cfvo type="min"/>
        <cfvo type="percentile" val="50"/>
        <cfvo type="max"/>
        <color rgb="FF63BE7B"/>
        <color rgb="FFFFEB84"/>
        <color rgb="FFF8696B"/>
      </colorScale>
    </cfRule>
    <cfRule type="colorScale" priority="9337">
      <colorScale>
        <cfvo type="min"/>
        <cfvo type="percentile" val="50"/>
        <cfvo type="max"/>
        <color rgb="FF63BE7B"/>
        <color rgb="FFFFEB84"/>
        <color rgb="FFF8696B"/>
      </colorScale>
    </cfRule>
    <cfRule type="colorScale" priority="9521">
      <colorScale>
        <cfvo type="min"/>
        <cfvo type="percentile" val="50"/>
        <cfvo type="max"/>
        <color rgb="FF63BE7B"/>
        <color rgb="FFFFEB84"/>
        <color rgb="FFF8696B"/>
      </colorScale>
    </cfRule>
    <cfRule type="colorScale" priority="9522">
      <colorScale>
        <cfvo type="min"/>
        <cfvo type="percentile" val="50"/>
        <cfvo type="max"/>
        <color rgb="FF63BE7B"/>
        <color rgb="FFFFEB84"/>
        <color rgb="FFF8696B"/>
      </colorScale>
    </cfRule>
    <cfRule type="colorScale" priority="9616">
      <colorScale>
        <cfvo type="min"/>
        <cfvo type="percentile" val="50"/>
        <cfvo type="max"/>
        <color rgb="FF63BE7B"/>
        <color rgb="FFFFEB84"/>
        <color rgb="FFF8696B"/>
      </colorScale>
    </cfRule>
    <cfRule type="colorScale" priority="9525">
      <colorScale>
        <cfvo type="min"/>
        <cfvo type="percentile" val="50"/>
        <cfvo type="max"/>
        <color rgb="FF63BE7B"/>
        <color rgb="FFFFEB84"/>
        <color rgb="FFF8696B"/>
      </colorScale>
    </cfRule>
    <cfRule type="colorScale" priority="9516">
      <colorScale>
        <cfvo type="min"/>
        <cfvo type="percentile" val="50"/>
        <cfvo type="max"/>
        <color rgb="FF63BE7B"/>
        <color rgb="FFFFEB84"/>
        <color rgb="FFF8696B"/>
      </colorScale>
    </cfRule>
    <cfRule type="colorScale" priority="9617">
      <colorScale>
        <cfvo type="min"/>
        <cfvo type="percentile" val="50"/>
        <cfvo type="max"/>
        <color rgb="FF63BE7B"/>
        <color rgb="FFFFEB84"/>
        <color rgb="FFF8696B"/>
      </colorScale>
    </cfRule>
    <cfRule type="colorScale" priority="9640">
      <colorScale>
        <cfvo type="min"/>
        <cfvo type="percentile" val="50"/>
        <cfvo type="max"/>
        <color rgb="FF63BE7B"/>
        <color rgb="FFFFEB84"/>
        <color rgb="FFF8696B"/>
      </colorScale>
    </cfRule>
    <cfRule type="colorScale" priority="9618">
      <colorScale>
        <cfvo type="min"/>
        <cfvo type="percentile" val="50"/>
        <cfvo type="max"/>
        <color rgb="FF63BE7B"/>
        <color rgb="FFFFEB84"/>
        <color rgb="FFF8696B"/>
      </colorScale>
    </cfRule>
    <cfRule type="colorScale" priority="9619">
      <colorScale>
        <cfvo type="min"/>
        <cfvo type="percentile" val="50"/>
        <cfvo type="max"/>
        <color rgb="FF63BE7B"/>
        <color rgb="FFFFEB84"/>
        <color rgb="FFF8696B"/>
      </colorScale>
    </cfRule>
    <cfRule type="colorScale" priority="9329">
      <colorScale>
        <cfvo type="min"/>
        <cfvo type="percentile" val="50"/>
        <cfvo type="max"/>
        <color rgb="FF63BE7B"/>
        <color rgb="FFFFEB84"/>
        <color rgb="FFF8696B"/>
      </colorScale>
    </cfRule>
    <cfRule type="colorScale" priority="9328">
      <colorScale>
        <cfvo type="min"/>
        <cfvo type="percentile" val="50"/>
        <cfvo type="max"/>
        <color rgb="FF63BE7B"/>
        <color rgb="FFFFEB84"/>
        <color rgb="FFF8696B"/>
      </colorScale>
    </cfRule>
    <cfRule type="colorScale" priority="9327">
      <colorScale>
        <cfvo type="min"/>
        <cfvo type="percentile" val="50"/>
        <cfvo type="max"/>
        <color rgb="FF63BE7B"/>
        <color rgb="FFFFEB84"/>
        <color rgb="FFF8696B"/>
      </colorScale>
    </cfRule>
    <cfRule type="colorScale" priority="9326">
      <colorScale>
        <cfvo type="min"/>
        <cfvo type="percentile" val="50"/>
        <cfvo type="max"/>
        <color rgb="FF63BE7B"/>
        <color rgb="FFFFEB84"/>
        <color rgb="FFF8696B"/>
      </colorScale>
    </cfRule>
    <cfRule type="colorScale" priority="9523">
      <colorScale>
        <cfvo type="min"/>
        <cfvo type="percentile" val="50"/>
        <cfvo type="max"/>
        <color rgb="FF63BE7B"/>
        <color rgb="FFFFEB84"/>
        <color rgb="FFF8696B"/>
      </colorScale>
    </cfRule>
  </conditionalFormatting>
  <conditionalFormatting sqref="BI38:BI39">
    <cfRule type="colorScale" priority="9585">
      <colorScale>
        <cfvo type="min"/>
        <cfvo type="percentile" val="50"/>
        <cfvo type="max"/>
        <color rgb="FF63BE7B"/>
        <color rgb="FFFFEB84"/>
        <color rgb="FFF8696B"/>
      </colorScale>
    </cfRule>
    <cfRule type="colorScale" priority="9334">
      <colorScale>
        <cfvo type="min"/>
        <cfvo type="percentile" val="50"/>
        <cfvo type="max"/>
        <color rgb="FF63BE7B"/>
        <color rgb="FFFFEB84"/>
        <color rgb="FFF8696B"/>
      </colorScale>
    </cfRule>
  </conditionalFormatting>
  <conditionalFormatting sqref="BI38:BI43">
    <cfRule type="colorScale" priority="9635">
      <colorScale>
        <cfvo type="min"/>
        <cfvo type="percentile" val="50"/>
        <cfvo type="max"/>
        <color rgb="FF63BE7B"/>
        <color rgb="FFFFEB84"/>
        <color rgb="FFF8696B"/>
      </colorScale>
    </cfRule>
    <cfRule type="colorScale" priority="9344">
      <colorScale>
        <cfvo type="min"/>
        <cfvo type="percentile" val="50"/>
        <cfvo type="max"/>
        <color rgb="FF63BE7B"/>
        <color rgb="FFFFEB84"/>
        <color rgb="FFF8696B"/>
      </colorScale>
    </cfRule>
  </conditionalFormatting>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15A97-C82F-4E75-97BB-1E793B38ADC7}">
  <dimension ref="A1:AR369"/>
  <sheetViews>
    <sheetView topLeftCell="A55" zoomScaleNormal="100" workbookViewId="0">
      <pane xSplit="2" topLeftCell="C1" activePane="topRight" state="frozen"/>
      <selection pane="topRight" activeCell="C73" sqref="C73"/>
    </sheetView>
  </sheetViews>
  <sheetFormatPr defaultRowHeight="13.8" x14ac:dyDescent="0.25"/>
  <cols>
    <col min="1" max="1" width="17.69921875" customWidth="1"/>
    <col min="2" max="2" width="33" style="43" customWidth="1"/>
    <col min="3" max="3" width="16.09765625" customWidth="1"/>
    <col min="4" max="4" width="11.296875" style="87" customWidth="1"/>
    <col min="5" max="5" width="15.69921875" style="83" customWidth="1"/>
    <col min="6" max="6" width="12.5" style="83" customWidth="1"/>
    <col min="7" max="7" width="15.59765625" style="83" customWidth="1"/>
    <col min="8" max="8" width="16" style="83" customWidth="1"/>
    <col min="9" max="9" width="15.296875" style="87" customWidth="1"/>
    <col min="10" max="10" width="14.59765625" style="150" customWidth="1"/>
    <col min="11" max="11" width="14.8984375" customWidth="1"/>
    <col min="12" max="12" width="8.796875" customWidth="1"/>
    <col min="13" max="13" width="18" customWidth="1"/>
    <col min="14" max="14" width="13.296875" style="55" customWidth="1"/>
    <col min="15" max="15" width="12.69921875" customWidth="1"/>
    <col min="16" max="16" width="12.59765625" style="55" customWidth="1"/>
    <col min="17" max="17" width="12.296875" customWidth="1"/>
    <col min="20" max="20" width="8.796875" style="55"/>
    <col min="23" max="23" width="8.796875" style="49"/>
  </cols>
  <sheetData>
    <row r="1" spans="1:22" x14ac:dyDescent="0.25">
      <c r="A1" s="50" t="s">
        <v>414</v>
      </c>
      <c r="B1" s="91"/>
      <c r="C1" s="30" t="s">
        <v>257</v>
      </c>
      <c r="D1" s="83" t="s">
        <v>260</v>
      </c>
      <c r="E1" s="83" t="s">
        <v>262</v>
      </c>
      <c r="F1" s="83" t="s">
        <v>264</v>
      </c>
      <c r="G1" s="83" t="s">
        <v>265</v>
      </c>
      <c r="H1" s="84" t="s">
        <v>267</v>
      </c>
      <c r="I1" s="85" t="s">
        <v>270</v>
      </c>
      <c r="J1" s="145" t="s">
        <v>276</v>
      </c>
      <c r="K1" s="30" t="s">
        <v>277</v>
      </c>
      <c r="L1" t="s">
        <v>279</v>
      </c>
      <c r="M1" t="s">
        <v>281</v>
      </c>
      <c r="N1" t="s">
        <v>288</v>
      </c>
      <c r="O1" t="s">
        <v>290</v>
      </c>
      <c r="P1" s="29" t="s">
        <v>293</v>
      </c>
      <c r="Q1" t="s">
        <v>296</v>
      </c>
      <c r="R1" t="s">
        <v>297</v>
      </c>
      <c r="S1" t="s">
        <v>305</v>
      </c>
      <c r="T1" s="29" t="s">
        <v>311</v>
      </c>
      <c r="U1" t="s">
        <v>323</v>
      </c>
      <c r="V1" t="s">
        <v>325</v>
      </c>
    </row>
    <row r="2" spans="1:22" x14ac:dyDescent="0.25">
      <c r="A2" s="50"/>
      <c r="B2" s="91"/>
      <c r="C2">
        <v>4</v>
      </c>
      <c r="D2" s="83">
        <v>7</v>
      </c>
      <c r="E2" s="83">
        <v>9</v>
      </c>
      <c r="F2" s="83">
        <v>11</v>
      </c>
      <c r="G2" s="83">
        <v>12</v>
      </c>
      <c r="H2" s="83">
        <v>16</v>
      </c>
      <c r="I2" s="83">
        <v>18</v>
      </c>
      <c r="J2" s="146">
        <v>22</v>
      </c>
      <c r="K2">
        <v>23</v>
      </c>
      <c r="L2">
        <v>25</v>
      </c>
      <c r="M2">
        <v>26</v>
      </c>
      <c r="N2">
        <v>32</v>
      </c>
      <c r="O2">
        <v>34</v>
      </c>
      <c r="P2">
        <v>36</v>
      </c>
      <c r="Q2">
        <v>39</v>
      </c>
      <c r="R2">
        <v>40</v>
      </c>
      <c r="S2">
        <v>46</v>
      </c>
      <c r="T2">
        <v>52</v>
      </c>
      <c r="U2">
        <v>63</v>
      </c>
      <c r="V2">
        <v>65</v>
      </c>
    </row>
    <row r="3" spans="1:22" ht="13.8" customHeight="1" x14ac:dyDescent="0.25">
      <c r="A3" s="50" t="s">
        <v>414</v>
      </c>
      <c r="B3" s="91"/>
      <c r="C3" s="30" t="s">
        <v>257</v>
      </c>
      <c r="D3" s="83" t="s">
        <v>260</v>
      </c>
      <c r="E3" s="83" t="s">
        <v>262</v>
      </c>
      <c r="F3" s="83" t="s">
        <v>264</v>
      </c>
      <c r="G3" s="83" t="s">
        <v>265</v>
      </c>
      <c r="H3" s="83" t="s">
        <v>267</v>
      </c>
      <c r="I3" s="85" t="s">
        <v>270</v>
      </c>
      <c r="J3" s="145" t="s">
        <v>276</v>
      </c>
      <c r="K3" s="30" t="s">
        <v>277</v>
      </c>
      <c r="L3" t="s">
        <v>279</v>
      </c>
      <c r="M3" t="s">
        <v>281</v>
      </c>
      <c r="N3" t="s">
        <v>288</v>
      </c>
      <c r="O3" t="s">
        <v>290</v>
      </c>
      <c r="P3" t="s">
        <v>293</v>
      </c>
      <c r="Q3" t="s">
        <v>296</v>
      </c>
      <c r="R3" t="s">
        <v>297</v>
      </c>
      <c r="S3" t="s">
        <v>305</v>
      </c>
      <c r="T3" s="29" t="s">
        <v>311</v>
      </c>
      <c r="U3" t="s">
        <v>323</v>
      </c>
      <c r="V3" t="s">
        <v>325</v>
      </c>
    </row>
    <row r="4" spans="1:22" x14ac:dyDescent="0.25">
      <c r="A4" s="50">
        <v>44577</v>
      </c>
      <c r="B4" s="91" t="s">
        <v>181</v>
      </c>
      <c r="C4">
        <v>0.84</v>
      </c>
      <c r="D4" s="83">
        <v>1.19</v>
      </c>
      <c r="E4" s="83">
        <v>130.22999999999999</v>
      </c>
      <c r="F4" s="83">
        <v>231.37</v>
      </c>
      <c r="G4" s="83">
        <v>50.77</v>
      </c>
      <c r="H4" s="83">
        <v>1.57</v>
      </c>
      <c r="I4" s="83">
        <v>7.64</v>
      </c>
      <c r="J4" s="146">
        <v>1</v>
      </c>
      <c r="K4">
        <v>0.92999999999999994</v>
      </c>
      <c r="L4">
        <v>98996.18</v>
      </c>
      <c r="M4">
        <v>15.76</v>
      </c>
      <c r="N4">
        <v>93.31</v>
      </c>
      <c r="O4">
        <v>29.05</v>
      </c>
      <c r="P4">
        <v>26.060000000000002</v>
      </c>
      <c r="Q4">
        <v>5.39</v>
      </c>
      <c r="R4">
        <v>4.09</v>
      </c>
      <c r="S4">
        <v>1.99</v>
      </c>
      <c r="T4">
        <v>1.73</v>
      </c>
      <c r="U4">
        <v>7.27</v>
      </c>
      <c r="V4">
        <v>9.15</v>
      </c>
    </row>
    <row r="5" spans="1:22" x14ac:dyDescent="0.25">
      <c r="A5" s="50">
        <v>44577</v>
      </c>
      <c r="B5" s="91" t="s">
        <v>182</v>
      </c>
      <c r="C5">
        <v>0</v>
      </c>
      <c r="D5" s="83">
        <v>0.47</v>
      </c>
      <c r="E5" s="83">
        <v>51.95</v>
      </c>
      <c r="F5" s="83">
        <v>39.6</v>
      </c>
      <c r="G5" s="83">
        <v>7.29</v>
      </c>
      <c r="H5" s="83">
        <v>0.86</v>
      </c>
      <c r="I5" s="83">
        <v>0</v>
      </c>
      <c r="J5" s="146">
        <v>0.47999999999999954</v>
      </c>
      <c r="K5">
        <v>1.86</v>
      </c>
      <c r="L5">
        <v>58690.51</v>
      </c>
      <c r="M5">
        <v>3.22</v>
      </c>
      <c r="N5">
        <v>14.71</v>
      </c>
      <c r="O5">
        <v>6.53</v>
      </c>
      <c r="P5">
        <v>4.37</v>
      </c>
      <c r="Q5">
        <v>1.01</v>
      </c>
      <c r="R5">
        <v>1.33</v>
      </c>
      <c r="S5">
        <v>2.29</v>
      </c>
      <c r="T5">
        <v>0.86999999999999988</v>
      </c>
      <c r="U5">
        <v>2.39</v>
      </c>
      <c r="V5">
        <v>1.05</v>
      </c>
    </row>
    <row r="6" spans="1:22" x14ac:dyDescent="0.25">
      <c r="A6" s="50">
        <v>44577</v>
      </c>
      <c r="B6" s="91" t="s">
        <v>183</v>
      </c>
      <c r="C6">
        <v>0</v>
      </c>
      <c r="D6" s="83">
        <v>0.18</v>
      </c>
      <c r="E6" s="83">
        <v>19.43</v>
      </c>
      <c r="F6" s="83">
        <v>22.72</v>
      </c>
      <c r="G6" s="83">
        <v>4.0999999999999996</v>
      </c>
      <c r="H6" s="83">
        <v>0.53</v>
      </c>
      <c r="I6" s="83">
        <v>0</v>
      </c>
      <c r="J6" s="146">
        <v>0.54999999999999982</v>
      </c>
      <c r="K6">
        <v>1.5399999999999998</v>
      </c>
      <c r="L6">
        <v>32026.71</v>
      </c>
      <c r="M6">
        <v>1.5</v>
      </c>
      <c r="N6">
        <v>17.93</v>
      </c>
      <c r="O6">
        <v>5.08</v>
      </c>
      <c r="P6">
        <v>2.16</v>
      </c>
      <c r="Q6">
        <v>1.21</v>
      </c>
      <c r="R6">
        <v>0.92000000000000015</v>
      </c>
      <c r="S6">
        <v>4.2300000000000004</v>
      </c>
      <c r="T6">
        <v>0.36</v>
      </c>
      <c r="U6">
        <v>3.38</v>
      </c>
      <c r="V6">
        <v>0</v>
      </c>
    </row>
    <row r="7" spans="1:22" x14ac:dyDescent="0.25">
      <c r="A7" s="50">
        <v>44577</v>
      </c>
      <c r="B7" s="91" t="s">
        <v>184</v>
      </c>
      <c r="C7">
        <v>0</v>
      </c>
      <c r="D7" s="83">
        <v>1.42</v>
      </c>
      <c r="E7" s="83">
        <v>98.93</v>
      </c>
      <c r="F7" s="83">
        <v>62.74</v>
      </c>
      <c r="G7" s="83">
        <v>10.75</v>
      </c>
      <c r="H7" s="83">
        <v>0.95</v>
      </c>
      <c r="I7" s="83">
        <v>6.66</v>
      </c>
      <c r="J7" s="146">
        <v>0.72999999999999954</v>
      </c>
      <c r="K7">
        <v>1.3699999999999999</v>
      </c>
      <c r="L7">
        <v>78676.92</v>
      </c>
      <c r="M7">
        <v>10.76</v>
      </c>
      <c r="N7">
        <v>38.18</v>
      </c>
      <c r="O7">
        <v>5.27</v>
      </c>
      <c r="P7">
        <v>22.69</v>
      </c>
      <c r="Q7">
        <v>9.5299999999999994</v>
      </c>
      <c r="R7">
        <v>8.06</v>
      </c>
      <c r="S7">
        <v>1.28</v>
      </c>
      <c r="T7">
        <v>1.1299999999999999</v>
      </c>
      <c r="U7">
        <v>12.74</v>
      </c>
      <c r="V7">
        <v>1.8</v>
      </c>
    </row>
    <row r="8" spans="1:22" x14ac:dyDescent="0.25">
      <c r="A8" s="50">
        <v>44577</v>
      </c>
      <c r="B8" s="91" t="s">
        <v>185</v>
      </c>
      <c r="C8">
        <v>1.69</v>
      </c>
      <c r="D8" s="83">
        <v>2.2799999999999998</v>
      </c>
      <c r="E8" s="83">
        <v>302.16000000000003</v>
      </c>
      <c r="F8" s="83">
        <v>101.55</v>
      </c>
      <c r="G8" s="83">
        <v>14.3</v>
      </c>
      <c r="H8" s="83">
        <v>1.81</v>
      </c>
      <c r="I8" s="83">
        <v>8.59</v>
      </c>
      <c r="J8" s="146">
        <v>3.05</v>
      </c>
      <c r="K8">
        <v>6.2600000000000007</v>
      </c>
      <c r="L8">
        <v>75575.850000000006</v>
      </c>
      <c r="M8">
        <v>21.31</v>
      </c>
      <c r="N8">
        <v>54.67</v>
      </c>
      <c r="O8">
        <v>5.98</v>
      </c>
      <c r="P8">
        <v>36.979999999999997</v>
      </c>
      <c r="Q8">
        <v>13.07</v>
      </c>
      <c r="R8">
        <v>13.99</v>
      </c>
      <c r="S8">
        <v>2.4</v>
      </c>
      <c r="T8">
        <v>1.5</v>
      </c>
      <c r="U8">
        <v>42.46</v>
      </c>
      <c r="V8">
        <v>3.25</v>
      </c>
    </row>
    <row r="9" spans="1:22" x14ac:dyDescent="0.25">
      <c r="A9" s="50">
        <v>44577</v>
      </c>
      <c r="B9" s="91" t="s">
        <v>186</v>
      </c>
      <c r="C9">
        <v>1.99</v>
      </c>
      <c r="D9" s="83">
        <v>4.26</v>
      </c>
      <c r="E9" s="83">
        <v>137.02000000000001</v>
      </c>
      <c r="F9" s="83">
        <v>101.71</v>
      </c>
      <c r="G9" s="83">
        <v>24.59</v>
      </c>
      <c r="H9" s="83">
        <v>1.1299999999999999</v>
      </c>
      <c r="I9" s="83">
        <v>21.23</v>
      </c>
      <c r="J9" s="146">
        <v>1.9299999999999997</v>
      </c>
      <c r="K9">
        <v>7.09</v>
      </c>
      <c r="L9">
        <v>45957.55</v>
      </c>
      <c r="M9">
        <v>16.72</v>
      </c>
      <c r="N9">
        <v>45.66</v>
      </c>
      <c r="O9">
        <v>6.49</v>
      </c>
      <c r="P9">
        <v>27.73</v>
      </c>
      <c r="Q9">
        <v>19.309999999999999</v>
      </c>
      <c r="R9">
        <v>14.290000000000001</v>
      </c>
      <c r="S9">
        <v>1.1100000000000001</v>
      </c>
      <c r="T9">
        <v>0.82000000000000006</v>
      </c>
      <c r="U9">
        <v>38.26</v>
      </c>
      <c r="V9">
        <v>1.81</v>
      </c>
    </row>
    <row r="10" spans="1:22" x14ac:dyDescent="0.25">
      <c r="A10" s="50">
        <v>44577</v>
      </c>
      <c r="B10" s="91" t="s">
        <v>187</v>
      </c>
      <c r="C10">
        <v>1.08</v>
      </c>
      <c r="D10" s="83">
        <v>2.5099999999999998</v>
      </c>
      <c r="E10" s="83">
        <v>120.44</v>
      </c>
      <c r="F10" s="83">
        <v>62.84</v>
      </c>
      <c r="G10" s="83">
        <v>11.63</v>
      </c>
      <c r="H10" s="83">
        <v>1.06</v>
      </c>
      <c r="I10" s="83">
        <v>10.029999999999999</v>
      </c>
      <c r="J10" s="146">
        <v>1</v>
      </c>
      <c r="K10">
        <v>4.0100000000000007</v>
      </c>
      <c r="L10">
        <v>78710.61</v>
      </c>
      <c r="M10">
        <v>20.03</v>
      </c>
      <c r="N10">
        <v>38.299999999999997</v>
      </c>
      <c r="O10">
        <v>5.89</v>
      </c>
      <c r="P10">
        <v>27.270000000000003</v>
      </c>
      <c r="Q10">
        <v>11.83</v>
      </c>
      <c r="R10">
        <v>8.06</v>
      </c>
      <c r="S10">
        <v>1.22</v>
      </c>
      <c r="T10">
        <v>1.48</v>
      </c>
      <c r="U10">
        <v>22.05</v>
      </c>
      <c r="V10">
        <v>2.5299999999999998</v>
      </c>
    </row>
    <row r="11" spans="1:22" x14ac:dyDescent="0.25">
      <c r="A11" s="50">
        <v>44577</v>
      </c>
      <c r="B11" s="91" t="s">
        <v>241</v>
      </c>
      <c r="C11">
        <v>1.91</v>
      </c>
      <c r="D11" s="83">
        <v>1.7</v>
      </c>
      <c r="E11" s="83">
        <v>30.29</v>
      </c>
      <c r="F11" s="83">
        <v>80.16</v>
      </c>
      <c r="G11" s="83">
        <v>8.8699999999999992</v>
      </c>
      <c r="H11" s="83">
        <v>1.08</v>
      </c>
      <c r="I11" s="83">
        <v>0</v>
      </c>
      <c r="J11" s="146">
        <v>4.95</v>
      </c>
      <c r="K11">
        <v>0.83000000000000007</v>
      </c>
      <c r="L11">
        <v>242.88</v>
      </c>
      <c r="M11">
        <v>12.31</v>
      </c>
      <c r="N11">
        <v>157.19</v>
      </c>
      <c r="O11">
        <v>16.559999999999999</v>
      </c>
      <c r="P11">
        <v>5.59</v>
      </c>
      <c r="Q11">
        <v>0.61</v>
      </c>
      <c r="R11">
        <v>4.63</v>
      </c>
      <c r="S11">
        <v>4.57</v>
      </c>
      <c r="T11">
        <v>1.5099999999999998</v>
      </c>
      <c r="U11">
        <v>14.46</v>
      </c>
      <c r="V11">
        <v>4.07</v>
      </c>
    </row>
    <row r="12" spans="1:22" x14ac:dyDescent="0.25">
      <c r="A12" s="50">
        <v>44577</v>
      </c>
      <c r="B12" s="91" t="s">
        <v>244</v>
      </c>
      <c r="C12">
        <v>0</v>
      </c>
      <c r="D12" s="83">
        <v>0.66</v>
      </c>
      <c r="E12" s="83">
        <v>151.62</v>
      </c>
      <c r="F12" s="83">
        <v>217.58</v>
      </c>
      <c r="G12" s="83">
        <v>48.21</v>
      </c>
      <c r="H12" s="83">
        <v>0.63</v>
      </c>
      <c r="I12" s="83">
        <v>710.89</v>
      </c>
      <c r="J12" s="146">
        <v>11.93</v>
      </c>
      <c r="K12">
        <v>6585.84</v>
      </c>
      <c r="L12">
        <v>109.22</v>
      </c>
      <c r="M12">
        <v>9.86</v>
      </c>
      <c r="N12">
        <v>4918.03</v>
      </c>
      <c r="O12">
        <v>23.15</v>
      </c>
      <c r="P12">
        <v>9.94</v>
      </c>
      <c r="Q12">
        <v>239.88</v>
      </c>
      <c r="R12">
        <v>3.17</v>
      </c>
      <c r="S12">
        <v>11574.01</v>
      </c>
      <c r="T12">
        <v>1.23</v>
      </c>
      <c r="U12">
        <v>12.21</v>
      </c>
      <c r="V12">
        <v>4.13</v>
      </c>
    </row>
    <row r="13" spans="1:22" x14ac:dyDescent="0.25">
      <c r="A13" s="50">
        <v>44577</v>
      </c>
      <c r="B13" s="91" t="s">
        <v>188</v>
      </c>
      <c r="C13">
        <v>11.84</v>
      </c>
      <c r="D13" s="83">
        <v>3.68</v>
      </c>
      <c r="E13" s="83">
        <v>302.27999999999997</v>
      </c>
      <c r="F13" s="83">
        <v>721.16</v>
      </c>
      <c r="G13" s="83">
        <v>145.86000000000001</v>
      </c>
      <c r="H13" s="83">
        <v>0.57999999999999996</v>
      </c>
      <c r="I13" s="83">
        <v>1475.69</v>
      </c>
      <c r="J13" s="146">
        <v>9.1499999999999986</v>
      </c>
      <c r="K13">
        <v>6032.19</v>
      </c>
      <c r="L13">
        <v>28.59</v>
      </c>
      <c r="M13">
        <v>7.72</v>
      </c>
      <c r="N13">
        <v>10621.34</v>
      </c>
      <c r="O13">
        <v>54.87</v>
      </c>
      <c r="P13">
        <v>21.76</v>
      </c>
      <c r="Q13">
        <v>116.07</v>
      </c>
      <c r="R13">
        <v>16.669999999999998</v>
      </c>
      <c r="S13">
        <v>4125.6899999999996</v>
      </c>
      <c r="T13">
        <v>0.79</v>
      </c>
      <c r="U13">
        <v>12.8</v>
      </c>
      <c r="V13">
        <v>4.1100000000000003</v>
      </c>
    </row>
    <row r="14" spans="1:22" x14ac:dyDescent="0.25">
      <c r="A14" s="50">
        <v>44577</v>
      </c>
      <c r="B14" s="91" t="s">
        <v>179</v>
      </c>
      <c r="C14">
        <v>3.62</v>
      </c>
      <c r="D14" s="83">
        <v>9.5</v>
      </c>
      <c r="E14" s="83">
        <v>134.44</v>
      </c>
      <c r="F14" s="83">
        <v>303.01</v>
      </c>
      <c r="G14" s="83">
        <v>61.96</v>
      </c>
      <c r="H14" s="83">
        <v>0.62</v>
      </c>
      <c r="I14" s="83">
        <v>100.02</v>
      </c>
      <c r="J14" s="146">
        <v>10.82</v>
      </c>
      <c r="K14">
        <v>1773.94</v>
      </c>
      <c r="L14">
        <v>106.66</v>
      </c>
      <c r="M14">
        <v>6.93</v>
      </c>
      <c r="N14">
        <v>6088.54</v>
      </c>
      <c r="O14">
        <v>47.19</v>
      </c>
      <c r="P14">
        <v>14.879999999999999</v>
      </c>
      <c r="Q14">
        <v>199.22</v>
      </c>
      <c r="R14">
        <v>20.049999999999997</v>
      </c>
      <c r="S14">
        <v>993.72</v>
      </c>
      <c r="T14">
        <v>3.19</v>
      </c>
      <c r="U14">
        <v>41.29</v>
      </c>
      <c r="V14">
        <v>2.84</v>
      </c>
    </row>
    <row r="15" spans="1:22" ht="14.4" thickBot="1" x14ac:dyDescent="0.3">
      <c r="A15" s="50">
        <v>44577</v>
      </c>
      <c r="B15" s="91" t="s">
        <v>329</v>
      </c>
      <c r="C15">
        <v>4.37</v>
      </c>
      <c r="D15" s="83">
        <v>2.79</v>
      </c>
      <c r="E15" s="83">
        <v>29.23</v>
      </c>
      <c r="F15" s="83">
        <v>20.45</v>
      </c>
      <c r="G15" s="83">
        <v>3.21</v>
      </c>
      <c r="H15" s="83">
        <v>0.59</v>
      </c>
      <c r="I15" s="83">
        <v>5.73</v>
      </c>
      <c r="J15" s="146">
        <v>2.4500000000000002</v>
      </c>
      <c r="K15">
        <v>5.24</v>
      </c>
      <c r="L15">
        <v>203.14</v>
      </c>
      <c r="M15">
        <v>3.82</v>
      </c>
      <c r="N15">
        <v>69.349999999999994</v>
      </c>
      <c r="O15">
        <v>0</v>
      </c>
      <c r="P15">
        <v>9.2200000000000006</v>
      </c>
      <c r="Q15">
        <v>6.26</v>
      </c>
      <c r="R15">
        <v>5.13</v>
      </c>
      <c r="S15">
        <v>1.43</v>
      </c>
      <c r="T15">
        <v>0.44999999999999996</v>
      </c>
      <c r="U15">
        <v>5.85</v>
      </c>
      <c r="V15" s="26">
        <v>1.34</v>
      </c>
    </row>
    <row r="16" spans="1:22" x14ac:dyDescent="0.25">
      <c r="A16" s="50">
        <v>44588</v>
      </c>
      <c r="B16" s="91" t="s">
        <v>191</v>
      </c>
      <c r="C16">
        <v>0</v>
      </c>
      <c r="D16" s="83">
        <v>1.21</v>
      </c>
      <c r="E16" s="83">
        <v>45.65</v>
      </c>
      <c r="F16" s="83">
        <v>21.31</v>
      </c>
      <c r="G16" s="83">
        <v>2.57</v>
      </c>
      <c r="H16" s="83">
        <v>10.19</v>
      </c>
      <c r="I16" s="83">
        <v>5.24</v>
      </c>
      <c r="J16" s="146">
        <v>1.2400000000000002</v>
      </c>
      <c r="K16">
        <v>0.38000000000000012</v>
      </c>
      <c r="L16">
        <v>6908.82</v>
      </c>
      <c r="M16">
        <v>0</v>
      </c>
      <c r="N16">
        <v>10.7</v>
      </c>
      <c r="O16">
        <v>7.71</v>
      </c>
      <c r="P16">
        <v>1.1200000000000001</v>
      </c>
      <c r="Q16">
        <v>1.35</v>
      </c>
      <c r="R16">
        <v>1.51</v>
      </c>
      <c r="S16">
        <v>2.0299999999999998</v>
      </c>
      <c r="T16">
        <v>2.77</v>
      </c>
      <c r="U16">
        <v>6.34</v>
      </c>
      <c r="V16">
        <v>0</v>
      </c>
    </row>
    <row r="17" spans="1:23" x14ac:dyDescent="0.25">
      <c r="A17" s="50">
        <v>44588</v>
      </c>
      <c r="B17" s="91" t="s">
        <v>189</v>
      </c>
      <c r="C17">
        <v>0</v>
      </c>
      <c r="D17" s="83">
        <v>1.73</v>
      </c>
      <c r="E17" s="83">
        <v>72.44</v>
      </c>
      <c r="F17" s="83">
        <v>28.73</v>
      </c>
      <c r="G17" s="83">
        <v>4.1100000000000003</v>
      </c>
      <c r="H17" s="83">
        <v>2.35</v>
      </c>
      <c r="I17" s="83">
        <v>5.95</v>
      </c>
      <c r="J17" s="146">
        <v>1.42</v>
      </c>
      <c r="K17">
        <v>2.12</v>
      </c>
      <c r="L17">
        <v>33700.01</v>
      </c>
      <c r="M17">
        <v>0</v>
      </c>
      <c r="N17">
        <v>15.55</v>
      </c>
      <c r="O17">
        <v>7.13</v>
      </c>
      <c r="P17">
        <v>1.74</v>
      </c>
      <c r="Q17">
        <v>0</v>
      </c>
      <c r="R17">
        <v>1.1600000000000001</v>
      </c>
      <c r="S17">
        <v>3.14</v>
      </c>
      <c r="T17">
        <v>2.29</v>
      </c>
      <c r="U17">
        <v>7.24</v>
      </c>
      <c r="V17">
        <v>0</v>
      </c>
    </row>
    <row r="18" spans="1:23" x14ac:dyDescent="0.25">
      <c r="A18" s="50">
        <v>44588</v>
      </c>
      <c r="B18" s="91" t="s">
        <v>190</v>
      </c>
      <c r="C18">
        <v>0</v>
      </c>
      <c r="D18" s="83">
        <v>0.74</v>
      </c>
      <c r="E18" s="83">
        <v>27.71</v>
      </c>
      <c r="F18" s="83">
        <v>13.54</v>
      </c>
      <c r="G18" s="83">
        <v>1.88</v>
      </c>
      <c r="H18" s="83">
        <v>0.84</v>
      </c>
      <c r="I18" s="83">
        <v>0</v>
      </c>
      <c r="J18" s="146">
        <v>0.79999999999999982</v>
      </c>
      <c r="K18">
        <v>0.57000000000000006</v>
      </c>
      <c r="L18">
        <v>19313.98</v>
      </c>
      <c r="M18">
        <v>0</v>
      </c>
      <c r="N18">
        <v>8.16</v>
      </c>
      <c r="O18">
        <v>0</v>
      </c>
      <c r="P18">
        <v>1.8499999999999999</v>
      </c>
      <c r="Q18">
        <v>0</v>
      </c>
      <c r="R18">
        <v>1.1300000000000001</v>
      </c>
      <c r="S18">
        <v>2.27</v>
      </c>
      <c r="T18">
        <v>2.06</v>
      </c>
      <c r="U18">
        <v>4.66</v>
      </c>
      <c r="V18">
        <v>0</v>
      </c>
    </row>
    <row r="19" spans="1:23" x14ac:dyDescent="0.25">
      <c r="A19" s="50">
        <v>44588</v>
      </c>
      <c r="B19" s="91" t="s">
        <v>192</v>
      </c>
      <c r="C19">
        <v>0</v>
      </c>
      <c r="D19" s="83">
        <v>1.55</v>
      </c>
      <c r="E19" s="83">
        <v>54.8</v>
      </c>
      <c r="F19" s="83">
        <v>28.48</v>
      </c>
      <c r="G19" s="83">
        <v>4.0199999999999996</v>
      </c>
      <c r="H19" s="83">
        <v>4.3899999999999997</v>
      </c>
      <c r="I19" s="83">
        <v>0</v>
      </c>
      <c r="J19" s="146">
        <v>2.6500000000000004</v>
      </c>
      <c r="K19">
        <v>0.8600000000000001</v>
      </c>
      <c r="L19">
        <v>38331.160000000003</v>
      </c>
      <c r="M19">
        <v>0</v>
      </c>
      <c r="N19">
        <v>16.18</v>
      </c>
      <c r="O19">
        <v>0</v>
      </c>
      <c r="P19">
        <v>4.34</v>
      </c>
      <c r="Q19">
        <v>2.5</v>
      </c>
      <c r="R19">
        <v>1.7200000000000002</v>
      </c>
      <c r="S19">
        <v>2.0499999999999998</v>
      </c>
      <c r="T19">
        <v>3.46</v>
      </c>
      <c r="U19">
        <v>9.83</v>
      </c>
      <c r="V19">
        <v>0</v>
      </c>
    </row>
    <row r="20" spans="1:23" x14ac:dyDescent="0.25">
      <c r="A20" s="50">
        <v>44588</v>
      </c>
      <c r="B20" s="91" t="s">
        <v>193</v>
      </c>
      <c r="C20">
        <v>0</v>
      </c>
      <c r="D20" s="83">
        <v>1.53</v>
      </c>
      <c r="E20" s="83">
        <v>46.64</v>
      </c>
      <c r="F20" s="83">
        <v>24.44</v>
      </c>
      <c r="G20" s="83">
        <v>3.89</v>
      </c>
      <c r="H20" s="83">
        <v>3.23</v>
      </c>
      <c r="I20" s="83">
        <v>0</v>
      </c>
      <c r="J20" s="146">
        <v>2.1900000000000004</v>
      </c>
      <c r="K20">
        <v>2.2300000000000004</v>
      </c>
      <c r="L20">
        <v>30793.119999999999</v>
      </c>
      <c r="M20">
        <v>2.16</v>
      </c>
      <c r="N20">
        <v>14.57</v>
      </c>
      <c r="O20">
        <v>0</v>
      </c>
      <c r="P20">
        <v>3.63</v>
      </c>
      <c r="Q20">
        <v>2.58</v>
      </c>
      <c r="R20">
        <v>2.16</v>
      </c>
      <c r="S20">
        <v>3.28</v>
      </c>
      <c r="T20">
        <v>3.7100000000000004</v>
      </c>
      <c r="U20">
        <v>8.06</v>
      </c>
      <c r="V20">
        <v>0.56000000000000005</v>
      </c>
    </row>
    <row r="21" spans="1:23" x14ac:dyDescent="0.25">
      <c r="A21" s="50">
        <v>44588</v>
      </c>
      <c r="B21" s="91" t="s">
        <v>194</v>
      </c>
      <c r="C21">
        <v>0</v>
      </c>
      <c r="D21" s="83">
        <v>1.81</v>
      </c>
      <c r="E21" s="83">
        <v>58.1</v>
      </c>
      <c r="F21" s="83">
        <v>25.71</v>
      </c>
      <c r="G21" s="83">
        <v>4.5199999999999996</v>
      </c>
      <c r="H21" s="83">
        <v>1.63</v>
      </c>
      <c r="I21" s="83">
        <v>4.26</v>
      </c>
      <c r="J21" s="146">
        <v>1.6799999999999997</v>
      </c>
      <c r="K21">
        <v>1.74</v>
      </c>
      <c r="L21">
        <v>32982.33</v>
      </c>
      <c r="M21">
        <v>4.3600000000000003</v>
      </c>
      <c r="N21">
        <v>16.34</v>
      </c>
      <c r="O21">
        <v>4.57</v>
      </c>
      <c r="P21">
        <v>6.26</v>
      </c>
      <c r="Q21">
        <v>3.46</v>
      </c>
      <c r="R21">
        <v>2.71</v>
      </c>
      <c r="S21">
        <v>1.43</v>
      </c>
      <c r="T21">
        <v>4.5</v>
      </c>
      <c r="U21">
        <v>13.3</v>
      </c>
      <c r="V21">
        <v>4.21</v>
      </c>
    </row>
    <row r="22" spans="1:23" x14ac:dyDescent="0.25">
      <c r="A22" s="50">
        <v>44588.395833333336</v>
      </c>
      <c r="B22" s="91" t="s">
        <v>240</v>
      </c>
      <c r="C22">
        <v>1.04</v>
      </c>
      <c r="D22" s="83">
        <v>4.55</v>
      </c>
      <c r="E22" s="83">
        <v>100.61</v>
      </c>
      <c r="F22" s="83">
        <v>40.69</v>
      </c>
      <c r="G22" s="83">
        <v>5.43</v>
      </c>
      <c r="H22" s="83">
        <v>5.22</v>
      </c>
      <c r="I22" s="83">
        <v>12.11</v>
      </c>
      <c r="J22" s="146">
        <v>3.9899999999999993</v>
      </c>
      <c r="K22">
        <v>5.44</v>
      </c>
      <c r="L22">
        <v>43988.93</v>
      </c>
      <c r="M22">
        <v>10.25</v>
      </c>
      <c r="N22">
        <v>31.84</v>
      </c>
      <c r="O22">
        <v>6.22</v>
      </c>
      <c r="P22">
        <v>11.709999999999999</v>
      </c>
      <c r="Q22">
        <v>9.48</v>
      </c>
      <c r="R22">
        <v>8.91</v>
      </c>
      <c r="S22">
        <v>2.8</v>
      </c>
      <c r="T22">
        <v>2.8</v>
      </c>
      <c r="U22">
        <v>39.700000000000003</v>
      </c>
      <c r="V22">
        <v>2.88</v>
      </c>
    </row>
    <row r="23" spans="1:23" x14ac:dyDescent="0.25">
      <c r="A23" s="50">
        <v>44588.583333333336</v>
      </c>
      <c r="B23" s="91" t="s">
        <v>248</v>
      </c>
      <c r="C23">
        <v>0</v>
      </c>
      <c r="D23" s="83">
        <v>0.9</v>
      </c>
      <c r="E23" s="83">
        <v>34.24</v>
      </c>
      <c r="F23" s="83">
        <v>17.489999999999998</v>
      </c>
      <c r="G23" s="83">
        <v>2.44</v>
      </c>
      <c r="H23" s="83">
        <v>1.57</v>
      </c>
      <c r="I23" s="83">
        <v>0</v>
      </c>
      <c r="J23" s="146">
        <v>1.6900000000000004</v>
      </c>
      <c r="K23">
        <v>0.62000000000000011</v>
      </c>
      <c r="L23">
        <v>25395.59</v>
      </c>
      <c r="M23">
        <v>2.8</v>
      </c>
      <c r="N23">
        <v>12.71</v>
      </c>
      <c r="O23">
        <v>0</v>
      </c>
      <c r="P23">
        <v>3.75</v>
      </c>
      <c r="Q23">
        <v>2.93</v>
      </c>
      <c r="R23">
        <v>1.2000000000000002</v>
      </c>
      <c r="S23">
        <v>2.12</v>
      </c>
      <c r="T23">
        <v>2.37</v>
      </c>
      <c r="U23">
        <v>8.92</v>
      </c>
      <c r="V23">
        <v>1.01</v>
      </c>
    </row>
    <row r="24" spans="1:23" x14ac:dyDescent="0.25">
      <c r="A24" s="50">
        <v>44588</v>
      </c>
      <c r="B24" s="91" t="s">
        <v>195</v>
      </c>
      <c r="C24">
        <v>0</v>
      </c>
      <c r="D24" s="83">
        <v>1.26</v>
      </c>
      <c r="E24" s="83">
        <v>42.57</v>
      </c>
      <c r="F24" s="83">
        <v>14.72</v>
      </c>
      <c r="G24" s="83">
        <v>2.4</v>
      </c>
      <c r="H24" s="83">
        <v>1.26</v>
      </c>
      <c r="I24" s="83">
        <v>4.84</v>
      </c>
      <c r="J24" s="146">
        <v>1.63</v>
      </c>
      <c r="K24">
        <v>1.99</v>
      </c>
      <c r="L24">
        <v>19526.45</v>
      </c>
      <c r="M24">
        <v>2.3199999999999998</v>
      </c>
      <c r="N24">
        <v>11.97</v>
      </c>
      <c r="O24">
        <v>0</v>
      </c>
      <c r="P24">
        <v>3.9399999999999995</v>
      </c>
      <c r="Q24">
        <v>3.48</v>
      </c>
      <c r="R24">
        <v>4.66</v>
      </c>
      <c r="S24">
        <v>1.28</v>
      </c>
      <c r="T24">
        <v>2.0099999999999998</v>
      </c>
      <c r="U24">
        <v>17.66</v>
      </c>
      <c r="V24">
        <v>1.1200000000000001</v>
      </c>
    </row>
    <row r="25" spans="1:23" x14ac:dyDescent="0.25">
      <c r="A25" s="50">
        <v>44588</v>
      </c>
      <c r="B25" s="91" t="s">
        <v>196</v>
      </c>
      <c r="C25">
        <v>14.01</v>
      </c>
      <c r="D25" s="83">
        <v>1.57</v>
      </c>
      <c r="E25" s="83">
        <v>24.95</v>
      </c>
      <c r="F25" s="83">
        <v>115.3</v>
      </c>
      <c r="G25" s="83">
        <v>14.56</v>
      </c>
      <c r="H25" s="83">
        <v>1.58</v>
      </c>
      <c r="I25" s="83">
        <v>10.35</v>
      </c>
      <c r="J25" s="146">
        <v>6.44</v>
      </c>
      <c r="K25">
        <v>0.90999999999999992</v>
      </c>
      <c r="L25">
        <v>2554.81</v>
      </c>
      <c r="M25">
        <v>5.94</v>
      </c>
      <c r="N25">
        <v>38.549999999999997</v>
      </c>
      <c r="O25">
        <v>7.49</v>
      </c>
      <c r="P25">
        <v>19.580000000000002</v>
      </c>
      <c r="Q25">
        <v>15.83</v>
      </c>
      <c r="R25">
        <v>6.5</v>
      </c>
      <c r="S25">
        <v>1.1200000000000001</v>
      </c>
      <c r="T25">
        <v>0.8</v>
      </c>
      <c r="U25">
        <v>8.1999999999999993</v>
      </c>
      <c r="V25">
        <v>0.89</v>
      </c>
    </row>
    <row r="26" spans="1:23" x14ac:dyDescent="0.25">
      <c r="A26" s="50">
        <v>44588</v>
      </c>
      <c r="B26" s="91" t="s">
        <v>197</v>
      </c>
      <c r="C26">
        <v>24.12</v>
      </c>
      <c r="D26" s="83">
        <v>2.86</v>
      </c>
      <c r="E26" s="83">
        <v>150.19</v>
      </c>
      <c r="F26" s="83">
        <v>208.27</v>
      </c>
      <c r="G26" s="83">
        <v>32.03</v>
      </c>
      <c r="H26" s="83">
        <v>1.48</v>
      </c>
      <c r="I26" s="83">
        <v>30.68</v>
      </c>
      <c r="J26" s="146">
        <v>17.12</v>
      </c>
      <c r="K26">
        <v>1.55</v>
      </c>
      <c r="L26">
        <v>194.05</v>
      </c>
      <c r="M26">
        <v>3.61</v>
      </c>
      <c r="N26">
        <v>84.26</v>
      </c>
      <c r="O26">
        <v>17.53</v>
      </c>
      <c r="P26">
        <v>20.94</v>
      </c>
      <c r="Q26">
        <v>55.11</v>
      </c>
      <c r="R26">
        <v>10.02</v>
      </c>
      <c r="S26">
        <v>1.1599999999999999</v>
      </c>
      <c r="T26">
        <v>1.39</v>
      </c>
      <c r="U26">
        <v>7.66</v>
      </c>
      <c r="V26">
        <v>1.1200000000000001</v>
      </c>
    </row>
    <row r="27" spans="1:23" x14ac:dyDescent="0.25">
      <c r="A27" s="50">
        <v>44588</v>
      </c>
      <c r="B27" s="91" t="s">
        <v>198</v>
      </c>
      <c r="C27">
        <v>2.4500000000000002</v>
      </c>
      <c r="D27" s="83">
        <v>2.4300000000000002</v>
      </c>
      <c r="E27" s="83">
        <v>22.67</v>
      </c>
      <c r="F27" s="83">
        <v>14.11</v>
      </c>
      <c r="G27" s="83">
        <v>2.0499999999999998</v>
      </c>
      <c r="H27" s="83">
        <v>0.83</v>
      </c>
      <c r="I27" s="83">
        <v>5.57</v>
      </c>
      <c r="J27" s="146">
        <v>2.71</v>
      </c>
      <c r="K27">
        <v>1.5000000000000002</v>
      </c>
      <c r="L27">
        <v>156.33000000000001</v>
      </c>
      <c r="M27">
        <v>2.71</v>
      </c>
      <c r="N27">
        <v>47.96</v>
      </c>
      <c r="O27">
        <v>0</v>
      </c>
      <c r="P27">
        <v>4.42</v>
      </c>
      <c r="Q27">
        <v>6.11</v>
      </c>
      <c r="R27">
        <v>3.43</v>
      </c>
      <c r="S27">
        <v>2.04</v>
      </c>
      <c r="T27">
        <v>1.52</v>
      </c>
      <c r="U27">
        <v>7.2</v>
      </c>
      <c r="V27">
        <v>1.1100000000000001</v>
      </c>
    </row>
    <row r="28" spans="1:23" x14ac:dyDescent="0.25">
      <c r="A28" s="50">
        <v>44588</v>
      </c>
      <c r="B28" s="91" t="s">
        <v>199</v>
      </c>
      <c r="C28">
        <v>8.02</v>
      </c>
      <c r="D28" s="83">
        <v>3.63</v>
      </c>
      <c r="E28" s="83">
        <v>30.23</v>
      </c>
      <c r="F28" s="83">
        <v>29.01</v>
      </c>
      <c r="G28" s="83">
        <v>3.62</v>
      </c>
      <c r="H28" s="83">
        <v>0.89</v>
      </c>
      <c r="I28" s="83">
        <v>5.21</v>
      </c>
      <c r="J28" s="146">
        <v>2.16</v>
      </c>
      <c r="K28">
        <v>1.3099999999999998</v>
      </c>
      <c r="L28">
        <v>176.2</v>
      </c>
      <c r="M28">
        <v>636.04999999999995</v>
      </c>
      <c r="N28">
        <v>68.62</v>
      </c>
      <c r="O28">
        <v>0</v>
      </c>
      <c r="P28">
        <v>4.63</v>
      </c>
      <c r="Q28">
        <v>10.06</v>
      </c>
      <c r="R28">
        <v>4.2</v>
      </c>
      <c r="S28">
        <v>0.96</v>
      </c>
      <c r="T28">
        <v>0.84000000000000008</v>
      </c>
      <c r="U28">
        <v>8.7100000000000009</v>
      </c>
      <c r="V28">
        <v>1.1100000000000001</v>
      </c>
    </row>
    <row r="29" spans="1:23" x14ac:dyDescent="0.25">
      <c r="A29" s="50">
        <v>44588</v>
      </c>
      <c r="B29" s="91" t="s">
        <v>331</v>
      </c>
      <c r="C29">
        <v>2.95</v>
      </c>
      <c r="D29" s="83">
        <v>7.87</v>
      </c>
      <c r="E29" s="83">
        <v>184.87</v>
      </c>
      <c r="F29" s="83">
        <v>342.74</v>
      </c>
      <c r="G29" s="83">
        <v>68.3</v>
      </c>
      <c r="H29" s="83">
        <v>1.24</v>
      </c>
      <c r="I29" s="83">
        <v>815.72</v>
      </c>
      <c r="J29" s="146">
        <v>9.34</v>
      </c>
      <c r="K29">
        <v>2888.8300000000004</v>
      </c>
      <c r="L29">
        <v>76.56</v>
      </c>
      <c r="M29">
        <v>10.97</v>
      </c>
      <c r="N29">
        <v>9544.66</v>
      </c>
      <c r="O29">
        <v>24.46</v>
      </c>
      <c r="P29">
        <v>13.709999999999999</v>
      </c>
      <c r="Q29">
        <v>258.23</v>
      </c>
      <c r="R29">
        <v>33.85</v>
      </c>
      <c r="S29">
        <v>2062.52</v>
      </c>
      <c r="T29">
        <v>2</v>
      </c>
      <c r="U29">
        <v>42.51</v>
      </c>
      <c r="V29">
        <v>20.68</v>
      </c>
      <c r="W29" s="76"/>
    </row>
    <row r="30" spans="1:23" x14ac:dyDescent="0.25">
      <c r="A30" s="50">
        <v>44588</v>
      </c>
      <c r="B30" s="91" t="s">
        <v>203</v>
      </c>
      <c r="C30">
        <v>0</v>
      </c>
      <c r="D30" s="83">
        <v>0.36</v>
      </c>
      <c r="E30" s="83">
        <v>10.89</v>
      </c>
      <c r="F30" s="83">
        <v>7.31</v>
      </c>
      <c r="G30" s="83">
        <v>0.68</v>
      </c>
      <c r="H30" s="83">
        <v>0.89</v>
      </c>
      <c r="I30" s="83">
        <v>0</v>
      </c>
      <c r="J30" s="146">
        <v>5.38</v>
      </c>
      <c r="K30">
        <v>0.66999999999999993</v>
      </c>
      <c r="L30">
        <v>34.5</v>
      </c>
      <c r="M30">
        <v>0</v>
      </c>
      <c r="N30">
        <v>19.829999999999998</v>
      </c>
      <c r="O30">
        <v>4.3899999999999997</v>
      </c>
      <c r="P30">
        <v>0.55000000000000004</v>
      </c>
      <c r="Q30">
        <v>0</v>
      </c>
      <c r="R30">
        <v>1.23</v>
      </c>
      <c r="S30">
        <v>5.47</v>
      </c>
      <c r="T30">
        <v>3.11</v>
      </c>
      <c r="U30">
        <v>3.52</v>
      </c>
      <c r="V30">
        <v>0</v>
      </c>
      <c r="W30" s="76"/>
    </row>
    <row r="31" spans="1:23" x14ac:dyDescent="0.25">
      <c r="A31" s="50">
        <v>44588</v>
      </c>
      <c r="B31" s="91" t="s">
        <v>202</v>
      </c>
      <c r="C31">
        <v>7.8</v>
      </c>
      <c r="D31" s="83">
        <v>2.2799999999999998</v>
      </c>
      <c r="E31" s="83">
        <v>99.32</v>
      </c>
      <c r="F31" s="83">
        <v>490.85</v>
      </c>
      <c r="G31" s="83">
        <v>92.02</v>
      </c>
      <c r="H31" s="83">
        <v>1.68</v>
      </c>
      <c r="I31" s="83">
        <v>212.87</v>
      </c>
      <c r="J31" s="146">
        <v>9.3000000000000007</v>
      </c>
      <c r="K31">
        <v>138.38</v>
      </c>
      <c r="L31">
        <v>600.87</v>
      </c>
      <c r="M31">
        <v>3.44</v>
      </c>
      <c r="N31">
        <v>1927.36</v>
      </c>
      <c r="O31">
        <v>71.06</v>
      </c>
      <c r="P31">
        <v>6.83</v>
      </c>
      <c r="Q31">
        <v>511.53</v>
      </c>
      <c r="R31">
        <v>7.03</v>
      </c>
      <c r="S31">
        <v>41.17</v>
      </c>
      <c r="T31">
        <v>2.61</v>
      </c>
      <c r="U31">
        <v>7.32</v>
      </c>
      <c r="V31">
        <v>0.51</v>
      </c>
      <c r="W31" s="76"/>
    </row>
    <row r="32" spans="1:23" x14ac:dyDescent="0.25">
      <c r="A32" s="50">
        <v>44588</v>
      </c>
      <c r="B32" s="91" t="s">
        <v>201</v>
      </c>
      <c r="C32">
        <v>6.88</v>
      </c>
      <c r="D32" s="83">
        <v>1.5</v>
      </c>
      <c r="E32" s="83">
        <v>111.21</v>
      </c>
      <c r="F32" s="83">
        <v>661.81</v>
      </c>
      <c r="G32" s="83">
        <v>126.4</v>
      </c>
      <c r="H32" s="83">
        <v>0.85</v>
      </c>
      <c r="I32" s="83">
        <v>290.63</v>
      </c>
      <c r="J32" s="146">
        <v>9.0799999999999983</v>
      </c>
      <c r="K32">
        <v>55.050000000000004</v>
      </c>
      <c r="L32">
        <v>258.56</v>
      </c>
      <c r="M32">
        <v>3.59</v>
      </c>
      <c r="N32">
        <v>1981.27</v>
      </c>
      <c r="O32">
        <v>76.62</v>
      </c>
      <c r="P32">
        <v>8.9</v>
      </c>
      <c r="Q32">
        <v>677.86</v>
      </c>
      <c r="R32">
        <v>7.11</v>
      </c>
      <c r="S32">
        <v>26.45</v>
      </c>
      <c r="T32">
        <v>1.4</v>
      </c>
      <c r="U32">
        <v>7.68</v>
      </c>
      <c r="V32">
        <v>0</v>
      </c>
      <c r="W32" s="76"/>
    </row>
    <row r="33" spans="1:44" ht="14.4" thickBot="1" x14ac:dyDescent="0.3">
      <c r="A33" s="50">
        <v>44588</v>
      </c>
      <c r="B33" s="91" t="s">
        <v>200</v>
      </c>
      <c r="C33">
        <v>6.58</v>
      </c>
      <c r="D33" s="83">
        <v>5.04</v>
      </c>
      <c r="E33" s="83">
        <v>107.5</v>
      </c>
      <c r="F33" s="83">
        <v>328.71</v>
      </c>
      <c r="G33" s="83">
        <v>73.78</v>
      </c>
      <c r="H33" s="83">
        <v>1.26</v>
      </c>
      <c r="I33" s="83">
        <v>378.66</v>
      </c>
      <c r="J33" s="146">
        <v>7.61</v>
      </c>
      <c r="K33">
        <v>907.04</v>
      </c>
      <c r="L33">
        <v>433.69</v>
      </c>
      <c r="M33">
        <v>13.44</v>
      </c>
      <c r="N33">
        <v>3028.99</v>
      </c>
      <c r="O33">
        <v>36.11</v>
      </c>
      <c r="P33">
        <v>13.36</v>
      </c>
      <c r="Q33">
        <v>546.09</v>
      </c>
      <c r="R33">
        <v>33.379999999999995</v>
      </c>
      <c r="S33">
        <v>509.42</v>
      </c>
      <c r="T33">
        <v>7.5</v>
      </c>
      <c r="U33">
        <v>34.33</v>
      </c>
      <c r="V33" s="26">
        <v>5.82</v>
      </c>
      <c r="W33" s="76"/>
    </row>
    <row r="34" spans="1:44" x14ac:dyDescent="0.25">
      <c r="D34" s="83"/>
      <c r="I34" s="83"/>
      <c r="J34" s="146"/>
      <c r="N34"/>
      <c r="P34"/>
      <c r="T34"/>
      <c r="W34" s="76"/>
    </row>
    <row r="35" spans="1:44" ht="14.4" thickBot="1" x14ac:dyDescent="0.3">
      <c r="C35" s="30" t="s">
        <v>257</v>
      </c>
      <c r="D35" s="83" t="s">
        <v>260</v>
      </c>
      <c r="E35" s="83" t="s">
        <v>262</v>
      </c>
      <c r="F35" s="83" t="s">
        <v>264</v>
      </c>
      <c r="G35" s="83" t="s">
        <v>265</v>
      </c>
      <c r="H35" s="84" t="s">
        <v>267</v>
      </c>
      <c r="I35" s="85" t="s">
        <v>270</v>
      </c>
      <c r="J35" s="145" t="s">
        <v>276</v>
      </c>
      <c r="K35" s="30" t="s">
        <v>277</v>
      </c>
      <c r="L35" t="s">
        <v>279</v>
      </c>
      <c r="M35" t="s">
        <v>281</v>
      </c>
      <c r="N35" t="s">
        <v>288</v>
      </c>
      <c r="O35" t="s">
        <v>290</v>
      </c>
      <c r="P35" s="29" t="s">
        <v>293</v>
      </c>
      <c r="Q35" t="s">
        <v>296</v>
      </c>
      <c r="R35" t="s">
        <v>297</v>
      </c>
      <c r="S35" t="s">
        <v>305</v>
      </c>
      <c r="T35" s="29" t="s">
        <v>311</v>
      </c>
      <c r="U35" t="s">
        <v>323</v>
      </c>
      <c r="V35" t="s">
        <v>325</v>
      </c>
      <c r="W35" s="76" t="s">
        <v>447</v>
      </c>
      <c r="AC35" t="s">
        <v>591</v>
      </c>
      <c r="AE35" t="s">
        <v>591</v>
      </c>
    </row>
    <row r="36" spans="1:44" x14ac:dyDescent="0.25">
      <c r="B36" s="74" t="s">
        <v>573</v>
      </c>
      <c r="C36">
        <f>AVERAGE(C38,C40)</f>
        <v>5.1704999999999997</v>
      </c>
      <c r="D36">
        <f>AVERAGE(D38,D40)</f>
        <v>4.5604999999999993</v>
      </c>
      <c r="E36">
        <f t="shared" ref="E36:V36" si="0">AVERAGE(E38,E40)</f>
        <v>78.010500000000008</v>
      </c>
      <c r="F36">
        <f>AVERAGE(F38,F40)</f>
        <v>233.31400000000002</v>
      </c>
      <c r="G36">
        <f t="shared" si="0"/>
        <v>46.079499999999996</v>
      </c>
      <c r="H36">
        <f t="shared" si="0"/>
        <v>0.85349999999999993</v>
      </c>
      <c r="I36">
        <f t="shared" si="0"/>
        <v>115.73150000000001</v>
      </c>
      <c r="J36" s="146">
        <f t="shared" si="0"/>
        <v>6.4034999999999993</v>
      </c>
      <c r="K36">
        <f>AVERAGE(K38,K40)</f>
        <v>555.12300000000005</v>
      </c>
      <c r="L36">
        <f>AVERAGE(L38,L40)</f>
        <v>240.01499999999999</v>
      </c>
      <c r="M36">
        <f t="shared" si="0"/>
        <v>68.610500000000016</v>
      </c>
      <c r="N36">
        <f t="shared" si="0"/>
        <v>2244.8924999999999</v>
      </c>
      <c r="O36">
        <f t="shared" si="0"/>
        <v>30.176500000000001</v>
      </c>
      <c r="P36">
        <f>AVERAGE(P38,P40)</f>
        <v>9.8390000000000004</v>
      </c>
      <c r="Q36">
        <f t="shared" si="0"/>
        <v>226.53500000000003</v>
      </c>
      <c r="R36">
        <f t="shared" si="0"/>
        <v>11.809999999999999</v>
      </c>
      <c r="S36">
        <f t="shared" si="0"/>
        <v>306.79149999999998</v>
      </c>
      <c r="T36">
        <f t="shared" si="0"/>
        <v>2.2969999999999997</v>
      </c>
      <c r="U36">
        <f t="shared" si="0"/>
        <v>18.308999999999997</v>
      </c>
      <c r="V36">
        <f t="shared" si="0"/>
        <v>1.9</v>
      </c>
      <c r="W36" s="80">
        <f>AVERAGE(C36:V36)</f>
        <v>210.32112499999999</v>
      </c>
      <c r="X36" s="30" t="s">
        <v>257</v>
      </c>
      <c r="Y36" s="83" t="s">
        <v>260</v>
      </c>
      <c r="Z36" s="83" t="s">
        <v>262</v>
      </c>
      <c r="AA36" s="83" t="s">
        <v>264</v>
      </c>
      <c r="AB36" s="83" t="s">
        <v>265</v>
      </c>
      <c r="AC36" s="84" t="s">
        <v>267</v>
      </c>
      <c r="AD36" s="85" t="s">
        <v>270</v>
      </c>
      <c r="AE36" s="86" t="s">
        <v>276</v>
      </c>
      <c r="AF36" s="30" t="s">
        <v>277</v>
      </c>
      <c r="AG36" t="s">
        <v>279</v>
      </c>
      <c r="AH36" t="s">
        <v>281</v>
      </c>
      <c r="AI36" t="s">
        <v>288</v>
      </c>
      <c r="AJ36" t="s">
        <v>290</v>
      </c>
      <c r="AK36" s="29" t="s">
        <v>293</v>
      </c>
      <c r="AL36" t="s">
        <v>296</v>
      </c>
      <c r="AM36" t="s">
        <v>297</v>
      </c>
      <c r="AN36" t="s">
        <v>305</v>
      </c>
      <c r="AO36" s="29" t="s">
        <v>311</v>
      </c>
      <c r="AP36" t="s">
        <v>323</v>
      </c>
      <c r="AQ36" t="s">
        <v>325</v>
      </c>
    </row>
    <row r="37" spans="1:44" x14ac:dyDescent="0.25">
      <c r="B37" s="74" t="s">
        <v>574</v>
      </c>
      <c r="C37">
        <f>_xlfn.STDEV.P(C38,C40)</f>
        <v>1.1755000000000007</v>
      </c>
      <c r="D37">
        <f t="shared" ref="D37:V37" si="1">_xlfn.STDEV.P(D38,D40)</f>
        <v>1.5845000000000005</v>
      </c>
      <c r="E37">
        <f t="shared" si="1"/>
        <v>3.8244999999999933</v>
      </c>
      <c r="F37">
        <f t="shared" si="1"/>
        <v>71.583999999999975</v>
      </c>
      <c r="G37">
        <f t="shared" si="1"/>
        <v>13.494500000000016</v>
      </c>
      <c r="H37">
        <f t="shared" si="1"/>
        <v>0.24850000000000014</v>
      </c>
      <c r="I37">
        <f t="shared" si="1"/>
        <v>62.856500000000004</v>
      </c>
      <c r="J37" s="146">
        <f t="shared" si="1"/>
        <v>0.23150000000000004</v>
      </c>
      <c r="K37">
        <f t="shared" si="1"/>
        <v>334.46700000000004</v>
      </c>
      <c r="L37">
        <f t="shared" si="1"/>
        <v>85.115000000000038</v>
      </c>
      <c r="M37">
        <f t="shared" si="1"/>
        <v>63.235500000000016</v>
      </c>
      <c r="N37">
        <f t="shared" si="1"/>
        <v>834.0525000000008</v>
      </c>
      <c r="O37">
        <f t="shared" si="1"/>
        <v>6.5815000000000072</v>
      </c>
      <c r="P37">
        <f t="shared" si="1"/>
        <v>2.2109999999999994</v>
      </c>
      <c r="Q37">
        <f t="shared" si="1"/>
        <v>123.79500000000003</v>
      </c>
      <c r="R37">
        <f t="shared" si="1"/>
        <v>0.78000000000000036</v>
      </c>
      <c r="S37">
        <f t="shared" si="1"/>
        <v>190.7835</v>
      </c>
      <c r="T37">
        <f t="shared" si="1"/>
        <v>0.47700000000000148</v>
      </c>
      <c r="U37">
        <f t="shared" si="1"/>
        <v>5.2610000000000028</v>
      </c>
      <c r="V37">
        <f t="shared" si="1"/>
        <v>0.18999999999999984</v>
      </c>
      <c r="W37" s="81">
        <f>_xlfn.STDEV.P(J37:V37)</f>
        <v>225.63541450667202</v>
      </c>
      <c r="X37">
        <f>SUM(X47,X59,X41,X53)</f>
        <v>2</v>
      </c>
      <c r="Y37">
        <f t="shared" ref="Y37:AQ37" si="2">SUM(Y47,Y59,Y41,Y53)</f>
        <v>1</v>
      </c>
      <c r="Z37">
        <f t="shared" si="2"/>
        <v>1</v>
      </c>
      <c r="AA37">
        <f t="shared" si="2"/>
        <v>2</v>
      </c>
      <c r="AB37">
        <f t="shared" si="2"/>
        <v>2</v>
      </c>
      <c r="AC37">
        <f t="shared" si="2"/>
        <v>4</v>
      </c>
      <c r="AD37" t="e">
        <f t="shared" si="2"/>
        <v>#DIV/0!</v>
      </c>
      <c r="AE37">
        <f t="shared" si="2"/>
        <v>3</v>
      </c>
      <c r="AF37">
        <f t="shared" si="2"/>
        <v>1</v>
      </c>
      <c r="AG37">
        <f t="shared" si="2"/>
        <v>2</v>
      </c>
      <c r="AH37">
        <f t="shared" si="2"/>
        <v>1</v>
      </c>
      <c r="AI37">
        <f t="shared" si="2"/>
        <v>0</v>
      </c>
      <c r="AJ37">
        <f t="shared" si="2"/>
        <v>1</v>
      </c>
      <c r="AK37">
        <f t="shared" si="2"/>
        <v>1</v>
      </c>
      <c r="AL37">
        <f t="shared" si="2"/>
        <v>2</v>
      </c>
      <c r="AM37">
        <f t="shared" si="2"/>
        <v>1</v>
      </c>
      <c r="AN37">
        <f t="shared" si="2"/>
        <v>1</v>
      </c>
      <c r="AO37">
        <f t="shared" si="2"/>
        <v>4</v>
      </c>
      <c r="AP37">
        <f t="shared" si="2"/>
        <v>1</v>
      </c>
      <c r="AQ37">
        <f t="shared" si="2"/>
        <v>0</v>
      </c>
    </row>
    <row r="38" spans="1:44" x14ac:dyDescent="0.25">
      <c r="A38" s="49">
        <f>SUM(M38:V38,C38:K38)</f>
        <v>4996.3450000000012</v>
      </c>
      <c r="B38" s="74" t="s">
        <v>586</v>
      </c>
      <c r="C38">
        <f>AVERAGE(C15,C14)</f>
        <v>3.9950000000000001</v>
      </c>
      <c r="D38">
        <f t="shared" ref="D38:V38" si="3">AVERAGE(D15,D14)</f>
        <v>6.1449999999999996</v>
      </c>
      <c r="E38">
        <f t="shared" si="3"/>
        <v>81.834999999999994</v>
      </c>
      <c r="F38">
        <f t="shared" si="3"/>
        <v>161.72999999999999</v>
      </c>
      <c r="G38">
        <f t="shared" si="3"/>
        <v>32.585000000000001</v>
      </c>
      <c r="H38">
        <f t="shared" si="3"/>
        <v>0.60499999999999998</v>
      </c>
      <c r="I38">
        <f t="shared" si="3"/>
        <v>52.875</v>
      </c>
      <c r="J38" s="146">
        <f t="shared" si="3"/>
        <v>6.6349999999999998</v>
      </c>
      <c r="K38">
        <f t="shared" si="3"/>
        <v>889.59</v>
      </c>
      <c r="L38">
        <f>AVERAGE(L15,L14)</f>
        <v>154.89999999999998</v>
      </c>
      <c r="M38">
        <f t="shared" si="3"/>
        <v>5.375</v>
      </c>
      <c r="N38">
        <f t="shared" si="3"/>
        <v>3078.9450000000002</v>
      </c>
      <c r="O38">
        <f t="shared" si="3"/>
        <v>23.594999999999999</v>
      </c>
      <c r="P38">
        <f>AVERAGE(P15,P14)</f>
        <v>12.05</v>
      </c>
      <c r="Q38">
        <f t="shared" si="3"/>
        <v>102.74</v>
      </c>
      <c r="R38">
        <f t="shared" si="3"/>
        <v>12.589999999999998</v>
      </c>
      <c r="S38">
        <f t="shared" si="3"/>
        <v>497.57499999999999</v>
      </c>
      <c r="T38">
        <f t="shared" si="3"/>
        <v>1.8199999999999998</v>
      </c>
      <c r="U38">
        <f t="shared" si="3"/>
        <v>23.57</v>
      </c>
      <c r="V38">
        <f t="shared" si="3"/>
        <v>2.09</v>
      </c>
      <c r="W38" s="81">
        <f>AVERAGE(C38:V38)</f>
        <v>257.56225000000001</v>
      </c>
    </row>
    <row r="39" spans="1:44" x14ac:dyDescent="0.25">
      <c r="A39" s="49"/>
      <c r="B39" s="74"/>
      <c r="C39" s="73">
        <f>AVERAGE(C38,C50)</f>
        <v>2.9525000000000001</v>
      </c>
      <c r="D39" s="73">
        <f t="shared" ref="D39:V39" si="4">AVERAGE(D38,D50)</f>
        <v>3.9224999999999999</v>
      </c>
      <c r="E39" s="73">
        <f t="shared" si="4"/>
        <v>56.0625</v>
      </c>
      <c r="F39" s="73">
        <f t="shared" si="4"/>
        <v>120.94499999999999</v>
      </c>
      <c r="G39" s="73">
        <f t="shared" si="4"/>
        <v>20.727499999999999</v>
      </c>
      <c r="H39" s="73">
        <f t="shared" si="4"/>
        <v>0.84250000000000003</v>
      </c>
      <c r="I39" s="73">
        <f t="shared" si="4"/>
        <v>26.4375</v>
      </c>
      <c r="J39" s="151">
        <f t="shared" si="4"/>
        <v>5.7925000000000004</v>
      </c>
      <c r="K39" s="73">
        <f t="shared" si="4"/>
        <v>445.21000000000004</v>
      </c>
      <c r="L39" s="73">
        <f t="shared" si="4"/>
        <v>198.89</v>
      </c>
      <c r="M39" s="73">
        <f t="shared" si="4"/>
        <v>8.8425000000000011</v>
      </c>
      <c r="N39" s="73">
        <f t="shared" si="4"/>
        <v>1618.0675000000001</v>
      </c>
      <c r="O39" s="73">
        <f t="shared" si="4"/>
        <v>20.077500000000001</v>
      </c>
      <c r="P39" s="73">
        <f t="shared" si="4"/>
        <v>8.82</v>
      </c>
      <c r="Q39" s="73">
        <f t="shared" si="4"/>
        <v>51.674999999999997</v>
      </c>
      <c r="R39" s="73">
        <f t="shared" si="4"/>
        <v>8.61</v>
      </c>
      <c r="S39" s="73">
        <f t="shared" si="4"/>
        <v>251.07249999999999</v>
      </c>
      <c r="T39" s="73">
        <f t="shared" si="4"/>
        <v>1.6649999999999998</v>
      </c>
      <c r="U39" s="73">
        <f t="shared" si="4"/>
        <v>19.015000000000001</v>
      </c>
      <c r="V39" s="73">
        <f t="shared" si="4"/>
        <v>3.08</v>
      </c>
      <c r="W39" s="81">
        <f>_xlfn.STDEV.P(C38:V38)</f>
        <v>680.62098835452298</v>
      </c>
      <c r="X39" s="73">
        <f>IF(C51&gt;C39,1)</f>
        <v>1</v>
      </c>
      <c r="Y39" s="73" t="b">
        <f t="shared" ref="Y39:AQ39" si="5">IF(D51&gt;D39,1)</f>
        <v>0</v>
      </c>
      <c r="Z39" s="73">
        <f t="shared" si="5"/>
        <v>1</v>
      </c>
      <c r="AA39" s="73">
        <f t="shared" si="5"/>
        <v>1</v>
      </c>
      <c r="AB39" s="73">
        <f t="shared" si="5"/>
        <v>1</v>
      </c>
      <c r="AC39" s="73">
        <f t="shared" si="5"/>
        <v>1</v>
      </c>
      <c r="AD39" s="73">
        <f t="shared" si="5"/>
        <v>1</v>
      </c>
      <c r="AE39" s="73">
        <f t="shared" si="5"/>
        <v>1</v>
      </c>
      <c r="AF39" s="73" t="b">
        <f t="shared" si="5"/>
        <v>0</v>
      </c>
      <c r="AG39" s="73">
        <f t="shared" si="5"/>
        <v>1</v>
      </c>
      <c r="AH39" s="73">
        <f t="shared" si="5"/>
        <v>1</v>
      </c>
      <c r="AI39" s="73" t="b">
        <f t="shared" si="5"/>
        <v>0</v>
      </c>
      <c r="AJ39" s="73">
        <f t="shared" si="5"/>
        <v>1</v>
      </c>
      <c r="AK39" s="73">
        <f t="shared" si="5"/>
        <v>1</v>
      </c>
      <c r="AL39" s="73">
        <f t="shared" si="5"/>
        <v>1</v>
      </c>
      <c r="AM39" s="73" t="b">
        <f t="shared" si="5"/>
        <v>0</v>
      </c>
      <c r="AN39" s="73" t="b">
        <f t="shared" si="5"/>
        <v>0</v>
      </c>
      <c r="AO39" s="73">
        <f t="shared" si="5"/>
        <v>1</v>
      </c>
      <c r="AP39" s="73" t="b">
        <f t="shared" si="5"/>
        <v>0</v>
      </c>
      <c r="AQ39" s="73" t="b">
        <f t="shared" si="5"/>
        <v>0</v>
      </c>
      <c r="AR39" s="73">
        <f>SUM(X39:AQ39)</f>
        <v>13</v>
      </c>
    </row>
    <row r="40" spans="1:44" x14ac:dyDescent="0.25">
      <c r="A40" s="49">
        <f>SUM(C40:K40,M40:V40)</f>
        <v>2936.47</v>
      </c>
      <c r="B40" s="74" t="s">
        <v>583</v>
      </c>
      <c r="C40">
        <f>AVERAGE(C27:C28,C31:C33)</f>
        <v>6.3459999999999992</v>
      </c>
      <c r="D40">
        <f t="shared" ref="D40:V40" si="6">AVERAGE(D27:D28,D31:D33)</f>
        <v>2.976</v>
      </c>
      <c r="E40">
        <f t="shared" si="6"/>
        <v>74.186000000000007</v>
      </c>
      <c r="F40">
        <f t="shared" si="6"/>
        <v>304.89800000000002</v>
      </c>
      <c r="G40">
        <f t="shared" si="6"/>
        <v>59.573999999999998</v>
      </c>
      <c r="H40">
        <f t="shared" si="6"/>
        <v>1.1019999999999999</v>
      </c>
      <c r="I40">
        <f t="shared" si="6"/>
        <v>178.58800000000002</v>
      </c>
      <c r="J40" s="146">
        <f t="shared" si="6"/>
        <v>6.1719999999999997</v>
      </c>
      <c r="K40">
        <f t="shared" si="6"/>
        <v>220.65600000000001</v>
      </c>
      <c r="L40">
        <f>AVERAGE(L27:L28,L31:L33)</f>
        <v>325.13</v>
      </c>
      <c r="M40">
        <f t="shared" si="6"/>
        <v>131.84600000000003</v>
      </c>
      <c r="N40">
        <f t="shared" si="6"/>
        <v>1410.84</v>
      </c>
      <c r="O40">
        <f t="shared" si="6"/>
        <v>36.758000000000003</v>
      </c>
      <c r="P40">
        <f>AVERAGE(P27:P28,P31:P33)</f>
        <v>7.6280000000000001</v>
      </c>
      <c r="Q40">
        <f t="shared" si="6"/>
        <v>350.33000000000004</v>
      </c>
      <c r="R40">
        <f t="shared" si="6"/>
        <v>11.029999999999998</v>
      </c>
      <c r="S40">
        <f t="shared" si="6"/>
        <v>116.008</v>
      </c>
      <c r="T40">
        <f t="shared" si="6"/>
        <v>2.774</v>
      </c>
      <c r="U40">
        <f t="shared" si="6"/>
        <v>13.047999999999998</v>
      </c>
      <c r="V40">
        <f t="shared" si="6"/>
        <v>1.7100000000000002</v>
      </c>
      <c r="W40" s="81">
        <f>AVERAGE(C40:V40)</f>
        <v>163.07999999999998</v>
      </c>
      <c r="X40">
        <v>1</v>
      </c>
      <c r="Y40">
        <v>2</v>
      </c>
      <c r="Z40">
        <v>3</v>
      </c>
      <c r="AA40">
        <v>4</v>
      </c>
      <c r="AB40">
        <v>5</v>
      </c>
      <c r="AC40">
        <v>6</v>
      </c>
      <c r="AD40">
        <v>7</v>
      </c>
      <c r="AE40">
        <v>8</v>
      </c>
      <c r="AF40">
        <v>9</v>
      </c>
      <c r="AG40">
        <v>10</v>
      </c>
      <c r="AH40">
        <v>11</v>
      </c>
      <c r="AI40">
        <v>12</v>
      </c>
      <c r="AJ40">
        <v>13</v>
      </c>
      <c r="AK40">
        <v>14</v>
      </c>
      <c r="AL40">
        <v>15</v>
      </c>
      <c r="AM40">
        <v>16</v>
      </c>
      <c r="AN40">
        <v>17</v>
      </c>
      <c r="AO40">
        <v>18</v>
      </c>
      <c r="AP40">
        <v>19</v>
      </c>
      <c r="AQ40">
        <v>20</v>
      </c>
    </row>
    <row r="41" spans="1:44" x14ac:dyDescent="0.25">
      <c r="A41" s="72">
        <f>SUM(A38:A40)</f>
        <v>7932.8150000000005</v>
      </c>
      <c r="B41" s="74"/>
      <c r="C41">
        <f>C40/C38</f>
        <v>1.5884856070087607</v>
      </c>
      <c r="D41">
        <f t="shared" ref="D41:V41" si="7">D40/D38</f>
        <v>0.48429617575264444</v>
      </c>
      <c r="E41">
        <f t="shared" si="7"/>
        <v>0.9065314352049858</v>
      </c>
      <c r="F41">
        <f t="shared" si="7"/>
        <v>1.8852284671984174</v>
      </c>
      <c r="G41">
        <f t="shared" si="7"/>
        <v>1.8282645388982659</v>
      </c>
      <c r="H41">
        <f t="shared" si="7"/>
        <v>1.821487603305785</v>
      </c>
      <c r="I41">
        <f t="shared" si="7"/>
        <v>3.3775508274231685</v>
      </c>
      <c r="J41" s="146">
        <f t="shared" si="7"/>
        <v>0.93021853805576482</v>
      </c>
      <c r="K41">
        <f t="shared" si="7"/>
        <v>0.24804235659123866</v>
      </c>
      <c r="L41">
        <f t="shared" si="7"/>
        <v>2.098967075532602</v>
      </c>
      <c r="M41">
        <f t="shared" si="7"/>
        <v>24.529488372093031</v>
      </c>
      <c r="N41">
        <f t="shared" si="7"/>
        <v>0.45822189093991605</v>
      </c>
      <c r="O41">
        <f t="shared" si="7"/>
        <v>1.5578724305997036</v>
      </c>
      <c r="P41">
        <f t="shared" si="7"/>
        <v>0.63302904564315354</v>
      </c>
      <c r="Q41">
        <f t="shared" si="7"/>
        <v>3.4098695736811373</v>
      </c>
      <c r="R41">
        <f t="shared" si="7"/>
        <v>0.87609213661636209</v>
      </c>
      <c r="S41">
        <f t="shared" si="7"/>
        <v>0.23314676179470431</v>
      </c>
      <c r="T41">
        <f t="shared" si="7"/>
        <v>1.5241758241758243</v>
      </c>
      <c r="U41">
        <f t="shared" si="7"/>
        <v>0.55358506576156119</v>
      </c>
      <c r="V41">
        <f t="shared" si="7"/>
        <v>0.81818181818181834</v>
      </c>
      <c r="W41" s="81">
        <f>_xlfn.STDEV.P(C40:V40)</f>
        <v>308.40299036682501</v>
      </c>
      <c r="X41" s="44">
        <f>IF(C41&gt;1,1)</f>
        <v>1</v>
      </c>
      <c r="Y41" s="44" t="b">
        <f t="shared" ref="Y41:AN41" si="8">IF(D41&gt;1,1)</f>
        <v>0</v>
      </c>
      <c r="Z41" s="44" t="b">
        <f t="shared" si="8"/>
        <v>0</v>
      </c>
      <c r="AA41" s="44">
        <f t="shared" si="8"/>
        <v>1</v>
      </c>
      <c r="AB41" s="44">
        <f t="shared" si="8"/>
        <v>1</v>
      </c>
      <c r="AC41" s="44">
        <f t="shared" si="8"/>
        <v>1</v>
      </c>
      <c r="AD41" s="44">
        <f t="shared" si="8"/>
        <v>1</v>
      </c>
      <c r="AE41" s="44" t="b">
        <f t="shared" si="8"/>
        <v>0</v>
      </c>
      <c r="AF41" s="44" t="b">
        <f t="shared" si="8"/>
        <v>0</v>
      </c>
      <c r="AG41" s="44">
        <f t="shared" si="8"/>
        <v>1</v>
      </c>
      <c r="AH41" s="44">
        <f t="shared" si="8"/>
        <v>1</v>
      </c>
      <c r="AI41" s="44" t="b">
        <f t="shared" si="8"/>
        <v>0</v>
      </c>
      <c r="AJ41" s="44">
        <f t="shared" si="8"/>
        <v>1</v>
      </c>
      <c r="AK41" s="44" t="b">
        <f t="shared" si="8"/>
        <v>0</v>
      </c>
      <c r="AL41" s="44">
        <f t="shared" si="8"/>
        <v>1</v>
      </c>
      <c r="AM41" s="44" t="b">
        <f t="shared" si="8"/>
        <v>0</v>
      </c>
      <c r="AN41" s="44" t="b">
        <f t="shared" si="8"/>
        <v>0</v>
      </c>
      <c r="AO41" s="44">
        <f>IF(T41&gt;1,1)</f>
        <v>1</v>
      </c>
      <c r="AP41" s="44" t="b">
        <f t="shared" ref="AP41" si="9">IF(U41&gt;1,1)</f>
        <v>0</v>
      </c>
      <c r="AQ41" s="44" t="b">
        <f>IF(V41&gt;1,1)</f>
        <v>0</v>
      </c>
      <c r="AR41" s="44">
        <f>SUM(X41:AQ41)</f>
        <v>10</v>
      </c>
    </row>
    <row r="42" spans="1:44" x14ac:dyDescent="0.25">
      <c r="A42" s="49"/>
      <c r="B42" s="74" t="s">
        <v>582</v>
      </c>
      <c r="C42">
        <f>AVERAGE(C44,C46)</f>
        <v>0.68166666666666664</v>
      </c>
      <c r="D42">
        <f t="shared" ref="D42:V42" si="10">AVERAGE(D44,D46)</f>
        <v>2.2754166666666666</v>
      </c>
      <c r="E42">
        <f t="shared" si="10"/>
        <v>110.39874999999999</v>
      </c>
      <c r="F42">
        <f t="shared" si="10"/>
        <v>53.732500000000002</v>
      </c>
      <c r="G42">
        <f t="shared" si="10"/>
        <v>9.550416666666667</v>
      </c>
      <c r="H42">
        <f t="shared" si="10"/>
        <v>2.0604166666666668</v>
      </c>
      <c r="I42">
        <f t="shared" si="10"/>
        <v>7.5812500000000007</v>
      </c>
      <c r="J42" s="146">
        <f t="shared" si="10"/>
        <v>1.9912499999999997</v>
      </c>
      <c r="K42">
        <f t="shared" si="10"/>
        <v>3.4145833333333337</v>
      </c>
      <c r="L42">
        <f t="shared" si="10"/>
        <v>50783.247916666667</v>
      </c>
      <c r="M42">
        <f t="shared" si="10"/>
        <v>10.426666666666666</v>
      </c>
      <c r="N42">
        <f t="shared" si="10"/>
        <v>30.735416666666666</v>
      </c>
      <c r="O42">
        <f t="shared" si="10"/>
        <v>3.8529166666666668</v>
      </c>
      <c r="P42">
        <f t="shared" si="10"/>
        <v>17.13625</v>
      </c>
      <c r="Q42">
        <f t="shared" si="10"/>
        <v>8.7533333333333321</v>
      </c>
      <c r="R42">
        <f t="shared" si="10"/>
        <v>7.330000000000001</v>
      </c>
      <c r="S42">
        <f t="shared" si="10"/>
        <v>1.8312499999999998</v>
      </c>
      <c r="T42">
        <f t="shared" si="10"/>
        <v>2.1870833333333337</v>
      </c>
      <c r="U42">
        <f t="shared" si="10"/>
        <v>22.561250000000001</v>
      </c>
      <c r="V42">
        <f t="shared" si="10"/>
        <v>1.98875</v>
      </c>
      <c r="W42" s="81">
        <f>AVERAGE(M42:V43,C42:H42)</f>
        <v>12.913205128205128</v>
      </c>
    </row>
    <row r="43" spans="1:44" x14ac:dyDescent="0.25">
      <c r="A43" s="49"/>
      <c r="B43" s="74" t="s">
        <v>574</v>
      </c>
      <c r="C43">
        <f>_xlfn.STDEV.P(C44,C46)</f>
        <v>0.50833333333333341</v>
      </c>
      <c r="D43">
        <f t="shared" ref="D43:V43" si="11">_xlfn.STDEV.P(D44,D46)</f>
        <v>0.34208333333333196</v>
      </c>
      <c r="E43">
        <f t="shared" si="11"/>
        <v>54.238749999999982</v>
      </c>
      <c r="F43">
        <f t="shared" si="11"/>
        <v>28.47750000000001</v>
      </c>
      <c r="G43">
        <f t="shared" si="11"/>
        <v>5.7670833333333329</v>
      </c>
      <c r="H43">
        <f t="shared" si="11"/>
        <v>0.82291666666666663</v>
      </c>
      <c r="I43">
        <f t="shared" si="11"/>
        <v>4.0462500000000015</v>
      </c>
      <c r="J43" s="146">
        <f t="shared" si="11"/>
        <v>0.31375000000000036</v>
      </c>
      <c r="K43">
        <f t="shared" si="11"/>
        <v>1.2679166666666661</v>
      </c>
      <c r="L43">
        <f t="shared" si="11"/>
        <v>18946.984583333324</v>
      </c>
      <c r="M43">
        <f t="shared" si="11"/>
        <v>6.7783333333333315</v>
      </c>
      <c r="N43">
        <f t="shared" si="11"/>
        <v>13.467083333333337</v>
      </c>
      <c r="O43">
        <f t="shared" si="11"/>
        <v>2.0545833333333334</v>
      </c>
      <c r="P43">
        <f t="shared" si="11"/>
        <v>11.531250000000002</v>
      </c>
      <c r="Q43">
        <f t="shared" si="11"/>
        <v>4.6816666666666675</v>
      </c>
      <c r="R43">
        <f t="shared" si="11"/>
        <v>3.7699999999999996</v>
      </c>
      <c r="S43">
        <f t="shared" si="11"/>
        <v>0.32874999999999999</v>
      </c>
      <c r="T43">
        <f t="shared" si="11"/>
        <v>0.95458333333333301</v>
      </c>
      <c r="U43">
        <f t="shared" si="11"/>
        <v>6.3162499999999975</v>
      </c>
      <c r="V43">
        <f t="shared" si="11"/>
        <v>0.35874999999999857</v>
      </c>
      <c r="W43" s="81">
        <f>_xlfn.STDEV.P(M42:V42,C42:K42)</f>
        <v>25.724594563186571</v>
      </c>
    </row>
    <row r="44" spans="1:44" x14ac:dyDescent="0.25">
      <c r="A44" s="49">
        <f>SUM(M44:V44,C44:K44)</f>
        <v>439.67500000000007</v>
      </c>
      <c r="B44" s="74" t="s">
        <v>584</v>
      </c>
      <c r="C44">
        <f>AVERAGE(C7:C10)</f>
        <v>1.19</v>
      </c>
      <c r="D44">
        <f t="shared" ref="D44:V44" si="12">AVERAGE(D7:D10)</f>
        <v>2.6174999999999997</v>
      </c>
      <c r="E44">
        <f t="shared" si="12"/>
        <v>164.63749999999999</v>
      </c>
      <c r="F44">
        <f t="shared" si="12"/>
        <v>82.210000000000008</v>
      </c>
      <c r="G44">
        <f t="shared" si="12"/>
        <v>15.317500000000001</v>
      </c>
      <c r="H44">
        <f t="shared" si="12"/>
        <v>1.2374999999999998</v>
      </c>
      <c r="I44">
        <f t="shared" si="12"/>
        <v>11.627500000000001</v>
      </c>
      <c r="J44" s="146">
        <f t="shared" si="12"/>
        <v>1.6774999999999998</v>
      </c>
      <c r="K44">
        <f t="shared" si="12"/>
        <v>4.6825000000000001</v>
      </c>
      <c r="L44">
        <f t="shared" si="12"/>
        <v>69730.232499999998</v>
      </c>
      <c r="M44">
        <f t="shared" si="12"/>
        <v>17.204999999999998</v>
      </c>
      <c r="N44">
        <f t="shared" si="12"/>
        <v>44.202500000000001</v>
      </c>
      <c r="O44">
        <f t="shared" si="12"/>
        <v>5.9075000000000006</v>
      </c>
      <c r="P44">
        <f t="shared" si="12"/>
        <v>28.667500000000004</v>
      </c>
      <c r="Q44">
        <f t="shared" si="12"/>
        <v>13.434999999999999</v>
      </c>
      <c r="R44">
        <f t="shared" si="12"/>
        <v>11.100000000000001</v>
      </c>
      <c r="S44">
        <f t="shared" si="12"/>
        <v>1.5024999999999999</v>
      </c>
      <c r="T44">
        <f t="shared" si="12"/>
        <v>1.2324999999999999</v>
      </c>
      <c r="U44">
        <f t="shared" si="12"/>
        <v>28.877500000000001</v>
      </c>
      <c r="V44">
        <f t="shared" si="12"/>
        <v>2.3474999999999997</v>
      </c>
      <c r="W44" s="81">
        <f>AVERAGE(M44:V44,C44:K44)</f>
        <v>23.140789473684215</v>
      </c>
    </row>
    <row r="45" spans="1:44" x14ac:dyDescent="0.25">
      <c r="A45" s="49"/>
      <c r="B45" s="74"/>
      <c r="C45" s="41">
        <f>AVERAGE(C44,C53)</f>
        <v>3.9222251308900526</v>
      </c>
      <c r="D45" s="41">
        <f t="shared" ref="D45:V45" si="13">AVERAGE(D44,D53)</f>
        <v>1.7783578431372549</v>
      </c>
      <c r="E45" s="41">
        <f t="shared" si="13"/>
        <v>83.342355150214587</v>
      </c>
      <c r="F45" s="41">
        <f t="shared" si="13"/>
        <v>41.792957418496343</v>
      </c>
      <c r="G45" s="41">
        <f t="shared" si="13"/>
        <v>8.5469499248402858</v>
      </c>
      <c r="H45" s="41">
        <f t="shared" si="13"/>
        <v>1.2283179012345677</v>
      </c>
      <c r="I45" s="41" t="e">
        <f>AVERAGE(I44,I53)</f>
        <v>#DIV/0!</v>
      </c>
      <c r="J45" s="152">
        <f t="shared" si="13"/>
        <v>1.8131607744107743</v>
      </c>
      <c r="K45" s="41">
        <f t="shared" si="13"/>
        <v>2.9697640562248995</v>
      </c>
      <c r="L45" s="41">
        <f t="shared" si="13"/>
        <v>34867.026219257794</v>
      </c>
      <c r="M45" s="41">
        <f t="shared" si="13"/>
        <v>8.7317986731654464</v>
      </c>
      <c r="N45" s="41">
        <f t="shared" si="13"/>
        <v>22.252489476641856</v>
      </c>
      <c r="O45" s="41">
        <f t="shared" si="13"/>
        <v>3.249744363929147</v>
      </c>
      <c r="P45" s="41">
        <f t="shared" si="13"/>
        <v>15.558258050089448</v>
      </c>
      <c r="Q45" s="41">
        <f t="shared" si="13"/>
        <v>26.100013661202183</v>
      </c>
      <c r="R45" s="41">
        <f t="shared" si="13"/>
        <v>6.1889488840892737</v>
      </c>
      <c r="S45" s="41">
        <f t="shared" si="13"/>
        <v>1.0338904084609775</v>
      </c>
      <c r="T45" s="41">
        <f t="shared" si="13"/>
        <v>1.2012389624724062</v>
      </c>
      <c r="U45" s="41">
        <f t="shared" si="13"/>
        <v>14.662124827109267</v>
      </c>
      <c r="V45" s="41">
        <f t="shared" si="13"/>
        <v>1.2560595823095821</v>
      </c>
      <c r="W45" s="81">
        <f>_xlfn.STDEV.P(M44:V44,C44:K44)</f>
        <v>38.626028022877257</v>
      </c>
      <c r="X45" s="41" t="b">
        <f>IF(C57&gt;C45,1)</f>
        <v>0</v>
      </c>
      <c r="Y45" s="41" t="b">
        <f t="shared" ref="Y45:AQ45" si="14">IF(D57&gt;D45,1)</f>
        <v>0</v>
      </c>
      <c r="Z45" s="41" t="b">
        <f t="shared" si="14"/>
        <v>0</v>
      </c>
      <c r="AA45" s="41" t="b">
        <f t="shared" si="14"/>
        <v>0</v>
      </c>
      <c r="AB45" s="41" t="b">
        <f t="shared" si="14"/>
        <v>0</v>
      </c>
      <c r="AC45" s="41">
        <f t="shared" si="14"/>
        <v>1</v>
      </c>
      <c r="AD45" s="41" t="e">
        <f t="shared" si="14"/>
        <v>#DIV/0!</v>
      </c>
      <c r="AE45" s="41" t="b">
        <f t="shared" si="14"/>
        <v>0</v>
      </c>
      <c r="AF45" s="41" t="b">
        <f t="shared" si="14"/>
        <v>0</v>
      </c>
      <c r="AG45" s="41" t="b">
        <f t="shared" si="14"/>
        <v>0</v>
      </c>
      <c r="AH45" s="41" t="b">
        <f t="shared" si="14"/>
        <v>0</v>
      </c>
      <c r="AI45" s="41" t="b">
        <f t="shared" si="14"/>
        <v>0</v>
      </c>
      <c r="AJ45" s="41">
        <f t="shared" si="14"/>
        <v>1</v>
      </c>
      <c r="AK45" s="41" t="b">
        <f t="shared" si="14"/>
        <v>0</v>
      </c>
      <c r="AL45" s="41" t="b">
        <f t="shared" si="14"/>
        <v>0</v>
      </c>
      <c r="AM45" s="41" t="b">
        <f t="shared" si="14"/>
        <v>0</v>
      </c>
      <c r="AN45" s="41">
        <f t="shared" si="14"/>
        <v>1</v>
      </c>
      <c r="AO45" s="41">
        <f t="shared" si="14"/>
        <v>1</v>
      </c>
      <c r="AP45" s="41" t="b">
        <f t="shared" si="14"/>
        <v>0</v>
      </c>
      <c r="AQ45" s="41" t="b">
        <f t="shared" si="14"/>
        <v>0</v>
      </c>
      <c r="AR45" s="41" t="e">
        <f>SUM(X45:AQ45)</f>
        <v>#DIV/0!</v>
      </c>
    </row>
    <row r="46" spans="1:44" x14ac:dyDescent="0.25">
      <c r="A46" s="49">
        <f>SUM(C46:K46,M46:V46)</f>
        <v>157.30333333333334</v>
      </c>
      <c r="B46" s="74" t="s">
        <v>585</v>
      </c>
      <c r="C46">
        <f>AVERAGE(C19:C24)</f>
        <v>0.17333333333333334</v>
      </c>
      <c r="D46">
        <f t="shared" ref="D46:V46" si="15">AVERAGE(D19:D24)</f>
        <v>1.9333333333333336</v>
      </c>
      <c r="E46">
        <f t="shared" si="15"/>
        <v>56.16</v>
      </c>
      <c r="F46">
        <f t="shared" si="15"/>
        <v>25.254999999999999</v>
      </c>
      <c r="G46">
        <f t="shared" si="15"/>
        <v>3.7833333333333332</v>
      </c>
      <c r="H46">
        <f t="shared" si="15"/>
        <v>2.8833333333333333</v>
      </c>
      <c r="I46">
        <f t="shared" si="15"/>
        <v>3.5349999999999997</v>
      </c>
      <c r="J46" s="146">
        <f t="shared" si="15"/>
        <v>2.3049999999999997</v>
      </c>
      <c r="K46">
        <f t="shared" si="15"/>
        <v>2.1466666666666669</v>
      </c>
      <c r="L46">
        <f t="shared" si="15"/>
        <v>31836.263333333336</v>
      </c>
      <c r="M46">
        <f t="shared" si="15"/>
        <v>3.6483333333333334</v>
      </c>
      <c r="N46">
        <f t="shared" si="15"/>
        <v>17.268333333333334</v>
      </c>
      <c r="O46">
        <f t="shared" si="15"/>
        <v>1.7983333333333331</v>
      </c>
      <c r="P46">
        <f t="shared" si="15"/>
        <v>5.6049999999999995</v>
      </c>
      <c r="Q46">
        <f t="shared" si="15"/>
        <v>4.0716666666666663</v>
      </c>
      <c r="R46">
        <f t="shared" si="15"/>
        <v>3.56</v>
      </c>
      <c r="S46">
        <f t="shared" si="15"/>
        <v>2.1599999999999997</v>
      </c>
      <c r="T46">
        <f t="shared" si="15"/>
        <v>3.1416666666666671</v>
      </c>
      <c r="U46">
        <f t="shared" si="15"/>
        <v>16.245000000000001</v>
      </c>
      <c r="V46">
        <f t="shared" si="15"/>
        <v>1.6300000000000001</v>
      </c>
      <c r="W46" s="81">
        <f>AVERAGE(M46:V46,C46:K46)</f>
        <v>8.2791228070175436</v>
      </c>
    </row>
    <row r="47" spans="1:44" x14ac:dyDescent="0.25">
      <c r="A47" s="72">
        <f>SUM(A44:A46)</f>
        <v>596.97833333333347</v>
      </c>
      <c r="B47" s="74"/>
      <c r="C47">
        <f>C46/C44</f>
        <v>0.14565826330532214</v>
      </c>
      <c r="D47">
        <f t="shared" ref="D47:V47" si="16">D46/D44</f>
        <v>0.73861827443489347</v>
      </c>
      <c r="E47">
        <f t="shared" si="16"/>
        <v>0.34111305140080478</v>
      </c>
      <c r="F47">
        <f t="shared" si="16"/>
        <v>0.3072010704293881</v>
      </c>
      <c r="G47">
        <f t="shared" si="16"/>
        <v>0.24699417877155758</v>
      </c>
      <c r="H47">
        <f t="shared" si="16"/>
        <v>2.3299663299663305</v>
      </c>
      <c r="I47">
        <f t="shared" si="16"/>
        <v>0.30402064072242524</v>
      </c>
      <c r="J47" s="146">
        <f t="shared" si="16"/>
        <v>1.3740685543964233</v>
      </c>
      <c r="K47">
        <f t="shared" si="16"/>
        <v>0.45844456308951775</v>
      </c>
      <c r="L47">
        <f t="shared" si="16"/>
        <v>0.45656327523837437</v>
      </c>
      <c r="M47">
        <f t="shared" si="16"/>
        <v>0.21205076043785723</v>
      </c>
      <c r="N47">
        <f t="shared" si="16"/>
        <v>0.39066417811963883</v>
      </c>
      <c r="O47">
        <f t="shared" si="16"/>
        <v>0.30441529129637457</v>
      </c>
      <c r="P47">
        <f t="shared" si="16"/>
        <v>0.19551757216359986</v>
      </c>
      <c r="Q47">
        <f t="shared" si="16"/>
        <v>0.30306413596327997</v>
      </c>
      <c r="R47">
        <f t="shared" si="16"/>
        <v>0.32072072072072066</v>
      </c>
      <c r="S47">
        <f t="shared" si="16"/>
        <v>1.4376039933444258</v>
      </c>
      <c r="T47">
        <f t="shared" si="16"/>
        <v>2.5490196078431375</v>
      </c>
      <c r="U47">
        <f t="shared" si="16"/>
        <v>0.56254869708250366</v>
      </c>
      <c r="V47">
        <f t="shared" si="16"/>
        <v>0.6943556975505859</v>
      </c>
      <c r="W47" s="81">
        <f>_xlfn.STDEV.P(M46:V46,C46:K46)</f>
        <v>12.96704293379592</v>
      </c>
      <c r="X47" s="44" t="b">
        <f>IF(C47&gt;1,1)</f>
        <v>0</v>
      </c>
      <c r="Y47" s="44" t="b">
        <f t="shared" ref="Y47:AQ47" si="17">IF(D47&gt;1,1)</f>
        <v>0</v>
      </c>
      <c r="Z47" s="44" t="b">
        <f t="shared" si="17"/>
        <v>0</v>
      </c>
      <c r="AA47" s="44" t="b">
        <f t="shared" si="17"/>
        <v>0</v>
      </c>
      <c r="AB47" s="44" t="b">
        <f t="shared" si="17"/>
        <v>0</v>
      </c>
      <c r="AC47" s="44">
        <f t="shared" si="17"/>
        <v>1</v>
      </c>
      <c r="AD47" s="44" t="b">
        <f t="shared" si="17"/>
        <v>0</v>
      </c>
      <c r="AE47" s="44">
        <f t="shared" si="17"/>
        <v>1</v>
      </c>
      <c r="AF47" s="44" t="b">
        <f t="shared" si="17"/>
        <v>0</v>
      </c>
      <c r="AG47" s="44" t="b">
        <f t="shared" si="17"/>
        <v>0</v>
      </c>
      <c r="AH47" s="44" t="b">
        <f t="shared" si="17"/>
        <v>0</v>
      </c>
      <c r="AI47" s="44" t="b">
        <f t="shared" si="17"/>
        <v>0</v>
      </c>
      <c r="AJ47" s="44" t="b">
        <f t="shared" si="17"/>
        <v>0</v>
      </c>
      <c r="AK47" s="44" t="b">
        <f t="shared" si="17"/>
        <v>0</v>
      </c>
      <c r="AL47" s="44" t="b">
        <f t="shared" si="17"/>
        <v>0</v>
      </c>
      <c r="AM47" s="44" t="b">
        <f t="shared" si="17"/>
        <v>0</v>
      </c>
      <c r="AN47" s="44">
        <f t="shared" si="17"/>
        <v>1</v>
      </c>
      <c r="AO47" s="44">
        <f t="shared" si="17"/>
        <v>1</v>
      </c>
      <c r="AP47" s="44" t="b">
        <f t="shared" si="17"/>
        <v>0</v>
      </c>
      <c r="AQ47" s="44" t="b">
        <f t="shared" si="17"/>
        <v>0</v>
      </c>
      <c r="AR47" s="44">
        <f>SUM(X47:AQ47)</f>
        <v>4</v>
      </c>
    </row>
    <row r="48" spans="1:44" x14ac:dyDescent="0.25">
      <c r="A48" s="49"/>
      <c r="B48" s="74" t="s">
        <v>576</v>
      </c>
      <c r="C48">
        <f>AVERAGE(C50,C52)</f>
        <v>7.3100000000000005</v>
      </c>
      <c r="D48">
        <f t="shared" ref="D48:V48" si="18">AVERAGE(D50,D52)</f>
        <v>1.6483333333333334</v>
      </c>
      <c r="E48">
        <f t="shared" si="18"/>
        <v>46.149999999999991</v>
      </c>
      <c r="F48">
        <f t="shared" si="18"/>
        <v>95.226666666666659</v>
      </c>
      <c r="G48">
        <f t="shared" si="18"/>
        <v>12.313333333333333</v>
      </c>
      <c r="H48">
        <f t="shared" si="18"/>
        <v>1.1983333333333333</v>
      </c>
      <c r="I48">
        <f t="shared" si="18"/>
        <v>6.8383333333333338</v>
      </c>
      <c r="J48" s="146">
        <f t="shared" si="18"/>
        <v>7.2983333333333338</v>
      </c>
      <c r="K48">
        <f>AVERAGE(K50,K52)</f>
        <v>0.93666666666666665</v>
      </c>
      <c r="L48">
        <f>AVERAGE(L50,L52)</f>
        <v>585.33333333333337</v>
      </c>
      <c r="M48">
        <f t="shared" si="18"/>
        <v>7.746666666666667</v>
      </c>
      <c r="N48">
        <f t="shared" si="18"/>
        <v>102.36833333333333</v>
      </c>
      <c r="O48">
        <f t="shared" si="18"/>
        <v>13.181666666666667</v>
      </c>
      <c r="P48">
        <f>AVERAGE(P50,P52)</f>
        <v>9.64</v>
      </c>
      <c r="Q48">
        <f t="shared" si="18"/>
        <v>12.128333333333332</v>
      </c>
      <c r="R48">
        <f t="shared" si="18"/>
        <v>5.2733333333333334</v>
      </c>
      <c r="S48">
        <f t="shared" si="18"/>
        <v>3.5766666666666671</v>
      </c>
      <c r="T48">
        <f t="shared" si="18"/>
        <v>1.6383333333333332</v>
      </c>
      <c r="U48">
        <f t="shared" si="18"/>
        <v>10.46</v>
      </c>
      <c r="V48">
        <f t="shared" si="18"/>
        <v>2.37</v>
      </c>
      <c r="W48" s="81">
        <f>AVERAGE(C48:V48)</f>
        <v>46.631833333333333</v>
      </c>
    </row>
    <row r="49" spans="1:44" x14ac:dyDescent="0.25">
      <c r="A49" s="49"/>
      <c r="B49" s="74" t="s">
        <v>574</v>
      </c>
      <c r="C49">
        <f>_xlfn.STDEV.P(C50,C52)</f>
        <v>5.3999999999999995</v>
      </c>
      <c r="D49">
        <f t="shared" ref="D49:V49" si="19">_xlfn.STDEV.P(D50,D52)</f>
        <v>5.1666666666666639E-2</v>
      </c>
      <c r="E49">
        <f t="shared" si="19"/>
        <v>15.860000000000001</v>
      </c>
      <c r="F49">
        <f t="shared" si="19"/>
        <v>15.066666666666737</v>
      </c>
      <c r="G49">
        <f t="shared" si="19"/>
        <v>3.4433333333333365</v>
      </c>
      <c r="H49">
        <f t="shared" si="19"/>
        <v>0.11833333333333329</v>
      </c>
      <c r="I49">
        <f t="shared" si="19"/>
        <v>6.8383333333333338</v>
      </c>
      <c r="J49" s="146">
        <f t="shared" si="19"/>
        <v>2.3483333333333318</v>
      </c>
      <c r="K49">
        <f t="shared" si="19"/>
        <v>0.10666666666666687</v>
      </c>
      <c r="L49">
        <f t="shared" si="19"/>
        <v>342.45333333333338</v>
      </c>
      <c r="M49">
        <f t="shared" si="19"/>
        <v>4.5633333333333335</v>
      </c>
      <c r="N49">
        <f t="shared" si="19"/>
        <v>54.82166666666668</v>
      </c>
      <c r="O49">
        <f t="shared" si="19"/>
        <v>3.3783333333333361</v>
      </c>
      <c r="P49">
        <f t="shared" si="19"/>
        <v>4.0499999999999989</v>
      </c>
      <c r="Q49">
        <f t="shared" si="19"/>
        <v>11.518333333333334</v>
      </c>
      <c r="R49">
        <f t="shared" si="19"/>
        <v>0.64333333333333598</v>
      </c>
      <c r="S49">
        <f t="shared" si="19"/>
        <v>0.9933333333333324</v>
      </c>
      <c r="T49">
        <f t="shared" si="19"/>
        <v>0.12833333333333341</v>
      </c>
      <c r="U49">
        <f t="shared" si="19"/>
        <v>4</v>
      </c>
      <c r="V49">
        <f t="shared" si="19"/>
        <v>1.7000000000000004</v>
      </c>
      <c r="W49" s="81">
        <f>_xlfn.STDEV.P(C48:V48)</f>
        <v>126.8353242002094</v>
      </c>
    </row>
    <row r="50" spans="1:44" x14ac:dyDescent="0.25">
      <c r="A50" s="49">
        <f>SUM(M50:V50,C50:K50)</f>
        <v>351.28999999999991</v>
      </c>
      <c r="B50" s="74" t="s">
        <v>586</v>
      </c>
      <c r="C50">
        <f>AVERAGE(C11)</f>
        <v>1.91</v>
      </c>
      <c r="D50">
        <f t="shared" ref="D50:V50" si="20">AVERAGE(D11)</f>
        <v>1.7</v>
      </c>
      <c r="E50">
        <f t="shared" si="20"/>
        <v>30.29</v>
      </c>
      <c r="F50">
        <f t="shared" si="20"/>
        <v>80.16</v>
      </c>
      <c r="G50">
        <f t="shared" si="20"/>
        <v>8.8699999999999992</v>
      </c>
      <c r="H50">
        <f t="shared" si="20"/>
        <v>1.08</v>
      </c>
      <c r="I50">
        <f>AVERAGE(I11)</f>
        <v>0</v>
      </c>
      <c r="J50" s="146">
        <f t="shared" si="20"/>
        <v>4.95</v>
      </c>
      <c r="K50">
        <f t="shared" si="20"/>
        <v>0.83000000000000007</v>
      </c>
      <c r="L50">
        <f>AVERAGE(L11)</f>
        <v>242.88</v>
      </c>
      <c r="M50">
        <f t="shared" si="20"/>
        <v>12.31</v>
      </c>
      <c r="N50">
        <f t="shared" si="20"/>
        <v>157.19</v>
      </c>
      <c r="O50">
        <f t="shared" si="20"/>
        <v>16.559999999999999</v>
      </c>
      <c r="P50">
        <f>AVERAGE(P11)</f>
        <v>5.59</v>
      </c>
      <c r="Q50">
        <f t="shared" si="20"/>
        <v>0.61</v>
      </c>
      <c r="R50">
        <f t="shared" si="20"/>
        <v>4.63</v>
      </c>
      <c r="S50">
        <f t="shared" si="20"/>
        <v>4.57</v>
      </c>
      <c r="T50">
        <f t="shared" si="20"/>
        <v>1.5099999999999998</v>
      </c>
      <c r="U50">
        <f t="shared" si="20"/>
        <v>14.46</v>
      </c>
      <c r="V50">
        <f t="shared" si="20"/>
        <v>4.07</v>
      </c>
      <c r="W50" s="81">
        <f>AVERAGE(C50:V50)</f>
        <v>29.708500000000008</v>
      </c>
    </row>
    <row r="51" spans="1:44" x14ac:dyDescent="0.25">
      <c r="A51" s="49"/>
      <c r="B51" s="74"/>
      <c r="C51" s="73">
        <f>AVERAGE(C52,C40)</f>
        <v>9.5280000000000005</v>
      </c>
      <c r="D51" s="73">
        <f t="shared" ref="D51:V51" si="21">AVERAGE(D52,D40)</f>
        <v>2.2863333333333333</v>
      </c>
      <c r="E51" s="73">
        <f t="shared" si="21"/>
        <v>68.097999999999999</v>
      </c>
      <c r="F51" s="73">
        <f t="shared" si="21"/>
        <v>207.59566666666669</v>
      </c>
      <c r="G51" s="73">
        <f t="shared" si="21"/>
        <v>37.665333333333336</v>
      </c>
      <c r="H51" s="73">
        <f t="shared" si="21"/>
        <v>1.2093333333333334</v>
      </c>
      <c r="I51" s="73">
        <f t="shared" si="21"/>
        <v>96.132333333333349</v>
      </c>
      <c r="J51" s="151">
        <f t="shared" si="21"/>
        <v>7.9093333333333327</v>
      </c>
      <c r="K51" s="73">
        <f t="shared" si="21"/>
        <v>110.84966666666666</v>
      </c>
      <c r="L51" s="73">
        <f t="shared" si="21"/>
        <v>626.45833333333337</v>
      </c>
      <c r="M51" s="73">
        <f t="shared" si="21"/>
        <v>67.514666666666685</v>
      </c>
      <c r="N51" s="73">
        <f t="shared" si="21"/>
        <v>729.19333333333327</v>
      </c>
      <c r="O51" s="73">
        <f t="shared" si="21"/>
        <v>23.280666666666669</v>
      </c>
      <c r="P51" s="73">
        <f t="shared" si="21"/>
        <v>10.658999999999999</v>
      </c>
      <c r="Q51" s="73">
        <f t="shared" si="21"/>
        <v>186.98833333333334</v>
      </c>
      <c r="R51" s="73">
        <f t="shared" si="21"/>
        <v>8.4733333333333327</v>
      </c>
      <c r="S51" s="73">
        <f t="shared" si="21"/>
        <v>59.295666666666662</v>
      </c>
      <c r="T51" s="73">
        <f t="shared" si="21"/>
        <v>2.2703333333333333</v>
      </c>
      <c r="U51" s="73">
        <f t="shared" si="21"/>
        <v>9.7539999999999996</v>
      </c>
      <c r="V51" s="73">
        <f t="shared" si="21"/>
        <v>1.1900000000000002</v>
      </c>
      <c r="W51" s="81">
        <f>_xlfn.STDEV.P(C50:V50)</f>
        <v>60.922008279028354</v>
      </c>
    </row>
    <row r="52" spans="1:44" x14ac:dyDescent="0.25">
      <c r="A52" s="49">
        <f>SUM(E52:K52,M52:V52,C52:D52)</f>
        <v>343.31666666666666</v>
      </c>
      <c r="B52" s="74" t="s">
        <v>583</v>
      </c>
      <c r="C52">
        <f>AVERAGE(C25:C26,C30)</f>
        <v>12.71</v>
      </c>
      <c r="D52">
        <f t="shared" ref="D52:V52" si="22">AVERAGE(D25:D26,D30)</f>
        <v>1.5966666666666667</v>
      </c>
      <c r="E52">
        <f t="shared" si="22"/>
        <v>62.009999999999991</v>
      </c>
      <c r="F52">
        <f t="shared" si="22"/>
        <v>110.29333333333334</v>
      </c>
      <c r="G52">
        <f t="shared" si="22"/>
        <v>15.756666666666668</v>
      </c>
      <c r="H52">
        <f t="shared" si="22"/>
        <v>1.3166666666666667</v>
      </c>
      <c r="I52">
        <f>AVERAGE(I25:I26,I30)</f>
        <v>13.676666666666668</v>
      </c>
      <c r="J52" s="146">
        <f t="shared" si="22"/>
        <v>9.6466666666666665</v>
      </c>
      <c r="K52">
        <f t="shared" si="22"/>
        <v>1.0433333333333332</v>
      </c>
      <c r="L52">
        <f>AVERAGE(L25:L26,L30)</f>
        <v>927.78666666666675</v>
      </c>
      <c r="M52">
        <f t="shared" si="22"/>
        <v>3.1833333333333336</v>
      </c>
      <c r="N52">
        <f t="shared" si="22"/>
        <v>47.54666666666666</v>
      </c>
      <c r="O52">
        <f t="shared" si="22"/>
        <v>9.8033333333333346</v>
      </c>
      <c r="P52">
        <f t="shared" si="22"/>
        <v>13.69</v>
      </c>
      <c r="Q52">
        <f t="shared" si="22"/>
        <v>23.646666666666665</v>
      </c>
      <c r="R52">
        <f t="shared" si="22"/>
        <v>5.916666666666667</v>
      </c>
      <c r="S52">
        <f t="shared" si="22"/>
        <v>2.5833333333333335</v>
      </c>
      <c r="T52">
        <f t="shared" si="22"/>
        <v>1.7666666666666666</v>
      </c>
      <c r="U52">
        <f t="shared" si="22"/>
        <v>6.46</v>
      </c>
      <c r="V52">
        <f t="shared" si="22"/>
        <v>0.67</v>
      </c>
      <c r="W52" s="81">
        <f>AVERAGE(C52:V52)</f>
        <v>63.555166666666686</v>
      </c>
    </row>
    <row r="53" spans="1:44" x14ac:dyDescent="0.25">
      <c r="A53" s="72">
        <f>SUM(A50:A52)</f>
        <v>694.60666666666657</v>
      </c>
      <c r="B53" s="74"/>
      <c r="C53">
        <f>C52/C50</f>
        <v>6.6544502617801058</v>
      </c>
      <c r="D53">
        <f t="shared" ref="D53:V53" si="23">D52/D50</f>
        <v>0.9392156862745098</v>
      </c>
      <c r="E53">
        <f t="shared" si="23"/>
        <v>2.0472103004291844</v>
      </c>
      <c r="F53">
        <f t="shared" si="23"/>
        <v>1.3759148369926815</v>
      </c>
      <c r="G53">
        <f t="shared" si="23"/>
        <v>1.7763998496805715</v>
      </c>
      <c r="H53">
        <f t="shared" si="23"/>
        <v>1.2191358024691357</v>
      </c>
      <c r="I53" t="e">
        <f>I52/I50</f>
        <v>#DIV/0!</v>
      </c>
      <c r="J53" s="146">
        <f t="shared" si="23"/>
        <v>1.9488215488215488</v>
      </c>
      <c r="K53">
        <f t="shared" si="23"/>
        <v>1.2570281124497991</v>
      </c>
      <c r="L53">
        <f t="shared" si="23"/>
        <v>3.8199385155906898</v>
      </c>
      <c r="M53">
        <f t="shared" si="23"/>
        <v>0.25859734633089632</v>
      </c>
      <c r="N53">
        <f t="shared" si="23"/>
        <v>0.30247895328371183</v>
      </c>
      <c r="O53">
        <f t="shared" si="23"/>
        <v>0.59198872785829315</v>
      </c>
      <c r="P53">
        <f t="shared" si="23"/>
        <v>2.4490161001788908</v>
      </c>
      <c r="Q53">
        <f t="shared" si="23"/>
        <v>38.765027322404372</v>
      </c>
      <c r="R53">
        <f t="shared" si="23"/>
        <v>1.2778977681785457</v>
      </c>
      <c r="S53">
        <f t="shared" si="23"/>
        <v>0.56528081692195475</v>
      </c>
      <c r="T53">
        <f t="shared" si="23"/>
        <v>1.1699779249448126</v>
      </c>
      <c r="U53">
        <f t="shared" si="23"/>
        <v>0.44674965421853385</v>
      </c>
      <c r="V53">
        <f t="shared" si="23"/>
        <v>0.16461916461916462</v>
      </c>
      <c r="W53" s="81">
        <f>_xlfn.STDEV.P(C52:V52)</f>
        <v>199.98856957746085</v>
      </c>
      <c r="X53" s="44">
        <f>IF(C53&gt;1,1)</f>
        <v>1</v>
      </c>
      <c r="Y53" s="44" t="b">
        <f t="shared" ref="Y53:AP53" si="24">IF(D53&gt;1,1)</f>
        <v>0</v>
      </c>
      <c r="Z53" s="44">
        <f t="shared" si="24"/>
        <v>1</v>
      </c>
      <c r="AA53" s="44">
        <f t="shared" si="24"/>
        <v>1</v>
      </c>
      <c r="AB53" s="44">
        <f t="shared" si="24"/>
        <v>1</v>
      </c>
      <c r="AC53" s="44">
        <f t="shared" si="24"/>
        <v>1</v>
      </c>
      <c r="AD53" s="44" t="e">
        <f t="shared" si="24"/>
        <v>#DIV/0!</v>
      </c>
      <c r="AE53" s="44">
        <f t="shared" si="24"/>
        <v>1</v>
      </c>
      <c r="AF53" s="44">
        <f t="shared" si="24"/>
        <v>1</v>
      </c>
      <c r="AG53" s="44">
        <f t="shared" si="24"/>
        <v>1</v>
      </c>
      <c r="AH53" s="44" t="b">
        <f t="shared" si="24"/>
        <v>0</v>
      </c>
      <c r="AI53" s="44" t="b">
        <f t="shared" si="24"/>
        <v>0</v>
      </c>
      <c r="AJ53" s="44" t="b">
        <f t="shared" si="24"/>
        <v>0</v>
      </c>
      <c r="AK53" s="44">
        <f t="shared" si="24"/>
        <v>1</v>
      </c>
      <c r="AL53" s="44">
        <f t="shared" si="24"/>
        <v>1</v>
      </c>
      <c r="AM53" s="44">
        <f t="shared" si="24"/>
        <v>1</v>
      </c>
      <c r="AN53" s="44" t="b">
        <f t="shared" si="24"/>
        <v>0</v>
      </c>
      <c r="AO53" s="44">
        <f t="shared" si="24"/>
        <v>1</v>
      </c>
      <c r="AP53" s="44" t="b">
        <f t="shared" si="24"/>
        <v>0</v>
      </c>
      <c r="AQ53" s="44" t="b">
        <f>IF(V53&gt;1,1)</f>
        <v>0</v>
      </c>
      <c r="AR53" s="44" t="e">
        <f>SUM(X53:AQ53)</f>
        <v>#DIV/0!</v>
      </c>
    </row>
    <row r="54" spans="1:44" x14ac:dyDescent="0.25">
      <c r="A54" s="49"/>
      <c r="B54" s="74" t="s">
        <v>577</v>
      </c>
      <c r="C54">
        <f>AVERAGE(C56,C58)</f>
        <v>0.13999999999999999</v>
      </c>
      <c r="D54">
        <f t="shared" ref="D54:U54" si="25">AVERAGE(D56,D58)</f>
        <v>0.91999999999999993</v>
      </c>
      <c r="E54">
        <f t="shared" si="25"/>
        <v>57.901666666666671</v>
      </c>
      <c r="F54">
        <f t="shared" si="25"/>
        <v>59.545000000000009</v>
      </c>
      <c r="G54">
        <f t="shared" si="25"/>
        <v>11.786666666666667</v>
      </c>
      <c r="H54">
        <f t="shared" si="25"/>
        <v>2.7233333333333332</v>
      </c>
      <c r="I54">
        <f t="shared" si="25"/>
        <v>3.1383333333333336</v>
      </c>
      <c r="J54" s="146">
        <f t="shared" si="25"/>
        <v>0.91499999999999981</v>
      </c>
      <c r="K54">
        <f t="shared" si="25"/>
        <v>1.2333333333333334</v>
      </c>
      <c r="L54">
        <f t="shared" si="25"/>
        <v>41606.034999999996</v>
      </c>
      <c r="M54">
        <f t="shared" si="25"/>
        <v>3.4133333333333336</v>
      </c>
      <c r="N54">
        <f t="shared" si="25"/>
        <v>26.72666666666667</v>
      </c>
      <c r="O54">
        <f t="shared" si="25"/>
        <v>9.25</v>
      </c>
      <c r="P54">
        <f t="shared" si="25"/>
        <v>6.2166666666666677</v>
      </c>
      <c r="Q54">
        <f t="shared" si="25"/>
        <v>1.4933333333333334</v>
      </c>
      <c r="R54">
        <f t="shared" si="25"/>
        <v>1.69</v>
      </c>
      <c r="S54">
        <f t="shared" si="25"/>
        <v>2.6583333333333337</v>
      </c>
      <c r="T54">
        <f t="shared" si="25"/>
        <v>1.68</v>
      </c>
      <c r="U54">
        <f t="shared" si="25"/>
        <v>5.2133333333333338</v>
      </c>
      <c r="V54">
        <f>AVERAGE(V56,V58)</f>
        <v>1.7000000000000002</v>
      </c>
      <c r="W54" s="81">
        <f>AVERAGE(M54:V54,C54:K54)</f>
        <v>10.439210526315788</v>
      </c>
    </row>
    <row r="55" spans="1:44" x14ac:dyDescent="0.25">
      <c r="A55" s="49"/>
      <c r="B55" s="74" t="s">
        <v>574</v>
      </c>
      <c r="C55">
        <f>_xlfn.STDEV.P(C56,C58)</f>
        <v>0.13999999999999999</v>
      </c>
      <c r="D55">
        <f t="shared" ref="D55:U55" si="26">_xlfn.STDEV.P(D56,D58)</f>
        <v>0.30666666666666675</v>
      </c>
      <c r="E55">
        <f t="shared" si="26"/>
        <v>9.3016666666666286</v>
      </c>
      <c r="F55">
        <f t="shared" si="26"/>
        <v>38.351666666666688</v>
      </c>
      <c r="G55">
        <f t="shared" si="26"/>
        <v>8.9333333333333371</v>
      </c>
      <c r="H55">
        <f t="shared" si="26"/>
        <v>1.736666666666667</v>
      </c>
      <c r="I55">
        <f t="shared" si="26"/>
        <v>0.59166666666666579</v>
      </c>
      <c r="J55" s="146">
        <f t="shared" si="26"/>
        <v>0.23833333333333354</v>
      </c>
      <c r="K55">
        <f t="shared" si="26"/>
        <v>0.21000000000000008</v>
      </c>
      <c r="L55">
        <f t="shared" si="26"/>
        <v>21631.76500000001</v>
      </c>
      <c r="M55">
        <f t="shared" si="26"/>
        <v>3.4133333333333336</v>
      </c>
      <c r="N55">
        <f t="shared" si="26"/>
        <v>15.256666666666673</v>
      </c>
      <c r="O55">
        <f t="shared" si="26"/>
        <v>4.3033333333333319</v>
      </c>
      <c r="P55">
        <f t="shared" si="26"/>
        <v>4.6466666666666674</v>
      </c>
      <c r="Q55">
        <f t="shared" si="26"/>
        <v>1.0433333333333332</v>
      </c>
      <c r="R55">
        <f t="shared" si="26"/>
        <v>0.42333333333333317</v>
      </c>
      <c r="S55">
        <f t="shared" si="26"/>
        <v>0.17833333333333368</v>
      </c>
      <c r="T55">
        <f t="shared" si="26"/>
        <v>0.6933333333333338</v>
      </c>
      <c r="U55">
        <f t="shared" si="26"/>
        <v>0.86666666666666681</v>
      </c>
      <c r="V55">
        <f>_xlfn.STDEV.P(V56,V58)</f>
        <v>1.7000000000000002</v>
      </c>
      <c r="W55" s="81">
        <f>_xlfn.STDEV.P(M55:V55,C55:K55)</f>
        <v>8.8317039586814126</v>
      </c>
    </row>
    <row r="56" spans="1:44" x14ac:dyDescent="0.25">
      <c r="A56" s="49">
        <f>SUM(C56:K56,M56:V56)</f>
        <v>281.81333333333339</v>
      </c>
      <c r="B56" s="74" t="s">
        <v>584</v>
      </c>
      <c r="C56">
        <f>AVERAGE(C4:C6)</f>
        <v>0.27999999999999997</v>
      </c>
      <c r="D56">
        <f t="shared" ref="D56:U56" si="27">AVERAGE(D4:D6)</f>
        <v>0.61333333333333329</v>
      </c>
      <c r="E56">
        <f t="shared" si="27"/>
        <v>67.203333333333333</v>
      </c>
      <c r="F56">
        <f t="shared" si="27"/>
        <v>97.89666666666669</v>
      </c>
      <c r="G56">
        <f t="shared" si="27"/>
        <v>20.720000000000002</v>
      </c>
      <c r="H56">
        <f t="shared" si="27"/>
        <v>0.98666666666666669</v>
      </c>
      <c r="I56">
        <f t="shared" si="27"/>
        <v>2.5466666666666664</v>
      </c>
      <c r="J56" s="146">
        <f t="shared" si="27"/>
        <v>0.67666666666666642</v>
      </c>
      <c r="K56">
        <f t="shared" si="27"/>
        <v>1.4433333333333334</v>
      </c>
      <c r="L56">
        <f t="shared" si="27"/>
        <v>63237.799999999996</v>
      </c>
      <c r="M56">
        <f t="shared" si="27"/>
        <v>6.8266666666666671</v>
      </c>
      <c r="N56">
        <f t="shared" si="27"/>
        <v>41.983333333333341</v>
      </c>
      <c r="O56">
        <f t="shared" si="27"/>
        <v>13.553333333333333</v>
      </c>
      <c r="P56">
        <f t="shared" si="27"/>
        <v>10.863333333333335</v>
      </c>
      <c r="Q56">
        <f t="shared" si="27"/>
        <v>2.5366666666666666</v>
      </c>
      <c r="R56">
        <f t="shared" si="27"/>
        <v>2.1133333333333333</v>
      </c>
      <c r="S56">
        <f t="shared" si="27"/>
        <v>2.8366666666666673</v>
      </c>
      <c r="T56">
        <f t="shared" si="27"/>
        <v>0.98666666666666647</v>
      </c>
      <c r="U56">
        <f t="shared" si="27"/>
        <v>4.3466666666666667</v>
      </c>
      <c r="V56">
        <f>AVERAGE(V4:V6)</f>
        <v>3.4000000000000004</v>
      </c>
      <c r="W56" s="81">
        <f>AVERAGE(M56:U56,C56:K56)</f>
        <v>15.467407407407412</v>
      </c>
    </row>
    <row r="57" spans="1:44" x14ac:dyDescent="0.25">
      <c r="A57" s="49"/>
      <c r="B57" s="74"/>
      <c r="C57" s="41">
        <f>AVERAGE(C46,C58)</f>
        <v>8.666666666666667E-2</v>
      </c>
      <c r="D57" s="41">
        <f t="shared" ref="D57:V57" si="28">AVERAGE(D46,D58)</f>
        <v>1.58</v>
      </c>
      <c r="E57" s="41">
        <f t="shared" si="28"/>
        <v>52.379999999999995</v>
      </c>
      <c r="F57" s="41">
        <f t="shared" si="28"/>
        <v>23.224166666666665</v>
      </c>
      <c r="G57" s="41">
        <f t="shared" si="28"/>
        <v>3.3183333333333334</v>
      </c>
      <c r="H57" s="41">
        <f t="shared" si="28"/>
        <v>3.6716666666666669</v>
      </c>
      <c r="I57" s="41">
        <f t="shared" si="28"/>
        <v>3.6325000000000003</v>
      </c>
      <c r="J57" s="152">
        <f t="shared" si="28"/>
        <v>1.7291666666666665</v>
      </c>
      <c r="K57" s="41">
        <f t="shared" si="28"/>
        <v>1.5850000000000002</v>
      </c>
      <c r="L57" s="41">
        <f t="shared" si="28"/>
        <v>25905.26666666667</v>
      </c>
      <c r="M57" s="41">
        <f t="shared" si="28"/>
        <v>1.8241666666666667</v>
      </c>
      <c r="N57" s="41">
        <f t="shared" si="28"/>
        <v>14.369166666666667</v>
      </c>
      <c r="O57" s="41">
        <f t="shared" si="28"/>
        <v>3.3724999999999996</v>
      </c>
      <c r="P57" s="41">
        <f t="shared" si="28"/>
        <v>3.5874999999999999</v>
      </c>
      <c r="Q57" s="41">
        <f t="shared" si="28"/>
        <v>2.2608333333333333</v>
      </c>
      <c r="R57" s="41">
        <f t="shared" si="28"/>
        <v>2.4133333333333331</v>
      </c>
      <c r="S57" s="41">
        <f t="shared" si="28"/>
        <v>2.3199999999999998</v>
      </c>
      <c r="T57" s="41">
        <f t="shared" si="28"/>
        <v>2.7575000000000003</v>
      </c>
      <c r="U57" s="41">
        <f t="shared" si="28"/>
        <v>11.162500000000001</v>
      </c>
      <c r="V57" s="41">
        <f t="shared" si="28"/>
        <v>0.81500000000000006</v>
      </c>
      <c r="W57" s="81">
        <f>_xlfn.STDEV.P(M56:U56,C56:K56)</f>
        <v>26.228916460855995</v>
      </c>
    </row>
    <row r="58" spans="1:44" ht="14.4" thickBot="1" x14ac:dyDescent="0.3">
      <c r="A58" s="49">
        <f>SUM(C58:K58,M58:V58)</f>
        <v>114.87666666666668</v>
      </c>
      <c r="B58" s="74" t="s">
        <v>585</v>
      </c>
      <c r="C58">
        <f>AVERAGE(C16:C18)</f>
        <v>0</v>
      </c>
      <c r="D58">
        <f t="shared" ref="D58:V58" si="29">AVERAGE(D16:D18)</f>
        <v>1.2266666666666666</v>
      </c>
      <c r="E58">
        <f t="shared" si="29"/>
        <v>48.6</v>
      </c>
      <c r="F58">
        <f t="shared" si="29"/>
        <v>21.193333333333332</v>
      </c>
      <c r="G58">
        <f t="shared" si="29"/>
        <v>2.8533333333333331</v>
      </c>
      <c r="H58">
        <f t="shared" si="29"/>
        <v>4.46</v>
      </c>
      <c r="I58">
        <f t="shared" si="29"/>
        <v>3.7300000000000004</v>
      </c>
      <c r="J58" s="146">
        <f t="shared" si="29"/>
        <v>1.1533333333333333</v>
      </c>
      <c r="K58">
        <f t="shared" si="29"/>
        <v>1.0233333333333334</v>
      </c>
      <c r="L58">
        <f t="shared" si="29"/>
        <v>19974.27</v>
      </c>
      <c r="M58">
        <f t="shared" si="29"/>
        <v>0</v>
      </c>
      <c r="N58">
        <f t="shared" si="29"/>
        <v>11.469999999999999</v>
      </c>
      <c r="O58">
        <f t="shared" si="29"/>
        <v>4.9466666666666663</v>
      </c>
      <c r="P58">
        <f t="shared" si="29"/>
        <v>1.57</v>
      </c>
      <c r="Q58">
        <f t="shared" si="29"/>
        <v>0.45</v>
      </c>
      <c r="R58">
        <f t="shared" si="29"/>
        <v>1.2666666666666666</v>
      </c>
      <c r="S58">
        <f t="shared" si="29"/>
        <v>2.48</v>
      </c>
      <c r="T58">
        <f t="shared" si="29"/>
        <v>2.3733333333333335</v>
      </c>
      <c r="U58">
        <f t="shared" si="29"/>
        <v>6.080000000000001</v>
      </c>
      <c r="V58">
        <f t="shared" si="29"/>
        <v>0</v>
      </c>
      <c r="W58" s="82">
        <f>AVERAGE(M58:V58,C58:K58)</f>
        <v>6.0461403508771925</v>
      </c>
    </row>
    <row r="59" spans="1:44" x14ac:dyDescent="0.25">
      <c r="A59" s="72">
        <f>SUM(A56:A58)</f>
        <v>396.69000000000005</v>
      </c>
      <c r="B59" s="74"/>
      <c r="C59">
        <f>C58/C56</f>
        <v>0</v>
      </c>
      <c r="D59">
        <f t="shared" ref="D59:V59" si="30">D58/D56</f>
        <v>2</v>
      </c>
      <c r="E59">
        <f t="shared" si="30"/>
        <v>0.72317841376915826</v>
      </c>
      <c r="F59">
        <f t="shared" si="30"/>
        <v>0.21648677176614792</v>
      </c>
      <c r="G59">
        <f t="shared" si="30"/>
        <v>0.13770913770913767</v>
      </c>
      <c r="H59">
        <f t="shared" si="30"/>
        <v>4.5202702702702702</v>
      </c>
      <c r="I59">
        <f t="shared" si="30"/>
        <v>1.4646596858638747</v>
      </c>
      <c r="J59" s="146">
        <f t="shared" si="30"/>
        <v>1.7044334975369464</v>
      </c>
      <c r="K59">
        <f t="shared" si="30"/>
        <v>0.70900692840646662</v>
      </c>
      <c r="L59">
        <f t="shared" si="30"/>
        <v>0.31585965988696635</v>
      </c>
      <c r="M59">
        <f>M58/M56</f>
        <v>0</v>
      </c>
      <c r="N59">
        <f t="shared" si="30"/>
        <v>0.27320365224295345</v>
      </c>
      <c r="O59">
        <f t="shared" si="30"/>
        <v>0.36497786522380715</v>
      </c>
      <c r="P59">
        <f t="shared" si="30"/>
        <v>0.14452285977293647</v>
      </c>
      <c r="Q59">
        <f t="shared" si="30"/>
        <v>0.1773981603153745</v>
      </c>
      <c r="R59">
        <f t="shared" si="30"/>
        <v>0.59936908517350151</v>
      </c>
      <c r="S59">
        <f t="shared" si="30"/>
        <v>0.87426556991774362</v>
      </c>
      <c r="T59">
        <f t="shared" si="30"/>
        <v>2.4054054054054061</v>
      </c>
      <c r="U59">
        <f t="shared" si="30"/>
        <v>1.3987730061349695</v>
      </c>
      <c r="V59">
        <f t="shared" si="30"/>
        <v>0</v>
      </c>
      <c r="W59" s="49">
        <f>_xlfn.STDEV.P(M58:V58,C58:K58)</f>
        <v>11.171949850660882</v>
      </c>
      <c r="X59" s="44" t="b">
        <f>IF(C59&gt;1,1)</f>
        <v>0</v>
      </c>
      <c r="Y59" s="44">
        <f t="shared" ref="Y59:AQ59" si="31">IF(D59&gt;1,1)</f>
        <v>1</v>
      </c>
      <c r="Z59" s="44" t="b">
        <f t="shared" si="31"/>
        <v>0</v>
      </c>
      <c r="AA59" s="44" t="b">
        <f t="shared" si="31"/>
        <v>0</v>
      </c>
      <c r="AB59" s="44" t="b">
        <f t="shared" si="31"/>
        <v>0</v>
      </c>
      <c r="AC59" s="44">
        <f t="shared" si="31"/>
        <v>1</v>
      </c>
      <c r="AD59" s="44">
        <f t="shared" si="31"/>
        <v>1</v>
      </c>
      <c r="AE59" s="44">
        <f t="shared" si="31"/>
        <v>1</v>
      </c>
      <c r="AF59" s="44" t="b">
        <f t="shared" si="31"/>
        <v>0</v>
      </c>
      <c r="AG59" s="44" t="b">
        <f t="shared" si="31"/>
        <v>0</v>
      </c>
      <c r="AH59" s="44" t="b">
        <f t="shared" si="31"/>
        <v>0</v>
      </c>
      <c r="AI59" s="44" t="b">
        <f t="shared" si="31"/>
        <v>0</v>
      </c>
      <c r="AJ59" s="44" t="b">
        <f t="shared" si="31"/>
        <v>0</v>
      </c>
      <c r="AK59" s="44" t="b">
        <f t="shared" si="31"/>
        <v>0</v>
      </c>
      <c r="AL59" s="44" t="b">
        <f t="shared" si="31"/>
        <v>0</v>
      </c>
      <c r="AM59" s="44" t="b">
        <f t="shared" si="31"/>
        <v>0</v>
      </c>
      <c r="AN59" s="44" t="b">
        <f t="shared" si="31"/>
        <v>0</v>
      </c>
      <c r="AO59" s="44">
        <f t="shared" si="31"/>
        <v>1</v>
      </c>
      <c r="AP59" s="44">
        <f t="shared" si="31"/>
        <v>1</v>
      </c>
      <c r="AQ59" s="44" t="b">
        <f t="shared" si="31"/>
        <v>0</v>
      </c>
      <c r="AR59" s="44">
        <f>SUM(X59:AQ59)</f>
        <v>6</v>
      </c>
    </row>
    <row r="60" spans="1:44" x14ac:dyDescent="0.25">
      <c r="A60" s="49"/>
      <c r="B60" s="74"/>
      <c r="C60" s="52"/>
      <c r="D60" s="83"/>
      <c r="I60" s="83"/>
      <c r="J60" s="146"/>
      <c r="N60"/>
      <c r="P60"/>
      <c r="T60"/>
    </row>
    <row r="61" spans="1:44" x14ac:dyDescent="0.25">
      <c r="B61" s="74"/>
      <c r="C61" s="52"/>
      <c r="D61" s="83"/>
      <c r="I61" s="83"/>
      <c r="J61" s="146"/>
      <c r="N61"/>
      <c r="P61"/>
      <c r="T61"/>
    </row>
    <row r="62" spans="1:44" x14ac:dyDescent="0.25">
      <c r="B62" s="74"/>
      <c r="C62" s="52" t="s">
        <v>257</v>
      </c>
      <c r="D62" s="83" t="s">
        <v>260</v>
      </c>
      <c r="E62" s="83" t="s">
        <v>262</v>
      </c>
      <c r="F62" s="83" t="s">
        <v>264</v>
      </c>
      <c r="G62" s="83" t="s">
        <v>265</v>
      </c>
      <c r="H62" s="83" t="s">
        <v>267</v>
      </c>
      <c r="I62" s="83" t="s">
        <v>270</v>
      </c>
      <c r="J62" s="146" t="s">
        <v>276</v>
      </c>
      <c r="K62" t="s">
        <v>277</v>
      </c>
      <c r="L62" t="s">
        <v>279</v>
      </c>
      <c r="M62" t="s">
        <v>281</v>
      </c>
      <c r="N62" t="s">
        <v>288</v>
      </c>
      <c r="O62" t="s">
        <v>290</v>
      </c>
      <c r="P62" t="s">
        <v>293</v>
      </c>
      <c r="Q62" t="s">
        <v>296</v>
      </c>
      <c r="R62" t="s">
        <v>297</v>
      </c>
      <c r="S62" t="s">
        <v>305</v>
      </c>
      <c r="T62" t="s">
        <v>311</v>
      </c>
      <c r="U62" t="s">
        <v>323</v>
      </c>
      <c r="V62" t="s">
        <v>325</v>
      </c>
      <c r="W62" s="49" t="s">
        <v>447</v>
      </c>
    </row>
    <row r="63" spans="1:44" x14ac:dyDescent="0.25">
      <c r="B63" s="74" t="s">
        <v>645</v>
      </c>
      <c r="C63">
        <v>5.1704999999999997</v>
      </c>
      <c r="D63" s="83">
        <v>4.5604999999999993</v>
      </c>
      <c r="E63" s="83">
        <v>78.010500000000008</v>
      </c>
      <c r="F63" s="83">
        <v>233.31400000000002</v>
      </c>
      <c r="G63" s="83">
        <v>46.079499999999996</v>
      </c>
      <c r="H63" s="83">
        <v>0.85349999999999993</v>
      </c>
      <c r="I63" s="83">
        <v>115.73150000000001</v>
      </c>
      <c r="J63" s="147">
        <v>6.4034999999999993</v>
      </c>
      <c r="K63">
        <v>555.12300000000005</v>
      </c>
      <c r="L63">
        <v>240.01499999999999</v>
      </c>
      <c r="M63">
        <v>68.610500000000016</v>
      </c>
      <c r="N63">
        <v>2244.8924999999999</v>
      </c>
      <c r="O63">
        <v>30.176500000000001</v>
      </c>
      <c r="P63">
        <v>9.8390000000000004</v>
      </c>
      <c r="Q63">
        <v>226.53500000000003</v>
      </c>
      <c r="R63">
        <v>11.809999999999999</v>
      </c>
      <c r="S63">
        <v>306.79149999999998</v>
      </c>
      <c r="T63">
        <v>2.2969999999999997</v>
      </c>
      <c r="U63">
        <v>18.308999999999997</v>
      </c>
      <c r="V63">
        <v>1.9</v>
      </c>
      <c r="W63" s="76">
        <v>210.32112499999999</v>
      </c>
    </row>
    <row r="64" spans="1:44" x14ac:dyDescent="0.25">
      <c r="B64" s="74" t="s">
        <v>574</v>
      </c>
      <c r="C64">
        <v>1.1755000000000007</v>
      </c>
      <c r="D64">
        <v>1.5845000000000005</v>
      </c>
      <c r="E64">
        <v>3.8244999999999933</v>
      </c>
      <c r="F64">
        <v>71.583999999999975</v>
      </c>
      <c r="G64">
        <v>13.494500000000016</v>
      </c>
      <c r="H64">
        <v>0.24850000000000014</v>
      </c>
      <c r="I64">
        <v>62.856500000000004</v>
      </c>
      <c r="J64" s="146">
        <v>0.23150000000000004</v>
      </c>
      <c r="K64">
        <v>334.46700000000004</v>
      </c>
      <c r="L64">
        <v>85.115000000000038</v>
      </c>
      <c r="M64">
        <v>63.235500000000016</v>
      </c>
      <c r="N64">
        <v>834.0525000000008</v>
      </c>
      <c r="O64">
        <v>6.5815000000000072</v>
      </c>
      <c r="P64">
        <v>2.2109999999999994</v>
      </c>
      <c r="Q64">
        <v>123.79500000000003</v>
      </c>
      <c r="R64">
        <v>0.78000000000000036</v>
      </c>
      <c r="S64">
        <v>190.7835</v>
      </c>
      <c r="T64">
        <v>0.47700000000000148</v>
      </c>
      <c r="U64">
        <v>5.2610000000000028</v>
      </c>
      <c r="V64">
        <v>0.18999999999999984</v>
      </c>
      <c r="W64" s="76">
        <v>225.63541450667202</v>
      </c>
    </row>
    <row r="65" spans="2:43" x14ac:dyDescent="0.25">
      <c r="B65" s="74" t="s">
        <v>646</v>
      </c>
      <c r="C65">
        <v>0.68166666666666664</v>
      </c>
      <c r="D65">
        <v>2.2754166666666666</v>
      </c>
      <c r="E65">
        <v>110.39874999999999</v>
      </c>
      <c r="F65">
        <v>53.732500000000002</v>
      </c>
      <c r="G65">
        <v>9.550416666666667</v>
      </c>
      <c r="H65">
        <v>2.0604166666666668</v>
      </c>
      <c r="I65">
        <v>7.5812500000000007</v>
      </c>
      <c r="J65" s="146">
        <v>1.9912499999999997</v>
      </c>
      <c r="K65">
        <v>3.4145833333333337</v>
      </c>
      <c r="L65">
        <v>50783.247916666667</v>
      </c>
      <c r="M65">
        <v>10.426666666666666</v>
      </c>
      <c r="N65">
        <v>30.735416666666666</v>
      </c>
      <c r="O65">
        <v>3.8529166666666668</v>
      </c>
      <c r="P65">
        <v>17.13625</v>
      </c>
      <c r="Q65">
        <v>8.7533333333333321</v>
      </c>
      <c r="R65">
        <v>7.330000000000001</v>
      </c>
      <c r="S65">
        <v>1.8312499999999998</v>
      </c>
      <c r="T65">
        <v>2.1870833333333337</v>
      </c>
      <c r="U65">
        <v>22.561250000000001</v>
      </c>
      <c r="V65">
        <v>1.98875</v>
      </c>
      <c r="W65" s="76">
        <v>12.913205128205128</v>
      </c>
    </row>
    <row r="66" spans="2:43" x14ac:dyDescent="0.25">
      <c r="B66" s="74" t="s">
        <v>574</v>
      </c>
      <c r="C66">
        <v>0.50833333333333341</v>
      </c>
      <c r="D66">
        <v>0.34208333333333196</v>
      </c>
      <c r="E66">
        <v>54.238749999999982</v>
      </c>
      <c r="F66">
        <v>28.47750000000001</v>
      </c>
      <c r="G66">
        <v>5.7670833333333329</v>
      </c>
      <c r="H66">
        <v>0.82291666666666663</v>
      </c>
      <c r="I66">
        <v>4.0462500000000015</v>
      </c>
      <c r="J66" s="146">
        <v>0.31375000000000036</v>
      </c>
      <c r="K66">
        <v>1.2679166666666661</v>
      </c>
      <c r="L66">
        <v>18946.984583333324</v>
      </c>
      <c r="M66">
        <v>6.7783333333333315</v>
      </c>
      <c r="N66">
        <v>13.467083333333337</v>
      </c>
      <c r="O66">
        <v>2.0545833333333334</v>
      </c>
      <c r="P66">
        <v>11.531250000000002</v>
      </c>
      <c r="Q66">
        <v>4.6816666666666675</v>
      </c>
      <c r="R66">
        <v>3.7699999999999996</v>
      </c>
      <c r="S66">
        <v>0.32874999999999999</v>
      </c>
      <c r="T66">
        <v>0.95458333333333301</v>
      </c>
      <c r="U66">
        <v>6.3162499999999975</v>
      </c>
      <c r="V66">
        <v>0.35874999999999857</v>
      </c>
      <c r="W66" s="76">
        <v>25.724594563186571</v>
      </c>
    </row>
    <row r="67" spans="2:43" x14ac:dyDescent="0.25">
      <c r="B67" s="74" t="s">
        <v>647</v>
      </c>
      <c r="C67">
        <v>7.3100000000000005</v>
      </c>
      <c r="D67">
        <v>1.6483333333333334</v>
      </c>
      <c r="E67">
        <v>46.149999999999991</v>
      </c>
      <c r="F67">
        <v>95.226666666666659</v>
      </c>
      <c r="G67">
        <v>12.313333333333333</v>
      </c>
      <c r="H67">
        <v>1.1983333333333333</v>
      </c>
      <c r="I67">
        <v>6.8383333333333338</v>
      </c>
      <c r="J67" s="146">
        <v>7.2983333333333338</v>
      </c>
      <c r="K67">
        <v>0.93666666666666665</v>
      </c>
      <c r="L67">
        <v>585.33333333333303</v>
      </c>
      <c r="M67">
        <v>7.746666666666667</v>
      </c>
      <c r="N67">
        <v>102.36833333333333</v>
      </c>
      <c r="O67">
        <v>13.181666666666667</v>
      </c>
      <c r="P67">
        <v>9.64</v>
      </c>
      <c r="Q67">
        <v>12.128333333333332</v>
      </c>
      <c r="R67">
        <v>5.2733333333333334</v>
      </c>
      <c r="S67">
        <v>3.5766666666666671</v>
      </c>
      <c r="T67">
        <v>1.6383333333333332</v>
      </c>
      <c r="U67">
        <v>10.46</v>
      </c>
      <c r="V67">
        <v>2.37</v>
      </c>
      <c r="W67" s="76">
        <v>46.631833333333333</v>
      </c>
    </row>
    <row r="68" spans="2:43" x14ac:dyDescent="0.25">
      <c r="B68" s="74" t="s">
        <v>574</v>
      </c>
      <c r="C68">
        <v>5.3999999999999995</v>
      </c>
      <c r="D68">
        <v>5.1666666666666639E-2</v>
      </c>
      <c r="E68">
        <v>15.860000000000001</v>
      </c>
      <c r="F68">
        <v>15.066666666666737</v>
      </c>
      <c r="G68">
        <v>3.4433333333333365</v>
      </c>
      <c r="H68">
        <v>0.11833333333333329</v>
      </c>
      <c r="I68">
        <v>6.8383333333333338</v>
      </c>
      <c r="J68" s="146">
        <v>2.3483333333333318</v>
      </c>
      <c r="K68">
        <v>0.10666666666666687</v>
      </c>
      <c r="L68">
        <v>342.45333333333338</v>
      </c>
      <c r="M68">
        <v>4.5633333333333335</v>
      </c>
      <c r="N68">
        <v>54.82166666666668</v>
      </c>
      <c r="O68">
        <v>3.3783333333333361</v>
      </c>
      <c r="P68">
        <v>4.0499999999999989</v>
      </c>
      <c r="Q68">
        <v>11.518333333333334</v>
      </c>
      <c r="R68">
        <v>0.64333333333333598</v>
      </c>
      <c r="S68">
        <v>0.9933333333333324</v>
      </c>
      <c r="T68">
        <v>0.12833333333333341</v>
      </c>
      <c r="U68">
        <v>4</v>
      </c>
      <c r="V68">
        <v>1.7000000000000004</v>
      </c>
      <c r="W68" s="76">
        <v>126.8353242002094</v>
      </c>
    </row>
    <row r="69" spans="2:43" x14ac:dyDescent="0.25">
      <c r="B69" s="74" t="s">
        <v>648</v>
      </c>
      <c r="C69">
        <v>0.13999999999999999</v>
      </c>
      <c r="D69">
        <v>0.91999999999999993</v>
      </c>
      <c r="E69">
        <v>57.901666666666671</v>
      </c>
      <c r="F69">
        <v>59.545000000000009</v>
      </c>
      <c r="G69">
        <v>11.786666666666667</v>
      </c>
      <c r="H69">
        <v>2.7233333333333332</v>
      </c>
      <c r="I69">
        <v>3.1383333333333336</v>
      </c>
      <c r="J69" s="146">
        <v>0.91499999999999981</v>
      </c>
      <c r="K69">
        <v>1.2333333333333334</v>
      </c>
      <c r="L69">
        <v>41606.034999999996</v>
      </c>
      <c r="M69">
        <v>3.4133333333333336</v>
      </c>
      <c r="N69">
        <v>26.72666666666667</v>
      </c>
      <c r="O69">
        <v>9.25</v>
      </c>
      <c r="P69">
        <v>6.2166666666666677</v>
      </c>
      <c r="Q69">
        <v>1.4933333333333334</v>
      </c>
      <c r="R69">
        <v>1.69</v>
      </c>
      <c r="S69">
        <v>2.6583333333333337</v>
      </c>
      <c r="T69">
        <v>1.68</v>
      </c>
      <c r="U69">
        <v>5.2133333333333338</v>
      </c>
      <c r="V69">
        <v>1.7000000000000002</v>
      </c>
      <c r="W69" s="76">
        <v>10.439210526315788</v>
      </c>
    </row>
    <row r="70" spans="2:43" x14ac:dyDescent="0.25">
      <c r="B70" s="74" t="s">
        <v>574</v>
      </c>
      <c r="C70">
        <v>0.13999999999999999</v>
      </c>
      <c r="D70">
        <v>0.30666666666666675</v>
      </c>
      <c r="E70">
        <v>9.3016666666666286</v>
      </c>
      <c r="F70">
        <v>38.351666666666688</v>
      </c>
      <c r="G70">
        <v>8.9333333333333371</v>
      </c>
      <c r="H70">
        <v>1.736666666666667</v>
      </c>
      <c r="I70">
        <v>0.59166666666666579</v>
      </c>
      <c r="J70" s="146">
        <v>0.23833333333333354</v>
      </c>
      <c r="K70">
        <v>0.21000000000000008</v>
      </c>
      <c r="L70">
        <v>21631.76500000001</v>
      </c>
      <c r="M70">
        <v>3.4133333333333336</v>
      </c>
      <c r="N70">
        <v>15.256666666666673</v>
      </c>
      <c r="O70">
        <v>4.3033333333333319</v>
      </c>
      <c r="P70">
        <v>4.6466666666666674</v>
      </c>
      <c r="Q70">
        <v>1.0433333333333332</v>
      </c>
      <c r="R70">
        <v>0.42333333333333317</v>
      </c>
      <c r="S70">
        <v>0.17833333333333368</v>
      </c>
      <c r="T70">
        <v>0.6933333333333338</v>
      </c>
      <c r="U70">
        <v>0.86666666666666681</v>
      </c>
      <c r="V70">
        <v>1.7000000000000002</v>
      </c>
      <c r="W70" s="76">
        <v>8.8317039586814126</v>
      </c>
    </row>
    <row r="71" spans="2:43" x14ac:dyDescent="0.25">
      <c r="B71" s="74"/>
      <c r="D71"/>
      <c r="E71"/>
      <c r="F71"/>
      <c r="G71"/>
      <c r="H71"/>
      <c r="I71"/>
      <c r="J71" s="146"/>
      <c r="N71"/>
      <c r="P71"/>
      <c r="T71"/>
    </row>
    <row r="72" spans="2:43" x14ac:dyDescent="0.25">
      <c r="B72" s="74"/>
      <c r="D72"/>
      <c r="E72"/>
      <c r="F72"/>
      <c r="G72"/>
      <c r="H72"/>
      <c r="I72"/>
      <c r="J72" s="146"/>
      <c r="N72"/>
      <c r="P72"/>
      <c r="T72"/>
      <c r="W72" s="76"/>
    </row>
    <row r="73" spans="2:43" x14ac:dyDescent="0.25">
      <c r="B73" s="74"/>
      <c r="D73"/>
      <c r="E73"/>
      <c r="F73"/>
      <c r="G73"/>
      <c r="H73"/>
      <c r="I73"/>
      <c r="J73" s="146"/>
      <c r="N73"/>
      <c r="P73"/>
      <c r="T73"/>
      <c r="W73" s="81"/>
    </row>
    <row r="74" spans="2:43" x14ac:dyDescent="0.25">
      <c r="D74" s="83"/>
      <c r="I74" s="83"/>
      <c r="J74" s="146"/>
      <c r="N74"/>
      <c r="P74"/>
      <c r="T74"/>
    </row>
    <row r="75" spans="2:43" x14ac:dyDescent="0.25">
      <c r="D75" s="83"/>
      <c r="I75" s="83"/>
      <c r="J75" s="146"/>
      <c r="N75"/>
      <c r="P75"/>
      <c r="T75"/>
    </row>
    <row r="76" spans="2:43" x14ac:dyDescent="0.25">
      <c r="B76" s="74" t="s">
        <v>573</v>
      </c>
      <c r="D76" s="83"/>
      <c r="I76" s="83"/>
      <c r="J76" s="146"/>
      <c r="N76"/>
      <c r="P76"/>
      <c r="T76"/>
      <c r="X76" s="30"/>
      <c r="Y76" s="83"/>
      <c r="Z76" s="83"/>
      <c r="AA76" s="83"/>
      <c r="AB76" s="83"/>
      <c r="AC76" s="84"/>
      <c r="AD76" s="85" t="s">
        <v>270</v>
      </c>
      <c r="AE76" s="86" t="s">
        <v>276</v>
      </c>
      <c r="AF76" s="30" t="s">
        <v>277</v>
      </c>
      <c r="AG76" t="s">
        <v>279</v>
      </c>
      <c r="AH76" t="s">
        <v>281</v>
      </c>
      <c r="AI76" t="s">
        <v>288</v>
      </c>
      <c r="AJ76" t="s">
        <v>290</v>
      </c>
      <c r="AK76" s="29" t="s">
        <v>293</v>
      </c>
      <c r="AL76" t="s">
        <v>296</v>
      </c>
      <c r="AM76" t="s">
        <v>297</v>
      </c>
      <c r="AN76" t="s">
        <v>305</v>
      </c>
      <c r="AO76" s="29" t="s">
        <v>311</v>
      </c>
      <c r="AP76" t="s">
        <v>323</v>
      </c>
      <c r="AQ76" t="s">
        <v>325</v>
      </c>
    </row>
    <row r="77" spans="2:43" x14ac:dyDescent="0.25">
      <c r="B77" s="74" t="s">
        <v>574</v>
      </c>
      <c r="D77" s="83"/>
      <c r="I77" s="83"/>
      <c r="J77" s="146"/>
      <c r="N77"/>
      <c r="P77"/>
      <c r="T77"/>
    </row>
    <row r="78" spans="2:43" x14ac:dyDescent="0.25">
      <c r="B78" s="74" t="s">
        <v>575</v>
      </c>
      <c r="D78" s="83"/>
      <c r="I78" s="83"/>
      <c r="J78" s="146"/>
      <c r="N78"/>
      <c r="P78"/>
      <c r="T78"/>
    </row>
    <row r="79" spans="2:43" x14ac:dyDescent="0.25">
      <c r="B79" s="74" t="s">
        <v>574</v>
      </c>
      <c r="D79" s="83"/>
      <c r="I79" s="83"/>
      <c r="J79" s="146"/>
      <c r="N79"/>
      <c r="P79"/>
      <c r="T79"/>
    </row>
    <row r="80" spans="2:43" x14ac:dyDescent="0.25">
      <c r="B80" s="74" t="s">
        <v>576</v>
      </c>
      <c r="D80" s="83"/>
      <c r="I80" s="83"/>
      <c r="J80" s="146"/>
      <c r="N80"/>
      <c r="P80"/>
      <c r="T80"/>
    </row>
    <row r="81" spans="1:23" x14ac:dyDescent="0.25">
      <c r="B81" s="74" t="s">
        <v>574</v>
      </c>
      <c r="D81" s="83"/>
      <c r="I81" s="83"/>
      <c r="J81" s="146"/>
      <c r="N81"/>
      <c r="P81"/>
      <c r="T81"/>
    </row>
    <row r="82" spans="1:23" x14ac:dyDescent="0.25">
      <c r="B82" s="74" t="s">
        <v>577</v>
      </c>
      <c r="D82" s="83"/>
      <c r="I82" s="83"/>
      <c r="J82" s="146"/>
      <c r="N82"/>
      <c r="P82"/>
      <c r="T82"/>
    </row>
    <row r="83" spans="1:23" x14ac:dyDescent="0.25">
      <c r="B83" s="74" t="s">
        <v>574</v>
      </c>
      <c r="D83" s="83"/>
      <c r="I83" s="83"/>
      <c r="J83" s="146"/>
      <c r="N83"/>
      <c r="P83"/>
      <c r="T83"/>
    </row>
    <row r="84" spans="1:23" x14ac:dyDescent="0.25">
      <c r="D84" s="83"/>
      <c r="I84" s="83"/>
      <c r="J84" s="146"/>
      <c r="N84"/>
      <c r="P84"/>
      <c r="T84"/>
    </row>
    <row r="85" spans="1:23" ht="73.8" x14ac:dyDescent="0.4">
      <c r="B85" s="137"/>
      <c r="C85" s="138" t="s">
        <v>589</v>
      </c>
      <c r="D85" s="138" t="s">
        <v>578</v>
      </c>
      <c r="E85" s="138" t="s">
        <v>581</v>
      </c>
      <c r="F85" s="138" t="s">
        <v>574</v>
      </c>
      <c r="G85" s="138" t="s">
        <v>579</v>
      </c>
      <c r="H85" s="138" t="s">
        <v>574</v>
      </c>
      <c r="I85" s="138" t="s">
        <v>580</v>
      </c>
      <c r="J85" s="153" t="s">
        <v>574</v>
      </c>
      <c r="N85"/>
      <c r="P85"/>
      <c r="T85"/>
      <c r="V85" s="49"/>
      <c r="W85"/>
    </row>
    <row r="86" spans="1:23" ht="24.6" x14ac:dyDescent="0.4">
      <c r="A86" s="44" t="s">
        <v>639</v>
      </c>
      <c r="B86" s="139" t="s">
        <v>257</v>
      </c>
      <c r="C86" s="140">
        <v>5.6742857142857099</v>
      </c>
      <c r="D86" s="140">
        <v>0.32499999999999979</v>
      </c>
      <c r="E86" s="140">
        <v>13.35</v>
      </c>
      <c r="F86" s="140">
        <v>8.7848381063941954</v>
      </c>
      <c r="G86" s="140">
        <v>1.45</v>
      </c>
      <c r="H86" s="140">
        <v>0.40441315507782422</v>
      </c>
      <c r="I86" s="140">
        <v>0.84</v>
      </c>
      <c r="J86" s="154">
        <v>0</v>
      </c>
      <c r="K86" s="101" t="s">
        <v>257</v>
      </c>
      <c r="N86"/>
      <c r="P86"/>
      <c r="T86"/>
      <c r="V86" s="49"/>
      <c r="W86"/>
    </row>
    <row r="87" spans="1:23" ht="24.6" x14ac:dyDescent="0.4">
      <c r="B87" s="139" t="s">
        <v>260</v>
      </c>
      <c r="C87" s="140">
        <v>3.8814285714285712</v>
      </c>
      <c r="D87" s="140">
        <v>2.5215495721674728</v>
      </c>
      <c r="E87" s="140">
        <v>1.6225000000000001</v>
      </c>
      <c r="F87" s="140">
        <v>0.88516594489395006</v>
      </c>
      <c r="G87" s="140">
        <v>2.2069999999999999</v>
      </c>
      <c r="H87" s="140">
        <v>1.1863224688085441</v>
      </c>
      <c r="I87" s="140">
        <v>0.91999999999999993</v>
      </c>
      <c r="J87" s="154">
        <v>0.51568724371786978</v>
      </c>
      <c r="K87" s="102" t="s">
        <v>260</v>
      </c>
      <c r="N87"/>
      <c r="P87"/>
      <c r="T87"/>
      <c r="V87" s="49"/>
      <c r="W87"/>
    </row>
    <row r="88" spans="1:23" ht="24.6" x14ac:dyDescent="0.4">
      <c r="B88" s="139" t="s">
        <v>262</v>
      </c>
      <c r="C88" s="140">
        <v>76.371428571428552</v>
      </c>
      <c r="D88" s="140">
        <v>43.616017840294624</v>
      </c>
      <c r="E88" s="140">
        <v>54.08</v>
      </c>
      <c r="F88" s="140">
        <v>55.939764926213272</v>
      </c>
      <c r="G88" s="140">
        <v>99.551000000000002</v>
      </c>
      <c r="H88" s="140">
        <v>75.448633314328532</v>
      </c>
      <c r="I88" s="140">
        <v>57.901666666666671</v>
      </c>
      <c r="J88" s="154">
        <v>36.560184361618788</v>
      </c>
      <c r="K88" s="102" t="s">
        <v>262</v>
      </c>
      <c r="N88"/>
      <c r="P88"/>
      <c r="T88"/>
      <c r="V88" s="49"/>
      <c r="W88"/>
    </row>
    <row r="89" spans="1:23" ht="26.4" customHeight="1" x14ac:dyDescent="0.4">
      <c r="B89" s="139" t="s">
        <v>264</v>
      </c>
      <c r="C89" s="140">
        <v>263.99285714285713</v>
      </c>
      <c r="D89" s="140">
        <v>236.76534409255359</v>
      </c>
      <c r="E89" s="140">
        <v>102.76</v>
      </c>
      <c r="F89" s="140">
        <v>72.30330939867136</v>
      </c>
      <c r="G89" s="140">
        <v>48.037000000000006</v>
      </c>
      <c r="H89" s="140">
        <v>31.168331379783545</v>
      </c>
      <c r="I89" s="140">
        <v>59.545000000000016</v>
      </c>
      <c r="J89" s="154">
        <v>77.250300700601372</v>
      </c>
      <c r="K89" s="102" t="s">
        <v>264</v>
      </c>
      <c r="N89"/>
      <c r="P89"/>
      <c r="T89"/>
      <c r="V89" s="49"/>
      <c r="W89"/>
    </row>
    <row r="90" spans="1:23" ht="53.4" customHeight="1" x14ac:dyDescent="0.4">
      <c r="B90" s="139" t="s">
        <v>265</v>
      </c>
      <c r="C90" s="140">
        <v>51.862857142857138</v>
      </c>
      <c r="D90" s="140">
        <v>46.177436888062779</v>
      </c>
      <c r="E90" s="140">
        <v>14.035</v>
      </c>
      <c r="F90" s="140">
        <v>11.50140100161715</v>
      </c>
      <c r="G90" s="140">
        <v>8.3970000000000002</v>
      </c>
      <c r="H90" s="140">
        <v>6.6918070055852628</v>
      </c>
      <c r="I90" s="140">
        <v>11.786666666666667</v>
      </c>
      <c r="J90" s="154">
        <v>17.516779257487819</v>
      </c>
      <c r="K90" s="102" t="s">
        <v>267</v>
      </c>
      <c r="N90"/>
      <c r="P90"/>
      <c r="T90"/>
      <c r="V90" s="49"/>
      <c r="W90"/>
    </row>
    <row r="91" spans="1:23" ht="25.8" customHeight="1" x14ac:dyDescent="0.4">
      <c r="A91" t="s">
        <v>588</v>
      </c>
      <c r="B91" s="139" t="s">
        <v>267</v>
      </c>
      <c r="C91" s="140">
        <v>0.96</v>
      </c>
      <c r="D91" s="140">
        <v>0.35753121741824379</v>
      </c>
      <c r="E91" s="140">
        <v>1.2575000000000001</v>
      </c>
      <c r="F91" s="140">
        <v>0.28287585616308797</v>
      </c>
      <c r="G91" s="140">
        <v>2.2250000000000001</v>
      </c>
      <c r="H91" s="140">
        <v>1.43998784717094</v>
      </c>
      <c r="I91" s="140">
        <v>2.7233333333333332</v>
      </c>
      <c r="J91" s="154">
        <v>3.3924016402673915</v>
      </c>
      <c r="K91" s="102" t="s">
        <v>270</v>
      </c>
      <c r="N91"/>
      <c r="P91"/>
      <c r="T91"/>
      <c r="V91" s="49"/>
      <c r="W91"/>
    </row>
    <row r="92" spans="1:23" ht="26.4" customHeight="1" x14ac:dyDescent="0.4">
      <c r="B92" s="139" t="s">
        <v>270</v>
      </c>
      <c r="C92" s="140">
        <v>142.67000000000002</v>
      </c>
      <c r="D92" s="140">
        <v>141.81211382872559</v>
      </c>
      <c r="E92" s="140">
        <v>20.515000000000001</v>
      </c>
      <c r="F92" s="140">
        <v>10.164999999999999</v>
      </c>
      <c r="G92" s="140">
        <v>9.6742857142857144</v>
      </c>
      <c r="H92" s="140">
        <v>5.3790622048905181</v>
      </c>
      <c r="I92" s="140">
        <v>6.2766666666666664</v>
      </c>
      <c r="J92" s="154">
        <v>1.0066556290785689</v>
      </c>
      <c r="K92" s="103" t="s">
        <v>276</v>
      </c>
      <c r="N92"/>
      <c r="P92"/>
      <c r="T92"/>
      <c r="V92" s="49"/>
      <c r="W92"/>
    </row>
    <row r="93" spans="1:23" ht="27.6" customHeight="1" x14ac:dyDescent="0.4">
      <c r="B93" s="141" t="s">
        <v>276</v>
      </c>
      <c r="C93" s="140">
        <v>6.3042857142857134</v>
      </c>
      <c r="D93" s="140">
        <v>3.4584259720401187</v>
      </c>
      <c r="E93" s="140">
        <v>8.4725000000000001</v>
      </c>
      <c r="F93" s="140">
        <v>5.0219984816803755</v>
      </c>
      <c r="G93" s="140">
        <v>2.0539999999999998</v>
      </c>
      <c r="H93" s="140">
        <v>0.91897986920280228</v>
      </c>
      <c r="I93" s="140">
        <v>0.91499999999999992</v>
      </c>
      <c r="J93" s="154">
        <v>0.34243004151699863</v>
      </c>
      <c r="K93" s="101" t="s">
        <v>277</v>
      </c>
      <c r="N93"/>
      <c r="P93"/>
      <c r="T93"/>
      <c r="V93" s="49"/>
      <c r="W93"/>
    </row>
    <row r="94" spans="1:23" ht="24.6" x14ac:dyDescent="0.4">
      <c r="B94" s="139" t="s">
        <v>277</v>
      </c>
      <c r="C94" s="140">
        <v>411.78000000000003</v>
      </c>
      <c r="D94" s="140">
        <v>633.0037527534887</v>
      </c>
      <c r="E94" s="140">
        <v>0.99</v>
      </c>
      <c r="F94" s="140">
        <v>0.33466401061363038</v>
      </c>
      <c r="G94" s="140">
        <v>3.161</v>
      </c>
      <c r="H94" s="140">
        <v>2.2399037925768157</v>
      </c>
      <c r="I94" s="140">
        <v>1.2333333333333334</v>
      </c>
      <c r="J94" s="154">
        <v>0.64976063968886932</v>
      </c>
      <c r="K94" s="101" t="s">
        <v>279</v>
      </c>
      <c r="N94"/>
      <c r="P94"/>
      <c r="T94"/>
      <c r="V94" s="49"/>
      <c r="W94"/>
    </row>
    <row r="95" spans="1:23" ht="29.4" x14ac:dyDescent="0.4">
      <c r="B95" s="139" t="s">
        <v>279</v>
      </c>
      <c r="C95" s="140">
        <v>276.49285714285713</v>
      </c>
      <c r="D95" s="140">
        <v>164.30575606944217</v>
      </c>
      <c r="E95" s="140">
        <v>756.56000000000006</v>
      </c>
      <c r="F95" s="140">
        <v>1041.0761677946527</v>
      </c>
      <c r="G95" s="140">
        <v>46993.851000000002</v>
      </c>
      <c r="H95" s="140">
        <v>21427.961677410876</v>
      </c>
      <c r="I95" s="140">
        <v>41606.035000000003</v>
      </c>
      <c r="J95" s="154">
        <v>30112.591975180272</v>
      </c>
      <c r="K95" s="74" t="s">
        <v>281</v>
      </c>
      <c r="N95"/>
      <c r="P95"/>
      <c r="T95"/>
      <c r="V95" s="49"/>
      <c r="W95"/>
    </row>
    <row r="96" spans="1:23" ht="49.2" x14ac:dyDescent="0.4">
      <c r="B96" s="139" t="s">
        <v>281</v>
      </c>
      <c r="C96" s="140">
        <v>95.711428571428584</v>
      </c>
      <c r="D96" s="140">
        <v>220.61931539765641</v>
      </c>
      <c r="E96" s="140">
        <v>7.2866666666666662</v>
      </c>
      <c r="F96" s="140">
        <v>3.6771939785052901</v>
      </c>
      <c r="G96" s="140">
        <v>10.078888888888887</v>
      </c>
      <c r="H96" s="140">
        <v>7.2904586724239131</v>
      </c>
      <c r="I96" s="140">
        <v>6.8266666666666671</v>
      </c>
      <c r="J96" s="154">
        <v>6.355728824366949</v>
      </c>
      <c r="K96" s="101" t="s">
        <v>288</v>
      </c>
      <c r="N96"/>
      <c r="P96"/>
      <c r="T96"/>
      <c r="V96" s="49"/>
      <c r="W96"/>
    </row>
    <row r="97" spans="1:23" ht="24.6" x14ac:dyDescent="0.4">
      <c r="A97" t="s">
        <v>590</v>
      </c>
      <c r="B97" s="139" t="s">
        <v>288</v>
      </c>
      <c r="C97" s="140">
        <v>1887.4414285714286</v>
      </c>
      <c r="D97" s="140">
        <v>2033.9974504368668</v>
      </c>
      <c r="E97" s="140">
        <v>74.957499999999996</v>
      </c>
      <c r="F97" s="140">
        <v>52.946359353122688</v>
      </c>
      <c r="G97" s="140">
        <v>28.042000000000002</v>
      </c>
      <c r="H97" s="140">
        <v>14.813482912536127</v>
      </c>
      <c r="I97" s="140">
        <v>26.72666666666667</v>
      </c>
      <c r="J97" s="154">
        <v>29.948886827764099</v>
      </c>
      <c r="K97" s="101" t="s">
        <v>290</v>
      </c>
      <c r="N97"/>
      <c r="P97"/>
      <c r="T97"/>
      <c r="V97" s="49"/>
      <c r="W97"/>
    </row>
    <row r="98" spans="1:23" ht="24.6" x14ac:dyDescent="0.4">
      <c r="B98" s="139" t="s">
        <v>290</v>
      </c>
      <c r="C98" s="140">
        <v>57.745000000000005</v>
      </c>
      <c r="D98" s="140">
        <v>16.681097835574246</v>
      </c>
      <c r="E98" s="140">
        <v>11.4925</v>
      </c>
      <c r="F98" s="140">
        <v>5.6700192900906439</v>
      </c>
      <c r="G98" s="140">
        <v>5.7366666666666672</v>
      </c>
      <c r="H98" s="140">
        <v>0.64066805410879868</v>
      </c>
      <c r="I98" s="140">
        <v>11.1</v>
      </c>
      <c r="J98" s="154">
        <v>9.0175473383842029</v>
      </c>
      <c r="K98" s="101" t="s">
        <v>293</v>
      </c>
      <c r="N98"/>
      <c r="P98"/>
      <c r="T98"/>
      <c r="V98" s="49"/>
      <c r="W98"/>
    </row>
    <row r="99" spans="1:23" ht="24.6" x14ac:dyDescent="0.4">
      <c r="B99" s="139" t="s">
        <v>293</v>
      </c>
      <c r="C99" s="140">
        <v>8.8914285714285715</v>
      </c>
      <c r="D99" s="140">
        <v>3.748182144420825</v>
      </c>
      <c r="E99" s="140">
        <v>11.664999999999999</v>
      </c>
      <c r="F99" s="140">
        <v>8.7909285630131286</v>
      </c>
      <c r="G99" s="140">
        <v>14.830000000000002</v>
      </c>
      <c r="H99" s="140">
        <v>11.973235151787508</v>
      </c>
      <c r="I99" s="140">
        <v>6.2166666666666677</v>
      </c>
      <c r="J99" s="154">
        <v>8.9322350071089289</v>
      </c>
      <c r="K99" s="101" t="s">
        <v>296</v>
      </c>
      <c r="N99"/>
      <c r="P99"/>
      <c r="T99"/>
      <c r="V99" s="49"/>
      <c r="W99"/>
    </row>
    <row r="100" spans="1:23" ht="25.2" customHeight="1" x14ac:dyDescent="0.4">
      <c r="B100" s="139" t="s">
        <v>296</v>
      </c>
      <c r="C100" s="140">
        <v>279.59000000000003</v>
      </c>
      <c r="D100" s="140">
        <v>270.46091970137621</v>
      </c>
      <c r="E100" s="140">
        <v>23.849999999999998</v>
      </c>
      <c r="F100" s="140">
        <v>22.960876870595918</v>
      </c>
      <c r="G100" s="140">
        <v>7.8170000000000002</v>
      </c>
      <c r="H100" s="140">
        <v>5.4668053742565208</v>
      </c>
      <c r="I100" s="140">
        <v>2.2399999999999998</v>
      </c>
      <c r="J100" s="154">
        <v>1.8226628870967883</v>
      </c>
      <c r="K100" s="101" t="s">
        <v>297</v>
      </c>
      <c r="N100"/>
      <c r="P100"/>
      <c r="T100"/>
      <c r="V100" s="49"/>
      <c r="W100"/>
    </row>
    <row r="101" spans="1:23" ht="24.6" x14ac:dyDescent="0.4">
      <c r="B101" s="139" t="s">
        <v>297</v>
      </c>
      <c r="C101" s="140">
        <v>11.475714285714284</v>
      </c>
      <c r="D101" s="140">
        <v>10.351518670007323</v>
      </c>
      <c r="E101" s="140">
        <v>5.5949999999999998</v>
      </c>
      <c r="F101" s="140">
        <v>3.1774242713241803</v>
      </c>
      <c r="G101" s="140">
        <v>6.5760000000000005</v>
      </c>
      <c r="H101" s="140">
        <v>4.6360051768737289</v>
      </c>
      <c r="I101" s="140">
        <v>1.6900000000000002</v>
      </c>
      <c r="J101" s="154">
        <v>1.0885311203635841</v>
      </c>
      <c r="K101" s="101" t="s">
        <v>305</v>
      </c>
      <c r="N101"/>
      <c r="P101"/>
      <c r="T101"/>
      <c r="V101" s="49"/>
      <c r="W101"/>
    </row>
    <row r="102" spans="1:23" ht="20.399999999999999" customHeight="1" x14ac:dyDescent="0.4">
      <c r="A102" t="s">
        <v>587</v>
      </c>
      <c r="B102" s="139" t="s">
        <v>305</v>
      </c>
      <c r="C102" s="140">
        <v>225.02714285714288</v>
      </c>
      <c r="D102" s="140">
        <v>357.5570622078298</v>
      </c>
      <c r="E102" s="140">
        <v>3.08</v>
      </c>
      <c r="F102" s="140">
        <v>1.965973041524222</v>
      </c>
      <c r="G102" s="140">
        <v>1.8969999999999998</v>
      </c>
      <c r="H102" s="140">
        <v>0.71494125632809824</v>
      </c>
      <c r="I102" s="140">
        <v>2.6583333333333337</v>
      </c>
      <c r="J102" s="154">
        <v>0.79896634611366601</v>
      </c>
      <c r="K102" s="101" t="s">
        <v>311</v>
      </c>
      <c r="N102"/>
      <c r="P102"/>
      <c r="T102"/>
      <c r="V102" s="49"/>
      <c r="W102"/>
    </row>
    <row r="103" spans="1:23" ht="24.6" x14ac:dyDescent="0.4">
      <c r="B103" s="139" t="s">
        <v>311</v>
      </c>
      <c r="C103" s="140">
        <v>2.5014285714285713</v>
      </c>
      <c r="D103" s="140">
        <v>2.2237897419330208</v>
      </c>
      <c r="E103" s="140">
        <v>1.7024999999999997</v>
      </c>
      <c r="F103" s="140">
        <v>0.85590230166766168</v>
      </c>
      <c r="G103" s="140">
        <v>2.3780000000000001</v>
      </c>
      <c r="H103" s="140">
        <v>1.1542772630525118</v>
      </c>
      <c r="I103" s="140">
        <v>1.68</v>
      </c>
      <c r="J103" s="154">
        <v>0.82720412635979201</v>
      </c>
      <c r="K103" s="101" t="s">
        <v>323</v>
      </c>
      <c r="N103"/>
      <c r="P103"/>
      <c r="T103"/>
      <c r="V103" s="49"/>
      <c r="W103"/>
    </row>
    <row r="104" spans="1:23" ht="24.6" x14ac:dyDescent="0.4">
      <c r="B104" s="142" t="s">
        <v>325</v>
      </c>
      <c r="C104" s="143">
        <v>2.1216666666666666</v>
      </c>
      <c r="D104" s="143">
        <v>1.800420475580327</v>
      </c>
      <c r="E104" s="143">
        <v>2.0266666666666668</v>
      </c>
      <c r="F104" s="143">
        <v>1.4479026977743439</v>
      </c>
      <c r="G104" s="143">
        <v>2.1300000000000003</v>
      </c>
      <c r="H104" s="143">
        <v>1.1182327326833368</v>
      </c>
      <c r="I104" s="143">
        <v>5.1000000000000005</v>
      </c>
      <c r="J104" s="155">
        <v>4.0500000000000007</v>
      </c>
      <c r="K104" s="101" t="s">
        <v>325</v>
      </c>
      <c r="N104"/>
      <c r="P104"/>
      <c r="T104"/>
      <c r="V104" s="49"/>
      <c r="W104"/>
    </row>
    <row r="105" spans="1:23" ht="24.6" x14ac:dyDescent="0.4">
      <c r="B105" s="139" t="s">
        <v>447</v>
      </c>
      <c r="C105" s="144">
        <f>AVERAGE(C86:C104)</f>
        <v>200.55238095238093</v>
      </c>
      <c r="D105" s="144">
        <f>_xlfn.STDEV.P(C86:C104)</f>
        <v>415.76967391323575</v>
      </c>
      <c r="E105" s="144">
        <f>AVERAGE(E86:E104)</f>
        <v>58.69991228070176</v>
      </c>
      <c r="F105" s="144">
        <f>_xlfn.STDEV.P(E86:E104)</f>
        <v>166.67474160502093</v>
      </c>
      <c r="G105" s="144">
        <f>AVERAGE(G86:G94,G96:G104)</f>
        <v>14.235657848324514</v>
      </c>
      <c r="H105" s="144">
        <f>_xlfn.STDEV.P(G86:G94,G96:G104)</f>
        <v>23.593002355946446</v>
      </c>
      <c r="I105" s="144">
        <f>AVERAGE(I86:I94,I96:I104)</f>
        <v>11.465555555555554</v>
      </c>
      <c r="J105" s="156">
        <f>_xlfn.STDEV.P(I86:I94,I96:I104)</f>
        <v>17.776616159966039</v>
      </c>
      <c r="N105"/>
      <c r="P105"/>
      <c r="T105"/>
      <c r="V105" s="49"/>
      <c r="W105"/>
    </row>
    <row r="107" spans="1:23" ht="24.6" x14ac:dyDescent="0.4">
      <c r="B107" s="92"/>
      <c r="C107" s="79"/>
      <c r="D107" s="89"/>
      <c r="E107" s="89"/>
      <c r="F107" s="89"/>
      <c r="G107" s="89"/>
      <c r="H107" s="89"/>
      <c r="I107" s="89"/>
      <c r="J107" s="148"/>
      <c r="K107" s="77"/>
      <c r="N107"/>
      <c r="P107"/>
      <c r="T107"/>
    </row>
    <row r="108" spans="1:23" ht="24.6" x14ac:dyDescent="0.4">
      <c r="A108" t="s">
        <v>672</v>
      </c>
      <c r="B108" s="92"/>
      <c r="C108" s="79"/>
      <c r="D108" s="89"/>
      <c r="E108" s="89"/>
      <c r="F108" s="89"/>
      <c r="G108" s="89"/>
      <c r="H108" s="89"/>
      <c r="I108" s="89"/>
      <c r="J108" s="148"/>
      <c r="K108" s="77"/>
      <c r="N108"/>
      <c r="P108"/>
      <c r="T108"/>
    </row>
    <row r="109" spans="1:23" ht="15" x14ac:dyDescent="0.25">
      <c r="B109" s="93"/>
      <c r="C109" s="90"/>
      <c r="D109" s="88"/>
      <c r="E109" s="88"/>
      <c r="F109" s="88"/>
      <c r="G109" s="88"/>
      <c r="H109" s="88"/>
      <c r="I109" s="88"/>
      <c r="J109" s="149"/>
      <c r="N109"/>
      <c r="P109"/>
      <c r="T109"/>
    </row>
    <row r="110" spans="1:23" ht="15" x14ac:dyDescent="0.25">
      <c r="B110" s="93"/>
      <c r="C110" s="90"/>
      <c r="D110" s="88"/>
      <c r="E110" s="88"/>
      <c r="F110" s="88"/>
      <c r="G110" s="88"/>
      <c r="H110" s="88"/>
      <c r="I110" s="88"/>
      <c r="J110" s="149"/>
      <c r="N110"/>
      <c r="P110"/>
      <c r="T110"/>
    </row>
    <row r="111" spans="1:23" ht="73.8" x14ac:dyDescent="0.4">
      <c r="B111" s="164"/>
      <c r="C111" s="138" t="s">
        <v>589</v>
      </c>
      <c r="D111" s="138" t="s">
        <v>578</v>
      </c>
      <c r="E111" s="138" t="s">
        <v>581</v>
      </c>
      <c r="F111" s="138" t="s">
        <v>578</v>
      </c>
      <c r="G111" s="138" t="s">
        <v>579</v>
      </c>
      <c r="H111" s="138" t="s">
        <v>578</v>
      </c>
      <c r="I111" s="138" t="s">
        <v>580</v>
      </c>
      <c r="J111" s="167" t="s">
        <v>578</v>
      </c>
      <c r="L111" s="43"/>
      <c r="M111" s="43"/>
      <c r="N111" s="100" t="s">
        <v>645</v>
      </c>
      <c r="O111" s="100" t="s">
        <v>646</v>
      </c>
      <c r="P111" s="100" t="s">
        <v>647</v>
      </c>
      <c r="Q111" s="100" t="s">
        <v>648</v>
      </c>
      <c r="T111"/>
      <c r="W111"/>
    </row>
    <row r="112" spans="1:23" ht="24.6" x14ac:dyDescent="0.4">
      <c r="B112" s="157" t="s">
        <v>257</v>
      </c>
      <c r="C112" s="78">
        <v>5.1704999999999997</v>
      </c>
      <c r="D112" s="78">
        <v>1.1755000000000007</v>
      </c>
      <c r="E112" s="78">
        <v>7.3100000000000005</v>
      </c>
      <c r="F112" s="78">
        <v>5.3999999999999995</v>
      </c>
      <c r="G112" s="78">
        <v>0.68166666666666664</v>
      </c>
      <c r="H112" s="78">
        <v>0.50833333333333341</v>
      </c>
      <c r="I112" s="78">
        <v>0.13999999999999999</v>
      </c>
      <c r="J112" s="158">
        <v>0.13999999999999999</v>
      </c>
      <c r="M112" s="101" t="s">
        <v>257</v>
      </c>
      <c r="N112" s="104">
        <v>1.5884856070087607</v>
      </c>
      <c r="O112" s="104">
        <v>0.14565826330532214</v>
      </c>
      <c r="P112" s="104">
        <v>6.6544502617801058</v>
      </c>
      <c r="Q112" s="105">
        <v>0</v>
      </c>
      <c r="T112"/>
      <c r="W112"/>
    </row>
    <row r="113" spans="1:23" ht="24.6" x14ac:dyDescent="0.4">
      <c r="B113" s="159" t="s">
        <v>260</v>
      </c>
      <c r="C113" s="160">
        <v>4.5604999999999993</v>
      </c>
      <c r="D113" s="78">
        <v>1.5845000000000005</v>
      </c>
      <c r="E113" s="78">
        <v>1.6483333333333334</v>
      </c>
      <c r="F113" s="78">
        <v>5.1666666666666639E-2</v>
      </c>
      <c r="G113" s="78">
        <v>2.2754166666666666</v>
      </c>
      <c r="H113" s="78">
        <v>0.34208333333333196</v>
      </c>
      <c r="I113" s="78">
        <v>0.91999999999999993</v>
      </c>
      <c r="J113" s="158">
        <v>0.30666666666666675</v>
      </c>
      <c r="M113" s="102" t="s">
        <v>260</v>
      </c>
      <c r="N113" s="104">
        <v>0.48429617575264444</v>
      </c>
      <c r="O113" s="104">
        <v>0.73861827443489347</v>
      </c>
      <c r="P113" s="104">
        <v>0.9392156862745098</v>
      </c>
      <c r="Q113" s="104">
        <v>2</v>
      </c>
      <c r="T113"/>
      <c r="W113"/>
    </row>
    <row r="114" spans="1:23" ht="24.6" x14ac:dyDescent="0.4">
      <c r="B114" s="159" t="s">
        <v>262</v>
      </c>
      <c r="C114" s="160">
        <v>78.010500000000008</v>
      </c>
      <c r="D114" s="78">
        <v>3.8244999999999933</v>
      </c>
      <c r="E114" s="78">
        <v>46.149999999999991</v>
      </c>
      <c r="F114" s="78">
        <v>15.860000000000001</v>
      </c>
      <c r="G114" s="78">
        <v>110.39874999999999</v>
      </c>
      <c r="H114" s="78">
        <v>54.238749999999982</v>
      </c>
      <c r="I114" s="78">
        <v>57.901666666666671</v>
      </c>
      <c r="J114" s="158">
        <v>9.3016666666666286</v>
      </c>
      <c r="M114" s="102" t="s">
        <v>262</v>
      </c>
      <c r="N114" s="104">
        <v>0.9065314352049858</v>
      </c>
      <c r="O114" s="104">
        <v>0.34111305140080478</v>
      </c>
      <c r="P114" s="104">
        <v>2.0472103004291844</v>
      </c>
      <c r="Q114" s="104">
        <v>0.72317841376915826</v>
      </c>
      <c r="T114"/>
      <c r="W114"/>
    </row>
    <row r="115" spans="1:23" ht="24.6" x14ac:dyDescent="0.4">
      <c r="B115" s="159" t="s">
        <v>675</v>
      </c>
      <c r="C115" s="160">
        <v>233.31400000000002</v>
      </c>
      <c r="D115" s="78">
        <v>71.583999999999975</v>
      </c>
      <c r="E115" s="78">
        <v>95.226666666666659</v>
      </c>
      <c r="F115" s="78">
        <v>15.066666666666737</v>
      </c>
      <c r="G115" s="78">
        <v>53.732500000000002</v>
      </c>
      <c r="H115" s="78">
        <v>28.47750000000001</v>
      </c>
      <c r="I115" s="78">
        <v>59.545000000000009</v>
      </c>
      <c r="J115" s="158">
        <v>38.351666666666688</v>
      </c>
      <c r="M115" s="102" t="s">
        <v>264</v>
      </c>
      <c r="N115" s="104">
        <v>1.8852284671984174</v>
      </c>
      <c r="O115" s="104">
        <v>0.3072010704293881</v>
      </c>
      <c r="P115" s="104">
        <v>1.3759148369926815</v>
      </c>
      <c r="Q115" s="104">
        <v>0.21648677176614792</v>
      </c>
      <c r="T115"/>
      <c r="W115"/>
    </row>
    <row r="116" spans="1:23" ht="24.6" x14ac:dyDescent="0.4">
      <c r="B116" s="159" t="s">
        <v>267</v>
      </c>
      <c r="C116" s="160">
        <v>0.85349999999999993</v>
      </c>
      <c r="D116" s="78">
        <v>0.24850000000000014</v>
      </c>
      <c r="E116" s="78">
        <v>1.1983333333333333</v>
      </c>
      <c r="F116" s="78">
        <v>0.11833333333333329</v>
      </c>
      <c r="G116" s="78">
        <v>2.0604166666666668</v>
      </c>
      <c r="H116" s="78">
        <v>0.82291666666666663</v>
      </c>
      <c r="I116" s="78">
        <v>2.7233333333333332</v>
      </c>
      <c r="J116" s="158">
        <v>1.736666666666667</v>
      </c>
      <c r="M116" s="102" t="s">
        <v>267</v>
      </c>
      <c r="N116" s="104">
        <v>1.8282645388982659</v>
      </c>
      <c r="O116" s="104">
        <v>0.24699417877155758</v>
      </c>
      <c r="P116" s="104">
        <v>1.7763998496805715</v>
      </c>
      <c r="Q116" s="104">
        <v>0.13770913770913767</v>
      </c>
      <c r="T116"/>
      <c r="W116"/>
    </row>
    <row r="117" spans="1:23" ht="24.6" x14ac:dyDescent="0.4">
      <c r="B117" s="159" t="s">
        <v>270</v>
      </c>
      <c r="C117" s="160">
        <v>115.73150000000001</v>
      </c>
      <c r="D117" s="78">
        <v>62.856500000000004</v>
      </c>
      <c r="E117" s="78">
        <v>6.8383333333333338</v>
      </c>
      <c r="F117" s="78">
        <v>6.8383333333333338</v>
      </c>
      <c r="G117" s="78">
        <v>7.5812500000000007</v>
      </c>
      <c r="H117" s="78">
        <v>4.0462500000000015</v>
      </c>
      <c r="I117" s="78">
        <v>3.1383333333333336</v>
      </c>
      <c r="J117" s="158">
        <v>0.59166666666666579</v>
      </c>
      <c r="M117" s="102" t="s">
        <v>270</v>
      </c>
      <c r="N117" s="104">
        <v>1.821487603305785</v>
      </c>
      <c r="O117" s="104">
        <v>2.3299663299663305</v>
      </c>
      <c r="P117" s="104">
        <v>1.2191358024691357</v>
      </c>
      <c r="Q117" s="104">
        <v>4.5202702702702702</v>
      </c>
      <c r="T117"/>
      <c r="W117"/>
    </row>
    <row r="118" spans="1:23" ht="29.4" x14ac:dyDescent="0.4">
      <c r="B118" s="159" t="s">
        <v>276</v>
      </c>
      <c r="C118" s="161">
        <v>6.4034999999999993</v>
      </c>
      <c r="D118" s="78">
        <v>0.23150000000000004</v>
      </c>
      <c r="E118" s="78">
        <v>7.2983333333333338</v>
      </c>
      <c r="F118" s="78">
        <v>2.3483333333333318</v>
      </c>
      <c r="G118" s="78">
        <v>1.9912499999999997</v>
      </c>
      <c r="H118" s="78">
        <v>0.31375000000000036</v>
      </c>
      <c r="I118" s="78">
        <v>0.91499999999999981</v>
      </c>
      <c r="J118" s="158">
        <v>0.23833333333333354</v>
      </c>
      <c r="M118" s="103" t="s">
        <v>276</v>
      </c>
      <c r="N118" s="104">
        <v>3.3775508274231685</v>
      </c>
      <c r="O118" s="104">
        <v>0.30402064072242524</v>
      </c>
      <c r="P118" s="106" t="s">
        <v>650</v>
      </c>
      <c r="Q118" s="104">
        <v>1.4646596858638747</v>
      </c>
      <c r="T118"/>
      <c r="W118"/>
    </row>
    <row r="119" spans="1:23" ht="24.6" x14ac:dyDescent="0.4">
      <c r="B119" s="77" t="s">
        <v>277</v>
      </c>
      <c r="C119" s="78">
        <v>555.12300000000005</v>
      </c>
      <c r="D119" s="78">
        <v>334.46700000000004</v>
      </c>
      <c r="E119" s="78">
        <v>0.93666666666666665</v>
      </c>
      <c r="F119" s="78">
        <v>0.10666666666666687</v>
      </c>
      <c r="G119" s="78">
        <v>3.4145833333333337</v>
      </c>
      <c r="H119" s="78">
        <v>1.2679166666666661</v>
      </c>
      <c r="I119" s="78">
        <v>1.2333333333333334</v>
      </c>
      <c r="J119" s="158">
        <v>0.21000000000000008</v>
      </c>
      <c r="M119" s="101" t="s">
        <v>277</v>
      </c>
      <c r="N119" s="104">
        <v>0.93021853805576482</v>
      </c>
      <c r="O119" s="104">
        <v>1.3740685543964233</v>
      </c>
      <c r="P119" s="104">
        <v>1.9488215488215488</v>
      </c>
      <c r="Q119" s="104">
        <v>1.7044334975369464</v>
      </c>
      <c r="T119"/>
      <c r="W119"/>
    </row>
    <row r="120" spans="1:23" ht="24.6" x14ac:dyDescent="0.4">
      <c r="B120" s="77" t="s">
        <v>279</v>
      </c>
      <c r="C120" s="78">
        <v>240.01499999999999</v>
      </c>
      <c r="D120" s="78">
        <v>85.115000000000038</v>
      </c>
      <c r="E120" s="78">
        <v>585.33333333333303</v>
      </c>
      <c r="F120" s="78">
        <v>342.45333333333338</v>
      </c>
      <c r="G120" s="78">
        <v>50783.247916666667</v>
      </c>
      <c r="H120" s="78">
        <v>18946.984583333324</v>
      </c>
      <c r="I120" s="78">
        <v>41606.034999999996</v>
      </c>
      <c r="J120" s="158">
        <v>21631.76500000001</v>
      </c>
      <c r="M120" s="101" t="s">
        <v>279</v>
      </c>
      <c r="N120" s="104">
        <v>0.24804235659123866</v>
      </c>
      <c r="O120" s="104">
        <v>0.45844456308951775</v>
      </c>
      <c r="P120" s="104">
        <v>1.2570281124497991</v>
      </c>
      <c r="Q120" s="104">
        <v>0.70900692840646662</v>
      </c>
      <c r="T120"/>
      <c r="W120"/>
    </row>
    <row r="121" spans="1:23" ht="29.4" x14ac:dyDescent="0.4">
      <c r="B121" s="77" t="s">
        <v>281</v>
      </c>
      <c r="C121" s="78">
        <v>68.610500000000016</v>
      </c>
      <c r="D121" s="78">
        <v>63.235500000000016</v>
      </c>
      <c r="E121" s="78">
        <v>7.746666666666667</v>
      </c>
      <c r="F121" s="78">
        <v>4.5633333333333335</v>
      </c>
      <c r="G121" s="78">
        <v>10.426666666666666</v>
      </c>
      <c r="H121" s="78">
        <v>6.7783333333333315</v>
      </c>
      <c r="I121" s="78">
        <v>3.4133333333333336</v>
      </c>
      <c r="J121" s="158">
        <v>3.4133333333333336</v>
      </c>
      <c r="K121">
        <f>4/11</f>
        <v>0.36363636363636365</v>
      </c>
      <c r="M121" s="74" t="s">
        <v>281</v>
      </c>
      <c r="N121" s="104">
        <v>2.098967075532602</v>
      </c>
      <c r="O121" s="104">
        <v>0.45656327523837437</v>
      </c>
      <c r="P121" s="104">
        <v>3.8199385155906898</v>
      </c>
      <c r="Q121" s="104">
        <v>0.31585965988696635</v>
      </c>
      <c r="T121"/>
      <c r="W121"/>
    </row>
    <row r="122" spans="1:23" ht="24.6" x14ac:dyDescent="0.4">
      <c r="B122" s="77" t="s">
        <v>288</v>
      </c>
      <c r="C122" s="78">
        <v>2244.8924999999999</v>
      </c>
      <c r="D122" s="78">
        <v>834.0525000000008</v>
      </c>
      <c r="E122" s="78">
        <v>102.36833333333333</v>
      </c>
      <c r="F122" s="78">
        <v>54.82166666666668</v>
      </c>
      <c r="G122" s="78">
        <v>30.735416666666666</v>
      </c>
      <c r="H122" s="78">
        <v>13.467083333333337</v>
      </c>
      <c r="I122" s="78">
        <v>26.72666666666667</v>
      </c>
      <c r="J122" s="158">
        <v>15.256666666666673</v>
      </c>
      <c r="K122">
        <f>8/6</f>
        <v>1.3333333333333333</v>
      </c>
      <c r="M122" s="101" t="s">
        <v>288</v>
      </c>
      <c r="N122" s="104">
        <v>24.529488372093031</v>
      </c>
      <c r="O122" s="104">
        <v>0.21205076043785723</v>
      </c>
      <c r="P122" s="104">
        <v>0.25859734633089632</v>
      </c>
      <c r="Q122" s="104">
        <v>0</v>
      </c>
      <c r="T122"/>
      <c r="W122"/>
    </row>
    <row r="123" spans="1:23" ht="24.6" x14ac:dyDescent="0.4">
      <c r="A123" s="54"/>
      <c r="B123" s="77" t="s">
        <v>674</v>
      </c>
      <c r="C123" s="78">
        <v>30.176500000000001</v>
      </c>
      <c r="D123" s="78">
        <v>6.5815000000000072</v>
      </c>
      <c r="E123" s="78">
        <v>13.181666666666667</v>
      </c>
      <c r="F123" s="78">
        <v>3.3783333333333361</v>
      </c>
      <c r="G123" s="78">
        <v>3.8529166666666668</v>
      </c>
      <c r="H123" s="78">
        <v>2.0545833333333334</v>
      </c>
      <c r="I123" s="78">
        <v>9.25</v>
      </c>
      <c r="J123" s="158">
        <v>4.3033333333333319</v>
      </c>
      <c r="M123" s="101" t="s">
        <v>290</v>
      </c>
      <c r="N123" s="104">
        <v>0.45822189093991605</v>
      </c>
      <c r="O123" s="104">
        <v>0.39066417811963883</v>
      </c>
      <c r="P123" s="104">
        <v>0.30247895328371183</v>
      </c>
      <c r="Q123" s="104">
        <v>0.27320365224295345</v>
      </c>
      <c r="T123"/>
      <c r="W123"/>
    </row>
    <row r="124" spans="1:23" ht="24.6" x14ac:dyDescent="0.4">
      <c r="A124" s="54"/>
      <c r="B124" s="77" t="s">
        <v>293</v>
      </c>
      <c r="C124" s="78">
        <v>9.8390000000000004</v>
      </c>
      <c r="D124" s="78">
        <v>2.2109999999999994</v>
      </c>
      <c r="E124" s="78">
        <v>9.64</v>
      </c>
      <c r="F124" s="78">
        <v>4.0499999999999989</v>
      </c>
      <c r="G124" s="78">
        <v>17.13625</v>
      </c>
      <c r="H124" s="78">
        <v>11.531250000000002</v>
      </c>
      <c r="I124" s="78">
        <v>6.2166666666666677</v>
      </c>
      <c r="J124" s="158">
        <v>4.6466666666666674</v>
      </c>
      <c r="M124" s="101" t="s">
        <v>293</v>
      </c>
      <c r="N124" s="104">
        <v>1.5578724305997036</v>
      </c>
      <c r="O124" s="104">
        <v>0.30441529129637457</v>
      </c>
      <c r="P124" s="104">
        <v>0.59198872785829315</v>
      </c>
      <c r="Q124" s="104">
        <v>0.36497786522380715</v>
      </c>
      <c r="T124"/>
      <c r="W124"/>
    </row>
    <row r="125" spans="1:23" ht="24.6" x14ac:dyDescent="0.4">
      <c r="A125" s="54"/>
      <c r="B125" s="77" t="s">
        <v>296</v>
      </c>
      <c r="C125" s="78">
        <v>226.53500000000003</v>
      </c>
      <c r="D125" s="78">
        <v>123.79500000000003</v>
      </c>
      <c r="E125" s="78">
        <v>12.128333333333332</v>
      </c>
      <c r="F125" s="78">
        <v>11.518333333333334</v>
      </c>
      <c r="G125" s="78">
        <v>8.7533333333333321</v>
      </c>
      <c r="H125" s="78">
        <v>4.6816666666666675</v>
      </c>
      <c r="I125" s="78">
        <v>1.4933333333333334</v>
      </c>
      <c r="J125" s="158">
        <v>1.0433333333333332</v>
      </c>
      <c r="M125" s="101" t="s">
        <v>296</v>
      </c>
      <c r="N125" s="104">
        <v>0.63302904564315354</v>
      </c>
      <c r="O125" s="104">
        <v>0.19551757216359986</v>
      </c>
      <c r="P125" s="104">
        <v>2.4490161001788908</v>
      </c>
      <c r="Q125" s="104">
        <v>0.14452285977293647</v>
      </c>
      <c r="T125"/>
      <c r="W125"/>
    </row>
    <row r="126" spans="1:23" ht="24.6" x14ac:dyDescent="0.4">
      <c r="A126" s="54"/>
      <c r="B126" s="77" t="s">
        <v>297</v>
      </c>
      <c r="C126" s="78">
        <v>11.809999999999999</v>
      </c>
      <c r="D126" s="78">
        <v>0.78000000000000036</v>
      </c>
      <c r="E126" s="78">
        <v>5.2733333333333334</v>
      </c>
      <c r="F126" s="78">
        <v>0.64333333333333598</v>
      </c>
      <c r="G126" s="78">
        <v>7.330000000000001</v>
      </c>
      <c r="H126" s="78">
        <v>3.7699999999999996</v>
      </c>
      <c r="I126" s="78">
        <v>1.69</v>
      </c>
      <c r="J126" s="158">
        <v>0.42333333333333317</v>
      </c>
      <c r="M126" s="101" t="s">
        <v>297</v>
      </c>
      <c r="N126" s="104">
        <v>3.4098695736811373</v>
      </c>
      <c r="O126" s="104">
        <v>0.30306413596327997</v>
      </c>
      <c r="P126" s="104">
        <v>38.765027322404372</v>
      </c>
      <c r="Q126" s="104">
        <v>0.1773981603153745</v>
      </c>
      <c r="T126"/>
      <c r="W126"/>
    </row>
    <row r="127" spans="1:23" ht="24.6" x14ac:dyDescent="0.4">
      <c r="B127" s="77" t="s">
        <v>305</v>
      </c>
      <c r="C127" s="78">
        <v>306.79149999999998</v>
      </c>
      <c r="D127" s="78">
        <v>190.7835</v>
      </c>
      <c r="E127" s="78">
        <v>3.5766666666666671</v>
      </c>
      <c r="F127" s="78">
        <v>0.9933333333333324</v>
      </c>
      <c r="G127" s="78">
        <v>1.8312499999999998</v>
      </c>
      <c r="H127" s="78">
        <v>0.32874999999999999</v>
      </c>
      <c r="I127" s="78">
        <v>2.6583333333333337</v>
      </c>
      <c r="J127" s="158">
        <v>0.17833333333333368</v>
      </c>
      <c r="M127" s="101" t="s">
        <v>305</v>
      </c>
      <c r="N127" s="104">
        <v>0.87609213661636209</v>
      </c>
      <c r="O127" s="104">
        <v>0.32072072072072066</v>
      </c>
      <c r="P127" s="104">
        <v>1.2778977681785457</v>
      </c>
      <c r="Q127" s="104">
        <v>0.59936908517350151</v>
      </c>
      <c r="T127"/>
      <c r="W127"/>
    </row>
    <row r="128" spans="1:23" ht="24.6" x14ac:dyDescent="0.4">
      <c r="B128" s="77" t="s">
        <v>311</v>
      </c>
      <c r="C128" s="78">
        <v>2.2969999999999997</v>
      </c>
      <c r="D128" s="78">
        <v>0.47700000000000148</v>
      </c>
      <c r="E128" s="78">
        <v>1.6383333333333332</v>
      </c>
      <c r="F128" s="78">
        <v>0.12833333333333341</v>
      </c>
      <c r="G128" s="78">
        <v>2.1870833333333337</v>
      </c>
      <c r="H128" s="78">
        <v>0.95458333333333301</v>
      </c>
      <c r="I128" s="78">
        <v>1.68</v>
      </c>
      <c r="J128" s="158">
        <v>0.6933333333333338</v>
      </c>
      <c r="M128" s="101" t="s">
        <v>311</v>
      </c>
      <c r="N128" s="104">
        <v>0.23314676179470431</v>
      </c>
      <c r="O128" s="104">
        <v>1.4376039933444258</v>
      </c>
      <c r="P128" s="104">
        <v>0.56528081692195475</v>
      </c>
      <c r="Q128" s="104">
        <v>0.87426556991774362</v>
      </c>
      <c r="T128"/>
      <c r="W128"/>
    </row>
    <row r="129" spans="2:23" ht="24.6" x14ac:dyDescent="0.4">
      <c r="B129" s="77" t="s">
        <v>323</v>
      </c>
      <c r="C129" s="78">
        <v>18.308999999999997</v>
      </c>
      <c r="D129" s="78">
        <v>5.2610000000000028</v>
      </c>
      <c r="E129" s="78">
        <v>10.46</v>
      </c>
      <c r="F129" s="78">
        <v>4</v>
      </c>
      <c r="G129" s="78">
        <v>22.561250000000001</v>
      </c>
      <c r="H129" s="78">
        <v>6.3162499999999975</v>
      </c>
      <c r="I129" s="78">
        <v>5.2133333333333338</v>
      </c>
      <c r="J129" s="158">
        <v>0.86666666666666681</v>
      </c>
      <c r="M129" s="101" t="s">
        <v>323</v>
      </c>
      <c r="N129" s="104">
        <v>1.5241758241758243</v>
      </c>
      <c r="O129" s="104">
        <v>2.5490196078431375</v>
      </c>
      <c r="P129" s="104">
        <v>1.1699779249448126</v>
      </c>
      <c r="Q129" s="104">
        <v>2.4054054054054061</v>
      </c>
      <c r="T129"/>
      <c r="W129"/>
    </row>
    <row r="130" spans="2:23" ht="24.6" x14ac:dyDescent="0.4">
      <c r="B130" s="77" t="s">
        <v>325</v>
      </c>
      <c r="C130" s="78">
        <v>1.9</v>
      </c>
      <c r="D130" s="78">
        <v>0.18999999999999984</v>
      </c>
      <c r="E130" s="78">
        <v>2.37</v>
      </c>
      <c r="F130" s="78">
        <v>1.7000000000000004</v>
      </c>
      <c r="G130" s="78">
        <v>1.98875</v>
      </c>
      <c r="H130" s="78">
        <v>0.35874999999999857</v>
      </c>
      <c r="I130" s="78">
        <v>1.7000000000000002</v>
      </c>
      <c r="J130" s="158">
        <v>1.7000000000000002</v>
      </c>
      <c r="M130" s="101" t="s">
        <v>325</v>
      </c>
      <c r="N130" s="104">
        <v>0.55358506576156119</v>
      </c>
      <c r="O130" s="104">
        <v>0.56254869708250366</v>
      </c>
      <c r="P130" s="104">
        <v>0.44674965421853385</v>
      </c>
      <c r="Q130" s="104">
        <v>1.3987730061349695</v>
      </c>
      <c r="T130"/>
      <c r="W130"/>
    </row>
    <row r="131" spans="2:23" ht="24.6" x14ac:dyDescent="0.4">
      <c r="B131" s="162" t="s">
        <v>447</v>
      </c>
      <c r="C131" s="162">
        <f>AVERAGE(C121:C130,C112:C119)</f>
        <v>217.79599999999999</v>
      </c>
      <c r="D131" s="162">
        <f>_xlfn.STDEV.P(C121:C130,C112:C119)</f>
        <v>512.05000684457355</v>
      </c>
      <c r="E131" s="162">
        <f>AVERAGE(E121:E130,E112:E119)</f>
        <v>18.610555555555557</v>
      </c>
      <c r="F131" s="162">
        <f>_xlfn.STDEV.P(F121:F130,F112:F119)</f>
        <v>12.48353613981968</v>
      </c>
      <c r="G131" s="162">
        <f>AVERAGE(G121:G130,G112:G119)</f>
        <v>16.052152777777778</v>
      </c>
      <c r="H131" s="162">
        <f>_xlfn.STDEV.P(H121:H130,H112:H119)</f>
        <v>13.167080807078348</v>
      </c>
      <c r="I131" s="162">
        <f>AVERAGE(I121:I130,I112:I119)</f>
        <v>10.36435185185185</v>
      </c>
      <c r="J131" s="163">
        <f>_xlfn.STDEV.P(J121:J130,J112:J119)</f>
        <v>9.019931059525188</v>
      </c>
      <c r="M131" s="101" t="s">
        <v>447</v>
      </c>
      <c r="N131" s="104">
        <f>AVERAGE(N112:N130)</f>
        <v>2.5760291434882645</v>
      </c>
      <c r="O131" s="104">
        <f t="shared" ref="O131:Q131" si="32">AVERAGE(O112:O130)</f>
        <v>0.68306595572245121</v>
      </c>
      <c r="P131" s="104">
        <f t="shared" si="32"/>
        <v>3.7147294182671242</v>
      </c>
      <c r="Q131" s="104">
        <f t="shared" si="32"/>
        <v>0.94892210365240326</v>
      </c>
      <c r="T131"/>
      <c r="W131"/>
    </row>
    <row r="132" spans="2:23" ht="17.399999999999999" x14ac:dyDescent="0.3">
      <c r="B132" s="168" t="s">
        <v>673</v>
      </c>
      <c r="C132" s="54"/>
      <c r="D132" s="165"/>
      <c r="E132" s="165"/>
      <c r="F132" s="165"/>
      <c r="G132" s="165"/>
      <c r="H132" s="165"/>
      <c r="I132" s="165"/>
      <c r="J132" s="166"/>
      <c r="M132" s="101" t="s">
        <v>651</v>
      </c>
      <c r="N132" s="107">
        <f>COUNTIF(N112:N131,"&lt;1")</f>
        <v>9</v>
      </c>
      <c r="O132" s="107">
        <f>COUNTIF(O112:O131,"&lt;1")</f>
        <v>16</v>
      </c>
      <c r="P132" s="107">
        <f>COUNTIF(P112:P131,"&lt;1")</f>
        <v>6</v>
      </c>
      <c r="Q132" s="107">
        <f>COUNTIF(Q112:Q131,"&lt;1")</f>
        <v>14</v>
      </c>
      <c r="R132">
        <f>SUM(N132:Q132)</f>
        <v>45</v>
      </c>
      <c r="T132"/>
      <c r="W132"/>
    </row>
    <row r="133" spans="2:23" ht="17.399999999999999" x14ac:dyDescent="0.3">
      <c r="B133" s="54"/>
      <c r="C133" s="54"/>
      <c r="D133" s="165"/>
      <c r="E133" s="165"/>
      <c r="F133" s="165"/>
      <c r="G133" s="165"/>
      <c r="H133" s="165"/>
      <c r="I133" s="165"/>
      <c r="J133" s="166"/>
      <c r="M133" s="101" t="s">
        <v>652</v>
      </c>
      <c r="N133" s="108">
        <f>COUNTIF(N113:N132,"&gt;1")</f>
        <v>11</v>
      </c>
      <c r="O133" s="108">
        <f t="shared" ref="O133:Q133" si="33">COUNTIF(O113:O132,"&gt;1")</f>
        <v>5</v>
      </c>
      <c r="P133" s="108">
        <f t="shared" si="33"/>
        <v>13</v>
      </c>
      <c r="Q133" s="108">
        <f t="shared" si="33"/>
        <v>7</v>
      </c>
      <c r="R133">
        <f>SUM(N133:Q133)</f>
        <v>36</v>
      </c>
      <c r="T133"/>
      <c r="W133"/>
    </row>
    <row r="134" spans="2:23" ht="17.399999999999999" x14ac:dyDescent="0.3">
      <c r="B134"/>
      <c r="D134" s="83"/>
      <c r="I134" s="83"/>
      <c r="J134" s="146"/>
      <c r="M134" s="101"/>
      <c r="N134"/>
      <c r="P134"/>
      <c r="T134"/>
      <c r="W134"/>
    </row>
    <row r="135" spans="2:23" ht="17.399999999999999" x14ac:dyDescent="0.3">
      <c r="B135"/>
      <c r="D135" s="83"/>
      <c r="I135" s="83"/>
      <c r="J135" s="146"/>
      <c r="M135" s="101"/>
      <c r="N135"/>
      <c r="P135"/>
      <c r="T135"/>
      <c r="W135"/>
    </row>
    <row r="136" spans="2:23" x14ac:dyDescent="0.25">
      <c r="C136" t="s">
        <v>257</v>
      </c>
      <c r="D136" s="83" t="s">
        <v>260</v>
      </c>
      <c r="E136" s="83" t="s">
        <v>262</v>
      </c>
      <c r="F136" s="83" t="s">
        <v>264</v>
      </c>
      <c r="G136" s="83" t="s">
        <v>265</v>
      </c>
      <c r="H136" s="83" t="s">
        <v>267</v>
      </c>
      <c r="I136" s="83" t="s">
        <v>270</v>
      </c>
      <c r="J136" s="147" t="s">
        <v>276</v>
      </c>
      <c r="K136" t="s">
        <v>277</v>
      </c>
      <c r="L136" t="s">
        <v>279</v>
      </c>
      <c r="M136" t="s">
        <v>281</v>
      </c>
      <c r="N136" t="s">
        <v>288</v>
      </c>
      <c r="O136" t="s">
        <v>290</v>
      </c>
      <c r="P136" t="s">
        <v>293</v>
      </c>
      <c r="Q136" t="s">
        <v>296</v>
      </c>
      <c r="R136" t="s">
        <v>297</v>
      </c>
      <c r="S136" t="s">
        <v>305</v>
      </c>
      <c r="T136" t="s">
        <v>311</v>
      </c>
      <c r="U136" t="s">
        <v>323</v>
      </c>
      <c r="V136" t="s">
        <v>325</v>
      </c>
      <c r="W136" s="76" t="s">
        <v>447</v>
      </c>
    </row>
    <row r="137" spans="2:23" x14ac:dyDescent="0.25">
      <c r="B137" s="74" t="s">
        <v>573</v>
      </c>
      <c r="C137">
        <v>1.5884856070087607</v>
      </c>
      <c r="D137">
        <v>0.48429617575264444</v>
      </c>
      <c r="E137">
        <v>0.9065314352049858</v>
      </c>
      <c r="F137">
        <v>1.8852284671984174</v>
      </c>
      <c r="G137">
        <v>1.8282645388982659</v>
      </c>
      <c r="H137">
        <v>1.821487603305785</v>
      </c>
      <c r="I137">
        <v>3.3775508274231685</v>
      </c>
      <c r="J137" s="146">
        <v>0.93021853805576482</v>
      </c>
      <c r="K137">
        <v>0.24804235659123866</v>
      </c>
      <c r="L137">
        <v>2.098967075532602</v>
      </c>
      <c r="M137">
        <v>24.529488372093031</v>
      </c>
      <c r="N137">
        <v>0.45822189093991605</v>
      </c>
      <c r="O137">
        <v>1.5578724305997036</v>
      </c>
      <c r="P137">
        <v>0.63302904564315354</v>
      </c>
      <c r="Q137">
        <v>3.4098695736811373</v>
      </c>
      <c r="R137">
        <v>0.87609213661636209</v>
      </c>
      <c r="S137">
        <v>0.23314676179470431</v>
      </c>
      <c r="T137">
        <v>1.5241758241758243</v>
      </c>
      <c r="U137">
        <v>0.55358506576156119</v>
      </c>
      <c r="V137">
        <v>0.81818181818181834</v>
      </c>
      <c r="W137" s="81">
        <f>AVERAGE(C137:V137)</f>
        <v>2.4881367772229424</v>
      </c>
    </row>
    <row r="138" spans="2:23" x14ac:dyDescent="0.25">
      <c r="B138" s="74" t="s">
        <v>582</v>
      </c>
      <c r="C138">
        <v>0.14565826330532214</v>
      </c>
      <c r="D138">
        <v>0.73861827443489347</v>
      </c>
      <c r="E138">
        <v>0.34111305140080478</v>
      </c>
      <c r="F138">
        <v>0.3072010704293881</v>
      </c>
      <c r="G138">
        <v>0.24699417877155758</v>
      </c>
      <c r="H138">
        <v>2.3299663299663305</v>
      </c>
      <c r="I138">
        <v>0.30402064072242524</v>
      </c>
      <c r="J138" s="146">
        <v>1.3740685543964233</v>
      </c>
      <c r="K138">
        <v>0.45844456308951775</v>
      </c>
      <c r="L138">
        <v>0.45656327523837437</v>
      </c>
      <c r="M138">
        <v>0.21205076043785723</v>
      </c>
      <c r="N138">
        <v>0.39066417811963883</v>
      </c>
      <c r="O138">
        <v>0.30441529129637457</v>
      </c>
      <c r="P138">
        <v>0.19551757216359986</v>
      </c>
      <c r="Q138">
        <v>0.30306413596327997</v>
      </c>
      <c r="R138">
        <v>0.32072072072072066</v>
      </c>
      <c r="S138">
        <v>1.4376039933444258</v>
      </c>
      <c r="T138">
        <v>2.5490196078431375</v>
      </c>
      <c r="U138">
        <v>0.56254869708250366</v>
      </c>
      <c r="V138">
        <v>0.6943556975505859</v>
      </c>
      <c r="W138" s="81">
        <f t="shared" ref="W138:W140" si="34">AVERAGE(C138:V138)</f>
        <v>0.68363044281385799</v>
      </c>
    </row>
    <row r="139" spans="2:23" x14ac:dyDescent="0.25">
      <c r="B139" s="74" t="s">
        <v>576</v>
      </c>
      <c r="C139">
        <v>6.6544502617801058</v>
      </c>
      <c r="D139">
        <v>0.9392156862745098</v>
      </c>
      <c r="E139">
        <v>2.0472103004291844</v>
      </c>
      <c r="F139">
        <v>1.3759148369926815</v>
      </c>
      <c r="G139">
        <v>1.7763998496805715</v>
      </c>
      <c r="H139">
        <v>1.2191358024691357</v>
      </c>
      <c r="I139" t="s">
        <v>649</v>
      </c>
      <c r="J139" s="146">
        <v>1.9488215488215488</v>
      </c>
      <c r="K139">
        <v>1.2570281124497991</v>
      </c>
      <c r="L139">
        <v>3.8199385155906898</v>
      </c>
      <c r="M139">
        <v>0.25859734633089632</v>
      </c>
      <c r="N139">
        <v>0.30247895328371183</v>
      </c>
      <c r="O139">
        <v>0.59198872785829315</v>
      </c>
      <c r="P139">
        <v>2.4490161001788908</v>
      </c>
      <c r="Q139">
        <v>38.765027322404372</v>
      </c>
      <c r="R139">
        <v>1.2778977681785457</v>
      </c>
      <c r="S139">
        <v>0.56528081692195475</v>
      </c>
      <c r="T139">
        <v>1.1699779249448126</v>
      </c>
      <c r="U139">
        <v>0.44674965421853385</v>
      </c>
      <c r="V139">
        <v>0.16461916461916462</v>
      </c>
      <c r="W139" s="81">
        <f t="shared" si="34"/>
        <v>3.5278815101803898</v>
      </c>
    </row>
    <row r="140" spans="2:23" x14ac:dyDescent="0.25">
      <c r="B140" s="74" t="s">
        <v>577</v>
      </c>
      <c r="C140" s="55">
        <v>0</v>
      </c>
      <c r="D140">
        <v>2</v>
      </c>
      <c r="E140">
        <v>0.72317841376915826</v>
      </c>
      <c r="F140">
        <v>0.21648677176614792</v>
      </c>
      <c r="G140">
        <v>0.13770913770913767</v>
      </c>
      <c r="H140">
        <v>4.5202702702702702</v>
      </c>
      <c r="I140">
        <v>1.4646596858638747</v>
      </c>
      <c r="J140" s="146">
        <v>1.7044334975369464</v>
      </c>
      <c r="K140">
        <v>0.70900692840646662</v>
      </c>
      <c r="L140">
        <v>0.31585965988696635</v>
      </c>
      <c r="M140">
        <v>0</v>
      </c>
      <c r="N140">
        <v>0.27320365224295345</v>
      </c>
      <c r="O140">
        <v>0.36497786522380715</v>
      </c>
      <c r="P140">
        <v>0.14452285977293647</v>
      </c>
      <c r="Q140">
        <v>0.1773981603153745</v>
      </c>
      <c r="R140">
        <v>0.59936908517350151</v>
      </c>
      <c r="S140">
        <v>0.87426556991774362</v>
      </c>
      <c r="T140">
        <v>2.4054054054054061</v>
      </c>
      <c r="U140">
        <v>1.3987730061349695</v>
      </c>
      <c r="V140">
        <v>0</v>
      </c>
      <c r="W140" s="81">
        <f t="shared" si="34"/>
        <v>0.9014759984697831</v>
      </c>
    </row>
    <row r="141" spans="2:23" x14ac:dyDescent="0.25">
      <c r="B141" s="74"/>
      <c r="D141" s="83"/>
      <c r="I141" s="83"/>
      <c r="J141" s="146"/>
      <c r="N141"/>
      <c r="P141"/>
      <c r="T141"/>
      <c r="W141"/>
    </row>
    <row r="142" spans="2:23" x14ac:dyDescent="0.25">
      <c r="B142" s="74"/>
      <c r="D142" s="83"/>
      <c r="I142" s="83"/>
      <c r="J142" s="146"/>
      <c r="N142"/>
      <c r="P142"/>
      <c r="T142"/>
      <c r="W142"/>
    </row>
    <row r="143" spans="2:23" x14ac:dyDescent="0.25">
      <c r="B143" s="74"/>
      <c r="D143" s="83"/>
      <c r="I143" s="83"/>
      <c r="J143" s="146"/>
      <c r="N143"/>
      <c r="P143"/>
      <c r="T143"/>
      <c r="W143"/>
    </row>
    <row r="144" spans="2:23" x14ac:dyDescent="0.25">
      <c r="B144" s="74"/>
      <c r="D144" s="83"/>
      <c r="I144" s="83"/>
      <c r="J144" s="146"/>
      <c r="N144"/>
      <c r="P144"/>
      <c r="T144"/>
      <c r="W144"/>
    </row>
    <row r="145" spans="2:23" x14ac:dyDescent="0.25">
      <c r="B145" s="74"/>
      <c r="D145" s="83"/>
      <c r="I145" s="83"/>
      <c r="J145" s="146"/>
      <c r="N145"/>
      <c r="P145"/>
      <c r="T145"/>
      <c r="W145"/>
    </row>
    <row r="146" spans="2:23" x14ac:dyDescent="0.25">
      <c r="B146"/>
      <c r="D146" s="83"/>
      <c r="I146" s="83"/>
      <c r="J146" s="146"/>
      <c r="N146"/>
      <c r="P146"/>
      <c r="T146"/>
      <c r="W146"/>
    </row>
    <row r="147" spans="2:23" x14ac:dyDescent="0.25">
      <c r="B147"/>
      <c r="D147" s="83"/>
      <c r="I147" s="83"/>
      <c r="J147" s="146"/>
      <c r="N147"/>
      <c r="P147"/>
      <c r="T147"/>
      <c r="W147"/>
    </row>
    <row r="148" spans="2:23" x14ac:dyDescent="0.25">
      <c r="B148"/>
      <c r="D148" s="83"/>
      <c r="I148" s="83"/>
      <c r="J148" s="146"/>
      <c r="N148"/>
      <c r="P148"/>
      <c r="T148"/>
      <c r="W148"/>
    </row>
    <row r="149" spans="2:23" x14ac:dyDescent="0.25">
      <c r="B149"/>
      <c r="D149" s="83"/>
      <c r="I149" s="83"/>
      <c r="J149" s="146"/>
      <c r="N149"/>
      <c r="P149"/>
      <c r="T149"/>
      <c r="W149"/>
    </row>
    <row r="150" spans="2:23" x14ac:dyDescent="0.25">
      <c r="B150"/>
      <c r="D150" s="83"/>
      <c r="I150" s="83"/>
      <c r="J150" s="146"/>
      <c r="N150"/>
      <c r="P150"/>
      <c r="T150"/>
      <c r="W150"/>
    </row>
    <row r="151" spans="2:23" x14ac:dyDescent="0.25">
      <c r="B151"/>
      <c r="D151" s="83"/>
      <c r="I151" s="83"/>
      <c r="J151" s="146"/>
      <c r="N151"/>
      <c r="P151"/>
      <c r="T151"/>
      <c r="W151"/>
    </row>
    <row r="152" spans="2:23" x14ac:dyDescent="0.25">
      <c r="B152"/>
      <c r="D152" s="83"/>
      <c r="I152" s="83"/>
      <c r="J152" s="146"/>
      <c r="N152"/>
      <c r="P152"/>
      <c r="T152"/>
      <c r="W152"/>
    </row>
    <row r="153" spans="2:23" x14ac:dyDescent="0.25">
      <c r="B153"/>
      <c r="D153" s="83"/>
      <c r="I153" s="83"/>
      <c r="J153" s="146"/>
      <c r="N153"/>
      <c r="P153"/>
      <c r="T153"/>
      <c r="W153"/>
    </row>
    <row r="154" spans="2:23" x14ac:dyDescent="0.25">
      <c r="B154"/>
      <c r="D154" s="83"/>
      <c r="I154" s="83"/>
      <c r="J154" s="146"/>
      <c r="N154"/>
      <c r="P154"/>
      <c r="T154"/>
      <c r="W154"/>
    </row>
    <row r="155" spans="2:23" x14ac:dyDescent="0.25">
      <c r="B155"/>
      <c r="D155" s="83"/>
      <c r="I155" s="83"/>
      <c r="J155" s="146"/>
      <c r="N155"/>
      <c r="P155"/>
      <c r="T155"/>
      <c r="W155"/>
    </row>
    <row r="156" spans="2:23" x14ac:dyDescent="0.25">
      <c r="B156"/>
      <c r="D156" s="83"/>
      <c r="I156" s="83"/>
      <c r="J156" s="146"/>
      <c r="N156"/>
      <c r="P156"/>
      <c r="T156"/>
      <c r="W156"/>
    </row>
    <row r="157" spans="2:23" x14ac:dyDescent="0.25">
      <c r="B157"/>
      <c r="D157" s="83"/>
      <c r="I157" s="83"/>
      <c r="J157" s="146"/>
      <c r="N157"/>
      <c r="P157"/>
      <c r="T157"/>
      <c r="W157"/>
    </row>
    <row r="158" spans="2:23" x14ac:dyDescent="0.25">
      <c r="B158"/>
      <c r="D158" s="83"/>
      <c r="I158" s="83"/>
      <c r="J158" s="146"/>
      <c r="N158"/>
      <c r="P158"/>
      <c r="T158"/>
      <c r="W158"/>
    </row>
    <row r="159" spans="2:23" x14ac:dyDescent="0.25">
      <c r="B159"/>
      <c r="D159" s="83"/>
      <c r="I159" s="83"/>
      <c r="J159" s="146"/>
      <c r="N159"/>
      <c r="P159"/>
      <c r="T159"/>
      <c r="W159"/>
    </row>
    <row r="160" spans="2:23" x14ac:dyDescent="0.25">
      <c r="B160"/>
      <c r="D160" s="83"/>
      <c r="I160" s="83"/>
      <c r="J160" s="146"/>
      <c r="N160"/>
      <c r="P160"/>
      <c r="T160"/>
      <c r="W160"/>
    </row>
    <row r="161" spans="2:23" x14ac:dyDescent="0.25">
      <c r="B161"/>
      <c r="D161" s="83"/>
      <c r="I161" s="83"/>
      <c r="J161" s="146"/>
      <c r="N161"/>
      <c r="P161"/>
      <c r="T161"/>
      <c r="W161"/>
    </row>
    <row r="162" spans="2:23" x14ac:dyDescent="0.25">
      <c r="B162"/>
      <c r="D162" s="83"/>
      <c r="I162" s="83"/>
      <c r="J162" s="146"/>
      <c r="N162"/>
      <c r="P162"/>
      <c r="T162"/>
      <c r="W162"/>
    </row>
    <row r="163" spans="2:23" x14ac:dyDescent="0.25">
      <c r="B163"/>
      <c r="D163" s="83"/>
      <c r="I163" s="83"/>
      <c r="J163" s="146"/>
      <c r="N163"/>
      <c r="P163"/>
      <c r="T163"/>
      <c r="W163"/>
    </row>
    <row r="164" spans="2:23" x14ac:dyDescent="0.25">
      <c r="B164"/>
      <c r="D164" s="83"/>
      <c r="I164" s="83"/>
      <c r="J164" s="146"/>
      <c r="N164"/>
      <c r="P164"/>
      <c r="T164"/>
      <c r="W164"/>
    </row>
    <row r="165" spans="2:23" x14ac:dyDescent="0.25">
      <c r="B165"/>
      <c r="D165" s="83"/>
      <c r="I165" s="83"/>
      <c r="J165" s="146"/>
      <c r="N165"/>
      <c r="P165"/>
      <c r="T165"/>
      <c r="W165"/>
    </row>
    <row r="166" spans="2:23" x14ac:dyDescent="0.25">
      <c r="B166"/>
      <c r="D166" s="83"/>
      <c r="I166" s="83"/>
      <c r="J166" s="146"/>
      <c r="N166"/>
      <c r="P166"/>
      <c r="T166"/>
      <c r="W166"/>
    </row>
    <row r="167" spans="2:23" x14ac:dyDescent="0.25">
      <c r="B167"/>
      <c r="D167" s="83"/>
      <c r="I167" s="83"/>
      <c r="J167" s="146"/>
      <c r="N167"/>
      <c r="P167"/>
      <c r="T167"/>
      <c r="W167"/>
    </row>
    <row r="168" spans="2:23" x14ac:dyDescent="0.25">
      <c r="B168"/>
      <c r="D168" s="83"/>
      <c r="I168" s="83"/>
      <c r="J168" s="146"/>
      <c r="N168"/>
      <c r="P168"/>
      <c r="T168"/>
      <c r="W168"/>
    </row>
    <row r="169" spans="2:23" x14ac:dyDescent="0.25">
      <c r="B169"/>
      <c r="D169" s="83"/>
      <c r="I169" s="83"/>
      <c r="J169" s="146"/>
      <c r="N169"/>
      <c r="P169"/>
      <c r="T169"/>
      <c r="W169"/>
    </row>
    <row r="170" spans="2:23" x14ac:dyDescent="0.25">
      <c r="B170"/>
      <c r="D170" s="83"/>
      <c r="I170" s="83"/>
      <c r="J170" s="146"/>
      <c r="N170"/>
      <c r="P170"/>
      <c r="T170"/>
      <c r="W170"/>
    </row>
    <row r="171" spans="2:23" x14ac:dyDescent="0.25">
      <c r="B171"/>
      <c r="D171" s="83"/>
      <c r="I171" s="83"/>
      <c r="J171" s="146"/>
      <c r="N171"/>
      <c r="P171"/>
      <c r="T171"/>
      <c r="W171"/>
    </row>
    <row r="172" spans="2:23" x14ac:dyDescent="0.25">
      <c r="B172"/>
      <c r="D172" s="83"/>
      <c r="I172" s="83"/>
      <c r="J172" s="146"/>
      <c r="N172"/>
      <c r="P172"/>
      <c r="T172"/>
      <c r="W172"/>
    </row>
    <row r="173" spans="2:23" x14ac:dyDescent="0.25">
      <c r="B173"/>
      <c r="D173" s="83"/>
      <c r="I173" s="83"/>
      <c r="J173" s="146"/>
      <c r="N173"/>
      <c r="P173"/>
      <c r="T173"/>
      <c r="W173"/>
    </row>
    <row r="174" spans="2:23" x14ac:dyDescent="0.25">
      <c r="B174"/>
      <c r="D174" s="83"/>
      <c r="I174" s="83"/>
      <c r="J174" s="146"/>
      <c r="N174"/>
      <c r="P174"/>
      <c r="T174"/>
      <c r="W174"/>
    </row>
    <row r="175" spans="2:23" x14ac:dyDescent="0.25">
      <c r="B175"/>
      <c r="D175" s="83"/>
      <c r="I175" s="83"/>
      <c r="J175" s="146"/>
      <c r="N175"/>
      <c r="P175"/>
      <c r="T175"/>
      <c r="W175"/>
    </row>
    <row r="176" spans="2:23" x14ac:dyDescent="0.25">
      <c r="B176"/>
      <c r="D176" s="83"/>
      <c r="I176" s="83"/>
      <c r="J176" s="146"/>
      <c r="N176"/>
      <c r="P176"/>
      <c r="T176"/>
      <c r="W176"/>
    </row>
    <row r="177" spans="2:23" x14ac:dyDescent="0.25">
      <c r="B177"/>
      <c r="D177" s="83"/>
      <c r="I177" s="83"/>
      <c r="J177" s="146"/>
      <c r="N177"/>
      <c r="P177"/>
      <c r="T177"/>
      <c r="W177"/>
    </row>
    <row r="178" spans="2:23" x14ac:dyDescent="0.25">
      <c r="B178"/>
      <c r="D178" s="83"/>
      <c r="I178" s="83"/>
      <c r="J178" s="146"/>
      <c r="N178"/>
      <c r="P178"/>
      <c r="T178"/>
      <c r="W178"/>
    </row>
    <row r="179" spans="2:23" x14ac:dyDescent="0.25">
      <c r="B179"/>
      <c r="D179" s="83"/>
      <c r="I179" s="83"/>
      <c r="J179" s="146"/>
      <c r="N179"/>
      <c r="P179"/>
      <c r="T179"/>
      <c r="W179"/>
    </row>
    <row r="180" spans="2:23" x14ac:dyDescent="0.25">
      <c r="B180"/>
      <c r="D180" s="83"/>
      <c r="I180" s="83"/>
      <c r="J180" s="146"/>
      <c r="N180"/>
      <c r="P180"/>
      <c r="T180"/>
      <c r="W180"/>
    </row>
    <row r="181" spans="2:23" x14ac:dyDescent="0.25">
      <c r="B181"/>
      <c r="D181" s="83"/>
      <c r="I181" s="83"/>
      <c r="J181" s="146"/>
      <c r="N181"/>
      <c r="P181"/>
      <c r="T181"/>
      <c r="W181"/>
    </row>
    <row r="182" spans="2:23" x14ac:dyDescent="0.25">
      <c r="B182"/>
      <c r="D182" s="83"/>
      <c r="I182" s="83"/>
      <c r="J182" s="146"/>
      <c r="N182"/>
      <c r="P182"/>
      <c r="T182"/>
      <c r="W182"/>
    </row>
    <row r="183" spans="2:23" x14ac:dyDescent="0.25">
      <c r="B183"/>
      <c r="D183" s="83"/>
      <c r="I183" s="83"/>
      <c r="J183" s="146"/>
      <c r="N183"/>
      <c r="P183"/>
      <c r="T183"/>
      <c r="W183"/>
    </row>
    <row r="184" spans="2:23" x14ac:dyDescent="0.25">
      <c r="B184"/>
      <c r="D184" s="83"/>
      <c r="I184" s="83"/>
      <c r="J184" s="146"/>
      <c r="N184"/>
      <c r="P184"/>
      <c r="T184"/>
      <c r="W184"/>
    </row>
    <row r="185" spans="2:23" x14ac:dyDescent="0.25">
      <c r="B185"/>
      <c r="D185" s="83"/>
      <c r="I185" s="83"/>
      <c r="J185" s="146"/>
      <c r="N185"/>
      <c r="P185"/>
      <c r="T185"/>
      <c r="W185"/>
    </row>
    <row r="186" spans="2:23" x14ac:dyDescent="0.25">
      <c r="B186"/>
      <c r="D186" s="83"/>
      <c r="I186" s="83"/>
      <c r="J186" s="146"/>
      <c r="N186"/>
      <c r="P186"/>
      <c r="T186"/>
      <c r="W186"/>
    </row>
    <row r="187" spans="2:23" x14ac:dyDescent="0.25">
      <c r="B187"/>
      <c r="D187" s="83"/>
      <c r="I187" s="83"/>
      <c r="J187" s="146"/>
      <c r="N187"/>
      <c r="P187"/>
      <c r="T187"/>
      <c r="W187"/>
    </row>
    <row r="188" spans="2:23" x14ac:dyDescent="0.25">
      <c r="B188"/>
      <c r="D188" s="83"/>
      <c r="I188" s="83"/>
      <c r="J188" s="146"/>
      <c r="N188"/>
      <c r="P188"/>
      <c r="T188"/>
      <c r="W188"/>
    </row>
    <row r="189" spans="2:23" x14ac:dyDescent="0.25">
      <c r="B189"/>
      <c r="D189" s="83"/>
      <c r="I189" s="83"/>
      <c r="J189" s="146"/>
      <c r="N189"/>
      <c r="P189"/>
      <c r="T189"/>
      <c r="W189"/>
    </row>
    <row r="190" spans="2:23" x14ac:dyDescent="0.25">
      <c r="B190"/>
      <c r="D190" s="83"/>
      <c r="I190" s="83"/>
      <c r="J190" s="146"/>
      <c r="N190"/>
      <c r="P190"/>
      <c r="T190"/>
      <c r="W190"/>
    </row>
    <row r="191" spans="2:23" x14ac:dyDescent="0.25">
      <c r="B191"/>
      <c r="D191" s="83"/>
      <c r="I191" s="83"/>
      <c r="J191" s="146"/>
      <c r="N191"/>
      <c r="P191"/>
      <c r="T191"/>
      <c r="W191"/>
    </row>
    <row r="192" spans="2:23" x14ac:dyDescent="0.25">
      <c r="B192"/>
      <c r="D192" s="83"/>
      <c r="I192" s="83"/>
      <c r="J192" s="146"/>
      <c r="N192"/>
      <c r="P192"/>
      <c r="T192"/>
      <c r="W192"/>
    </row>
    <row r="193" spans="2:23" x14ac:dyDescent="0.25">
      <c r="B193"/>
      <c r="D193" s="83"/>
      <c r="I193" s="83"/>
      <c r="J193" s="146"/>
      <c r="N193"/>
      <c r="P193"/>
      <c r="T193"/>
      <c r="W193"/>
    </row>
    <row r="194" spans="2:23" x14ac:dyDescent="0.25">
      <c r="B194"/>
      <c r="D194" s="83"/>
      <c r="I194" s="83"/>
      <c r="J194" s="146"/>
      <c r="N194"/>
      <c r="P194"/>
      <c r="T194"/>
      <c r="W194"/>
    </row>
    <row r="195" spans="2:23" x14ac:dyDescent="0.25">
      <c r="B195"/>
      <c r="D195" s="83"/>
      <c r="I195" s="83"/>
      <c r="J195" s="146"/>
      <c r="N195"/>
      <c r="P195"/>
      <c r="T195"/>
      <c r="W195"/>
    </row>
    <row r="196" spans="2:23" x14ac:dyDescent="0.25">
      <c r="B196"/>
      <c r="D196" s="83"/>
      <c r="I196" s="83"/>
      <c r="J196" s="146"/>
      <c r="N196"/>
      <c r="P196"/>
      <c r="T196"/>
      <c r="W196"/>
    </row>
    <row r="197" spans="2:23" x14ac:dyDescent="0.25">
      <c r="B197"/>
      <c r="D197" s="83"/>
      <c r="I197" s="83"/>
      <c r="J197" s="146"/>
      <c r="N197"/>
      <c r="P197"/>
      <c r="T197"/>
      <c r="W197"/>
    </row>
    <row r="198" spans="2:23" x14ac:dyDescent="0.25">
      <c r="B198"/>
      <c r="D198" s="83"/>
      <c r="I198" s="83"/>
      <c r="J198" s="146"/>
      <c r="N198"/>
      <c r="P198"/>
      <c r="T198"/>
      <c r="W198"/>
    </row>
    <row r="199" spans="2:23" x14ac:dyDescent="0.25">
      <c r="B199"/>
      <c r="D199" s="83"/>
      <c r="I199" s="83"/>
      <c r="J199" s="146"/>
      <c r="N199"/>
      <c r="P199"/>
      <c r="T199"/>
      <c r="W199"/>
    </row>
    <row r="200" spans="2:23" x14ac:dyDescent="0.25">
      <c r="B200"/>
      <c r="D200" s="83"/>
      <c r="I200" s="83"/>
      <c r="J200" s="146"/>
      <c r="N200"/>
      <c r="P200"/>
      <c r="T200"/>
      <c r="W200"/>
    </row>
    <row r="201" spans="2:23" x14ac:dyDescent="0.25">
      <c r="B201"/>
      <c r="D201" s="83"/>
      <c r="I201" s="83"/>
      <c r="J201" s="146"/>
      <c r="N201"/>
      <c r="P201"/>
      <c r="T201"/>
      <c r="W201"/>
    </row>
    <row r="202" spans="2:23" x14ac:dyDescent="0.25">
      <c r="B202"/>
      <c r="D202" s="83"/>
      <c r="I202" s="83"/>
      <c r="J202" s="146"/>
      <c r="N202"/>
      <c r="P202"/>
      <c r="T202"/>
      <c r="W202"/>
    </row>
    <row r="203" spans="2:23" x14ac:dyDescent="0.25">
      <c r="B203"/>
      <c r="D203" s="83"/>
      <c r="I203" s="83"/>
      <c r="J203" s="146"/>
      <c r="N203"/>
      <c r="P203"/>
      <c r="T203"/>
      <c r="W203"/>
    </row>
    <row r="204" spans="2:23" x14ac:dyDescent="0.25">
      <c r="B204"/>
      <c r="D204" s="83"/>
      <c r="I204" s="83"/>
      <c r="J204" s="146"/>
      <c r="N204"/>
      <c r="P204"/>
      <c r="T204"/>
      <c r="W204"/>
    </row>
    <row r="205" spans="2:23" x14ac:dyDescent="0.25">
      <c r="B205"/>
      <c r="D205" s="83"/>
      <c r="I205" s="83"/>
      <c r="J205" s="146"/>
      <c r="N205"/>
      <c r="P205"/>
      <c r="T205"/>
      <c r="W205"/>
    </row>
    <row r="206" spans="2:23" x14ac:dyDescent="0.25">
      <c r="B206"/>
      <c r="D206" s="83"/>
      <c r="I206" s="83"/>
      <c r="J206" s="146"/>
      <c r="N206"/>
      <c r="P206"/>
      <c r="T206"/>
      <c r="W206"/>
    </row>
    <row r="207" spans="2:23" x14ac:dyDescent="0.25">
      <c r="B207"/>
      <c r="D207" s="83"/>
      <c r="I207" s="83"/>
      <c r="J207" s="146"/>
      <c r="N207"/>
      <c r="P207"/>
      <c r="T207"/>
      <c r="W207"/>
    </row>
    <row r="208" spans="2:23" x14ac:dyDescent="0.25">
      <c r="B208"/>
      <c r="D208" s="83"/>
      <c r="I208" s="83"/>
      <c r="J208" s="146"/>
      <c r="N208"/>
      <c r="P208"/>
      <c r="T208"/>
      <c r="W208"/>
    </row>
    <row r="209" spans="2:23" x14ac:dyDescent="0.25">
      <c r="B209"/>
      <c r="D209" s="83"/>
      <c r="I209" s="83"/>
      <c r="J209" s="146"/>
      <c r="N209"/>
      <c r="P209"/>
      <c r="T209"/>
      <c r="W209"/>
    </row>
    <row r="210" spans="2:23" x14ac:dyDescent="0.25">
      <c r="B210"/>
      <c r="D210" s="83"/>
      <c r="I210" s="83"/>
      <c r="J210" s="146"/>
      <c r="N210"/>
      <c r="P210"/>
      <c r="T210"/>
      <c r="W210"/>
    </row>
    <row r="211" spans="2:23" x14ac:dyDescent="0.25">
      <c r="B211"/>
      <c r="D211" s="83"/>
      <c r="I211" s="83"/>
      <c r="J211" s="146"/>
      <c r="N211"/>
      <c r="P211"/>
      <c r="T211"/>
      <c r="W211"/>
    </row>
    <row r="212" spans="2:23" x14ac:dyDescent="0.25">
      <c r="B212"/>
      <c r="D212" s="83"/>
      <c r="I212" s="83"/>
      <c r="J212" s="146"/>
      <c r="N212"/>
      <c r="P212"/>
      <c r="T212"/>
      <c r="W212"/>
    </row>
    <row r="213" spans="2:23" x14ac:dyDescent="0.25">
      <c r="B213"/>
      <c r="D213" s="83"/>
      <c r="I213" s="83"/>
      <c r="J213" s="146"/>
      <c r="N213"/>
      <c r="P213"/>
      <c r="T213"/>
      <c r="W213"/>
    </row>
    <row r="214" spans="2:23" x14ac:dyDescent="0.25">
      <c r="B214"/>
      <c r="D214" s="83"/>
      <c r="I214" s="83"/>
      <c r="J214" s="146"/>
      <c r="N214"/>
      <c r="P214"/>
      <c r="T214"/>
      <c r="W214"/>
    </row>
    <row r="215" spans="2:23" x14ac:dyDescent="0.25">
      <c r="B215"/>
      <c r="D215" s="83"/>
      <c r="I215" s="83"/>
      <c r="J215" s="146"/>
      <c r="N215"/>
      <c r="P215"/>
      <c r="T215"/>
      <c r="W215"/>
    </row>
    <row r="216" spans="2:23" x14ac:dyDescent="0.25">
      <c r="B216"/>
      <c r="D216" s="83"/>
      <c r="I216" s="83"/>
      <c r="J216" s="146"/>
      <c r="N216"/>
      <c r="P216"/>
      <c r="T216"/>
      <c r="W216"/>
    </row>
    <row r="217" spans="2:23" x14ac:dyDescent="0.25">
      <c r="B217"/>
      <c r="D217" s="83"/>
      <c r="I217" s="83"/>
      <c r="J217" s="146"/>
      <c r="N217"/>
      <c r="P217"/>
      <c r="T217"/>
      <c r="W217"/>
    </row>
    <row r="218" spans="2:23" x14ac:dyDescent="0.25">
      <c r="B218"/>
      <c r="D218" s="83"/>
      <c r="I218" s="83"/>
      <c r="J218" s="146"/>
      <c r="N218"/>
      <c r="P218"/>
      <c r="T218"/>
      <c r="W218"/>
    </row>
    <row r="219" spans="2:23" x14ac:dyDescent="0.25">
      <c r="B219"/>
      <c r="D219" s="83"/>
      <c r="I219" s="83"/>
      <c r="J219" s="146"/>
      <c r="N219"/>
      <c r="P219"/>
      <c r="T219"/>
      <c r="W219"/>
    </row>
    <row r="220" spans="2:23" x14ac:dyDescent="0.25">
      <c r="B220"/>
      <c r="D220" s="83"/>
      <c r="I220" s="83"/>
      <c r="J220" s="146"/>
      <c r="N220"/>
      <c r="P220"/>
      <c r="T220"/>
      <c r="W220"/>
    </row>
    <row r="221" spans="2:23" x14ac:dyDescent="0.25">
      <c r="B221"/>
      <c r="D221" s="83"/>
      <c r="I221" s="83"/>
      <c r="J221" s="146"/>
      <c r="N221"/>
      <c r="P221"/>
      <c r="T221"/>
      <c r="W221"/>
    </row>
    <row r="222" spans="2:23" x14ac:dyDescent="0.25">
      <c r="B222"/>
      <c r="D222" s="83"/>
      <c r="I222" s="83"/>
      <c r="J222" s="146"/>
      <c r="N222"/>
      <c r="P222"/>
      <c r="T222"/>
      <c r="W222"/>
    </row>
    <row r="223" spans="2:23" x14ac:dyDescent="0.25">
      <c r="B223"/>
      <c r="D223" s="83"/>
      <c r="I223" s="83"/>
      <c r="J223" s="146"/>
      <c r="N223"/>
      <c r="P223"/>
      <c r="T223"/>
      <c r="W223"/>
    </row>
    <row r="224" spans="2:23" x14ac:dyDescent="0.25">
      <c r="B224"/>
      <c r="D224" s="83"/>
      <c r="I224" s="83"/>
      <c r="J224" s="146"/>
      <c r="N224"/>
      <c r="P224"/>
      <c r="T224"/>
      <c r="W224"/>
    </row>
    <row r="225" spans="2:23" x14ac:dyDescent="0.25">
      <c r="B225"/>
      <c r="D225" s="83"/>
      <c r="I225" s="83"/>
      <c r="J225" s="146"/>
      <c r="N225"/>
      <c r="P225"/>
      <c r="T225"/>
      <c r="W225"/>
    </row>
    <row r="226" spans="2:23" x14ac:dyDescent="0.25">
      <c r="B226"/>
      <c r="D226" s="83"/>
      <c r="I226" s="83"/>
      <c r="J226" s="146"/>
      <c r="N226"/>
      <c r="P226"/>
      <c r="T226"/>
      <c r="W226"/>
    </row>
    <row r="227" spans="2:23" x14ac:dyDescent="0.25">
      <c r="B227"/>
      <c r="D227" s="83"/>
      <c r="I227" s="83"/>
      <c r="J227" s="146"/>
      <c r="N227"/>
      <c r="P227"/>
      <c r="T227"/>
      <c r="W227"/>
    </row>
    <row r="228" spans="2:23" x14ac:dyDescent="0.25">
      <c r="B228"/>
      <c r="D228" s="83"/>
      <c r="I228" s="83"/>
      <c r="J228" s="146"/>
      <c r="N228"/>
      <c r="P228"/>
      <c r="T228"/>
      <c r="W228"/>
    </row>
    <row r="229" spans="2:23" x14ac:dyDescent="0.25">
      <c r="B229"/>
      <c r="D229" s="83"/>
      <c r="I229" s="83"/>
      <c r="J229" s="146"/>
      <c r="N229"/>
      <c r="P229"/>
      <c r="T229"/>
      <c r="W229"/>
    </row>
    <row r="230" spans="2:23" x14ac:dyDescent="0.25">
      <c r="B230"/>
      <c r="D230" s="83"/>
      <c r="I230" s="83"/>
      <c r="J230" s="146"/>
      <c r="N230"/>
      <c r="P230"/>
      <c r="T230"/>
      <c r="W230"/>
    </row>
    <row r="231" spans="2:23" x14ac:dyDescent="0.25">
      <c r="B231"/>
      <c r="D231" s="83"/>
      <c r="I231" s="83"/>
      <c r="J231" s="146"/>
      <c r="N231"/>
      <c r="P231"/>
      <c r="T231"/>
      <c r="W231"/>
    </row>
    <row r="232" spans="2:23" x14ac:dyDescent="0.25">
      <c r="B232"/>
      <c r="D232" s="83"/>
      <c r="I232" s="83"/>
      <c r="J232" s="146"/>
      <c r="N232"/>
      <c r="P232"/>
      <c r="T232"/>
      <c r="W232"/>
    </row>
    <row r="233" spans="2:23" x14ac:dyDescent="0.25">
      <c r="B233"/>
      <c r="D233" s="83"/>
      <c r="I233" s="83"/>
      <c r="J233" s="146"/>
      <c r="N233"/>
      <c r="P233"/>
      <c r="T233"/>
      <c r="W233"/>
    </row>
    <row r="234" spans="2:23" x14ac:dyDescent="0.25">
      <c r="B234"/>
      <c r="D234" s="83"/>
      <c r="I234" s="83"/>
      <c r="J234" s="146"/>
      <c r="N234"/>
      <c r="P234"/>
      <c r="T234"/>
      <c r="W234"/>
    </row>
    <row r="235" spans="2:23" x14ac:dyDescent="0.25">
      <c r="B235"/>
      <c r="D235" s="83"/>
      <c r="I235" s="83"/>
      <c r="J235" s="146"/>
      <c r="N235"/>
      <c r="P235"/>
      <c r="T235"/>
      <c r="W235"/>
    </row>
    <row r="236" spans="2:23" x14ac:dyDescent="0.25">
      <c r="B236"/>
      <c r="D236" s="83"/>
      <c r="I236" s="83"/>
      <c r="J236" s="146"/>
      <c r="N236"/>
      <c r="P236"/>
      <c r="T236"/>
      <c r="W236"/>
    </row>
    <row r="237" spans="2:23" x14ac:dyDescent="0.25">
      <c r="B237"/>
      <c r="D237" s="83"/>
      <c r="I237" s="83"/>
      <c r="J237" s="146"/>
      <c r="N237"/>
      <c r="P237"/>
      <c r="T237"/>
      <c r="W237"/>
    </row>
    <row r="238" spans="2:23" x14ac:dyDescent="0.25">
      <c r="B238"/>
      <c r="D238" s="83"/>
      <c r="I238" s="83"/>
      <c r="J238" s="146"/>
      <c r="N238"/>
      <c r="P238"/>
      <c r="T238"/>
      <c r="W238"/>
    </row>
    <row r="239" spans="2:23" x14ac:dyDescent="0.25">
      <c r="B239"/>
      <c r="D239" s="83"/>
      <c r="I239" s="83"/>
      <c r="J239" s="146"/>
      <c r="N239"/>
      <c r="P239"/>
      <c r="T239"/>
      <c r="W239"/>
    </row>
    <row r="240" spans="2:23" x14ac:dyDescent="0.25">
      <c r="B240"/>
      <c r="D240" s="83"/>
      <c r="I240" s="83"/>
      <c r="J240" s="146"/>
      <c r="N240"/>
      <c r="P240"/>
      <c r="T240"/>
      <c r="W240"/>
    </row>
    <row r="241" spans="2:23" x14ac:dyDescent="0.25">
      <c r="B241"/>
      <c r="D241" s="83"/>
      <c r="I241" s="83"/>
      <c r="J241" s="146"/>
      <c r="N241"/>
      <c r="P241"/>
      <c r="T241"/>
      <c r="W241"/>
    </row>
    <row r="242" spans="2:23" x14ac:dyDescent="0.25">
      <c r="B242"/>
      <c r="D242" s="83"/>
      <c r="I242" s="83"/>
      <c r="J242" s="146"/>
      <c r="N242"/>
      <c r="P242"/>
      <c r="T242"/>
      <c r="W242"/>
    </row>
    <row r="243" spans="2:23" x14ac:dyDescent="0.25">
      <c r="B243"/>
      <c r="D243" s="83"/>
      <c r="I243" s="83"/>
      <c r="J243" s="146"/>
      <c r="N243"/>
      <c r="P243"/>
      <c r="T243"/>
      <c r="W243"/>
    </row>
    <row r="244" spans="2:23" x14ac:dyDescent="0.25">
      <c r="B244"/>
      <c r="D244" s="83"/>
      <c r="I244" s="83"/>
      <c r="J244" s="146"/>
      <c r="N244"/>
      <c r="P244"/>
      <c r="T244"/>
      <c r="W244"/>
    </row>
    <row r="245" spans="2:23" x14ac:dyDescent="0.25">
      <c r="B245"/>
      <c r="D245" s="83"/>
      <c r="I245" s="83"/>
      <c r="J245" s="146"/>
      <c r="N245"/>
      <c r="P245"/>
      <c r="T245"/>
      <c r="W245"/>
    </row>
    <row r="246" spans="2:23" x14ac:dyDescent="0.25">
      <c r="B246"/>
      <c r="D246" s="83"/>
      <c r="I246" s="83"/>
      <c r="J246" s="146"/>
      <c r="N246"/>
      <c r="P246"/>
      <c r="T246"/>
      <c r="W246"/>
    </row>
    <row r="247" spans="2:23" x14ac:dyDescent="0.25">
      <c r="B247"/>
      <c r="D247" s="83"/>
      <c r="I247" s="83"/>
      <c r="J247" s="146"/>
      <c r="N247"/>
      <c r="P247"/>
      <c r="T247"/>
      <c r="W247"/>
    </row>
    <row r="248" spans="2:23" x14ac:dyDescent="0.25">
      <c r="B248"/>
      <c r="D248" s="83"/>
      <c r="I248" s="83"/>
      <c r="J248" s="146"/>
      <c r="N248"/>
      <c r="P248"/>
      <c r="T248"/>
      <c r="W248"/>
    </row>
    <row r="249" spans="2:23" x14ac:dyDescent="0.25">
      <c r="B249"/>
      <c r="D249" s="83"/>
      <c r="I249" s="83"/>
      <c r="J249" s="146"/>
      <c r="N249"/>
      <c r="P249"/>
      <c r="T249"/>
      <c r="W249"/>
    </row>
    <row r="250" spans="2:23" x14ac:dyDescent="0.25">
      <c r="B250"/>
      <c r="D250" s="83"/>
      <c r="I250" s="83"/>
      <c r="J250" s="146"/>
      <c r="N250"/>
      <c r="P250"/>
      <c r="T250"/>
      <c r="W250"/>
    </row>
    <row r="251" spans="2:23" x14ac:dyDescent="0.25">
      <c r="B251"/>
      <c r="D251" s="83"/>
      <c r="I251" s="83"/>
      <c r="J251" s="146"/>
      <c r="N251"/>
      <c r="P251"/>
      <c r="T251"/>
      <c r="W251"/>
    </row>
    <row r="252" spans="2:23" x14ac:dyDescent="0.25">
      <c r="B252"/>
      <c r="D252" s="83"/>
      <c r="I252" s="83"/>
      <c r="J252" s="146"/>
      <c r="N252"/>
      <c r="P252"/>
      <c r="T252"/>
      <c r="W252"/>
    </row>
    <row r="253" spans="2:23" x14ac:dyDescent="0.25">
      <c r="B253"/>
      <c r="D253" s="83"/>
      <c r="I253" s="83"/>
      <c r="J253" s="146"/>
      <c r="N253"/>
      <c r="P253"/>
      <c r="T253"/>
      <c r="W253"/>
    </row>
    <row r="254" spans="2:23" x14ac:dyDescent="0.25">
      <c r="B254"/>
      <c r="D254" s="83"/>
      <c r="I254" s="83"/>
      <c r="J254" s="146"/>
      <c r="N254"/>
      <c r="P254"/>
      <c r="T254"/>
      <c r="W254"/>
    </row>
    <row r="255" spans="2:23" x14ac:dyDescent="0.25">
      <c r="B255"/>
      <c r="D255" s="83"/>
      <c r="I255" s="83"/>
      <c r="J255" s="146"/>
      <c r="N255"/>
      <c r="P255"/>
      <c r="T255"/>
      <c r="W255"/>
    </row>
    <row r="256" spans="2:23" x14ac:dyDescent="0.25">
      <c r="B256"/>
      <c r="D256" s="83"/>
      <c r="I256" s="83"/>
      <c r="J256" s="146"/>
      <c r="N256"/>
      <c r="P256"/>
      <c r="T256"/>
      <c r="W256"/>
    </row>
    <row r="257" spans="2:23" x14ac:dyDescent="0.25">
      <c r="B257"/>
      <c r="D257" s="83"/>
      <c r="I257" s="83"/>
      <c r="J257" s="146"/>
      <c r="N257"/>
      <c r="P257"/>
      <c r="T257"/>
      <c r="W257"/>
    </row>
    <row r="258" spans="2:23" x14ac:dyDescent="0.25">
      <c r="B258"/>
      <c r="D258" s="83"/>
      <c r="I258" s="83"/>
      <c r="J258" s="146"/>
      <c r="N258"/>
      <c r="P258"/>
      <c r="T258"/>
      <c r="W258"/>
    </row>
    <row r="259" spans="2:23" x14ac:dyDescent="0.25">
      <c r="B259"/>
      <c r="D259" s="83"/>
      <c r="I259" s="83"/>
      <c r="J259" s="146"/>
      <c r="N259"/>
      <c r="P259"/>
      <c r="T259"/>
      <c r="W259"/>
    </row>
    <row r="260" spans="2:23" x14ac:dyDescent="0.25">
      <c r="B260"/>
      <c r="D260" s="83"/>
      <c r="I260" s="83"/>
      <c r="J260" s="146"/>
      <c r="N260"/>
      <c r="P260"/>
      <c r="T260"/>
      <c r="W260"/>
    </row>
    <row r="261" spans="2:23" x14ac:dyDescent="0.25">
      <c r="B261"/>
      <c r="D261" s="83"/>
      <c r="I261" s="83"/>
      <c r="J261" s="146"/>
      <c r="N261"/>
      <c r="P261"/>
      <c r="T261"/>
      <c r="W261"/>
    </row>
    <row r="262" spans="2:23" x14ac:dyDescent="0.25">
      <c r="B262"/>
      <c r="D262" s="83"/>
      <c r="I262" s="83"/>
      <c r="J262" s="146"/>
      <c r="N262"/>
      <c r="P262"/>
      <c r="T262"/>
      <c r="W262"/>
    </row>
    <row r="263" spans="2:23" x14ac:dyDescent="0.25">
      <c r="B263"/>
      <c r="D263" s="83"/>
      <c r="I263" s="83"/>
      <c r="J263" s="146"/>
      <c r="N263"/>
      <c r="P263"/>
      <c r="T263"/>
      <c r="W263"/>
    </row>
    <row r="264" spans="2:23" x14ac:dyDescent="0.25">
      <c r="B264"/>
      <c r="D264" s="83"/>
      <c r="I264" s="83"/>
      <c r="J264" s="146"/>
      <c r="N264"/>
      <c r="P264"/>
      <c r="T264"/>
      <c r="W264"/>
    </row>
    <row r="265" spans="2:23" x14ac:dyDescent="0.25">
      <c r="B265"/>
      <c r="D265" s="83"/>
      <c r="I265" s="83"/>
      <c r="J265" s="146"/>
      <c r="N265"/>
      <c r="P265"/>
      <c r="T265"/>
      <c r="W265"/>
    </row>
    <row r="266" spans="2:23" x14ac:dyDescent="0.25">
      <c r="B266"/>
      <c r="D266" s="83"/>
      <c r="I266" s="83"/>
      <c r="J266" s="146"/>
      <c r="N266"/>
      <c r="P266"/>
      <c r="T266"/>
      <c r="W266"/>
    </row>
    <row r="267" spans="2:23" x14ac:dyDescent="0.25">
      <c r="B267"/>
      <c r="D267" s="83"/>
      <c r="I267" s="83"/>
      <c r="J267" s="146"/>
      <c r="N267"/>
      <c r="P267"/>
      <c r="T267"/>
      <c r="W267"/>
    </row>
    <row r="268" spans="2:23" x14ac:dyDescent="0.25">
      <c r="B268"/>
      <c r="D268" s="83"/>
      <c r="I268" s="83"/>
      <c r="J268" s="146"/>
      <c r="N268"/>
      <c r="P268"/>
      <c r="T268"/>
      <c r="W268"/>
    </row>
    <row r="269" spans="2:23" x14ac:dyDescent="0.25">
      <c r="B269"/>
      <c r="D269" s="83"/>
      <c r="I269" s="83"/>
      <c r="J269" s="146"/>
      <c r="N269"/>
      <c r="P269"/>
      <c r="T269"/>
      <c r="W269"/>
    </row>
    <row r="270" spans="2:23" x14ac:dyDescent="0.25">
      <c r="B270"/>
      <c r="D270" s="83"/>
      <c r="I270" s="83"/>
      <c r="J270" s="146"/>
      <c r="N270"/>
      <c r="P270"/>
      <c r="T270"/>
      <c r="W270"/>
    </row>
    <row r="271" spans="2:23" x14ac:dyDescent="0.25">
      <c r="B271"/>
      <c r="D271" s="83"/>
      <c r="I271" s="83"/>
      <c r="J271" s="146"/>
      <c r="N271"/>
      <c r="P271"/>
      <c r="T271"/>
      <c r="W271"/>
    </row>
    <row r="272" spans="2:23" x14ac:dyDescent="0.25">
      <c r="B272"/>
      <c r="D272" s="83"/>
      <c r="I272" s="83"/>
      <c r="J272" s="146"/>
      <c r="N272"/>
      <c r="P272"/>
      <c r="T272"/>
      <c r="W272"/>
    </row>
    <row r="273" spans="2:23" x14ac:dyDescent="0.25">
      <c r="B273"/>
      <c r="D273" s="83"/>
      <c r="I273" s="83"/>
      <c r="J273" s="146"/>
      <c r="N273"/>
      <c r="P273"/>
      <c r="T273"/>
      <c r="W273"/>
    </row>
    <row r="274" spans="2:23" x14ac:dyDescent="0.25">
      <c r="B274"/>
      <c r="D274" s="83"/>
      <c r="I274" s="83"/>
      <c r="J274" s="146"/>
      <c r="N274"/>
      <c r="P274"/>
      <c r="T274"/>
      <c r="W274"/>
    </row>
    <row r="275" spans="2:23" x14ac:dyDescent="0.25">
      <c r="B275"/>
      <c r="D275" s="83"/>
      <c r="I275" s="83"/>
      <c r="J275" s="146"/>
      <c r="N275"/>
      <c r="P275"/>
      <c r="T275"/>
      <c r="W275"/>
    </row>
    <row r="276" spans="2:23" x14ac:dyDescent="0.25">
      <c r="B276"/>
      <c r="D276" s="83"/>
      <c r="I276" s="83"/>
      <c r="J276" s="146"/>
      <c r="N276"/>
      <c r="P276"/>
      <c r="T276"/>
      <c r="W276"/>
    </row>
    <row r="277" spans="2:23" x14ac:dyDescent="0.25">
      <c r="B277"/>
      <c r="D277" s="83"/>
      <c r="I277" s="83"/>
      <c r="J277" s="146"/>
      <c r="N277"/>
      <c r="P277"/>
      <c r="T277"/>
      <c r="W277"/>
    </row>
    <row r="278" spans="2:23" x14ac:dyDescent="0.25">
      <c r="B278"/>
      <c r="D278" s="83"/>
      <c r="I278" s="83"/>
      <c r="J278" s="146"/>
      <c r="N278"/>
      <c r="P278"/>
      <c r="T278"/>
      <c r="W278"/>
    </row>
    <row r="279" spans="2:23" x14ac:dyDescent="0.25">
      <c r="B279"/>
      <c r="D279" s="83"/>
      <c r="I279" s="83"/>
      <c r="J279" s="146"/>
      <c r="N279"/>
      <c r="P279"/>
      <c r="T279"/>
      <c r="W279"/>
    </row>
    <row r="280" spans="2:23" x14ac:dyDescent="0.25">
      <c r="B280"/>
      <c r="D280" s="83"/>
      <c r="I280" s="83"/>
      <c r="J280" s="146"/>
      <c r="N280"/>
      <c r="P280"/>
      <c r="T280"/>
      <c r="W280"/>
    </row>
    <row r="281" spans="2:23" x14ac:dyDescent="0.25">
      <c r="B281"/>
      <c r="D281" s="83"/>
      <c r="I281" s="83"/>
      <c r="J281" s="146"/>
      <c r="N281"/>
      <c r="P281"/>
      <c r="T281"/>
      <c r="W281"/>
    </row>
    <row r="282" spans="2:23" x14ac:dyDescent="0.25">
      <c r="B282"/>
      <c r="D282" s="83"/>
      <c r="I282" s="83"/>
      <c r="J282" s="146"/>
      <c r="N282"/>
      <c r="P282"/>
      <c r="T282"/>
      <c r="W282"/>
    </row>
    <row r="283" spans="2:23" x14ac:dyDescent="0.25">
      <c r="B283"/>
      <c r="D283" s="83"/>
      <c r="I283" s="83"/>
      <c r="J283" s="146"/>
      <c r="N283"/>
      <c r="P283"/>
      <c r="T283"/>
      <c r="W283"/>
    </row>
    <row r="284" spans="2:23" x14ac:dyDescent="0.25">
      <c r="B284"/>
      <c r="D284" s="83"/>
      <c r="I284" s="83"/>
      <c r="J284" s="146"/>
      <c r="N284"/>
      <c r="P284"/>
      <c r="T284"/>
      <c r="W284"/>
    </row>
    <row r="285" spans="2:23" x14ac:dyDescent="0.25">
      <c r="B285"/>
      <c r="D285" s="83"/>
      <c r="I285" s="83"/>
      <c r="J285" s="146"/>
      <c r="N285"/>
      <c r="P285"/>
      <c r="T285"/>
      <c r="W285"/>
    </row>
    <row r="286" spans="2:23" x14ac:dyDescent="0.25">
      <c r="B286"/>
      <c r="D286" s="83"/>
      <c r="I286" s="83"/>
      <c r="J286" s="146"/>
      <c r="N286"/>
      <c r="P286"/>
      <c r="T286"/>
      <c r="W286"/>
    </row>
    <row r="287" spans="2:23" x14ac:dyDescent="0.25">
      <c r="B287"/>
      <c r="D287" s="83"/>
      <c r="I287" s="83"/>
      <c r="J287" s="146"/>
      <c r="N287"/>
      <c r="P287"/>
      <c r="T287"/>
      <c r="W287"/>
    </row>
    <row r="288" spans="2:23" x14ac:dyDescent="0.25">
      <c r="B288"/>
      <c r="D288" s="83"/>
      <c r="I288" s="83"/>
      <c r="J288" s="146"/>
      <c r="N288"/>
      <c r="P288"/>
      <c r="T288"/>
      <c r="W288"/>
    </row>
    <row r="289" spans="2:23" x14ac:dyDescent="0.25">
      <c r="B289"/>
      <c r="D289" s="83"/>
      <c r="I289" s="83"/>
      <c r="J289" s="146"/>
      <c r="N289"/>
      <c r="P289"/>
      <c r="T289"/>
      <c r="W289"/>
    </row>
    <row r="290" spans="2:23" x14ac:dyDescent="0.25">
      <c r="B290"/>
      <c r="D290" s="83"/>
      <c r="I290" s="83"/>
      <c r="J290" s="146"/>
      <c r="N290"/>
      <c r="P290"/>
      <c r="T290"/>
      <c r="W290"/>
    </row>
    <row r="291" spans="2:23" x14ac:dyDescent="0.25">
      <c r="B291"/>
      <c r="D291" s="83"/>
      <c r="I291" s="83"/>
      <c r="J291" s="146"/>
      <c r="N291"/>
      <c r="P291"/>
      <c r="T291"/>
      <c r="W291"/>
    </row>
    <row r="292" spans="2:23" x14ac:dyDescent="0.25">
      <c r="B292"/>
      <c r="D292" s="83"/>
      <c r="I292" s="83"/>
      <c r="J292" s="146"/>
      <c r="N292"/>
      <c r="P292"/>
      <c r="T292"/>
      <c r="W292"/>
    </row>
    <row r="293" spans="2:23" x14ac:dyDescent="0.25">
      <c r="B293"/>
      <c r="D293" s="83"/>
      <c r="I293" s="83"/>
      <c r="J293" s="146"/>
      <c r="N293"/>
      <c r="P293"/>
      <c r="T293"/>
      <c r="W293"/>
    </row>
    <row r="294" spans="2:23" x14ac:dyDescent="0.25">
      <c r="B294"/>
      <c r="D294" s="83"/>
      <c r="I294" s="83"/>
      <c r="J294" s="146"/>
      <c r="N294"/>
      <c r="P294"/>
      <c r="T294"/>
      <c r="W294"/>
    </row>
    <row r="295" spans="2:23" x14ac:dyDescent="0.25">
      <c r="B295"/>
      <c r="D295" s="83"/>
      <c r="I295" s="83"/>
      <c r="J295" s="146"/>
      <c r="N295"/>
      <c r="P295"/>
      <c r="T295"/>
      <c r="W295"/>
    </row>
    <row r="296" spans="2:23" x14ac:dyDescent="0.25">
      <c r="B296"/>
      <c r="D296" s="83"/>
      <c r="I296" s="83"/>
      <c r="J296" s="146"/>
      <c r="N296"/>
      <c r="P296"/>
      <c r="T296"/>
      <c r="W296"/>
    </row>
    <row r="297" spans="2:23" x14ac:dyDescent="0.25">
      <c r="B297"/>
      <c r="D297" s="83"/>
      <c r="I297" s="83"/>
      <c r="J297" s="146"/>
      <c r="N297"/>
      <c r="P297"/>
      <c r="T297"/>
      <c r="W297"/>
    </row>
    <row r="298" spans="2:23" x14ac:dyDescent="0.25">
      <c r="B298"/>
      <c r="D298" s="83"/>
      <c r="I298" s="83"/>
      <c r="J298" s="146"/>
      <c r="N298"/>
      <c r="P298"/>
      <c r="T298"/>
      <c r="W298"/>
    </row>
    <row r="299" spans="2:23" x14ac:dyDescent="0.25">
      <c r="B299"/>
      <c r="D299" s="83"/>
      <c r="I299" s="83"/>
      <c r="J299" s="146"/>
      <c r="N299"/>
      <c r="P299"/>
      <c r="T299"/>
      <c r="W299"/>
    </row>
    <row r="300" spans="2:23" x14ac:dyDescent="0.25">
      <c r="B300"/>
      <c r="D300" s="83"/>
      <c r="I300" s="83"/>
      <c r="J300" s="146"/>
      <c r="N300"/>
      <c r="P300"/>
      <c r="T300"/>
      <c r="W300"/>
    </row>
    <row r="301" spans="2:23" x14ac:dyDescent="0.25">
      <c r="B301"/>
      <c r="D301" s="83"/>
      <c r="I301" s="83"/>
      <c r="J301" s="146"/>
      <c r="N301"/>
      <c r="P301"/>
      <c r="T301"/>
      <c r="W301"/>
    </row>
    <row r="302" spans="2:23" x14ac:dyDescent="0.25">
      <c r="B302"/>
      <c r="D302" s="83"/>
      <c r="I302" s="83"/>
      <c r="J302" s="146"/>
      <c r="N302"/>
      <c r="P302"/>
      <c r="T302"/>
      <c r="W302"/>
    </row>
    <row r="303" spans="2:23" x14ac:dyDescent="0.25">
      <c r="B303"/>
      <c r="D303" s="83"/>
      <c r="I303" s="83"/>
      <c r="J303" s="146"/>
      <c r="N303"/>
      <c r="P303"/>
      <c r="T303"/>
      <c r="W303"/>
    </row>
    <row r="304" spans="2:23" x14ac:dyDescent="0.25">
      <c r="B304"/>
      <c r="D304" s="83"/>
      <c r="I304" s="83"/>
      <c r="J304" s="146"/>
      <c r="N304"/>
      <c r="P304"/>
      <c r="T304"/>
      <c r="W304"/>
    </row>
    <row r="305" spans="2:23" x14ac:dyDescent="0.25">
      <c r="B305"/>
      <c r="D305" s="83"/>
      <c r="I305" s="83"/>
      <c r="J305" s="146"/>
      <c r="N305"/>
      <c r="P305"/>
      <c r="T305"/>
      <c r="W305"/>
    </row>
    <row r="306" spans="2:23" x14ac:dyDescent="0.25">
      <c r="B306"/>
      <c r="D306" s="83"/>
      <c r="I306" s="83"/>
      <c r="J306" s="146"/>
      <c r="N306"/>
      <c r="P306"/>
      <c r="T306"/>
      <c r="W306"/>
    </row>
    <row r="307" spans="2:23" x14ac:dyDescent="0.25">
      <c r="B307"/>
      <c r="D307" s="83"/>
      <c r="I307" s="83"/>
      <c r="J307" s="146"/>
      <c r="N307"/>
      <c r="P307"/>
      <c r="T307"/>
      <c r="W307"/>
    </row>
    <row r="308" spans="2:23" x14ac:dyDescent="0.25">
      <c r="B308"/>
      <c r="D308" s="83"/>
      <c r="I308" s="83"/>
      <c r="J308" s="146"/>
      <c r="N308"/>
      <c r="P308"/>
      <c r="T308"/>
      <c r="W308"/>
    </row>
    <row r="309" spans="2:23" x14ac:dyDescent="0.25">
      <c r="B309"/>
      <c r="D309" s="83"/>
      <c r="I309" s="83"/>
      <c r="J309" s="146"/>
      <c r="N309"/>
      <c r="P309"/>
      <c r="T309"/>
      <c r="W309"/>
    </row>
    <row r="310" spans="2:23" x14ac:dyDescent="0.25">
      <c r="B310"/>
      <c r="D310" s="83"/>
      <c r="I310" s="83"/>
      <c r="J310" s="146"/>
      <c r="N310"/>
      <c r="P310"/>
      <c r="T310"/>
      <c r="W310"/>
    </row>
    <row r="311" spans="2:23" x14ac:dyDescent="0.25">
      <c r="B311"/>
      <c r="D311" s="83"/>
      <c r="I311" s="83"/>
      <c r="J311" s="146"/>
      <c r="N311"/>
      <c r="P311"/>
      <c r="T311"/>
      <c r="W311"/>
    </row>
    <row r="312" spans="2:23" x14ac:dyDescent="0.25">
      <c r="B312"/>
      <c r="D312" s="83"/>
      <c r="I312" s="83"/>
      <c r="J312" s="146"/>
      <c r="N312"/>
      <c r="P312"/>
      <c r="T312"/>
      <c r="W312"/>
    </row>
    <row r="313" spans="2:23" x14ac:dyDescent="0.25">
      <c r="B313"/>
      <c r="D313" s="83"/>
      <c r="I313" s="83"/>
      <c r="J313" s="146"/>
      <c r="N313"/>
      <c r="P313"/>
      <c r="T313"/>
      <c r="W313"/>
    </row>
    <row r="314" spans="2:23" x14ac:dyDescent="0.25">
      <c r="B314"/>
      <c r="D314" s="83"/>
      <c r="I314" s="83"/>
      <c r="J314" s="146"/>
      <c r="N314"/>
      <c r="P314"/>
      <c r="T314"/>
      <c r="W314"/>
    </row>
    <row r="315" spans="2:23" x14ac:dyDescent="0.25">
      <c r="B315"/>
      <c r="D315" s="83"/>
      <c r="I315" s="83"/>
      <c r="J315" s="146"/>
      <c r="N315"/>
      <c r="P315"/>
      <c r="T315"/>
      <c r="W315"/>
    </row>
    <row r="316" spans="2:23" x14ac:dyDescent="0.25">
      <c r="B316"/>
      <c r="D316" s="83"/>
      <c r="I316" s="83"/>
      <c r="J316" s="146"/>
      <c r="N316"/>
      <c r="P316"/>
      <c r="T316"/>
      <c r="W316"/>
    </row>
    <row r="317" spans="2:23" x14ac:dyDescent="0.25">
      <c r="B317"/>
      <c r="D317" s="83"/>
      <c r="I317" s="83"/>
      <c r="J317" s="146"/>
      <c r="N317"/>
      <c r="P317"/>
      <c r="T317"/>
      <c r="W317"/>
    </row>
    <row r="318" spans="2:23" x14ac:dyDescent="0.25">
      <c r="B318"/>
      <c r="D318" s="83"/>
      <c r="I318" s="83"/>
      <c r="J318" s="146"/>
      <c r="N318"/>
      <c r="P318"/>
      <c r="T318"/>
      <c r="W318"/>
    </row>
    <row r="319" spans="2:23" x14ac:dyDescent="0.25">
      <c r="B319"/>
      <c r="D319" s="83"/>
      <c r="I319" s="83"/>
      <c r="J319" s="146"/>
      <c r="N319"/>
      <c r="P319"/>
      <c r="T319"/>
      <c r="W319"/>
    </row>
    <row r="320" spans="2:23" x14ac:dyDescent="0.25">
      <c r="B320"/>
      <c r="D320" s="83"/>
      <c r="I320" s="83"/>
      <c r="J320" s="146"/>
      <c r="N320"/>
      <c r="P320"/>
      <c r="T320"/>
      <c r="W320"/>
    </row>
    <row r="321" spans="2:23" x14ac:dyDescent="0.25">
      <c r="B321"/>
      <c r="D321" s="83"/>
      <c r="I321" s="83"/>
      <c r="J321" s="146"/>
      <c r="N321"/>
      <c r="P321"/>
      <c r="T321"/>
      <c r="W321"/>
    </row>
    <row r="322" spans="2:23" x14ac:dyDescent="0.25">
      <c r="B322"/>
      <c r="D322" s="83"/>
      <c r="I322" s="83"/>
      <c r="J322" s="146"/>
      <c r="N322"/>
      <c r="P322"/>
      <c r="T322"/>
      <c r="W322"/>
    </row>
    <row r="323" spans="2:23" x14ac:dyDescent="0.25">
      <c r="B323"/>
      <c r="D323" s="83"/>
      <c r="I323" s="83"/>
      <c r="J323" s="146"/>
      <c r="N323"/>
      <c r="P323"/>
      <c r="T323"/>
      <c r="W323"/>
    </row>
    <row r="324" spans="2:23" x14ac:dyDescent="0.25">
      <c r="B324"/>
      <c r="D324" s="83"/>
      <c r="I324" s="83"/>
      <c r="J324" s="146"/>
      <c r="N324"/>
      <c r="P324"/>
      <c r="T324"/>
      <c r="W324"/>
    </row>
    <row r="325" spans="2:23" x14ac:dyDescent="0.25">
      <c r="B325"/>
      <c r="D325" s="83"/>
      <c r="I325" s="83"/>
      <c r="J325" s="146"/>
      <c r="N325"/>
      <c r="P325"/>
      <c r="T325"/>
      <c r="W325"/>
    </row>
    <row r="326" spans="2:23" x14ac:dyDescent="0.25">
      <c r="B326"/>
      <c r="D326" s="83"/>
      <c r="I326" s="83"/>
      <c r="J326" s="146"/>
      <c r="N326"/>
      <c r="P326"/>
      <c r="T326"/>
      <c r="W326"/>
    </row>
    <row r="327" spans="2:23" x14ac:dyDescent="0.25">
      <c r="B327"/>
      <c r="D327" s="83"/>
      <c r="I327" s="83"/>
      <c r="J327" s="146"/>
      <c r="N327"/>
      <c r="P327"/>
      <c r="T327"/>
      <c r="W327"/>
    </row>
    <row r="328" spans="2:23" x14ac:dyDescent="0.25">
      <c r="B328"/>
      <c r="D328" s="83"/>
      <c r="I328" s="83"/>
      <c r="J328" s="146"/>
      <c r="N328"/>
      <c r="P328"/>
      <c r="T328"/>
      <c r="W328"/>
    </row>
    <row r="329" spans="2:23" x14ac:dyDescent="0.25">
      <c r="B329"/>
      <c r="D329" s="83"/>
      <c r="I329" s="83"/>
      <c r="J329" s="146"/>
      <c r="N329"/>
      <c r="P329"/>
      <c r="T329"/>
      <c r="W329"/>
    </row>
    <row r="330" spans="2:23" x14ac:dyDescent="0.25">
      <c r="B330"/>
      <c r="D330" s="83"/>
      <c r="I330" s="83"/>
      <c r="J330" s="146"/>
      <c r="N330"/>
      <c r="P330"/>
      <c r="T330"/>
      <c r="W330"/>
    </row>
    <row r="331" spans="2:23" x14ac:dyDescent="0.25">
      <c r="B331"/>
      <c r="D331" s="83"/>
      <c r="I331" s="83"/>
      <c r="J331" s="146"/>
      <c r="N331"/>
      <c r="P331"/>
      <c r="T331"/>
      <c r="W331"/>
    </row>
    <row r="332" spans="2:23" x14ac:dyDescent="0.25">
      <c r="B332"/>
      <c r="D332" s="83"/>
      <c r="I332" s="83"/>
      <c r="J332" s="146"/>
      <c r="N332"/>
      <c r="P332"/>
      <c r="T332"/>
      <c r="W332"/>
    </row>
    <row r="333" spans="2:23" x14ac:dyDescent="0.25">
      <c r="B333"/>
      <c r="D333" s="83"/>
      <c r="I333" s="83"/>
      <c r="J333" s="146"/>
      <c r="N333"/>
      <c r="P333"/>
      <c r="T333"/>
      <c r="W333"/>
    </row>
    <row r="334" spans="2:23" x14ac:dyDescent="0.25">
      <c r="B334"/>
      <c r="D334" s="83"/>
      <c r="I334" s="83"/>
      <c r="J334" s="146"/>
      <c r="N334"/>
      <c r="P334"/>
      <c r="T334"/>
      <c r="W334"/>
    </row>
    <row r="335" spans="2:23" x14ac:dyDescent="0.25">
      <c r="B335"/>
      <c r="D335" s="83"/>
      <c r="I335" s="83"/>
      <c r="J335" s="146"/>
      <c r="N335"/>
      <c r="P335"/>
      <c r="T335"/>
      <c r="W335"/>
    </row>
    <row r="336" spans="2:23" x14ac:dyDescent="0.25">
      <c r="B336"/>
      <c r="D336" s="83"/>
      <c r="I336" s="83"/>
      <c r="J336" s="146"/>
      <c r="N336"/>
      <c r="P336"/>
      <c r="T336"/>
      <c r="W336"/>
    </row>
    <row r="337" spans="2:23" x14ac:dyDescent="0.25">
      <c r="B337"/>
      <c r="D337" s="83"/>
      <c r="I337" s="83"/>
      <c r="J337" s="146"/>
      <c r="N337"/>
      <c r="P337"/>
      <c r="T337"/>
      <c r="W337"/>
    </row>
    <row r="338" spans="2:23" x14ac:dyDescent="0.25">
      <c r="B338"/>
      <c r="D338" s="83"/>
      <c r="I338" s="83"/>
      <c r="J338" s="146"/>
      <c r="N338"/>
      <c r="P338"/>
      <c r="T338"/>
      <c r="W338"/>
    </row>
    <row r="339" spans="2:23" x14ac:dyDescent="0.25">
      <c r="B339"/>
      <c r="D339" s="83"/>
      <c r="I339" s="83"/>
      <c r="J339" s="146"/>
      <c r="N339"/>
      <c r="P339"/>
      <c r="T339"/>
      <c r="W339"/>
    </row>
    <row r="340" spans="2:23" x14ac:dyDescent="0.25">
      <c r="B340"/>
      <c r="D340" s="83"/>
      <c r="I340" s="83"/>
      <c r="J340" s="146"/>
      <c r="N340"/>
      <c r="P340"/>
      <c r="T340"/>
      <c r="W340"/>
    </row>
    <row r="341" spans="2:23" x14ac:dyDescent="0.25">
      <c r="B341"/>
      <c r="D341" s="83"/>
      <c r="I341" s="83"/>
      <c r="J341" s="146"/>
      <c r="N341"/>
      <c r="P341"/>
      <c r="T341"/>
      <c r="W341"/>
    </row>
    <row r="342" spans="2:23" x14ac:dyDescent="0.25">
      <c r="B342"/>
      <c r="D342" s="83"/>
      <c r="I342" s="83"/>
      <c r="J342" s="146"/>
      <c r="N342"/>
      <c r="P342"/>
      <c r="T342"/>
      <c r="W342"/>
    </row>
    <row r="343" spans="2:23" x14ac:dyDescent="0.25">
      <c r="B343"/>
      <c r="D343" s="83"/>
      <c r="I343" s="83"/>
      <c r="J343" s="146"/>
      <c r="N343"/>
      <c r="P343"/>
      <c r="T343"/>
      <c r="W343"/>
    </row>
    <row r="344" spans="2:23" x14ac:dyDescent="0.25">
      <c r="B344"/>
      <c r="D344" s="83"/>
      <c r="I344" s="83"/>
      <c r="J344" s="146"/>
      <c r="N344"/>
      <c r="P344"/>
      <c r="T344"/>
      <c r="W344"/>
    </row>
    <row r="345" spans="2:23" x14ac:dyDescent="0.25">
      <c r="B345"/>
      <c r="D345" s="83"/>
      <c r="I345" s="83"/>
      <c r="J345" s="146"/>
      <c r="N345"/>
      <c r="P345"/>
      <c r="T345"/>
      <c r="W345"/>
    </row>
    <row r="346" spans="2:23" x14ac:dyDescent="0.25">
      <c r="B346"/>
      <c r="D346" s="83"/>
      <c r="I346" s="83"/>
      <c r="J346" s="146"/>
      <c r="N346"/>
      <c r="P346"/>
      <c r="T346"/>
      <c r="W346"/>
    </row>
    <row r="347" spans="2:23" x14ac:dyDescent="0.25">
      <c r="B347"/>
      <c r="D347" s="83"/>
      <c r="I347" s="83"/>
      <c r="J347" s="146"/>
      <c r="N347"/>
      <c r="P347"/>
      <c r="T347"/>
      <c r="W347"/>
    </row>
    <row r="348" spans="2:23" x14ac:dyDescent="0.25">
      <c r="B348"/>
      <c r="D348" s="83"/>
      <c r="I348" s="83"/>
      <c r="J348" s="146"/>
      <c r="N348"/>
      <c r="P348"/>
      <c r="T348"/>
      <c r="W348"/>
    </row>
    <row r="349" spans="2:23" x14ac:dyDescent="0.25">
      <c r="B349"/>
      <c r="D349" s="83"/>
      <c r="I349" s="83"/>
      <c r="J349" s="146"/>
      <c r="N349"/>
      <c r="P349"/>
      <c r="T349"/>
      <c r="W349"/>
    </row>
    <row r="350" spans="2:23" x14ac:dyDescent="0.25">
      <c r="B350"/>
      <c r="D350" s="83"/>
      <c r="I350" s="83"/>
      <c r="J350" s="146"/>
      <c r="N350"/>
      <c r="P350"/>
      <c r="T350"/>
      <c r="W350"/>
    </row>
    <row r="351" spans="2:23" x14ac:dyDescent="0.25">
      <c r="B351"/>
      <c r="D351" s="83"/>
      <c r="I351" s="83"/>
      <c r="J351" s="146"/>
      <c r="N351"/>
      <c r="P351"/>
      <c r="T351"/>
      <c r="W351"/>
    </row>
    <row r="352" spans="2:23" x14ac:dyDescent="0.25">
      <c r="B352"/>
      <c r="D352" s="83"/>
      <c r="I352" s="83"/>
      <c r="J352" s="146"/>
      <c r="N352"/>
      <c r="P352"/>
      <c r="T352"/>
      <c r="W352"/>
    </row>
    <row r="353" spans="2:23" x14ac:dyDescent="0.25">
      <c r="B353"/>
      <c r="D353" s="83"/>
      <c r="I353" s="83"/>
      <c r="J353" s="146"/>
      <c r="N353"/>
      <c r="P353"/>
      <c r="T353"/>
      <c r="W353"/>
    </row>
    <row r="354" spans="2:23" x14ac:dyDescent="0.25">
      <c r="B354"/>
      <c r="D354" s="83"/>
      <c r="I354" s="83"/>
      <c r="J354" s="146"/>
      <c r="N354"/>
      <c r="P354"/>
      <c r="T354"/>
      <c r="W354"/>
    </row>
    <row r="355" spans="2:23" x14ac:dyDescent="0.25">
      <c r="B355"/>
      <c r="D355" s="83"/>
      <c r="I355" s="83"/>
      <c r="J355" s="146"/>
      <c r="N355"/>
      <c r="P355"/>
      <c r="T355"/>
      <c r="W355"/>
    </row>
    <row r="356" spans="2:23" x14ac:dyDescent="0.25">
      <c r="B356"/>
      <c r="D356" s="83"/>
      <c r="I356" s="83"/>
      <c r="J356" s="146"/>
      <c r="N356"/>
      <c r="P356"/>
      <c r="T356"/>
      <c r="W356"/>
    </row>
    <row r="357" spans="2:23" x14ac:dyDescent="0.25">
      <c r="B357"/>
      <c r="D357" s="83"/>
      <c r="I357" s="83"/>
      <c r="J357" s="146"/>
      <c r="N357"/>
      <c r="P357"/>
      <c r="T357"/>
      <c r="W357"/>
    </row>
    <row r="358" spans="2:23" x14ac:dyDescent="0.25">
      <c r="B358"/>
      <c r="D358" s="83"/>
      <c r="I358" s="83"/>
      <c r="J358" s="146"/>
      <c r="N358"/>
      <c r="P358"/>
      <c r="T358"/>
      <c r="W358"/>
    </row>
    <row r="359" spans="2:23" x14ac:dyDescent="0.25">
      <c r="B359"/>
      <c r="D359" s="83"/>
      <c r="I359" s="83"/>
      <c r="J359" s="146"/>
      <c r="N359"/>
      <c r="P359"/>
      <c r="T359"/>
      <c r="W359"/>
    </row>
    <row r="360" spans="2:23" x14ac:dyDescent="0.25">
      <c r="B360"/>
      <c r="D360" s="83"/>
      <c r="I360" s="83"/>
      <c r="J360" s="146"/>
      <c r="N360"/>
      <c r="P360"/>
      <c r="T360"/>
      <c r="W360"/>
    </row>
    <row r="361" spans="2:23" x14ac:dyDescent="0.25">
      <c r="B361"/>
      <c r="D361" s="83"/>
      <c r="I361" s="83"/>
      <c r="J361" s="146"/>
      <c r="N361"/>
      <c r="P361"/>
      <c r="T361"/>
      <c r="W361"/>
    </row>
    <row r="362" spans="2:23" x14ac:dyDescent="0.25">
      <c r="B362"/>
      <c r="D362" s="83"/>
      <c r="I362" s="83"/>
      <c r="J362" s="146"/>
      <c r="N362"/>
      <c r="P362"/>
      <c r="T362"/>
      <c r="W362"/>
    </row>
    <row r="363" spans="2:23" x14ac:dyDescent="0.25">
      <c r="B363"/>
      <c r="D363" s="83"/>
      <c r="I363" s="83"/>
      <c r="J363" s="146"/>
      <c r="N363"/>
      <c r="P363"/>
      <c r="T363"/>
      <c r="W363"/>
    </row>
    <row r="364" spans="2:23" x14ac:dyDescent="0.25">
      <c r="B364"/>
      <c r="D364" s="83"/>
      <c r="I364" s="83"/>
      <c r="J364" s="146"/>
      <c r="N364"/>
      <c r="P364"/>
      <c r="T364"/>
      <c r="W364"/>
    </row>
    <row r="365" spans="2:23" x14ac:dyDescent="0.25">
      <c r="B365"/>
    </row>
    <row r="366" spans="2:23" x14ac:dyDescent="0.25">
      <c r="B366"/>
    </row>
    <row r="367" spans="2:23" x14ac:dyDescent="0.25">
      <c r="B367"/>
    </row>
    <row r="368" spans="2:23" x14ac:dyDescent="0.25">
      <c r="B368"/>
    </row>
    <row r="369" spans="2:2" x14ac:dyDescent="0.25">
      <c r="B369"/>
    </row>
  </sheetData>
  <conditionalFormatting sqref="A71:A75 A79">
    <cfRule type="dataBar" priority="724">
      <dataBar>
        <cfvo type="min"/>
        <cfvo type="max"/>
        <color rgb="FF63C384"/>
      </dataBar>
      <extLst>
        <ext xmlns:x14="http://schemas.microsoft.com/office/spreadsheetml/2009/9/main" uri="{B025F937-C7B1-47D3-B67F-A62EFF666E3E}">
          <x14:id>{4D1800C5-CADB-4823-A6D7-1F45DC7A3D4B}</x14:id>
        </ext>
      </extLst>
    </cfRule>
  </conditionalFormatting>
  <conditionalFormatting sqref="A81 A77">
    <cfRule type="dataBar" priority="723">
      <dataBar>
        <cfvo type="min"/>
        <cfvo type="max"/>
        <color rgb="FF008AEF"/>
      </dataBar>
      <extLst>
        <ext xmlns:x14="http://schemas.microsoft.com/office/spreadsheetml/2009/9/main" uri="{B025F937-C7B1-47D3-B67F-A62EFF666E3E}">
          <x14:id>{B195848C-4326-47BD-B215-ACB0C06AF1EB}</x14:id>
        </ext>
      </extLst>
    </cfRule>
  </conditionalFormatting>
  <conditionalFormatting sqref="B74:B75">
    <cfRule type="dataBar" priority="720">
      <dataBar>
        <cfvo type="min"/>
        <cfvo type="max"/>
        <color rgb="FF63C384"/>
      </dataBar>
      <extLst>
        <ext xmlns:x14="http://schemas.microsoft.com/office/spreadsheetml/2009/9/main" uri="{B025F937-C7B1-47D3-B67F-A62EFF666E3E}">
          <x14:id>{525D9360-DFDB-4FB7-B469-905026506A34}</x14:id>
        </ext>
      </extLst>
    </cfRule>
  </conditionalFormatting>
  <conditionalFormatting sqref="B118">
    <cfRule type="colorScale" priority="142">
      <colorScale>
        <cfvo type="min"/>
        <cfvo type="max"/>
        <color rgb="FF63BE7B"/>
        <color rgb="FFFFEF9C"/>
      </colorScale>
    </cfRule>
    <cfRule type="colorScale" priority="143">
      <colorScale>
        <cfvo type="min"/>
        <cfvo type="max"/>
        <color rgb="FF63BE7B"/>
        <color rgb="FFFFEF9C"/>
      </colorScale>
    </cfRule>
  </conditionalFormatting>
  <conditionalFormatting sqref="C67 C63">
    <cfRule type="dataBar" priority="187">
      <dataBar>
        <cfvo type="min"/>
        <cfvo type="max"/>
        <color rgb="FF63C384"/>
      </dataBar>
      <extLst>
        <ext xmlns:x14="http://schemas.microsoft.com/office/spreadsheetml/2009/9/main" uri="{B025F937-C7B1-47D3-B67F-A62EFF666E3E}">
          <x14:id>{B7293E55-FD5A-4CF7-AB5F-C3F075442526}</x14:id>
        </ext>
      </extLst>
    </cfRule>
  </conditionalFormatting>
  <conditionalFormatting sqref="C69 C65">
    <cfRule type="dataBar" priority="186">
      <dataBar>
        <cfvo type="min"/>
        <cfvo type="max"/>
        <color rgb="FF008AEF"/>
      </dataBar>
      <extLst>
        <ext xmlns:x14="http://schemas.microsoft.com/office/spreadsheetml/2009/9/main" uri="{B025F937-C7B1-47D3-B67F-A62EFF666E3E}">
          <x14:id>{DE32FB47-5FFB-483E-B40A-26F5D50B3E96}</x14:id>
        </ext>
      </extLst>
    </cfRule>
  </conditionalFormatting>
  <conditionalFormatting sqref="C72">
    <cfRule type="dataBar" priority="221">
      <dataBar>
        <cfvo type="min"/>
        <cfvo type="max"/>
        <color rgb="FF008AEF"/>
      </dataBar>
      <extLst>
        <ext xmlns:x14="http://schemas.microsoft.com/office/spreadsheetml/2009/9/main" uri="{B025F937-C7B1-47D3-B67F-A62EFF666E3E}">
          <x14:id>{D1D4953E-2559-42B7-9D5C-8E7377787A62}</x14:id>
        </ext>
      </extLst>
    </cfRule>
  </conditionalFormatting>
  <conditionalFormatting sqref="C74:C75">
    <cfRule type="dataBar" priority="718">
      <dataBar>
        <cfvo type="min"/>
        <cfvo type="max"/>
        <color rgb="FF63C384"/>
      </dataBar>
      <extLst>
        <ext xmlns:x14="http://schemas.microsoft.com/office/spreadsheetml/2009/9/main" uri="{B025F937-C7B1-47D3-B67F-A62EFF666E3E}">
          <x14:id>{FBD94CEC-94A8-4F95-908C-2F0EF7254341}</x14:id>
        </ext>
      </extLst>
    </cfRule>
  </conditionalFormatting>
  <conditionalFormatting sqref="C78 C82">
    <cfRule type="dataBar" priority="644">
      <dataBar>
        <cfvo type="min"/>
        <cfvo type="max"/>
        <color rgb="FF008AEF"/>
      </dataBar>
      <extLst>
        <ext xmlns:x14="http://schemas.microsoft.com/office/spreadsheetml/2009/9/main" uri="{B025F937-C7B1-47D3-B67F-A62EFF666E3E}">
          <x14:id>{BCA8D3DF-3171-4801-B0B7-A2EF3878F75B}</x14:id>
        </ext>
      </extLst>
    </cfRule>
  </conditionalFormatting>
  <conditionalFormatting sqref="E86 C86">
    <cfRule type="dataBar" priority="413">
      <dataBar>
        <cfvo type="min"/>
        <cfvo type="max"/>
        <color rgb="FF63C384"/>
      </dataBar>
      <extLst>
        <ext xmlns:x14="http://schemas.microsoft.com/office/spreadsheetml/2009/9/main" uri="{B025F937-C7B1-47D3-B67F-A62EFF666E3E}">
          <x14:id>{69C8EE51-C42F-4828-9E2D-8DC3EF3B94F6}</x14:id>
        </ext>
      </extLst>
    </cfRule>
  </conditionalFormatting>
  <conditionalFormatting sqref="C86:C87 E87">
    <cfRule type="dataBar" priority="600">
      <dataBar>
        <cfvo type="min"/>
        <cfvo type="max"/>
        <color rgb="FF63C384"/>
      </dataBar>
      <extLst>
        <ext xmlns:x14="http://schemas.microsoft.com/office/spreadsheetml/2009/9/main" uri="{B025F937-C7B1-47D3-B67F-A62EFF666E3E}">
          <x14:id>{182352E7-F591-4644-8BB5-8FEE57D2F725}</x14:id>
        </ext>
      </extLst>
    </cfRule>
  </conditionalFormatting>
  <conditionalFormatting sqref="E87 C87">
    <cfRule type="dataBar" priority="347">
      <dataBar>
        <cfvo type="min"/>
        <cfvo type="max"/>
        <color rgb="FF63C384"/>
      </dataBar>
      <extLst>
        <ext xmlns:x14="http://schemas.microsoft.com/office/spreadsheetml/2009/9/main" uri="{B025F937-C7B1-47D3-B67F-A62EFF666E3E}">
          <x14:id>{162EF8BB-FD26-4B38-AE3D-497706178FD2}</x14:id>
        </ext>
      </extLst>
    </cfRule>
  </conditionalFormatting>
  <conditionalFormatting sqref="C93 E93">
    <cfRule type="dataBar" priority="588">
      <dataBar>
        <cfvo type="min"/>
        <cfvo type="max"/>
        <color rgb="FF63C384"/>
      </dataBar>
      <extLst>
        <ext xmlns:x14="http://schemas.microsoft.com/office/spreadsheetml/2009/9/main" uri="{B025F937-C7B1-47D3-B67F-A62EFF666E3E}">
          <x14:id>{AC0179D1-A2A3-48C2-A240-C43E472D45DD}</x14:id>
        </ext>
      </extLst>
    </cfRule>
  </conditionalFormatting>
  <conditionalFormatting sqref="C96 E96">
    <cfRule type="dataBar" priority="582">
      <dataBar>
        <cfvo type="min"/>
        <cfvo type="max"/>
        <color rgb="FF63C384"/>
      </dataBar>
      <extLst>
        <ext xmlns:x14="http://schemas.microsoft.com/office/spreadsheetml/2009/9/main" uri="{B025F937-C7B1-47D3-B67F-A62EFF666E3E}">
          <x14:id>{30B6F93C-45E0-469D-8A6D-08217AC400FA}</x14:id>
        </ext>
      </extLst>
    </cfRule>
  </conditionalFormatting>
  <conditionalFormatting sqref="C97 E97">
    <cfRule type="dataBar" priority="580">
      <dataBar>
        <cfvo type="min"/>
        <cfvo type="max"/>
        <color rgb="FF63C384"/>
      </dataBar>
      <extLst>
        <ext xmlns:x14="http://schemas.microsoft.com/office/spreadsheetml/2009/9/main" uri="{B025F937-C7B1-47D3-B67F-A62EFF666E3E}">
          <x14:id>{6387A324-BF0C-479D-A976-15FAFE7870E2}</x14:id>
        </ext>
      </extLst>
    </cfRule>
  </conditionalFormatting>
  <conditionalFormatting sqref="C98 E98">
    <cfRule type="dataBar" priority="578">
      <dataBar>
        <cfvo type="min"/>
        <cfvo type="max"/>
        <color rgb="FF63C384"/>
      </dataBar>
      <extLst>
        <ext xmlns:x14="http://schemas.microsoft.com/office/spreadsheetml/2009/9/main" uri="{B025F937-C7B1-47D3-B67F-A62EFF666E3E}">
          <x14:id>{1A2EB59A-6729-44C9-968F-EF909A0A495E}</x14:id>
        </ext>
      </extLst>
    </cfRule>
  </conditionalFormatting>
  <conditionalFormatting sqref="E101 C101">
    <cfRule type="dataBar" priority="571">
      <dataBar>
        <cfvo type="min"/>
        <cfvo type="max"/>
        <color rgb="FF63C384"/>
      </dataBar>
      <extLst>
        <ext xmlns:x14="http://schemas.microsoft.com/office/spreadsheetml/2009/9/main" uri="{B025F937-C7B1-47D3-B67F-A62EFF666E3E}">
          <x14:id>{58B404C1-2670-4478-B1B7-3821B301C4A4}</x14:id>
        </ext>
      </extLst>
    </cfRule>
  </conditionalFormatting>
  <conditionalFormatting sqref="C103">
    <cfRule type="dataBar" priority="565">
      <dataBar>
        <cfvo type="min"/>
        <cfvo type="max"/>
        <color rgb="FF63C384"/>
      </dataBar>
      <extLst>
        <ext xmlns:x14="http://schemas.microsoft.com/office/spreadsheetml/2009/9/main" uri="{B025F937-C7B1-47D3-B67F-A62EFF666E3E}">
          <x14:id>{71024ABC-4F08-4842-BD30-907A21A7E1FD}</x14:id>
        </ext>
      </extLst>
    </cfRule>
  </conditionalFormatting>
  <conditionalFormatting sqref="C112 E112">
    <cfRule type="dataBar" priority="140">
      <dataBar>
        <cfvo type="min"/>
        <cfvo type="max"/>
        <color rgb="FF63C384"/>
      </dataBar>
      <extLst>
        <ext xmlns:x14="http://schemas.microsoft.com/office/spreadsheetml/2009/9/main" uri="{B025F937-C7B1-47D3-B67F-A62EFF666E3E}">
          <x14:id>{9641F543-CF21-4B3E-920E-99380C0B477E}</x14:id>
        </ext>
      </extLst>
    </cfRule>
  </conditionalFormatting>
  <conditionalFormatting sqref="E113 C113">
    <cfRule type="dataBar" priority="138">
      <dataBar>
        <cfvo type="min"/>
        <cfvo type="max"/>
        <color rgb="FF63C384"/>
      </dataBar>
      <extLst>
        <ext xmlns:x14="http://schemas.microsoft.com/office/spreadsheetml/2009/9/main" uri="{B025F937-C7B1-47D3-B67F-A62EFF666E3E}">
          <x14:id>{73F4B5F6-6A8D-4344-9F67-868AE7C1F372}</x14:id>
        </ext>
      </extLst>
    </cfRule>
  </conditionalFormatting>
  <conditionalFormatting sqref="C114 E114">
    <cfRule type="dataBar" priority="136">
      <dataBar>
        <cfvo type="min"/>
        <cfvo type="max"/>
        <color rgb="FF63C384"/>
      </dataBar>
      <extLst>
        <ext xmlns:x14="http://schemas.microsoft.com/office/spreadsheetml/2009/9/main" uri="{B025F937-C7B1-47D3-B67F-A62EFF666E3E}">
          <x14:id>{7E20D560-C04B-4CA1-ACAE-6B7E5EE5E5CC}</x14:id>
        </ext>
      </extLst>
    </cfRule>
  </conditionalFormatting>
  <conditionalFormatting sqref="C115 E115">
    <cfRule type="dataBar" priority="134">
      <dataBar>
        <cfvo type="min"/>
        <cfvo type="max"/>
        <color rgb="FF63C384"/>
      </dataBar>
      <extLst>
        <ext xmlns:x14="http://schemas.microsoft.com/office/spreadsheetml/2009/9/main" uri="{B025F937-C7B1-47D3-B67F-A62EFF666E3E}">
          <x14:id>{376D0C21-39C5-44CE-BB04-B76003F918BF}</x14:id>
        </ext>
      </extLst>
    </cfRule>
  </conditionalFormatting>
  <conditionalFormatting sqref="E116 C116">
    <cfRule type="dataBar" priority="129">
      <dataBar>
        <cfvo type="min"/>
        <cfvo type="max"/>
        <color rgb="FF63C384"/>
      </dataBar>
      <extLst>
        <ext xmlns:x14="http://schemas.microsoft.com/office/spreadsheetml/2009/9/main" uri="{B025F937-C7B1-47D3-B67F-A62EFF666E3E}">
          <x14:id>{AE64C53F-7EB3-44DF-979D-EC94DB343435}</x14:id>
        </ext>
      </extLst>
    </cfRule>
  </conditionalFormatting>
  <conditionalFormatting sqref="E119 C119">
    <cfRule type="dataBar" priority="123">
      <dataBar>
        <cfvo type="min"/>
        <cfvo type="max"/>
        <color rgb="FF63C384"/>
      </dataBar>
      <extLst>
        <ext xmlns:x14="http://schemas.microsoft.com/office/spreadsheetml/2009/9/main" uri="{B025F937-C7B1-47D3-B67F-A62EFF666E3E}">
          <x14:id>{9CEF6F9F-FF2C-4624-838F-4F4237E581FC}</x14:id>
        </ext>
      </extLst>
    </cfRule>
  </conditionalFormatting>
  <conditionalFormatting sqref="E120 C120">
    <cfRule type="dataBar" priority="121">
      <dataBar>
        <cfvo type="min"/>
        <cfvo type="max"/>
        <color rgb="FF63C384"/>
      </dataBar>
      <extLst>
        <ext xmlns:x14="http://schemas.microsoft.com/office/spreadsheetml/2009/9/main" uri="{B025F937-C7B1-47D3-B67F-A62EFF666E3E}">
          <x14:id>{A3564381-BF45-471D-9DB4-0BB9E6F9AF69}</x14:id>
        </ext>
      </extLst>
    </cfRule>
  </conditionalFormatting>
  <conditionalFormatting sqref="C124 E124">
    <cfRule type="dataBar" priority="113">
      <dataBar>
        <cfvo type="min"/>
        <cfvo type="max"/>
        <color rgb="FF63C384"/>
      </dataBar>
      <extLst>
        <ext xmlns:x14="http://schemas.microsoft.com/office/spreadsheetml/2009/9/main" uri="{B025F937-C7B1-47D3-B67F-A62EFF666E3E}">
          <x14:id>{39C9AF68-25EF-4DEE-A0CD-965EDC2643A8}</x14:id>
        </ext>
      </extLst>
    </cfRule>
  </conditionalFormatting>
  <conditionalFormatting sqref="E125 C125">
    <cfRule type="dataBar" priority="111">
      <dataBar>
        <cfvo type="min"/>
        <cfvo type="max"/>
        <color rgb="FF63C384"/>
      </dataBar>
      <extLst>
        <ext xmlns:x14="http://schemas.microsoft.com/office/spreadsheetml/2009/9/main" uri="{B025F937-C7B1-47D3-B67F-A62EFF666E3E}">
          <x14:id>{F353826A-A53C-4B62-8EC6-0DAFFA428E3D}</x14:id>
        </ext>
      </extLst>
    </cfRule>
  </conditionalFormatting>
  <conditionalFormatting sqref="E126 C126">
    <cfRule type="dataBar" priority="108">
      <dataBar>
        <cfvo type="min"/>
        <cfvo type="max"/>
        <color rgb="FF63C384"/>
      </dataBar>
      <extLst>
        <ext xmlns:x14="http://schemas.microsoft.com/office/spreadsheetml/2009/9/main" uri="{B025F937-C7B1-47D3-B67F-A62EFF666E3E}">
          <x14:id>{C0C7EE52-2929-48DA-838A-94C38CF75D40}</x14:id>
        </ext>
      </extLst>
    </cfRule>
  </conditionalFormatting>
  <conditionalFormatting sqref="E129 C129">
    <cfRule type="dataBar" priority="102">
      <dataBar>
        <cfvo type="min"/>
        <cfvo type="max"/>
        <color rgb="FF63C384"/>
      </dataBar>
      <extLst>
        <ext xmlns:x14="http://schemas.microsoft.com/office/spreadsheetml/2009/9/main" uri="{B025F937-C7B1-47D3-B67F-A62EFF666E3E}">
          <x14:id>{5DAFA5F5-43FC-4F96-9379-510A1F66B745}</x14:id>
        </ext>
      </extLst>
    </cfRule>
  </conditionalFormatting>
  <conditionalFormatting sqref="E130 C130">
    <cfRule type="dataBar" priority="100">
      <dataBar>
        <cfvo type="min"/>
        <cfvo type="max"/>
        <color rgb="FF63C384"/>
      </dataBar>
      <extLst>
        <ext xmlns:x14="http://schemas.microsoft.com/office/spreadsheetml/2009/9/main" uri="{B025F937-C7B1-47D3-B67F-A62EFF666E3E}">
          <x14:id>{E3DD37A5-BA46-4A78-9592-67453B726334}</x14:id>
        </ext>
      </extLst>
    </cfRule>
  </conditionalFormatting>
  <conditionalFormatting sqref="C76:D76 C80:D80">
    <cfRule type="dataBar" priority="645">
      <dataBar>
        <cfvo type="min"/>
        <cfvo type="max"/>
        <color rgb="FF63C384"/>
      </dataBar>
      <extLst>
        <ext xmlns:x14="http://schemas.microsoft.com/office/spreadsheetml/2009/9/main" uri="{B025F937-C7B1-47D3-B67F-A62EFF666E3E}">
          <x14:id>{512A6EFB-D0C5-4F1D-A899-2C42D05BDC67}</x14:id>
        </ext>
      </extLst>
    </cfRule>
  </conditionalFormatting>
  <conditionalFormatting sqref="C140:E140">
    <cfRule type="cellIs" dxfId="39" priority="46" operator="lessThan">
      <formula>1</formula>
    </cfRule>
    <cfRule type="cellIs" dxfId="38" priority="47" operator="greaterThan">
      <formula>1</formula>
    </cfRule>
  </conditionalFormatting>
  <conditionalFormatting sqref="C70:K70 C66:J66">
    <cfRule type="dataBar" priority="207">
      <dataBar>
        <cfvo type="min"/>
        <cfvo type="max"/>
        <color rgb="FF008AEF"/>
      </dataBar>
      <extLst>
        <ext xmlns:x14="http://schemas.microsoft.com/office/spreadsheetml/2009/9/main" uri="{B025F937-C7B1-47D3-B67F-A62EFF666E3E}">
          <x14:id>{8CDD37A8-0948-468E-B39D-F17ECDFEC29F}</x14:id>
        </ext>
      </extLst>
    </cfRule>
  </conditionalFormatting>
  <conditionalFormatting sqref="C36:V36 C48:V48">
    <cfRule type="dataBar" priority="387">
      <dataBar>
        <cfvo type="min"/>
        <cfvo type="max"/>
        <color rgb="FF63C384"/>
      </dataBar>
      <extLst>
        <ext xmlns:x14="http://schemas.microsoft.com/office/spreadsheetml/2009/9/main" uri="{B025F937-C7B1-47D3-B67F-A62EFF666E3E}">
          <x14:id>{B8A6E2CA-53F5-41FC-A38D-AF8E83D53A9D}</x14:id>
        </ext>
      </extLst>
    </cfRule>
    <cfRule type="dataBar" priority="418">
      <dataBar>
        <cfvo type="min"/>
        <cfvo type="max"/>
        <color rgb="FF63C384"/>
      </dataBar>
      <extLst>
        <ext xmlns:x14="http://schemas.microsoft.com/office/spreadsheetml/2009/9/main" uri="{B025F937-C7B1-47D3-B67F-A62EFF666E3E}">
          <x14:id>{37B79D09-ACFD-4798-AD5C-3DDC229F22AC}</x14:id>
        </ext>
      </extLst>
    </cfRule>
    <cfRule type="dataBar" priority="424">
      <dataBar>
        <cfvo type="min"/>
        <cfvo type="max"/>
        <color rgb="FF63C384"/>
      </dataBar>
      <extLst>
        <ext xmlns:x14="http://schemas.microsoft.com/office/spreadsheetml/2009/9/main" uri="{B025F937-C7B1-47D3-B67F-A62EFF666E3E}">
          <x14:id>{9FCD7987-617A-4762-B85E-2E258890C0FC}</x14:id>
        </ext>
      </extLst>
    </cfRule>
    <cfRule type="dataBar" priority="688">
      <dataBar>
        <cfvo type="min"/>
        <cfvo type="max"/>
        <color rgb="FF63C384"/>
      </dataBar>
      <extLst>
        <ext xmlns:x14="http://schemas.microsoft.com/office/spreadsheetml/2009/9/main" uri="{B025F937-C7B1-47D3-B67F-A62EFF666E3E}">
          <x14:id>{345FA8D6-FD1B-427E-A26E-94290C3B5D93}</x14:id>
        </ext>
      </extLst>
    </cfRule>
  </conditionalFormatting>
  <conditionalFormatting sqref="C38:V38 C40:V40 C50:V50 C52:V52">
    <cfRule type="dataBar" priority="556">
      <dataBar>
        <cfvo type="min"/>
        <cfvo type="max"/>
        <color rgb="FF63C384"/>
      </dataBar>
      <extLst>
        <ext xmlns:x14="http://schemas.microsoft.com/office/spreadsheetml/2009/9/main" uri="{B025F937-C7B1-47D3-B67F-A62EFF666E3E}">
          <x14:id>{6F1EB194-3B6E-461D-938E-3E1CF86227CC}</x14:id>
        </ext>
      </extLst>
    </cfRule>
  </conditionalFormatting>
  <conditionalFormatting sqref="C40:V40 C38:V38">
    <cfRule type="dataBar" priority="409">
      <dataBar>
        <cfvo type="min"/>
        <cfvo type="max"/>
        <color rgb="FF63C384"/>
      </dataBar>
      <extLst>
        <ext xmlns:x14="http://schemas.microsoft.com/office/spreadsheetml/2009/9/main" uri="{B025F937-C7B1-47D3-B67F-A62EFF666E3E}">
          <x14:id>{CDEBC05A-3538-4EE0-8C8A-49C91F9F10A2}</x14:id>
        </ext>
      </extLst>
    </cfRule>
    <cfRule type="dataBar" priority="428">
      <dataBar>
        <cfvo type="min"/>
        <cfvo type="max"/>
        <color rgb="FF63C384"/>
      </dataBar>
      <extLst>
        <ext xmlns:x14="http://schemas.microsoft.com/office/spreadsheetml/2009/9/main" uri="{B025F937-C7B1-47D3-B67F-A62EFF666E3E}">
          <x14:id>{31D87613-8AF4-48FC-B1D7-2B2AEE6CBE05}</x14:id>
        </ext>
      </extLst>
    </cfRule>
    <cfRule type="dataBar" priority="557">
      <dataBar>
        <cfvo type="min"/>
        <cfvo type="max"/>
        <color rgb="FF63C384"/>
      </dataBar>
      <extLst>
        <ext xmlns:x14="http://schemas.microsoft.com/office/spreadsheetml/2009/9/main" uri="{B025F937-C7B1-47D3-B67F-A62EFF666E3E}">
          <x14:id>{F17BE1AE-B7C6-4AEE-8647-AD0E299C8E33}</x14:id>
        </ext>
      </extLst>
    </cfRule>
  </conditionalFormatting>
  <conditionalFormatting sqref="C41:V41">
    <cfRule type="cellIs" dxfId="37" priority="96" operator="greaterThan">
      <formula>1</formula>
    </cfRule>
  </conditionalFormatting>
  <conditionalFormatting sqref="C42:V42 C54:V54">
    <cfRule type="dataBar" priority="687">
      <dataBar>
        <cfvo type="min"/>
        <cfvo type="max"/>
        <color rgb="FF008AEF"/>
      </dataBar>
      <extLst>
        <ext xmlns:x14="http://schemas.microsoft.com/office/spreadsheetml/2009/9/main" uri="{B025F937-C7B1-47D3-B67F-A62EFF666E3E}">
          <x14:id>{ED5230CC-AC08-49BC-AF57-731A65093B58}</x14:id>
        </ext>
      </extLst>
    </cfRule>
  </conditionalFormatting>
  <conditionalFormatting sqref="C44:V44 C58:V58 C46:V46 C56:V56">
    <cfRule type="dataBar" priority="558">
      <dataBar>
        <cfvo type="min"/>
        <cfvo type="max"/>
        <color rgb="FF638EC6"/>
      </dataBar>
      <extLst>
        <ext xmlns:x14="http://schemas.microsoft.com/office/spreadsheetml/2009/9/main" uri="{B025F937-C7B1-47D3-B67F-A62EFF666E3E}">
          <x14:id>{F8128F68-3BB3-4C39-A20F-44300C88A41C}</x14:id>
        </ext>
      </extLst>
    </cfRule>
  </conditionalFormatting>
  <conditionalFormatting sqref="C46:V46 C44:V44">
    <cfRule type="dataBar" priority="559">
      <dataBar>
        <cfvo type="min"/>
        <cfvo type="max"/>
        <color rgb="FF638EC6"/>
      </dataBar>
      <extLst>
        <ext xmlns:x14="http://schemas.microsoft.com/office/spreadsheetml/2009/9/main" uri="{B025F937-C7B1-47D3-B67F-A62EFF666E3E}">
          <x14:id>{D1B45ECF-CE49-4F7B-B282-A58E3C270927}</x14:id>
        </ext>
      </extLst>
    </cfRule>
  </conditionalFormatting>
  <conditionalFormatting sqref="C47:V47 O112:O131 C138:V138 Q120:Q131 K140:V140">
    <cfRule type="cellIs" dxfId="36" priority="93" operator="lessThan">
      <formula>1</formula>
    </cfRule>
  </conditionalFormatting>
  <conditionalFormatting sqref="C47:V47">
    <cfRule type="cellIs" dxfId="35" priority="94" operator="greaterThan">
      <formula>1</formula>
    </cfRule>
  </conditionalFormatting>
  <conditionalFormatting sqref="C48:V48 C36:V36">
    <cfRule type="dataBar" priority="346">
      <dataBar>
        <cfvo type="min"/>
        <cfvo type="max"/>
        <color rgb="FF63C384"/>
      </dataBar>
      <extLst>
        <ext xmlns:x14="http://schemas.microsoft.com/office/spreadsheetml/2009/9/main" uri="{B025F937-C7B1-47D3-B67F-A62EFF666E3E}">
          <x14:id>{F821A5FE-A566-4E64-A768-6FA2C0B2A331}</x14:id>
        </ext>
      </extLst>
    </cfRule>
    <cfRule type="dataBar" priority="367">
      <dataBar>
        <cfvo type="min"/>
        <cfvo type="max"/>
        <color rgb="FF63C384"/>
      </dataBar>
      <extLst>
        <ext xmlns:x14="http://schemas.microsoft.com/office/spreadsheetml/2009/9/main" uri="{B025F937-C7B1-47D3-B67F-A62EFF666E3E}">
          <x14:id>{5556634B-7D32-445F-9CD7-9C4750A43FDF}</x14:id>
        </ext>
      </extLst>
    </cfRule>
  </conditionalFormatting>
  <conditionalFormatting sqref="C50:V50 C52:V52">
    <cfRule type="dataBar" priority="388">
      <dataBar>
        <cfvo type="min"/>
        <cfvo type="max"/>
        <color rgb="FF63C384"/>
      </dataBar>
      <extLst>
        <ext xmlns:x14="http://schemas.microsoft.com/office/spreadsheetml/2009/9/main" uri="{B025F937-C7B1-47D3-B67F-A62EFF666E3E}">
          <x14:id>{869881F7-FEFA-4B36-8926-44098F9CBC18}</x14:id>
        </ext>
      </extLst>
    </cfRule>
  </conditionalFormatting>
  <conditionalFormatting sqref="C53:V53">
    <cfRule type="cellIs" dxfId="34" priority="90" operator="lessThan">
      <formula>1</formula>
    </cfRule>
    <cfRule type="cellIs" dxfId="33" priority="91" operator="greaterThan">
      <formula>1</formula>
    </cfRule>
  </conditionalFormatting>
  <conditionalFormatting sqref="C56:V56 C58:V58">
    <cfRule type="dataBar" priority="436">
      <dataBar>
        <cfvo type="min"/>
        <cfvo type="max"/>
        <color rgb="FF638EC6"/>
      </dataBar>
      <extLst>
        <ext xmlns:x14="http://schemas.microsoft.com/office/spreadsheetml/2009/9/main" uri="{B025F937-C7B1-47D3-B67F-A62EFF666E3E}">
          <x14:id>{074234B1-24E5-486D-A196-567358041268}</x14:id>
        </ext>
      </extLst>
    </cfRule>
  </conditionalFormatting>
  <conditionalFormatting sqref="C59:V59 Q112:Q131 C140:V140">
    <cfRule type="cellIs" dxfId="32" priority="87" operator="greaterThan">
      <formula>3.741453977</formula>
    </cfRule>
  </conditionalFormatting>
  <conditionalFormatting sqref="C59:V59 Q120:Q121 N122:Q131 M137:V140 K140:L140 C137:L139 N112:P121">
    <cfRule type="cellIs" dxfId="31" priority="85" operator="greaterThan">
      <formula>1</formula>
    </cfRule>
  </conditionalFormatting>
  <conditionalFormatting sqref="C59:V59">
    <cfRule type="containsText" dxfId="30" priority="82" operator="containsText" text="n.d. after storm">
      <formula>NOT(ISERROR(SEARCH("n.d. after storm",C59)))</formula>
    </cfRule>
    <cfRule type="cellIs" dxfId="29" priority="84" operator="lessThan">
      <formula>1</formula>
    </cfRule>
  </conditionalFormatting>
  <conditionalFormatting sqref="C72:V72">
    <cfRule type="dataBar" priority="243">
      <dataBar>
        <cfvo type="min"/>
        <cfvo type="max"/>
        <color rgb="FF008AEF"/>
      </dataBar>
      <extLst>
        <ext xmlns:x14="http://schemas.microsoft.com/office/spreadsheetml/2009/9/main" uri="{B025F937-C7B1-47D3-B67F-A62EFF666E3E}">
          <x14:id>{51C2FBF0-A6A0-426E-934B-34C961F43B23}</x14:id>
        </ext>
      </extLst>
    </cfRule>
  </conditionalFormatting>
  <conditionalFormatting sqref="C140:V140 Q112:Q131">
    <cfRule type="containsText" dxfId="28" priority="45" operator="containsText" text="n.d. after storm">
      <formula>NOT(ISERROR(SEARCH("n.d. after storm",C112)))</formula>
    </cfRule>
  </conditionalFormatting>
  <conditionalFormatting sqref="C140:V140">
    <cfRule type="cellIs" dxfId="27" priority="9" operator="lessThan">
      <formula>1</formula>
    </cfRule>
    <cfRule type="cellIs" dxfId="26" priority="10" operator="greaterThan">
      <formula>1</formula>
    </cfRule>
  </conditionalFormatting>
  <conditionalFormatting sqref="D67 D63">
    <cfRule type="dataBar" priority="185">
      <dataBar>
        <cfvo type="min"/>
        <cfvo type="max"/>
        <color rgb="FF63C384"/>
      </dataBar>
      <extLst>
        <ext xmlns:x14="http://schemas.microsoft.com/office/spreadsheetml/2009/9/main" uri="{B025F937-C7B1-47D3-B67F-A62EFF666E3E}">
          <x14:id>{80A3EFDE-4486-405C-AB5D-2699251B2F3C}</x14:id>
        </ext>
      </extLst>
    </cfRule>
  </conditionalFormatting>
  <conditionalFormatting sqref="D65 D69">
    <cfRule type="dataBar" priority="184">
      <dataBar>
        <cfvo type="min"/>
        <cfvo type="max"/>
        <color rgb="FF008AEF"/>
      </dataBar>
      <extLst>
        <ext xmlns:x14="http://schemas.microsoft.com/office/spreadsheetml/2009/9/main" uri="{B025F937-C7B1-47D3-B67F-A62EFF666E3E}">
          <x14:id>{F63146CD-DCED-4F46-89CC-FF3FD0B2AE19}</x14:id>
        </ext>
      </extLst>
    </cfRule>
  </conditionalFormatting>
  <conditionalFormatting sqref="D72">
    <cfRule type="dataBar" priority="219">
      <dataBar>
        <cfvo type="min"/>
        <cfvo type="max"/>
        <color rgb="FF008AEF"/>
      </dataBar>
      <extLst>
        <ext xmlns:x14="http://schemas.microsoft.com/office/spreadsheetml/2009/9/main" uri="{B025F937-C7B1-47D3-B67F-A62EFF666E3E}">
          <x14:id>{129471A4-767F-410F-AAFC-0F362295589B}</x14:id>
        </ext>
      </extLst>
    </cfRule>
  </conditionalFormatting>
  <conditionalFormatting sqref="D74:D75">
    <cfRule type="dataBar" priority="708">
      <dataBar>
        <cfvo type="min"/>
        <cfvo type="max"/>
        <color rgb="FF63C384"/>
      </dataBar>
      <extLst>
        <ext xmlns:x14="http://schemas.microsoft.com/office/spreadsheetml/2009/9/main" uri="{B025F937-C7B1-47D3-B67F-A62EFF666E3E}">
          <x14:id>{2A022F55-8044-4293-ABB7-443A2CBD8274}</x14:id>
        </ext>
      </extLst>
    </cfRule>
  </conditionalFormatting>
  <conditionalFormatting sqref="D76 D80">
    <cfRule type="dataBar" priority="643">
      <dataBar>
        <cfvo type="min"/>
        <cfvo type="max"/>
        <color rgb="FF63C384"/>
      </dataBar>
      <extLst>
        <ext xmlns:x14="http://schemas.microsoft.com/office/spreadsheetml/2009/9/main" uri="{B025F937-C7B1-47D3-B67F-A62EFF666E3E}">
          <x14:id>{509A2F8A-B470-4CA5-B423-728D6DD63E16}</x14:id>
        </ext>
      </extLst>
    </cfRule>
  </conditionalFormatting>
  <conditionalFormatting sqref="D78 D82">
    <cfRule type="dataBar" priority="642">
      <dataBar>
        <cfvo type="min"/>
        <cfvo type="max"/>
        <color rgb="FF008AEF"/>
      </dataBar>
      <extLst>
        <ext xmlns:x14="http://schemas.microsoft.com/office/spreadsheetml/2009/9/main" uri="{B025F937-C7B1-47D3-B67F-A62EFF666E3E}">
          <x14:id>{AA7BBAD2-9E1B-48D7-9B9F-84634F7C5846}</x14:id>
        </ext>
      </extLst>
    </cfRule>
  </conditionalFormatting>
  <conditionalFormatting sqref="E63 E67">
    <cfRule type="dataBar" priority="183">
      <dataBar>
        <cfvo type="min"/>
        <cfvo type="max"/>
        <color rgb="FF63C384"/>
      </dataBar>
      <extLst>
        <ext xmlns:x14="http://schemas.microsoft.com/office/spreadsheetml/2009/9/main" uri="{B025F937-C7B1-47D3-B67F-A62EFF666E3E}">
          <x14:id>{46111274-EF38-4C05-B6CF-4F0514B2D78D}</x14:id>
        </ext>
      </extLst>
    </cfRule>
  </conditionalFormatting>
  <conditionalFormatting sqref="E65 E69">
    <cfRule type="dataBar" priority="182">
      <dataBar>
        <cfvo type="min"/>
        <cfvo type="max"/>
        <color rgb="FF008AEF"/>
      </dataBar>
      <extLst>
        <ext xmlns:x14="http://schemas.microsoft.com/office/spreadsheetml/2009/9/main" uri="{B025F937-C7B1-47D3-B67F-A62EFF666E3E}">
          <x14:id>{3A73C13C-E3E6-4043-8CBC-B65E1CA43F16}</x14:id>
        </ext>
      </extLst>
    </cfRule>
  </conditionalFormatting>
  <conditionalFormatting sqref="E72">
    <cfRule type="dataBar" priority="216">
      <dataBar>
        <cfvo type="min"/>
        <cfvo type="max"/>
        <color rgb="FF63C384"/>
      </dataBar>
      <extLst>
        <ext xmlns:x14="http://schemas.microsoft.com/office/spreadsheetml/2009/9/main" uri="{B025F937-C7B1-47D3-B67F-A62EFF666E3E}">
          <x14:id>{4E21BF20-81F1-4315-87DD-9DF367269941}</x14:id>
        </ext>
      </extLst>
    </cfRule>
    <cfRule type="dataBar" priority="217">
      <dataBar>
        <cfvo type="min"/>
        <cfvo type="max"/>
        <color rgb="FF008AEF"/>
      </dataBar>
      <extLst>
        <ext xmlns:x14="http://schemas.microsoft.com/office/spreadsheetml/2009/9/main" uri="{B025F937-C7B1-47D3-B67F-A62EFF666E3E}">
          <x14:id>{0232FF3C-58FE-49B5-BF56-154C3498383F}</x14:id>
        </ext>
      </extLst>
    </cfRule>
  </conditionalFormatting>
  <conditionalFormatting sqref="E74:E75">
    <cfRule type="dataBar" priority="702">
      <dataBar>
        <cfvo type="min"/>
        <cfvo type="max"/>
        <color rgb="FF63C384"/>
      </dataBar>
      <extLst>
        <ext xmlns:x14="http://schemas.microsoft.com/office/spreadsheetml/2009/9/main" uri="{B025F937-C7B1-47D3-B67F-A62EFF666E3E}">
          <x14:id>{C2A0EF88-948D-4BB9-A755-1099BAB1302D}</x14:id>
        </ext>
      </extLst>
    </cfRule>
  </conditionalFormatting>
  <conditionalFormatting sqref="E80 E76">
    <cfRule type="dataBar" priority="641">
      <dataBar>
        <cfvo type="min"/>
        <cfvo type="max"/>
        <color rgb="FF63C384"/>
      </dataBar>
      <extLst>
        <ext xmlns:x14="http://schemas.microsoft.com/office/spreadsheetml/2009/9/main" uri="{B025F937-C7B1-47D3-B67F-A62EFF666E3E}">
          <x14:id>{B5360D8B-4CAE-40A6-88DD-73E2B1458E76}</x14:id>
        </ext>
      </extLst>
    </cfRule>
  </conditionalFormatting>
  <conditionalFormatting sqref="E78 E82">
    <cfRule type="dataBar" priority="640">
      <dataBar>
        <cfvo type="min"/>
        <cfvo type="max"/>
        <color rgb="FF008AEF"/>
      </dataBar>
      <extLst>
        <ext xmlns:x14="http://schemas.microsoft.com/office/spreadsheetml/2009/9/main" uri="{B025F937-C7B1-47D3-B67F-A62EFF666E3E}">
          <x14:id>{ACB38DD3-A79B-4E49-80F5-C087DEA6AB83}</x14:id>
        </ext>
      </extLst>
    </cfRule>
  </conditionalFormatting>
  <conditionalFormatting sqref="E86">
    <cfRule type="dataBar" priority="414">
      <dataBar>
        <cfvo type="min"/>
        <cfvo type="max"/>
        <color rgb="FF63C384"/>
      </dataBar>
      <extLst>
        <ext xmlns:x14="http://schemas.microsoft.com/office/spreadsheetml/2009/9/main" uri="{B025F937-C7B1-47D3-B67F-A62EFF666E3E}">
          <x14:id>{41D815B1-F4DA-40A3-80E9-A490A2603FB3}</x14:id>
        </ext>
      </extLst>
    </cfRule>
    <cfRule type="dataBar" priority="419">
      <dataBar>
        <cfvo type="min"/>
        <cfvo type="max"/>
        <color rgb="FF63C384"/>
      </dataBar>
      <extLst>
        <ext xmlns:x14="http://schemas.microsoft.com/office/spreadsheetml/2009/9/main" uri="{B025F937-C7B1-47D3-B67F-A62EFF666E3E}">
          <x14:id>{0F39FAFB-4F28-4172-B7B9-27600CD84A9F}</x14:id>
        </ext>
      </extLst>
    </cfRule>
  </conditionalFormatting>
  <conditionalFormatting sqref="E86:E87 C86:C87">
    <cfRule type="dataBar" priority="602">
      <dataBar>
        <cfvo type="min"/>
        <cfvo type="max"/>
        <color rgb="FF63C384"/>
      </dataBar>
      <extLst>
        <ext xmlns:x14="http://schemas.microsoft.com/office/spreadsheetml/2009/9/main" uri="{B025F937-C7B1-47D3-B67F-A62EFF666E3E}">
          <x14:id>{B4011F5C-6B96-4DA6-9491-246FF485418A}</x14:id>
        </ext>
      </extLst>
    </cfRule>
  </conditionalFormatting>
  <conditionalFormatting sqref="C88 E88">
    <cfRule type="dataBar" priority="412">
      <dataBar>
        <cfvo type="min"/>
        <cfvo type="max"/>
        <color rgb="FF63C384"/>
      </dataBar>
      <extLst>
        <ext xmlns:x14="http://schemas.microsoft.com/office/spreadsheetml/2009/9/main" uri="{B025F937-C7B1-47D3-B67F-A62EFF666E3E}">
          <x14:id>{170428E2-1DB4-4179-B7ED-C31AF1B95522}</x14:id>
        </ext>
      </extLst>
    </cfRule>
  </conditionalFormatting>
  <conditionalFormatting sqref="E89 C89">
    <cfRule type="dataBar" priority="596">
      <dataBar>
        <cfvo type="min"/>
        <cfvo type="max"/>
        <color rgb="FF63C384"/>
      </dataBar>
      <extLst>
        <ext xmlns:x14="http://schemas.microsoft.com/office/spreadsheetml/2009/9/main" uri="{B025F937-C7B1-47D3-B67F-A62EFF666E3E}">
          <x14:id>{3517C243-4AAC-4036-AC42-F4BC054111EA}</x14:id>
        </ext>
      </extLst>
    </cfRule>
  </conditionalFormatting>
  <conditionalFormatting sqref="C90 E90">
    <cfRule type="dataBar" priority="594">
      <dataBar>
        <cfvo type="min"/>
        <cfvo type="max"/>
        <color rgb="FF63C384"/>
      </dataBar>
      <extLst>
        <ext xmlns:x14="http://schemas.microsoft.com/office/spreadsheetml/2009/9/main" uri="{B025F937-C7B1-47D3-B67F-A62EFF666E3E}">
          <x14:id>{1B6779F5-C0AD-4758-BF13-B0946DF7D28C}</x14:id>
        </ext>
      </extLst>
    </cfRule>
  </conditionalFormatting>
  <conditionalFormatting sqref="E91 C91">
    <cfRule type="dataBar" priority="592">
      <dataBar>
        <cfvo type="min"/>
        <cfvo type="max"/>
        <color rgb="FF63C384"/>
      </dataBar>
      <extLst>
        <ext xmlns:x14="http://schemas.microsoft.com/office/spreadsheetml/2009/9/main" uri="{B025F937-C7B1-47D3-B67F-A62EFF666E3E}">
          <x14:id>{1ACEC713-CA87-4861-99B3-E6FCBBF86E06}</x14:id>
        </ext>
      </extLst>
    </cfRule>
  </conditionalFormatting>
  <conditionalFormatting sqref="C92 E92">
    <cfRule type="dataBar" priority="590">
      <dataBar>
        <cfvo type="min"/>
        <cfvo type="max"/>
        <color rgb="FF63C384"/>
      </dataBar>
      <extLst>
        <ext xmlns:x14="http://schemas.microsoft.com/office/spreadsheetml/2009/9/main" uri="{B025F937-C7B1-47D3-B67F-A62EFF666E3E}">
          <x14:id>{5B93F46E-A0F6-484A-B592-E825B51D5D2F}</x14:id>
        </ext>
      </extLst>
    </cfRule>
  </conditionalFormatting>
  <conditionalFormatting sqref="E94 C94">
    <cfRule type="dataBar" priority="586">
      <dataBar>
        <cfvo type="min"/>
        <cfvo type="max"/>
        <color rgb="FF63C384"/>
      </dataBar>
      <extLst>
        <ext xmlns:x14="http://schemas.microsoft.com/office/spreadsheetml/2009/9/main" uri="{B025F937-C7B1-47D3-B67F-A62EFF666E3E}">
          <x14:id>{B148C15B-40E4-4EC9-B9E1-51B22788A64A}</x14:id>
        </ext>
      </extLst>
    </cfRule>
  </conditionalFormatting>
  <conditionalFormatting sqref="E95 C95">
    <cfRule type="dataBar" priority="584">
      <dataBar>
        <cfvo type="min"/>
        <cfvo type="max"/>
        <color rgb="FF63C384"/>
      </dataBar>
      <extLst>
        <ext xmlns:x14="http://schemas.microsoft.com/office/spreadsheetml/2009/9/main" uri="{B025F937-C7B1-47D3-B67F-A62EFF666E3E}">
          <x14:id>{98A5A200-976C-442C-B463-AF9CEB564CF6}</x14:id>
        </ext>
      </extLst>
    </cfRule>
  </conditionalFormatting>
  <conditionalFormatting sqref="E99 C99">
    <cfRule type="dataBar" priority="576">
      <dataBar>
        <cfvo type="min"/>
        <cfvo type="max"/>
        <color rgb="FF63C384"/>
      </dataBar>
      <extLst>
        <ext xmlns:x14="http://schemas.microsoft.com/office/spreadsheetml/2009/9/main" uri="{B025F937-C7B1-47D3-B67F-A62EFF666E3E}">
          <x14:id>{A525FAB6-940B-493E-8F85-8F77CC64DDCC}</x14:id>
        </ext>
      </extLst>
    </cfRule>
  </conditionalFormatting>
  <conditionalFormatting sqref="E100 C100">
    <cfRule type="dataBar" priority="574">
      <dataBar>
        <cfvo type="min"/>
        <cfvo type="max"/>
        <color rgb="FF63C384"/>
      </dataBar>
      <extLst>
        <ext xmlns:x14="http://schemas.microsoft.com/office/spreadsheetml/2009/9/main" uri="{B025F937-C7B1-47D3-B67F-A62EFF666E3E}">
          <x14:id>{D0162B0B-3F6B-402B-8950-E4A06962ACDF}</x14:id>
        </ext>
      </extLst>
    </cfRule>
  </conditionalFormatting>
  <conditionalFormatting sqref="E102 C102">
    <cfRule type="dataBar" priority="569">
      <dataBar>
        <cfvo type="min"/>
        <cfvo type="max"/>
        <color rgb="FF63C384"/>
      </dataBar>
      <extLst>
        <ext xmlns:x14="http://schemas.microsoft.com/office/spreadsheetml/2009/9/main" uri="{B025F937-C7B1-47D3-B67F-A62EFF666E3E}">
          <x14:id>{03E1B005-8BD0-42FE-AB92-1872F7C8B62B}</x14:id>
        </ext>
      </extLst>
    </cfRule>
  </conditionalFormatting>
  <conditionalFormatting sqref="E103">
    <cfRule type="dataBar" priority="567">
      <dataBar>
        <cfvo type="min"/>
        <cfvo type="max"/>
        <color rgb="FF63C384"/>
      </dataBar>
      <extLst>
        <ext xmlns:x14="http://schemas.microsoft.com/office/spreadsheetml/2009/9/main" uri="{B025F937-C7B1-47D3-B67F-A62EFF666E3E}">
          <x14:id>{D9855B1F-52B7-45C6-9184-433B14EEBEB3}</x14:id>
        </ext>
      </extLst>
    </cfRule>
  </conditionalFormatting>
  <conditionalFormatting sqref="E104 C104">
    <cfRule type="dataBar" priority="563">
      <dataBar>
        <cfvo type="min"/>
        <cfvo type="max"/>
        <color rgb="FF63C384"/>
      </dataBar>
      <extLst>
        <ext xmlns:x14="http://schemas.microsoft.com/office/spreadsheetml/2009/9/main" uri="{B025F937-C7B1-47D3-B67F-A62EFF666E3E}">
          <x14:id>{132D6665-F106-47E4-B119-05EEF0D85B5B}</x14:id>
        </ext>
      </extLst>
    </cfRule>
  </conditionalFormatting>
  <conditionalFormatting sqref="E105 C105">
    <cfRule type="dataBar" priority="411">
      <dataBar>
        <cfvo type="min"/>
        <cfvo type="max"/>
        <color rgb="FF63C384"/>
      </dataBar>
      <extLst>
        <ext xmlns:x14="http://schemas.microsoft.com/office/spreadsheetml/2009/9/main" uri="{B025F937-C7B1-47D3-B67F-A62EFF666E3E}">
          <x14:id>{7E18B6D4-9CE0-43B6-AD9E-659EBA916E87}</x14:id>
        </ext>
      </extLst>
    </cfRule>
    <cfRule type="dataBar" priority="561">
      <dataBar>
        <cfvo type="min"/>
        <cfvo type="max"/>
        <color rgb="FF63C384"/>
      </dataBar>
      <extLst>
        <ext xmlns:x14="http://schemas.microsoft.com/office/spreadsheetml/2009/9/main" uri="{B025F937-C7B1-47D3-B67F-A62EFF666E3E}">
          <x14:id>{2CC6173E-D3E3-4EC1-B427-8C9C8101228E}</x14:id>
        </ext>
      </extLst>
    </cfRule>
  </conditionalFormatting>
  <conditionalFormatting sqref="C117 E117">
    <cfRule type="dataBar" priority="127">
      <dataBar>
        <cfvo type="min"/>
        <cfvo type="max"/>
        <color rgb="FF63C384"/>
      </dataBar>
      <extLst>
        <ext xmlns:x14="http://schemas.microsoft.com/office/spreadsheetml/2009/9/main" uri="{B025F937-C7B1-47D3-B67F-A62EFF666E3E}">
          <x14:id>{6E997D99-4858-4883-A4C7-8562DC7EBFA5}</x14:id>
        </ext>
      </extLst>
    </cfRule>
  </conditionalFormatting>
  <conditionalFormatting sqref="E118 C118">
    <cfRule type="dataBar" priority="125">
      <dataBar>
        <cfvo type="min"/>
        <cfvo type="max"/>
        <color rgb="FF63C384"/>
      </dataBar>
      <extLst>
        <ext xmlns:x14="http://schemas.microsoft.com/office/spreadsheetml/2009/9/main" uri="{B025F937-C7B1-47D3-B67F-A62EFF666E3E}">
          <x14:id>{7BFBAD05-1B46-49A1-9080-5EB16D0E1D75}</x14:id>
        </ext>
      </extLst>
    </cfRule>
  </conditionalFormatting>
  <conditionalFormatting sqref="E121 C121">
    <cfRule type="dataBar" priority="119">
      <dataBar>
        <cfvo type="min"/>
        <cfvo type="max"/>
        <color rgb="FF63C384"/>
      </dataBar>
      <extLst>
        <ext xmlns:x14="http://schemas.microsoft.com/office/spreadsheetml/2009/9/main" uri="{B025F937-C7B1-47D3-B67F-A62EFF666E3E}">
          <x14:id>{958BBF7D-D34F-4651-936A-CA8CDD0FDFE3}</x14:id>
        </ext>
      </extLst>
    </cfRule>
  </conditionalFormatting>
  <conditionalFormatting sqref="E122 C122">
    <cfRule type="dataBar" priority="117">
      <dataBar>
        <cfvo type="min"/>
        <cfvo type="max"/>
        <color rgb="FF63C384"/>
      </dataBar>
      <extLst>
        <ext xmlns:x14="http://schemas.microsoft.com/office/spreadsheetml/2009/9/main" uri="{B025F937-C7B1-47D3-B67F-A62EFF666E3E}">
          <x14:id>{F41D408A-CE7E-45DE-9233-41AC0455FE1B}</x14:id>
        </ext>
      </extLst>
    </cfRule>
  </conditionalFormatting>
  <conditionalFormatting sqref="E123 C123">
    <cfRule type="dataBar" priority="115">
      <dataBar>
        <cfvo type="min"/>
        <cfvo type="max"/>
        <color rgb="FF63C384"/>
      </dataBar>
      <extLst>
        <ext xmlns:x14="http://schemas.microsoft.com/office/spreadsheetml/2009/9/main" uri="{B025F937-C7B1-47D3-B67F-A62EFF666E3E}">
          <x14:id>{23E67FFF-2F5C-4FFF-ACAB-1F5ECDCA7620}</x14:id>
        </ext>
      </extLst>
    </cfRule>
  </conditionalFormatting>
  <conditionalFormatting sqref="E127 C127">
    <cfRule type="dataBar" priority="106">
      <dataBar>
        <cfvo type="min"/>
        <cfvo type="max"/>
        <color rgb="FF63C384"/>
      </dataBar>
      <extLst>
        <ext xmlns:x14="http://schemas.microsoft.com/office/spreadsheetml/2009/9/main" uri="{B025F937-C7B1-47D3-B67F-A62EFF666E3E}">
          <x14:id>{82440BC9-148A-4056-BEA6-827F1D214BF8}</x14:id>
        </ext>
      </extLst>
    </cfRule>
  </conditionalFormatting>
  <conditionalFormatting sqref="E128 C128">
    <cfRule type="dataBar" priority="104">
      <dataBar>
        <cfvo type="min"/>
        <cfvo type="max"/>
        <color rgb="FF63C384"/>
      </dataBar>
      <extLst>
        <ext xmlns:x14="http://schemas.microsoft.com/office/spreadsheetml/2009/9/main" uri="{B025F937-C7B1-47D3-B67F-A62EFF666E3E}">
          <x14:id>{1798005F-B9C9-42F7-B6A4-B67B64C2263A}</x14:id>
        </ext>
      </extLst>
    </cfRule>
  </conditionalFormatting>
  <conditionalFormatting sqref="E131 C131">
    <cfRule type="dataBar" priority="98">
      <dataBar>
        <cfvo type="min"/>
        <cfvo type="max"/>
        <color rgb="FF63C384"/>
      </dataBar>
      <extLst>
        <ext xmlns:x14="http://schemas.microsoft.com/office/spreadsheetml/2009/9/main" uri="{B025F937-C7B1-47D3-B67F-A62EFF666E3E}">
          <x14:id>{6AD9A913-BDFD-4ED2-ABA9-8C015DC8E1A6}</x14:id>
        </ext>
      </extLst>
    </cfRule>
  </conditionalFormatting>
  <conditionalFormatting sqref="F63 F67">
    <cfRule type="dataBar" priority="181">
      <dataBar>
        <cfvo type="min"/>
        <cfvo type="max"/>
        <color rgb="FF63C384"/>
      </dataBar>
      <extLst>
        <ext xmlns:x14="http://schemas.microsoft.com/office/spreadsheetml/2009/9/main" uri="{B025F937-C7B1-47D3-B67F-A62EFF666E3E}">
          <x14:id>{B1073FDE-6C0E-46D7-888A-037EF1D9D09F}</x14:id>
        </ext>
      </extLst>
    </cfRule>
  </conditionalFormatting>
  <conditionalFormatting sqref="F65 F69">
    <cfRule type="dataBar" priority="180">
      <dataBar>
        <cfvo type="min"/>
        <cfvo type="max"/>
        <color rgb="FF008AEF"/>
      </dataBar>
      <extLst>
        <ext xmlns:x14="http://schemas.microsoft.com/office/spreadsheetml/2009/9/main" uri="{B025F937-C7B1-47D3-B67F-A62EFF666E3E}">
          <x14:id>{E54EBA63-71FF-4FB5-A70C-292D7389C971}</x14:id>
        </ext>
      </extLst>
    </cfRule>
  </conditionalFormatting>
  <conditionalFormatting sqref="F72">
    <cfRule type="dataBar" priority="215">
      <dataBar>
        <cfvo type="min"/>
        <cfvo type="max"/>
        <color rgb="FF008AEF"/>
      </dataBar>
      <extLst>
        <ext xmlns:x14="http://schemas.microsoft.com/office/spreadsheetml/2009/9/main" uri="{B025F937-C7B1-47D3-B67F-A62EFF666E3E}">
          <x14:id>{AFEDB32F-E079-486C-8AC0-E06A0B1615FC}</x14:id>
        </ext>
      </extLst>
    </cfRule>
  </conditionalFormatting>
  <conditionalFormatting sqref="F78 F82">
    <cfRule type="dataBar" priority="638">
      <dataBar>
        <cfvo type="min"/>
        <cfvo type="max"/>
        <color rgb="FF008AEF"/>
      </dataBar>
      <extLst>
        <ext xmlns:x14="http://schemas.microsoft.com/office/spreadsheetml/2009/9/main" uri="{B025F937-C7B1-47D3-B67F-A62EFF666E3E}">
          <x14:id>{0C5E8DC0-73F4-4670-ABDD-A9EB5AC3E019}</x14:id>
        </ext>
      </extLst>
    </cfRule>
  </conditionalFormatting>
  <conditionalFormatting sqref="F76 F80">
    <cfRule type="dataBar" priority="639">
      <dataBar>
        <cfvo type="min"/>
        <cfvo type="max"/>
        <color rgb="FF63C384"/>
      </dataBar>
      <extLst>
        <ext xmlns:x14="http://schemas.microsoft.com/office/spreadsheetml/2009/9/main" uri="{B025F937-C7B1-47D3-B67F-A62EFF666E3E}">
          <x14:id>{9C49FA01-4CBA-4137-8719-ABD5C32A19B4}</x14:id>
        </ext>
      </extLst>
    </cfRule>
  </conditionalFormatting>
  <conditionalFormatting sqref="G65 G69">
    <cfRule type="dataBar" priority="177">
      <dataBar>
        <cfvo type="min"/>
        <cfvo type="max"/>
        <color rgb="FF008AEF"/>
      </dataBar>
      <extLst>
        <ext xmlns:x14="http://schemas.microsoft.com/office/spreadsheetml/2009/9/main" uri="{B025F937-C7B1-47D3-B67F-A62EFF666E3E}">
          <x14:id>{7609BE2F-59E7-4C75-994E-322B4F778D0A}</x14:id>
        </ext>
      </extLst>
    </cfRule>
    <cfRule type="dataBar" priority="178">
      <dataBar>
        <cfvo type="min"/>
        <cfvo type="max"/>
        <color rgb="FF63C384"/>
      </dataBar>
      <extLst>
        <ext xmlns:x14="http://schemas.microsoft.com/office/spreadsheetml/2009/9/main" uri="{B025F937-C7B1-47D3-B67F-A62EFF666E3E}">
          <x14:id>{77718000-A2DB-4778-A868-FCA51634DD7F}</x14:id>
        </ext>
      </extLst>
    </cfRule>
  </conditionalFormatting>
  <conditionalFormatting sqref="G63 G67">
    <cfRule type="dataBar" priority="179">
      <dataBar>
        <cfvo type="min"/>
        <cfvo type="max"/>
        <color rgb="FF63C384"/>
      </dataBar>
      <extLst>
        <ext xmlns:x14="http://schemas.microsoft.com/office/spreadsheetml/2009/9/main" uri="{B025F937-C7B1-47D3-B67F-A62EFF666E3E}">
          <x14:id>{1498997F-608E-486D-9CBF-AE7869A61D6F}</x14:id>
        </ext>
      </extLst>
    </cfRule>
  </conditionalFormatting>
  <conditionalFormatting sqref="G72">
    <cfRule type="dataBar" priority="213">
      <dataBar>
        <cfvo type="min"/>
        <cfvo type="max"/>
        <color rgb="FF008AEF"/>
      </dataBar>
      <extLst>
        <ext xmlns:x14="http://schemas.microsoft.com/office/spreadsheetml/2009/9/main" uri="{B025F937-C7B1-47D3-B67F-A62EFF666E3E}">
          <x14:id>{3A6CF4D7-8C36-4B7B-ACB7-002BA1F6753B}</x14:id>
        </ext>
      </extLst>
    </cfRule>
  </conditionalFormatting>
  <conditionalFormatting sqref="G78 G82">
    <cfRule type="dataBar" priority="636">
      <dataBar>
        <cfvo type="min"/>
        <cfvo type="max"/>
        <color rgb="FF008AEF"/>
      </dataBar>
      <extLst>
        <ext xmlns:x14="http://schemas.microsoft.com/office/spreadsheetml/2009/9/main" uri="{B025F937-C7B1-47D3-B67F-A62EFF666E3E}">
          <x14:id>{B46211B6-6D2E-4489-B3EB-BEBF60400DD6}</x14:id>
        </ext>
      </extLst>
    </cfRule>
  </conditionalFormatting>
  <conditionalFormatting sqref="G76 G80">
    <cfRule type="dataBar" priority="637">
      <dataBar>
        <cfvo type="min"/>
        <cfvo type="max"/>
        <color rgb="FF63C384"/>
      </dataBar>
      <extLst>
        <ext xmlns:x14="http://schemas.microsoft.com/office/spreadsheetml/2009/9/main" uri="{B025F937-C7B1-47D3-B67F-A62EFF666E3E}">
          <x14:id>{974FB0B1-0ABF-498A-BFFA-E0626FA2E42C}</x14:id>
        </ext>
      </extLst>
    </cfRule>
  </conditionalFormatting>
  <conditionalFormatting sqref="I86 G86">
    <cfRule type="dataBar" priority="601">
      <dataBar>
        <cfvo type="min"/>
        <cfvo type="max"/>
        <color rgb="FF008AEF"/>
      </dataBar>
      <extLst>
        <ext xmlns:x14="http://schemas.microsoft.com/office/spreadsheetml/2009/9/main" uri="{B025F937-C7B1-47D3-B67F-A62EFF666E3E}">
          <x14:id>{AEA032A4-FA03-4877-9860-3B2BEB74FAEF}</x14:id>
        </ext>
      </extLst>
    </cfRule>
  </conditionalFormatting>
  <conditionalFormatting sqref="I87 G87">
    <cfRule type="dataBar" priority="599">
      <dataBar>
        <cfvo type="min"/>
        <cfvo type="max"/>
        <color rgb="FF008AEF"/>
      </dataBar>
      <extLst>
        <ext xmlns:x14="http://schemas.microsoft.com/office/spreadsheetml/2009/9/main" uri="{B025F937-C7B1-47D3-B67F-A62EFF666E3E}">
          <x14:id>{4564027F-EB4B-48BE-A2A0-E90CFAD110F2}</x14:id>
        </ext>
      </extLst>
    </cfRule>
  </conditionalFormatting>
  <conditionalFormatting sqref="I88 G88">
    <cfRule type="dataBar" priority="597">
      <dataBar>
        <cfvo type="min"/>
        <cfvo type="max"/>
        <color rgb="FF008AEF"/>
      </dataBar>
      <extLst>
        <ext xmlns:x14="http://schemas.microsoft.com/office/spreadsheetml/2009/9/main" uri="{B025F937-C7B1-47D3-B67F-A62EFF666E3E}">
          <x14:id>{7AA4D2E2-E8C1-4949-8FE6-51BA27A8B956}</x14:id>
        </ext>
      </extLst>
    </cfRule>
  </conditionalFormatting>
  <conditionalFormatting sqref="G89 I89">
    <cfRule type="dataBar" priority="595">
      <dataBar>
        <cfvo type="min"/>
        <cfvo type="max"/>
        <color rgb="FF008AEF"/>
      </dataBar>
      <extLst>
        <ext xmlns:x14="http://schemas.microsoft.com/office/spreadsheetml/2009/9/main" uri="{B025F937-C7B1-47D3-B67F-A62EFF666E3E}">
          <x14:id>{969A0736-F40D-41A6-945E-6996E34578B1}</x14:id>
        </ext>
      </extLst>
    </cfRule>
  </conditionalFormatting>
  <conditionalFormatting sqref="I90 G90">
    <cfRule type="dataBar" priority="593">
      <dataBar>
        <cfvo type="min"/>
        <cfvo type="max"/>
        <color rgb="FF008AEF"/>
      </dataBar>
      <extLst>
        <ext xmlns:x14="http://schemas.microsoft.com/office/spreadsheetml/2009/9/main" uri="{B025F937-C7B1-47D3-B67F-A62EFF666E3E}">
          <x14:id>{F939D7BC-9198-4CA1-AD06-C5F690B9DAA0}</x14:id>
        </ext>
      </extLst>
    </cfRule>
  </conditionalFormatting>
  <conditionalFormatting sqref="I92 G92">
    <cfRule type="dataBar" priority="589">
      <dataBar>
        <cfvo type="min"/>
        <cfvo type="max"/>
        <color rgb="FF008AEF"/>
      </dataBar>
      <extLst>
        <ext xmlns:x14="http://schemas.microsoft.com/office/spreadsheetml/2009/9/main" uri="{B025F937-C7B1-47D3-B67F-A62EFF666E3E}">
          <x14:id>{DF104007-8F89-4FF0-8CB6-5295A50C339C}</x14:id>
        </ext>
      </extLst>
    </cfRule>
  </conditionalFormatting>
  <conditionalFormatting sqref="G93 I93">
    <cfRule type="dataBar" priority="587">
      <dataBar>
        <cfvo type="min"/>
        <cfvo type="max"/>
        <color rgb="FF008AEF"/>
      </dataBar>
      <extLst>
        <ext xmlns:x14="http://schemas.microsoft.com/office/spreadsheetml/2009/9/main" uri="{B025F937-C7B1-47D3-B67F-A62EFF666E3E}">
          <x14:id>{96C4DC72-4EA1-485F-8259-78EB3D66B3D3}</x14:id>
        </ext>
      </extLst>
    </cfRule>
  </conditionalFormatting>
  <conditionalFormatting sqref="G94 I94">
    <cfRule type="dataBar" priority="585">
      <dataBar>
        <cfvo type="min"/>
        <cfvo type="max"/>
        <color rgb="FF008AEF"/>
      </dataBar>
      <extLst>
        <ext xmlns:x14="http://schemas.microsoft.com/office/spreadsheetml/2009/9/main" uri="{B025F937-C7B1-47D3-B67F-A62EFF666E3E}">
          <x14:id>{B8115FFC-9103-4536-95E1-060D0469B5BD}</x14:id>
        </ext>
      </extLst>
    </cfRule>
  </conditionalFormatting>
  <conditionalFormatting sqref="G95 I95">
    <cfRule type="dataBar" priority="583">
      <dataBar>
        <cfvo type="min"/>
        <cfvo type="max"/>
        <color rgb="FF008AEF"/>
      </dataBar>
      <extLst>
        <ext xmlns:x14="http://schemas.microsoft.com/office/spreadsheetml/2009/9/main" uri="{B025F937-C7B1-47D3-B67F-A62EFF666E3E}">
          <x14:id>{495D8CF8-1C46-489D-A4AB-CD2DC6D49A9F}</x14:id>
        </ext>
      </extLst>
    </cfRule>
  </conditionalFormatting>
  <conditionalFormatting sqref="G96 I96">
    <cfRule type="dataBar" priority="581">
      <dataBar>
        <cfvo type="min"/>
        <cfvo type="max"/>
        <color rgb="FF008AEF"/>
      </dataBar>
      <extLst>
        <ext xmlns:x14="http://schemas.microsoft.com/office/spreadsheetml/2009/9/main" uri="{B025F937-C7B1-47D3-B67F-A62EFF666E3E}">
          <x14:id>{C354FFE6-488F-497D-AC2C-8CAFFC846301}</x14:id>
        </ext>
      </extLst>
    </cfRule>
  </conditionalFormatting>
  <conditionalFormatting sqref="I99 G99">
    <cfRule type="dataBar" priority="575">
      <dataBar>
        <cfvo type="min"/>
        <cfvo type="max"/>
        <color rgb="FF008AEF"/>
      </dataBar>
      <extLst>
        <ext xmlns:x14="http://schemas.microsoft.com/office/spreadsheetml/2009/9/main" uri="{B025F937-C7B1-47D3-B67F-A62EFF666E3E}">
          <x14:id>{BB01A5B6-7EB5-4664-943C-6BCEF8842CC4}</x14:id>
        </ext>
      </extLst>
    </cfRule>
  </conditionalFormatting>
  <conditionalFormatting sqref="G103">
    <cfRule type="dataBar" priority="564">
      <dataBar>
        <cfvo type="min"/>
        <cfvo type="max"/>
        <color rgb="FF008AEF"/>
      </dataBar>
      <extLst>
        <ext xmlns:x14="http://schemas.microsoft.com/office/spreadsheetml/2009/9/main" uri="{B025F937-C7B1-47D3-B67F-A62EFF666E3E}">
          <x14:id>{9B0A2663-D9EF-4C6F-AE16-287F24E60F27}</x14:id>
        </ext>
      </extLst>
    </cfRule>
  </conditionalFormatting>
  <conditionalFormatting sqref="G105 I105">
    <cfRule type="dataBar" priority="410">
      <dataBar>
        <cfvo type="min"/>
        <cfvo type="max"/>
        <color rgb="FF008AEF"/>
      </dataBar>
      <extLst>
        <ext xmlns:x14="http://schemas.microsoft.com/office/spreadsheetml/2009/9/main" uri="{B025F937-C7B1-47D3-B67F-A62EFF666E3E}">
          <x14:id>{326FF4F9-0FED-44DB-B40A-D8BDFC03A1A3}</x14:id>
        </ext>
      </extLst>
    </cfRule>
  </conditionalFormatting>
  <conditionalFormatting sqref="I115 G115">
    <cfRule type="dataBar" priority="133">
      <dataBar>
        <cfvo type="min"/>
        <cfvo type="max"/>
        <color rgb="FF008AEF"/>
      </dataBar>
      <extLst>
        <ext xmlns:x14="http://schemas.microsoft.com/office/spreadsheetml/2009/9/main" uri="{B025F937-C7B1-47D3-B67F-A62EFF666E3E}">
          <x14:id>{90C071E6-B547-46FB-BBD1-E97C4397C8A9}</x14:id>
        </ext>
      </extLst>
    </cfRule>
  </conditionalFormatting>
  <conditionalFormatting sqref="G116">
    <cfRule type="dataBar" priority="130">
      <dataBar>
        <cfvo type="min"/>
        <cfvo type="max"/>
        <color rgb="FF008AEF"/>
      </dataBar>
      <extLst>
        <ext xmlns:x14="http://schemas.microsoft.com/office/spreadsheetml/2009/9/main" uri="{B025F937-C7B1-47D3-B67F-A62EFF666E3E}">
          <x14:id>{224FEAF9-500B-4463-B88B-10E2E3A69160}</x14:id>
        </ext>
      </extLst>
    </cfRule>
  </conditionalFormatting>
  <conditionalFormatting sqref="I118 G118">
    <cfRule type="dataBar" priority="124">
      <dataBar>
        <cfvo type="min"/>
        <cfvo type="max"/>
        <color rgb="FF008AEF"/>
      </dataBar>
      <extLst>
        <ext xmlns:x14="http://schemas.microsoft.com/office/spreadsheetml/2009/9/main" uri="{B025F937-C7B1-47D3-B67F-A62EFF666E3E}">
          <x14:id>{D8FEF47D-5C0D-46BD-A7E1-364D2CEC2D03}</x14:id>
        </ext>
      </extLst>
    </cfRule>
  </conditionalFormatting>
  <conditionalFormatting sqref="I121 G121">
    <cfRule type="dataBar" priority="118">
      <dataBar>
        <cfvo type="min"/>
        <cfvo type="max"/>
        <color rgb="FF008AEF"/>
      </dataBar>
      <extLst>
        <ext xmlns:x14="http://schemas.microsoft.com/office/spreadsheetml/2009/9/main" uri="{B025F937-C7B1-47D3-B67F-A62EFF666E3E}">
          <x14:id>{EF3B0FE5-4409-443E-9C2C-789AC21CD79F}</x14:id>
        </ext>
      </extLst>
    </cfRule>
  </conditionalFormatting>
  <conditionalFormatting sqref="I122 G122">
    <cfRule type="dataBar" priority="116">
      <dataBar>
        <cfvo type="min"/>
        <cfvo type="max"/>
        <color rgb="FF008AEF"/>
      </dataBar>
      <extLst>
        <ext xmlns:x14="http://schemas.microsoft.com/office/spreadsheetml/2009/9/main" uri="{B025F937-C7B1-47D3-B67F-A62EFF666E3E}">
          <x14:id>{4C2A4B15-FBE1-4CE8-BBA5-F51F31FCE801}</x14:id>
        </ext>
      </extLst>
    </cfRule>
  </conditionalFormatting>
  <conditionalFormatting sqref="I123 G123">
    <cfRule type="dataBar" priority="114">
      <dataBar>
        <cfvo type="min"/>
        <cfvo type="max"/>
        <color rgb="FF008AEF"/>
      </dataBar>
      <extLst>
        <ext xmlns:x14="http://schemas.microsoft.com/office/spreadsheetml/2009/9/main" uri="{B025F937-C7B1-47D3-B67F-A62EFF666E3E}">
          <x14:id>{C0C48C5F-DF12-48B8-8179-B89C0B56514C}</x14:id>
        </ext>
      </extLst>
    </cfRule>
  </conditionalFormatting>
  <conditionalFormatting sqref="I124 G124">
    <cfRule type="dataBar" priority="112">
      <dataBar>
        <cfvo type="min"/>
        <cfvo type="max"/>
        <color rgb="FF008AEF"/>
      </dataBar>
      <extLst>
        <ext xmlns:x14="http://schemas.microsoft.com/office/spreadsheetml/2009/9/main" uri="{B025F937-C7B1-47D3-B67F-A62EFF666E3E}">
          <x14:id>{A0204F9C-350E-48B4-A9C1-B2E8B51070F8}</x14:id>
        </ext>
      </extLst>
    </cfRule>
  </conditionalFormatting>
  <conditionalFormatting sqref="I128 G128">
    <cfRule type="dataBar" priority="103">
      <dataBar>
        <cfvo type="min"/>
        <cfvo type="max"/>
        <color rgb="FF008AEF"/>
      </dataBar>
      <extLst>
        <ext xmlns:x14="http://schemas.microsoft.com/office/spreadsheetml/2009/9/main" uri="{B025F937-C7B1-47D3-B67F-A62EFF666E3E}">
          <x14:id>{CC07C172-DF09-4A10-ABE3-F2BB5887F876}</x14:id>
        </ext>
      </extLst>
    </cfRule>
  </conditionalFormatting>
  <conditionalFormatting sqref="I129 G129">
    <cfRule type="dataBar" priority="101">
      <dataBar>
        <cfvo type="min"/>
        <cfvo type="max"/>
        <color rgb="FF008AEF"/>
      </dataBar>
      <extLst>
        <ext xmlns:x14="http://schemas.microsoft.com/office/spreadsheetml/2009/9/main" uri="{B025F937-C7B1-47D3-B67F-A62EFF666E3E}">
          <x14:id>{6CE3E9F1-DD3C-476B-B80E-4EF5DFEBC1AD}</x14:id>
        </ext>
      </extLst>
    </cfRule>
  </conditionalFormatting>
  <conditionalFormatting sqref="I130 G130">
    <cfRule type="dataBar" priority="99">
      <dataBar>
        <cfvo type="min"/>
        <cfvo type="max"/>
        <color rgb="FF008AEF"/>
      </dataBar>
      <extLst>
        <ext xmlns:x14="http://schemas.microsoft.com/office/spreadsheetml/2009/9/main" uri="{B025F937-C7B1-47D3-B67F-A62EFF666E3E}">
          <x14:id>{369CBC70-A663-4197-8404-52C819E5BD54}</x14:id>
        </ext>
      </extLst>
    </cfRule>
  </conditionalFormatting>
  <conditionalFormatting sqref="I131 G131">
    <cfRule type="dataBar" priority="97">
      <dataBar>
        <cfvo type="min"/>
        <cfvo type="max"/>
        <color rgb="FF008AEF"/>
      </dataBar>
      <extLst>
        <ext xmlns:x14="http://schemas.microsoft.com/office/spreadsheetml/2009/9/main" uri="{B025F937-C7B1-47D3-B67F-A62EFF666E3E}">
          <x14:id>{4C89E514-97A0-48C9-B39A-E504A8855E7D}</x14:id>
        </ext>
      </extLst>
    </cfRule>
  </conditionalFormatting>
  <conditionalFormatting sqref="H67 H63">
    <cfRule type="dataBar" priority="176">
      <dataBar>
        <cfvo type="min"/>
        <cfvo type="max"/>
        <color rgb="FF63C384"/>
      </dataBar>
      <extLst>
        <ext xmlns:x14="http://schemas.microsoft.com/office/spreadsheetml/2009/9/main" uri="{B025F937-C7B1-47D3-B67F-A62EFF666E3E}">
          <x14:id>{F626115A-839D-4B49-88B8-EA41145A1DD5}</x14:id>
        </ext>
      </extLst>
    </cfRule>
  </conditionalFormatting>
  <conditionalFormatting sqref="H65 H69">
    <cfRule type="dataBar" priority="175">
      <dataBar>
        <cfvo type="min"/>
        <cfvo type="max"/>
        <color rgb="FF008AEF"/>
      </dataBar>
      <extLst>
        <ext xmlns:x14="http://schemas.microsoft.com/office/spreadsheetml/2009/9/main" uri="{B025F937-C7B1-47D3-B67F-A62EFF666E3E}">
          <x14:id>{AEDC9432-ABD8-4142-B49D-72372D241F15}</x14:id>
        </ext>
      </extLst>
    </cfRule>
  </conditionalFormatting>
  <conditionalFormatting sqref="H72">
    <cfRule type="dataBar" priority="211">
      <dataBar>
        <cfvo type="min"/>
        <cfvo type="max"/>
        <color rgb="FF008AEF"/>
      </dataBar>
      <extLst>
        <ext xmlns:x14="http://schemas.microsoft.com/office/spreadsheetml/2009/9/main" uri="{B025F937-C7B1-47D3-B67F-A62EFF666E3E}">
          <x14:id>{1472CC7C-76AF-4334-B90B-3C4FB6DE8E83}</x14:id>
        </ext>
      </extLst>
    </cfRule>
  </conditionalFormatting>
  <conditionalFormatting sqref="H76 H80">
    <cfRule type="dataBar" priority="635">
      <dataBar>
        <cfvo type="min"/>
        <cfvo type="max"/>
        <color rgb="FF63C384"/>
      </dataBar>
      <extLst>
        <ext xmlns:x14="http://schemas.microsoft.com/office/spreadsheetml/2009/9/main" uri="{B025F937-C7B1-47D3-B67F-A62EFF666E3E}">
          <x14:id>{2E83A2F6-71B0-4443-A4FA-AD6C2F12A790}</x14:id>
        </ext>
      </extLst>
    </cfRule>
  </conditionalFormatting>
  <conditionalFormatting sqref="H78 H82">
    <cfRule type="dataBar" priority="634">
      <dataBar>
        <cfvo type="min"/>
        <cfvo type="max"/>
        <color rgb="FF008AEF"/>
      </dataBar>
      <extLst>
        <ext xmlns:x14="http://schemas.microsoft.com/office/spreadsheetml/2009/9/main" uri="{B025F937-C7B1-47D3-B67F-A62EFF666E3E}">
          <x14:id>{265EB8B0-0320-44C4-960E-84D13575A328}</x14:id>
        </ext>
      </extLst>
    </cfRule>
  </conditionalFormatting>
  <conditionalFormatting sqref="I53">
    <cfRule type="containsText" dxfId="25" priority="81" operator="containsText" text="n.d. after storm">
      <formula>NOT(ISERROR(SEARCH("n.d. after storm",I53)))</formula>
    </cfRule>
  </conditionalFormatting>
  <conditionalFormatting sqref="I67 I63">
    <cfRule type="dataBar" priority="174">
      <dataBar>
        <cfvo type="min"/>
        <cfvo type="max"/>
        <color rgb="FF63C384"/>
      </dataBar>
      <extLst>
        <ext xmlns:x14="http://schemas.microsoft.com/office/spreadsheetml/2009/9/main" uri="{B025F937-C7B1-47D3-B67F-A62EFF666E3E}">
          <x14:id>{7552BC6B-BC5A-47D6-8276-5CCEF953C807}</x14:id>
        </ext>
      </extLst>
    </cfRule>
  </conditionalFormatting>
  <conditionalFormatting sqref="I69 I65">
    <cfRule type="dataBar" priority="173">
      <dataBar>
        <cfvo type="min"/>
        <cfvo type="max"/>
        <color rgb="FF008AEF"/>
      </dataBar>
      <extLst>
        <ext xmlns:x14="http://schemas.microsoft.com/office/spreadsheetml/2009/9/main" uri="{B025F937-C7B1-47D3-B67F-A62EFF666E3E}">
          <x14:id>{9F28FCA2-97E4-49A4-BEF6-BA05253C29DC}</x14:id>
        </ext>
      </extLst>
    </cfRule>
  </conditionalFormatting>
  <conditionalFormatting sqref="I78 I82">
    <cfRule type="dataBar" priority="632">
      <dataBar>
        <cfvo type="min"/>
        <cfvo type="max"/>
        <color rgb="FF008AEF"/>
      </dataBar>
      <extLst>
        <ext xmlns:x14="http://schemas.microsoft.com/office/spreadsheetml/2009/9/main" uri="{B025F937-C7B1-47D3-B67F-A62EFF666E3E}">
          <x14:id>{271EC2B7-FB67-4522-89E2-0D379C83B09B}</x14:id>
        </ext>
      </extLst>
    </cfRule>
  </conditionalFormatting>
  <conditionalFormatting sqref="I80 I76">
    <cfRule type="dataBar" priority="633">
      <dataBar>
        <cfvo type="min"/>
        <cfvo type="max"/>
        <color rgb="FF63C384"/>
      </dataBar>
      <extLst>
        <ext xmlns:x14="http://schemas.microsoft.com/office/spreadsheetml/2009/9/main" uri="{B025F937-C7B1-47D3-B67F-A62EFF666E3E}">
          <x14:id>{35D42F05-587D-432E-A295-7941493332A3}</x14:id>
        </ext>
      </extLst>
    </cfRule>
  </conditionalFormatting>
  <conditionalFormatting sqref="I91 G91">
    <cfRule type="dataBar" priority="591">
      <dataBar>
        <cfvo type="min"/>
        <cfvo type="max"/>
        <color rgb="FF008AEF"/>
      </dataBar>
      <extLst>
        <ext xmlns:x14="http://schemas.microsoft.com/office/spreadsheetml/2009/9/main" uri="{B025F937-C7B1-47D3-B67F-A62EFF666E3E}">
          <x14:id>{D7DF4982-D769-4A03-B315-5A9E3B6C5DCE}</x14:id>
        </ext>
      </extLst>
    </cfRule>
  </conditionalFormatting>
  <conditionalFormatting sqref="G97 I97">
    <cfRule type="dataBar" priority="579">
      <dataBar>
        <cfvo type="min"/>
        <cfvo type="max"/>
        <color rgb="FF008AEF"/>
      </dataBar>
      <extLst>
        <ext xmlns:x14="http://schemas.microsoft.com/office/spreadsheetml/2009/9/main" uri="{B025F937-C7B1-47D3-B67F-A62EFF666E3E}">
          <x14:id>{3D72D7A3-4C8F-4032-A046-F0EC871C4A4E}</x14:id>
        </ext>
      </extLst>
    </cfRule>
  </conditionalFormatting>
  <conditionalFormatting sqref="G98 I98">
    <cfRule type="dataBar" priority="577">
      <dataBar>
        <cfvo type="min"/>
        <cfvo type="max"/>
        <color rgb="FF008AEF"/>
      </dataBar>
      <extLst>
        <ext xmlns:x14="http://schemas.microsoft.com/office/spreadsheetml/2009/9/main" uri="{B025F937-C7B1-47D3-B67F-A62EFF666E3E}">
          <x14:id>{7021A89B-9DB3-4714-B3FB-635034563996}</x14:id>
        </ext>
      </extLst>
    </cfRule>
  </conditionalFormatting>
  <conditionalFormatting sqref="I100 G100">
    <cfRule type="dataBar" priority="572">
      <dataBar>
        <cfvo type="min"/>
        <cfvo type="max"/>
        <color rgb="FF008AEF"/>
      </dataBar>
      <extLst>
        <ext xmlns:x14="http://schemas.microsoft.com/office/spreadsheetml/2009/9/main" uri="{B025F937-C7B1-47D3-B67F-A62EFF666E3E}">
          <x14:id>{49C17949-103B-42DB-BCD3-71173B854679}</x14:id>
        </ext>
      </extLst>
    </cfRule>
    <cfRule type="dataBar" priority="573">
      <dataBar>
        <cfvo type="min"/>
        <cfvo type="max"/>
        <color rgb="FF63C384"/>
      </dataBar>
      <extLst>
        <ext xmlns:x14="http://schemas.microsoft.com/office/spreadsheetml/2009/9/main" uri="{B025F937-C7B1-47D3-B67F-A62EFF666E3E}">
          <x14:id>{E7D0697F-F1FF-4288-B271-9F1FAAE83EF8}</x14:id>
        </ext>
      </extLst>
    </cfRule>
  </conditionalFormatting>
  <conditionalFormatting sqref="G101 I101">
    <cfRule type="dataBar" priority="570">
      <dataBar>
        <cfvo type="min"/>
        <cfvo type="max"/>
        <color rgb="FF008AEF"/>
      </dataBar>
      <extLst>
        <ext xmlns:x14="http://schemas.microsoft.com/office/spreadsheetml/2009/9/main" uri="{B025F937-C7B1-47D3-B67F-A62EFF666E3E}">
          <x14:id>{7F18193F-51E1-422E-8560-2BEACD1B7D32}</x14:id>
        </ext>
      </extLst>
    </cfRule>
  </conditionalFormatting>
  <conditionalFormatting sqref="I102 G102">
    <cfRule type="dataBar" priority="568">
      <dataBar>
        <cfvo type="min"/>
        <cfvo type="max"/>
        <color rgb="FF008AEF"/>
      </dataBar>
      <extLst>
        <ext xmlns:x14="http://schemas.microsoft.com/office/spreadsheetml/2009/9/main" uri="{B025F937-C7B1-47D3-B67F-A62EFF666E3E}">
          <x14:id>{CCBA7B1E-B120-47E9-9453-A12921D1AAF5}</x14:id>
        </ext>
      </extLst>
    </cfRule>
  </conditionalFormatting>
  <conditionalFormatting sqref="G103 I103">
    <cfRule type="dataBar" priority="348">
      <dataBar>
        <cfvo type="min"/>
        <cfvo type="max"/>
        <color rgb="FF008AEF"/>
      </dataBar>
      <extLst>
        <ext xmlns:x14="http://schemas.microsoft.com/office/spreadsheetml/2009/9/main" uri="{B025F937-C7B1-47D3-B67F-A62EFF666E3E}">
          <x14:id>{282C78A4-2567-47AD-88E0-ECB683DD148B}</x14:id>
        </ext>
      </extLst>
    </cfRule>
  </conditionalFormatting>
  <conditionalFormatting sqref="I103">
    <cfRule type="dataBar" priority="566">
      <dataBar>
        <cfvo type="min"/>
        <cfvo type="max"/>
        <color rgb="FF008AEF"/>
      </dataBar>
      <extLst>
        <ext xmlns:x14="http://schemas.microsoft.com/office/spreadsheetml/2009/9/main" uri="{B025F937-C7B1-47D3-B67F-A62EFF666E3E}">
          <x14:id>{75B2DB4F-6B74-4506-A0BA-086ABD46AE3B}</x14:id>
        </ext>
      </extLst>
    </cfRule>
  </conditionalFormatting>
  <conditionalFormatting sqref="I104 G104">
    <cfRule type="dataBar" priority="562">
      <dataBar>
        <cfvo type="min"/>
        <cfvo type="max"/>
        <color rgb="FF008AEF"/>
      </dataBar>
      <extLst>
        <ext xmlns:x14="http://schemas.microsoft.com/office/spreadsheetml/2009/9/main" uri="{B025F937-C7B1-47D3-B67F-A62EFF666E3E}">
          <x14:id>{0DD20302-78EE-44CD-8F0E-4BB9F1C15279}</x14:id>
        </ext>
      </extLst>
    </cfRule>
  </conditionalFormatting>
  <conditionalFormatting sqref="G112 I112">
    <cfRule type="dataBar" priority="139">
      <dataBar>
        <cfvo type="min"/>
        <cfvo type="max"/>
        <color rgb="FF008AEF"/>
      </dataBar>
      <extLst>
        <ext xmlns:x14="http://schemas.microsoft.com/office/spreadsheetml/2009/9/main" uri="{B025F937-C7B1-47D3-B67F-A62EFF666E3E}">
          <x14:id>{AB8BFAD6-58E1-432E-ACD9-6FFF38751138}</x14:id>
        </ext>
      </extLst>
    </cfRule>
  </conditionalFormatting>
  <conditionalFormatting sqref="I113 G113">
    <cfRule type="dataBar" priority="137">
      <dataBar>
        <cfvo type="min"/>
        <cfvo type="max"/>
        <color rgb="FF008AEF"/>
      </dataBar>
      <extLst>
        <ext xmlns:x14="http://schemas.microsoft.com/office/spreadsheetml/2009/9/main" uri="{B025F937-C7B1-47D3-B67F-A62EFF666E3E}">
          <x14:id>{9CB1BBE0-E855-4529-A49D-DF0375804862}</x14:id>
        </ext>
      </extLst>
    </cfRule>
  </conditionalFormatting>
  <conditionalFormatting sqref="I114 G114">
    <cfRule type="dataBar" priority="135">
      <dataBar>
        <cfvo type="min"/>
        <cfvo type="max"/>
        <color rgb="FF008AEF"/>
      </dataBar>
      <extLst>
        <ext xmlns:x14="http://schemas.microsoft.com/office/spreadsheetml/2009/9/main" uri="{B025F937-C7B1-47D3-B67F-A62EFF666E3E}">
          <x14:id>{9E332058-1F1D-4E52-8707-16DCE9D680DF}</x14:id>
        </ext>
      </extLst>
    </cfRule>
  </conditionalFormatting>
  <conditionalFormatting sqref="I116">
    <cfRule type="dataBar" priority="128">
      <dataBar>
        <cfvo type="min"/>
        <cfvo type="max"/>
        <color rgb="FF008AEF"/>
      </dataBar>
      <extLst>
        <ext xmlns:x14="http://schemas.microsoft.com/office/spreadsheetml/2009/9/main" uri="{B025F937-C7B1-47D3-B67F-A62EFF666E3E}">
          <x14:id>{559D7815-58FE-49C6-8BE3-6D3AC41BCA11}</x14:id>
        </ext>
      </extLst>
    </cfRule>
  </conditionalFormatting>
  <conditionalFormatting sqref="I117 G117">
    <cfRule type="dataBar" priority="126">
      <dataBar>
        <cfvo type="min"/>
        <cfvo type="max"/>
        <color rgb="FF008AEF"/>
      </dataBar>
      <extLst>
        <ext xmlns:x14="http://schemas.microsoft.com/office/spreadsheetml/2009/9/main" uri="{B025F937-C7B1-47D3-B67F-A62EFF666E3E}">
          <x14:id>{CA3D9A96-0541-499A-AE33-BF4359FCB712}</x14:id>
        </ext>
      </extLst>
    </cfRule>
  </conditionalFormatting>
  <conditionalFormatting sqref="I119 G119">
    <cfRule type="dataBar" priority="122">
      <dataBar>
        <cfvo type="min"/>
        <cfvo type="max"/>
        <color rgb="FF008AEF"/>
      </dataBar>
      <extLst>
        <ext xmlns:x14="http://schemas.microsoft.com/office/spreadsheetml/2009/9/main" uri="{B025F937-C7B1-47D3-B67F-A62EFF666E3E}">
          <x14:id>{4C26CC11-5F3A-4DAB-BD03-D38B59A4DD7A}</x14:id>
        </ext>
      </extLst>
    </cfRule>
  </conditionalFormatting>
  <conditionalFormatting sqref="I120 G120">
    <cfRule type="dataBar" priority="120">
      <dataBar>
        <cfvo type="min"/>
        <cfvo type="max"/>
        <color rgb="FF008AEF"/>
      </dataBar>
      <extLst>
        <ext xmlns:x14="http://schemas.microsoft.com/office/spreadsheetml/2009/9/main" uri="{B025F937-C7B1-47D3-B67F-A62EFF666E3E}">
          <x14:id>{993336A5-5E0C-4344-8A93-D92CC1BA8AAF}</x14:id>
        </ext>
      </extLst>
    </cfRule>
  </conditionalFormatting>
  <conditionalFormatting sqref="I125 G125">
    <cfRule type="dataBar" priority="109">
      <dataBar>
        <cfvo type="min"/>
        <cfvo type="max"/>
        <color rgb="FF008AEF"/>
      </dataBar>
      <extLst>
        <ext xmlns:x14="http://schemas.microsoft.com/office/spreadsheetml/2009/9/main" uri="{B025F937-C7B1-47D3-B67F-A62EFF666E3E}">
          <x14:id>{F8B7D41C-F7C8-4B43-A68B-50CE3B4AAE7F}</x14:id>
        </ext>
      </extLst>
    </cfRule>
    <cfRule type="dataBar" priority="110">
      <dataBar>
        <cfvo type="min"/>
        <cfvo type="max"/>
        <color rgb="FF63C384"/>
      </dataBar>
      <extLst>
        <ext xmlns:x14="http://schemas.microsoft.com/office/spreadsheetml/2009/9/main" uri="{B025F937-C7B1-47D3-B67F-A62EFF666E3E}">
          <x14:id>{7043D1FB-948F-4CA7-9274-06EE0FF041EC}</x14:id>
        </ext>
      </extLst>
    </cfRule>
  </conditionalFormatting>
  <conditionalFormatting sqref="I126 G126">
    <cfRule type="dataBar" priority="107">
      <dataBar>
        <cfvo type="min"/>
        <cfvo type="max"/>
        <color rgb="FF008AEF"/>
      </dataBar>
      <extLst>
        <ext xmlns:x14="http://schemas.microsoft.com/office/spreadsheetml/2009/9/main" uri="{B025F937-C7B1-47D3-B67F-A62EFF666E3E}">
          <x14:id>{1D544B4D-5777-4B2E-85BC-19468F5B411F}</x14:id>
        </ext>
      </extLst>
    </cfRule>
  </conditionalFormatting>
  <conditionalFormatting sqref="I127 G127">
    <cfRule type="dataBar" priority="105">
      <dataBar>
        <cfvo type="min"/>
        <cfvo type="max"/>
        <color rgb="FF008AEF"/>
      </dataBar>
      <extLst>
        <ext xmlns:x14="http://schemas.microsoft.com/office/spreadsheetml/2009/9/main" uri="{B025F937-C7B1-47D3-B67F-A62EFF666E3E}">
          <x14:id>{5A97F4FD-838C-4641-A90C-4ADC40A84D67}</x14:id>
        </ext>
      </extLst>
    </cfRule>
  </conditionalFormatting>
  <conditionalFormatting sqref="I139">
    <cfRule type="containsText" dxfId="24" priority="43" operator="containsText" text="n.d. after storm">
      <formula>NOT(ISERROR(SEARCH("n.d. after storm",I139)))</formula>
    </cfRule>
  </conditionalFormatting>
  <conditionalFormatting sqref="J60:J62">
    <cfRule type="colorScale" priority="696">
      <colorScale>
        <cfvo type="min"/>
        <cfvo type="max"/>
        <color rgb="FF63BE7B"/>
        <color rgb="FFFFEF9C"/>
      </colorScale>
    </cfRule>
    <cfRule type="colorScale" priority="697">
      <colorScale>
        <cfvo type="min"/>
        <cfvo type="max"/>
        <color rgb="FF63BE7B"/>
        <color rgb="FFFFEF9C"/>
      </colorScale>
    </cfRule>
  </conditionalFormatting>
  <conditionalFormatting sqref="J63 J67">
    <cfRule type="dataBar" priority="172">
      <dataBar>
        <cfvo type="min"/>
        <cfvo type="max"/>
        <color rgb="FF63C384"/>
      </dataBar>
      <extLst>
        <ext xmlns:x14="http://schemas.microsoft.com/office/spreadsheetml/2009/9/main" uri="{B025F937-C7B1-47D3-B67F-A62EFF666E3E}">
          <x14:id>{2C88BA02-E51B-4355-918E-7AD7F78CEF89}</x14:id>
        </ext>
      </extLst>
    </cfRule>
  </conditionalFormatting>
  <conditionalFormatting sqref="J69 J65">
    <cfRule type="dataBar" priority="171">
      <dataBar>
        <cfvo type="min"/>
        <cfvo type="max"/>
        <color rgb="FF008AEF"/>
      </dataBar>
      <extLst>
        <ext xmlns:x14="http://schemas.microsoft.com/office/spreadsheetml/2009/9/main" uri="{B025F937-C7B1-47D3-B67F-A62EFF666E3E}">
          <x14:id>{113F4798-2529-42BD-B42C-5B1DB1124A33}</x14:id>
        </ext>
      </extLst>
    </cfRule>
  </conditionalFormatting>
  <conditionalFormatting sqref="J80 J76">
    <cfRule type="dataBar" priority="631">
      <dataBar>
        <cfvo type="min"/>
        <cfvo type="max"/>
        <color rgb="FF63C384"/>
      </dataBar>
      <extLst>
        <ext xmlns:x14="http://schemas.microsoft.com/office/spreadsheetml/2009/9/main" uri="{B025F937-C7B1-47D3-B67F-A62EFF666E3E}">
          <x14:id>{E6A81B98-F608-490A-8FC1-C60F5CC97723}</x14:id>
        </ext>
      </extLst>
    </cfRule>
  </conditionalFormatting>
  <conditionalFormatting sqref="J78 J82">
    <cfRule type="dataBar" priority="630">
      <dataBar>
        <cfvo type="min"/>
        <cfvo type="max"/>
        <color rgb="FF008AEF"/>
      </dataBar>
      <extLst>
        <ext xmlns:x14="http://schemas.microsoft.com/office/spreadsheetml/2009/9/main" uri="{B025F937-C7B1-47D3-B67F-A62EFF666E3E}">
          <x14:id>{A43BE717-2A2C-4EE5-9488-A0A127C93471}</x14:id>
        </ext>
      </extLst>
    </cfRule>
  </conditionalFormatting>
  <conditionalFormatting sqref="K63 K67">
    <cfRule type="dataBar" priority="170">
      <dataBar>
        <cfvo type="min"/>
        <cfvo type="max"/>
        <color rgb="FF63C384"/>
      </dataBar>
      <extLst>
        <ext xmlns:x14="http://schemas.microsoft.com/office/spreadsheetml/2009/9/main" uri="{B025F937-C7B1-47D3-B67F-A62EFF666E3E}">
          <x14:id>{2843F069-9678-475D-956D-56450DA8C369}</x14:id>
        </ext>
      </extLst>
    </cfRule>
  </conditionalFormatting>
  <conditionalFormatting sqref="K65 K69">
    <cfRule type="dataBar" priority="169">
      <dataBar>
        <cfvo type="min"/>
        <cfvo type="max"/>
        <color rgb="FF008AEF"/>
      </dataBar>
      <extLst>
        <ext xmlns:x14="http://schemas.microsoft.com/office/spreadsheetml/2009/9/main" uri="{B025F937-C7B1-47D3-B67F-A62EFF666E3E}">
          <x14:id>{C8EE04AC-A26B-412E-AA17-36D67415E3B6}</x14:id>
        </ext>
      </extLst>
    </cfRule>
  </conditionalFormatting>
  <conditionalFormatting sqref="K80 K76">
    <cfRule type="dataBar" priority="629">
      <dataBar>
        <cfvo type="min"/>
        <cfvo type="max"/>
        <color rgb="FF63C384"/>
      </dataBar>
      <extLst>
        <ext xmlns:x14="http://schemas.microsoft.com/office/spreadsheetml/2009/9/main" uri="{B025F937-C7B1-47D3-B67F-A62EFF666E3E}">
          <x14:id>{D088B339-A74F-438F-9D95-B56EF43BCD40}</x14:id>
        </ext>
      </extLst>
    </cfRule>
  </conditionalFormatting>
  <conditionalFormatting sqref="K78 K82">
    <cfRule type="dataBar" priority="628">
      <dataBar>
        <cfvo type="min"/>
        <cfvo type="max"/>
        <color rgb="FF008AEF"/>
      </dataBar>
      <extLst>
        <ext xmlns:x14="http://schemas.microsoft.com/office/spreadsheetml/2009/9/main" uri="{B025F937-C7B1-47D3-B67F-A62EFF666E3E}">
          <x14:id>{90530424-4A1C-489A-9742-347FFAAB37EA}</x14:id>
        </ext>
      </extLst>
    </cfRule>
  </conditionalFormatting>
  <conditionalFormatting sqref="K59:V59">
    <cfRule type="cellIs" dxfId="23" priority="88" operator="lessThan">
      <formula>1</formula>
    </cfRule>
  </conditionalFormatting>
  <conditionalFormatting sqref="L63 L67">
    <cfRule type="dataBar" priority="168">
      <dataBar>
        <cfvo type="min"/>
        <cfvo type="max"/>
        <color rgb="FF63C384"/>
      </dataBar>
      <extLst>
        <ext xmlns:x14="http://schemas.microsoft.com/office/spreadsheetml/2009/9/main" uri="{B025F937-C7B1-47D3-B67F-A62EFF666E3E}">
          <x14:id>{73F8F551-08AA-423D-8A11-6833BE074488}</x14:id>
        </ext>
      </extLst>
    </cfRule>
  </conditionalFormatting>
  <conditionalFormatting sqref="L65 L69">
    <cfRule type="dataBar" priority="167">
      <dataBar>
        <cfvo type="min"/>
        <cfvo type="max"/>
        <color rgb="FF008AEF"/>
      </dataBar>
      <extLst>
        <ext xmlns:x14="http://schemas.microsoft.com/office/spreadsheetml/2009/9/main" uri="{B025F937-C7B1-47D3-B67F-A62EFF666E3E}">
          <x14:id>{71FE8755-238D-4769-8A35-3284A9BE4E1D}</x14:id>
        </ext>
      </extLst>
    </cfRule>
  </conditionalFormatting>
  <conditionalFormatting sqref="L76 L80">
    <cfRule type="dataBar" priority="627">
      <dataBar>
        <cfvo type="min"/>
        <cfvo type="max"/>
        <color rgb="FF63C384"/>
      </dataBar>
      <extLst>
        <ext xmlns:x14="http://schemas.microsoft.com/office/spreadsheetml/2009/9/main" uri="{B025F937-C7B1-47D3-B67F-A62EFF666E3E}">
          <x14:id>{7BC12DF1-7C6C-4D78-8F84-1A4BC4A3E104}</x14:id>
        </ext>
      </extLst>
    </cfRule>
  </conditionalFormatting>
  <conditionalFormatting sqref="L82 L78">
    <cfRule type="dataBar" priority="626">
      <dataBar>
        <cfvo type="min"/>
        <cfvo type="max"/>
        <color rgb="FF008AEF"/>
      </dataBar>
      <extLst>
        <ext xmlns:x14="http://schemas.microsoft.com/office/spreadsheetml/2009/9/main" uri="{B025F937-C7B1-47D3-B67F-A62EFF666E3E}">
          <x14:id>{3518E73E-BC2D-47E8-B43A-6A0CDA2AD9E9}</x14:id>
        </ext>
      </extLst>
    </cfRule>
  </conditionalFormatting>
  <conditionalFormatting sqref="M63 M67">
    <cfRule type="dataBar" priority="166">
      <dataBar>
        <cfvo type="min"/>
        <cfvo type="max"/>
        <color rgb="FF63C384"/>
      </dataBar>
      <extLst>
        <ext xmlns:x14="http://schemas.microsoft.com/office/spreadsheetml/2009/9/main" uri="{B025F937-C7B1-47D3-B67F-A62EFF666E3E}">
          <x14:id>{5D97AD38-00CB-4E79-9D7F-C60A000146C8}</x14:id>
        </ext>
      </extLst>
    </cfRule>
  </conditionalFormatting>
  <conditionalFormatting sqref="M65 M69">
    <cfRule type="dataBar" priority="165">
      <dataBar>
        <cfvo type="min"/>
        <cfvo type="max"/>
        <color rgb="FF008AEF"/>
      </dataBar>
      <extLst>
        <ext xmlns:x14="http://schemas.microsoft.com/office/spreadsheetml/2009/9/main" uri="{B025F937-C7B1-47D3-B67F-A62EFF666E3E}">
          <x14:id>{C81946BD-0C55-4994-9A8C-B58F99CCAE7C}</x14:id>
        </ext>
      </extLst>
    </cfRule>
  </conditionalFormatting>
  <conditionalFormatting sqref="M82 M78">
    <cfRule type="dataBar" priority="624">
      <dataBar>
        <cfvo type="min"/>
        <cfvo type="max"/>
        <color rgb="FF008AEF"/>
      </dataBar>
      <extLst>
        <ext xmlns:x14="http://schemas.microsoft.com/office/spreadsheetml/2009/9/main" uri="{B025F937-C7B1-47D3-B67F-A62EFF666E3E}">
          <x14:id>{1F266F24-223E-42FB-9D5F-E60D37C82AC5}</x14:id>
        </ext>
      </extLst>
    </cfRule>
  </conditionalFormatting>
  <conditionalFormatting sqref="M76 M80">
    <cfRule type="dataBar" priority="625">
      <dataBar>
        <cfvo type="min"/>
        <cfvo type="max"/>
        <color rgb="FF63C384"/>
      </dataBar>
      <extLst>
        <ext xmlns:x14="http://schemas.microsoft.com/office/spreadsheetml/2009/9/main" uri="{B025F937-C7B1-47D3-B67F-A62EFF666E3E}">
          <x14:id>{7FA5B6C6-524D-4E0F-89AC-FAE9A742E8E1}</x14:id>
        </ext>
      </extLst>
    </cfRule>
  </conditionalFormatting>
  <conditionalFormatting sqref="N63 N67">
    <cfRule type="dataBar" priority="164">
      <dataBar>
        <cfvo type="min"/>
        <cfvo type="max"/>
        <color rgb="FF63C384"/>
      </dataBar>
      <extLst>
        <ext xmlns:x14="http://schemas.microsoft.com/office/spreadsheetml/2009/9/main" uri="{B025F937-C7B1-47D3-B67F-A62EFF666E3E}">
          <x14:id>{F733396F-8FD4-4C9E-B1CA-1FA8E2BA167A}</x14:id>
        </ext>
      </extLst>
    </cfRule>
  </conditionalFormatting>
  <conditionalFormatting sqref="N65 N69">
    <cfRule type="dataBar" priority="163">
      <dataBar>
        <cfvo type="min"/>
        <cfvo type="max"/>
        <color rgb="FF008AEF"/>
      </dataBar>
      <extLst>
        <ext xmlns:x14="http://schemas.microsoft.com/office/spreadsheetml/2009/9/main" uri="{B025F937-C7B1-47D3-B67F-A62EFF666E3E}">
          <x14:id>{B84EE7AE-72FD-46D2-9BC8-2CC12C870976}</x14:id>
        </ext>
      </extLst>
    </cfRule>
  </conditionalFormatting>
  <conditionalFormatting sqref="N82 N78">
    <cfRule type="dataBar" priority="622">
      <dataBar>
        <cfvo type="min"/>
        <cfvo type="max"/>
        <color rgb="FF008AEF"/>
      </dataBar>
      <extLst>
        <ext xmlns:x14="http://schemas.microsoft.com/office/spreadsheetml/2009/9/main" uri="{B025F937-C7B1-47D3-B67F-A62EFF666E3E}">
          <x14:id>{40B150DF-662A-41BB-AE59-636C39861B2A}</x14:id>
        </ext>
      </extLst>
    </cfRule>
  </conditionalFormatting>
  <conditionalFormatting sqref="N76 N80">
    <cfRule type="dataBar" priority="623">
      <dataBar>
        <cfvo type="min"/>
        <cfvo type="max"/>
        <color rgb="FF63C384"/>
      </dataBar>
      <extLst>
        <ext xmlns:x14="http://schemas.microsoft.com/office/spreadsheetml/2009/9/main" uri="{B025F937-C7B1-47D3-B67F-A62EFF666E3E}">
          <x14:id>{F201752B-47F7-40E4-82E0-643FEF83F182}</x14:id>
        </ext>
      </extLst>
    </cfRule>
  </conditionalFormatting>
  <conditionalFormatting sqref="N112:Q131">
    <cfRule type="cellIs" dxfId="22" priority="1" operator="lessThan">
      <formula>1</formula>
    </cfRule>
    <cfRule type="cellIs" dxfId="21" priority="2" operator="greaterThan">
      <formula>1</formula>
    </cfRule>
  </conditionalFormatting>
  <conditionalFormatting sqref="O63 O67">
    <cfRule type="dataBar" priority="162">
      <dataBar>
        <cfvo type="min"/>
        <cfvo type="max"/>
        <color rgb="FF63C384"/>
      </dataBar>
      <extLst>
        <ext xmlns:x14="http://schemas.microsoft.com/office/spreadsheetml/2009/9/main" uri="{B025F937-C7B1-47D3-B67F-A62EFF666E3E}">
          <x14:id>{A27BB060-415B-4A43-BFAF-24E732C4C73A}</x14:id>
        </ext>
      </extLst>
    </cfRule>
  </conditionalFormatting>
  <conditionalFormatting sqref="O65 O69">
    <cfRule type="dataBar" priority="161">
      <dataBar>
        <cfvo type="min"/>
        <cfvo type="max"/>
        <color rgb="FF008AEF"/>
      </dataBar>
      <extLst>
        <ext xmlns:x14="http://schemas.microsoft.com/office/spreadsheetml/2009/9/main" uri="{B025F937-C7B1-47D3-B67F-A62EFF666E3E}">
          <x14:id>{FC5F49C4-7737-444F-8896-F14A70E739BE}</x14:id>
        </ext>
      </extLst>
    </cfRule>
  </conditionalFormatting>
  <conditionalFormatting sqref="O82 O78">
    <cfRule type="dataBar" priority="620">
      <dataBar>
        <cfvo type="min"/>
        <cfvo type="max"/>
        <color rgb="FF008AEF"/>
      </dataBar>
      <extLst>
        <ext xmlns:x14="http://schemas.microsoft.com/office/spreadsheetml/2009/9/main" uri="{B025F937-C7B1-47D3-B67F-A62EFF666E3E}">
          <x14:id>{6A304AC2-F3A9-4AEC-BC20-64119527FD43}</x14:id>
        </ext>
      </extLst>
    </cfRule>
  </conditionalFormatting>
  <conditionalFormatting sqref="O80 O76">
    <cfRule type="dataBar" priority="621">
      <dataBar>
        <cfvo type="min"/>
        <cfvo type="max"/>
        <color rgb="FF63C384"/>
      </dataBar>
      <extLst>
        <ext xmlns:x14="http://schemas.microsoft.com/office/spreadsheetml/2009/9/main" uri="{B025F937-C7B1-47D3-B67F-A62EFF666E3E}">
          <x14:id>{940FC70E-3D92-4114-84ED-5EF598CCF9F4}</x14:id>
        </ext>
      </extLst>
    </cfRule>
  </conditionalFormatting>
  <conditionalFormatting sqref="O112:O131 C138:V138 C47:V47">
    <cfRule type="cellIs" dxfId="20" priority="92" operator="lessThan">
      <formula>1.347338936</formula>
    </cfRule>
  </conditionalFormatting>
  <conditionalFormatting sqref="P67 P63">
    <cfRule type="dataBar" priority="160">
      <dataBar>
        <cfvo type="min"/>
        <cfvo type="max"/>
        <color rgb="FF63C384"/>
      </dataBar>
      <extLst>
        <ext xmlns:x14="http://schemas.microsoft.com/office/spreadsheetml/2009/9/main" uri="{B025F937-C7B1-47D3-B67F-A62EFF666E3E}">
          <x14:id>{46F400A8-7AFB-445D-A2EA-1BCD1ECA5818}</x14:id>
        </ext>
      </extLst>
    </cfRule>
  </conditionalFormatting>
  <conditionalFormatting sqref="P69 P65">
    <cfRule type="dataBar" priority="159">
      <dataBar>
        <cfvo type="min"/>
        <cfvo type="max"/>
        <color rgb="FF008AEF"/>
      </dataBar>
      <extLst>
        <ext xmlns:x14="http://schemas.microsoft.com/office/spreadsheetml/2009/9/main" uri="{B025F937-C7B1-47D3-B67F-A62EFF666E3E}">
          <x14:id>{1D937025-9F29-4ECC-9946-0887392C539F}</x14:id>
        </ext>
      </extLst>
    </cfRule>
  </conditionalFormatting>
  <conditionalFormatting sqref="P76 P80">
    <cfRule type="dataBar" priority="619">
      <dataBar>
        <cfvo type="min"/>
        <cfvo type="max"/>
        <color rgb="FF63C384"/>
      </dataBar>
      <extLst>
        <ext xmlns:x14="http://schemas.microsoft.com/office/spreadsheetml/2009/9/main" uri="{B025F937-C7B1-47D3-B67F-A62EFF666E3E}">
          <x14:id>{CD67D8F9-C0A6-4595-9705-2596A04F77C9}</x14:id>
        </ext>
      </extLst>
    </cfRule>
  </conditionalFormatting>
  <conditionalFormatting sqref="P82 P78">
    <cfRule type="dataBar" priority="618">
      <dataBar>
        <cfvo type="min"/>
        <cfvo type="max"/>
        <color rgb="FF008AEF"/>
      </dataBar>
      <extLst>
        <ext xmlns:x14="http://schemas.microsoft.com/office/spreadsheetml/2009/9/main" uri="{B025F937-C7B1-47D3-B67F-A62EFF666E3E}">
          <x14:id>{3B254045-9EBD-4785-A671-BD314ABCC59C}</x14:id>
        </ext>
      </extLst>
    </cfRule>
  </conditionalFormatting>
  <conditionalFormatting sqref="P118">
    <cfRule type="containsText" dxfId="19" priority="6" operator="containsText" text="n.d. after storm">
      <formula>NOT(ISERROR(SEARCH("n.d. after storm",P118)))</formula>
    </cfRule>
  </conditionalFormatting>
  <conditionalFormatting sqref="P112:Q131 O131:Q131 C139:V140 C41:V41 C137:V137">
    <cfRule type="cellIs" dxfId="18" priority="95" operator="lessThan">
      <formula>1</formula>
    </cfRule>
  </conditionalFormatting>
  <conditionalFormatting sqref="Q67 Q63">
    <cfRule type="dataBar" priority="158">
      <dataBar>
        <cfvo type="min"/>
        <cfvo type="max"/>
        <color rgb="FF63C384"/>
      </dataBar>
      <extLst>
        <ext xmlns:x14="http://schemas.microsoft.com/office/spreadsheetml/2009/9/main" uri="{B025F937-C7B1-47D3-B67F-A62EFF666E3E}">
          <x14:id>{A294A6FB-6BA0-423B-8179-7B667E628858}</x14:id>
        </ext>
      </extLst>
    </cfRule>
  </conditionalFormatting>
  <conditionalFormatting sqref="Q65 Q69">
    <cfRule type="dataBar" priority="156">
      <dataBar>
        <cfvo type="min"/>
        <cfvo type="max"/>
        <color rgb="FF008AEF"/>
      </dataBar>
      <extLst>
        <ext xmlns:x14="http://schemas.microsoft.com/office/spreadsheetml/2009/9/main" uri="{B025F937-C7B1-47D3-B67F-A62EFF666E3E}">
          <x14:id>{57B29D5B-04F9-464D-8041-AD3DDABE3E0D}</x14:id>
        </ext>
      </extLst>
    </cfRule>
    <cfRule type="dataBar" priority="157">
      <dataBar>
        <cfvo type="min"/>
        <cfvo type="max"/>
        <color rgb="FF63C384"/>
      </dataBar>
      <extLst>
        <ext xmlns:x14="http://schemas.microsoft.com/office/spreadsheetml/2009/9/main" uri="{B025F937-C7B1-47D3-B67F-A62EFF666E3E}">
          <x14:id>{124C9518-2CC1-4809-853F-667355C0129F}</x14:id>
        </ext>
      </extLst>
    </cfRule>
  </conditionalFormatting>
  <conditionalFormatting sqref="Q76 Q80">
    <cfRule type="dataBar" priority="617">
      <dataBar>
        <cfvo type="min"/>
        <cfvo type="max"/>
        <color rgb="FF63C384"/>
      </dataBar>
      <extLst>
        <ext xmlns:x14="http://schemas.microsoft.com/office/spreadsheetml/2009/9/main" uri="{B025F937-C7B1-47D3-B67F-A62EFF666E3E}">
          <x14:id>{D28CE8E8-CC3E-459E-8D75-730CFBB6AC10}</x14:id>
        </ext>
      </extLst>
    </cfRule>
  </conditionalFormatting>
  <conditionalFormatting sqref="Q82 Q78">
    <cfRule type="dataBar" priority="615">
      <dataBar>
        <cfvo type="min"/>
        <cfvo type="max"/>
        <color rgb="FF008AEF"/>
      </dataBar>
      <extLst>
        <ext xmlns:x14="http://schemas.microsoft.com/office/spreadsheetml/2009/9/main" uri="{B025F937-C7B1-47D3-B67F-A62EFF666E3E}">
          <x14:id>{5BBD836E-388D-4E97-A140-A9B10C8C3641}</x14:id>
        </ext>
      </extLst>
    </cfRule>
    <cfRule type="dataBar" priority="616">
      <dataBar>
        <cfvo type="min"/>
        <cfvo type="max"/>
        <color rgb="FF63C384"/>
      </dataBar>
      <extLst>
        <ext xmlns:x14="http://schemas.microsoft.com/office/spreadsheetml/2009/9/main" uri="{B025F937-C7B1-47D3-B67F-A62EFF666E3E}">
          <x14:id>{D6B26838-80E3-4FA3-BF6B-CF9962A024DC}</x14:id>
        </ext>
      </extLst>
    </cfRule>
  </conditionalFormatting>
  <conditionalFormatting sqref="Q112:Q114">
    <cfRule type="cellIs" dxfId="17" priority="7" operator="lessThan">
      <formula>1</formula>
    </cfRule>
  </conditionalFormatting>
  <conditionalFormatting sqref="Q112:Q131">
    <cfRule type="cellIs" dxfId="16" priority="4" operator="lessThan">
      <formula>1</formula>
    </cfRule>
  </conditionalFormatting>
  <conditionalFormatting sqref="R67 R63">
    <cfRule type="dataBar" priority="155">
      <dataBar>
        <cfvo type="min"/>
        <cfvo type="max"/>
        <color rgb="FF63C384"/>
      </dataBar>
      <extLst>
        <ext xmlns:x14="http://schemas.microsoft.com/office/spreadsheetml/2009/9/main" uri="{B025F937-C7B1-47D3-B67F-A62EFF666E3E}">
          <x14:id>{CEB63F9E-2C85-4607-B792-0CD479F1649A}</x14:id>
        </ext>
      </extLst>
    </cfRule>
  </conditionalFormatting>
  <conditionalFormatting sqref="R69 R65">
    <cfRule type="dataBar" priority="154">
      <dataBar>
        <cfvo type="min"/>
        <cfvo type="max"/>
        <color rgb="FF008AEF"/>
      </dataBar>
      <extLst>
        <ext xmlns:x14="http://schemas.microsoft.com/office/spreadsheetml/2009/9/main" uri="{B025F937-C7B1-47D3-B67F-A62EFF666E3E}">
          <x14:id>{C875F573-BE0F-4042-9D2E-E20D53EDF9E0}</x14:id>
        </ext>
      </extLst>
    </cfRule>
  </conditionalFormatting>
  <conditionalFormatting sqref="R82 R78">
    <cfRule type="dataBar" priority="613">
      <dataBar>
        <cfvo type="min"/>
        <cfvo type="max"/>
        <color rgb="FF008AEF"/>
      </dataBar>
      <extLst>
        <ext xmlns:x14="http://schemas.microsoft.com/office/spreadsheetml/2009/9/main" uri="{B025F937-C7B1-47D3-B67F-A62EFF666E3E}">
          <x14:id>{5E3DD89D-E53C-45B3-B24E-849222E83066}</x14:id>
        </ext>
      </extLst>
    </cfRule>
  </conditionalFormatting>
  <conditionalFormatting sqref="R76 R80">
    <cfRule type="dataBar" priority="614">
      <dataBar>
        <cfvo type="min"/>
        <cfvo type="max"/>
        <color rgb="FF63C384"/>
      </dataBar>
      <extLst>
        <ext xmlns:x14="http://schemas.microsoft.com/office/spreadsheetml/2009/9/main" uri="{B025F937-C7B1-47D3-B67F-A62EFF666E3E}">
          <x14:id>{B34448F4-7F2E-4209-B4F6-78F59F0258DB}</x14:id>
        </ext>
      </extLst>
    </cfRule>
  </conditionalFormatting>
  <conditionalFormatting sqref="S67 S63">
    <cfRule type="dataBar" priority="153">
      <dataBar>
        <cfvo type="min"/>
        <cfvo type="max"/>
        <color rgb="FF63C384"/>
      </dataBar>
      <extLst>
        <ext xmlns:x14="http://schemas.microsoft.com/office/spreadsheetml/2009/9/main" uri="{B025F937-C7B1-47D3-B67F-A62EFF666E3E}">
          <x14:id>{485A737E-6780-4799-8911-507BD07FF5C3}</x14:id>
        </ext>
      </extLst>
    </cfRule>
  </conditionalFormatting>
  <conditionalFormatting sqref="S69 S65">
    <cfRule type="dataBar" priority="152">
      <dataBar>
        <cfvo type="min"/>
        <cfvo type="max"/>
        <color rgb="FF008AEF"/>
      </dataBar>
      <extLst>
        <ext xmlns:x14="http://schemas.microsoft.com/office/spreadsheetml/2009/9/main" uri="{B025F937-C7B1-47D3-B67F-A62EFF666E3E}">
          <x14:id>{B71573C9-9B47-4D2F-BCD9-0F036D6702BE}</x14:id>
        </ext>
      </extLst>
    </cfRule>
  </conditionalFormatting>
  <conditionalFormatting sqref="S82 S78">
    <cfRule type="dataBar" priority="611">
      <dataBar>
        <cfvo type="min"/>
        <cfvo type="max"/>
        <color rgb="FF008AEF"/>
      </dataBar>
      <extLst>
        <ext xmlns:x14="http://schemas.microsoft.com/office/spreadsheetml/2009/9/main" uri="{B025F937-C7B1-47D3-B67F-A62EFF666E3E}">
          <x14:id>{406FC399-7F7D-4851-8945-E9CDB79BEFCA}</x14:id>
        </ext>
      </extLst>
    </cfRule>
  </conditionalFormatting>
  <conditionalFormatting sqref="S80 S76">
    <cfRule type="dataBar" priority="612">
      <dataBar>
        <cfvo type="min"/>
        <cfvo type="max"/>
        <color rgb="FF63C384"/>
      </dataBar>
      <extLst>
        <ext xmlns:x14="http://schemas.microsoft.com/office/spreadsheetml/2009/9/main" uri="{B025F937-C7B1-47D3-B67F-A62EFF666E3E}">
          <x14:id>{221026E1-EB18-43BB-830D-036D2F562EF0}</x14:id>
        </ext>
      </extLst>
    </cfRule>
  </conditionalFormatting>
  <conditionalFormatting sqref="T67 T63">
    <cfRule type="dataBar" priority="151">
      <dataBar>
        <cfvo type="min"/>
        <cfvo type="max"/>
        <color rgb="FF63C384"/>
      </dataBar>
      <extLst>
        <ext xmlns:x14="http://schemas.microsoft.com/office/spreadsheetml/2009/9/main" uri="{B025F937-C7B1-47D3-B67F-A62EFF666E3E}">
          <x14:id>{00649BBD-4ED3-4AA7-8C19-9BD1CB6E3584}</x14:id>
        </ext>
      </extLst>
    </cfRule>
  </conditionalFormatting>
  <conditionalFormatting sqref="T69 T65">
    <cfRule type="dataBar" priority="150">
      <dataBar>
        <cfvo type="min"/>
        <cfvo type="max"/>
        <color rgb="FF008AEF"/>
      </dataBar>
      <extLst>
        <ext xmlns:x14="http://schemas.microsoft.com/office/spreadsheetml/2009/9/main" uri="{B025F937-C7B1-47D3-B67F-A62EFF666E3E}">
          <x14:id>{B4B5BA23-E082-4597-96E1-1476D9A21AFD}</x14:id>
        </ext>
      </extLst>
    </cfRule>
  </conditionalFormatting>
  <conditionalFormatting sqref="T82 T78">
    <cfRule type="dataBar" priority="609">
      <dataBar>
        <cfvo type="min"/>
        <cfvo type="max"/>
        <color rgb="FF008AEF"/>
      </dataBar>
      <extLst>
        <ext xmlns:x14="http://schemas.microsoft.com/office/spreadsheetml/2009/9/main" uri="{B025F937-C7B1-47D3-B67F-A62EFF666E3E}">
          <x14:id>{1557C736-05FA-4226-AE83-7961CE960DCE}</x14:id>
        </ext>
      </extLst>
    </cfRule>
  </conditionalFormatting>
  <conditionalFormatting sqref="T76 T80">
    <cfRule type="dataBar" priority="610">
      <dataBar>
        <cfvo type="min"/>
        <cfvo type="max"/>
        <color rgb="FF63C384"/>
      </dataBar>
      <extLst>
        <ext xmlns:x14="http://schemas.microsoft.com/office/spreadsheetml/2009/9/main" uri="{B025F937-C7B1-47D3-B67F-A62EFF666E3E}">
          <x14:id>{97B30A2F-67CC-47B6-90C1-854BF7724A34}</x14:id>
        </ext>
      </extLst>
    </cfRule>
  </conditionalFormatting>
  <conditionalFormatting sqref="U67 U63">
    <cfRule type="dataBar" priority="149">
      <dataBar>
        <cfvo type="min"/>
        <cfvo type="max"/>
        <color rgb="FF63C384"/>
      </dataBar>
      <extLst>
        <ext xmlns:x14="http://schemas.microsoft.com/office/spreadsheetml/2009/9/main" uri="{B025F937-C7B1-47D3-B67F-A62EFF666E3E}">
          <x14:id>{FC20B891-1808-4FAB-9E82-74E7EAF09C79}</x14:id>
        </ext>
      </extLst>
    </cfRule>
  </conditionalFormatting>
  <conditionalFormatting sqref="U69 U65">
    <cfRule type="dataBar" priority="148">
      <dataBar>
        <cfvo type="min"/>
        <cfvo type="max"/>
        <color rgb="FF008AEF"/>
      </dataBar>
      <extLst>
        <ext xmlns:x14="http://schemas.microsoft.com/office/spreadsheetml/2009/9/main" uri="{B025F937-C7B1-47D3-B67F-A62EFF666E3E}">
          <x14:id>{BB85A188-B18F-4A4E-A28A-F2571A6414D1}</x14:id>
        </ext>
      </extLst>
    </cfRule>
  </conditionalFormatting>
  <conditionalFormatting sqref="U76 U80">
    <cfRule type="dataBar" priority="608">
      <dataBar>
        <cfvo type="min"/>
        <cfvo type="max"/>
        <color rgb="FF63C384"/>
      </dataBar>
      <extLst>
        <ext xmlns:x14="http://schemas.microsoft.com/office/spreadsheetml/2009/9/main" uri="{B025F937-C7B1-47D3-B67F-A62EFF666E3E}">
          <x14:id>{A6508052-C65E-4CFF-B315-C3D408967D56}</x14:id>
        </ext>
      </extLst>
    </cfRule>
  </conditionalFormatting>
  <conditionalFormatting sqref="U82 U78">
    <cfRule type="dataBar" priority="607">
      <dataBar>
        <cfvo type="min"/>
        <cfvo type="max"/>
        <color rgb="FF008AEF"/>
      </dataBar>
      <extLst>
        <ext xmlns:x14="http://schemas.microsoft.com/office/spreadsheetml/2009/9/main" uri="{B025F937-C7B1-47D3-B67F-A62EFF666E3E}">
          <x14:id>{8BC72839-A260-46B2-84E3-1E021E00C2DB}</x14:id>
        </ext>
      </extLst>
    </cfRule>
  </conditionalFormatting>
  <conditionalFormatting sqref="V67 V63">
    <cfRule type="dataBar" priority="147">
      <dataBar>
        <cfvo type="min"/>
        <cfvo type="max"/>
        <color rgb="FF63C384"/>
      </dataBar>
      <extLst>
        <ext xmlns:x14="http://schemas.microsoft.com/office/spreadsheetml/2009/9/main" uri="{B025F937-C7B1-47D3-B67F-A62EFF666E3E}">
          <x14:id>{10C00144-C1EB-422A-A000-5826414C183B}</x14:id>
        </ext>
      </extLst>
    </cfRule>
  </conditionalFormatting>
  <conditionalFormatting sqref="V69 V65">
    <cfRule type="dataBar" priority="146">
      <dataBar>
        <cfvo type="min"/>
        <cfvo type="max"/>
        <color rgb="FF008AEF"/>
      </dataBar>
      <extLst>
        <ext xmlns:x14="http://schemas.microsoft.com/office/spreadsheetml/2009/9/main" uri="{B025F937-C7B1-47D3-B67F-A62EFF666E3E}">
          <x14:id>{BF2EA05F-F532-454C-8EB1-E1568845271B}</x14:id>
        </ext>
      </extLst>
    </cfRule>
  </conditionalFormatting>
  <conditionalFormatting sqref="V80 V76">
    <cfRule type="dataBar" priority="606">
      <dataBar>
        <cfvo type="min"/>
        <cfvo type="max"/>
        <color rgb="FF63C384"/>
      </dataBar>
      <extLst>
        <ext xmlns:x14="http://schemas.microsoft.com/office/spreadsheetml/2009/9/main" uri="{B025F937-C7B1-47D3-B67F-A62EFF666E3E}">
          <x14:id>{F1845B2D-B208-497F-8432-CD7AE9E81BCE}</x14:id>
        </ext>
      </extLst>
    </cfRule>
  </conditionalFormatting>
  <conditionalFormatting sqref="V82 V78">
    <cfRule type="dataBar" priority="605">
      <dataBar>
        <cfvo type="min"/>
        <cfvo type="max"/>
        <color rgb="FF008AEF"/>
      </dataBar>
      <extLst>
        <ext xmlns:x14="http://schemas.microsoft.com/office/spreadsheetml/2009/9/main" uri="{B025F937-C7B1-47D3-B67F-A62EFF666E3E}">
          <x14:id>{A94B2000-8783-4BF5-AAD0-E7694EECD29D}</x14:id>
        </ext>
      </extLst>
    </cfRule>
  </conditionalFormatting>
  <conditionalFormatting sqref="W36 W48">
    <cfRule type="dataBar" priority="647">
      <dataBar>
        <cfvo type="min"/>
        <cfvo type="max"/>
        <color rgb="FF63C384"/>
      </dataBar>
      <extLst>
        <ext xmlns:x14="http://schemas.microsoft.com/office/spreadsheetml/2009/9/main" uri="{B025F937-C7B1-47D3-B67F-A62EFF666E3E}">
          <x14:id>{128AC1F8-7EAC-4C36-999E-D9F5472DFF08}</x14:id>
        </ext>
      </extLst>
    </cfRule>
  </conditionalFormatting>
  <conditionalFormatting sqref="W38 W40">
    <cfRule type="dataBar" priority="432">
      <dataBar>
        <cfvo type="min"/>
        <cfvo type="max"/>
        <color rgb="FF63C384"/>
      </dataBar>
      <extLst>
        <ext xmlns:x14="http://schemas.microsoft.com/office/spreadsheetml/2009/9/main" uri="{B025F937-C7B1-47D3-B67F-A62EFF666E3E}">
          <x14:id>{A62CBCEB-2F61-4648-A3ED-F34626643838}</x14:id>
        </ext>
      </extLst>
    </cfRule>
  </conditionalFormatting>
  <conditionalFormatting sqref="W42 W54">
    <cfRule type="dataBar" priority="646">
      <dataBar>
        <cfvo type="min"/>
        <cfvo type="max"/>
        <color rgb="FF008AEF"/>
      </dataBar>
      <extLst>
        <ext xmlns:x14="http://schemas.microsoft.com/office/spreadsheetml/2009/9/main" uri="{B025F937-C7B1-47D3-B67F-A62EFF666E3E}">
          <x14:id>{9ECF4E15-3C3E-43DD-B01F-7D00E1CF41E1}</x14:id>
        </ext>
      </extLst>
    </cfRule>
  </conditionalFormatting>
  <conditionalFormatting sqref="W46 W44">
    <cfRule type="dataBar" priority="431">
      <dataBar>
        <cfvo type="min"/>
        <cfvo type="max"/>
        <color rgb="FF638EC6"/>
      </dataBar>
      <extLst>
        <ext xmlns:x14="http://schemas.microsoft.com/office/spreadsheetml/2009/9/main" uri="{B025F937-C7B1-47D3-B67F-A62EFF666E3E}">
          <x14:id>{21636D3D-035B-43F0-830D-AC78C75B89F2}</x14:id>
        </ext>
      </extLst>
    </cfRule>
  </conditionalFormatting>
  <conditionalFormatting sqref="W50 W52">
    <cfRule type="dataBar" priority="430">
      <dataBar>
        <cfvo type="min"/>
        <cfvo type="max"/>
        <color rgb="FF63C384"/>
      </dataBar>
      <extLst>
        <ext xmlns:x14="http://schemas.microsoft.com/office/spreadsheetml/2009/9/main" uri="{B025F937-C7B1-47D3-B67F-A62EFF666E3E}">
          <x14:id>{11B10A07-EC01-4987-BF07-D52E485C8B34}</x14:id>
        </ext>
      </extLst>
    </cfRule>
  </conditionalFormatting>
  <conditionalFormatting sqref="W56 W58">
    <cfRule type="dataBar" priority="429">
      <dataBar>
        <cfvo type="min"/>
        <cfvo type="max"/>
        <color rgb="FF638EC6"/>
      </dataBar>
      <extLst>
        <ext xmlns:x14="http://schemas.microsoft.com/office/spreadsheetml/2009/9/main" uri="{B025F937-C7B1-47D3-B67F-A62EFF666E3E}">
          <x14:id>{A9F3BD27-E4F7-484F-81D1-4525FD85CE7A}</x14:id>
        </ext>
      </extLst>
    </cfRule>
  </conditionalFormatting>
  <conditionalFormatting sqref="W67 W63">
    <cfRule type="dataBar" priority="145">
      <dataBar>
        <cfvo type="min"/>
        <cfvo type="max"/>
        <color rgb="FF63C384"/>
      </dataBar>
      <extLst>
        <ext xmlns:x14="http://schemas.microsoft.com/office/spreadsheetml/2009/9/main" uri="{B025F937-C7B1-47D3-B67F-A62EFF666E3E}">
          <x14:id>{9401B746-9C79-4F19-AFB0-C05D03B82718}</x14:id>
        </ext>
      </extLst>
    </cfRule>
  </conditionalFormatting>
  <conditionalFormatting sqref="W69 W65">
    <cfRule type="dataBar" priority="144">
      <dataBar>
        <cfvo type="min"/>
        <cfvo type="max"/>
        <color rgb="FF008AEF"/>
      </dataBar>
      <extLst>
        <ext xmlns:x14="http://schemas.microsoft.com/office/spreadsheetml/2009/9/main" uri="{B025F937-C7B1-47D3-B67F-A62EFF666E3E}">
          <x14:id>{107B8BB4-0B0F-4843-B896-37341E5307E3}</x14:id>
        </ext>
      </extLst>
    </cfRule>
  </conditionalFormatting>
  <conditionalFormatting sqref="W72">
    <cfRule type="dataBar" priority="241">
      <dataBar>
        <cfvo type="min"/>
        <cfvo type="max"/>
        <color rgb="FF008AEF"/>
      </dataBar>
      <extLst>
        <ext xmlns:x14="http://schemas.microsoft.com/office/spreadsheetml/2009/9/main" uri="{B025F937-C7B1-47D3-B67F-A62EFF666E3E}">
          <x14:id>{C8B81D71-E8D3-42C8-B53B-EEC19B727511}</x14:id>
        </ext>
      </extLst>
    </cfRule>
  </conditionalFormatting>
  <conditionalFormatting sqref="W76 W80">
    <cfRule type="dataBar" priority="604">
      <dataBar>
        <cfvo type="min"/>
        <cfvo type="max"/>
        <color rgb="FF63C384"/>
      </dataBar>
      <extLst>
        <ext xmlns:x14="http://schemas.microsoft.com/office/spreadsheetml/2009/9/main" uri="{B025F937-C7B1-47D3-B67F-A62EFF666E3E}">
          <x14:id>{FC469814-E0CF-412C-8A0E-B8076B8AE3DB}</x14:id>
        </ext>
      </extLst>
    </cfRule>
  </conditionalFormatting>
  <conditionalFormatting sqref="W82 W78">
    <cfRule type="dataBar" priority="603">
      <dataBar>
        <cfvo type="min"/>
        <cfvo type="max"/>
        <color rgb="FF008AEF"/>
      </dataBar>
      <extLst>
        <ext xmlns:x14="http://schemas.microsoft.com/office/spreadsheetml/2009/9/main" uri="{B025F937-C7B1-47D3-B67F-A62EFF666E3E}">
          <x14:id>{5B8FC8DE-CE17-48D7-A3D0-F56563968456}</x14:id>
        </ext>
      </extLst>
    </cfRule>
  </conditionalFormatting>
  <conditionalFormatting sqref="W136">
    <cfRule type="colorScale" priority="80">
      <colorScale>
        <cfvo type="min"/>
        <cfvo type="percentile" val="50"/>
        <cfvo type="max"/>
        <color rgb="FF63BE7B"/>
        <color rgb="FFFFEB84"/>
        <color rgb="FFF8696B"/>
      </colorScale>
    </cfRule>
  </conditionalFormatting>
  <conditionalFormatting sqref="X29:XFD30 W35:Y35 X33:XFD33 C34:V34 X34:Y34 W29:W34">
    <cfRule type="colorScale" priority="940">
      <colorScale>
        <cfvo type="min"/>
        <cfvo type="percentile" val="50"/>
        <cfvo type="max"/>
        <color rgb="FF63BE7B"/>
        <color rgb="FFFFEB84"/>
        <color rgb="FFF8696B"/>
      </colorScale>
    </cfRule>
  </conditionalFormatting>
  <conditionalFormatting sqref="X31:XFD32">
    <cfRule type="colorScale" priority="952">
      <colorScale>
        <cfvo type="min"/>
        <cfvo type="percentile" val="50"/>
        <cfvo type="max"/>
        <color rgb="FF5A8AC6"/>
        <color rgb="FFFCFCFF"/>
        <color rgb="FFF8696B"/>
      </colorScale>
    </cfRule>
  </conditionalFormatting>
  <pageMargins left="0.7" right="0.7" top="0.75" bottom="0.75" header="0.3" footer="0.3"/>
  <pageSetup paperSize="9" orientation="portrait" r:id="rId1"/>
  <ignoredErrors>
    <ignoredError sqref="F131 G131:I131 D131" formula="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4D1800C5-CADB-4823-A6D7-1F45DC7A3D4B}">
            <x14:dataBar minLength="0" maxLength="100" gradient="0">
              <x14:cfvo type="autoMin"/>
              <x14:cfvo type="autoMax"/>
              <x14:negativeFillColor rgb="FFFF0000"/>
              <x14:axisColor rgb="FF000000"/>
            </x14:dataBar>
          </x14:cfRule>
          <xm:sqref>A71:A75 A79</xm:sqref>
        </x14:conditionalFormatting>
        <x14:conditionalFormatting xmlns:xm="http://schemas.microsoft.com/office/excel/2006/main">
          <x14:cfRule type="dataBar" id="{B195848C-4326-47BD-B215-ACB0C06AF1EB}">
            <x14:dataBar minLength="0" maxLength="100" gradient="0">
              <x14:cfvo type="autoMin"/>
              <x14:cfvo type="autoMax"/>
              <x14:negativeFillColor rgb="FFFF0000"/>
              <x14:axisColor rgb="FF000000"/>
            </x14:dataBar>
          </x14:cfRule>
          <xm:sqref>A81 A77</xm:sqref>
        </x14:conditionalFormatting>
        <x14:conditionalFormatting xmlns:xm="http://schemas.microsoft.com/office/excel/2006/main">
          <x14:cfRule type="dataBar" id="{525D9360-DFDB-4FB7-B469-905026506A34}">
            <x14:dataBar minLength="0" maxLength="100" gradient="0">
              <x14:cfvo type="autoMin"/>
              <x14:cfvo type="autoMax"/>
              <x14:negativeFillColor rgb="FFFF0000"/>
              <x14:axisColor rgb="FF000000"/>
            </x14:dataBar>
          </x14:cfRule>
          <xm:sqref>B74:B75</xm:sqref>
        </x14:conditionalFormatting>
        <x14:conditionalFormatting xmlns:xm="http://schemas.microsoft.com/office/excel/2006/main">
          <x14:cfRule type="dataBar" id="{B7293E55-FD5A-4CF7-AB5F-C3F075442526}">
            <x14:dataBar minLength="0" maxLength="100" gradient="0">
              <x14:cfvo type="autoMin"/>
              <x14:cfvo type="autoMax"/>
              <x14:negativeFillColor rgb="FFFF0000"/>
              <x14:axisColor rgb="FF000000"/>
            </x14:dataBar>
          </x14:cfRule>
          <xm:sqref>C67 C63</xm:sqref>
        </x14:conditionalFormatting>
        <x14:conditionalFormatting xmlns:xm="http://schemas.microsoft.com/office/excel/2006/main">
          <x14:cfRule type="dataBar" id="{DE32FB47-5FFB-483E-B40A-26F5D50B3E96}">
            <x14:dataBar minLength="0" maxLength="100" gradient="0">
              <x14:cfvo type="autoMin"/>
              <x14:cfvo type="autoMax"/>
              <x14:negativeFillColor rgb="FFFF0000"/>
              <x14:axisColor rgb="FF000000"/>
            </x14:dataBar>
          </x14:cfRule>
          <xm:sqref>C69 C65</xm:sqref>
        </x14:conditionalFormatting>
        <x14:conditionalFormatting xmlns:xm="http://schemas.microsoft.com/office/excel/2006/main">
          <x14:cfRule type="dataBar" id="{D1D4953E-2559-42B7-9D5C-8E7377787A62}">
            <x14:dataBar minLength="0" maxLength="100" gradient="0">
              <x14:cfvo type="autoMin"/>
              <x14:cfvo type="autoMax"/>
              <x14:negativeFillColor rgb="FFFF0000"/>
              <x14:axisColor rgb="FF000000"/>
            </x14:dataBar>
          </x14:cfRule>
          <xm:sqref>C72</xm:sqref>
        </x14:conditionalFormatting>
        <x14:conditionalFormatting xmlns:xm="http://schemas.microsoft.com/office/excel/2006/main">
          <x14:cfRule type="dataBar" id="{FBD94CEC-94A8-4F95-908C-2F0EF7254341}">
            <x14:dataBar minLength="0" maxLength="100" gradient="0">
              <x14:cfvo type="autoMin"/>
              <x14:cfvo type="autoMax"/>
              <x14:negativeFillColor rgb="FFFF0000"/>
              <x14:axisColor rgb="FF000000"/>
            </x14:dataBar>
          </x14:cfRule>
          <xm:sqref>C74:C75</xm:sqref>
        </x14:conditionalFormatting>
        <x14:conditionalFormatting xmlns:xm="http://schemas.microsoft.com/office/excel/2006/main">
          <x14:cfRule type="dataBar" id="{BCA8D3DF-3171-4801-B0B7-A2EF3878F75B}">
            <x14:dataBar minLength="0" maxLength="100" gradient="0">
              <x14:cfvo type="autoMin"/>
              <x14:cfvo type="autoMax"/>
              <x14:negativeFillColor rgb="FFFF0000"/>
              <x14:axisColor rgb="FF000000"/>
            </x14:dataBar>
          </x14:cfRule>
          <xm:sqref>C78 C82</xm:sqref>
        </x14:conditionalFormatting>
        <x14:conditionalFormatting xmlns:xm="http://schemas.microsoft.com/office/excel/2006/main">
          <x14:cfRule type="dataBar" id="{69C8EE51-C42F-4828-9E2D-8DC3EF3B94F6}">
            <x14:dataBar minLength="0" maxLength="100" gradient="0">
              <x14:cfvo type="autoMin"/>
              <x14:cfvo type="autoMax"/>
              <x14:negativeFillColor rgb="FFFF0000"/>
              <x14:axisColor rgb="FF000000"/>
            </x14:dataBar>
          </x14:cfRule>
          <xm:sqref>E86 C86</xm:sqref>
        </x14:conditionalFormatting>
        <x14:conditionalFormatting xmlns:xm="http://schemas.microsoft.com/office/excel/2006/main">
          <x14:cfRule type="dataBar" id="{182352E7-F591-4644-8BB5-8FEE57D2F725}">
            <x14:dataBar minLength="0" maxLength="100" gradient="0">
              <x14:cfvo type="autoMin"/>
              <x14:cfvo type="autoMax"/>
              <x14:negativeFillColor rgb="FFFF0000"/>
              <x14:axisColor rgb="FF000000"/>
            </x14:dataBar>
          </x14:cfRule>
          <xm:sqref>C86:C87 E87</xm:sqref>
        </x14:conditionalFormatting>
        <x14:conditionalFormatting xmlns:xm="http://schemas.microsoft.com/office/excel/2006/main">
          <x14:cfRule type="dataBar" id="{162EF8BB-FD26-4B38-AE3D-497706178FD2}">
            <x14:dataBar minLength="0" maxLength="100" gradient="0">
              <x14:cfvo type="autoMin"/>
              <x14:cfvo type="autoMax"/>
              <x14:negativeFillColor rgb="FFFF0000"/>
              <x14:axisColor rgb="FF000000"/>
            </x14:dataBar>
          </x14:cfRule>
          <xm:sqref>E87 C87</xm:sqref>
        </x14:conditionalFormatting>
        <x14:conditionalFormatting xmlns:xm="http://schemas.microsoft.com/office/excel/2006/main">
          <x14:cfRule type="dataBar" id="{AC0179D1-A2A3-48C2-A240-C43E472D45DD}">
            <x14:dataBar minLength="0" maxLength="100" gradient="0">
              <x14:cfvo type="autoMin"/>
              <x14:cfvo type="autoMax"/>
              <x14:negativeFillColor rgb="FFFF0000"/>
              <x14:axisColor rgb="FF000000"/>
            </x14:dataBar>
          </x14:cfRule>
          <xm:sqref>C93 E93</xm:sqref>
        </x14:conditionalFormatting>
        <x14:conditionalFormatting xmlns:xm="http://schemas.microsoft.com/office/excel/2006/main">
          <x14:cfRule type="dataBar" id="{30B6F93C-45E0-469D-8A6D-08217AC400FA}">
            <x14:dataBar minLength="0" maxLength="100" gradient="0">
              <x14:cfvo type="autoMin"/>
              <x14:cfvo type="autoMax"/>
              <x14:negativeFillColor rgb="FFFF0000"/>
              <x14:axisColor rgb="FF000000"/>
            </x14:dataBar>
          </x14:cfRule>
          <xm:sqref>C96 E96</xm:sqref>
        </x14:conditionalFormatting>
        <x14:conditionalFormatting xmlns:xm="http://schemas.microsoft.com/office/excel/2006/main">
          <x14:cfRule type="dataBar" id="{6387A324-BF0C-479D-A976-15FAFE7870E2}">
            <x14:dataBar minLength="0" maxLength="100" gradient="0">
              <x14:cfvo type="autoMin"/>
              <x14:cfvo type="autoMax"/>
              <x14:negativeFillColor rgb="FFFF0000"/>
              <x14:axisColor rgb="FF000000"/>
            </x14:dataBar>
          </x14:cfRule>
          <xm:sqref>C97 E97</xm:sqref>
        </x14:conditionalFormatting>
        <x14:conditionalFormatting xmlns:xm="http://schemas.microsoft.com/office/excel/2006/main">
          <x14:cfRule type="dataBar" id="{1A2EB59A-6729-44C9-968F-EF909A0A495E}">
            <x14:dataBar minLength="0" maxLength="100" gradient="0">
              <x14:cfvo type="autoMin"/>
              <x14:cfvo type="autoMax"/>
              <x14:negativeFillColor rgb="FFFF0000"/>
              <x14:axisColor rgb="FF000000"/>
            </x14:dataBar>
          </x14:cfRule>
          <xm:sqref>C98 E98</xm:sqref>
        </x14:conditionalFormatting>
        <x14:conditionalFormatting xmlns:xm="http://schemas.microsoft.com/office/excel/2006/main">
          <x14:cfRule type="dataBar" id="{58B404C1-2670-4478-B1B7-3821B301C4A4}">
            <x14:dataBar minLength="0" maxLength="100" gradient="0">
              <x14:cfvo type="autoMin"/>
              <x14:cfvo type="autoMax"/>
              <x14:negativeFillColor rgb="FFFF0000"/>
              <x14:axisColor rgb="FF000000"/>
            </x14:dataBar>
          </x14:cfRule>
          <xm:sqref>E101 C101</xm:sqref>
        </x14:conditionalFormatting>
        <x14:conditionalFormatting xmlns:xm="http://schemas.microsoft.com/office/excel/2006/main">
          <x14:cfRule type="dataBar" id="{71024ABC-4F08-4842-BD30-907A21A7E1FD}">
            <x14:dataBar minLength="0" maxLength="100" gradient="0">
              <x14:cfvo type="autoMin"/>
              <x14:cfvo type="autoMax"/>
              <x14:negativeFillColor rgb="FFFF0000"/>
              <x14:axisColor rgb="FF000000"/>
            </x14:dataBar>
          </x14:cfRule>
          <xm:sqref>C103</xm:sqref>
        </x14:conditionalFormatting>
        <x14:conditionalFormatting xmlns:xm="http://schemas.microsoft.com/office/excel/2006/main">
          <x14:cfRule type="dataBar" id="{9641F543-CF21-4B3E-920E-99380C0B477E}">
            <x14:dataBar minLength="0" maxLength="100" gradient="0">
              <x14:cfvo type="autoMin"/>
              <x14:cfvo type="autoMax"/>
              <x14:negativeFillColor rgb="FFFF0000"/>
              <x14:axisColor rgb="FF000000"/>
            </x14:dataBar>
          </x14:cfRule>
          <xm:sqref>C112 E112</xm:sqref>
        </x14:conditionalFormatting>
        <x14:conditionalFormatting xmlns:xm="http://schemas.microsoft.com/office/excel/2006/main">
          <x14:cfRule type="dataBar" id="{73F4B5F6-6A8D-4344-9F67-868AE7C1F372}">
            <x14:dataBar minLength="0" maxLength="100" gradient="0">
              <x14:cfvo type="autoMin"/>
              <x14:cfvo type="autoMax"/>
              <x14:negativeFillColor rgb="FFFF0000"/>
              <x14:axisColor rgb="FF000000"/>
            </x14:dataBar>
          </x14:cfRule>
          <xm:sqref>E113 C113</xm:sqref>
        </x14:conditionalFormatting>
        <x14:conditionalFormatting xmlns:xm="http://schemas.microsoft.com/office/excel/2006/main">
          <x14:cfRule type="dataBar" id="{7E20D560-C04B-4CA1-ACAE-6B7E5EE5E5CC}">
            <x14:dataBar minLength="0" maxLength="100" gradient="0">
              <x14:cfvo type="autoMin"/>
              <x14:cfvo type="autoMax"/>
              <x14:negativeFillColor rgb="FFFF0000"/>
              <x14:axisColor rgb="FF000000"/>
            </x14:dataBar>
          </x14:cfRule>
          <xm:sqref>C114 E114</xm:sqref>
        </x14:conditionalFormatting>
        <x14:conditionalFormatting xmlns:xm="http://schemas.microsoft.com/office/excel/2006/main">
          <x14:cfRule type="dataBar" id="{376D0C21-39C5-44CE-BB04-B76003F918BF}">
            <x14:dataBar minLength="0" maxLength="100" gradient="0">
              <x14:cfvo type="autoMin"/>
              <x14:cfvo type="autoMax"/>
              <x14:negativeFillColor rgb="FFFF0000"/>
              <x14:axisColor rgb="FF000000"/>
            </x14:dataBar>
          </x14:cfRule>
          <xm:sqref>C115 E115</xm:sqref>
        </x14:conditionalFormatting>
        <x14:conditionalFormatting xmlns:xm="http://schemas.microsoft.com/office/excel/2006/main">
          <x14:cfRule type="dataBar" id="{AE64C53F-7EB3-44DF-979D-EC94DB343435}">
            <x14:dataBar minLength="0" maxLength="100" gradient="0">
              <x14:cfvo type="autoMin"/>
              <x14:cfvo type="autoMax"/>
              <x14:negativeFillColor rgb="FFFF0000"/>
              <x14:axisColor rgb="FF000000"/>
            </x14:dataBar>
          </x14:cfRule>
          <xm:sqref>E116 C116</xm:sqref>
        </x14:conditionalFormatting>
        <x14:conditionalFormatting xmlns:xm="http://schemas.microsoft.com/office/excel/2006/main">
          <x14:cfRule type="dataBar" id="{9CEF6F9F-FF2C-4624-838F-4F4237E581FC}">
            <x14:dataBar minLength="0" maxLength="100" gradient="0">
              <x14:cfvo type="autoMin"/>
              <x14:cfvo type="autoMax"/>
              <x14:negativeFillColor rgb="FFFF0000"/>
              <x14:axisColor rgb="FF000000"/>
            </x14:dataBar>
          </x14:cfRule>
          <xm:sqref>E119 C119</xm:sqref>
        </x14:conditionalFormatting>
        <x14:conditionalFormatting xmlns:xm="http://schemas.microsoft.com/office/excel/2006/main">
          <x14:cfRule type="dataBar" id="{A3564381-BF45-471D-9DB4-0BB9E6F9AF69}">
            <x14:dataBar minLength="0" maxLength="100" gradient="0">
              <x14:cfvo type="autoMin"/>
              <x14:cfvo type="autoMax"/>
              <x14:negativeFillColor rgb="FFFF0000"/>
              <x14:axisColor rgb="FF000000"/>
            </x14:dataBar>
          </x14:cfRule>
          <xm:sqref>E120 C120</xm:sqref>
        </x14:conditionalFormatting>
        <x14:conditionalFormatting xmlns:xm="http://schemas.microsoft.com/office/excel/2006/main">
          <x14:cfRule type="dataBar" id="{39C9AF68-25EF-4DEE-A0CD-965EDC2643A8}">
            <x14:dataBar minLength="0" maxLength="100" gradient="0">
              <x14:cfvo type="autoMin"/>
              <x14:cfvo type="autoMax"/>
              <x14:negativeFillColor rgb="FFFF0000"/>
              <x14:axisColor rgb="FF000000"/>
            </x14:dataBar>
          </x14:cfRule>
          <xm:sqref>C124 E124</xm:sqref>
        </x14:conditionalFormatting>
        <x14:conditionalFormatting xmlns:xm="http://schemas.microsoft.com/office/excel/2006/main">
          <x14:cfRule type="dataBar" id="{F353826A-A53C-4B62-8EC6-0DAFFA428E3D}">
            <x14:dataBar minLength="0" maxLength="100" gradient="0">
              <x14:cfvo type="autoMin"/>
              <x14:cfvo type="autoMax"/>
              <x14:negativeFillColor rgb="FFFF0000"/>
              <x14:axisColor rgb="FF000000"/>
            </x14:dataBar>
          </x14:cfRule>
          <xm:sqref>E125 C125</xm:sqref>
        </x14:conditionalFormatting>
        <x14:conditionalFormatting xmlns:xm="http://schemas.microsoft.com/office/excel/2006/main">
          <x14:cfRule type="dataBar" id="{C0C7EE52-2929-48DA-838A-94C38CF75D40}">
            <x14:dataBar minLength="0" maxLength="100" gradient="0">
              <x14:cfvo type="autoMin"/>
              <x14:cfvo type="autoMax"/>
              <x14:negativeFillColor rgb="FFFF0000"/>
              <x14:axisColor rgb="FF000000"/>
            </x14:dataBar>
          </x14:cfRule>
          <xm:sqref>E126 C126</xm:sqref>
        </x14:conditionalFormatting>
        <x14:conditionalFormatting xmlns:xm="http://schemas.microsoft.com/office/excel/2006/main">
          <x14:cfRule type="dataBar" id="{5DAFA5F5-43FC-4F96-9379-510A1F66B745}">
            <x14:dataBar minLength="0" maxLength="100" gradient="0">
              <x14:cfvo type="autoMin"/>
              <x14:cfvo type="autoMax"/>
              <x14:negativeFillColor rgb="FFFF0000"/>
              <x14:axisColor rgb="FF000000"/>
            </x14:dataBar>
          </x14:cfRule>
          <xm:sqref>E129 C129</xm:sqref>
        </x14:conditionalFormatting>
        <x14:conditionalFormatting xmlns:xm="http://schemas.microsoft.com/office/excel/2006/main">
          <x14:cfRule type="dataBar" id="{E3DD37A5-BA46-4A78-9592-67453B726334}">
            <x14:dataBar minLength="0" maxLength="100" gradient="0">
              <x14:cfvo type="autoMin"/>
              <x14:cfvo type="autoMax"/>
              <x14:negativeFillColor rgb="FFFF0000"/>
              <x14:axisColor rgb="FF000000"/>
            </x14:dataBar>
          </x14:cfRule>
          <xm:sqref>E130 C130</xm:sqref>
        </x14:conditionalFormatting>
        <x14:conditionalFormatting xmlns:xm="http://schemas.microsoft.com/office/excel/2006/main">
          <x14:cfRule type="dataBar" id="{512A6EFB-D0C5-4F1D-A899-2C42D05BDC67}">
            <x14:dataBar minLength="0" maxLength="100" gradient="0">
              <x14:cfvo type="autoMin"/>
              <x14:cfvo type="autoMax"/>
              <x14:negativeFillColor rgb="FFFF0000"/>
              <x14:axisColor rgb="FF000000"/>
            </x14:dataBar>
          </x14:cfRule>
          <xm:sqref>C76:D76 C80:D80</xm:sqref>
        </x14:conditionalFormatting>
        <x14:conditionalFormatting xmlns:xm="http://schemas.microsoft.com/office/excel/2006/main">
          <x14:cfRule type="dataBar" id="{8CDD37A8-0948-468E-B39D-F17ECDFEC29F}">
            <x14:dataBar minLength="0" maxLength="100" gradient="0">
              <x14:cfvo type="autoMin"/>
              <x14:cfvo type="autoMax"/>
              <x14:negativeFillColor rgb="FFFF0000"/>
              <x14:axisColor rgb="FF000000"/>
            </x14:dataBar>
          </x14:cfRule>
          <xm:sqref>C70:K70 C66:J66</xm:sqref>
        </x14:conditionalFormatting>
        <x14:conditionalFormatting xmlns:xm="http://schemas.microsoft.com/office/excel/2006/main">
          <x14:cfRule type="dataBar" id="{B8A6E2CA-53F5-41FC-A38D-AF8E83D53A9D}">
            <x14:dataBar minLength="0" maxLength="100" gradient="0">
              <x14:cfvo type="autoMin"/>
              <x14:cfvo type="autoMax"/>
              <x14:negativeFillColor rgb="FFFF0000"/>
              <x14:axisColor rgb="FF000000"/>
            </x14:dataBar>
          </x14:cfRule>
          <x14:cfRule type="dataBar" id="{37B79D09-ACFD-4798-AD5C-3DDC229F22AC}">
            <x14:dataBar minLength="0" maxLength="100" gradient="0">
              <x14:cfvo type="autoMin"/>
              <x14:cfvo type="autoMax"/>
              <x14:negativeFillColor rgb="FFFF0000"/>
              <x14:axisColor rgb="FF000000"/>
            </x14:dataBar>
          </x14:cfRule>
          <x14:cfRule type="dataBar" id="{9FCD7987-617A-4762-B85E-2E258890C0FC}">
            <x14:dataBar minLength="0" maxLength="100" gradient="0">
              <x14:cfvo type="autoMin"/>
              <x14:cfvo type="autoMax"/>
              <x14:negativeFillColor rgb="FFFF0000"/>
              <x14:axisColor rgb="FF000000"/>
            </x14:dataBar>
          </x14:cfRule>
          <x14:cfRule type="dataBar" id="{345FA8D6-FD1B-427E-A26E-94290C3B5D93}">
            <x14:dataBar minLength="0" maxLength="100" gradient="0">
              <x14:cfvo type="autoMin"/>
              <x14:cfvo type="autoMax"/>
              <x14:negativeFillColor rgb="FFFF0000"/>
              <x14:axisColor rgb="FF000000"/>
            </x14:dataBar>
          </x14:cfRule>
          <xm:sqref>C36:V36 C48:V48</xm:sqref>
        </x14:conditionalFormatting>
        <x14:conditionalFormatting xmlns:xm="http://schemas.microsoft.com/office/excel/2006/main">
          <x14:cfRule type="dataBar" id="{6F1EB194-3B6E-461D-938E-3E1CF86227CC}">
            <x14:dataBar minLength="0" maxLength="100" border="1" negativeBarBorderColorSameAsPositive="0">
              <x14:cfvo type="autoMin"/>
              <x14:cfvo type="autoMax"/>
              <x14:borderColor rgb="FF63C384"/>
              <x14:negativeFillColor rgb="FFFF0000"/>
              <x14:negativeBorderColor rgb="FFFF0000"/>
              <x14:axisColor rgb="FF000000"/>
            </x14:dataBar>
          </x14:cfRule>
          <xm:sqref>C38:V38 C40:V40 C50:V50 C52:V52</xm:sqref>
        </x14:conditionalFormatting>
        <x14:conditionalFormatting xmlns:xm="http://schemas.microsoft.com/office/excel/2006/main">
          <x14:cfRule type="dataBar" id="{CDEBC05A-3538-4EE0-8C8A-49C91F9F10A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31D87613-8AF4-48FC-B1D7-2B2AEE6CBE05}">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F17BE1AE-B7C6-4AEE-8647-AD0E299C8E33}">
            <x14:dataBar minLength="0" maxLength="100" border="1" negativeBarBorderColorSameAsPositive="0">
              <x14:cfvo type="autoMin"/>
              <x14:cfvo type="autoMax"/>
              <x14:borderColor rgb="FF63C384"/>
              <x14:negativeFillColor rgb="FFFF0000"/>
              <x14:negativeBorderColor rgb="FFFF0000"/>
              <x14:axisColor rgb="FF000000"/>
            </x14:dataBar>
          </x14:cfRule>
          <xm:sqref>C40:V40 C38:V38</xm:sqref>
        </x14:conditionalFormatting>
        <x14:conditionalFormatting xmlns:xm="http://schemas.microsoft.com/office/excel/2006/main">
          <x14:cfRule type="dataBar" id="{ED5230CC-AC08-49BC-AF57-731A65093B58}">
            <x14:dataBar minLength="0" maxLength="100" gradient="0">
              <x14:cfvo type="autoMin"/>
              <x14:cfvo type="autoMax"/>
              <x14:negativeFillColor rgb="FFFF0000"/>
              <x14:axisColor rgb="FF000000"/>
            </x14:dataBar>
          </x14:cfRule>
          <xm:sqref>C42:V42 C54:V54</xm:sqref>
        </x14:conditionalFormatting>
        <x14:conditionalFormatting xmlns:xm="http://schemas.microsoft.com/office/excel/2006/main">
          <x14:cfRule type="dataBar" id="{F8128F68-3BB3-4C39-A20F-44300C88A41C}">
            <x14:dataBar minLength="0" maxLength="100" border="1" negativeBarBorderColorSameAsPositive="0">
              <x14:cfvo type="autoMin"/>
              <x14:cfvo type="autoMax"/>
              <x14:borderColor rgb="FF638EC6"/>
              <x14:negativeFillColor rgb="FFFF0000"/>
              <x14:negativeBorderColor rgb="FFFF0000"/>
              <x14:axisColor rgb="FF000000"/>
            </x14:dataBar>
          </x14:cfRule>
          <xm:sqref>C44:V44 C58:V58 C46:V46 C56:V56</xm:sqref>
        </x14:conditionalFormatting>
        <x14:conditionalFormatting xmlns:xm="http://schemas.microsoft.com/office/excel/2006/main">
          <x14:cfRule type="dataBar" id="{D1B45ECF-CE49-4F7B-B282-A58E3C270927}">
            <x14:dataBar minLength="0" maxLength="100" border="1" negativeBarBorderColorSameAsPositive="0">
              <x14:cfvo type="autoMin"/>
              <x14:cfvo type="autoMax"/>
              <x14:borderColor rgb="FF638EC6"/>
              <x14:negativeFillColor rgb="FFFF0000"/>
              <x14:negativeBorderColor rgb="FFFF0000"/>
              <x14:axisColor rgb="FF000000"/>
            </x14:dataBar>
          </x14:cfRule>
          <xm:sqref>C46:V46 C44:V44</xm:sqref>
        </x14:conditionalFormatting>
        <x14:conditionalFormatting xmlns:xm="http://schemas.microsoft.com/office/excel/2006/main">
          <x14:cfRule type="dataBar" id="{F821A5FE-A566-4E64-A768-6FA2C0B2A331}">
            <x14:dataBar minLength="0" maxLength="100" gradient="0">
              <x14:cfvo type="autoMin"/>
              <x14:cfvo type="autoMax"/>
              <x14:negativeFillColor rgb="FFFF0000"/>
              <x14:axisColor rgb="FF000000"/>
            </x14:dataBar>
          </x14:cfRule>
          <x14:cfRule type="dataBar" id="{5556634B-7D32-445F-9CD7-9C4750A43FDF}">
            <x14:dataBar minLength="0" maxLength="100" gradient="0">
              <x14:cfvo type="autoMin"/>
              <x14:cfvo type="autoMax"/>
              <x14:negativeFillColor rgb="FFFF0000"/>
              <x14:axisColor rgb="FF000000"/>
            </x14:dataBar>
          </x14:cfRule>
          <xm:sqref>C48:V48 C36:V36</xm:sqref>
        </x14:conditionalFormatting>
        <x14:conditionalFormatting xmlns:xm="http://schemas.microsoft.com/office/excel/2006/main">
          <x14:cfRule type="dataBar" id="{869881F7-FEFA-4B36-8926-44098F9CBC18}">
            <x14:dataBar minLength="0" maxLength="100" border="1" negativeBarBorderColorSameAsPositive="0">
              <x14:cfvo type="autoMin"/>
              <x14:cfvo type="autoMax"/>
              <x14:borderColor rgb="FF63C384"/>
              <x14:negativeFillColor rgb="FFFF0000"/>
              <x14:negativeBorderColor rgb="FFFF0000"/>
              <x14:axisColor rgb="FF000000"/>
            </x14:dataBar>
          </x14:cfRule>
          <xm:sqref>C50:V50 C52:V52</xm:sqref>
        </x14:conditionalFormatting>
        <x14:conditionalFormatting xmlns:xm="http://schemas.microsoft.com/office/excel/2006/main">
          <x14:cfRule type="dataBar" id="{074234B1-24E5-486D-A196-567358041268}">
            <x14:dataBar minLength="0" maxLength="100" border="1" negativeBarBorderColorSameAsPositive="0">
              <x14:cfvo type="autoMin"/>
              <x14:cfvo type="autoMax"/>
              <x14:borderColor rgb="FF638EC6"/>
              <x14:negativeFillColor rgb="FFFF0000"/>
              <x14:negativeBorderColor rgb="FFFF0000"/>
              <x14:axisColor rgb="FF000000"/>
            </x14:dataBar>
          </x14:cfRule>
          <xm:sqref>C56:V56 C58:V58</xm:sqref>
        </x14:conditionalFormatting>
        <x14:conditionalFormatting xmlns:xm="http://schemas.microsoft.com/office/excel/2006/main">
          <x14:cfRule type="dataBar" id="{51C2FBF0-A6A0-426E-934B-34C961F43B23}">
            <x14:dataBar minLength="0" maxLength="100" gradient="0">
              <x14:cfvo type="autoMin"/>
              <x14:cfvo type="autoMax"/>
              <x14:negativeFillColor rgb="FFFF0000"/>
              <x14:axisColor rgb="FF000000"/>
            </x14:dataBar>
          </x14:cfRule>
          <xm:sqref>C72:V72</xm:sqref>
        </x14:conditionalFormatting>
        <x14:conditionalFormatting xmlns:xm="http://schemas.microsoft.com/office/excel/2006/main">
          <x14:cfRule type="dataBar" id="{80A3EFDE-4486-405C-AB5D-2699251B2F3C}">
            <x14:dataBar minLength="0" maxLength="100" gradient="0">
              <x14:cfvo type="autoMin"/>
              <x14:cfvo type="autoMax"/>
              <x14:negativeFillColor rgb="FFFF0000"/>
              <x14:axisColor rgb="FF000000"/>
            </x14:dataBar>
          </x14:cfRule>
          <xm:sqref>D67 D63</xm:sqref>
        </x14:conditionalFormatting>
        <x14:conditionalFormatting xmlns:xm="http://schemas.microsoft.com/office/excel/2006/main">
          <x14:cfRule type="dataBar" id="{F63146CD-DCED-4F46-89CC-FF3FD0B2AE19}">
            <x14:dataBar minLength="0" maxLength="100" gradient="0">
              <x14:cfvo type="autoMin"/>
              <x14:cfvo type="autoMax"/>
              <x14:negativeFillColor rgb="FFFF0000"/>
              <x14:axisColor rgb="FF000000"/>
            </x14:dataBar>
          </x14:cfRule>
          <xm:sqref>D65 D69</xm:sqref>
        </x14:conditionalFormatting>
        <x14:conditionalFormatting xmlns:xm="http://schemas.microsoft.com/office/excel/2006/main">
          <x14:cfRule type="dataBar" id="{129471A4-767F-410F-AAFC-0F362295589B}">
            <x14:dataBar minLength="0" maxLength="100" gradient="0">
              <x14:cfvo type="autoMin"/>
              <x14:cfvo type="autoMax"/>
              <x14:negativeFillColor rgb="FFFF0000"/>
              <x14:axisColor rgb="FF000000"/>
            </x14:dataBar>
          </x14:cfRule>
          <xm:sqref>D72</xm:sqref>
        </x14:conditionalFormatting>
        <x14:conditionalFormatting xmlns:xm="http://schemas.microsoft.com/office/excel/2006/main">
          <x14:cfRule type="dataBar" id="{2A022F55-8044-4293-ABB7-443A2CBD8274}">
            <x14:dataBar minLength="0" maxLength="100" gradient="0">
              <x14:cfvo type="autoMin"/>
              <x14:cfvo type="autoMax"/>
              <x14:negativeFillColor rgb="FFFF0000"/>
              <x14:axisColor rgb="FF000000"/>
            </x14:dataBar>
          </x14:cfRule>
          <xm:sqref>D74:D75</xm:sqref>
        </x14:conditionalFormatting>
        <x14:conditionalFormatting xmlns:xm="http://schemas.microsoft.com/office/excel/2006/main">
          <x14:cfRule type="dataBar" id="{509A2F8A-B470-4CA5-B423-728D6DD63E16}">
            <x14:dataBar minLength="0" maxLength="100" gradient="0">
              <x14:cfvo type="autoMin"/>
              <x14:cfvo type="autoMax"/>
              <x14:negativeFillColor rgb="FFFF0000"/>
              <x14:axisColor rgb="FF000000"/>
            </x14:dataBar>
          </x14:cfRule>
          <xm:sqref>D76 D80</xm:sqref>
        </x14:conditionalFormatting>
        <x14:conditionalFormatting xmlns:xm="http://schemas.microsoft.com/office/excel/2006/main">
          <x14:cfRule type="dataBar" id="{AA7BBAD2-9E1B-48D7-9B9F-84634F7C5846}">
            <x14:dataBar minLength="0" maxLength="100" gradient="0">
              <x14:cfvo type="autoMin"/>
              <x14:cfvo type="autoMax"/>
              <x14:negativeFillColor rgb="FFFF0000"/>
              <x14:axisColor rgb="FF000000"/>
            </x14:dataBar>
          </x14:cfRule>
          <xm:sqref>D78 D82</xm:sqref>
        </x14:conditionalFormatting>
        <x14:conditionalFormatting xmlns:xm="http://schemas.microsoft.com/office/excel/2006/main">
          <x14:cfRule type="dataBar" id="{46111274-EF38-4C05-B6CF-4F0514B2D78D}">
            <x14:dataBar minLength="0" maxLength="100" gradient="0">
              <x14:cfvo type="autoMin"/>
              <x14:cfvo type="autoMax"/>
              <x14:negativeFillColor rgb="FFFF0000"/>
              <x14:axisColor rgb="FF000000"/>
            </x14:dataBar>
          </x14:cfRule>
          <xm:sqref>E63 E67</xm:sqref>
        </x14:conditionalFormatting>
        <x14:conditionalFormatting xmlns:xm="http://schemas.microsoft.com/office/excel/2006/main">
          <x14:cfRule type="dataBar" id="{3A73C13C-E3E6-4043-8CBC-B65E1CA43F16}">
            <x14:dataBar minLength="0" maxLength="100" gradient="0">
              <x14:cfvo type="autoMin"/>
              <x14:cfvo type="autoMax"/>
              <x14:negativeFillColor rgb="FFFF0000"/>
              <x14:axisColor rgb="FF000000"/>
            </x14:dataBar>
          </x14:cfRule>
          <xm:sqref>E65 E69</xm:sqref>
        </x14:conditionalFormatting>
        <x14:conditionalFormatting xmlns:xm="http://schemas.microsoft.com/office/excel/2006/main">
          <x14:cfRule type="dataBar" id="{4E21BF20-81F1-4315-87DD-9DF367269941}">
            <x14:dataBar minLength="0" maxLength="100" gradient="0">
              <x14:cfvo type="autoMin"/>
              <x14:cfvo type="autoMax"/>
              <x14:negativeFillColor rgb="FFFF0000"/>
              <x14:axisColor rgb="FF000000"/>
            </x14:dataBar>
          </x14:cfRule>
          <x14:cfRule type="dataBar" id="{0232FF3C-58FE-49B5-BF56-154C3498383F}">
            <x14:dataBar minLength="0" maxLength="100" gradient="0">
              <x14:cfvo type="autoMin"/>
              <x14:cfvo type="autoMax"/>
              <x14:negativeFillColor rgb="FFFF0000"/>
              <x14:axisColor rgb="FF000000"/>
            </x14:dataBar>
          </x14:cfRule>
          <xm:sqref>E72</xm:sqref>
        </x14:conditionalFormatting>
        <x14:conditionalFormatting xmlns:xm="http://schemas.microsoft.com/office/excel/2006/main">
          <x14:cfRule type="dataBar" id="{C2A0EF88-948D-4BB9-A755-1099BAB1302D}">
            <x14:dataBar minLength="0" maxLength="100" gradient="0">
              <x14:cfvo type="autoMin"/>
              <x14:cfvo type="autoMax"/>
              <x14:negativeFillColor rgb="FFFF0000"/>
              <x14:axisColor rgb="FF000000"/>
            </x14:dataBar>
          </x14:cfRule>
          <xm:sqref>E74:E75</xm:sqref>
        </x14:conditionalFormatting>
        <x14:conditionalFormatting xmlns:xm="http://schemas.microsoft.com/office/excel/2006/main">
          <x14:cfRule type="dataBar" id="{B5360D8B-4CAE-40A6-88DD-73E2B1458E76}">
            <x14:dataBar minLength="0" maxLength="100" gradient="0">
              <x14:cfvo type="autoMin"/>
              <x14:cfvo type="autoMax"/>
              <x14:negativeFillColor rgb="FFFF0000"/>
              <x14:axisColor rgb="FF000000"/>
            </x14:dataBar>
          </x14:cfRule>
          <xm:sqref>E80 E76</xm:sqref>
        </x14:conditionalFormatting>
        <x14:conditionalFormatting xmlns:xm="http://schemas.microsoft.com/office/excel/2006/main">
          <x14:cfRule type="dataBar" id="{ACB38DD3-A79B-4E49-80F5-C087DEA6AB83}">
            <x14:dataBar minLength="0" maxLength="100" gradient="0">
              <x14:cfvo type="autoMin"/>
              <x14:cfvo type="autoMax"/>
              <x14:negativeFillColor rgb="FFFF0000"/>
              <x14:axisColor rgb="FF000000"/>
            </x14:dataBar>
          </x14:cfRule>
          <xm:sqref>E78 E82</xm:sqref>
        </x14:conditionalFormatting>
        <x14:conditionalFormatting xmlns:xm="http://schemas.microsoft.com/office/excel/2006/main">
          <x14:cfRule type="dataBar" id="{41D815B1-F4DA-40A3-80E9-A490A2603FB3}">
            <x14:dataBar minLength="0" maxLength="100" gradient="0">
              <x14:cfvo type="autoMin"/>
              <x14:cfvo type="autoMax"/>
              <x14:negativeFillColor rgb="FFFF0000"/>
              <x14:axisColor rgb="FF000000"/>
            </x14:dataBar>
          </x14:cfRule>
          <x14:cfRule type="dataBar" id="{0F39FAFB-4F28-4172-B7B9-27600CD84A9F}">
            <x14:dataBar minLength="0" maxLength="100" gradient="0">
              <x14:cfvo type="autoMin"/>
              <x14:cfvo type="autoMax"/>
              <x14:negativeFillColor rgb="FFFF0000"/>
              <x14:axisColor rgb="FF000000"/>
            </x14:dataBar>
          </x14:cfRule>
          <xm:sqref>E86</xm:sqref>
        </x14:conditionalFormatting>
        <x14:conditionalFormatting xmlns:xm="http://schemas.microsoft.com/office/excel/2006/main">
          <x14:cfRule type="dataBar" id="{B4011F5C-6B96-4DA6-9491-246FF485418A}">
            <x14:dataBar minLength="0" maxLength="100" gradient="0">
              <x14:cfvo type="autoMin"/>
              <x14:cfvo type="autoMax"/>
              <x14:negativeFillColor rgb="FFFF0000"/>
              <x14:axisColor rgb="FF000000"/>
            </x14:dataBar>
          </x14:cfRule>
          <xm:sqref>E86:E87 C86:C87</xm:sqref>
        </x14:conditionalFormatting>
        <x14:conditionalFormatting xmlns:xm="http://schemas.microsoft.com/office/excel/2006/main">
          <x14:cfRule type="dataBar" id="{170428E2-1DB4-4179-B7ED-C31AF1B95522}">
            <x14:dataBar minLength="0" maxLength="100" gradient="0">
              <x14:cfvo type="autoMin"/>
              <x14:cfvo type="autoMax"/>
              <x14:negativeFillColor rgb="FFFF0000"/>
              <x14:axisColor rgb="FF000000"/>
            </x14:dataBar>
          </x14:cfRule>
          <xm:sqref>C88 E88</xm:sqref>
        </x14:conditionalFormatting>
        <x14:conditionalFormatting xmlns:xm="http://schemas.microsoft.com/office/excel/2006/main">
          <x14:cfRule type="dataBar" id="{3517C243-4AAC-4036-AC42-F4BC054111EA}">
            <x14:dataBar minLength="0" maxLength="100" gradient="0">
              <x14:cfvo type="autoMin"/>
              <x14:cfvo type="autoMax"/>
              <x14:negativeFillColor rgb="FFFF0000"/>
              <x14:axisColor rgb="FF000000"/>
            </x14:dataBar>
          </x14:cfRule>
          <xm:sqref>E89 C89</xm:sqref>
        </x14:conditionalFormatting>
        <x14:conditionalFormatting xmlns:xm="http://schemas.microsoft.com/office/excel/2006/main">
          <x14:cfRule type="dataBar" id="{1B6779F5-C0AD-4758-BF13-B0946DF7D28C}">
            <x14:dataBar minLength="0" maxLength="100" gradient="0">
              <x14:cfvo type="autoMin"/>
              <x14:cfvo type="autoMax"/>
              <x14:negativeFillColor rgb="FFFF0000"/>
              <x14:axisColor rgb="FF000000"/>
            </x14:dataBar>
          </x14:cfRule>
          <xm:sqref>C90 E90</xm:sqref>
        </x14:conditionalFormatting>
        <x14:conditionalFormatting xmlns:xm="http://schemas.microsoft.com/office/excel/2006/main">
          <x14:cfRule type="dataBar" id="{1ACEC713-CA87-4861-99B3-E6FCBBF86E06}">
            <x14:dataBar minLength="0" maxLength="100" gradient="0">
              <x14:cfvo type="autoMin"/>
              <x14:cfvo type="autoMax"/>
              <x14:negativeFillColor rgb="FFFF0000"/>
              <x14:axisColor rgb="FF000000"/>
            </x14:dataBar>
          </x14:cfRule>
          <xm:sqref>E91 C91</xm:sqref>
        </x14:conditionalFormatting>
        <x14:conditionalFormatting xmlns:xm="http://schemas.microsoft.com/office/excel/2006/main">
          <x14:cfRule type="dataBar" id="{5B93F46E-A0F6-484A-B592-E825B51D5D2F}">
            <x14:dataBar minLength="0" maxLength="100" gradient="0">
              <x14:cfvo type="autoMin"/>
              <x14:cfvo type="autoMax"/>
              <x14:negativeFillColor rgb="FFFF0000"/>
              <x14:axisColor rgb="FF000000"/>
            </x14:dataBar>
          </x14:cfRule>
          <xm:sqref>C92 E92</xm:sqref>
        </x14:conditionalFormatting>
        <x14:conditionalFormatting xmlns:xm="http://schemas.microsoft.com/office/excel/2006/main">
          <x14:cfRule type="dataBar" id="{B148C15B-40E4-4EC9-B9E1-51B22788A64A}">
            <x14:dataBar minLength="0" maxLength="100" gradient="0">
              <x14:cfvo type="autoMin"/>
              <x14:cfvo type="autoMax"/>
              <x14:negativeFillColor rgb="FFFF0000"/>
              <x14:axisColor rgb="FF000000"/>
            </x14:dataBar>
          </x14:cfRule>
          <xm:sqref>E94 C94</xm:sqref>
        </x14:conditionalFormatting>
        <x14:conditionalFormatting xmlns:xm="http://schemas.microsoft.com/office/excel/2006/main">
          <x14:cfRule type="dataBar" id="{98A5A200-976C-442C-B463-AF9CEB564CF6}">
            <x14:dataBar minLength="0" maxLength="100" gradient="0">
              <x14:cfvo type="autoMin"/>
              <x14:cfvo type="autoMax"/>
              <x14:negativeFillColor rgb="FFFF0000"/>
              <x14:axisColor rgb="FF000000"/>
            </x14:dataBar>
          </x14:cfRule>
          <xm:sqref>E95 C95</xm:sqref>
        </x14:conditionalFormatting>
        <x14:conditionalFormatting xmlns:xm="http://schemas.microsoft.com/office/excel/2006/main">
          <x14:cfRule type="dataBar" id="{A525FAB6-940B-493E-8F85-8F77CC64DDCC}">
            <x14:dataBar minLength="0" maxLength="100" gradient="0">
              <x14:cfvo type="autoMin"/>
              <x14:cfvo type="autoMax"/>
              <x14:negativeFillColor rgb="FFFF0000"/>
              <x14:axisColor rgb="FF000000"/>
            </x14:dataBar>
          </x14:cfRule>
          <xm:sqref>E99 C99</xm:sqref>
        </x14:conditionalFormatting>
        <x14:conditionalFormatting xmlns:xm="http://schemas.microsoft.com/office/excel/2006/main">
          <x14:cfRule type="dataBar" id="{D0162B0B-3F6B-402B-8950-E4A06962ACDF}">
            <x14:dataBar minLength="0" maxLength="100" gradient="0">
              <x14:cfvo type="autoMin"/>
              <x14:cfvo type="autoMax"/>
              <x14:negativeFillColor rgb="FFFF0000"/>
              <x14:axisColor rgb="FF000000"/>
            </x14:dataBar>
          </x14:cfRule>
          <xm:sqref>E100 C100</xm:sqref>
        </x14:conditionalFormatting>
        <x14:conditionalFormatting xmlns:xm="http://schemas.microsoft.com/office/excel/2006/main">
          <x14:cfRule type="dataBar" id="{03E1B005-8BD0-42FE-AB92-1872F7C8B62B}">
            <x14:dataBar minLength="0" maxLength="100" gradient="0">
              <x14:cfvo type="autoMin"/>
              <x14:cfvo type="autoMax"/>
              <x14:negativeFillColor rgb="FFFF0000"/>
              <x14:axisColor rgb="FF000000"/>
            </x14:dataBar>
          </x14:cfRule>
          <xm:sqref>E102 C102</xm:sqref>
        </x14:conditionalFormatting>
        <x14:conditionalFormatting xmlns:xm="http://schemas.microsoft.com/office/excel/2006/main">
          <x14:cfRule type="dataBar" id="{D9855B1F-52B7-45C6-9184-433B14EEBEB3}">
            <x14:dataBar minLength="0" maxLength="100" gradient="0">
              <x14:cfvo type="autoMin"/>
              <x14:cfvo type="autoMax"/>
              <x14:negativeFillColor rgb="FFFF0000"/>
              <x14:axisColor rgb="FF000000"/>
            </x14:dataBar>
          </x14:cfRule>
          <xm:sqref>E103</xm:sqref>
        </x14:conditionalFormatting>
        <x14:conditionalFormatting xmlns:xm="http://schemas.microsoft.com/office/excel/2006/main">
          <x14:cfRule type="dataBar" id="{132D6665-F106-47E4-B119-05EEF0D85B5B}">
            <x14:dataBar minLength="0" maxLength="100" gradient="0">
              <x14:cfvo type="autoMin"/>
              <x14:cfvo type="autoMax"/>
              <x14:negativeFillColor rgb="FFFF0000"/>
              <x14:axisColor rgb="FF000000"/>
            </x14:dataBar>
          </x14:cfRule>
          <xm:sqref>E104 C104</xm:sqref>
        </x14:conditionalFormatting>
        <x14:conditionalFormatting xmlns:xm="http://schemas.microsoft.com/office/excel/2006/main">
          <x14:cfRule type="dataBar" id="{7E18B6D4-9CE0-43B6-AD9E-659EBA916E87}">
            <x14:dataBar minLength="0" maxLength="100" gradient="0">
              <x14:cfvo type="autoMin"/>
              <x14:cfvo type="autoMax"/>
              <x14:negativeFillColor rgb="FFFF0000"/>
              <x14:axisColor rgb="FF000000"/>
            </x14:dataBar>
          </x14:cfRule>
          <x14:cfRule type="dataBar" id="{2CC6173E-D3E3-4EC1-B427-8C9C8101228E}">
            <x14:dataBar minLength="0" maxLength="100" gradient="0">
              <x14:cfvo type="autoMin"/>
              <x14:cfvo type="autoMax"/>
              <x14:negativeFillColor rgb="FFFF0000"/>
              <x14:axisColor rgb="FF000000"/>
            </x14:dataBar>
          </x14:cfRule>
          <xm:sqref>E105 C105</xm:sqref>
        </x14:conditionalFormatting>
        <x14:conditionalFormatting xmlns:xm="http://schemas.microsoft.com/office/excel/2006/main">
          <x14:cfRule type="dataBar" id="{6E997D99-4858-4883-A4C7-8562DC7EBFA5}">
            <x14:dataBar minLength="0" maxLength="100" gradient="0">
              <x14:cfvo type="autoMin"/>
              <x14:cfvo type="autoMax"/>
              <x14:negativeFillColor rgb="FFFF0000"/>
              <x14:axisColor rgb="FF000000"/>
            </x14:dataBar>
          </x14:cfRule>
          <xm:sqref>C117 E117</xm:sqref>
        </x14:conditionalFormatting>
        <x14:conditionalFormatting xmlns:xm="http://schemas.microsoft.com/office/excel/2006/main">
          <x14:cfRule type="dataBar" id="{7BFBAD05-1B46-49A1-9080-5EB16D0E1D75}">
            <x14:dataBar minLength="0" maxLength="100" gradient="0">
              <x14:cfvo type="autoMin"/>
              <x14:cfvo type="autoMax"/>
              <x14:negativeFillColor rgb="FFFF0000"/>
              <x14:axisColor rgb="FF000000"/>
            </x14:dataBar>
          </x14:cfRule>
          <xm:sqref>E118 C118</xm:sqref>
        </x14:conditionalFormatting>
        <x14:conditionalFormatting xmlns:xm="http://schemas.microsoft.com/office/excel/2006/main">
          <x14:cfRule type="dataBar" id="{958BBF7D-D34F-4651-936A-CA8CDD0FDFE3}">
            <x14:dataBar minLength="0" maxLength="100" gradient="0">
              <x14:cfvo type="autoMin"/>
              <x14:cfvo type="autoMax"/>
              <x14:negativeFillColor rgb="FFFF0000"/>
              <x14:axisColor rgb="FF000000"/>
            </x14:dataBar>
          </x14:cfRule>
          <xm:sqref>E121 C121</xm:sqref>
        </x14:conditionalFormatting>
        <x14:conditionalFormatting xmlns:xm="http://schemas.microsoft.com/office/excel/2006/main">
          <x14:cfRule type="dataBar" id="{F41D408A-CE7E-45DE-9233-41AC0455FE1B}">
            <x14:dataBar minLength="0" maxLength="100" gradient="0">
              <x14:cfvo type="autoMin"/>
              <x14:cfvo type="autoMax"/>
              <x14:negativeFillColor rgb="FFFF0000"/>
              <x14:axisColor rgb="FF000000"/>
            </x14:dataBar>
          </x14:cfRule>
          <xm:sqref>E122 C122</xm:sqref>
        </x14:conditionalFormatting>
        <x14:conditionalFormatting xmlns:xm="http://schemas.microsoft.com/office/excel/2006/main">
          <x14:cfRule type="dataBar" id="{23E67FFF-2F5C-4FFF-ACAB-1F5ECDCA7620}">
            <x14:dataBar minLength="0" maxLength="100" gradient="0">
              <x14:cfvo type="autoMin"/>
              <x14:cfvo type="autoMax"/>
              <x14:negativeFillColor rgb="FFFF0000"/>
              <x14:axisColor rgb="FF000000"/>
            </x14:dataBar>
          </x14:cfRule>
          <xm:sqref>E123 C123</xm:sqref>
        </x14:conditionalFormatting>
        <x14:conditionalFormatting xmlns:xm="http://schemas.microsoft.com/office/excel/2006/main">
          <x14:cfRule type="dataBar" id="{82440BC9-148A-4056-BEA6-827F1D214BF8}">
            <x14:dataBar minLength="0" maxLength="100" gradient="0">
              <x14:cfvo type="autoMin"/>
              <x14:cfvo type="autoMax"/>
              <x14:negativeFillColor rgb="FFFF0000"/>
              <x14:axisColor rgb="FF000000"/>
            </x14:dataBar>
          </x14:cfRule>
          <xm:sqref>E127 C127</xm:sqref>
        </x14:conditionalFormatting>
        <x14:conditionalFormatting xmlns:xm="http://schemas.microsoft.com/office/excel/2006/main">
          <x14:cfRule type="dataBar" id="{1798005F-B9C9-42F7-B6A4-B67B64C2263A}">
            <x14:dataBar minLength="0" maxLength="100" gradient="0">
              <x14:cfvo type="autoMin"/>
              <x14:cfvo type="autoMax"/>
              <x14:negativeFillColor rgb="FFFF0000"/>
              <x14:axisColor rgb="FF000000"/>
            </x14:dataBar>
          </x14:cfRule>
          <xm:sqref>E128 C128</xm:sqref>
        </x14:conditionalFormatting>
        <x14:conditionalFormatting xmlns:xm="http://schemas.microsoft.com/office/excel/2006/main">
          <x14:cfRule type="dataBar" id="{6AD9A913-BDFD-4ED2-ABA9-8C015DC8E1A6}">
            <x14:dataBar minLength="0" maxLength="100" gradient="0">
              <x14:cfvo type="autoMin"/>
              <x14:cfvo type="autoMax"/>
              <x14:negativeFillColor rgb="FFFF0000"/>
              <x14:axisColor rgb="FF000000"/>
            </x14:dataBar>
          </x14:cfRule>
          <xm:sqref>E131 C131</xm:sqref>
        </x14:conditionalFormatting>
        <x14:conditionalFormatting xmlns:xm="http://schemas.microsoft.com/office/excel/2006/main">
          <x14:cfRule type="dataBar" id="{B1073FDE-6C0E-46D7-888A-037EF1D9D09F}">
            <x14:dataBar minLength="0" maxLength="100" gradient="0">
              <x14:cfvo type="autoMin"/>
              <x14:cfvo type="autoMax"/>
              <x14:negativeFillColor rgb="FFFF0000"/>
              <x14:axisColor rgb="FF000000"/>
            </x14:dataBar>
          </x14:cfRule>
          <xm:sqref>F63 F67</xm:sqref>
        </x14:conditionalFormatting>
        <x14:conditionalFormatting xmlns:xm="http://schemas.microsoft.com/office/excel/2006/main">
          <x14:cfRule type="dataBar" id="{E54EBA63-71FF-4FB5-A70C-292D7389C971}">
            <x14:dataBar minLength="0" maxLength="100" gradient="0">
              <x14:cfvo type="autoMin"/>
              <x14:cfvo type="autoMax"/>
              <x14:negativeFillColor rgb="FFFF0000"/>
              <x14:axisColor rgb="FF000000"/>
            </x14:dataBar>
          </x14:cfRule>
          <xm:sqref>F65 F69</xm:sqref>
        </x14:conditionalFormatting>
        <x14:conditionalFormatting xmlns:xm="http://schemas.microsoft.com/office/excel/2006/main">
          <x14:cfRule type="dataBar" id="{AFEDB32F-E079-486C-8AC0-E06A0B1615FC}">
            <x14:dataBar minLength="0" maxLength="100" gradient="0">
              <x14:cfvo type="autoMin"/>
              <x14:cfvo type="autoMax"/>
              <x14:negativeFillColor rgb="FFFF0000"/>
              <x14:axisColor rgb="FF000000"/>
            </x14:dataBar>
          </x14:cfRule>
          <xm:sqref>F72</xm:sqref>
        </x14:conditionalFormatting>
        <x14:conditionalFormatting xmlns:xm="http://schemas.microsoft.com/office/excel/2006/main">
          <x14:cfRule type="dataBar" id="{0C5E8DC0-73F4-4670-ABDD-A9EB5AC3E019}">
            <x14:dataBar minLength="0" maxLength="100" gradient="0">
              <x14:cfvo type="autoMin"/>
              <x14:cfvo type="autoMax"/>
              <x14:negativeFillColor rgb="FFFF0000"/>
              <x14:axisColor rgb="FF000000"/>
            </x14:dataBar>
          </x14:cfRule>
          <xm:sqref>F78 F82</xm:sqref>
        </x14:conditionalFormatting>
        <x14:conditionalFormatting xmlns:xm="http://schemas.microsoft.com/office/excel/2006/main">
          <x14:cfRule type="dataBar" id="{9C49FA01-4CBA-4137-8719-ABD5C32A19B4}">
            <x14:dataBar minLength="0" maxLength="100" gradient="0">
              <x14:cfvo type="autoMin"/>
              <x14:cfvo type="autoMax"/>
              <x14:negativeFillColor rgb="FFFF0000"/>
              <x14:axisColor rgb="FF000000"/>
            </x14:dataBar>
          </x14:cfRule>
          <xm:sqref>F76 F80</xm:sqref>
        </x14:conditionalFormatting>
        <x14:conditionalFormatting xmlns:xm="http://schemas.microsoft.com/office/excel/2006/main">
          <x14:cfRule type="dataBar" id="{7609BE2F-59E7-4C75-994E-322B4F778D0A}">
            <x14:dataBar minLength="0" maxLength="100" gradient="0">
              <x14:cfvo type="autoMin"/>
              <x14:cfvo type="autoMax"/>
              <x14:negativeFillColor rgb="FFFF0000"/>
              <x14:axisColor rgb="FF000000"/>
            </x14:dataBar>
          </x14:cfRule>
          <x14:cfRule type="dataBar" id="{77718000-A2DB-4778-A868-FCA51634DD7F}">
            <x14:dataBar minLength="0" maxLength="100" gradient="0">
              <x14:cfvo type="autoMin"/>
              <x14:cfvo type="autoMax"/>
              <x14:negativeFillColor rgb="FFFF0000"/>
              <x14:axisColor rgb="FF000000"/>
            </x14:dataBar>
          </x14:cfRule>
          <xm:sqref>G65 G69</xm:sqref>
        </x14:conditionalFormatting>
        <x14:conditionalFormatting xmlns:xm="http://schemas.microsoft.com/office/excel/2006/main">
          <x14:cfRule type="dataBar" id="{1498997F-608E-486D-9CBF-AE7869A61D6F}">
            <x14:dataBar minLength="0" maxLength="100" gradient="0">
              <x14:cfvo type="autoMin"/>
              <x14:cfvo type="autoMax"/>
              <x14:negativeFillColor rgb="FFFF0000"/>
              <x14:axisColor rgb="FF000000"/>
            </x14:dataBar>
          </x14:cfRule>
          <xm:sqref>G63 G67</xm:sqref>
        </x14:conditionalFormatting>
        <x14:conditionalFormatting xmlns:xm="http://schemas.microsoft.com/office/excel/2006/main">
          <x14:cfRule type="dataBar" id="{3A6CF4D7-8C36-4B7B-ACB7-002BA1F6753B}">
            <x14:dataBar minLength="0" maxLength="100" gradient="0">
              <x14:cfvo type="autoMin"/>
              <x14:cfvo type="autoMax"/>
              <x14:negativeFillColor rgb="FFFF0000"/>
              <x14:axisColor rgb="FF000000"/>
            </x14:dataBar>
          </x14:cfRule>
          <xm:sqref>G72</xm:sqref>
        </x14:conditionalFormatting>
        <x14:conditionalFormatting xmlns:xm="http://schemas.microsoft.com/office/excel/2006/main">
          <x14:cfRule type="dataBar" id="{B46211B6-6D2E-4489-B3EB-BEBF60400DD6}">
            <x14:dataBar minLength="0" maxLength="100" gradient="0">
              <x14:cfvo type="autoMin"/>
              <x14:cfvo type="autoMax"/>
              <x14:negativeFillColor rgb="FFFF0000"/>
              <x14:axisColor rgb="FF000000"/>
            </x14:dataBar>
          </x14:cfRule>
          <xm:sqref>G78 G82</xm:sqref>
        </x14:conditionalFormatting>
        <x14:conditionalFormatting xmlns:xm="http://schemas.microsoft.com/office/excel/2006/main">
          <x14:cfRule type="dataBar" id="{974FB0B1-0ABF-498A-BFFA-E0626FA2E42C}">
            <x14:dataBar minLength="0" maxLength="100" gradient="0">
              <x14:cfvo type="autoMin"/>
              <x14:cfvo type="autoMax"/>
              <x14:negativeFillColor rgb="FFFF0000"/>
              <x14:axisColor rgb="FF000000"/>
            </x14:dataBar>
          </x14:cfRule>
          <xm:sqref>G76 G80</xm:sqref>
        </x14:conditionalFormatting>
        <x14:conditionalFormatting xmlns:xm="http://schemas.microsoft.com/office/excel/2006/main">
          <x14:cfRule type="dataBar" id="{AEA032A4-FA03-4877-9860-3B2BEB74FAEF}">
            <x14:dataBar minLength="0" maxLength="100" gradient="0">
              <x14:cfvo type="autoMin"/>
              <x14:cfvo type="autoMax"/>
              <x14:negativeFillColor rgb="FFFF0000"/>
              <x14:axisColor rgb="FF000000"/>
            </x14:dataBar>
          </x14:cfRule>
          <xm:sqref>I86 G86</xm:sqref>
        </x14:conditionalFormatting>
        <x14:conditionalFormatting xmlns:xm="http://schemas.microsoft.com/office/excel/2006/main">
          <x14:cfRule type="dataBar" id="{4564027F-EB4B-48BE-A2A0-E90CFAD110F2}">
            <x14:dataBar minLength="0" maxLength="100" gradient="0">
              <x14:cfvo type="autoMin"/>
              <x14:cfvo type="autoMax"/>
              <x14:negativeFillColor rgb="FFFF0000"/>
              <x14:axisColor rgb="FF000000"/>
            </x14:dataBar>
          </x14:cfRule>
          <xm:sqref>I87 G87</xm:sqref>
        </x14:conditionalFormatting>
        <x14:conditionalFormatting xmlns:xm="http://schemas.microsoft.com/office/excel/2006/main">
          <x14:cfRule type="dataBar" id="{7AA4D2E2-E8C1-4949-8FE6-51BA27A8B956}">
            <x14:dataBar minLength="0" maxLength="100" gradient="0">
              <x14:cfvo type="autoMin"/>
              <x14:cfvo type="autoMax"/>
              <x14:negativeFillColor rgb="FFFF0000"/>
              <x14:axisColor rgb="FF000000"/>
            </x14:dataBar>
          </x14:cfRule>
          <xm:sqref>I88 G88</xm:sqref>
        </x14:conditionalFormatting>
        <x14:conditionalFormatting xmlns:xm="http://schemas.microsoft.com/office/excel/2006/main">
          <x14:cfRule type="dataBar" id="{969A0736-F40D-41A6-945E-6996E34578B1}">
            <x14:dataBar minLength="0" maxLength="100" gradient="0">
              <x14:cfvo type="autoMin"/>
              <x14:cfvo type="autoMax"/>
              <x14:negativeFillColor rgb="FFFF0000"/>
              <x14:axisColor rgb="FF000000"/>
            </x14:dataBar>
          </x14:cfRule>
          <xm:sqref>G89 I89</xm:sqref>
        </x14:conditionalFormatting>
        <x14:conditionalFormatting xmlns:xm="http://schemas.microsoft.com/office/excel/2006/main">
          <x14:cfRule type="dataBar" id="{F939D7BC-9198-4CA1-AD06-C5F690B9DAA0}">
            <x14:dataBar minLength="0" maxLength="100" gradient="0">
              <x14:cfvo type="autoMin"/>
              <x14:cfvo type="autoMax"/>
              <x14:negativeFillColor rgb="FFFF0000"/>
              <x14:axisColor rgb="FF000000"/>
            </x14:dataBar>
          </x14:cfRule>
          <xm:sqref>I90 G90</xm:sqref>
        </x14:conditionalFormatting>
        <x14:conditionalFormatting xmlns:xm="http://schemas.microsoft.com/office/excel/2006/main">
          <x14:cfRule type="dataBar" id="{DF104007-8F89-4FF0-8CB6-5295A50C339C}">
            <x14:dataBar minLength="0" maxLength="100" gradient="0">
              <x14:cfvo type="autoMin"/>
              <x14:cfvo type="autoMax"/>
              <x14:negativeFillColor rgb="FFFF0000"/>
              <x14:axisColor rgb="FF000000"/>
            </x14:dataBar>
          </x14:cfRule>
          <xm:sqref>I92 G92</xm:sqref>
        </x14:conditionalFormatting>
        <x14:conditionalFormatting xmlns:xm="http://schemas.microsoft.com/office/excel/2006/main">
          <x14:cfRule type="dataBar" id="{96C4DC72-4EA1-485F-8259-78EB3D66B3D3}">
            <x14:dataBar minLength="0" maxLength="100" gradient="0">
              <x14:cfvo type="autoMin"/>
              <x14:cfvo type="autoMax"/>
              <x14:negativeFillColor rgb="FFFF0000"/>
              <x14:axisColor rgb="FF000000"/>
            </x14:dataBar>
          </x14:cfRule>
          <xm:sqref>G93 I93</xm:sqref>
        </x14:conditionalFormatting>
        <x14:conditionalFormatting xmlns:xm="http://schemas.microsoft.com/office/excel/2006/main">
          <x14:cfRule type="dataBar" id="{B8115FFC-9103-4536-95E1-060D0469B5BD}">
            <x14:dataBar minLength="0" maxLength="100" gradient="0">
              <x14:cfvo type="autoMin"/>
              <x14:cfvo type="autoMax"/>
              <x14:negativeFillColor rgb="FFFF0000"/>
              <x14:axisColor rgb="FF000000"/>
            </x14:dataBar>
          </x14:cfRule>
          <xm:sqref>G94 I94</xm:sqref>
        </x14:conditionalFormatting>
        <x14:conditionalFormatting xmlns:xm="http://schemas.microsoft.com/office/excel/2006/main">
          <x14:cfRule type="dataBar" id="{495D8CF8-1C46-489D-A4AB-CD2DC6D49A9F}">
            <x14:dataBar minLength="0" maxLength="100" gradient="0">
              <x14:cfvo type="autoMin"/>
              <x14:cfvo type="autoMax"/>
              <x14:negativeFillColor rgb="FFFF0000"/>
              <x14:axisColor rgb="FF000000"/>
            </x14:dataBar>
          </x14:cfRule>
          <xm:sqref>G95 I95</xm:sqref>
        </x14:conditionalFormatting>
        <x14:conditionalFormatting xmlns:xm="http://schemas.microsoft.com/office/excel/2006/main">
          <x14:cfRule type="dataBar" id="{C354FFE6-488F-497D-AC2C-8CAFFC846301}">
            <x14:dataBar minLength="0" maxLength="100" gradient="0">
              <x14:cfvo type="autoMin"/>
              <x14:cfvo type="autoMax"/>
              <x14:negativeFillColor rgb="FFFF0000"/>
              <x14:axisColor rgb="FF000000"/>
            </x14:dataBar>
          </x14:cfRule>
          <xm:sqref>G96 I96</xm:sqref>
        </x14:conditionalFormatting>
        <x14:conditionalFormatting xmlns:xm="http://schemas.microsoft.com/office/excel/2006/main">
          <x14:cfRule type="dataBar" id="{BB01A5B6-7EB5-4664-943C-6BCEF8842CC4}">
            <x14:dataBar minLength="0" maxLength="100" gradient="0">
              <x14:cfvo type="autoMin"/>
              <x14:cfvo type="autoMax"/>
              <x14:negativeFillColor rgb="FFFF0000"/>
              <x14:axisColor rgb="FF000000"/>
            </x14:dataBar>
          </x14:cfRule>
          <xm:sqref>I99 G99</xm:sqref>
        </x14:conditionalFormatting>
        <x14:conditionalFormatting xmlns:xm="http://schemas.microsoft.com/office/excel/2006/main">
          <x14:cfRule type="dataBar" id="{9B0A2663-D9EF-4C6F-AE16-287F24E60F27}">
            <x14:dataBar minLength="0" maxLength="100" gradient="0">
              <x14:cfvo type="autoMin"/>
              <x14:cfvo type="autoMax"/>
              <x14:negativeFillColor rgb="FFFF0000"/>
              <x14:axisColor rgb="FF000000"/>
            </x14:dataBar>
          </x14:cfRule>
          <xm:sqref>G103</xm:sqref>
        </x14:conditionalFormatting>
        <x14:conditionalFormatting xmlns:xm="http://schemas.microsoft.com/office/excel/2006/main">
          <x14:cfRule type="dataBar" id="{326FF4F9-0FED-44DB-B40A-D8BDFC03A1A3}">
            <x14:dataBar minLength="0" maxLength="100" gradient="0">
              <x14:cfvo type="autoMin"/>
              <x14:cfvo type="autoMax"/>
              <x14:negativeFillColor rgb="FFFF0000"/>
              <x14:axisColor rgb="FF000000"/>
            </x14:dataBar>
          </x14:cfRule>
          <xm:sqref>G105 I105</xm:sqref>
        </x14:conditionalFormatting>
        <x14:conditionalFormatting xmlns:xm="http://schemas.microsoft.com/office/excel/2006/main">
          <x14:cfRule type="dataBar" id="{90C071E6-B547-46FB-BBD1-E97C4397C8A9}">
            <x14:dataBar minLength="0" maxLength="100" gradient="0">
              <x14:cfvo type="autoMin"/>
              <x14:cfvo type="autoMax"/>
              <x14:negativeFillColor rgb="FFFF0000"/>
              <x14:axisColor rgb="FF000000"/>
            </x14:dataBar>
          </x14:cfRule>
          <xm:sqref>I115 G115</xm:sqref>
        </x14:conditionalFormatting>
        <x14:conditionalFormatting xmlns:xm="http://schemas.microsoft.com/office/excel/2006/main">
          <x14:cfRule type="dataBar" id="{224FEAF9-500B-4463-B88B-10E2E3A69160}">
            <x14:dataBar minLength="0" maxLength="100" gradient="0">
              <x14:cfvo type="autoMin"/>
              <x14:cfvo type="autoMax"/>
              <x14:negativeFillColor rgb="FFFF0000"/>
              <x14:axisColor rgb="FF000000"/>
            </x14:dataBar>
          </x14:cfRule>
          <xm:sqref>G116</xm:sqref>
        </x14:conditionalFormatting>
        <x14:conditionalFormatting xmlns:xm="http://schemas.microsoft.com/office/excel/2006/main">
          <x14:cfRule type="dataBar" id="{D8FEF47D-5C0D-46BD-A7E1-364D2CEC2D03}">
            <x14:dataBar minLength="0" maxLength="100" gradient="0">
              <x14:cfvo type="autoMin"/>
              <x14:cfvo type="autoMax"/>
              <x14:negativeFillColor rgb="FFFF0000"/>
              <x14:axisColor rgb="FF000000"/>
            </x14:dataBar>
          </x14:cfRule>
          <xm:sqref>I118 G118</xm:sqref>
        </x14:conditionalFormatting>
        <x14:conditionalFormatting xmlns:xm="http://schemas.microsoft.com/office/excel/2006/main">
          <x14:cfRule type="dataBar" id="{EF3B0FE5-4409-443E-9C2C-789AC21CD79F}">
            <x14:dataBar minLength="0" maxLength="100" gradient="0">
              <x14:cfvo type="autoMin"/>
              <x14:cfvo type="autoMax"/>
              <x14:negativeFillColor rgb="FFFF0000"/>
              <x14:axisColor rgb="FF000000"/>
            </x14:dataBar>
          </x14:cfRule>
          <xm:sqref>I121 G121</xm:sqref>
        </x14:conditionalFormatting>
        <x14:conditionalFormatting xmlns:xm="http://schemas.microsoft.com/office/excel/2006/main">
          <x14:cfRule type="dataBar" id="{4C2A4B15-FBE1-4CE8-BBA5-F51F31FCE801}">
            <x14:dataBar minLength="0" maxLength="100" gradient="0">
              <x14:cfvo type="autoMin"/>
              <x14:cfvo type="autoMax"/>
              <x14:negativeFillColor rgb="FFFF0000"/>
              <x14:axisColor rgb="FF000000"/>
            </x14:dataBar>
          </x14:cfRule>
          <xm:sqref>I122 G122</xm:sqref>
        </x14:conditionalFormatting>
        <x14:conditionalFormatting xmlns:xm="http://schemas.microsoft.com/office/excel/2006/main">
          <x14:cfRule type="dataBar" id="{C0C48C5F-DF12-48B8-8179-B89C0B56514C}">
            <x14:dataBar minLength="0" maxLength="100" gradient="0">
              <x14:cfvo type="autoMin"/>
              <x14:cfvo type="autoMax"/>
              <x14:negativeFillColor rgb="FFFF0000"/>
              <x14:axisColor rgb="FF000000"/>
            </x14:dataBar>
          </x14:cfRule>
          <xm:sqref>I123 G123</xm:sqref>
        </x14:conditionalFormatting>
        <x14:conditionalFormatting xmlns:xm="http://schemas.microsoft.com/office/excel/2006/main">
          <x14:cfRule type="dataBar" id="{A0204F9C-350E-48B4-A9C1-B2E8B51070F8}">
            <x14:dataBar minLength="0" maxLength="100" gradient="0">
              <x14:cfvo type="autoMin"/>
              <x14:cfvo type="autoMax"/>
              <x14:negativeFillColor rgb="FFFF0000"/>
              <x14:axisColor rgb="FF000000"/>
            </x14:dataBar>
          </x14:cfRule>
          <xm:sqref>I124 G124</xm:sqref>
        </x14:conditionalFormatting>
        <x14:conditionalFormatting xmlns:xm="http://schemas.microsoft.com/office/excel/2006/main">
          <x14:cfRule type="dataBar" id="{CC07C172-DF09-4A10-ABE3-F2BB5887F876}">
            <x14:dataBar minLength="0" maxLength="100" gradient="0">
              <x14:cfvo type="autoMin"/>
              <x14:cfvo type="autoMax"/>
              <x14:negativeFillColor rgb="FFFF0000"/>
              <x14:axisColor rgb="FF000000"/>
            </x14:dataBar>
          </x14:cfRule>
          <xm:sqref>I128 G128</xm:sqref>
        </x14:conditionalFormatting>
        <x14:conditionalFormatting xmlns:xm="http://schemas.microsoft.com/office/excel/2006/main">
          <x14:cfRule type="dataBar" id="{6CE3E9F1-DD3C-476B-B80E-4EF5DFEBC1AD}">
            <x14:dataBar minLength="0" maxLength="100" gradient="0">
              <x14:cfvo type="autoMin"/>
              <x14:cfvo type="autoMax"/>
              <x14:negativeFillColor rgb="FFFF0000"/>
              <x14:axisColor rgb="FF000000"/>
            </x14:dataBar>
          </x14:cfRule>
          <xm:sqref>I129 G129</xm:sqref>
        </x14:conditionalFormatting>
        <x14:conditionalFormatting xmlns:xm="http://schemas.microsoft.com/office/excel/2006/main">
          <x14:cfRule type="dataBar" id="{369CBC70-A663-4197-8404-52C819E5BD54}">
            <x14:dataBar minLength="0" maxLength="100" gradient="0">
              <x14:cfvo type="autoMin"/>
              <x14:cfvo type="autoMax"/>
              <x14:negativeFillColor rgb="FFFF0000"/>
              <x14:axisColor rgb="FF000000"/>
            </x14:dataBar>
          </x14:cfRule>
          <xm:sqref>I130 G130</xm:sqref>
        </x14:conditionalFormatting>
        <x14:conditionalFormatting xmlns:xm="http://schemas.microsoft.com/office/excel/2006/main">
          <x14:cfRule type="dataBar" id="{4C89E514-97A0-48C9-B39A-E504A8855E7D}">
            <x14:dataBar minLength="0" maxLength="100" gradient="0">
              <x14:cfvo type="autoMin"/>
              <x14:cfvo type="autoMax"/>
              <x14:negativeFillColor rgb="FFFF0000"/>
              <x14:axisColor rgb="FF000000"/>
            </x14:dataBar>
          </x14:cfRule>
          <xm:sqref>I131 G131</xm:sqref>
        </x14:conditionalFormatting>
        <x14:conditionalFormatting xmlns:xm="http://schemas.microsoft.com/office/excel/2006/main">
          <x14:cfRule type="dataBar" id="{F626115A-839D-4B49-88B8-EA41145A1DD5}">
            <x14:dataBar minLength="0" maxLength="100" gradient="0">
              <x14:cfvo type="autoMin"/>
              <x14:cfvo type="autoMax"/>
              <x14:negativeFillColor rgb="FFFF0000"/>
              <x14:axisColor rgb="FF000000"/>
            </x14:dataBar>
          </x14:cfRule>
          <xm:sqref>H67 H63</xm:sqref>
        </x14:conditionalFormatting>
        <x14:conditionalFormatting xmlns:xm="http://schemas.microsoft.com/office/excel/2006/main">
          <x14:cfRule type="dataBar" id="{AEDC9432-ABD8-4142-B49D-72372D241F15}">
            <x14:dataBar minLength="0" maxLength="100" gradient="0">
              <x14:cfvo type="autoMin"/>
              <x14:cfvo type="autoMax"/>
              <x14:negativeFillColor rgb="FFFF0000"/>
              <x14:axisColor rgb="FF000000"/>
            </x14:dataBar>
          </x14:cfRule>
          <xm:sqref>H65 H69</xm:sqref>
        </x14:conditionalFormatting>
        <x14:conditionalFormatting xmlns:xm="http://schemas.microsoft.com/office/excel/2006/main">
          <x14:cfRule type="dataBar" id="{1472CC7C-76AF-4334-B90B-3C4FB6DE8E83}">
            <x14:dataBar minLength="0" maxLength="100" gradient="0">
              <x14:cfvo type="autoMin"/>
              <x14:cfvo type="autoMax"/>
              <x14:negativeFillColor rgb="FFFF0000"/>
              <x14:axisColor rgb="FF000000"/>
            </x14:dataBar>
          </x14:cfRule>
          <xm:sqref>H72</xm:sqref>
        </x14:conditionalFormatting>
        <x14:conditionalFormatting xmlns:xm="http://schemas.microsoft.com/office/excel/2006/main">
          <x14:cfRule type="dataBar" id="{2E83A2F6-71B0-4443-A4FA-AD6C2F12A790}">
            <x14:dataBar minLength="0" maxLength="100" gradient="0">
              <x14:cfvo type="autoMin"/>
              <x14:cfvo type="autoMax"/>
              <x14:negativeFillColor rgb="FFFF0000"/>
              <x14:axisColor rgb="FF000000"/>
            </x14:dataBar>
          </x14:cfRule>
          <xm:sqref>H76 H80</xm:sqref>
        </x14:conditionalFormatting>
        <x14:conditionalFormatting xmlns:xm="http://schemas.microsoft.com/office/excel/2006/main">
          <x14:cfRule type="dataBar" id="{265EB8B0-0320-44C4-960E-84D13575A328}">
            <x14:dataBar minLength="0" maxLength="100" gradient="0">
              <x14:cfvo type="autoMin"/>
              <x14:cfvo type="autoMax"/>
              <x14:negativeFillColor rgb="FFFF0000"/>
              <x14:axisColor rgb="FF000000"/>
            </x14:dataBar>
          </x14:cfRule>
          <xm:sqref>H78 H82</xm:sqref>
        </x14:conditionalFormatting>
        <x14:conditionalFormatting xmlns:xm="http://schemas.microsoft.com/office/excel/2006/main">
          <x14:cfRule type="dataBar" id="{7552BC6B-BC5A-47D6-8276-5CCEF953C807}">
            <x14:dataBar minLength="0" maxLength="100" gradient="0">
              <x14:cfvo type="autoMin"/>
              <x14:cfvo type="autoMax"/>
              <x14:negativeFillColor rgb="FFFF0000"/>
              <x14:axisColor rgb="FF000000"/>
            </x14:dataBar>
          </x14:cfRule>
          <xm:sqref>I67 I63</xm:sqref>
        </x14:conditionalFormatting>
        <x14:conditionalFormatting xmlns:xm="http://schemas.microsoft.com/office/excel/2006/main">
          <x14:cfRule type="dataBar" id="{9F28FCA2-97E4-49A4-BEF6-BA05253C29DC}">
            <x14:dataBar minLength="0" maxLength="100" gradient="0">
              <x14:cfvo type="autoMin"/>
              <x14:cfvo type="autoMax"/>
              <x14:negativeFillColor rgb="FFFF0000"/>
              <x14:axisColor rgb="FF000000"/>
            </x14:dataBar>
          </x14:cfRule>
          <xm:sqref>I69 I65</xm:sqref>
        </x14:conditionalFormatting>
        <x14:conditionalFormatting xmlns:xm="http://schemas.microsoft.com/office/excel/2006/main">
          <x14:cfRule type="dataBar" id="{271EC2B7-FB67-4522-89E2-0D379C83B09B}">
            <x14:dataBar minLength="0" maxLength="100" gradient="0">
              <x14:cfvo type="autoMin"/>
              <x14:cfvo type="autoMax"/>
              <x14:negativeFillColor rgb="FFFF0000"/>
              <x14:axisColor rgb="FF000000"/>
            </x14:dataBar>
          </x14:cfRule>
          <xm:sqref>I78 I82</xm:sqref>
        </x14:conditionalFormatting>
        <x14:conditionalFormatting xmlns:xm="http://schemas.microsoft.com/office/excel/2006/main">
          <x14:cfRule type="dataBar" id="{35D42F05-587D-432E-A295-7941493332A3}">
            <x14:dataBar minLength="0" maxLength="100" gradient="0">
              <x14:cfvo type="autoMin"/>
              <x14:cfvo type="autoMax"/>
              <x14:negativeFillColor rgb="FFFF0000"/>
              <x14:axisColor rgb="FF000000"/>
            </x14:dataBar>
          </x14:cfRule>
          <xm:sqref>I80 I76</xm:sqref>
        </x14:conditionalFormatting>
        <x14:conditionalFormatting xmlns:xm="http://schemas.microsoft.com/office/excel/2006/main">
          <x14:cfRule type="dataBar" id="{D7DF4982-D769-4A03-B315-5A9E3B6C5DCE}">
            <x14:dataBar minLength="0" maxLength="100" gradient="0">
              <x14:cfvo type="autoMin"/>
              <x14:cfvo type="autoMax"/>
              <x14:negativeFillColor rgb="FFFF0000"/>
              <x14:axisColor rgb="FF000000"/>
            </x14:dataBar>
          </x14:cfRule>
          <xm:sqref>I91 G91</xm:sqref>
        </x14:conditionalFormatting>
        <x14:conditionalFormatting xmlns:xm="http://schemas.microsoft.com/office/excel/2006/main">
          <x14:cfRule type="dataBar" id="{3D72D7A3-4C8F-4032-A046-F0EC871C4A4E}">
            <x14:dataBar minLength="0" maxLength="100" gradient="0">
              <x14:cfvo type="autoMin"/>
              <x14:cfvo type="autoMax"/>
              <x14:negativeFillColor rgb="FFFF0000"/>
              <x14:axisColor rgb="FF000000"/>
            </x14:dataBar>
          </x14:cfRule>
          <xm:sqref>G97 I97</xm:sqref>
        </x14:conditionalFormatting>
        <x14:conditionalFormatting xmlns:xm="http://schemas.microsoft.com/office/excel/2006/main">
          <x14:cfRule type="dataBar" id="{7021A89B-9DB3-4714-B3FB-635034563996}">
            <x14:dataBar minLength="0" maxLength="100" gradient="0">
              <x14:cfvo type="autoMin"/>
              <x14:cfvo type="autoMax"/>
              <x14:negativeFillColor rgb="FFFF0000"/>
              <x14:axisColor rgb="FF000000"/>
            </x14:dataBar>
          </x14:cfRule>
          <xm:sqref>G98 I98</xm:sqref>
        </x14:conditionalFormatting>
        <x14:conditionalFormatting xmlns:xm="http://schemas.microsoft.com/office/excel/2006/main">
          <x14:cfRule type="dataBar" id="{49C17949-103B-42DB-BCD3-71173B854679}">
            <x14:dataBar minLength="0" maxLength="100" gradient="0">
              <x14:cfvo type="autoMin"/>
              <x14:cfvo type="autoMax"/>
              <x14:negativeFillColor rgb="FFFF0000"/>
              <x14:axisColor rgb="FF000000"/>
            </x14:dataBar>
          </x14:cfRule>
          <x14:cfRule type="dataBar" id="{E7D0697F-F1FF-4288-B271-9F1FAAE83EF8}">
            <x14:dataBar minLength="0" maxLength="100" gradient="0">
              <x14:cfvo type="autoMin"/>
              <x14:cfvo type="autoMax"/>
              <x14:negativeFillColor rgb="FFFF0000"/>
              <x14:axisColor rgb="FF000000"/>
            </x14:dataBar>
          </x14:cfRule>
          <xm:sqref>I100 G100</xm:sqref>
        </x14:conditionalFormatting>
        <x14:conditionalFormatting xmlns:xm="http://schemas.microsoft.com/office/excel/2006/main">
          <x14:cfRule type="dataBar" id="{7F18193F-51E1-422E-8560-2BEACD1B7D32}">
            <x14:dataBar minLength="0" maxLength="100" gradient="0">
              <x14:cfvo type="autoMin"/>
              <x14:cfvo type="autoMax"/>
              <x14:negativeFillColor rgb="FFFF0000"/>
              <x14:axisColor rgb="FF000000"/>
            </x14:dataBar>
          </x14:cfRule>
          <xm:sqref>G101 I101</xm:sqref>
        </x14:conditionalFormatting>
        <x14:conditionalFormatting xmlns:xm="http://schemas.microsoft.com/office/excel/2006/main">
          <x14:cfRule type="dataBar" id="{CCBA7B1E-B120-47E9-9453-A12921D1AAF5}">
            <x14:dataBar minLength="0" maxLength="100" gradient="0">
              <x14:cfvo type="autoMin"/>
              <x14:cfvo type="autoMax"/>
              <x14:negativeFillColor rgb="FFFF0000"/>
              <x14:axisColor rgb="FF000000"/>
            </x14:dataBar>
          </x14:cfRule>
          <xm:sqref>I102 G102</xm:sqref>
        </x14:conditionalFormatting>
        <x14:conditionalFormatting xmlns:xm="http://schemas.microsoft.com/office/excel/2006/main">
          <x14:cfRule type="dataBar" id="{282C78A4-2567-47AD-88E0-ECB683DD148B}">
            <x14:dataBar minLength="0" maxLength="100" gradient="0">
              <x14:cfvo type="autoMin"/>
              <x14:cfvo type="autoMax"/>
              <x14:negativeFillColor rgb="FFFF0000"/>
              <x14:axisColor rgb="FF000000"/>
            </x14:dataBar>
          </x14:cfRule>
          <xm:sqref>G103 I103</xm:sqref>
        </x14:conditionalFormatting>
        <x14:conditionalFormatting xmlns:xm="http://schemas.microsoft.com/office/excel/2006/main">
          <x14:cfRule type="dataBar" id="{75B2DB4F-6B74-4506-A0BA-086ABD46AE3B}">
            <x14:dataBar minLength="0" maxLength="100" gradient="0">
              <x14:cfvo type="autoMin"/>
              <x14:cfvo type="autoMax"/>
              <x14:negativeFillColor rgb="FFFF0000"/>
              <x14:axisColor rgb="FF000000"/>
            </x14:dataBar>
          </x14:cfRule>
          <xm:sqref>I103</xm:sqref>
        </x14:conditionalFormatting>
        <x14:conditionalFormatting xmlns:xm="http://schemas.microsoft.com/office/excel/2006/main">
          <x14:cfRule type="dataBar" id="{0DD20302-78EE-44CD-8F0E-4BB9F1C15279}">
            <x14:dataBar minLength="0" maxLength="100" gradient="0">
              <x14:cfvo type="autoMin"/>
              <x14:cfvo type="autoMax"/>
              <x14:negativeFillColor rgb="FFFF0000"/>
              <x14:axisColor rgb="FF000000"/>
            </x14:dataBar>
          </x14:cfRule>
          <xm:sqref>I104 G104</xm:sqref>
        </x14:conditionalFormatting>
        <x14:conditionalFormatting xmlns:xm="http://schemas.microsoft.com/office/excel/2006/main">
          <x14:cfRule type="dataBar" id="{AB8BFAD6-58E1-432E-ACD9-6FFF38751138}">
            <x14:dataBar minLength="0" maxLength="100" gradient="0">
              <x14:cfvo type="autoMin"/>
              <x14:cfvo type="autoMax"/>
              <x14:negativeFillColor rgb="FFFF0000"/>
              <x14:axisColor rgb="FF000000"/>
            </x14:dataBar>
          </x14:cfRule>
          <xm:sqref>G112 I112</xm:sqref>
        </x14:conditionalFormatting>
        <x14:conditionalFormatting xmlns:xm="http://schemas.microsoft.com/office/excel/2006/main">
          <x14:cfRule type="dataBar" id="{9CB1BBE0-E855-4529-A49D-DF0375804862}">
            <x14:dataBar minLength="0" maxLength="100" gradient="0">
              <x14:cfvo type="autoMin"/>
              <x14:cfvo type="autoMax"/>
              <x14:negativeFillColor rgb="FFFF0000"/>
              <x14:axisColor rgb="FF000000"/>
            </x14:dataBar>
          </x14:cfRule>
          <xm:sqref>I113 G113</xm:sqref>
        </x14:conditionalFormatting>
        <x14:conditionalFormatting xmlns:xm="http://schemas.microsoft.com/office/excel/2006/main">
          <x14:cfRule type="dataBar" id="{9E332058-1F1D-4E52-8707-16DCE9D680DF}">
            <x14:dataBar minLength="0" maxLength="100" gradient="0">
              <x14:cfvo type="autoMin"/>
              <x14:cfvo type="autoMax"/>
              <x14:negativeFillColor rgb="FFFF0000"/>
              <x14:axisColor rgb="FF000000"/>
            </x14:dataBar>
          </x14:cfRule>
          <xm:sqref>I114 G114</xm:sqref>
        </x14:conditionalFormatting>
        <x14:conditionalFormatting xmlns:xm="http://schemas.microsoft.com/office/excel/2006/main">
          <x14:cfRule type="dataBar" id="{559D7815-58FE-49C6-8BE3-6D3AC41BCA11}">
            <x14:dataBar minLength="0" maxLength="100" gradient="0">
              <x14:cfvo type="autoMin"/>
              <x14:cfvo type="autoMax"/>
              <x14:negativeFillColor rgb="FFFF0000"/>
              <x14:axisColor rgb="FF000000"/>
            </x14:dataBar>
          </x14:cfRule>
          <xm:sqref>I116</xm:sqref>
        </x14:conditionalFormatting>
        <x14:conditionalFormatting xmlns:xm="http://schemas.microsoft.com/office/excel/2006/main">
          <x14:cfRule type="dataBar" id="{CA3D9A96-0541-499A-AE33-BF4359FCB712}">
            <x14:dataBar minLength="0" maxLength="100" gradient="0">
              <x14:cfvo type="autoMin"/>
              <x14:cfvo type="autoMax"/>
              <x14:negativeFillColor rgb="FFFF0000"/>
              <x14:axisColor rgb="FF000000"/>
            </x14:dataBar>
          </x14:cfRule>
          <xm:sqref>I117 G117</xm:sqref>
        </x14:conditionalFormatting>
        <x14:conditionalFormatting xmlns:xm="http://schemas.microsoft.com/office/excel/2006/main">
          <x14:cfRule type="dataBar" id="{4C26CC11-5F3A-4DAB-BD03-D38B59A4DD7A}">
            <x14:dataBar minLength="0" maxLength="100" gradient="0">
              <x14:cfvo type="autoMin"/>
              <x14:cfvo type="autoMax"/>
              <x14:negativeFillColor rgb="FFFF0000"/>
              <x14:axisColor rgb="FF000000"/>
            </x14:dataBar>
          </x14:cfRule>
          <xm:sqref>I119 G119</xm:sqref>
        </x14:conditionalFormatting>
        <x14:conditionalFormatting xmlns:xm="http://schemas.microsoft.com/office/excel/2006/main">
          <x14:cfRule type="dataBar" id="{993336A5-5E0C-4344-8A93-D92CC1BA8AAF}">
            <x14:dataBar minLength="0" maxLength="100" gradient="0">
              <x14:cfvo type="autoMin"/>
              <x14:cfvo type="autoMax"/>
              <x14:negativeFillColor rgb="FFFF0000"/>
              <x14:axisColor rgb="FF000000"/>
            </x14:dataBar>
          </x14:cfRule>
          <xm:sqref>I120 G120</xm:sqref>
        </x14:conditionalFormatting>
        <x14:conditionalFormatting xmlns:xm="http://schemas.microsoft.com/office/excel/2006/main">
          <x14:cfRule type="dataBar" id="{F8B7D41C-F7C8-4B43-A68B-50CE3B4AAE7F}">
            <x14:dataBar minLength="0" maxLength="100" gradient="0">
              <x14:cfvo type="autoMin"/>
              <x14:cfvo type="autoMax"/>
              <x14:negativeFillColor rgb="FFFF0000"/>
              <x14:axisColor rgb="FF000000"/>
            </x14:dataBar>
          </x14:cfRule>
          <x14:cfRule type="dataBar" id="{7043D1FB-948F-4CA7-9274-06EE0FF041EC}">
            <x14:dataBar minLength="0" maxLength="100" gradient="0">
              <x14:cfvo type="autoMin"/>
              <x14:cfvo type="autoMax"/>
              <x14:negativeFillColor rgb="FFFF0000"/>
              <x14:axisColor rgb="FF000000"/>
            </x14:dataBar>
          </x14:cfRule>
          <xm:sqref>I125 G125</xm:sqref>
        </x14:conditionalFormatting>
        <x14:conditionalFormatting xmlns:xm="http://schemas.microsoft.com/office/excel/2006/main">
          <x14:cfRule type="dataBar" id="{1D544B4D-5777-4B2E-85BC-19468F5B411F}">
            <x14:dataBar minLength="0" maxLength="100" gradient="0">
              <x14:cfvo type="autoMin"/>
              <x14:cfvo type="autoMax"/>
              <x14:negativeFillColor rgb="FFFF0000"/>
              <x14:axisColor rgb="FF000000"/>
            </x14:dataBar>
          </x14:cfRule>
          <xm:sqref>I126 G126</xm:sqref>
        </x14:conditionalFormatting>
        <x14:conditionalFormatting xmlns:xm="http://schemas.microsoft.com/office/excel/2006/main">
          <x14:cfRule type="dataBar" id="{5A97F4FD-838C-4641-A90C-4ADC40A84D67}">
            <x14:dataBar minLength="0" maxLength="100" gradient="0">
              <x14:cfvo type="autoMin"/>
              <x14:cfvo type="autoMax"/>
              <x14:negativeFillColor rgb="FFFF0000"/>
              <x14:axisColor rgb="FF000000"/>
            </x14:dataBar>
          </x14:cfRule>
          <xm:sqref>I127 G127</xm:sqref>
        </x14:conditionalFormatting>
        <x14:conditionalFormatting xmlns:xm="http://schemas.microsoft.com/office/excel/2006/main">
          <x14:cfRule type="dataBar" id="{2C88BA02-E51B-4355-918E-7AD7F78CEF89}">
            <x14:dataBar minLength="0" maxLength="100" gradient="0">
              <x14:cfvo type="autoMin"/>
              <x14:cfvo type="autoMax"/>
              <x14:negativeFillColor rgb="FFFF0000"/>
              <x14:axisColor rgb="FF000000"/>
            </x14:dataBar>
          </x14:cfRule>
          <xm:sqref>J63 J67</xm:sqref>
        </x14:conditionalFormatting>
        <x14:conditionalFormatting xmlns:xm="http://schemas.microsoft.com/office/excel/2006/main">
          <x14:cfRule type="dataBar" id="{113F4798-2529-42BD-B42C-5B1DB1124A33}">
            <x14:dataBar minLength="0" maxLength="100" gradient="0">
              <x14:cfvo type="autoMin"/>
              <x14:cfvo type="autoMax"/>
              <x14:negativeFillColor rgb="FFFF0000"/>
              <x14:axisColor rgb="FF000000"/>
            </x14:dataBar>
          </x14:cfRule>
          <xm:sqref>J69 J65</xm:sqref>
        </x14:conditionalFormatting>
        <x14:conditionalFormatting xmlns:xm="http://schemas.microsoft.com/office/excel/2006/main">
          <x14:cfRule type="dataBar" id="{E6A81B98-F608-490A-8FC1-C60F5CC97723}">
            <x14:dataBar minLength="0" maxLength="100" gradient="0">
              <x14:cfvo type="autoMin"/>
              <x14:cfvo type="autoMax"/>
              <x14:negativeFillColor rgb="FFFF0000"/>
              <x14:axisColor rgb="FF000000"/>
            </x14:dataBar>
          </x14:cfRule>
          <xm:sqref>J80 J76</xm:sqref>
        </x14:conditionalFormatting>
        <x14:conditionalFormatting xmlns:xm="http://schemas.microsoft.com/office/excel/2006/main">
          <x14:cfRule type="dataBar" id="{A43BE717-2A2C-4EE5-9488-A0A127C93471}">
            <x14:dataBar minLength="0" maxLength="100" gradient="0">
              <x14:cfvo type="autoMin"/>
              <x14:cfvo type="autoMax"/>
              <x14:negativeFillColor rgb="FFFF0000"/>
              <x14:axisColor rgb="FF000000"/>
            </x14:dataBar>
          </x14:cfRule>
          <xm:sqref>J78 J82</xm:sqref>
        </x14:conditionalFormatting>
        <x14:conditionalFormatting xmlns:xm="http://schemas.microsoft.com/office/excel/2006/main">
          <x14:cfRule type="dataBar" id="{2843F069-9678-475D-956D-56450DA8C369}">
            <x14:dataBar minLength="0" maxLength="100" gradient="0">
              <x14:cfvo type="autoMin"/>
              <x14:cfvo type="autoMax"/>
              <x14:negativeFillColor rgb="FFFF0000"/>
              <x14:axisColor rgb="FF000000"/>
            </x14:dataBar>
          </x14:cfRule>
          <xm:sqref>K63 K67</xm:sqref>
        </x14:conditionalFormatting>
        <x14:conditionalFormatting xmlns:xm="http://schemas.microsoft.com/office/excel/2006/main">
          <x14:cfRule type="dataBar" id="{C8EE04AC-A26B-412E-AA17-36D67415E3B6}">
            <x14:dataBar minLength="0" maxLength="100" gradient="0">
              <x14:cfvo type="autoMin"/>
              <x14:cfvo type="autoMax"/>
              <x14:negativeFillColor rgb="FFFF0000"/>
              <x14:axisColor rgb="FF000000"/>
            </x14:dataBar>
          </x14:cfRule>
          <xm:sqref>K65 K69</xm:sqref>
        </x14:conditionalFormatting>
        <x14:conditionalFormatting xmlns:xm="http://schemas.microsoft.com/office/excel/2006/main">
          <x14:cfRule type="dataBar" id="{D088B339-A74F-438F-9D95-B56EF43BCD40}">
            <x14:dataBar minLength="0" maxLength="100" gradient="0">
              <x14:cfvo type="autoMin"/>
              <x14:cfvo type="autoMax"/>
              <x14:negativeFillColor rgb="FFFF0000"/>
              <x14:axisColor rgb="FF000000"/>
            </x14:dataBar>
          </x14:cfRule>
          <xm:sqref>K80 K76</xm:sqref>
        </x14:conditionalFormatting>
        <x14:conditionalFormatting xmlns:xm="http://schemas.microsoft.com/office/excel/2006/main">
          <x14:cfRule type="dataBar" id="{90530424-4A1C-489A-9742-347FFAAB37EA}">
            <x14:dataBar minLength="0" maxLength="100" gradient="0">
              <x14:cfvo type="autoMin"/>
              <x14:cfvo type="autoMax"/>
              <x14:negativeFillColor rgb="FFFF0000"/>
              <x14:axisColor rgb="FF000000"/>
            </x14:dataBar>
          </x14:cfRule>
          <xm:sqref>K78 K82</xm:sqref>
        </x14:conditionalFormatting>
        <x14:conditionalFormatting xmlns:xm="http://schemas.microsoft.com/office/excel/2006/main">
          <x14:cfRule type="dataBar" id="{73F8F551-08AA-423D-8A11-6833BE074488}">
            <x14:dataBar minLength="0" maxLength="100" gradient="0">
              <x14:cfvo type="autoMin"/>
              <x14:cfvo type="autoMax"/>
              <x14:negativeFillColor rgb="FFFF0000"/>
              <x14:axisColor rgb="FF000000"/>
            </x14:dataBar>
          </x14:cfRule>
          <xm:sqref>L63 L67</xm:sqref>
        </x14:conditionalFormatting>
        <x14:conditionalFormatting xmlns:xm="http://schemas.microsoft.com/office/excel/2006/main">
          <x14:cfRule type="dataBar" id="{71FE8755-238D-4769-8A35-3284A9BE4E1D}">
            <x14:dataBar minLength="0" maxLength="100" gradient="0">
              <x14:cfvo type="autoMin"/>
              <x14:cfvo type="autoMax"/>
              <x14:negativeFillColor rgb="FFFF0000"/>
              <x14:axisColor rgb="FF000000"/>
            </x14:dataBar>
          </x14:cfRule>
          <xm:sqref>L65 L69</xm:sqref>
        </x14:conditionalFormatting>
        <x14:conditionalFormatting xmlns:xm="http://schemas.microsoft.com/office/excel/2006/main">
          <x14:cfRule type="dataBar" id="{7BC12DF1-7C6C-4D78-8F84-1A4BC4A3E104}">
            <x14:dataBar minLength="0" maxLength="100" gradient="0">
              <x14:cfvo type="autoMin"/>
              <x14:cfvo type="autoMax"/>
              <x14:negativeFillColor rgb="FFFF0000"/>
              <x14:axisColor rgb="FF000000"/>
            </x14:dataBar>
          </x14:cfRule>
          <xm:sqref>L76 L80</xm:sqref>
        </x14:conditionalFormatting>
        <x14:conditionalFormatting xmlns:xm="http://schemas.microsoft.com/office/excel/2006/main">
          <x14:cfRule type="dataBar" id="{3518E73E-BC2D-47E8-B43A-6A0CDA2AD9E9}">
            <x14:dataBar minLength="0" maxLength="100" gradient="0">
              <x14:cfvo type="autoMin"/>
              <x14:cfvo type="autoMax"/>
              <x14:negativeFillColor rgb="FFFF0000"/>
              <x14:axisColor rgb="FF000000"/>
            </x14:dataBar>
          </x14:cfRule>
          <xm:sqref>L82 L78</xm:sqref>
        </x14:conditionalFormatting>
        <x14:conditionalFormatting xmlns:xm="http://schemas.microsoft.com/office/excel/2006/main">
          <x14:cfRule type="dataBar" id="{5D97AD38-00CB-4E79-9D7F-C60A000146C8}">
            <x14:dataBar minLength="0" maxLength="100" gradient="0">
              <x14:cfvo type="autoMin"/>
              <x14:cfvo type="autoMax"/>
              <x14:negativeFillColor rgb="FFFF0000"/>
              <x14:axisColor rgb="FF000000"/>
            </x14:dataBar>
          </x14:cfRule>
          <xm:sqref>M63 M67</xm:sqref>
        </x14:conditionalFormatting>
        <x14:conditionalFormatting xmlns:xm="http://schemas.microsoft.com/office/excel/2006/main">
          <x14:cfRule type="dataBar" id="{C81946BD-0C55-4994-9A8C-B58F99CCAE7C}">
            <x14:dataBar minLength="0" maxLength="100" gradient="0">
              <x14:cfvo type="autoMin"/>
              <x14:cfvo type="autoMax"/>
              <x14:negativeFillColor rgb="FFFF0000"/>
              <x14:axisColor rgb="FF000000"/>
            </x14:dataBar>
          </x14:cfRule>
          <xm:sqref>M65 M69</xm:sqref>
        </x14:conditionalFormatting>
        <x14:conditionalFormatting xmlns:xm="http://schemas.microsoft.com/office/excel/2006/main">
          <x14:cfRule type="dataBar" id="{1F266F24-223E-42FB-9D5F-E60D37C82AC5}">
            <x14:dataBar minLength="0" maxLength="100" gradient="0">
              <x14:cfvo type="autoMin"/>
              <x14:cfvo type="autoMax"/>
              <x14:negativeFillColor rgb="FFFF0000"/>
              <x14:axisColor rgb="FF000000"/>
            </x14:dataBar>
          </x14:cfRule>
          <xm:sqref>M82 M78</xm:sqref>
        </x14:conditionalFormatting>
        <x14:conditionalFormatting xmlns:xm="http://schemas.microsoft.com/office/excel/2006/main">
          <x14:cfRule type="dataBar" id="{7FA5B6C6-524D-4E0F-89AC-FAE9A742E8E1}">
            <x14:dataBar minLength="0" maxLength="100" gradient="0">
              <x14:cfvo type="autoMin"/>
              <x14:cfvo type="autoMax"/>
              <x14:negativeFillColor rgb="FFFF0000"/>
              <x14:axisColor rgb="FF000000"/>
            </x14:dataBar>
          </x14:cfRule>
          <xm:sqref>M76 M80</xm:sqref>
        </x14:conditionalFormatting>
        <x14:conditionalFormatting xmlns:xm="http://schemas.microsoft.com/office/excel/2006/main">
          <x14:cfRule type="dataBar" id="{F733396F-8FD4-4C9E-B1CA-1FA8E2BA167A}">
            <x14:dataBar minLength="0" maxLength="100" gradient="0">
              <x14:cfvo type="autoMin"/>
              <x14:cfvo type="autoMax"/>
              <x14:negativeFillColor rgb="FFFF0000"/>
              <x14:axisColor rgb="FF000000"/>
            </x14:dataBar>
          </x14:cfRule>
          <xm:sqref>N63 N67</xm:sqref>
        </x14:conditionalFormatting>
        <x14:conditionalFormatting xmlns:xm="http://schemas.microsoft.com/office/excel/2006/main">
          <x14:cfRule type="dataBar" id="{B84EE7AE-72FD-46D2-9BC8-2CC12C870976}">
            <x14:dataBar minLength="0" maxLength="100" gradient="0">
              <x14:cfvo type="autoMin"/>
              <x14:cfvo type="autoMax"/>
              <x14:negativeFillColor rgb="FFFF0000"/>
              <x14:axisColor rgb="FF000000"/>
            </x14:dataBar>
          </x14:cfRule>
          <xm:sqref>N65 N69</xm:sqref>
        </x14:conditionalFormatting>
        <x14:conditionalFormatting xmlns:xm="http://schemas.microsoft.com/office/excel/2006/main">
          <x14:cfRule type="dataBar" id="{40B150DF-662A-41BB-AE59-636C39861B2A}">
            <x14:dataBar minLength="0" maxLength="100" gradient="0">
              <x14:cfvo type="autoMin"/>
              <x14:cfvo type="autoMax"/>
              <x14:negativeFillColor rgb="FFFF0000"/>
              <x14:axisColor rgb="FF000000"/>
            </x14:dataBar>
          </x14:cfRule>
          <xm:sqref>N82 N78</xm:sqref>
        </x14:conditionalFormatting>
        <x14:conditionalFormatting xmlns:xm="http://schemas.microsoft.com/office/excel/2006/main">
          <x14:cfRule type="dataBar" id="{F201752B-47F7-40E4-82E0-643FEF83F182}">
            <x14:dataBar minLength="0" maxLength="100" gradient="0">
              <x14:cfvo type="autoMin"/>
              <x14:cfvo type="autoMax"/>
              <x14:negativeFillColor rgb="FFFF0000"/>
              <x14:axisColor rgb="FF000000"/>
            </x14:dataBar>
          </x14:cfRule>
          <xm:sqref>N76 N80</xm:sqref>
        </x14:conditionalFormatting>
        <x14:conditionalFormatting xmlns:xm="http://schemas.microsoft.com/office/excel/2006/main">
          <x14:cfRule type="dataBar" id="{A27BB060-415B-4A43-BFAF-24E732C4C73A}">
            <x14:dataBar minLength="0" maxLength="100" gradient="0">
              <x14:cfvo type="autoMin"/>
              <x14:cfvo type="autoMax"/>
              <x14:negativeFillColor rgb="FFFF0000"/>
              <x14:axisColor rgb="FF000000"/>
            </x14:dataBar>
          </x14:cfRule>
          <xm:sqref>O63 O67</xm:sqref>
        </x14:conditionalFormatting>
        <x14:conditionalFormatting xmlns:xm="http://schemas.microsoft.com/office/excel/2006/main">
          <x14:cfRule type="dataBar" id="{FC5F49C4-7737-444F-8896-F14A70E739BE}">
            <x14:dataBar minLength="0" maxLength="100" gradient="0">
              <x14:cfvo type="autoMin"/>
              <x14:cfvo type="autoMax"/>
              <x14:negativeFillColor rgb="FFFF0000"/>
              <x14:axisColor rgb="FF000000"/>
            </x14:dataBar>
          </x14:cfRule>
          <xm:sqref>O65 O69</xm:sqref>
        </x14:conditionalFormatting>
        <x14:conditionalFormatting xmlns:xm="http://schemas.microsoft.com/office/excel/2006/main">
          <x14:cfRule type="dataBar" id="{6A304AC2-F3A9-4AEC-BC20-64119527FD43}">
            <x14:dataBar minLength="0" maxLength="100" gradient="0">
              <x14:cfvo type="autoMin"/>
              <x14:cfvo type="autoMax"/>
              <x14:negativeFillColor rgb="FFFF0000"/>
              <x14:axisColor rgb="FF000000"/>
            </x14:dataBar>
          </x14:cfRule>
          <xm:sqref>O82 O78</xm:sqref>
        </x14:conditionalFormatting>
        <x14:conditionalFormatting xmlns:xm="http://schemas.microsoft.com/office/excel/2006/main">
          <x14:cfRule type="dataBar" id="{940FC70E-3D92-4114-84ED-5EF598CCF9F4}">
            <x14:dataBar minLength="0" maxLength="100" gradient="0">
              <x14:cfvo type="autoMin"/>
              <x14:cfvo type="autoMax"/>
              <x14:negativeFillColor rgb="FFFF0000"/>
              <x14:axisColor rgb="FF000000"/>
            </x14:dataBar>
          </x14:cfRule>
          <xm:sqref>O80 O76</xm:sqref>
        </x14:conditionalFormatting>
        <x14:conditionalFormatting xmlns:xm="http://schemas.microsoft.com/office/excel/2006/main">
          <x14:cfRule type="dataBar" id="{46F400A8-7AFB-445D-A2EA-1BCD1ECA5818}">
            <x14:dataBar minLength="0" maxLength="100" gradient="0">
              <x14:cfvo type="autoMin"/>
              <x14:cfvo type="autoMax"/>
              <x14:negativeFillColor rgb="FFFF0000"/>
              <x14:axisColor rgb="FF000000"/>
            </x14:dataBar>
          </x14:cfRule>
          <xm:sqref>P67 P63</xm:sqref>
        </x14:conditionalFormatting>
        <x14:conditionalFormatting xmlns:xm="http://schemas.microsoft.com/office/excel/2006/main">
          <x14:cfRule type="dataBar" id="{1D937025-9F29-4ECC-9946-0887392C539F}">
            <x14:dataBar minLength="0" maxLength="100" gradient="0">
              <x14:cfvo type="autoMin"/>
              <x14:cfvo type="autoMax"/>
              <x14:negativeFillColor rgb="FFFF0000"/>
              <x14:axisColor rgb="FF000000"/>
            </x14:dataBar>
          </x14:cfRule>
          <xm:sqref>P69 P65</xm:sqref>
        </x14:conditionalFormatting>
        <x14:conditionalFormatting xmlns:xm="http://schemas.microsoft.com/office/excel/2006/main">
          <x14:cfRule type="dataBar" id="{CD67D8F9-C0A6-4595-9705-2596A04F77C9}">
            <x14:dataBar minLength="0" maxLength="100" gradient="0">
              <x14:cfvo type="autoMin"/>
              <x14:cfvo type="autoMax"/>
              <x14:negativeFillColor rgb="FFFF0000"/>
              <x14:axisColor rgb="FF000000"/>
            </x14:dataBar>
          </x14:cfRule>
          <xm:sqref>P76 P80</xm:sqref>
        </x14:conditionalFormatting>
        <x14:conditionalFormatting xmlns:xm="http://schemas.microsoft.com/office/excel/2006/main">
          <x14:cfRule type="dataBar" id="{3B254045-9EBD-4785-A671-BD314ABCC59C}">
            <x14:dataBar minLength="0" maxLength="100" gradient="0">
              <x14:cfvo type="autoMin"/>
              <x14:cfvo type="autoMax"/>
              <x14:negativeFillColor rgb="FFFF0000"/>
              <x14:axisColor rgb="FF000000"/>
            </x14:dataBar>
          </x14:cfRule>
          <xm:sqref>P82 P78</xm:sqref>
        </x14:conditionalFormatting>
        <x14:conditionalFormatting xmlns:xm="http://schemas.microsoft.com/office/excel/2006/main">
          <x14:cfRule type="dataBar" id="{A294A6FB-6BA0-423B-8179-7B667E628858}">
            <x14:dataBar minLength="0" maxLength="100" gradient="0">
              <x14:cfvo type="autoMin"/>
              <x14:cfvo type="autoMax"/>
              <x14:negativeFillColor rgb="FFFF0000"/>
              <x14:axisColor rgb="FF000000"/>
            </x14:dataBar>
          </x14:cfRule>
          <xm:sqref>Q67 Q63</xm:sqref>
        </x14:conditionalFormatting>
        <x14:conditionalFormatting xmlns:xm="http://schemas.microsoft.com/office/excel/2006/main">
          <x14:cfRule type="dataBar" id="{57B29D5B-04F9-464D-8041-AD3DDABE3E0D}">
            <x14:dataBar minLength="0" maxLength="100" gradient="0">
              <x14:cfvo type="autoMin"/>
              <x14:cfvo type="autoMax"/>
              <x14:negativeFillColor rgb="FFFF0000"/>
              <x14:axisColor rgb="FF000000"/>
            </x14:dataBar>
          </x14:cfRule>
          <x14:cfRule type="dataBar" id="{124C9518-2CC1-4809-853F-667355C0129F}">
            <x14:dataBar minLength="0" maxLength="100" gradient="0">
              <x14:cfvo type="autoMin"/>
              <x14:cfvo type="autoMax"/>
              <x14:negativeFillColor rgb="FFFF0000"/>
              <x14:axisColor rgb="FF000000"/>
            </x14:dataBar>
          </x14:cfRule>
          <xm:sqref>Q65 Q69</xm:sqref>
        </x14:conditionalFormatting>
        <x14:conditionalFormatting xmlns:xm="http://schemas.microsoft.com/office/excel/2006/main">
          <x14:cfRule type="dataBar" id="{D28CE8E8-CC3E-459E-8D75-730CFBB6AC10}">
            <x14:dataBar minLength="0" maxLength="100" gradient="0">
              <x14:cfvo type="autoMin"/>
              <x14:cfvo type="autoMax"/>
              <x14:negativeFillColor rgb="FFFF0000"/>
              <x14:axisColor rgb="FF000000"/>
            </x14:dataBar>
          </x14:cfRule>
          <xm:sqref>Q76 Q80</xm:sqref>
        </x14:conditionalFormatting>
        <x14:conditionalFormatting xmlns:xm="http://schemas.microsoft.com/office/excel/2006/main">
          <x14:cfRule type="dataBar" id="{5BBD836E-388D-4E97-A140-A9B10C8C3641}">
            <x14:dataBar minLength="0" maxLength="100" gradient="0">
              <x14:cfvo type="autoMin"/>
              <x14:cfvo type="autoMax"/>
              <x14:negativeFillColor rgb="FFFF0000"/>
              <x14:axisColor rgb="FF000000"/>
            </x14:dataBar>
          </x14:cfRule>
          <x14:cfRule type="dataBar" id="{D6B26838-80E3-4FA3-BF6B-CF9962A024DC}">
            <x14:dataBar minLength="0" maxLength="100" gradient="0">
              <x14:cfvo type="autoMin"/>
              <x14:cfvo type="autoMax"/>
              <x14:negativeFillColor rgb="FFFF0000"/>
              <x14:axisColor rgb="FF000000"/>
            </x14:dataBar>
          </x14:cfRule>
          <xm:sqref>Q82 Q78</xm:sqref>
        </x14:conditionalFormatting>
        <x14:conditionalFormatting xmlns:xm="http://schemas.microsoft.com/office/excel/2006/main">
          <x14:cfRule type="dataBar" id="{CEB63F9E-2C85-4607-B792-0CD479F1649A}">
            <x14:dataBar minLength="0" maxLength="100" gradient="0">
              <x14:cfvo type="autoMin"/>
              <x14:cfvo type="autoMax"/>
              <x14:negativeFillColor rgb="FFFF0000"/>
              <x14:axisColor rgb="FF000000"/>
            </x14:dataBar>
          </x14:cfRule>
          <xm:sqref>R67 R63</xm:sqref>
        </x14:conditionalFormatting>
        <x14:conditionalFormatting xmlns:xm="http://schemas.microsoft.com/office/excel/2006/main">
          <x14:cfRule type="dataBar" id="{C875F573-BE0F-4042-9D2E-E20D53EDF9E0}">
            <x14:dataBar minLength="0" maxLength="100" gradient="0">
              <x14:cfvo type="autoMin"/>
              <x14:cfvo type="autoMax"/>
              <x14:negativeFillColor rgb="FFFF0000"/>
              <x14:axisColor rgb="FF000000"/>
            </x14:dataBar>
          </x14:cfRule>
          <xm:sqref>R69 R65</xm:sqref>
        </x14:conditionalFormatting>
        <x14:conditionalFormatting xmlns:xm="http://schemas.microsoft.com/office/excel/2006/main">
          <x14:cfRule type="dataBar" id="{5E3DD89D-E53C-45B3-B24E-849222E83066}">
            <x14:dataBar minLength="0" maxLength="100" gradient="0">
              <x14:cfvo type="autoMin"/>
              <x14:cfvo type="autoMax"/>
              <x14:negativeFillColor rgb="FFFF0000"/>
              <x14:axisColor rgb="FF000000"/>
            </x14:dataBar>
          </x14:cfRule>
          <xm:sqref>R82 R78</xm:sqref>
        </x14:conditionalFormatting>
        <x14:conditionalFormatting xmlns:xm="http://schemas.microsoft.com/office/excel/2006/main">
          <x14:cfRule type="dataBar" id="{B34448F4-7F2E-4209-B4F6-78F59F0258DB}">
            <x14:dataBar minLength="0" maxLength="100" gradient="0">
              <x14:cfvo type="autoMin"/>
              <x14:cfvo type="autoMax"/>
              <x14:negativeFillColor rgb="FFFF0000"/>
              <x14:axisColor rgb="FF000000"/>
            </x14:dataBar>
          </x14:cfRule>
          <xm:sqref>R76 R80</xm:sqref>
        </x14:conditionalFormatting>
        <x14:conditionalFormatting xmlns:xm="http://schemas.microsoft.com/office/excel/2006/main">
          <x14:cfRule type="dataBar" id="{485A737E-6780-4799-8911-507BD07FF5C3}">
            <x14:dataBar minLength="0" maxLength="100" gradient="0">
              <x14:cfvo type="autoMin"/>
              <x14:cfvo type="autoMax"/>
              <x14:negativeFillColor rgb="FFFF0000"/>
              <x14:axisColor rgb="FF000000"/>
            </x14:dataBar>
          </x14:cfRule>
          <xm:sqref>S67 S63</xm:sqref>
        </x14:conditionalFormatting>
        <x14:conditionalFormatting xmlns:xm="http://schemas.microsoft.com/office/excel/2006/main">
          <x14:cfRule type="dataBar" id="{B71573C9-9B47-4D2F-BCD9-0F036D6702BE}">
            <x14:dataBar minLength="0" maxLength="100" gradient="0">
              <x14:cfvo type="autoMin"/>
              <x14:cfvo type="autoMax"/>
              <x14:negativeFillColor rgb="FFFF0000"/>
              <x14:axisColor rgb="FF000000"/>
            </x14:dataBar>
          </x14:cfRule>
          <xm:sqref>S69 S65</xm:sqref>
        </x14:conditionalFormatting>
        <x14:conditionalFormatting xmlns:xm="http://schemas.microsoft.com/office/excel/2006/main">
          <x14:cfRule type="dataBar" id="{406FC399-7F7D-4851-8945-E9CDB79BEFCA}">
            <x14:dataBar minLength="0" maxLength="100" gradient="0">
              <x14:cfvo type="autoMin"/>
              <x14:cfvo type="autoMax"/>
              <x14:negativeFillColor rgb="FFFF0000"/>
              <x14:axisColor rgb="FF000000"/>
            </x14:dataBar>
          </x14:cfRule>
          <xm:sqref>S82 S78</xm:sqref>
        </x14:conditionalFormatting>
        <x14:conditionalFormatting xmlns:xm="http://schemas.microsoft.com/office/excel/2006/main">
          <x14:cfRule type="dataBar" id="{221026E1-EB18-43BB-830D-036D2F562EF0}">
            <x14:dataBar minLength="0" maxLength="100" gradient="0">
              <x14:cfvo type="autoMin"/>
              <x14:cfvo type="autoMax"/>
              <x14:negativeFillColor rgb="FFFF0000"/>
              <x14:axisColor rgb="FF000000"/>
            </x14:dataBar>
          </x14:cfRule>
          <xm:sqref>S80 S76</xm:sqref>
        </x14:conditionalFormatting>
        <x14:conditionalFormatting xmlns:xm="http://schemas.microsoft.com/office/excel/2006/main">
          <x14:cfRule type="dataBar" id="{00649BBD-4ED3-4AA7-8C19-9BD1CB6E3584}">
            <x14:dataBar minLength="0" maxLength="100" gradient="0">
              <x14:cfvo type="autoMin"/>
              <x14:cfvo type="autoMax"/>
              <x14:negativeFillColor rgb="FFFF0000"/>
              <x14:axisColor rgb="FF000000"/>
            </x14:dataBar>
          </x14:cfRule>
          <xm:sqref>T67 T63</xm:sqref>
        </x14:conditionalFormatting>
        <x14:conditionalFormatting xmlns:xm="http://schemas.microsoft.com/office/excel/2006/main">
          <x14:cfRule type="dataBar" id="{B4B5BA23-E082-4597-96E1-1476D9A21AFD}">
            <x14:dataBar minLength="0" maxLength="100" gradient="0">
              <x14:cfvo type="autoMin"/>
              <x14:cfvo type="autoMax"/>
              <x14:negativeFillColor rgb="FFFF0000"/>
              <x14:axisColor rgb="FF000000"/>
            </x14:dataBar>
          </x14:cfRule>
          <xm:sqref>T69 T65</xm:sqref>
        </x14:conditionalFormatting>
        <x14:conditionalFormatting xmlns:xm="http://schemas.microsoft.com/office/excel/2006/main">
          <x14:cfRule type="dataBar" id="{1557C736-05FA-4226-AE83-7961CE960DCE}">
            <x14:dataBar minLength="0" maxLength="100" gradient="0">
              <x14:cfvo type="autoMin"/>
              <x14:cfvo type="autoMax"/>
              <x14:negativeFillColor rgb="FFFF0000"/>
              <x14:axisColor rgb="FF000000"/>
            </x14:dataBar>
          </x14:cfRule>
          <xm:sqref>T82 T78</xm:sqref>
        </x14:conditionalFormatting>
        <x14:conditionalFormatting xmlns:xm="http://schemas.microsoft.com/office/excel/2006/main">
          <x14:cfRule type="dataBar" id="{97B30A2F-67CC-47B6-90C1-854BF7724A34}">
            <x14:dataBar minLength="0" maxLength="100" gradient="0">
              <x14:cfvo type="autoMin"/>
              <x14:cfvo type="autoMax"/>
              <x14:negativeFillColor rgb="FFFF0000"/>
              <x14:axisColor rgb="FF000000"/>
            </x14:dataBar>
          </x14:cfRule>
          <xm:sqref>T76 T80</xm:sqref>
        </x14:conditionalFormatting>
        <x14:conditionalFormatting xmlns:xm="http://schemas.microsoft.com/office/excel/2006/main">
          <x14:cfRule type="dataBar" id="{FC20B891-1808-4FAB-9E82-74E7EAF09C79}">
            <x14:dataBar minLength="0" maxLength="100" gradient="0">
              <x14:cfvo type="autoMin"/>
              <x14:cfvo type="autoMax"/>
              <x14:negativeFillColor rgb="FFFF0000"/>
              <x14:axisColor rgb="FF000000"/>
            </x14:dataBar>
          </x14:cfRule>
          <xm:sqref>U67 U63</xm:sqref>
        </x14:conditionalFormatting>
        <x14:conditionalFormatting xmlns:xm="http://schemas.microsoft.com/office/excel/2006/main">
          <x14:cfRule type="dataBar" id="{BB85A188-B18F-4A4E-A28A-F2571A6414D1}">
            <x14:dataBar minLength="0" maxLength="100" gradient="0">
              <x14:cfvo type="autoMin"/>
              <x14:cfvo type="autoMax"/>
              <x14:negativeFillColor rgb="FFFF0000"/>
              <x14:axisColor rgb="FF000000"/>
            </x14:dataBar>
          </x14:cfRule>
          <xm:sqref>U69 U65</xm:sqref>
        </x14:conditionalFormatting>
        <x14:conditionalFormatting xmlns:xm="http://schemas.microsoft.com/office/excel/2006/main">
          <x14:cfRule type="dataBar" id="{A6508052-C65E-4CFF-B315-C3D408967D56}">
            <x14:dataBar minLength="0" maxLength="100" gradient="0">
              <x14:cfvo type="autoMin"/>
              <x14:cfvo type="autoMax"/>
              <x14:negativeFillColor rgb="FFFF0000"/>
              <x14:axisColor rgb="FF000000"/>
            </x14:dataBar>
          </x14:cfRule>
          <xm:sqref>U76 U80</xm:sqref>
        </x14:conditionalFormatting>
        <x14:conditionalFormatting xmlns:xm="http://schemas.microsoft.com/office/excel/2006/main">
          <x14:cfRule type="dataBar" id="{8BC72839-A260-46B2-84E3-1E021E00C2DB}">
            <x14:dataBar minLength="0" maxLength="100" gradient="0">
              <x14:cfvo type="autoMin"/>
              <x14:cfvo type="autoMax"/>
              <x14:negativeFillColor rgb="FFFF0000"/>
              <x14:axisColor rgb="FF000000"/>
            </x14:dataBar>
          </x14:cfRule>
          <xm:sqref>U82 U78</xm:sqref>
        </x14:conditionalFormatting>
        <x14:conditionalFormatting xmlns:xm="http://schemas.microsoft.com/office/excel/2006/main">
          <x14:cfRule type="dataBar" id="{10C00144-C1EB-422A-A000-5826414C183B}">
            <x14:dataBar minLength="0" maxLength="100" gradient="0">
              <x14:cfvo type="autoMin"/>
              <x14:cfvo type="autoMax"/>
              <x14:negativeFillColor rgb="FFFF0000"/>
              <x14:axisColor rgb="FF000000"/>
            </x14:dataBar>
          </x14:cfRule>
          <xm:sqref>V67 V63</xm:sqref>
        </x14:conditionalFormatting>
        <x14:conditionalFormatting xmlns:xm="http://schemas.microsoft.com/office/excel/2006/main">
          <x14:cfRule type="dataBar" id="{BF2EA05F-F532-454C-8EB1-E1568845271B}">
            <x14:dataBar minLength="0" maxLength="100" gradient="0">
              <x14:cfvo type="autoMin"/>
              <x14:cfvo type="autoMax"/>
              <x14:negativeFillColor rgb="FFFF0000"/>
              <x14:axisColor rgb="FF000000"/>
            </x14:dataBar>
          </x14:cfRule>
          <xm:sqref>V69 V65</xm:sqref>
        </x14:conditionalFormatting>
        <x14:conditionalFormatting xmlns:xm="http://schemas.microsoft.com/office/excel/2006/main">
          <x14:cfRule type="dataBar" id="{F1845B2D-B208-497F-8432-CD7AE9E81BCE}">
            <x14:dataBar minLength="0" maxLength="100" gradient="0">
              <x14:cfvo type="autoMin"/>
              <x14:cfvo type="autoMax"/>
              <x14:negativeFillColor rgb="FFFF0000"/>
              <x14:axisColor rgb="FF000000"/>
            </x14:dataBar>
          </x14:cfRule>
          <xm:sqref>V80 V76</xm:sqref>
        </x14:conditionalFormatting>
        <x14:conditionalFormatting xmlns:xm="http://schemas.microsoft.com/office/excel/2006/main">
          <x14:cfRule type="dataBar" id="{A94B2000-8783-4BF5-AAD0-E7694EECD29D}">
            <x14:dataBar minLength="0" maxLength="100" gradient="0">
              <x14:cfvo type="autoMin"/>
              <x14:cfvo type="autoMax"/>
              <x14:negativeFillColor rgb="FFFF0000"/>
              <x14:axisColor rgb="FF000000"/>
            </x14:dataBar>
          </x14:cfRule>
          <xm:sqref>V82 V78</xm:sqref>
        </x14:conditionalFormatting>
        <x14:conditionalFormatting xmlns:xm="http://schemas.microsoft.com/office/excel/2006/main">
          <x14:cfRule type="dataBar" id="{128AC1F8-7EAC-4C36-999E-D9F5472DFF08}">
            <x14:dataBar minLength="0" maxLength="100" gradient="0">
              <x14:cfvo type="autoMin"/>
              <x14:cfvo type="autoMax"/>
              <x14:negativeFillColor rgb="FFFF0000"/>
              <x14:axisColor rgb="FF000000"/>
            </x14:dataBar>
          </x14:cfRule>
          <xm:sqref>W36 W48</xm:sqref>
        </x14:conditionalFormatting>
        <x14:conditionalFormatting xmlns:xm="http://schemas.microsoft.com/office/excel/2006/main">
          <x14:cfRule type="dataBar" id="{A62CBCEB-2F61-4648-A3ED-F34626643838}">
            <x14:dataBar minLength="0" maxLength="100" border="1" negativeBarBorderColorSameAsPositive="0">
              <x14:cfvo type="autoMin"/>
              <x14:cfvo type="autoMax"/>
              <x14:borderColor rgb="FF63C384"/>
              <x14:negativeFillColor rgb="FFFF0000"/>
              <x14:negativeBorderColor rgb="FFFF0000"/>
              <x14:axisColor rgb="FF000000"/>
            </x14:dataBar>
          </x14:cfRule>
          <xm:sqref>W38 W40</xm:sqref>
        </x14:conditionalFormatting>
        <x14:conditionalFormatting xmlns:xm="http://schemas.microsoft.com/office/excel/2006/main">
          <x14:cfRule type="dataBar" id="{9ECF4E15-3C3E-43DD-B01F-7D00E1CF41E1}">
            <x14:dataBar minLength="0" maxLength="100" gradient="0">
              <x14:cfvo type="autoMin"/>
              <x14:cfvo type="autoMax"/>
              <x14:negativeFillColor rgb="FFFF0000"/>
              <x14:axisColor rgb="FF000000"/>
            </x14:dataBar>
          </x14:cfRule>
          <xm:sqref>W42 W54</xm:sqref>
        </x14:conditionalFormatting>
        <x14:conditionalFormatting xmlns:xm="http://schemas.microsoft.com/office/excel/2006/main">
          <x14:cfRule type="dataBar" id="{21636D3D-035B-43F0-830D-AC78C75B89F2}">
            <x14:dataBar minLength="0" maxLength="100" border="1" negativeBarBorderColorSameAsPositive="0">
              <x14:cfvo type="autoMin"/>
              <x14:cfvo type="autoMax"/>
              <x14:borderColor rgb="FF638EC6"/>
              <x14:negativeFillColor rgb="FFFF0000"/>
              <x14:negativeBorderColor rgb="FFFF0000"/>
              <x14:axisColor rgb="FF000000"/>
            </x14:dataBar>
          </x14:cfRule>
          <xm:sqref>W46 W44</xm:sqref>
        </x14:conditionalFormatting>
        <x14:conditionalFormatting xmlns:xm="http://schemas.microsoft.com/office/excel/2006/main">
          <x14:cfRule type="dataBar" id="{11B10A07-EC01-4987-BF07-D52E485C8B34}">
            <x14:dataBar minLength="0" maxLength="100" border="1" negativeBarBorderColorSameAsPositive="0">
              <x14:cfvo type="autoMin"/>
              <x14:cfvo type="autoMax"/>
              <x14:borderColor rgb="FF63C384"/>
              <x14:negativeFillColor rgb="FFFF0000"/>
              <x14:negativeBorderColor rgb="FFFF0000"/>
              <x14:axisColor rgb="FF000000"/>
            </x14:dataBar>
          </x14:cfRule>
          <xm:sqref>W50 W52</xm:sqref>
        </x14:conditionalFormatting>
        <x14:conditionalFormatting xmlns:xm="http://schemas.microsoft.com/office/excel/2006/main">
          <x14:cfRule type="dataBar" id="{A9F3BD27-E4F7-484F-81D1-4525FD85CE7A}">
            <x14:dataBar minLength="0" maxLength="100" border="1" negativeBarBorderColorSameAsPositive="0">
              <x14:cfvo type="autoMin"/>
              <x14:cfvo type="autoMax"/>
              <x14:borderColor rgb="FF638EC6"/>
              <x14:negativeFillColor rgb="FFFF0000"/>
              <x14:negativeBorderColor rgb="FFFF0000"/>
              <x14:axisColor rgb="FF000000"/>
            </x14:dataBar>
          </x14:cfRule>
          <xm:sqref>W56 W58</xm:sqref>
        </x14:conditionalFormatting>
        <x14:conditionalFormatting xmlns:xm="http://schemas.microsoft.com/office/excel/2006/main">
          <x14:cfRule type="dataBar" id="{9401B746-9C79-4F19-AFB0-C05D03B82718}">
            <x14:dataBar minLength="0" maxLength="100" gradient="0">
              <x14:cfvo type="autoMin"/>
              <x14:cfvo type="autoMax"/>
              <x14:negativeFillColor rgb="FFFF0000"/>
              <x14:axisColor rgb="FF000000"/>
            </x14:dataBar>
          </x14:cfRule>
          <xm:sqref>W67 W63</xm:sqref>
        </x14:conditionalFormatting>
        <x14:conditionalFormatting xmlns:xm="http://schemas.microsoft.com/office/excel/2006/main">
          <x14:cfRule type="dataBar" id="{107B8BB4-0B0F-4843-B896-37341E5307E3}">
            <x14:dataBar minLength="0" maxLength="100" gradient="0">
              <x14:cfvo type="autoMin"/>
              <x14:cfvo type="autoMax"/>
              <x14:negativeFillColor rgb="FFFF0000"/>
              <x14:axisColor rgb="FF000000"/>
            </x14:dataBar>
          </x14:cfRule>
          <xm:sqref>W69 W65</xm:sqref>
        </x14:conditionalFormatting>
        <x14:conditionalFormatting xmlns:xm="http://schemas.microsoft.com/office/excel/2006/main">
          <x14:cfRule type="dataBar" id="{C8B81D71-E8D3-42C8-B53B-EEC19B727511}">
            <x14:dataBar minLength="0" maxLength="100" gradient="0">
              <x14:cfvo type="autoMin"/>
              <x14:cfvo type="autoMax"/>
              <x14:negativeFillColor rgb="FFFF0000"/>
              <x14:axisColor rgb="FF000000"/>
            </x14:dataBar>
          </x14:cfRule>
          <xm:sqref>W72</xm:sqref>
        </x14:conditionalFormatting>
        <x14:conditionalFormatting xmlns:xm="http://schemas.microsoft.com/office/excel/2006/main">
          <x14:cfRule type="dataBar" id="{FC469814-E0CF-412C-8A0E-B8076B8AE3DB}">
            <x14:dataBar minLength="0" maxLength="100" gradient="0">
              <x14:cfvo type="autoMin"/>
              <x14:cfvo type="autoMax"/>
              <x14:negativeFillColor rgb="FFFF0000"/>
              <x14:axisColor rgb="FF000000"/>
            </x14:dataBar>
          </x14:cfRule>
          <xm:sqref>W76 W80</xm:sqref>
        </x14:conditionalFormatting>
        <x14:conditionalFormatting xmlns:xm="http://schemas.microsoft.com/office/excel/2006/main">
          <x14:cfRule type="dataBar" id="{5B8FC8DE-CE17-48D7-A3D0-F56563968456}">
            <x14:dataBar minLength="0" maxLength="100" gradient="0">
              <x14:cfvo type="autoMin"/>
              <x14:cfvo type="autoMax"/>
              <x14:negativeFillColor rgb="FFFF0000"/>
              <x14:axisColor rgb="FF000000"/>
            </x14:dataBar>
          </x14:cfRule>
          <xm:sqref>W82 W78</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CAB7-2E68-41CB-899A-E4845F257D30}">
  <dimension ref="A1:KW131"/>
  <sheetViews>
    <sheetView workbookViewId="0">
      <pane ySplit="1" topLeftCell="A47" activePane="bottomLeft" state="frozen"/>
      <selection activeCell="C1" sqref="C1"/>
      <selection pane="bottomLeft" activeCell="C55" sqref="C55"/>
    </sheetView>
  </sheetViews>
  <sheetFormatPr defaultRowHeight="13.8" x14ac:dyDescent="0.25"/>
  <sheetData>
    <row r="1" spans="1:21" x14ac:dyDescent="0.25">
      <c r="A1" s="54" t="s">
        <v>446</v>
      </c>
      <c r="B1" t="s">
        <v>260</v>
      </c>
      <c r="C1" t="s">
        <v>262</v>
      </c>
      <c r="D1" t="s">
        <v>264</v>
      </c>
      <c r="E1" t="s">
        <v>267</v>
      </c>
      <c r="F1" s="30" t="s">
        <v>270</v>
      </c>
      <c r="G1" s="31" t="s">
        <v>276</v>
      </c>
      <c r="H1" s="30" t="s">
        <v>277</v>
      </c>
      <c r="I1" t="s">
        <v>279</v>
      </c>
      <c r="J1" t="s">
        <v>281</v>
      </c>
      <c r="K1" t="s">
        <v>288</v>
      </c>
      <c r="L1" t="s">
        <v>290</v>
      </c>
      <c r="M1" t="s">
        <v>293</v>
      </c>
      <c r="N1" t="s">
        <v>296</v>
      </c>
      <c r="O1" t="s">
        <v>297</v>
      </c>
      <c r="P1" t="s">
        <v>305</v>
      </c>
      <c r="Q1" s="29" t="s">
        <v>311</v>
      </c>
      <c r="R1" t="s">
        <v>314</v>
      </c>
      <c r="S1" t="s">
        <v>315</v>
      </c>
      <c r="T1" t="s">
        <v>323</v>
      </c>
      <c r="U1" t="s">
        <v>325</v>
      </c>
    </row>
    <row r="2" spans="1:21" x14ac:dyDescent="0.25">
      <c r="B2" s="41" t="s">
        <v>260</v>
      </c>
      <c r="C2" s="30" t="s">
        <v>262</v>
      </c>
      <c r="D2" t="s">
        <v>264</v>
      </c>
      <c r="E2" t="s">
        <v>267</v>
      </c>
      <c r="F2" s="30" t="s">
        <v>270</v>
      </c>
      <c r="G2" s="31" t="s">
        <v>276</v>
      </c>
      <c r="H2" s="30" t="s">
        <v>277</v>
      </c>
      <c r="I2" t="s">
        <v>279</v>
      </c>
      <c r="J2" t="s">
        <v>281</v>
      </c>
      <c r="K2" t="s">
        <v>288</v>
      </c>
      <c r="L2" t="s">
        <v>290</v>
      </c>
      <c r="M2" s="29" t="s">
        <v>293</v>
      </c>
      <c r="N2" t="s">
        <v>296</v>
      </c>
      <c r="O2" t="s">
        <v>297</v>
      </c>
      <c r="P2" t="s">
        <v>305</v>
      </c>
      <c r="Q2" s="29" t="s">
        <v>311</v>
      </c>
      <c r="R2" t="s">
        <v>314</v>
      </c>
      <c r="S2" t="s">
        <v>315</v>
      </c>
      <c r="T2" t="s">
        <v>323</v>
      </c>
      <c r="U2" t="s">
        <v>325</v>
      </c>
    </row>
    <row r="3" spans="1:21" x14ac:dyDescent="0.25">
      <c r="A3" s="51" t="s">
        <v>228</v>
      </c>
      <c r="B3">
        <v>11.52</v>
      </c>
      <c r="C3">
        <v>27.04</v>
      </c>
      <c r="D3">
        <v>120.01</v>
      </c>
      <c r="E3">
        <v>6.33</v>
      </c>
      <c r="F3">
        <v>18.559999999999999</v>
      </c>
      <c r="G3">
        <v>3.71</v>
      </c>
      <c r="H3">
        <v>29.220000000000002</v>
      </c>
      <c r="I3">
        <v>1412.74</v>
      </c>
      <c r="J3">
        <v>165.63</v>
      </c>
      <c r="K3">
        <v>233.55</v>
      </c>
      <c r="L3">
        <v>40.81</v>
      </c>
      <c r="M3">
        <v>37.4</v>
      </c>
      <c r="N3">
        <v>35.880000000000003</v>
      </c>
      <c r="O3">
        <v>75.239999999999995</v>
      </c>
      <c r="P3">
        <v>0</v>
      </c>
      <c r="Q3">
        <v>7.4399999999999995</v>
      </c>
      <c r="R3">
        <v>9.26</v>
      </c>
      <c r="S3">
        <v>0</v>
      </c>
      <c r="T3">
        <v>20.76</v>
      </c>
      <c r="U3">
        <v>6.25</v>
      </c>
    </row>
    <row r="4" spans="1:21" x14ac:dyDescent="0.25">
      <c r="A4" s="51" t="s">
        <v>243</v>
      </c>
      <c r="B4">
        <v>2.19</v>
      </c>
      <c r="C4">
        <v>10.81</v>
      </c>
      <c r="D4">
        <v>1580.89</v>
      </c>
      <c r="E4">
        <v>7.71</v>
      </c>
      <c r="F4">
        <v>6.84</v>
      </c>
      <c r="G4">
        <v>2.33</v>
      </c>
      <c r="H4">
        <v>1.95</v>
      </c>
      <c r="I4">
        <v>571.33000000000004</v>
      </c>
      <c r="J4">
        <v>7.67</v>
      </c>
      <c r="K4">
        <v>41.6</v>
      </c>
      <c r="L4">
        <v>733.46</v>
      </c>
      <c r="M4">
        <v>4</v>
      </c>
      <c r="N4">
        <v>9.18</v>
      </c>
      <c r="O4">
        <v>2.35</v>
      </c>
      <c r="P4">
        <v>0.56999999999999995</v>
      </c>
      <c r="Q4">
        <v>20.76</v>
      </c>
      <c r="R4">
        <v>20.170000000000002</v>
      </c>
      <c r="S4">
        <v>0</v>
      </c>
      <c r="T4">
        <v>9.17</v>
      </c>
      <c r="U4">
        <v>3.74</v>
      </c>
    </row>
    <row r="5" spans="1:21" x14ac:dyDescent="0.25">
      <c r="A5" s="51" t="s">
        <v>231</v>
      </c>
      <c r="B5">
        <v>0</v>
      </c>
      <c r="C5">
        <v>14.99</v>
      </c>
      <c r="D5">
        <v>127.58</v>
      </c>
      <c r="E5">
        <v>0</v>
      </c>
      <c r="F5">
        <v>43.55</v>
      </c>
      <c r="G5">
        <v>0.59999999999999964</v>
      </c>
      <c r="H5">
        <v>0</v>
      </c>
      <c r="I5">
        <v>4.82</v>
      </c>
      <c r="J5">
        <v>0</v>
      </c>
      <c r="K5">
        <v>117.69</v>
      </c>
      <c r="L5">
        <v>9.56</v>
      </c>
      <c r="M5">
        <v>1.24</v>
      </c>
      <c r="N5">
        <v>60.59</v>
      </c>
      <c r="O5">
        <v>1.53</v>
      </c>
      <c r="P5">
        <v>0</v>
      </c>
      <c r="Q5">
        <v>0.56000000000000005</v>
      </c>
      <c r="R5">
        <v>0</v>
      </c>
      <c r="S5">
        <v>0</v>
      </c>
      <c r="T5">
        <v>0</v>
      </c>
      <c r="U5">
        <v>0.79</v>
      </c>
    </row>
    <row r="6" spans="1:21" x14ac:dyDescent="0.25">
      <c r="A6" s="51" t="s">
        <v>180</v>
      </c>
      <c r="B6">
        <v>1.18</v>
      </c>
      <c r="C6">
        <v>82.04</v>
      </c>
      <c r="D6">
        <v>1421.1</v>
      </c>
      <c r="E6">
        <v>0.33</v>
      </c>
      <c r="F6">
        <v>755.48</v>
      </c>
      <c r="G6">
        <v>6.38</v>
      </c>
      <c r="H6">
        <v>103.07000000000001</v>
      </c>
      <c r="I6">
        <v>736.87</v>
      </c>
      <c r="J6">
        <v>0</v>
      </c>
      <c r="K6">
        <v>1777.71</v>
      </c>
      <c r="L6">
        <v>83.48</v>
      </c>
      <c r="M6">
        <v>9.1199999999999992</v>
      </c>
      <c r="N6">
        <v>971.37</v>
      </c>
      <c r="O6">
        <v>6.7</v>
      </c>
      <c r="P6">
        <v>25.38</v>
      </c>
      <c r="Q6">
        <v>6.82</v>
      </c>
      <c r="R6">
        <v>367.37</v>
      </c>
      <c r="S6">
        <v>0</v>
      </c>
      <c r="T6">
        <v>5.67</v>
      </c>
      <c r="U6">
        <v>1.08</v>
      </c>
    </row>
    <row r="7" spans="1:21" x14ac:dyDescent="0.25">
      <c r="A7" s="51" t="s">
        <v>181</v>
      </c>
      <c r="B7">
        <v>1.19</v>
      </c>
      <c r="C7">
        <v>130.22999999999999</v>
      </c>
      <c r="D7">
        <v>231.37</v>
      </c>
      <c r="E7">
        <v>1.57</v>
      </c>
      <c r="F7">
        <v>7.64</v>
      </c>
      <c r="G7">
        <v>1</v>
      </c>
      <c r="H7">
        <v>0.92999999999999994</v>
      </c>
      <c r="I7">
        <v>98996.18</v>
      </c>
      <c r="J7">
        <v>15.76</v>
      </c>
      <c r="K7">
        <v>93.31</v>
      </c>
      <c r="L7">
        <v>29.05</v>
      </c>
      <c r="M7">
        <v>26.060000000000002</v>
      </c>
      <c r="N7">
        <v>5.39</v>
      </c>
      <c r="O7">
        <v>4.09</v>
      </c>
      <c r="P7">
        <v>1.99</v>
      </c>
      <c r="Q7">
        <v>1.73</v>
      </c>
      <c r="R7">
        <v>2.48</v>
      </c>
      <c r="S7">
        <v>91.53</v>
      </c>
      <c r="T7">
        <v>7.27</v>
      </c>
      <c r="U7">
        <v>9.15</v>
      </c>
    </row>
    <row r="8" spans="1:21" x14ac:dyDescent="0.25">
      <c r="A8" s="51" t="s">
        <v>182</v>
      </c>
      <c r="B8">
        <v>0.47</v>
      </c>
      <c r="C8">
        <v>51.95</v>
      </c>
      <c r="D8">
        <v>39.6</v>
      </c>
      <c r="E8">
        <v>0.86</v>
      </c>
      <c r="F8">
        <v>0</v>
      </c>
      <c r="G8">
        <v>0.47999999999999954</v>
      </c>
      <c r="H8">
        <v>1.86</v>
      </c>
      <c r="I8">
        <v>58690.51</v>
      </c>
      <c r="J8">
        <v>3.22</v>
      </c>
      <c r="K8">
        <v>14.71</v>
      </c>
      <c r="L8">
        <v>6.53</v>
      </c>
      <c r="M8">
        <v>4.37</v>
      </c>
      <c r="N8">
        <v>1.01</v>
      </c>
      <c r="O8">
        <v>1.33</v>
      </c>
      <c r="P8">
        <v>2.29</v>
      </c>
      <c r="Q8">
        <v>0.86999999999999988</v>
      </c>
      <c r="R8">
        <v>1.49</v>
      </c>
      <c r="S8">
        <v>30.82</v>
      </c>
      <c r="T8">
        <v>2.39</v>
      </c>
      <c r="U8">
        <v>1.05</v>
      </c>
    </row>
    <row r="9" spans="1:21" x14ac:dyDescent="0.25">
      <c r="A9" s="51" t="s">
        <v>183</v>
      </c>
      <c r="B9">
        <v>0.18</v>
      </c>
      <c r="C9">
        <v>19.43</v>
      </c>
      <c r="D9">
        <v>22.72</v>
      </c>
      <c r="E9">
        <v>0.53</v>
      </c>
      <c r="F9">
        <v>0</v>
      </c>
      <c r="G9">
        <v>0.54999999999999982</v>
      </c>
      <c r="H9">
        <v>1.5399999999999998</v>
      </c>
      <c r="I9">
        <v>32026.71</v>
      </c>
      <c r="J9">
        <v>1.5</v>
      </c>
      <c r="K9">
        <v>17.93</v>
      </c>
      <c r="L9">
        <v>5.08</v>
      </c>
      <c r="M9">
        <v>2.16</v>
      </c>
      <c r="N9">
        <v>1.21</v>
      </c>
      <c r="O9">
        <v>0.92000000000000015</v>
      </c>
      <c r="P9">
        <v>4.2300000000000004</v>
      </c>
      <c r="Q9">
        <v>0.36</v>
      </c>
      <c r="R9">
        <v>0</v>
      </c>
      <c r="S9">
        <v>10.62</v>
      </c>
      <c r="T9">
        <v>3.38</v>
      </c>
      <c r="U9">
        <v>0</v>
      </c>
    </row>
    <row r="10" spans="1:21" x14ac:dyDescent="0.25">
      <c r="A10" s="51" t="s">
        <v>184</v>
      </c>
      <c r="B10">
        <v>1.42</v>
      </c>
      <c r="C10">
        <v>98.93</v>
      </c>
      <c r="D10">
        <v>62.74</v>
      </c>
      <c r="E10">
        <v>0.95</v>
      </c>
      <c r="F10">
        <v>6.66</v>
      </c>
      <c r="G10">
        <v>0.72999999999999954</v>
      </c>
      <c r="H10">
        <v>1.3699999999999999</v>
      </c>
      <c r="I10">
        <v>78676.92</v>
      </c>
      <c r="J10">
        <v>10.76</v>
      </c>
      <c r="K10">
        <v>38.18</v>
      </c>
      <c r="L10">
        <v>5.27</v>
      </c>
      <c r="M10">
        <v>22.69</v>
      </c>
      <c r="N10">
        <v>9.5299999999999994</v>
      </c>
      <c r="O10">
        <v>8.06</v>
      </c>
      <c r="P10">
        <v>1.28</v>
      </c>
      <c r="Q10">
        <v>1.1299999999999999</v>
      </c>
      <c r="R10">
        <v>0</v>
      </c>
      <c r="S10">
        <v>67.84</v>
      </c>
      <c r="T10">
        <v>12.74</v>
      </c>
      <c r="U10">
        <v>1.8</v>
      </c>
    </row>
    <row r="11" spans="1:21" x14ac:dyDescent="0.25">
      <c r="A11" s="51" t="s">
        <v>185</v>
      </c>
      <c r="B11">
        <v>2.2799999999999998</v>
      </c>
      <c r="C11">
        <v>302.16000000000003</v>
      </c>
      <c r="D11">
        <v>101.55</v>
      </c>
      <c r="E11">
        <v>1.81</v>
      </c>
      <c r="F11">
        <v>8.59</v>
      </c>
      <c r="G11">
        <v>3.05</v>
      </c>
      <c r="H11">
        <v>6.2600000000000007</v>
      </c>
      <c r="I11">
        <v>75575.850000000006</v>
      </c>
      <c r="J11">
        <v>21.31</v>
      </c>
      <c r="K11">
        <v>54.67</v>
      </c>
      <c r="L11">
        <v>5.98</v>
      </c>
      <c r="M11">
        <v>36.979999999999997</v>
      </c>
      <c r="N11">
        <v>13.07</v>
      </c>
      <c r="O11">
        <v>13.99</v>
      </c>
      <c r="P11">
        <v>2.4</v>
      </c>
      <c r="Q11">
        <v>1.5</v>
      </c>
      <c r="R11">
        <v>0</v>
      </c>
      <c r="S11">
        <v>93.59</v>
      </c>
      <c r="T11">
        <v>42.46</v>
      </c>
      <c r="U11">
        <v>3.25</v>
      </c>
    </row>
    <row r="12" spans="1:21" x14ac:dyDescent="0.25">
      <c r="A12" s="51" t="s">
        <v>186</v>
      </c>
      <c r="B12">
        <v>4.26</v>
      </c>
      <c r="C12">
        <v>137.02000000000001</v>
      </c>
      <c r="D12">
        <v>101.71</v>
      </c>
      <c r="E12">
        <v>1.1299999999999999</v>
      </c>
      <c r="F12">
        <v>21.23</v>
      </c>
      <c r="G12">
        <v>1.9299999999999997</v>
      </c>
      <c r="H12">
        <v>7.09</v>
      </c>
      <c r="I12">
        <v>45957.55</v>
      </c>
      <c r="J12">
        <v>16.72</v>
      </c>
      <c r="K12">
        <v>45.66</v>
      </c>
      <c r="L12">
        <v>6.49</v>
      </c>
      <c r="M12">
        <v>27.73</v>
      </c>
      <c r="N12">
        <v>19.309999999999999</v>
      </c>
      <c r="O12">
        <v>14.290000000000001</v>
      </c>
      <c r="P12">
        <v>1.1100000000000001</v>
      </c>
      <c r="Q12">
        <v>0.82000000000000006</v>
      </c>
      <c r="R12">
        <v>7.46</v>
      </c>
      <c r="S12">
        <v>36.549999999999997</v>
      </c>
      <c r="T12">
        <v>38.26</v>
      </c>
      <c r="U12">
        <v>1.81</v>
      </c>
    </row>
    <row r="13" spans="1:21" x14ac:dyDescent="0.25">
      <c r="A13" s="51" t="s">
        <v>187</v>
      </c>
      <c r="B13">
        <v>2.5099999999999998</v>
      </c>
      <c r="C13">
        <v>120.44</v>
      </c>
      <c r="D13">
        <v>62.84</v>
      </c>
      <c r="E13">
        <v>1.06</v>
      </c>
      <c r="F13">
        <v>10.029999999999999</v>
      </c>
      <c r="G13">
        <v>1</v>
      </c>
      <c r="H13">
        <v>4.0100000000000007</v>
      </c>
      <c r="I13">
        <v>78710.61</v>
      </c>
      <c r="J13">
        <v>20.03</v>
      </c>
      <c r="K13">
        <v>38.299999999999997</v>
      </c>
      <c r="L13">
        <v>5.89</v>
      </c>
      <c r="M13">
        <v>27.270000000000003</v>
      </c>
      <c r="N13">
        <v>11.83</v>
      </c>
      <c r="O13">
        <v>8.06</v>
      </c>
      <c r="P13">
        <v>1.22</v>
      </c>
      <c r="Q13">
        <v>1.48</v>
      </c>
      <c r="R13">
        <v>3.02</v>
      </c>
      <c r="S13">
        <v>54.72</v>
      </c>
      <c r="T13">
        <v>22.05</v>
      </c>
      <c r="U13">
        <v>2.5299999999999998</v>
      </c>
    </row>
    <row r="14" spans="1:21" x14ac:dyDescent="0.25">
      <c r="A14" s="51" t="s">
        <v>241</v>
      </c>
      <c r="B14">
        <v>1.7</v>
      </c>
      <c r="C14">
        <v>30.29</v>
      </c>
      <c r="D14">
        <v>80.16</v>
      </c>
      <c r="E14">
        <v>1.08</v>
      </c>
      <c r="F14">
        <v>0</v>
      </c>
      <c r="G14">
        <v>4.95</v>
      </c>
      <c r="H14">
        <v>0.83000000000000007</v>
      </c>
      <c r="I14">
        <v>242.88</v>
      </c>
      <c r="J14">
        <v>12.31</v>
      </c>
      <c r="K14">
        <v>157.19</v>
      </c>
      <c r="L14">
        <v>16.559999999999999</v>
      </c>
      <c r="M14">
        <v>5.59</v>
      </c>
      <c r="N14">
        <v>0.61</v>
      </c>
      <c r="O14">
        <v>4.63</v>
      </c>
      <c r="P14">
        <v>4.57</v>
      </c>
      <c r="Q14">
        <v>1.5099999999999998</v>
      </c>
      <c r="R14">
        <v>33.520000000000003</v>
      </c>
      <c r="S14">
        <v>0</v>
      </c>
      <c r="T14">
        <v>14.46</v>
      </c>
      <c r="U14">
        <v>4.07</v>
      </c>
    </row>
    <row r="15" spans="1:21" x14ac:dyDescent="0.25">
      <c r="A15" s="51" t="s">
        <v>244</v>
      </c>
      <c r="B15">
        <v>0.66</v>
      </c>
      <c r="C15">
        <v>151.62</v>
      </c>
      <c r="D15">
        <v>217.58</v>
      </c>
      <c r="E15">
        <v>0.63</v>
      </c>
      <c r="F15">
        <v>710.89</v>
      </c>
      <c r="G15">
        <v>11.93</v>
      </c>
      <c r="H15">
        <v>6585.84</v>
      </c>
      <c r="I15">
        <v>109.22</v>
      </c>
      <c r="J15">
        <v>9.86</v>
      </c>
      <c r="K15">
        <v>4918.03</v>
      </c>
      <c r="L15">
        <v>23.15</v>
      </c>
      <c r="M15">
        <v>9.94</v>
      </c>
      <c r="N15">
        <v>239.88</v>
      </c>
      <c r="O15">
        <v>3.17</v>
      </c>
      <c r="P15">
        <v>11574.01</v>
      </c>
      <c r="Q15">
        <v>1.23</v>
      </c>
      <c r="R15">
        <v>5.67</v>
      </c>
      <c r="S15">
        <v>0</v>
      </c>
      <c r="T15">
        <v>12.21</v>
      </c>
      <c r="U15">
        <v>4.13</v>
      </c>
    </row>
    <row r="16" spans="1:21" x14ac:dyDescent="0.25">
      <c r="A16" s="51" t="s">
        <v>188</v>
      </c>
      <c r="B16">
        <v>3.68</v>
      </c>
      <c r="C16">
        <v>302.27999999999997</v>
      </c>
      <c r="D16">
        <v>721.16</v>
      </c>
      <c r="E16">
        <v>0.57999999999999996</v>
      </c>
      <c r="F16">
        <v>1475.69</v>
      </c>
      <c r="G16">
        <v>9.1499999999999986</v>
      </c>
      <c r="H16">
        <v>6032.19</v>
      </c>
      <c r="I16">
        <v>28.59</v>
      </c>
      <c r="J16">
        <v>7.72</v>
      </c>
      <c r="K16">
        <v>10621.34</v>
      </c>
      <c r="L16">
        <v>54.87</v>
      </c>
      <c r="M16">
        <v>21.76</v>
      </c>
      <c r="N16">
        <v>116.07</v>
      </c>
      <c r="O16">
        <v>16.669999999999998</v>
      </c>
      <c r="P16">
        <v>4125.6899999999996</v>
      </c>
      <c r="Q16">
        <v>0.79</v>
      </c>
      <c r="R16">
        <v>0</v>
      </c>
      <c r="S16">
        <v>0</v>
      </c>
      <c r="T16">
        <v>12.8</v>
      </c>
      <c r="U16">
        <v>4.1100000000000003</v>
      </c>
    </row>
    <row r="17" spans="1:21" x14ac:dyDescent="0.25">
      <c r="A17" s="51" t="s">
        <v>179</v>
      </c>
      <c r="B17">
        <v>9.5</v>
      </c>
      <c r="C17">
        <v>134.44</v>
      </c>
      <c r="D17">
        <v>303.01</v>
      </c>
      <c r="E17">
        <v>0.62</v>
      </c>
      <c r="F17">
        <v>100.02</v>
      </c>
      <c r="G17">
        <v>10.82</v>
      </c>
      <c r="H17">
        <v>1773.94</v>
      </c>
      <c r="I17">
        <v>106.66</v>
      </c>
      <c r="J17">
        <v>6.93</v>
      </c>
      <c r="K17">
        <v>6088.54</v>
      </c>
      <c r="L17">
        <v>47.19</v>
      </c>
      <c r="M17">
        <v>14.879999999999999</v>
      </c>
      <c r="N17">
        <v>199.22</v>
      </c>
      <c r="O17">
        <v>20.049999999999997</v>
      </c>
      <c r="P17">
        <v>993.72</v>
      </c>
      <c r="Q17">
        <v>3.19</v>
      </c>
      <c r="R17">
        <v>26.8</v>
      </c>
      <c r="S17">
        <v>0</v>
      </c>
      <c r="T17">
        <v>41.29</v>
      </c>
      <c r="U17">
        <v>2.84</v>
      </c>
    </row>
    <row r="18" spans="1:21" ht="14.4" thickBot="1" x14ac:dyDescent="0.3">
      <c r="A18" s="51" t="s">
        <v>329</v>
      </c>
      <c r="B18">
        <v>2.79</v>
      </c>
      <c r="C18">
        <v>29.23</v>
      </c>
      <c r="D18">
        <v>20.45</v>
      </c>
      <c r="E18">
        <v>0.59</v>
      </c>
      <c r="F18">
        <v>5.73</v>
      </c>
      <c r="G18">
        <v>2.4500000000000002</v>
      </c>
      <c r="H18">
        <v>5.24</v>
      </c>
      <c r="I18">
        <v>203.14</v>
      </c>
      <c r="J18">
        <v>3.82</v>
      </c>
      <c r="K18">
        <v>69.349999999999994</v>
      </c>
      <c r="L18">
        <v>0</v>
      </c>
      <c r="M18">
        <v>9.2200000000000006</v>
      </c>
      <c r="N18">
        <v>6.26</v>
      </c>
      <c r="O18">
        <v>5.13</v>
      </c>
      <c r="P18">
        <v>1.43</v>
      </c>
      <c r="Q18">
        <v>0.44999999999999996</v>
      </c>
      <c r="R18">
        <v>0</v>
      </c>
      <c r="S18">
        <v>4.5</v>
      </c>
      <c r="T18">
        <v>5.85</v>
      </c>
      <c r="U18" s="26">
        <v>1.34</v>
      </c>
    </row>
    <row r="19" spans="1:21" x14ac:dyDescent="0.25">
      <c r="A19" s="51" t="s">
        <v>232</v>
      </c>
      <c r="B19">
        <v>0</v>
      </c>
      <c r="C19">
        <v>0</v>
      </c>
      <c r="D19">
        <v>10.47</v>
      </c>
      <c r="E19">
        <v>0.36</v>
      </c>
      <c r="F19">
        <v>0</v>
      </c>
      <c r="G19">
        <v>0</v>
      </c>
      <c r="H19">
        <v>0</v>
      </c>
      <c r="I19">
        <v>523.9</v>
      </c>
      <c r="J19">
        <v>0</v>
      </c>
      <c r="K19">
        <v>6</v>
      </c>
      <c r="L19">
        <v>0</v>
      </c>
      <c r="M19">
        <v>0.12</v>
      </c>
      <c r="N19">
        <v>3.59</v>
      </c>
      <c r="O19">
        <v>0.81</v>
      </c>
      <c r="P19">
        <v>0</v>
      </c>
      <c r="Q19">
        <v>1.1000000000000001</v>
      </c>
      <c r="R19">
        <v>91.97</v>
      </c>
      <c r="S19">
        <v>0</v>
      </c>
      <c r="T19">
        <v>0</v>
      </c>
      <c r="U19">
        <v>0</v>
      </c>
    </row>
    <row r="20" spans="1:21" x14ac:dyDescent="0.25">
      <c r="A20" s="51" t="s">
        <v>229</v>
      </c>
      <c r="B20">
        <v>5.92</v>
      </c>
      <c r="C20">
        <v>22.79</v>
      </c>
      <c r="D20">
        <v>22.74</v>
      </c>
      <c r="E20">
        <v>4.45</v>
      </c>
      <c r="F20">
        <v>15.14</v>
      </c>
      <c r="G20">
        <v>3.7499999999999991</v>
      </c>
      <c r="H20">
        <v>9.2299999999999986</v>
      </c>
      <c r="I20">
        <v>268.5</v>
      </c>
      <c r="J20">
        <v>56.99</v>
      </c>
      <c r="K20">
        <v>136.94</v>
      </c>
      <c r="L20">
        <v>5.53</v>
      </c>
      <c r="M20">
        <v>14.15</v>
      </c>
      <c r="N20">
        <v>24.59</v>
      </c>
      <c r="O20">
        <v>78.149999999999991</v>
      </c>
      <c r="P20">
        <v>0.13</v>
      </c>
      <c r="Q20">
        <v>7.1999999999999993</v>
      </c>
      <c r="R20">
        <v>2.2799999999999998</v>
      </c>
      <c r="S20">
        <v>0</v>
      </c>
      <c r="T20">
        <v>8.09</v>
      </c>
      <c r="U20">
        <v>48.23</v>
      </c>
    </row>
    <row r="21" spans="1:21" x14ac:dyDescent="0.25">
      <c r="A21" s="51" t="s">
        <v>191</v>
      </c>
      <c r="B21">
        <v>1.21</v>
      </c>
      <c r="C21">
        <v>45.65</v>
      </c>
      <c r="D21">
        <v>21.31</v>
      </c>
      <c r="E21">
        <v>10.19</v>
      </c>
      <c r="F21">
        <v>5.24</v>
      </c>
      <c r="G21">
        <v>1.2400000000000002</v>
      </c>
      <c r="H21">
        <v>0.38000000000000012</v>
      </c>
      <c r="I21">
        <v>6908.82</v>
      </c>
      <c r="J21">
        <v>0</v>
      </c>
      <c r="K21">
        <v>10.7</v>
      </c>
      <c r="L21">
        <v>7.71</v>
      </c>
      <c r="M21">
        <v>1.1200000000000001</v>
      </c>
      <c r="N21">
        <v>1.35</v>
      </c>
      <c r="O21">
        <v>1.51</v>
      </c>
      <c r="P21">
        <v>2.0299999999999998</v>
      </c>
      <c r="Q21">
        <v>2.77</v>
      </c>
      <c r="R21">
        <v>2.2799999999999998</v>
      </c>
      <c r="S21">
        <v>2.5</v>
      </c>
      <c r="T21">
        <v>6.34</v>
      </c>
      <c r="U21">
        <v>0</v>
      </c>
    </row>
    <row r="22" spans="1:21" x14ac:dyDescent="0.25">
      <c r="A22" s="51" t="s">
        <v>189</v>
      </c>
      <c r="B22">
        <v>1.73</v>
      </c>
      <c r="C22">
        <v>72.44</v>
      </c>
      <c r="D22">
        <v>28.73</v>
      </c>
      <c r="E22">
        <v>2.35</v>
      </c>
      <c r="F22">
        <v>5.95</v>
      </c>
      <c r="G22">
        <v>1.42</v>
      </c>
      <c r="H22">
        <v>2.12</v>
      </c>
      <c r="I22">
        <v>33700.01</v>
      </c>
      <c r="J22">
        <v>0</v>
      </c>
      <c r="K22">
        <v>15.55</v>
      </c>
      <c r="L22">
        <v>7.13</v>
      </c>
      <c r="M22">
        <v>1.74</v>
      </c>
      <c r="N22">
        <v>0</v>
      </c>
      <c r="O22">
        <v>1.1600000000000001</v>
      </c>
      <c r="P22">
        <v>3.14</v>
      </c>
      <c r="Q22">
        <v>2.29</v>
      </c>
      <c r="R22">
        <v>7.07</v>
      </c>
      <c r="S22">
        <v>9.9499999999999993</v>
      </c>
      <c r="T22">
        <v>7.24</v>
      </c>
      <c r="U22">
        <v>0</v>
      </c>
    </row>
    <row r="23" spans="1:21" x14ac:dyDescent="0.25">
      <c r="A23" s="51" t="s">
        <v>190</v>
      </c>
      <c r="B23">
        <v>0.74</v>
      </c>
      <c r="C23">
        <v>27.71</v>
      </c>
      <c r="D23">
        <v>13.54</v>
      </c>
      <c r="E23">
        <v>0.84</v>
      </c>
      <c r="F23">
        <v>0</v>
      </c>
      <c r="G23">
        <v>0.79999999999999982</v>
      </c>
      <c r="H23">
        <v>0.57000000000000006</v>
      </c>
      <c r="I23">
        <v>19313.98</v>
      </c>
      <c r="J23">
        <v>0</v>
      </c>
      <c r="K23">
        <v>8.16</v>
      </c>
      <c r="L23">
        <v>0</v>
      </c>
      <c r="M23">
        <v>1.8499999999999999</v>
      </c>
      <c r="N23">
        <v>0</v>
      </c>
      <c r="O23">
        <v>1.1300000000000001</v>
      </c>
      <c r="P23">
        <v>2.27</v>
      </c>
      <c r="Q23">
        <v>2.06</v>
      </c>
      <c r="R23">
        <v>0</v>
      </c>
      <c r="S23">
        <v>5.65</v>
      </c>
      <c r="T23">
        <v>4.66</v>
      </c>
      <c r="U23">
        <v>0</v>
      </c>
    </row>
    <row r="24" spans="1:21" x14ac:dyDescent="0.25">
      <c r="A24" s="51" t="s">
        <v>192</v>
      </c>
      <c r="B24">
        <v>1.55</v>
      </c>
      <c r="C24">
        <v>54.8</v>
      </c>
      <c r="D24">
        <v>28.48</v>
      </c>
      <c r="E24">
        <v>4.3899999999999997</v>
      </c>
      <c r="F24">
        <v>0</v>
      </c>
      <c r="G24">
        <v>2.6500000000000004</v>
      </c>
      <c r="H24">
        <v>0.8600000000000001</v>
      </c>
      <c r="I24">
        <v>38331.160000000003</v>
      </c>
      <c r="J24">
        <v>0</v>
      </c>
      <c r="K24">
        <v>16.18</v>
      </c>
      <c r="L24">
        <v>0</v>
      </c>
      <c r="M24">
        <v>4.34</v>
      </c>
      <c r="N24">
        <v>2.5</v>
      </c>
      <c r="O24">
        <v>1.7200000000000002</v>
      </c>
      <c r="P24">
        <v>2.0499999999999998</v>
      </c>
      <c r="Q24">
        <v>3.46</v>
      </c>
      <c r="R24">
        <v>0</v>
      </c>
      <c r="S24">
        <v>18.309999999999999</v>
      </c>
      <c r="T24">
        <v>9.83</v>
      </c>
      <c r="U24">
        <v>0</v>
      </c>
    </row>
    <row r="25" spans="1:21" x14ac:dyDescent="0.25">
      <c r="A25" s="51" t="s">
        <v>193</v>
      </c>
      <c r="B25">
        <v>1.53</v>
      </c>
      <c r="C25">
        <v>46.64</v>
      </c>
      <c r="D25">
        <v>24.44</v>
      </c>
      <c r="E25">
        <v>3.23</v>
      </c>
      <c r="F25">
        <v>0</v>
      </c>
      <c r="G25">
        <v>2.1900000000000004</v>
      </c>
      <c r="H25">
        <v>2.2300000000000004</v>
      </c>
      <c r="I25">
        <v>30793.119999999999</v>
      </c>
      <c r="J25">
        <v>2.16</v>
      </c>
      <c r="K25">
        <v>14.57</v>
      </c>
      <c r="L25">
        <v>0</v>
      </c>
      <c r="M25">
        <v>3.63</v>
      </c>
      <c r="N25">
        <v>2.58</v>
      </c>
      <c r="O25">
        <v>2.16</v>
      </c>
      <c r="P25">
        <v>3.28</v>
      </c>
      <c r="Q25">
        <v>3.7100000000000004</v>
      </c>
      <c r="R25">
        <v>0</v>
      </c>
      <c r="S25">
        <v>9.94</v>
      </c>
      <c r="T25">
        <v>8.06</v>
      </c>
      <c r="U25">
        <v>0.56000000000000005</v>
      </c>
    </row>
    <row r="26" spans="1:21" x14ac:dyDescent="0.25">
      <c r="A26" s="51" t="s">
        <v>194</v>
      </c>
      <c r="B26">
        <v>1.81</v>
      </c>
      <c r="C26">
        <v>58.1</v>
      </c>
      <c r="D26">
        <v>25.71</v>
      </c>
      <c r="E26">
        <v>1.63</v>
      </c>
      <c r="F26">
        <v>4.26</v>
      </c>
      <c r="G26">
        <v>1.6799999999999997</v>
      </c>
      <c r="H26">
        <v>1.74</v>
      </c>
      <c r="I26">
        <v>32982.33</v>
      </c>
      <c r="J26">
        <v>4.3600000000000003</v>
      </c>
      <c r="K26">
        <v>16.34</v>
      </c>
      <c r="L26">
        <v>4.57</v>
      </c>
      <c r="M26">
        <v>6.26</v>
      </c>
      <c r="N26">
        <v>3.46</v>
      </c>
      <c r="O26">
        <v>2.71</v>
      </c>
      <c r="P26">
        <v>1.43</v>
      </c>
      <c r="Q26">
        <v>4.5</v>
      </c>
      <c r="R26">
        <v>0</v>
      </c>
      <c r="S26">
        <v>13.8</v>
      </c>
      <c r="T26">
        <v>13.3</v>
      </c>
      <c r="U26">
        <v>4.21</v>
      </c>
    </row>
    <row r="27" spans="1:21" x14ac:dyDescent="0.25">
      <c r="A27" s="51" t="s">
        <v>240</v>
      </c>
      <c r="B27">
        <v>4.55</v>
      </c>
      <c r="C27">
        <v>100.61</v>
      </c>
      <c r="D27">
        <v>40.69</v>
      </c>
      <c r="E27">
        <v>5.22</v>
      </c>
      <c r="F27">
        <v>12.11</v>
      </c>
      <c r="G27">
        <v>3.9899999999999993</v>
      </c>
      <c r="H27">
        <v>5.44</v>
      </c>
      <c r="I27">
        <v>43988.93</v>
      </c>
      <c r="J27">
        <v>10.25</v>
      </c>
      <c r="K27">
        <v>31.84</v>
      </c>
      <c r="L27">
        <v>6.22</v>
      </c>
      <c r="M27">
        <v>11.709999999999999</v>
      </c>
      <c r="N27">
        <v>9.48</v>
      </c>
      <c r="O27">
        <v>8.91</v>
      </c>
      <c r="P27">
        <v>2.8</v>
      </c>
      <c r="Q27">
        <v>2.8</v>
      </c>
      <c r="R27">
        <v>3.14</v>
      </c>
      <c r="S27">
        <v>22.39</v>
      </c>
      <c r="T27">
        <v>39.700000000000003</v>
      </c>
      <c r="U27">
        <v>2.88</v>
      </c>
    </row>
    <row r="28" spans="1:21" x14ac:dyDescent="0.25">
      <c r="A28" s="51" t="s">
        <v>248</v>
      </c>
      <c r="B28">
        <v>0.9</v>
      </c>
      <c r="C28">
        <v>34.24</v>
      </c>
      <c r="D28">
        <v>17.489999999999998</v>
      </c>
      <c r="E28">
        <v>1.57</v>
      </c>
      <c r="F28">
        <v>0</v>
      </c>
      <c r="G28">
        <v>1.6900000000000004</v>
      </c>
      <c r="H28">
        <v>0.62000000000000011</v>
      </c>
      <c r="I28">
        <v>25395.59</v>
      </c>
      <c r="J28">
        <v>2.8</v>
      </c>
      <c r="K28">
        <v>12.71</v>
      </c>
      <c r="L28">
        <v>0</v>
      </c>
      <c r="M28">
        <v>3.75</v>
      </c>
      <c r="N28">
        <v>2.93</v>
      </c>
      <c r="O28">
        <v>1.2000000000000002</v>
      </c>
      <c r="P28">
        <v>2.12</v>
      </c>
      <c r="Q28">
        <v>2.37</v>
      </c>
      <c r="R28">
        <v>0</v>
      </c>
      <c r="S28">
        <v>6.88</v>
      </c>
      <c r="T28">
        <v>8.92</v>
      </c>
      <c r="U28">
        <v>1.01</v>
      </c>
    </row>
    <row r="29" spans="1:21" x14ac:dyDescent="0.25">
      <c r="A29" s="51" t="s">
        <v>195</v>
      </c>
      <c r="B29">
        <v>1.26</v>
      </c>
      <c r="C29">
        <v>42.57</v>
      </c>
      <c r="D29">
        <v>14.72</v>
      </c>
      <c r="E29">
        <v>1.26</v>
      </c>
      <c r="F29">
        <v>4.84</v>
      </c>
      <c r="G29">
        <v>1.63</v>
      </c>
      <c r="H29">
        <v>1.99</v>
      </c>
      <c r="I29">
        <v>19526.45</v>
      </c>
      <c r="J29">
        <v>2.3199999999999998</v>
      </c>
      <c r="K29">
        <v>11.97</v>
      </c>
      <c r="L29">
        <v>0</v>
      </c>
      <c r="M29">
        <v>3.9399999999999995</v>
      </c>
      <c r="N29">
        <v>3.48</v>
      </c>
      <c r="O29">
        <v>4.66</v>
      </c>
      <c r="P29">
        <v>1.28</v>
      </c>
      <c r="Q29">
        <v>2.0099999999999998</v>
      </c>
      <c r="R29">
        <v>0</v>
      </c>
      <c r="S29">
        <v>0</v>
      </c>
      <c r="T29">
        <v>17.66</v>
      </c>
      <c r="U29">
        <v>1.1200000000000001</v>
      </c>
    </row>
    <row r="30" spans="1:21" x14ac:dyDescent="0.25">
      <c r="A30" s="51" t="s">
        <v>196</v>
      </c>
      <c r="B30">
        <v>1.57</v>
      </c>
      <c r="C30">
        <v>24.95</v>
      </c>
      <c r="D30">
        <v>115.3</v>
      </c>
      <c r="E30">
        <v>1.58</v>
      </c>
      <c r="F30">
        <v>10.35</v>
      </c>
      <c r="G30">
        <v>6.44</v>
      </c>
      <c r="H30">
        <v>0.90999999999999992</v>
      </c>
      <c r="I30">
        <v>2554.81</v>
      </c>
      <c r="J30">
        <v>5.94</v>
      </c>
      <c r="K30">
        <v>38.549999999999997</v>
      </c>
      <c r="L30">
        <v>7.49</v>
      </c>
      <c r="M30">
        <v>19.580000000000002</v>
      </c>
      <c r="N30">
        <v>15.83</v>
      </c>
      <c r="O30">
        <v>6.5</v>
      </c>
      <c r="P30">
        <v>1.1200000000000001</v>
      </c>
      <c r="Q30">
        <v>0.8</v>
      </c>
      <c r="R30">
        <v>8.01</v>
      </c>
      <c r="S30">
        <v>4.71</v>
      </c>
      <c r="T30">
        <v>8.1999999999999993</v>
      </c>
      <c r="U30">
        <v>0.89</v>
      </c>
    </row>
    <row r="31" spans="1:21" x14ac:dyDescent="0.25">
      <c r="A31" s="51" t="s">
        <v>197</v>
      </c>
      <c r="B31">
        <v>2.86</v>
      </c>
      <c r="C31">
        <v>150.19</v>
      </c>
      <c r="D31">
        <v>208.27</v>
      </c>
      <c r="E31">
        <v>1.48</v>
      </c>
      <c r="F31">
        <v>30.68</v>
      </c>
      <c r="G31">
        <v>17.12</v>
      </c>
      <c r="H31">
        <v>1.55</v>
      </c>
      <c r="I31">
        <v>194.05</v>
      </c>
      <c r="J31">
        <v>3.61</v>
      </c>
      <c r="K31">
        <v>84.26</v>
      </c>
      <c r="L31">
        <v>17.53</v>
      </c>
      <c r="M31">
        <v>20.94</v>
      </c>
      <c r="N31">
        <v>55.11</v>
      </c>
      <c r="O31">
        <v>10.02</v>
      </c>
      <c r="P31">
        <v>1.1599999999999999</v>
      </c>
      <c r="Q31">
        <v>1.39</v>
      </c>
      <c r="R31">
        <v>10.89</v>
      </c>
      <c r="S31">
        <v>0</v>
      </c>
      <c r="T31">
        <v>7.66</v>
      </c>
      <c r="U31">
        <v>1.1200000000000001</v>
      </c>
    </row>
    <row r="32" spans="1:21" x14ac:dyDescent="0.25">
      <c r="A32" s="51" t="s">
        <v>198</v>
      </c>
      <c r="B32">
        <v>2.4300000000000002</v>
      </c>
      <c r="C32">
        <v>22.67</v>
      </c>
      <c r="D32">
        <v>14.11</v>
      </c>
      <c r="E32">
        <v>0.83</v>
      </c>
      <c r="F32">
        <v>5.57</v>
      </c>
      <c r="G32">
        <v>2.71</v>
      </c>
      <c r="H32">
        <v>1.5000000000000002</v>
      </c>
      <c r="I32">
        <v>156.33000000000001</v>
      </c>
      <c r="J32">
        <v>2.71</v>
      </c>
      <c r="K32">
        <v>47.96</v>
      </c>
      <c r="L32">
        <v>0</v>
      </c>
      <c r="M32">
        <v>4.42</v>
      </c>
      <c r="N32">
        <v>6.11</v>
      </c>
      <c r="O32">
        <v>3.43</v>
      </c>
      <c r="P32">
        <v>2.04</v>
      </c>
      <c r="Q32">
        <v>1.52</v>
      </c>
      <c r="R32">
        <v>0</v>
      </c>
      <c r="S32">
        <v>0</v>
      </c>
      <c r="T32">
        <v>7.2</v>
      </c>
      <c r="U32">
        <v>1.1100000000000001</v>
      </c>
    </row>
    <row r="33" spans="1:26" x14ac:dyDescent="0.25">
      <c r="A33" s="51" t="s">
        <v>199</v>
      </c>
      <c r="B33">
        <v>3.63</v>
      </c>
      <c r="C33">
        <v>30.23</v>
      </c>
      <c r="D33">
        <v>29.01</v>
      </c>
      <c r="E33">
        <v>0.89</v>
      </c>
      <c r="F33">
        <v>5.21</v>
      </c>
      <c r="G33">
        <v>2.16</v>
      </c>
      <c r="H33">
        <v>1.3099999999999998</v>
      </c>
      <c r="I33">
        <v>176.2</v>
      </c>
      <c r="J33">
        <v>636.04999999999995</v>
      </c>
      <c r="K33">
        <v>68.62</v>
      </c>
      <c r="L33">
        <v>0</v>
      </c>
      <c r="M33">
        <v>4.63</v>
      </c>
      <c r="N33">
        <v>10.06</v>
      </c>
      <c r="O33">
        <v>4.2</v>
      </c>
      <c r="P33">
        <v>0.96</v>
      </c>
      <c r="Q33">
        <v>0.84000000000000008</v>
      </c>
      <c r="R33">
        <v>0</v>
      </c>
      <c r="S33">
        <v>0</v>
      </c>
      <c r="T33">
        <v>8.7100000000000009</v>
      </c>
      <c r="U33">
        <v>1.1100000000000001</v>
      </c>
    </row>
    <row r="34" spans="1:26" x14ac:dyDescent="0.25">
      <c r="A34" s="51" t="s">
        <v>331</v>
      </c>
      <c r="B34">
        <v>7.87</v>
      </c>
      <c r="C34">
        <v>184.87</v>
      </c>
      <c r="D34">
        <v>342.74</v>
      </c>
      <c r="E34">
        <v>1.24</v>
      </c>
      <c r="F34">
        <v>815.72</v>
      </c>
      <c r="G34">
        <v>9.34</v>
      </c>
      <c r="H34">
        <v>2888.8300000000004</v>
      </c>
      <c r="I34">
        <v>76.56</v>
      </c>
      <c r="J34">
        <v>10.97</v>
      </c>
      <c r="K34">
        <v>9544.66</v>
      </c>
      <c r="L34">
        <v>24.46</v>
      </c>
      <c r="M34">
        <v>13.709999999999999</v>
      </c>
      <c r="N34">
        <v>258.23</v>
      </c>
      <c r="O34">
        <v>33.85</v>
      </c>
      <c r="P34">
        <v>2062.52</v>
      </c>
      <c r="Q34">
        <v>2</v>
      </c>
      <c r="R34">
        <v>0</v>
      </c>
      <c r="S34">
        <v>0</v>
      </c>
      <c r="T34">
        <v>42.51</v>
      </c>
      <c r="U34">
        <v>20.68</v>
      </c>
    </row>
    <row r="35" spans="1:26" x14ac:dyDescent="0.25">
      <c r="A35" s="51" t="s">
        <v>203</v>
      </c>
      <c r="B35">
        <v>0.36</v>
      </c>
      <c r="C35">
        <v>10.89</v>
      </c>
      <c r="D35">
        <v>7.31</v>
      </c>
      <c r="E35">
        <v>0.89</v>
      </c>
      <c r="F35">
        <v>0</v>
      </c>
      <c r="G35">
        <v>5.38</v>
      </c>
      <c r="H35">
        <v>0.66999999999999993</v>
      </c>
      <c r="I35">
        <v>34.5</v>
      </c>
      <c r="J35">
        <v>0</v>
      </c>
      <c r="K35">
        <v>19.829999999999998</v>
      </c>
      <c r="L35">
        <v>4.3899999999999997</v>
      </c>
      <c r="M35">
        <v>0.55000000000000004</v>
      </c>
      <c r="N35">
        <v>0</v>
      </c>
      <c r="O35">
        <v>1.23</v>
      </c>
      <c r="P35">
        <v>5.47</v>
      </c>
      <c r="Q35">
        <v>3.11</v>
      </c>
      <c r="R35">
        <v>0</v>
      </c>
      <c r="S35">
        <v>0</v>
      </c>
      <c r="T35">
        <v>3.52</v>
      </c>
      <c r="U35">
        <v>0</v>
      </c>
    </row>
    <row r="36" spans="1:26" x14ac:dyDescent="0.25">
      <c r="A36" s="51" t="s">
        <v>202</v>
      </c>
      <c r="B36">
        <v>2.2799999999999998</v>
      </c>
      <c r="C36">
        <v>99.32</v>
      </c>
      <c r="D36">
        <v>490.85</v>
      </c>
      <c r="E36">
        <v>1.68</v>
      </c>
      <c r="F36">
        <v>212.87</v>
      </c>
      <c r="G36">
        <v>9.3000000000000007</v>
      </c>
      <c r="H36">
        <v>138.38</v>
      </c>
      <c r="I36">
        <v>600.87</v>
      </c>
      <c r="J36">
        <v>3.44</v>
      </c>
      <c r="K36">
        <v>1927.36</v>
      </c>
      <c r="L36">
        <v>71.06</v>
      </c>
      <c r="M36">
        <v>6.83</v>
      </c>
      <c r="N36">
        <v>511.53</v>
      </c>
      <c r="O36">
        <v>7.03</v>
      </c>
      <c r="P36">
        <v>41.17</v>
      </c>
      <c r="Q36">
        <v>2.61</v>
      </c>
      <c r="R36">
        <v>0</v>
      </c>
      <c r="S36">
        <v>0</v>
      </c>
      <c r="T36">
        <v>7.32</v>
      </c>
      <c r="U36">
        <v>0.51</v>
      </c>
    </row>
    <row r="37" spans="1:26" x14ac:dyDescent="0.25">
      <c r="A37" s="51" t="s">
        <v>201</v>
      </c>
      <c r="B37">
        <v>1.5</v>
      </c>
      <c r="C37">
        <v>111.21</v>
      </c>
      <c r="D37">
        <v>661.81</v>
      </c>
      <c r="E37">
        <v>0.85</v>
      </c>
      <c r="F37">
        <v>290.63</v>
      </c>
      <c r="G37">
        <v>9.0799999999999983</v>
      </c>
      <c r="H37">
        <v>55.050000000000004</v>
      </c>
      <c r="I37">
        <v>258.56</v>
      </c>
      <c r="J37">
        <v>3.59</v>
      </c>
      <c r="K37">
        <v>1981.27</v>
      </c>
      <c r="L37">
        <v>76.62</v>
      </c>
      <c r="M37">
        <v>8.9</v>
      </c>
      <c r="N37">
        <v>677.86</v>
      </c>
      <c r="O37">
        <v>7.11</v>
      </c>
      <c r="P37">
        <v>26.45</v>
      </c>
      <c r="Q37">
        <v>1.4</v>
      </c>
      <c r="R37">
        <v>0</v>
      </c>
      <c r="S37">
        <v>0</v>
      </c>
      <c r="T37">
        <v>7.68</v>
      </c>
      <c r="U37">
        <v>0</v>
      </c>
    </row>
    <row r="38" spans="1:26" ht="14.4" thickBot="1" x14ac:dyDescent="0.3">
      <c r="A38" s="51" t="s">
        <v>200</v>
      </c>
      <c r="B38">
        <v>5.04</v>
      </c>
      <c r="C38">
        <v>107.5</v>
      </c>
      <c r="D38">
        <v>328.71</v>
      </c>
      <c r="E38">
        <v>1.26</v>
      </c>
      <c r="F38">
        <v>378.66</v>
      </c>
      <c r="G38">
        <v>7.61</v>
      </c>
      <c r="H38">
        <v>907.04</v>
      </c>
      <c r="I38">
        <v>433.69</v>
      </c>
      <c r="J38">
        <v>13.44</v>
      </c>
      <c r="K38">
        <v>3028.99</v>
      </c>
      <c r="L38">
        <v>36.11</v>
      </c>
      <c r="M38">
        <v>13.36</v>
      </c>
      <c r="N38">
        <v>546.09</v>
      </c>
      <c r="O38">
        <v>33.379999999999995</v>
      </c>
      <c r="P38">
        <v>509.42</v>
      </c>
      <c r="Q38">
        <v>7.5</v>
      </c>
      <c r="R38">
        <v>0</v>
      </c>
      <c r="S38">
        <v>0</v>
      </c>
      <c r="T38">
        <v>34.33</v>
      </c>
      <c r="U38" s="26">
        <v>5.82</v>
      </c>
    </row>
    <row r="39" spans="1:26" x14ac:dyDescent="0.25">
      <c r="A39" s="51" t="s">
        <v>415</v>
      </c>
      <c r="B39">
        <v>0.63</v>
      </c>
      <c r="C39">
        <v>64.05</v>
      </c>
      <c r="D39">
        <v>1278.8900000000001</v>
      </c>
      <c r="E39">
        <v>0</v>
      </c>
      <c r="F39">
        <v>468.36</v>
      </c>
      <c r="G39">
        <v>5.9300000000000006</v>
      </c>
      <c r="H39">
        <v>2.71</v>
      </c>
      <c r="I39">
        <v>30.72</v>
      </c>
      <c r="J39">
        <v>0</v>
      </c>
      <c r="K39">
        <v>1016.73</v>
      </c>
      <c r="L39">
        <v>130.97</v>
      </c>
      <c r="M39">
        <v>7.82</v>
      </c>
      <c r="N39">
        <v>747.32</v>
      </c>
      <c r="O39">
        <v>15.9</v>
      </c>
      <c r="P39">
        <v>0.94</v>
      </c>
      <c r="Q39">
        <v>2.65</v>
      </c>
      <c r="R39">
        <v>33.24</v>
      </c>
      <c r="S39">
        <v>0</v>
      </c>
      <c r="T39">
        <v>4.5</v>
      </c>
      <c r="U39">
        <v>1.81</v>
      </c>
    </row>
    <row r="40" spans="1:26" x14ac:dyDescent="0.25">
      <c r="B40" s="44" t="s">
        <v>553</v>
      </c>
      <c r="C40" s="44"/>
      <c r="D40" s="44"/>
    </row>
    <row r="41" spans="1:26" ht="14.4" thickBot="1" x14ac:dyDescent="0.3">
      <c r="A41" s="53" t="s">
        <v>415</v>
      </c>
      <c r="B41" s="26">
        <f>B6/B39</f>
        <v>1.8730158730158728</v>
      </c>
      <c r="C41" s="26">
        <f t="shared" ref="C41:U41" si="0">C6/C39</f>
        <v>1.2808743169398908</v>
      </c>
      <c r="D41" s="26">
        <f t="shared" si="0"/>
        <v>1.111197992008695</v>
      </c>
      <c r="E41" s="26" t="s">
        <v>661</v>
      </c>
      <c r="F41" s="26">
        <f t="shared" si="0"/>
        <v>1.613032709881288</v>
      </c>
      <c r="G41" s="26">
        <f t="shared" si="0"/>
        <v>1.0758853288364247</v>
      </c>
      <c r="H41" s="26">
        <f t="shared" si="0"/>
        <v>38.033210332103323</v>
      </c>
      <c r="I41" s="26">
        <f t="shared" si="0"/>
        <v>23.986653645833336</v>
      </c>
      <c r="J41" s="26">
        <v>1.1000000000000001</v>
      </c>
      <c r="K41" s="26">
        <f t="shared" si="0"/>
        <v>1.7484582927620902</v>
      </c>
      <c r="L41" s="26">
        <f t="shared" si="0"/>
        <v>0.63739787737649845</v>
      </c>
      <c r="M41" s="26">
        <f t="shared" si="0"/>
        <v>1.166240409207161</v>
      </c>
      <c r="N41" s="26">
        <f t="shared" si="0"/>
        <v>1.299804635229888</v>
      </c>
      <c r="O41" s="26">
        <f t="shared" si="0"/>
        <v>0.42138364779874216</v>
      </c>
      <c r="P41" s="26">
        <f t="shared" si="0"/>
        <v>27</v>
      </c>
      <c r="Q41" s="26">
        <f t="shared" si="0"/>
        <v>2.5735849056603777</v>
      </c>
      <c r="R41" s="26">
        <f t="shared" si="0"/>
        <v>11.052045728038507</v>
      </c>
      <c r="S41" s="26">
        <v>1.1000000000000001</v>
      </c>
      <c r="T41" s="26">
        <f t="shared" si="0"/>
        <v>1.26</v>
      </c>
      <c r="U41" s="26">
        <f t="shared" si="0"/>
        <v>0.59668508287292821</v>
      </c>
      <c r="V41" s="116">
        <f t="shared" ref="V41:V50" si="1">COUNTIF(A41:U41,"&gt;1")</f>
        <v>16</v>
      </c>
      <c r="W41" s="117">
        <f>COUNTIF(B41:U41,"&lt;1")</f>
        <v>3</v>
      </c>
    </row>
    <row r="42" spans="1:26" ht="14.4" thickBot="1" x14ac:dyDescent="0.3">
      <c r="A42" s="51" t="s">
        <v>181</v>
      </c>
      <c r="B42">
        <f>B7/B21</f>
        <v>0.98347107438016523</v>
      </c>
      <c r="C42">
        <f t="shared" ref="C42:T42" si="2">C7/C21</f>
        <v>2.8527929901423876</v>
      </c>
      <c r="D42">
        <f t="shared" si="2"/>
        <v>10.857343969967152</v>
      </c>
      <c r="E42">
        <f>E7/E21</f>
        <v>0.15407262021589796</v>
      </c>
      <c r="F42">
        <f t="shared" si="2"/>
        <v>1.4580152671755724</v>
      </c>
      <c r="G42">
        <f>G7/G21</f>
        <v>0.80645161290322565</v>
      </c>
      <c r="H42">
        <f t="shared" si="2"/>
        <v>2.4473684210526305</v>
      </c>
      <c r="I42">
        <f t="shared" si="2"/>
        <v>14.328956319603058</v>
      </c>
      <c r="J42" s="26">
        <v>1.1000000000000001</v>
      </c>
      <c r="K42">
        <f t="shared" si="2"/>
        <v>8.7205607476635514</v>
      </c>
      <c r="L42">
        <f t="shared" si="2"/>
        <v>3.7678339818417639</v>
      </c>
      <c r="M42">
        <f t="shared" si="2"/>
        <v>23.267857142857142</v>
      </c>
      <c r="N42">
        <f t="shared" si="2"/>
        <v>3.992592592592592</v>
      </c>
      <c r="O42">
        <f t="shared" si="2"/>
        <v>2.7086092715231787</v>
      </c>
      <c r="P42">
        <f t="shared" si="2"/>
        <v>0.98029556650246319</v>
      </c>
      <c r="Q42">
        <f t="shared" si="2"/>
        <v>0.62454873646209386</v>
      </c>
      <c r="R42">
        <f t="shared" si="2"/>
        <v>1.0877192982456141</v>
      </c>
      <c r="S42">
        <f t="shared" si="2"/>
        <v>36.612000000000002</v>
      </c>
      <c r="T42">
        <f t="shared" si="2"/>
        <v>1.1466876971608833</v>
      </c>
      <c r="U42">
        <v>1.1000000000000001</v>
      </c>
      <c r="V42" s="118">
        <f>COUNTIF(A42:U42,"&gt;1")</f>
        <v>15</v>
      </c>
      <c r="W42" s="110">
        <f>20-V42</f>
        <v>5</v>
      </c>
      <c r="Y42" s="109"/>
      <c r="Z42" s="110"/>
    </row>
    <row r="43" spans="1:26" ht="14.4" thickBot="1" x14ac:dyDescent="0.3">
      <c r="A43" s="51" t="s">
        <v>182</v>
      </c>
      <c r="B43">
        <f>B8/B23</f>
        <v>0.63513513513513509</v>
      </c>
      <c r="C43">
        <f t="shared" ref="C43:T43" si="3">C8/C23</f>
        <v>1.8747744496571634</v>
      </c>
      <c r="D43">
        <f t="shared" si="3"/>
        <v>2.9246676514032499</v>
      </c>
      <c r="E43">
        <f t="shared" si="3"/>
        <v>1.0238095238095237</v>
      </c>
      <c r="F43">
        <v>1.1000000000000001</v>
      </c>
      <c r="G43">
        <f>G8/G23</f>
        <v>0.59999999999999953</v>
      </c>
      <c r="H43">
        <f t="shared" si="3"/>
        <v>3.263157894736842</v>
      </c>
      <c r="I43">
        <f>I8/I23</f>
        <v>3.0387579359614127</v>
      </c>
      <c r="J43" s="26">
        <v>1.1000000000000001</v>
      </c>
      <c r="K43">
        <f t="shared" si="3"/>
        <v>1.8026960784313726</v>
      </c>
      <c r="L43">
        <v>1.1000000000000001</v>
      </c>
      <c r="M43">
        <f t="shared" si="3"/>
        <v>2.3621621621621625</v>
      </c>
      <c r="N43">
        <v>1.1000000000000001</v>
      </c>
      <c r="O43">
        <f t="shared" si="3"/>
        <v>1.1769911504424779</v>
      </c>
      <c r="P43">
        <f t="shared" si="3"/>
        <v>1.0088105726872247</v>
      </c>
      <c r="Q43">
        <f t="shared" si="3"/>
        <v>0.42233009708737856</v>
      </c>
      <c r="R43">
        <v>1.1000000000000001</v>
      </c>
      <c r="S43">
        <f t="shared" si="3"/>
        <v>5.4548672566371676</v>
      </c>
      <c r="T43">
        <f t="shared" si="3"/>
        <v>0.51287553648068673</v>
      </c>
      <c r="U43">
        <v>1.1000000000000001</v>
      </c>
      <c r="V43" s="118">
        <f t="shared" si="1"/>
        <v>16</v>
      </c>
      <c r="W43" s="110">
        <f t="shared" ref="W43:W51" si="4">20-V43</f>
        <v>4</v>
      </c>
      <c r="Y43" s="109"/>
      <c r="Z43" s="110"/>
    </row>
    <row r="44" spans="1:26" ht="14.4" thickBot="1" x14ac:dyDescent="0.3">
      <c r="A44" s="51" t="s">
        <v>183</v>
      </c>
      <c r="B44">
        <f>B9/B22</f>
        <v>0.10404624277456648</v>
      </c>
      <c r="C44">
        <f t="shared" ref="C44:T44" si="5">C9/C22</f>
        <v>0.26822197680839316</v>
      </c>
      <c r="D44">
        <f t="shared" si="5"/>
        <v>0.79081099895579532</v>
      </c>
      <c r="E44">
        <f>E9/E22</f>
        <v>0.22553191489361701</v>
      </c>
      <c r="F44">
        <f t="shared" si="5"/>
        <v>0</v>
      </c>
      <c r="G44">
        <f>G9/G22</f>
        <v>0.3873239436619717</v>
      </c>
      <c r="H44">
        <f t="shared" si="5"/>
        <v>0.72641509433962248</v>
      </c>
      <c r="I44">
        <f t="shared" si="5"/>
        <v>0.95034719574267179</v>
      </c>
      <c r="J44" s="26">
        <v>1.1000000000000001</v>
      </c>
      <c r="K44">
        <f t="shared" si="5"/>
        <v>1.1530546623794211</v>
      </c>
      <c r="L44">
        <f t="shared" si="5"/>
        <v>0.71248246844319774</v>
      </c>
      <c r="M44">
        <f t="shared" si="5"/>
        <v>1.2413793103448276</v>
      </c>
      <c r="N44">
        <v>1.1000000000000001</v>
      </c>
      <c r="O44">
        <f t="shared" si="5"/>
        <v>0.7931034482758621</v>
      </c>
      <c r="P44">
        <f t="shared" si="5"/>
        <v>1.3471337579617835</v>
      </c>
      <c r="Q44">
        <f t="shared" si="5"/>
        <v>0.15720524017467247</v>
      </c>
      <c r="R44">
        <f t="shared" si="5"/>
        <v>0</v>
      </c>
      <c r="S44">
        <f t="shared" si="5"/>
        <v>1.0673366834170854</v>
      </c>
      <c r="T44">
        <f t="shared" si="5"/>
        <v>0.46685082872928174</v>
      </c>
      <c r="U44">
        <v>1.1000000000000001</v>
      </c>
      <c r="V44" s="118">
        <f t="shared" si="1"/>
        <v>7</v>
      </c>
      <c r="W44" s="110">
        <f t="shared" si="4"/>
        <v>13</v>
      </c>
      <c r="Y44" s="109"/>
      <c r="Z44" s="110"/>
    </row>
    <row r="45" spans="1:26" ht="14.4" thickBot="1" x14ac:dyDescent="0.3">
      <c r="A45" s="51" t="s">
        <v>184</v>
      </c>
      <c r="B45">
        <f>B10/B24</f>
        <v>0.91612903225806441</v>
      </c>
      <c r="C45">
        <f t="shared" ref="C45:T45" si="6">C10/C24</f>
        <v>1.80529197080292</v>
      </c>
      <c r="D45">
        <f t="shared" si="6"/>
        <v>2.2029494382022472</v>
      </c>
      <c r="E45">
        <f t="shared" si="6"/>
        <v>0.21640091116173121</v>
      </c>
      <c r="F45">
        <v>1.1000000000000001</v>
      </c>
      <c r="G45">
        <f t="shared" si="6"/>
        <v>0.27547169811320732</v>
      </c>
      <c r="H45">
        <f t="shared" si="6"/>
        <v>1.5930232558139532</v>
      </c>
      <c r="I45">
        <f t="shared" si="6"/>
        <v>2.052557762405312</v>
      </c>
      <c r="J45" s="26">
        <v>1.1000000000000001</v>
      </c>
      <c r="K45">
        <f t="shared" si="6"/>
        <v>2.3597033374536465</v>
      </c>
      <c r="L45">
        <v>1.1000000000000001</v>
      </c>
      <c r="M45">
        <f t="shared" si="6"/>
        <v>5.2281105990783416</v>
      </c>
      <c r="N45">
        <f t="shared" si="6"/>
        <v>3.8119999999999998</v>
      </c>
      <c r="O45">
        <f t="shared" si="6"/>
        <v>4.6860465116279064</v>
      </c>
      <c r="P45">
        <f>P10/P24</f>
        <v>0.62439024390243913</v>
      </c>
      <c r="Q45">
        <f t="shared" si="6"/>
        <v>0.32658959537572252</v>
      </c>
      <c r="R45">
        <v>1.1000000000000001</v>
      </c>
      <c r="S45">
        <f t="shared" si="6"/>
        <v>3.705079191698526</v>
      </c>
      <c r="T45">
        <f t="shared" si="6"/>
        <v>1.2960325534079349</v>
      </c>
      <c r="U45">
        <v>1.1000000000000001</v>
      </c>
      <c r="V45" s="118">
        <f t="shared" si="1"/>
        <v>15</v>
      </c>
      <c r="W45" s="110">
        <f t="shared" si="4"/>
        <v>5</v>
      </c>
      <c r="Y45" s="109"/>
      <c r="Z45" s="110"/>
    </row>
    <row r="46" spans="1:26" x14ac:dyDescent="0.25">
      <c r="A46" s="51" t="s">
        <v>185</v>
      </c>
      <c r="B46">
        <f>B11/B25</f>
        <v>1.4901960784313724</v>
      </c>
      <c r="C46">
        <f t="shared" ref="C46:U46" si="7">C11/C25</f>
        <v>6.4785591766723849</v>
      </c>
      <c r="D46">
        <f t="shared" si="7"/>
        <v>4.1550736497545007</v>
      </c>
      <c r="E46">
        <f t="shared" si="7"/>
        <v>0.56037151702786381</v>
      </c>
      <c r="F46">
        <v>1.1000000000000001</v>
      </c>
      <c r="G46">
        <f t="shared" si="7"/>
        <v>1.3926940639269403</v>
      </c>
      <c r="H46">
        <f t="shared" si="7"/>
        <v>2.8071748878923763</v>
      </c>
      <c r="I46">
        <f t="shared" si="7"/>
        <v>2.4543095990273156</v>
      </c>
      <c r="J46">
        <f t="shared" si="7"/>
        <v>9.8657407407407387</v>
      </c>
      <c r="K46">
        <f t="shared" si="7"/>
        <v>3.7522306108442005</v>
      </c>
      <c r="L46">
        <v>1.1000000000000001</v>
      </c>
      <c r="M46">
        <f t="shared" si="7"/>
        <v>10.18732782369146</v>
      </c>
      <c r="N46">
        <f t="shared" si="7"/>
        <v>5.0658914728682172</v>
      </c>
      <c r="O46">
        <f t="shared" si="7"/>
        <v>6.4768518518518512</v>
      </c>
      <c r="P46">
        <f t="shared" si="7"/>
        <v>0.73170731707317072</v>
      </c>
      <c r="Q46">
        <f t="shared" si="7"/>
        <v>0.4043126684636118</v>
      </c>
      <c r="R46">
        <v>1.1000000000000001</v>
      </c>
      <c r="S46">
        <f t="shared" si="7"/>
        <v>9.4154929577464799</v>
      </c>
      <c r="T46">
        <f t="shared" si="7"/>
        <v>5.2679900744416868</v>
      </c>
      <c r="U46">
        <f t="shared" si="7"/>
        <v>5.8035714285714279</v>
      </c>
      <c r="V46" s="118">
        <f t="shared" si="1"/>
        <v>17</v>
      </c>
      <c r="W46" s="110">
        <f t="shared" si="4"/>
        <v>3</v>
      </c>
      <c r="Y46" s="109"/>
      <c r="Z46" s="110"/>
    </row>
    <row r="47" spans="1:26" x14ac:dyDescent="0.25">
      <c r="A47" s="51" t="s">
        <v>186</v>
      </c>
      <c r="B47">
        <f>B12/B27</f>
        <v>0.93626373626373627</v>
      </c>
      <c r="C47">
        <f t="shared" ref="C47:U47" si="8">C12/C27</f>
        <v>1.3618924560182886</v>
      </c>
      <c r="D47">
        <f t="shared" si="8"/>
        <v>2.4996313590562793</v>
      </c>
      <c r="E47">
        <f t="shared" si="8"/>
        <v>0.21647509578544061</v>
      </c>
      <c r="F47">
        <f t="shared" si="8"/>
        <v>1.7530966143682909</v>
      </c>
      <c r="G47">
        <f t="shared" si="8"/>
        <v>0.48370927318295742</v>
      </c>
      <c r="H47">
        <f t="shared" si="8"/>
        <v>1.3033088235294117</v>
      </c>
      <c r="I47">
        <f t="shared" si="8"/>
        <v>1.0447526229894659</v>
      </c>
      <c r="J47">
        <f t="shared" si="8"/>
        <v>1.6312195121951218</v>
      </c>
      <c r="K47">
        <f t="shared" si="8"/>
        <v>1.4340452261306531</v>
      </c>
      <c r="L47">
        <f t="shared" si="8"/>
        <v>1.0434083601286175</v>
      </c>
      <c r="M47">
        <f t="shared" si="8"/>
        <v>2.3680614859094793</v>
      </c>
      <c r="N47">
        <f t="shared" si="8"/>
        <v>2.0369198312236283</v>
      </c>
      <c r="O47">
        <f t="shared" si="8"/>
        <v>1.6038159371492706</v>
      </c>
      <c r="P47">
        <f t="shared" si="8"/>
        <v>0.39642857142857146</v>
      </c>
      <c r="Q47">
        <f t="shared" si="8"/>
        <v>0.29285714285714287</v>
      </c>
      <c r="R47">
        <f t="shared" si="8"/>
        <v>2.3757961783439487</v>
      </c>
      <c r="S47">
        <f t="shared" si="8"/>
        <v>1.6324251898168824</v>
      </c>
      <c r="T47">
        <f t="shared" si="8"/>
        <v>0.96372795969773284</v>
      </c>
      <c r="U47">
        <f t="shared" si="8"/>
        <v>0.62847222222222221</v>
      </c>
      <c r="V47" s="118">
        <f t="shared" si="1"/>
        <v>13</v>
      </c>
      <c r="W47" s="110">
        <f t="shared" si="4"/>
        <v>7</v>
      </c>
      <c r="Y47" s="109"/>
      <c r="Z47" s="110"/>
    </row>
    <row r="48" spans="1:26" x14ac:dyDescent="0.25">
      <c r="A48" s="51" t="s">
        <v>554</v>
      </c>
      <c r="B48">
        <f>B13/B29</f>
        <v>1.9920634920634919</v>
      </c>
      <c r="C48">
        <f t="shared" ref="C48:U48" si="9">C13/C29</f>
        <v>2.829222457129434</v>
      </c>
      <c r="D48">
        <f t="shared" si="9"/>
        <v>4.2690217391304346</v>
      </c>
      <c r="E48">
        <f t="shared" si="9"/>
        <v>0.84126984126984128</v>
      </c>
      <c r="F48">
        <f t="shared" si="9"/>
        <v>2.0723140495867769</v>
      </c>
      <c r="G48">
        <f t="shared" si="9"/>
        <v>0.61349693251533743</v>
      </c>
      <c r="H48">
        <f t="shared" si="9"/>
        <v>2.0150753768844223</v>
      </c>
      <c r="I48">
        <f t="shared" si="9"/>
        <v>4.0309738841417664</v>
      </c>
      <c r="J48">
        <f t="shared" si="9"/>
        <v>8.6336206896551744</v>
      </c>
      <c r="K48">
        <f t="shared" si="9"/>
        <v>3.1996658312447783</v>
      </c>
      <c r="L48">
        <v>1.1000000000000001</v>
      </c>
      <c r="M48">
        <f t="shared" si="9"/>
        <v>6.9213197969543163</v>
      </c>
      <c r="N48">
        <f t="shared" si="9"/>
        <v>3.3994252873563218</v>
      </c>
      <c r="O48">
        <f t="shared" si="9"/>
        <v>1.7296137339055795</v>
      </c>
      <c r="P48">
        <f t="shared" si="9"/>
        <v>0.953125</v>
      </c>
      <c r="Q48">
        <f t="shared" si="9"/>
        <v>0.7363184079601991</v>
      </c>
      <c r="R48">
        <v>1.1000000000000001</v>
      </c>
      <c r="S48">
        <v>1.1000000000000001</v>
      </c>
      <c r="T48">
        <f t="shared" si="9"/>
        <v>1.2485843714609286</v>
      </c>
      <c r="U48">
        <f t="shared" si="9"/>
        <v>2.2589285714285712</v>
      </c>
      <c r="V48" s="118">
        <f t="shared" si="1"/>
        <v>16</v>
      </c>
      <c r="W48" s="110">
        <f t="shared" si="4"/>
        <v>4</v>
      </c>
      <c r="Y48" s="109"/>
      <c r="Z48" s="110"/>
    </row>
    <row r="49" spans="1:82" x14ac:dyDescent="0.25">
      <c r="A49" s="51" t="s">
        <v>555</v>
      </c>
      <c r="B49">
        <f>B14/B30</f>
        <v>1.0828025477707006</v>
      </c>
      <c r="C49">
        <f t="shared" ref="C49:U49" si="10">C14/C30</f>
        <v>1.2140280561122245</v>
      </c>
      <c r="D49">
        <f t="shared" si="10"/>
        <v>0.69522983521248916</v>
      </c>
      <c r="E49">
        <f t="shared" si="10"/>
        <v>0.68354430379746833</v>
      </c>
      <c r="F49">
        <f t="shared" si="10"/>
        <v>0</v>
      </c>
      <c r="G49">
        <f t="shared" si="10"/>
        <v>0.76863354037267084</v>
      </c>
      <c r="H49">
        <f t="shared" si="10"/>
        <v>0.91208791208791229</v>
      </c>
      <c r="I49">
        <f t="shared" si="10"/>
        <v>9.5067734978334983E-2</v>
      </c>
      <c r="J49">
        <f t="shared" si="10"/>
        <v>2.0723905723905722</v>
      </c>
      <c r="K49">
        <f t="shared" si="10"/>
        <v>4.0775616083009085</v>
      </c>
      <c r="L49">
        <f t="shared" si="10"/>
        <v>2.2109479305740987</v>
      </c>
      <c r="M49">
        <f t="shared" si="10"/>
        <v>0.28549540347293151</v>
      </c>
      <c r="N49">
        <f t="shared" si="10"/>
        <v>3.8534428300694881E-2</v>
      </c>
      <c r="O49">
        <f t="shared" si="10"/>
        <v>0.71230769230769231</v>
      </c>
      <c r="P49">
        <f t="shared" si="10"/>
        <v>4.0803571428571423</v>
      </c>
      <c r="Q49">
        <f t="shared" si="10"/>
        <v>1.8874999999999997</v>
      </c>
      <c r="R49">
        <f t="shared" si="10"/>
        <v>4.1847690387016234</v>
      </c>
      <c r="S49">
        <f t="shared" si="10"/>
        <v>0</v>
      </c>
      <c r="T49">
        <f t="shared" si="10"/>
        <v>1.7634146341463417</v>
      </c>
      <c r="U49">
        <f t="shared" si="10"/>
        <v>4.5730337078651688</v>
      </c>
      <c r="V49" s="118">
        <f t="shared" si="1"/>
        <v>10</v>
      </c>
      <c r="W49" s="110">
        <f t="shared" si="4"/>
        <v>10</v>
      </c>
      <c r="Y49" s="109"/>
      <c r="Z49" s="110"/>
    </row>
    <row r="50" spans="1:82" x14ac:dyDescent="0.25">
      <c r="A50" s="51" t="s">
        <v>556</v>
      </c>
      <c r="B50">
        <f>B15/B34</f>
        <v>8.3862770012706478E-2</v>
      </c>
      <c r="C50">
        <f t="shared" ref="C50:U50" si="11">C15/C34</f>
        <v>0.82014388489208634</v>
      </c>
      <c r="D50">
        <f t="shared" si="11"/>
        <v>0.634825231954251</v>
      </c>
      <c r="E50">
        <f t="shared" si="11"/>
        <v>0.50806451612903225</v>
      </c>
      <c r="F50">
        <f t="shared" si="11"/>
        <v>0.87148776540969941</v>
      </c>
      <c r="G50">
        <f t="shared" si="11"/>
        <v>1.2773019271948609</v>
      </c>
      <c r="H50">
        <f t="shared" si="11"/>
        <v>2.2797603181911015</v>
      </c>
      <c r="I50">
        <f t="shared" si="11"/>
        <v>1.4265935214211076</v>
      </c>
      <c r="J50">
        <f t="shared" si="11"/>
        <v>0.89881494986326338</v>
      </c>
      <c r="K50">
        <f t="shared" si="11"/>
        <v>0.51526508016000572</v>
      </c>
      <c r="L50">
        <f t="shared" si="11"/>
        <v>0.94644317252657395</v>
      </c>
      <c r="M50">
        <f t="shared" si="11"/>
        <v>0.72501823486506201</v>
      </c>
      <c r="N50">
        <f t="shared" si="11"/>
        <v>0.92893931766254878</v>
      </c>
      <c r="O50">
        <f t="shared" si="11"/>
        <v>9.3648449039881829E-2</v>
      </c>
      <c r="P50">
        <f t="shared" si="11"/>
        <v>5.611586796734092</v>
      </c>
      <c r="Q50">
        <f t="shared" si="11"/>
        <v>0.61499999999999999</v>
      </c>
      <c r="R50">
        <v>1.1000000000000001</v>
      </c>
      <c r="S50">
        <v>1.1000000000000001</v>
      </c>
      <c r="T50">
        <f t="shared" si="11"/>
        <v>0.28722653493295697</v>
      </c>
      <c r="U50">
        <f t="shared" si="11"/>
        <v>0.19970986460348161</v>
      </c>
      <c r="V50" s="118">
        <f t="shared" si="1"/>
        <v>6</v>
      </c>
      <c r="W50" s="110">
        <f t="shared" si="4"/>
        <v>14</v>
      </c>
      <c r="Y50" s="109"/>
      <c r="Z50" s="110"/>
    </row>
    <row r="51" spans="1:82" x14ac:dyDescent="0.25">
      <c r="A51" s="51" t="s">
        <v>557</v>
      </c>
      <c r="B51">
        <f>B18/B32</f>
        <v>1.1481481481481481</v>
      </c>
      <c r="C51">
        <f t="shared" ref="C51:U51" si="12">C18/C32</f>
        <v>1.2893692104102337</v>
      </c>
      <c r="D51">
        <f t="shared" si="12"/>
        <v>1.4493267186392629</v>
      </c>
      <c r="E51">
        <f t="shared" si="12"/>
        <v>0.71084337349397586</v>
      </c>
      <c r="F51">
        <f t="shared" si="12"/>
        <v>1.0287253141831239</v>
      </c>
      <c r="G51">
        <f t="shared" si="12"/>
        <v>0.90405904059040598</v>
      </c>
      <c r="H51">
        <f t="shared" si="12"/>
        <v>3.4933333333333332</v>
      </c>
      <c r="I51">
        <f t="shared" si="12"/>
        <v>1.299430691485959</v>
      </c>
      <c r="J51">
        <f t="shared" si="12"/>
        <v>1.4095940959409594</v>
      </c>
      <c r="K51">
        <f t="shared" si="12"/>
        <v>1.445996663886572</v>
      </c>
      <c r="L51">
        <v>1.1000000000000001</v>
      </c>
      <c r="M51">
        <f t="shared" si="12"/>
        <v>2.0859728506787332</v>
      </c>
      <c r="N51">
        <f t="shared" si="12"/>
        <v>1.0245499181669393</v>
      </c>
      <c r="O51">
        <f t="shared" si="12"/>
        <v>1.4956268221574343</v>
      </c>
      <c r="P51">
        <f t="shared" si="12"/>
        <v>0.7009803921568627</v>
      </c>
      <c r="Q51">
        <f t="shared" si="12"/>
        <v>0.29605263157894735</v>
      </c>
      <c r="R51">
        <v>1.1000000000000001</v>
      </c>
      <c r="S51">
        <v>1.1000000000000001</v>
      </c>
      <c r="T51">
        <f t="shared" si="12"/>
        <v>0.81249999999999989</v>
      </c>
      <c r="U51">
        <f t="shared" si="12"/>
        <v>1.2072072072072071</v>
      </c>
      <c r="V51" s="118">
        <f>COUNTIF(A51:U51,"&gt;1")</f>
        <v>15</v>
      </c>
      <c r="W51" s="110">
        <f t="shared" si="4"/>
        <v>5</v>
      </c>
    </row>
    <row r="52" spans="1:82" x14ac:dyDescent="0.25">
      <c r="B52" s="112">
        <f>COUNTIF(B42:B51,"&gt;0.8")</f>
        <v>7</v>
      </c>
      <c r="C52" s="112">
        <f t="shared" ref="C52:U52" si="13">COUNTIF(C42:C51,"&gt;0.8")</f>
        <v>9</v>
      </c>
      <c r="D52" s="112">
        <f t="shared" si="13"/>
        <v>7</v>
      </c>
      <c r="E52" s="112">
        <f t="shared" si="13"/>
        <v>2</v>
      </c>
      <c r="F52" s="112">
        <f t="shared" si="13"/>
        <v>8</v>
      </c>
      <c r="G52" s="112">
        <f t="shared" si="13"/>
        <v>4</v>
      </c>
      <c r="H52" s="112">
        <f t="shared" si="13"/>
        <v>9</v>
      </c>
      <c r="I52" s="112">
        <f t="shared" si="13"/>
        <v>9</v>
      </c>
      <c r="J52" s="112">
        <f t="shared" si="13"/>
        <v>10</v>
      </c>
      <c r="K52" s="112">
        <f t="shared" si="13"/>
        <v>9</v>
      </c>
      <c r="L52" s="112">
        <f t="shared" si="13"/>
        <v>9</v>
      </c>
      <c r="M52" s="112">
        <f t="shared" si="13"/>
        <v>8</v>
      </c>
      <c r="N52" s="112">
        <f t="shared" si="13"/>
        <v>9</v>
      </c>
      <c r="O52" s="112">
        <f t="shared" si="13"/>
        <v>7</v>
      </c>
      <c r="P52" s="112">
        <f t="shared" si="13"/>
        <v>6</v>
      </c>
      <c r="Q52" s="112">
        <f t="shared" si="13"/>
        <v>1</v>
      </c>
      <c r="R52" s="112">
        <f t="shared" si="13"/>
        <v>9</v>
      </c>
      <c r="S52" s="112">
        <f t="shared" si="13"/>
        <v>9</v>
      </c>
      <c r="T52" s="112">
        <f t="shared" si="13"/>
        <v>7</v>
      </c>
      <c r="U52" s="112">
        <f t="shared" si="13"/>
        <v>8</v>
      </c>
      <c r="V52" s="119">
        <f>AVERAGE(B52:U52)</f>
        <v>7.35</v>
      </c>
      <c r="W52" s="120">
        <f>AVERAGE(V42:V51)</f>
        <v>13</v>
      </c>
    </row>
    <row r="53" spans="1:82" x14ac:dyDescent="0.25">
      <c r="B53" t="s">
        <v>671</v>
      </c>
      <c r="W53">
        <f>_xlfn.STDEV.P(V42:V51)</f>
        <v>3.7416573867739413</v>
      </c>
    </row>
    <row r="54" spans="1:82" x14ac:dyDescent="0.25">
      <c r="A54" s="51" t="s">
        <v>641</v>
      </c>
      <c r="B54">
        <f>AVERAGE(B45,B46,B47,B48)</f>
        <v>1.3336630847541664</v>
      </c>
      <c r="W54">
        <f>AVERAGE(W42:W51)</f>
        <v>7</v>
      </c>
    </row>
    <row r="55" spans="1:82" x14ac:dyDescent="0.25">
      <c r="A55" s="51" t="s">
        <v>642</v>
      </c>
      <c r="B55">
        <f>AVERAGE(B42,B43,B44,B49)</f>
        <v>0.70136375001514195</v>
      </c>
    </row>
    <row r="56" spans="1:82" x14ac:dyDescent="0.25">
      <c r="A56" s="51" t="s">
        <v>643</v>
      </c>
      <c r="B56" t="e">
        <f>AVERAGE(#REF!,B51)</f>
        <v>#REF!</v>
      </c>
    </row>
    <row r="57" spans="1:82" x14ac:dyDescent="0.25">
      <c r="A57" s="51" t="s">
        <v>644</v>
      </c>
      <c r="B57" t="e">
        <f>AVERAGE(#REF!)</f>
        <v>#REF!</v>
      </c>
    </row>
    <row r="58" spans="1:82" x14ac:dyDescent="0.25">
      <c r="A58" s="51" t="s">
        <v>188</v>
      </c>
    </row>
    <row r="62" spans="1:82" x14ac:dyDescent="0.25">
      <c r="A62" s="54" t="s">
        <v>446</v>
      </c>
      <c r="B62" s="41" t="s">
        <v>253</v>
      </c>
      <c r="C62" t="s">
        <v>254</v>
      </c>
      <c r="D62" t="s">
        <v>256</v>
      </c>
      <c r="E62" s="30" t="s">
        <v>257</v>
      </c>
      <c r="F62" t="s">
        <v>258</v>
      </c>
      <c r="G62" s="32" t="s">
        <v>259</v>
      </c>
      <c r="H62" t="s">
        <v>260</v>
      </c>
      <c r="I62" s="30" t="s">
        <v>261</v>
      </c>
      <c r="J62" t="s">
        <v>262</v>
      </c>
      <c r="K62" t="s">
        <v>263</v>
      </c>
      <c r="L62" t="s">
        <v>264</v>
      </c>
      <c r="M62" t="s">
        <v>265</v>
      </c>
      <c r="N62" t="s">
        <v>163</v>
      </c>
      <c r="O62" t="s">
        <v>164</v>
      </c>
      <c r="P62" s="30" t="s">
        <v>165</v>
      </c>
      <c r="Q62" t="s">
        <v>267</v>
      </c>
      <c r="R62" t="s">
        <v>268</v>
      </c>
      <c r="S62" s="30" t="s">
        <v>270</v>
      </c>
      <c r="T62" t="s">
        <v>271</v>
      </c>
      <c r="U62" t="s">
        <v>273</v>
      </c>
      <c r="V62" s="30" t="s">
        <v>274</v>
      </c>
      <c r="W62" s="31" t="s">
        <v>276</v>
      </c>
      <c r="X62" s="30" t="s">
        <v>277</v>
      </c>
      <c r="Y62" s="30" t="s">
        <v>278</v>
      </c>
      <c r="Z62" t="s">
        <v>279</v>
      </c>
      <c r="AA62" t="s">
        <v>281</v>
      </c>
      <c r="AB62" t="s">
        <v>282</v>
      </c>
      <c r="AC62" s="29" t="s">
        <v>283</v>
      </c>
      <c r="AD62" t="s">
        <v>284</v>
      </c>
      <c r="AE62" t="s">
        <v>285</v>
      </c>
      <c r="AF62" s="32" t="s">
        <v>286</v>
      </c>
      <c r="AG62" t="s">
        <v>288</v>
      </c>
      <c r="AH62" t="s">
        <v>289</v>
      </c>
      <c r="AI62" t="s">
        <v>290</v>
      </c>
      <c r="AJ62" s="29" t="s">
        <v>291</v>
      </c>
      <c r="AK62" t="s">
        <v>293</v>
      </c>
      <c r="AL62" s="30" t="s">
        <v>294</v>
      </c>
      <c r="AM62" s="29" t="s">
        <v>295</v>
      </c>
      <c r="AN62" t="s">
        <v>296</v>
      </c>
      <c r="AO62" t="s">
        <v>297</v>
      </c>
      <c r="AP62" s="30" t="s">
        <v>298</v>
      </c>
      <c r="AQ62" t="s">
        <v>299</v>
      </c>
      <c r="AR62" t="s">
        <v>302</v>
      </c>
      <c r="AS62" s="30" t="s">
        <v>171</v>
      </c>
      <c r="AT62" t="s">
        <v>304</v>
      </c>
      <c r="AU62" t="s">
        <v>305</v>
      </c>
      <c r="AV62" t="s">
        <v>306</v>
      </c>
      <c r="AW62" t="s">
        <v>307</v>
      </c>
      <c r="AX62" s="29" t="s">
        <v>308</v>
      </c>
      <c r="AY62" t="s">
        <v>309</v>
      </c>
      <c r="AZ62" t="s">
        <v>310</v>
      </c>
      <c r="BA62" s="29" t="s">
        <v>311</v>
      </c>
      <c r="BB62" t="s">
        <v>312</v>
      </c>
      <c r="BC62" t="s">
        <v>313</v>
      </c>
      <c r="BD62" t="s">
        <v>314</v>
      </c>
      <c r="BE62" t="s">
        <v>315</v>
      </c>
      <c r="BF62" t="s">
        <v>316</v>
      </c>
      <c r="BG62" t="s">
        <v>318</v>
      </c>
      <c r="BH62" t="s">
        <v>319</v>
      </c>
      <c r="BI62" t="s">
        <v>320</v>
      </c>
      <c r="BJ62" s="32" t="s">
        <v>321</v>
      </c>
      <c r="BK62" s="32" t="s">
        <v>322</v>
      </c>
      <c r="BL62" t="s">
        <v>323</v>
      </c>
      <c r="BM62" t="s">
        <v>324</v>
      </c>
      <c r="BN62" t="s">
        <v>325</v>
      </c>
      <c r="BO62" t="s">
        <v>326</v>
      </c>
      <c r="BP62" t="s">
        <v>328</v>
      </c>
      <c r="BQ62" t="s">
        <v>389</v>
      </c>
      <c r="BR62" t="s">
        <v>390</v>
      </c>
      <c r="BS62" t="s">
        <v>391</v>
      </c>
      <c r="BT62" t="s">
        <v>392</v>
      </c>
      <c r="BU62" t="s">
        <v>393</v>
      </c>
      <c r="BV62" t="s">
        <v>394</v>
      </c>
      <c r="BW62" t="s">
        <v>395</v>
      </c>
      <c r="BX62" t="s">
        <v>396</v>
      </c>
      <c r="BY62" t="s">
        <v>397</v>
      </c>
      <c r="BZ62" t="s">
        <v>398</v>
      </c>
      <c r="CA62" t="s">
        <v>399</v>
      </c>
      <c r="CB62" t="s">
        <v>400</v>
      </c>
      <c r="CC62" t="s">
        <v>401</v>
      </c>
      <c r="CD62" t="s">
        <v>402</v>
      </c>
    </row>
    <row r="63" spans="1:82" x14ac:dyDescent="0.25">
      <c r="B63" s="41" t="s">
        <v>253</v>
      </c>
      <c r="C63" t="s">
        <v>254</v>
      </c>
      <c r="D63" t="s">
        <v>256</v>
      </c>
      <c r="E63" s="30" t="s">
        <v>257</v>
      </c>
      <c r="F63" t="s">
        <v>258</v>
      </c>
      <c r="G63" s="32" t="s">
        <v>259</v>
      </c>
      <c r="H63" s="41" t="s">
        <v>260</v>
      </c>
      <c r="I63" s="30" t="s">
        <v>261</v>
      </c>
      <c r="J63" s="30" t="s">
        <v>262</v>
      </c>
      <c r="K63" s="29" t="s">
        <v>263</v>
      </c>
      <c r="L63" t="s">
        <v>264</v>
      </c>
      <c r="M63" t="s">
        <v>265</v>
      </c>
      <c r="N63" t="s">
        <v>163</v>
      </c>
      <c r="O63" t="s">
        <v>164</v>
      </c>
      <c r="P63" s="30" t="s">
        <v>165</v>
      </c>
      <c r="Q63" t="s">
        <v>267</v>
      </c>
      <c r="R63" t="s">
        <v>268</v>
      </c>
      <c r="S63" s="30" t="s">
        <v>270</v>
      </c>
      <c r="T63" t="s">
        <v>271</v>
      </c>
      <c r="U63" t="s">
        <v>273</v>
      </c>
      <c r="V63" s="30" t="s">
        <v>274</v>
      </c>
      <c r="W63" s="31" t="s">
        <v>276</v>
      </c>
      <c r="X63" s="30" t="s">
        <v>277</v>
      </c>
      <c r="Y63" s="30" t="s">
        <v>278</v>
      </c>
      <c r="Z63" t="s">
        <v>279</v>
      </c>
      <c r="AA63" t="s">
        <v>281</v>
      </c>
      <c r="AB63" t="s">
        <v>282</v>
      </c>
      <c r="AC63" s="29" t="s">
        <v>283</v>
      </c>
      <c r="AD63" t="s">
        <v>284</v>
      </c>
      <c r="AE63" t="s">
        <v>285</v>
      </c>
      <c r="AF63" s="32" t="s">
        <v>286</v>
      </c>
      <c r="AG63" t="s">
        <v>288</v>
      </c>
      <c r="AH63" t="s">
        <v>289</v>
      </c>
      <c r="AI63" t="s">
        <v>290</v>
      </c>
      <c r="AJ63" s="29" t="s">
        <v>291</v>
      </c>
      <c r="AK63" s="29" t="s">
        <v>293</v>
      </c>
      <c r="AL63" s="30" t="s">
        <v>294</v>
      </c>
      <c r="AM63" s="29" t="s">
        <v>295</v>
      </c>
      <c r="AN63" t="s">
        <v>296</v>
      </c>
      <c r="AO63" t="s">
        <v>297</v>
      </c>
      <c r="AP63" s="30" t="s">
        <v>298</v>
      </c>
      <c r="AQ63" t="s">
        <v>299</v>
      </c>
      <c r="AR63" t="s">
        <v>302</v>
      </c>
      <c r="AS63" s="30" t="s">
        <v>171</v>
      </c>
      <c r="AT63" t="s">
        <v>304</v>
      </c>
      <c r="AU63" t="s">
        <v>305</v>
      </c>
      <c r="AV63" t="s">
        <v>306</v>
      </c>
      <c r="AW63" t="s">
        <v>307</v>
      </c>
      <c r="AX63" s="29" t="s">
        <v>308</v>
      </c>
      <c r="AY63" t="s">
        <v>309</v>
      </c>
      <c r="AZ63" t="s">
        <v>310</v>
      </c>
      <c r="BA63" s="29" t="s">
        <v>311</v>
      </c>
      <c r="BB63" t="s">
        <v>312</v>
      </c>
      <c r="BC63" t="s">
        <v>313</v>
      </c>
      <c r="BD63" t="s">
        <v>314</v>
      </c>
      <c r="BE63" t="s">
        <v>315</v>
      </c>
      <c r="BF63" t="s">
        <v>316</v>
      </c>
      <c r="BG63" t="s">
        <v>318</v>
      </c>
      <c r="BH63" t="s">
        <v>319</v>
      </c>
      <c r="BI63" t="s">
        <v>320</v>
      </c>
      <c r="BJ63" s="32" t="s">
        <v>321</v>
      </c>
      <c r="BK63" s="32" t="s">
        <v>322</v>
      </c>
      <c r="BL63" t="s">
        <v>323</v>
      </c>
      <c r="BM63" t="s">
        <v>324</v>
      </c>
      <c r="BN63" t="s">
        <v>325</v>
      </c>
      <c r="BO63" t="s">
        <v>326</v>
      </c>
      <c r="BP63" t="s">
        <v>328</v>
      </c>
      <c r="BQ63" t="s">
        <v>389</v>
      </c>
      <c r="BR63" t="s">
        <v>390</v>
      </c>
      <c r="BS63" t="s">
        <v>391</v>
      </c>
      <c r="BT63" t="s">
        <v>392</v>
      </c>
      <c r="BU63" t="s">
        <v>393</v>
      </c>
      <c r="BV63" t="s">
        <v>394</v>
      </c>
      <c r="BW63" t="s">
        <v>395</v>
      </c>
      <c r="BX63" t="s">
        <v>396</v>
      </c>
      <c r="BY63" t="s">
        <v>397</v>
      </c>
      <c r="BZ63" t="s">
        <v>398</v>
      </c>
      <c r="CA63" t="s">
        <v>399</v>
      </c>
      <c r="CB63" t="s">
        <v>400</v>
      </c>
      <c r="CC63" t="s">
        <v>401</v>
      </c>
      <c r="CD63" t="s">
        <v>402</v>
      </c>
    </row>
    <row r="64" spans="1:82" x14ac:dyDescent="0.25">
      <c r="B64" s="111" t="s">
        <v>553</v>
      </c>
      <c r="C64" s="111"/>
      <c r="D64" s="111"/>
    </row>
    <row r="65" spans="1:82" s="114" customFormat="1" x14ac:dyDescent="0.25">
      <c r="A65" s="113" t="s">
        <v>415</v>
      </c>
      <c r="B65" s="114" t="e">
        <f>#REF!/#REF!</f>
        <v>#REF!</v>
      </c>
      <c r="C65" s="114" t="e">
        <f>#REF!/#REF!</f>
        <v>#REF!</v>
      </c>
      <c r="D65" s="114" t="e">
        <f>#REF!/#REF!</f>
        <v>#REF!</v>
      </c>
      <c r="E65" s="114" t="e">
        <f>#REF!/#REF!</f>
        <v>#REF!</v>
      </c>
      <c r="F65" s="114" t="e">
        <f>#REF!/#REF!</f>
        <v>#REF!</v>
      </c>
      <c r="G65" s="114" t="e">
        <f>#REF!/#REF!</f>
        <v>#REF!</v>
      </c>
      <c r="H65" s="114">
        <f>B6/B39</f>
        <v>1.8730158730158728</v>
      </c>
      <c r="I65" s="114" t="e">
        <f>#REF!/#REF!</f>
        <v>#REF!</v>
      </c>
      <c r="J65" s="114">
        <f>C6/C39</f>
        <v>1.2808743169398908</v>
      </c>
      <c r="K65" s="114" t="e">
        <f>#REF!/#REF!</f>
        <v>#REF!</v>
      </c>
      <c r="L65" s="114">
        <f>D6/D39</f>
        <v>1.111197992008695</v>
      </c>
      <c r="M65" s="114" t="e">
        <f>#REF!/#REF!</f>
        <v>#REF!</v>
      </c>
      <c r="N65" s="114" t="e">
        <f>#REF!/#REF!</f>
        <v>#REF!</v>
      </c>
      <c r="O65" s="114" t="e">
        <f>#REF!/#REF!</f>
        <v>#REF!</v>
      </c>
      <c r="P65" s="114" t="e">
        <f>#REF!/#REF!</f>
        <v>#REF!</v>
      </c>
      <c r="Q65" s="114" t="e">
        <f>E6/E39</f>
        <v>#DIV/0!</v>
      </c>
      <c r="R65" s="114" t="e">
        <f>#REF!/#REF!</f>
        <v>#REF!</v>
      </c>
      <c r="S65" s="114">
        <f>F6/F39</f>
        <v>1.613032709881288</v>
      </c>
      <c r="T65" s="114" t="e">
        <f>#REF!/#REF!</f>
        <v>#REF!</v>
      </c>
      <c r="U65" s="114" t="e">
        <f>#REF!/#REF!</f>
        <v>#REF!</v>
      </c>
      <c r="V65" s="114" t="e">
        <f>#REF!/#REF!</f>
        <v>#REF!</v>
      </c>
      <c r="W65" s="114">
        <f>G6/G39</f>
        <v>1.0758853288364247</v>
      </c>
      <c r="X65" s="114">
        <f>H6/H39</f>
        <v>38.033210332103323</v>
      </c>
      <c r="Y65" s="114" t="e">
        <f>#REF!/#REF!</f>
        <v>#REF!</v>
      </c>
      <c r="Z65" s="114">
        <f>I6/I39</f>
        <v>23.986653645833336</v>
      </c>
      <c r="AA65" s="114" t="e">
        <f>J6/J39</f>
        <v>#DIV/0!</v>
      </c>
      <c r="AB65" s="114" t="e">
        <f>#REF!/#REF!</f>
        <v>#REF!</v>
      </c>
      <c r="AC65" s="114" t="e">
        <f>#REF!/#REF!</f>
        <v>#REF!</v>
      </c>
      <c r="AD65" s="114" t="e">
        <f>#REF!/#REF!</f>
        <v>#REF!</v>
      </c>
      <c r="AE65" s="114" t="e">
        <f>#REF!/#REF!</f>
        <v>#REF!</v>
      </c>
      <c r="AF65" s="114" t="e">
        <f>#REF!/#REF!</f>
        <v>#REF!</v>
      </c>
      <c r="AG65" s="114">
        <f>K6/K39</f>
        <v>1.7484582927620902</v>
      </c>
      <c r="AH65" s="114" t="e">
        <f>#REF!/#REF!</f>
        <v>#REF!</v>
      </c>
      <c r="AI65" s="114">
        <f>L6/L39</f>
        <v>0.63739787737649845</v>
      </c>
      <c r="AJ65" s="114" t="e">
        <f>#REF!/#REF!</f>
        <v>#REF!</v>
      </c>
      <c r="AK65" s="114">
        <f>M6/M39</f>
        <v>1.166240409207161</v>
      </c>
      <c r="AL65" s="114" t="e">
        <f>#REF!/#REF!</f>
        <v>#REF!</v>
      </c>
      <c r="AM65" s="114" t="e">
        <f>#REF!/#REF!</f>
        <v>#REF!</v>
      </c>
      <c r="AN65" s="114">
        <f>N6/N39</f>
        <v>1.299804635229888</v>
      </c>
      <c r="AO65" s="114">
        <f>O6/O39</f>
        <v>0.42138364779874216</v>
      </c>
      <c r="AP65" s="114" t="e">
        <f>#REF!/#REF!</f>
        <v>#REF!</v>
      </c>
      <c r="AQ65" s="114" t="e">
        <f>#REF!/#REF!</f>
        <v>#REF!</v>
      </c>
      <c r="AR65" s="114" t="e">
        <f>#REF!/#REF!</f>
        <v>#REF!</v>
      </c>
      <c r="AS65" s="114" t="e">
        <f>#REF!/#REF!</f>
        <v>#REF!</v>
      </c>
      <c r="AT65" s="114" t="e">
        <f>#REF!/#REF!</f>
        <v>#REF!</v>
      </c>
      <c r="AU65" s="114">
        <f>P6/P39</f>
        <v>27</v>
      </c>
      <c r="AV65" s="114" t="e">
        <f>#REF!/#REF!</f>
        <v>#REF!</v>
      </c>
      <c r="AW65" s="114" t="e">
        <f>#REF!/#REF!</f>
        <v>#REF!</v>
      </c>
      <c r="AX65" s="114" t="e">
        <f>#REF!/#REF!</f>
        <v>#REF!</v>
      </c>
      <c r="AY65" s="114" t="e">
        <f>#REF!/#REF!</f>
        <v>#REF!</v>
      </c>
      <c r="AZ65" s="114" t="e">
        <f>#REF!/#REF!</f>
        <v>#REF!</v>
      </c>
      <c r="BA65" s="114">
        <f>Q6/Q39</f>
        <v>2.5735849056603777</v>
      </c>
      <c r="BB65" s="114" t="e">
        <f>#REF!/#REF!</f>
        <v>#REF!</v>
      </c>
      <c r="BC65" s="114" t="e">
        <f>#REF!/#REF!</f>
        <v>#REF!</v>
      </c>
      <c r="BD65" s="114">
        <f>R6/R39</f>
        <v>11.052045728038507</v>
      </c>
      <c r="BE65" s="114" t="e">
        <f>S6/S39</f>
        <v>#DIV/0!</v>
      </c>
      <c r="BF65" s="114" t="e">
        <f>#REF!/#REF!</f>
        <v>#REF!</v>
      </c>
      <c r="BG65" s="114" t="e">
        <f>#REF!/#REF!</f>
        <v>#REF!</v>
      </c>
      <c r="BH65" s="114" t="e">
        <f>#REF!/#REF!</f>
        <v>#REF!</v>
      </c>
      <c r="BI65" s="114" t="e">
        <f>#REF!/#REF!</f>
        <v>#REF!</v>
      </c>
      <c r="BJ65" s="114" t="e">
        <f>#REF!/#REF!</f>
        <v>#REF!</v>
      </c>
      <c r="BK65" s="114" t="e">
        <f>#REF!/#REF!</f>
        <v>#REF!</v>
      </c>
      <c r="BL65" s="114">
        <f>T6/T39</f>
        <v>1.26</v>
      </c>
      <c r="BM65" s="114" t="e">
        <f>#REF!/#REF!</f>
        <v>#REF!</v>
      </c>
      <c r="BN65" s="114">
        <f>U6/U39</f>
        <v>0.59668508287292821</v>
      </c>
      <c r="BO65" s="114" t="e">
        <f>#REF!/#REF!</f>
        <v>#REF!</v>
      </c>
      <c r="BP65" s="114" t="e">
        <f>#REF!/#REF!</f>
        <v>#REF!</v>
      </c>
      <c r="BQ65" s="114" t="e">
        <f>#REF!/#REF!</f>
        <v>#REF!</v>
      </c>
      <c r="BR65" s="114" t="e">
        <f>#REF!/#REF!</f>
        <v>#REF!</v>
      </c>
      <c r="BS65" s="114" t="e">
        <f>#REF!/#REF!</f>
        <v>#REF!</v>
      </c>
      <c r="BT65" s="114" t="e">
        <f>#REF!/#REF!</f>
        <v>#REF!</v>
      </c>
      <c r="BU65" s="114" t="e">
        <f>#REF!/#REF!</f>
        <v>#REF!</v>
      </c>
      <c r="BV65" s="114" t="e">
        <f>#REF!/#REF!</f>
        <v>#REF!</v>
      </c>
      <c r="BW65" s="114" t="e">
        <f>#REF!/#REF!</f>
        <v>#REF!</v>
      </c>
      <c r="BX65" s="114" t="e">
        <f>#REF!/#REF!</f>
        <v>#REF!</v>
      </c>
      <c r="BY65" s="114" t="e">
        <f>#REF!/#REF!</f>
        <v>#REF!</v>
      </c>
      <c r="BZ65" s="114" t="e">
        <f>#REF!/#REF!</f>
        <v>#REF!</v>
      </c>
      <c r="CA65" s="114" t="e">
        <f>#REF!/#REF!</f>
        <v>#REF!</v>
      </c>
      <c r="CB65" s="114" t="e">
        <f>#REF!/#REF!</f>
        <v>#REF!</v>
      </c>
      <c r="CC65" s="114" t="e">
        <f>#REF!/#REF!</f>
        <v>#REF!</v>
      </c>
      <c r="CD65" s="114" t="e">
        <f>#REF!/#REF!</f>
        <v>#REF!</v>
      </c>
    </row>
    <row r="66" spans="1:82" x14ac:dyDescent="0.25">
      <c r="A66" s="51" t="s">
        <v>181</v>
      </c>
      <c r="B66" t="e">
        <f>#REF!/#REF!</f>
        <v>#REF!</v>
      </c>
      <c r="C66" t="e">
        <f>#REF!/#REF!</f>
        <v>#REF!</v>
      </c>
      <c r="D66" t="e">
        <f>#REF!/#REF!</f>
        <v>#REF!</v>
      </c>
      <c r="E66" t="e">
        <f>#REF!/#REF!</f>
        <v>#REF!</v>
      </c>
      <c r="F66" t="e">
        <f>#REF!/#REF!</f>
        <v>#REF!</v>
      </c>
      <c r="G66" t="e">
        <f>#REF!/#REF!</f>
        <v>#REF!</v>
      </c>
      <c r="H66">
        <f>B7/B21</f>
        <v>0.98347107438016523</v>
      </c>
      <c r="I66" t="e">
        <f>#REF!/#REF!</f>
        <v>#REF!</v>
      </c>
      <c r="J66">
        <f>C7/C21</f>
        <v>2.8527929901423876</v>
      </c>
      <c r="K66" t="e">
        <f>#REF!/#REF!</f>
        <v>#REF!</v>
      </c>
      <c r="L66">
        <f>D7/D21</f>
        <v>10.857343969967152</v>
      </c>
      <c r="M66" t="e">
        <f>#REF!/#REF!</f>
        <v>#REF!</v>
      </c>
      <c r="N66" t="e">
        <f>#REF!/#REF!</f>
        <v>#REF!</v>
      </c>
      <c r="O66" t="e">
        <f>#REF!/#REF!</f>
        <v>#REF!</v>
      </c>
      <c r="P66" t="e">
        <f>#REF!/#REF!</f>
        <v>#REF!</v>
      </c>
      <c r="Q66">
        <f>E7/E21</f>
        <v>0.15407262021589796</v>
      </c>
      <c r="R66" t="e">
        <f>#REF!/#REF!</f>
        <v>#REF!</v>
      </c>
      <c r="S66">
        <f>F7/F21</f>
        <v>1.4580152671755724</v>
      </c>
      <c r="T66" t="e">
        <f>#REF!/#REF!</f>
        <v>#REF!</v>
      </c>
      <c r="U66" t="e">
        <f>#REF!/#REF!</f>
        <v>#REF!</v>
      </c>
      <c r="V66" t="e">
        <f>#REF!/#REF!</f>
        <v>#REF!</v>
      </c>
      <c r="W66">
        <f>G7/G21</f>
        <v>0.80645161290322565</v>
      </c>
      <c r="X66">
        <f>H7/H21</f>
        <v>2.4473684210526305</v>
      </c>
      <c r="Y66" t="e">
        <f>#REF!/#REF!</f>
        <v>#REF!</v>
      </c>
      <c r="Z66">
        <f>I7/I21</f>
        <v>14.328956319603058</v>
      </c>
      <c r="AA66" t="e">
        <f>J7/J21</f>
        <v>#DIV/0!</v>
      </c>
      <c r="AB66" t="e">
        <f>#REF!/#REF!</f>
        <v>#REF!</v>
      </c>
      <c r="AC66" t="e">
        <f>#REF!/#REF!</f>
        <v>#REF!</v>
      </c>
      <c r="AD66" t="e">
        <f>#REF!/#REF!</f>
        <v>#REF!</v>
      </c>
      <c r="AE66" t="e">
        <f>#REF!/#REF!</f>
        <v>#REF!</v>
      </c>
      <c r="AF66" t="e">
        <f>#REF!/#REF!</f>
        <v>#REF!</v>
      </c>
      <c r="AG66">
        <f>K7/K21</f>
        <v>8.7205607476635514</v>
      </c>
      <c r="AH66" t="e">
        <f>#REF!/#REF!</f>
        <v>#REF!</v>
      </c>
      <c r="AI66">
        <f>L7/L21</f>
        <v>3.7678339818417639</v>
      </c>
      <c r="AJ66" t="e">
        <f>#REF!/#REF!</f>
        <v>#REF!</v>
      </c>
      <c r="AK66">
        <f>M7/M21</f>
        <v>23.267857142857142</v>
      </c>
      <c r="AL66" t="e">
        <f>#REF!/#REF!</f>
        <v>#REF!</v>
      </c>
      <c r="AM66" t="e">
        <f>#REF!/#REF!</f>
        <v>#REF!</v>
      </c>
      <c r="AN66">
        <f>N7/N21</f>
        <v>3.992592592592592</v>
      </c>
      <c r="AO66">
        <f>O7/O21</f>
        <v>2.7086092715231787</v>
      </c>
      <c r="AP66" t="e">
        <f>#REF!/#REF!</f>
        <v>#REF!</v>
      </c>
      <c r="AQ66" t="e">
        <f>#REF!/#REF!</f>
        <v>#REF!</v>
      </c>
      <c r="AR66" t="e">
        <f>#REF!/#REF!</f>
        <v>#REF!</v>
      </c>
      <c r="AS66" t="e">
        <f>#REF!/#REF!</f>
        <v>#REF!</v>
      </c>
      <c r="AT66" t="e">
        <f>#REF!/#REF!</f>
        <v>#REF!</v>
      </c>
      <c r="AU66">
        <f>P7/P21</f>
        <v>0.98029556650246319</v>
      </c>
      <c r="AV66" t="e">
        <f>#REF!/#REF!</f>
        <v>#REF!</v>
      </c>
      <c r="AW66" t="e">
        <f>#REF!/#REF!</f>
        <v>#REF!</v>
      </c>
      <c r="AX66" t="e">
        <f>#REF!/#REF!</f>
        <v>#REF!</v>
      </c>
      <c r="AY66" t="e">
        <f>#REF!/#REF!</f>
        <v>#REF!</v>
      </c>
      <c r="AZ66" t="e">
        <f>#REF!/#REF!</f>
        <v>#REF!</v>
      </c>
      <c r="BA66">
        <f>Q7/Q21</f>
        <v>0.62454873646209386</v>
      </c>
      <c r="BB66" t="e">
        <f>#REF!/#REF!</f>
        <v>#REF!</v>
      </c>
      <c r="BC66" t="e">
        <f>#REF!/#REF!</f>
        <v>#REF!</v>
      </c>
      <c r="BD66">
        <f>R7/R21</f>
        <v>1.0877192982456141</v>
      </c>
      <c r="BE66">
        <f>S7/S21</f>
        <v>36.612000000000002</v>
      </c>
      <c r="BF66" t="e">
        <f>#REF!/#REF!</f>
        <v>#REF!</v>
      </c>
      <c r="BG66" t="e">
        <f>#REF!/#REF!</f>
        <v>#REF!</v>
      </c>
      <c r="BH66" t="e">
        <f>#REF!/#REF!</f>
        <v>#REF!</v>
      </c>
      <c r="BI66" t="e">
        <f>#REF!/#REF!</f>
        <v>#REF!</v>
      </c>
      <c r="BJ66" t="e">
        <f>#REF!/#REF!</f>
        <v>#REF!</v>
      </c>
      <c r="BK66" t="e">
        <f>#REF!/#REF!</f>
        <v>#REF!</v>
      </c>
      <c r="BL66">
        <f>T7/T21</f>
        <v>1.1466876971608833</v>
      </c>
      <c r="BM66" t="e">
        <f>#REF!/#REF!</f>
        <v>#REF!</v>
      </c>
      <c r="BN66" t="e">
        <f>U7/U21</f>
        <v>#DIV/0!</v>
      </c>
      <c r="BO66" t="e">
        <f>#REF!/#REF!</f>
        <v>#REF!</v>
      </c>
      <c r="BP66" t="e">
        <f>#REF!/#REF!</f>
        <v>#REF!</v>
      </c>
      <c r="BQ66" t="e">
        <f>#REF!/#REF!</f>
        <v>#REF!</v>
      </c>
      <c r="BR66" t="e">
        <f>#REF!/#REF!</f>
        <v>#REF!</v>
      </c>
      <c r="BS66" t="e">
        <f>#REF!/#REF!</f>
        <v>#REF!</v>
      </c>
      <c r="BT66" t="e">
        <f>#REF!/#REF!</f>
        <v>#REF!</v>
      </c>
      <c r="BU66" t="e">
        <f>#REF!/#REF!</f>
        <v>#REF!</v>
      </c>
      <c r="BV66" t="e">
        <f>#REF!/#REF!</f>
        <v>#REF!</v>
      </c>
      <c r="BW66" t="e">
        <f>#REF!/#REF!</f>
        <v>#REF!</v>
      </c>
      <c r="BX66" t="e">
        <f>#REF!/#REF!</f>
        <v>#REF!</v>
      </c>
      <c r="BY66" t="e">
        <f>#REF!/#REF!</f>
        <v>#REF!</v>
      </c>
      <c r="BZ66" t="e">
        <f>#REF!/#REF!</f>
        <v>#REF!</v>
      </c>
      <c r="CA66" t="e">
        <f>#REF!/#REF!</f>
        <v>#REF!</v>
      </c>
      <c r="CB66" t="e">
        <f>#REF!/#REF!</f>
        <v>#REF!</v>
      </c>
      <c r="CC66" t="e">
        <f>#REF!/#REF!</f>
        <v>#REF!</v>
      </c>
      <c r="CD66" t="e">
        <f>#REF!/#REF!</f>
        <v>#REF!</v>
      </c>
    </row>
    <row r="67" spans="1:82" x14ac:dyDescent="0.25">
      <c r="A67" s="51" t="s">
        <v>182</v>
      </c>
      <c r="B67" t="e">
        <f>#REF!/#REF!</f>
        <v>#REF!</v>
      </c>
      <c r="C67" t="e">
        <f>#REF!/#REF!</f>
        <v>#REF!</v>
      </c>
      <c r="D67" t="e">
        <f>#REF!/#REF!</f>
        <v>#REF!</v>
      </c>
      <c r="E67" t="e">
        <f>#REF!/#REF!</f>
        <v>#REF!</v>
      </c>
      <c r="F67" t="e">
        <f>#REF!/#REF!</f>
        <v>#REF!</v>
      </c>
      <c r="G67" t="e">
        <f>#REF!/#REF!</f>
        <v>#REF!</v>
      </c>
      <c r="H67">
        <f>B8/B23</f>
        <v>0.63513513513513509</v>
      </c>
      <c r="I67" t="e">
        <f>#REF!/#REF!</f>
        <v>#REF!</v>
      </c>
      <c r="J67">
        <f>C8/C23</f>
        <v>1.8747744496571634</v>
      </c>
      <c r="K67" t="e">
        <f>#REF!/#REF!</f>
        <v>#REF!</v>
      </c>
      <c r="L67">
        <f>D8/D23</f>
        <v>2.9246676514032499</v>
      </c>
      <c r="M67" t="e">
        <f>#REF!/#REF!</f>
        <v>#REF!</v>
      </c>
      <c r="N67" t="e">
        <f>#REF!/#REF!</f>
        <v>#REF!</v>
      </c>
      <c r="O67" t="e">
        <f>#REF!/#REF!</f>
        <v>#REF!</v>
      </c>
      <c r="P67" t="e">
        <f>#REF!/#REF!</f>
        <v>#REF!</v>
      </c>
      <c r="Q67">
        <f>E8/E23</f>
        <v>1.0238095238095237</v>
      </c>
      <c r="R67" t="e">
        <f>#REF!/#REF!</f>
        <v>#REF!</v>
      </c>
      <c r="S67" t="e">
        <f>F8/F23</f>
        <v>#DIV/0!</v>
      </c>
      <c r="T67" t="e">
        <f>#REF!/#REF!</f>
        <v>#REF!</v>
      </c>
      <c r="U67" t="e">
        <f>#REF!/#REF!</f>
        <v>#REF!</v>
      </c>
      <c r="V67" t="e">
        <f>#REF!/#REF!</f>
        <v>#REF!</v>
      </c>
      <c r="W67">
        <f>G8/G23</f>
        <v>0.59999999999999953</v>
      </c>
      <c r="X67">
        <f>H8/H23</f>
        <v>3.263157894736842</v>
      </c>
      <c r="Y67" t="e">
        <f>#REF!/#REF!</f>
        <v>#REF!</v>
      </c>
      <c r="Z67">
        <f>I8/I23</f>
        <v>3.0387579359614127</v>
      </c>
      <c r="AA67" t="e">
        <f>J8/J23</f>
        <v>#DIV/0!</v>
      </c>
      <c r="AB67" t="e">
        <f>#REF!/#REF!</f>
        <v>#REF!</v>
      </c>
      <c r="AC67" t="e">
        <f>#REF!/#REF!</f>
        <v>#REF!</v>
      </c>
      <c r="AD67" t="e">
        <f>#REF!/#REF!</f>
        <v>#REF!</v>
      </c>
      <c r="AE67" t="e">
        <f>#REF!/#REF!</f>
        <v>#REF!</v>
      </c>
      <c r="AF67" t="e">
        <f>#REF!/#REF!</f>
        <v>#REF!</v>
      </c>
      <c r="AG67">
        <f>K8/K23</f>
        <v>1.8026960784313726</v>
      </c>
      <c r="AH67" t="e">
        <f>#REF!/#REF!</f>
        <v>#REF!</v>
      </c>
      <c r="AI67" t="e">
        <f>L8/AI45AI23</f>
        <v>#NAME?</v>
      </c>
      <c r="AJ67" t="e">
        <f>#REF!/#REF!</f>
        <v>#REF!</v>
      </c>
      <c r="AK67">
        <f>M8/M23</f>
        <v>2.3621621621621625</v>
      </c>
      <c r="AL67" t="e">
        <f>#REF!/#REF!</f>
        <v>#REF!</v>
      </c>
      <c r="AM67" t="e">
        <f>#REF!/#REF!</f>
        <v>#REF!</v>
      </c>
      <c r="AN67" t="e">
        <f>N8/N23</f>
        <v>#DIV/0!</v>
      </c>
      <c r="AO67">
        <f>O8/O23</f>
        <v>1.1769911504424779</v>
      </c>
      <c r="AP67" t="e">
        <f>#REF!/#REF!</f>
        <v>#REF!</v>
      </c>
      <c r="AQ67" t="e">
        <f>#REF!/#REF!</f>
        <v>#REF!</v>
      </c>
      <c r="AR67" t="e">
        <f>#REF!/#REF!</f>
        <v>#REF!</v>
      </c>
      <c r="AS67" t="e">
        <f>#REF!/#REF!</f>
        <v>#REF!</v>
      </c>
      <c r="AT67" t="e">
        <f>#REF!/#REF!</f>
        <v>#REF!</v>
      </c>
      <c r="AU67">
        <f>P8/P23</f>
        <v>1.0088105726872247</v>
      </c>
      <c r="AV67" t="e">
        <f>#REF!/#REF!</f>
        <v>#REF!</v>
      </c>
      <c r="AW67" t="e">
        <f>#REF!/#REF!</f>
        <v>#REF!</v>
      </c>
      <c r="AX67" t="e">
        <f>#REF!/#REF!</f>
        <v>#REF!</v>
      </c>
      <c r="AY67" t="e">
        <f>#REF!/#REF!</f>
        <v>#REF!</v>
      </c>
      <c r="AZ67" t="e">
        <f>#REF!/#REF!</f>
        <v>#REF!</v>
      </c>
      <c r="BA67">
        <f>Q8/Q23</f>
        <v>0.42233009708737856</v>
      </c>
      <c r="BB67" t="e">
        <f>#REF!/#REF!</f>
        <v>#REF!</v>
      </c>
      <c r="BC67" t="e">
        <f>#REF!/#REF!</f>
        <v>#REF!</v>
      </c>
      <c r="BD67" t="e">
        <f>R8/R23</f>
        <v>#DIV/0!</v>
      </c>
      <c r="BE67">
        <f>S8/S23</f>
        <v>5.4548672566371676</v>
      </c>
      <c r="BF67" t="e">
        <f>#REF!/#REF!</f>
        <v>#REF!</v>
      </c>
      <c r="BG67" t="e">
        <f>#REF!/#REF!</f>
        <v>#REF!</v>
      </c>
      <c r="BH67" t="e">
        <f>#REF!/#REF!</f>
        <v>#REF!</v>
      </c>
      <c r="BI67" t="e">
        <f>#REF!/#REF!</f>
        <v>#REF!</v>
      </c>
      <c r="BJ67" t="e">
        <f>#REF!/#REF!</f>
        <v>#REF!</v>
      </c>
      <c r="BK67" t="e">
        <f>#REF!/#REF!</f>
        <v>#REF!</v>
      </c>
      <c r="BL67">
        <f>T8/T23</f>
        <v>0.51287553648068673</v>
      </c>
      <c r="BM67" t="e">
        <f>#REF!/#REF!</f>
        <v>#REF!</v>
      </c>
      <c r="BN67" t="e">
        <f>U8/U23</f>
        <v>#DIV/0!</v>
      </c>
      <c r="BO67" t="e">
        <f>#REF!/#REF!</f>
        <v>#REF!</v>
      </c>
      <c r="BP67" t="e">
        <f>#REF!/#REF!</f>
        <v>#REF!</v>
      </c>
      <c r="BQ67" t="e">
        <f>#REF!/#REF!</f>
        <v>#REF!</v>
      </c>
      <c r="BR67" t="e">
        <f>#REF!/#REF!</f>
        <v>#REF!</v>
      </c>
      <c r="BS67" t="e">
        <f>#REF!/#REF!</f>
        <v>#REF!</v>
      </c>
      <c r="BT67" t="e">
        <f>#REF!/#REF!</f>
        <v>#REF!</v>
      </c>
      <c r="BU67" t="e">
        <f>#REF!/#REF!</f>
        <v>#REF!</v>
      </c>
      <c r="BV67" t="e">
        <f>#REF!/#REF!</f>
        <v>#REF!</v>
      </c>
      <c r="BW67" t="e">
        <f>#REF!/#REF!</f>
        <v>#REF!</v>
      </c>
      <c r="BX67" t="e">
        <f>#REF!/#REF!</f>
        <v>#REF!</v>
      </c>
      <c r="BY67" t="e">
        <f>#REF!/#REF!</f>
        <v>#REF!</v>
      </c>
      <c r="BZ67" t="e">
        <f>#REF!/#REF!</f>
        <v>#REF!</v>
      </c>
      <c r="CA67" t="e">
        <f>#REF!/#REF!</f>
        <v>#REF!</v>
      </c>
      <c r="CB67" t="e">
        <f>#REF!/#REF!</f>
        <v>#REF!</v>
      </c>
      <c r="CC67" t="e">
        <f>#REF!/#REF!</f>
        <v>#REF!</v>
      </c>
      <c r="CD67" t="e">
        <f>#REF!/#REF!</f>
        <v>#REF!</v>
      </c>
    </row>
    <row r="68" spans="1:82" x14ac:dyDescent="0.25">
      <c r="A68" s="51" t="s">
        <v>183</v>
      </c>
      <c r="B68" t="e">
        <f>#REF!/#REF!</f>
        <v>#REF!</v>
      </c>
      <c r="C68" t="e">
        <f>#REF!/#REF!</f>
        <v>#REF!</v>
      </c>
      <c r="D68" t="e">
        <f>#REF!/#REF!</f>
        <v>#REF!</v>
      </c>
      <c r="E68" t="e">
        <f>#REF!/#REF!</f>
        <v>#REF!</v>
      </c>
      <c r="F68" t="e">
        <f>#REF!/#REF!</f>
        <v>#REF!</v>
      </c>
      <c r="G68" t="e">
        <f>#REF!/#REF!</f>
        <v>#REF!</v>
      </c>
      <c r="H68">
        <f>B9/B22</f>
        <v>0.10404624277456648</v>
      </c>
      <c r="I68" t="e">
        <f>#REF!/#REF!</f>
        <v>#REF!</v>
      </c>
      <c r="J68">
        <f>C9/C22</f>
        <v>0.26822197680839316</v>
      </c>
      <c r="K68" t="e">
        <f>#REF!/#REF!</f>
        <v>#REF!</v>
      </c>
      <c r="L68">
        <f>D9/D22</f>
        <v>0.79081099895579532</v>
      </c>
      <c r="M68" t="e">
        <f>#REF!/#REF!</f>
        <v>#REF!</v>
      </c>
      <c r="N68" t="e">
        <f>#REF!/#REF!</f>
        <v>#REF!</v>
      </c>
      <c r="O68" t="e">
        <f>#REF!/#REF!</f>
        <v>#REF!</v>
      </c>
      <c r="P68" t="e">
        <f>#REF!/#REF!</f>
        <v>#REF!</v>
      </c>
      <c r="Q68">
        <f>E9/E22</f>
        <v>0.22553191489361701</v>
      </c>
      <c r="R68" t="e">
        <f>#REF!/#REF!</f>
        <v>#REF!</v>
      </c>
      <c r="S68">
        <f>F9/F22</f>
        <v>0</v>
      </c>
      <c r="T68" t="e">
        <f>#REF!/#REF!</f>
        <v>#REF!</v>
      </c>
      <c r="U68" t="e">
        <f>#REF!/#REF!</f>
        <v>#REF!</v>
      </c>
      <c r="V68" t="e">
        <f>#REF!/#REF!</f>
        <v>#REF!</v>
      </c>
      <c r="W68">
        <f>G9/G22</f>
        <v>0.3873239436619717</v>
      </c>
      <c r="X68">
        <f>H9/H22</f>
        <v>0.72641509433962248</v>
      </c>
      <c r="Y68" t="e">
        <f>#REF!/#REF!</f>
        <v>#REF!</v>
      </c>
      <c r="Z68">
        <f>I9/I22</f>
        <v>0.95034719574267179</v>
      </c>
      <c r="AA68" t="e">
        <f>J9/J22</f>
        <v>#DIV/0!</v>
      </c>
      <c r="AB68" t="e">
        <f>#REF!/#REF!</f>
        <v>#REF!</v>
      </c>
      <c r="AC68" t="e">
        <f>#REF!/#REF!</f>
        <v>#REF!</v>
      </c>
      <c r="AD68" t="e">
        <f>#REF!/#REF!</f>
        <v>#REF!</v>
      </c>
      <c r="AE68" t="e">
        <f>#REF!/#REF!</f>
        <v>#REF!</v>
      </c>
      <c r="AF68" t="e">
        <f>#REF!/#REF!</f>
        <v>#REF!</v>
      </c>
      <c r="AG68">
        <f>K9/K22</f>
        <v>1.1530546623794211</v>
      </c>
      <c r="AH68" t="e">
        <f>#REF!/#REF!</f>
        <v>#REF!</v>
      </c>
      <c r="AI68">
        <f>L9/L22</f>
        <v>0.71248246844319774</v>
      </c>
      <c r="AJ68" t="e">
        <f>#REF!/#REF!</f>
        <v>#REF!</v>
      </c>
      <c r="AK68">
        <f>M9/M22</f>
        <v>1.2413793103448276</v>
      </c>
      <c r="AL68" t="e">
        <f>#REF!/#REF!</f>
        <v>#REF!</v>
      </c>
      <c r="AM68" t="e">
        <f>#REF!/#REF!</f>
        <v>#REF!</v>
      </c>
      <c r="AN68" t="e">
        <f>N9/N22</f>
        <v>#DIV/0!</v>
      </c>
      <c r="AO68">
        <f>O9/O22</f>
        <v>0.7931034482758621</v>
      </c>
      <c r="AP68" t="e">
        <f>#REF!/#REF!</f>
        <v>#REF!</v>
      </c>
      <c r="AQ68" t="e">
        <f>#REF!/#REF!</f>
        <v>#REF!</v>
      </c>
      <c r="AR68" t="e">
        <f>#REF!/#REF!</f>
        <v>#REF!</v>
      </c>
      <c r="AS68" t="e">
        <f>#REF!/#REF!</f>
        <v>#REF!</v>
      </c>
      <c r="AT68" t="e">
        <f>#REF!/#REF!</f>
        <v>#REF!</v>
      </c>
      <c r="AU68">
        <f>P9/P22</f>
        <v>1.3471337579617835</v>
      </c>
      <c r="AV68" t="e">
        <f>#REF!/#REF!</f>
        <v>#REF!</v>
      </c>
      <c r="AW68" t="e">
        <f>#REF!/#REF!</f>
        <v>#REF!</v>
      </c>
      <c r="AX68" t="e">
        <f>#REF!/#REF!</f>
        <v>#REF!</v>
      </c>
      <c r="AY68" t="e">
        <f>#REF!/#REF!</f>
        <v>#REF!</v>
      </c>
      <c r="AZ68" t="e">
        <f>#REF!/#REF!</f>
        <v>#REF!</v>
      </c>
      <c r="BA68">
        <f>Q9/Q22</f>
        <v>0.15720524017467247</v>
      </c>
      <c r="BB68" t="e">
        <f>#REF!/#REF!</f>
        <v>#REF!</v>
      </c>
      <c r="BC68" t="e">
        <f>#REF!/#REF!</f>
        <v>#REF!</v>
      </c>
      <c r="BD68">
        <f>R9/R22</f>
        <v>0</v>
      </c>
      <c r="BE68">
        <f>S9/S22</f>
        <v>1.0673366834170854</v>
      </c>
      <c r="BF68" t="e">
        <f>#REF!/#REF!</f>
        <v>#REF!</v>
      </c>
      <c r="BG68" t="e">
        <f>#REF!/#REF!</f>
        <v>#REF!</v>
      </c>
      <c r="BH68" t="e">
        <f>#REF!/#REF!</f>
        <v>#REF!</v>
      </c>
      <c r="BI68" t="e">
        <f>#REF!/#REF!</f>
        <v>#REF!</v>
      </c>
      <c r="BJ68" t="e">
        <f>#REF!/#REF!</f>
        <v>#REF!</v>
      </c>
      <c r="BK68" t="e">
        <f>#REF!/#REF!</f>
        <v>#REF!</v>
      </c>
      <c r="BL68">
        <f>T9/T22</f>
        <v>0.46685082872928174</v>
      </c>
      <c r="BM68" t="e">
        <f>#REF!/#REF!</f>
        <v>#REF!</v>
      </c>
      <c r="BN68" t="e">
        <f>U9/U22</f>
        <v>#DIV/0!</v>
      </c>
      <c r="BO68" t="e">
        <f>#REF!/#REF!</f>
        <v>#REF!</v>
      </c>
      <c r="BP68" t="e">
        <f>#REF!/#REF!</f>
        <v>#REF!</v>
      </c>
      <c r="BQ68" t="e">
        <f>#REF!/#REF!</f>
        <v>#REF!</v>
      </c>
      <c r="BR68" t="e">
        <f>#REF!/#REF!</f>
        <v>#REF!</v>
      </c>
      <c r="BS68" t="e">
        <f>#REF!/#REF!</f>
        <v>#REF!</v>
      </c>
      <c r="BT68" t="e">
        <f>#REF!/#REF!</f>
        <v>#REF!</v>
      </c>
      <c r="BU68" t="e">
        <f>#REF!/#REF!</f>
        <v>#REF!</v>
      </c>
      <c r="BV68" t="e">
        <f>#REF!/#REF!</f>
        <v>#REF!</v>
      </c>
      <c r="BW68" t="e">
        <f>#REF!/#REF!</f>
        <v>#REF!</v>
      </c>
      <c r="BX68" t="e">
        <f>#REF!/#REF!</f>
        <v>#REF!</v>
      </c>
      <c r="BY68" t="e">
        <f>#REF!/#REF!</f>
        <v>#REF!</v>
      </c>
      <c r="BZ68" t="e">
        <f>#REF!/#REF!</f>
        <v>#REF!</v>
      </c>
      <c r="CA68" t="e">
        <f>#REF!/#REF!</f>
        <v>#REF!</v>
      </c>
      <c r="CB68" t="e">
        <f>#REF!/#REF!</f>
        <v>#REF!</v>
      </c>
      <c r="CC68" t="e">
        <f>#REF!/#REF!</f>
        <v>#REF!</v>
      </c>
      <c r="CD68" t="e">
        <f>#REF!/#REF!</f>
        <v>#REF!</v>
      </c>
    </row>
    <row r="69" spans="1:82" x14ac:dyDescent="0.25">
      <c r="A69" s="51" t="s">
        <v>184</v>
      </c>
      <c r="B69" t="e">
        <f>#REF!/#REF!</f>
        <v>#REF!</v>
      </c>
      <c r="C69" t="e">
        <f>#REF!/#REF!</f>
        <v>#REF!</v>
      </c>
      <c r="D69" t="e">
        <f>#REF!/#REF!</f>
        <v>#REF!</v>
      </c>
      <c r="E69" t="e">
        <f>#REF!/#REF!</f>
        <v>#REF!</v>
      </c>
      <c r="F69" t="e">
        <f>#REF!/#REF!</f>
        <v>#REF!</v>
      </c>
      <c r="G69" t="e">
        <f>#REF!/#REF!</f>
        <v>#REF!</v>
      </c>
      <c r="H69">
        <f>B10/B24</f>
        <v>0.91612903225806441</v>
      </c>
      <c r="I69" t="e">
        <f>#REF!/#REF!</f>
        <v>#REF!</v>
      </c>
      <c r="J69">
        <f>C10/C24</f>
        <v>1.80529197080292</v>
      </c>
      <c r="K69" t="e">
        <f>#REF!/#REF!</f>
        <v>#REF!</v>
      </c>
      <c r="L69">
        <f>D10/D24</f>
        <v>2.2029494382022472</v>
      </c>
      <c r="M69" t="e">
        <f>#REF!/#REF!</f>
        <v>#REF!</v>
      </c>
      <c r="N69" t="e">
        <f>#REF!/#REF!</f>
        <v>#REF!</v>
      </c>
      <c r="O69" t="e">
        <f>#REF!/#REF!</f>
        <v>#REF!</v>
      </c>
      <c r="P69" t="e">
        <f>#REF!/#REF!</f>
        <v>#REF!</v>
      </c>
      <c r="Q69">
        <f>E10/E24</f>
        <v>0.21640091116173121</v>
      </c>
      <c r="R69" t="e">
        <f>#REF!/#REF!</f>
        <v>#REF!</v>
      </c>
      <c r="S69" t="e">
        <f>F10/F24</f>
        <v>#DIV/0!</v>
      </c>
      <c r="T69" t="e">
        <f>#REF!/#REF!</f>
        <v>#REF!</v>
      </c>
      <c r="U69" t="e">
        <f>#REF!/#REF!</f>
        <v>#REF!</v>
      </c>
      <c r="V69" t="e">
        <f>#REF!/#REF!</f>
        <v>#REF!</v>
      </c>
      <c r="W69">
        <f t="shared" ref="W69:X71" si="14">G10/G24</f>
        <v>0.27547169811320732</v>
      </c>
      <c r="X69">
        <f t="shared" si="14"/>
        <v>1.5930232558139532</v>
      </c>
      <c r="Y69" t="e">
        <f>#REF!/#REF!</f>
        <v>#REF!</v>
      </c>
      <c r="Z69">
        <f t="shared" ref="Z69:AA71" si="15">I10/I24</f>
        <v>2.052557762405312</v>
      </c>
      <c r="AA69" t="e">
        <f t="shared" si="15"/>
        <v>#DIV/0!</v>
      </c>
      <c r="AB69" t="e">
        <f>#REF!/#REF!</f>
        <v>#REF!</v>
      </c>
      <c r="AC69" t="e">
        <f>#REF!/#REF!</f>
        <v>#REF!</v>
      </c>
      <c r="AD69" t="e">
        <f>#REF!/#REF!</f>
        <v>#REF!</v>
      </c>
      <c r="AE69" t="e">
        <f>#REF!/#REF!</f>
        <v>#REF!</v>
      </c>
      <c r="AF69" t="e">
        <f>#REF!/#REF!</f>
        <v>#REF!</v>
      </c>
      <c r="AG69">
        <f>K10/K24</f>
        <v>2.3597033374536465</v>
      </c>
      <c r="AH69" t="e">
        <f>#REF!/#REF!</f>
        <v>#REF!</v>
      </c>
      <c r="AI69" t="e">
        <f>L10/L24</f>
        <v>#DIV/0!</v>
      </c>
      <c r="AJ69" t="e">
        <f>#REF!/#REF!</f>
        <v>#REF!</v>
      </c>
      <c r="AK69">
        <f>M10/M24</f>
        <v>5.2281105990783416</v>
      </c>
      <c r="AL69" t="e">
        <f>#REF!/#REF!</f>
        <v>#REF!</v>
      </c>
      <c r="AM69" t="e">
        <f>#REF!/#REF!</f>
        <v>#REF!</v>
      </c>
      <c r="AN69">
        <f t="shared" ref="AN69:AO71" si="16">N10/N24</f>
        <v>3.8119999999999998</v>
      </c>
      <c r="AO69">
        <f t="shared" si="16"/>
        <v>4.6860465116279064</v>
      </c>
      <c r="AP69" t="e">
        <f>#REF!/#REF!</f>
        <v>#REF!</v>
      </c>
      <c r="AQ69" t="e">
        <f>#REF!/#REF!</f>
        <v>#REF!</v>
      </c>
      <c r="AR69" t="e">
        <f>#REF!/#REF!</f>
        <v>#REF!</v>
      </c>
      <c r="AS69" t="e">
        <f>#REF!/#REF!</f>
        <v>#REF!</v>
      </c>
      <c r="AT69" t="e">
        <f>#REF!/#REF!</f>
        <v>#REF!</v>
      </c>
      <c r="AU69">
        <f>P10/P24</f>
        <v>0.62439024390243913</v>
      </c>
      <c r="AV69" t="e">
        <f>#REF!/#REF!</f>
        <v>#REF!</v>
      </c>
      <c r="AW69" t="e">
        <f>#REF!/#REF!</f>
        <v>#REF!</v>
      </c>
      <c r="AX69" t="e">
        <f>#REF!/#REF!</f>
        <v>#REF!</v>
      </c>
      <c r="AY69" t="e">
        <f>#REF!/#REF!</f>
        <v>#REF!</v>
      </c>
      <c r="AZ69" t="e">
        <f>#REF!/#REF!</f>
        <v>#REF!</v>
      </c>
      <c r="BA69">
        <f>Q10/Q24</f>
        <v>0.32658959537572252</v>
      </c>
      <c r="BB69" t="e">
        <f>#REF!/#REF!</f>
        <v>#REF!</v>
      </c>
      <c r="BC69" t="e">
        <f>#REF!/#REF!</f>
        <v>#REF!</v>
      </c>
      <c r="BD69" t="e">
        <f t="shared" ref="BD69:BE71" si="17">R10/R24</f>
        <v>#DIV/0!</v>
      </c>
      <c r="BE69">
        <f t="shared" si="17"/>
        <v>3.705079191698526</v>
      </c>
      <c r="BF69" t="e">
        <f>#REF!/#REF!</f>
        <v>#REF!</v>
      </c>
      <c r="BG69" t="e">
        <f>#REF!/#REF!</f>
        <v>#REF!</v>
      </c>
      <c r="BH69" t="e">
        <f>#REF!/#REF!</f>
        <v>#REF!</v>
      </c>
      <c r="BI69" t="e">
        <f>#REF!/#REF!</f>
        <v>#REF!</v>
      </c>
      <c r="BJ69" t="e">
        <f>#REF!/#REF!</f>
        <v>#REF!</v>
      </c>
      <c r="BK69" t="e">
        <f>#REF!/#REF!</f>
        <v>#REF!</v>
      </c>
      <c r="BL69">
        <f>T10/T24</f>
        <v>1.2960325534079349</v>
      </c>
      <c r="BM69" t="e">
        <f>#REF!/#REF!</f>
        <v>#REF!</v>
      </c>
      <c r="BN69" t="e">
        <f>U10/U24</f>
        <v>#DIV/0!</v>
      </c>
      <c r="BO69" t="e">
        <f>#REF!/#REF!</f>
        <v>#REF!</v>
      </c>
      <c r="BP69" t="e">
        <f>#REF!/#REF!</f>
        <v>#REF!</v>
      </c>
      <c r="BQ69" t="e">
        <f>#REF!/#REF!</f>
        <v>#REF!</v>
      </c>
      <c r="BR69" t="e">
        <f>#REF!/#REF!</f>
        <v>#REF!</v>
      </c>
      <c r="BS69" t="e">
        <f>#REF!/#REF!</f>
        <v>#REF!</v>
      </c>
      <c r="BT69" t="e">
        <f>#REF!/#REF!</f>
        <v>#REF!</v>
      </c>
      <c r="BU69" t="e">
        <f>#REF!/#REF!</f>
        <v>#REF!</v>
      </c>
      <c r="BV69" t="e">
        <f>#REF!/#REF!</f>
        <v>#REF!</v>
      </c>
      <c r="BW69" t="e">
        <f>#REF!/#REF!</f>
        <v>#REF!</v>
      </c>
      <c r="BX69" t="e">
        <f>#REF!/#REF!</f>
        <v>#REF!</v>
      </c>
      <c r="BY69" t="e">
        <f>#REF!/#REF!</f>
        <v>#REF!</v>
      </c>
      <c r="BZ69" t="e">
        <f>#REF!/#REF!</f>
        <v>#REF!</v>
      </c>
      <c r="CA69" t="e">
        <f>#REF!/#REF!</f>
        <v>#REF!</v>
      </c>
      <c r="CB69" t="e">
        <f>#REF!/#REF!</f>
        <v>#REF!</v>
      </c>
      <c r="CC69" t="e">
        <f>#REF!/#REF!</f>
        <v>#REF!</v>
      </c>
      <c r="CD69" t="e">
        <f>#REF!/#REF!</f>
        <v>#REF!</v>
      </c>
    </row>
    <row r="70" spans="1:82" x14ac:dyDescent="0.25">
      <c r="A70" s="51" t="s">
        <v>185</v>
      </c>
      <c r="B70" t="e">
        <f>#REF!/#REF!</f>
        <v>#REF!</v>
      </c>
      <c r="C70" t="e">
        <f>#REF!/#REF!</f>
        <v>#REF!</v>
      </c>
      <c r="D70" t="e">
        <f>#REF!/#REF!</f>
        <v>#REF!</v>
      </c>
      <c r="E70" t="e">
        <f>#REF!/#REF!</f>
        <v>#REF!</v>
      </c>
      <c r="F70" t="e">
        <f>#REF!/#REF!</f>
        <v>#REF!</v>
      </c>
      <c r="G70" t="e">
        <f>#REF!/#REF!</f>
        <v>#REF!</v>
      </c>
      <c r="H70">
        <f>B11/B25</f>
        <v>1.4901960784313724</v>
      </c>
      <c r="I70" t="e">
        <f>#REF!/#REF!</f>
        <v>#REF!</v>
      </c>
      <c r="J70">
        <f>C11/C25</f>
        <v>6.4785591766723849</v>
      </c>
      <c r="K70" t="e">
        <f>#REF!/#REF!</f>
        <v>#REF!</v>
      </c>
      <c r="L70">
        <f>D11/D25</f>
        <v>4.1550736497545007</v>
      </c>
      <c r="M70" t="e">
        <f>#REF!/#REF!</f>
        <v>#REF!</v>
      </c>
      <c r="N70" t="e">
        <f>#REF!/#REF!</f>
        <v>#REF!</v>
      </c>
      <c r="O70" t="e">
        <f>#REF!/#REF!</f>
        <v>#REF!</v>
      </c>
      <c r="P70" t="e">
        <f>#REF!/#REF!</f>
        <v>#REF!</v>
      </c>
      <c r="Q70">
        <f>E11/E25</f>
        <v>0.56037151702786381</v>
      </c>
      <c r="R70" t="e">
        <f>#REF!/#REF!</f>
        <v>#REF!</v>
      </c>
      <c r="S70" t="e">
        <f>F11/F25</f>
        <v>#DIV/0!</v>
      </c>
      <c r="T70" t="e">
        <f>#REF!/#REF!</f>
        <v>#REF!</v>
      </c>
      <c r="U70" t="e">
        <f>#REF!/#REF!</f>
        <v>#REF!</v>
      </c>
      <c r="V70" t="e">
        <f>#REF!/#REF!</f>
        <v>#REF!</v>
      </c>
      <c r="W70">
        <f t="shared" si="14"/>
        <v>1.3926940639269403</v>
      </c>
      <c r="X70">
        <f t="shared" si="14"/>
        <v>2.8071748878923763</v>
      </c>
      <c r="Y70" t="e">
        <f>#REF!/#REF!</f>
        <v>#REF!</v>
      </c>
      <c r="Z70">
        <f t="shared" si="15"/>
        <v>2.4543095990273156</v>
      </c>
      <c r="AA70">
        <f t="shared" si="15"/>
        <v>9.8657407407407387</v>
      </c>
      <c r="AB70" t="e">
        <f>#REF!/#REF!</f>
        <v>#REF!</v>
      </c>
      <c r="AC70" t="e">
        <f>#REF!/#REF!</f>
        <v>#REF!</v>
      </c>
      <c r="AD70" t="e">
        <f>#REF!/#REF!</f>
        <v>#REF!</v>
      </c>
      <c r="AE70" t="e">
        <f>#REF!/#REF!</f>
        <v>#REF!</v>
      </c>
      <c r="AF70" t="e">
        <f>#REF!/#REF!</f>
        <v>#REF!</v>
      </c>
      <c r="AG70">
        <f>K11/K25</f>
        <v>3.7522306108442005</v>
      </c>
      <c r="AH70" t="e">
        <f>#REF!/#REF!</f>
        <v>#REF!</v>
      </c>
      <c r="AI70" t="e">
        <f>L11/L25</f>
        <v>#DIV/0!</v>
      </c>
      <c r="AJ70" t="e">
        <f>#REF!/#REF!</f>
        <v>#REF!</v>
      </c>
      <c r="AK70">
        <f>M11/M25</f>
        <v>10.18732782369146</v>
      </c>
      <c r="AL70" t="e">
        <f>#REF!/#REF!</f>
        <v>#REF!</v>
      </c>
      <c r="AM70" t="e">
        <f>#REF!/#REF!</f>
        <v>#REF!</v>
      </c>
      <c r="AN70">
        <f t="shared" si="16"/>
        <v>5.0658914728682172</v>
      </c>
      <c r="AO70">
        <f t="shared" si="16"/>
        <v>6.4768518518518512</v>
      </c>
      <c r="AP70" t="e">
        <f>#REF!/#REF!</f>
        <v>#REF!</v>
      </c>
      <c r="AQ70" t="e">
        <f>#REF!/#REF!</f>
        <v>#REF!</v>
      </c>
      <c r="AR70" t="e">
        <f>#REF!/#REF!</f>
        <v>#REF!</v>
      </c>
      <c r="AS70" t="e">
        <f>#REF!/#REF!</f>
        <v>#REF!</v>
      </c>
      <c r="AT70" t="e">
        <f>#REF!/#REF!</f>
        <v>#REF!</v>
      </c>
      <c r="AU70">
        <f>P11/P25</f>
        <v>0.73170731707317072</v>
      </c>
      <c r="AV70" t="e">
        <f>#REF!/#REF!</f>
        <v>#REF!</v>
      </c>
      <c r="AW70" t="e">
        <f>#REF!/#REF!</f>
        <v>#REF!</v>
      </c>
      <c r="AX70" t="e">
        <f>#REF!/#REF!</f>
        <v>#REF!</v>
      </c>
      <c r="AY70" t="e">
        <f>#REF!/#REF!</f>
        <v>#REF!</v>
      </c>
      <c r="AZ70" t="e">
        <f>#REF!/#REF!</f>
        <v>#REF!</v>
      </c>
      <c r="BA70">
        <f>Q11/Q25</f>
        <v>0.4043126684636118</v>
      </c>
      <c r="BB70" t="e">
        <f>#REF!/#REF!</f>
        <v>#REF!</v>
      </c>
      <c r="BC70" t="e">
        <f>#REF!/#REF!</f>
        <v>#REF!</v>
      </c>
      <c r="BD70" t="e">
        <f t="shared" si="17"/>
        <v>#DIV/0!</v>
      </c>
      <c r="BE70">
        <f t="shared" si="17"/>
        <v>9.4154929577464799</v>
      </c>
      <c r="BF70" t="e">
        <f>#REF!/#REF!</f>
        <v>#REF!</v>
      </c>
      <c r="BG70" t="e">
        <f>#REF!/#REF!</f>
        <v>#REF!</v>
      </c>
      <c r="BH70" t="e">
        <f>#REF!/#REF!</f>
        <v>#REF!</v>
      </c>
      <c r="BI70" t="e">
        <f>#REF!/#REF!</f>
        <v>#REF!</v>
      </c>
      <c r="BJ70" t="e">
        <f>#REF!/#REF!</f>
        <v>#REF!</v>
      </c>
      <c r="BK70" t="e">
        <f>#REF!/#REF!</f>
        <v>#REF!</v>
      </c>
      <c r="BL70">
        <f>T11/T25</f>
        <v>5.2679900744416868</v>
      </c>
      <c r="BM70" t="e">
        <f>#REF!/#REF!</f>
        <v>#REF!</v>
      </c>
      <c r="BN70">
        <f>U11/U25</f>
        <v>5.8035714285714279</v>
      </c>
      <c r="BO70" t="e">
        <f>#REF!/#REF!</f>
        <v>#REF!</v>
      </c>
      <c r="BP70" t="e">
        <f>#REF!/#REF!</f>
        <v>#REF!</v>
      </c>
      <c r="BQ70" t="e">
        <f>#REF!/#REF!</f>
        <v>#REF!</v>
      </c>
      <c r="BR70" t="e">
        <f>#REF!/#REF!</f>
        <v>#REF!</v>
      </c>
      <c r="BS70" t="e">
        <f>#REF!/#REF!</f>
        <v>#REF!</v>
      </c>
      <c r="BT70" t="e">
        <f>#REF!/#REF!</f>
        <v>#REF!</v>
      </c>
      <c r="BU70" t="e">
        <f>#REF!/#REF!</f>
        <v>#REF!</v>
      </c>
      <c r="BV70" t="e">
        <f>#REF!/#REF!</f>
        <v>#REF!</v>
      </c>
      <c r="BW70" t="e">
        <f>#REF!/#REF!</f>
        <v>#REF!</v>
      </c>
      <c r="BX70" t="e">
        <f>#REF!/#REF!</f>
        <v>#REF!</v>
      </c>
      <c r="BY70" t="e">
        <f>#REF!/#REF!</f>
        <v>#REF!</v>
      </c>
      <c r="BZ70" t="e">
        <f>#REF!/#REF!</f>
        <v>#REF!</v>
      </c>
      <c r="CA70" t="e">
        <f>#REF!/#REF!</f>
        <v>#REF!</v>
      </c>
      <c r="CB70" t="e">
        <f>#REF!/#REF!</f>
        <v>#REF!</v>
      </c>
      <c r="CC70" t="e">
        <f>#REF!/#REF!</f>
        <v>#REF!</v>
      </c>
      <c r="CD70" t="e">
        <f>#REF!/#REF!</f>
        <v>#REF!</v>
      </c>
    </row>
    <row r="71" spans="1:82" x14ac:dyDescent="0.25">
      <c r="A71" s="51" t="s">
        <v>186</v>
      </c>
      <c r="B71" t="e">
        <f>#REF!/#REF!</f>
        <v>#REF!</v>
      </c>
      <c r="C71" t="e">
        <f>#REF!/#REF!</f>
        <v>#REF!</v>
      </c>
      <c r="D71" t="e">
        <f>#REF!/#REF!</f>
        <v>#REF!</v>
      </c>
      <c r="E71" t="e">
        <f>#REF!/#REF!</f>
        <v>#REF!</v>
      </c>
      <c r="F71" t="e">
        <f>#REF!/#REF!</f>
        <v>#REF!</v>
      </c>
      <c r="G71" t="e">
        <f>#REF!/#REF!</f>
        <v>#REF!</v>
      </c>
      <c r="H71">
        <f>B12/B26</f>
        <v>2.3535911602209945</v>
      </c>
      <c r="I71" t="e">
        <f>#REF!/#REF!</f>
        <v>#REF!</v>
      </c>
      <c r="J71">
        <f>C12/C26</f>
        <v>2.3583476764199656</v>
      </c>
      <c r="K71" t="e">
        <f>#REF!/#REF!</f>
        <v>#REF!</v>
      </c>
      <c r="L71">
        <f>D12/D26</f>
        <v>3.9560482302605986</v>
      </c>
      <c r="M71" t="e">
        <f>#REF!/#REF!</f>
        <v>#REF!</v>
      </c>
      <c r="N71" t="e">
        <f>#REF!/#REF!</f>
        <v>#REF!</v>
      </c>
      <c r="O71" t="e">
        <f>#REF!/#REF!</f>
        <v>#REF!</v>
      </c>
      <c r="P71" t="e">
        <f>#REF!/#REF!</f>
        <v>#REF!</v>
      </c>
      <c r="Q71">
        <f>E12/E26</f>
        <v>0.69325153374233128</v>
      </c>
      <c r="R71" t="e">
        <f>#REF!/#REF!</f>
        <v>#REF!</v>
      </c>
      <c r="S71">
        <f>F12/F26</f>
        <v>4.983568075117371</v>
      </c>
      <c r="T71" t="e">
        <f>#REF!/#REF!</f>
        <v>#REF!</v>
      </c>
      <c r="U71" t="e">
        <f>#REF!/#REF!</f>
        <v>#REF!</v>
      </c>
      <c r="V71" t="e">
        <f>#REF!/#REF!</f>
        <v>#REF!</v>
      </c>
      <c r="W71">
        <f t="shared" si="14"/>
        <v>1.1488095238095237</v>
      </c>
      <c r="X71">
        <f t="shared" si="14"/>
        <v>4.0747126436781604</v>
      </c>
      <c r="Y71" t="e">
        <f>#REF!/#REF!</f>
        <v>#REF!</v>
      </c>
      <c r="Z71">
        <f t="shared" si="15"/>
        <v>1.3933991322020003</v>
      </c>
      <c r="AA71">
        <f t="shared" si="15"/>
        <v>3.8348623853211006</v>
      </c>
      <c r="AB71" t="e">
        <f>#REF!/#REF!</f>
        <v>#REF!</v>
      </c>
      <c r="AC71" t="e">
        <f>#REF!/#REF!</f>
        <v>#REF!</v>
      </c>
      <c r="AD71" t="e">
        <f>#REF!/#REF!</f>
        <v>#REF!</v>
      </c>
      <c r="AE71" t="e">
        <f>#REF!/#REF!</f>
        <v>#REF!</v>
      </c>
      <c r="AF71" t="e">
        <f>#REF!/#REF!</f>
        <v>#REF!</v>
      </c>
      <c r="AG71">
        <f>K12/K26</f>
        <v>2.7943696450428397</v>
      </c>
      <c r="AH71" t="e">
        <f>#REF!/#REF!</f>
        <v>#REF!</v>
      </c>
      <c r="AI71">
        <f>L12/L26</f>
        <v>1.4201312910284463</v>
      </c>
      <c r="AJ71" t="e">
        <f>#REF!/#REF!</f>
        <v>#REF!</v>
      </c>
      <c r="AK71">
        <f>M12/M26</f>
        <v>4.4297124600638984</v>
      </c>
      <c r="AL71" t="e">
        <f>#REF!/#REF!</f>
        <v>#REF!</v>
      </c>
      <c r="AM71" t="e">
        <f>#REF!/#REF!</f>
        <v>#REF!</v>
      </c>
      <c r="AN71">
        <f t="shared" si="16"/>
        <v>5.5809248554913289</v>
      </c>
      <c r="AO71">
        <f t="shared" si="16"/>
        <v>5.2730627306273066</v>
      </c>
      <c r="AP71" t="e">
        <f>#REF!/#REF!</f>
        <v>#REF!</v>
      </c>
      <c r="AQ71" t="e">
        <f>#REF!/#REF!</f>
        <v>#REF!</v>
      </c>
      <c r="AR71" t="e">
        <f>#REF!/#REF!</f>
        <v>#REF!</v>
      </c>
      <c r="AS71" t="e">
        <f>#REF!/#REF!</f>
        <v>#REF!</v>
      </c>
      <c r="AT71" t="e">
        <f>#REF!/#REF!</f>
        <v>#REF!</v>
      </c>
      <c r="AU71">
        <f>P12/P26</f>
        <v>0.77622377622377636</v>
      </c>
      <c r="AV71" t="e">
        <f>#REF!/#REF!</f>
        <v>#REF!</v>
      </c>
      <c r="AW71" t="e">
        <f>#REF!/#REF!</f>
        <v>#REF!</v>
      </c>
      <c r="AX71" t="e">
        <f>#REF!/#REF!</f>
        <v>#REF!</v>
      </c>
      <c r="AY71" t="e">
        <f>#REF!/#REF!</f>
        <v>#REF!</v>
      </c>
      <c r="AZ71" t="e">
        <f>#REF!/#REF!</f>
        <v>#REF!</v>
      </c>
      <c r="BA71">
        <f>Q12/Q26</f>
        <v>0.18222222222222223</v>
      </c>
      <c r="BB71" t="e">
        <f>#REF!/#REF!</f>
        <v>#REF!</v>
      </c>
      <c r="BC71" t="e">
        <f>#REF!/#REF!</f>
        <v>#REF!</v>
      </c>
      <c r="BD71" t="e">
        <f t="shared" si="17"/>
        <v>#DIV/0!</v>
      </c>
      <c r="BE71">
        <f t="shared" si="17"/>
        <v>2.6485507246376807</v>
      </c>
      <c r="BF71" t="e">
        <f>#REF!/#REF!</f>
        <v>#REF!</v>
      </c>
      <c r="BG71" t="e">
        <f>#REF!/#REF!</f>
        <v>#REF!</v>
      </c>
      <c r="BH71" t="e">
        <f>#REF!/#REF!</f>
        <v>#REF!</v>
      </c>
      <c r="BI71" t="e">
        <f>#REF!/#REF!</f>
        <v>#REF!</v>
      </c>
      <c r="BJ71" t="e">
        <f>#REF!/#REF!</f>
        <v>#REF!</v>
      </c>
      <c r="BK71" t="e">
        <f>#REF!/#REF!</f>
        <v>#REF!</v>
      </c>
      <c r="BL71">
        <f>T12/T26</f>
        <v>2.8766917293233081</v>
      </c>
      <c r="BM71" t="e">
        <f>#REF!/#REF!</f>
        <v>#REF!</v>
      </c>
      <c r="BN71">
        <f>U12/U26</f>
        <v>0.42992874109263657</v>
      </c>
      <c r="BO71" t="e">
        <f>#REF!/#REF!</f>
        <v>#REF!</v>
      </c>
      <c r="BP71" t="e">
        <f>#REF!/#REF!</f>
        <v>#REF!</v>
      </c>
      <c r="BQ71" t="e">
        <f>#REF!/#REF!</f>
        <v>#REF!</v>
      </c>
      <c r="BR71" t="e">
        <f>#REF!/#REF!</f>
        <v>#REF!</v>
      </c>
      <c r="BS71" t="e">
        <f>#REF!/#REF!</f>
        <v>#REF!</v>
      </c>
      <c r="BT71" t="e">
        <f>#REF!/#REF!</f>
        <v>#REF!</v>
      </c>
      <c r="BU71" t="e">
        <f>#REF!/#REF!</f>
        <v>#REF!</v>
      </c>
      <c r="BV71" t="e">
        <f>#REF!/#REF!</f>
        <v>#REF!</v>
      </c>
      <c r="BW71" t="e">
        <f>#REF!/#REF!</f>
        <v>#REF!</v>
      </c>
      <c r="BX71" t="e">
        <f>#REF!/#REF!</f>
        <v>#REF!</v>
      </c>
      <c r="BY71" t="e">
        <f>#REF!/#REF!</f>
        <v>#REF!</v>
      </c>
      <c r="BZ71" t="e">
        <f>#REF!/#REF!</f>
        <v>#REF!</v>
      </c>
      <c r="CA71" t="e">
        <f>#REF!/#REF!</f>
        <v>#REF!</v>
      </c>
      <c r="CB71" t="e">
        <f>#REF!/#REF!</f>
        <v>#REF!</v>
      </c>
      <c r="CC71" t="e">
        <f>#REF!/#REF!</f>
        <v>#REF!</v>
      </c>
      <c r="CD71" t="e">
        <f>#REF!/#REF!</f>
        <v>#REF!</v>
      </c>
    </row>
    <row r="72" spans="1:82" x14ac:dyDescent="0.25">
      <c r="A72" s="51" t="s">
        <v>554</v>
      </c>
      <c r="B72" t="e">
        <f>#REF!/#REF!</f>
        <v>#REF!</v>
      </c>
      <c r="C72" t="e">
        <f>#REF!/#REF!</f>
        <v>#REF!</v>
      </c>
      <c r="D72" t="e">
        <f>#REF!/#REF!</f>
        <v>#REF!</v>
      </c>
      <c r="E72" t="e">
        <f>#REF!/#REF!</f>
        <v>#REF!</v>
      </c>
      <c r="F72" t="e">
        <f>#REF!/#REF!</f>
        <v>#REF!</v>
      </c>
      <c r="G72" t="e">
        <f>#REF!/#REF!</f>
        <v>#REF!</v>
      </c>
      <c r="H72">
        <f>B13/B29</f>
        <v>1.9920634920634919</v>
      </c>
      <c r="I72" t="e">
        <f>#REF!/#REF!</f>
        <v>#REF!</v>
      </c>
      <c r="J72">
        <f>C13/C29</f>
        <v>2.829222457129434</v>
      </c>
      <c r="K72" t="e">
        <f>#REF!/#REF!</f>
        <v>#REF!</v>
      </c>
      <c r="L72">
        <f>D13/D29</f>
        <v>4.2690217391304346</v>
      </c>
      <c r="M72" t="e">
        <f>#REF!/#REF!</f>
        <v>#REF!</v>
      </c>
      <c r="N72" t="e">
        <f>#REF!/#REF!</f>
        <v>#REF!</v>
      </c>
      <c r="O72" t="e">
        <f>#REF!/#REF!</f>
        <v>#REF!</v>
      </c>
      <c r="P72" t="e">
        <f>#REF!/#REF!</f>
        <v>#REF!</v>
      </c>
      <c r="Q72">
        <f>E13/E29</f>
        <v>0.84126984126984128</v>
      </c>
      <c r="R72" t="e">
        <f>#REF!/#REF!</f>
        <v>#REF!</v>
      </c>
      <c r="S72">
        <f>F13/F29</f>
        <v>2.0723140495867769</v>
      </c>
      <c r="T72" t="e">
        <f>#REF!/#REF!</f>
        <v>#REF!</v>
      </c>
      <c r="U72" t="e">
        <f>#REF!/#REF!</f>
        <v>#REF!</v>
      </c>
      <c r="V72" t="e">
        <f>#REF!/#REF!</f>
        <v>#REF!</v>
      </c>
      <c r="W72">
        <f>G13/G29</f>
        <v>0.61349693251533743</v>
      </c>
      <c r="X72">
        <f>H13/H29</f>
        <v>2.0150753768844223</v>
      </c>
      <c r="Y72" t="e">
        <f>#REF!/#REF!</f>
        <v>#REF!</v>
      </c>
      <c r="Z72">
        <f>I13/I29</f>
        <v>4.0309738841417664</v>
      </c>
      <c r="AA72">
        <f>J13/J29</f>
        <v>8.6336206896551744</v>
      </c>
      <c r="AB72" t="e">
        <f>#REF!/#REF!</f>
        <v>#REF!</v>
      </c>
      <c r="AC72" t="e">
        <f>#REF!/#REF!</f>
        <v>#REF!</v>
      </c>
      <c r="AD72" t="e">
        <f>#REF!/#REF!</f>
        <v>#REF!</v>
      </c>
      <c r="AE72" t="e">
        <f>#REF!/#REF!</f>
        <v>#REF!</v>
      </c>
      <c r="AF72" t="e">
        <f>#REF!/#REF!</f>
        <v>#REF!</v>
      </c>
      <c r="AG72">
        <f>K13/K29</f>
        <v>3.1996658312447783</v>
      </c>
      <c r="AH72" t="e">
        <f>#REF!/#REF!</f>
        <v>#REF!</v>
      </c>
      <c r="AI72" t="e">
        <f>L13/L29</f>
        <v>#DIV/0!</v>
      </c>
      <c r="AJ72" t="e">
        <f>#REF!/#REF!</f>
        <v>#REF!</v>
      </c>
      <c r="AK72">
        <f>M13/M29</f>
        <v>6.9213197969543163</v>
      </c>
      <c r="AL72" t="e">
        <f>#REF!/#REF!</f>
        <v>#REF!</v>
      </c>
      <c r="AM72" t="e">
        <f>#REF!/#REF!</f>
        <v>#REF!</v>
      </c>
      <c r="AN72">
        <f>N13/N29</f>
        <v>3.3994252873563218</v>
      </c>
      <c r="AO72">
        <f>O13/O29</f>
        <v>1.7296137339055795</v>
      </c>
      <c r="AP72" t="e">
        <f>#REF!/#REF!</f>
        <v>#REF!</v>
      </c>
      <c r="AQ72" t="e">
        <f>#REF!/#REF!</f>
        <v>#REF!</v>
      </c>
      <c r="AR72" t="e">
        <f>#REF!/#REF!</f>
        <v>#REF!</v>
      </c>
      <c r="AS72" t="e">
        <f>#REF!/#REF!</f>
        <v>#REF!</v>
      </c>
      <c r="AT72" t="e">
        <f>#REF!/#REF!</f>
        <v>#REF!</v>
      </c>
      <c r="AU72">
        <f>P13/P29</f>
        <v>0.953125</v>
      </c>
      <c r="AV72" t="e">
        <f>#REF!/#REF!</f>
        <v>#REF!</v>
      </c>
      <c r="AW72" t="e">
        <f>#REF!/#REF!</f>
        <v>#REF!</v>
      </c>
      <c r="AX72" t="e">
        <f>#REF!/#REF!</f>
        <v>#REF!</v>
      </c>
      <c r="AY72" t="e">
        <f>#REF!/#REF!</f>
        <v>#REF!</v>
      </c>
      <c r="AZ72" t="e">
        <f>#REF!/#REF!</f>
        <v>#REF!</v>
      </c>
      <c r="BA72">
        <f>Q13/Q29</f>
        <v>0.7363184079601991</v>
      </c>
      <c r="BB72" t="e">
        <f>#REF!/#REF!</f>
        <v>#REF!</v>
      </c>
      <c r="BC72" t="e">
        <f>#REF!/#REF!</f>
        <v>#REF!</v>
      </c>
      <c r="BD72" t="e">
        <f>R13/R29</f>
        <v>#DIV/0!</v>
      </c>
      <c r="BE72" t="e">
        <f>S13/S29</f>
        <v>#DIV/0!</v>
      </c>
      <c r="BF72" t="e">
        <f>#REF!/#REF!</f>
        <v>#REF!</v>
      </c>
      <c r="BG72" t="e">
        <f>#REF!/#REF!</f>
        <v>#REF!</v>
      </c>
      <c r="BH72" t="e">
        <f>#REF!/#REF!</f>
        <v>#REF!</v>
      </c>
      <c r="BI72" t="e">
        <f>#REF!/#REF!</f>
        <v>#REF!</v>
      </c>
      <c r="BJ72" t="e">
        <f>#REF!/#REF!</f>
        <v>#REF!</v>
      </c>
      <c r="BK72" t="e">
        <f>#REF!/#REF!</f>
        <v>#REF!</v>
      </c>
      <c r="BL72">
        <f>T13/T29</f>
        <v>1.2485843714609286</v>
      </c>
      <c r="BM72" t="e">
        <f>#REF!/#REF!</f>
        <v>#REF!</v>
      </c>
      <c r="BN72">
        <f>U13/U29</f>
        <v>2.2589285714285712</v>
      </c>
      <c r="BO72" t="e">
        <f>#REF!/#REF!</f>
        <v>#REF!</v>
      </c>
      <c r="BP72" t="e">
        <f>#REF!/#REF!</f>
        <v>#REF!</v>
      </c>
      <c r="BQ72" t="e">
        <f>#REF!/#REF!</f>
        <v>#REF!</v>
      </c>
      <c r="BR72" t="e">
        <f>#REF!/#REF!</f>
        <v>#REF!</v>
      </c>
      <c r="BS72" t="e">
        <f>#REF!/#REF!</f>
        <v>#REF!</v>
      </c>
      <c r="BT72" t="e">
        <f>#REF!/#REF!</f>
        <v>#REF!</v>
      </c>
      <c r="BU72" t="e">
        <f>#REF!/#REF!</f>
        <v>#REF!</v>
      </c>
      <c r="BV72" t="e">
        <f>#REF!/#REF!</f>
        <v>#REF!</v>
      </c>
      <c r="BW72" t="e">
        <f>#REF!/#REF!</f>
        <v>#REF!</v>
      </c>
      <c r="BX72" t="e">
        <f>#REF!/#REF!</f>
        <v>#REF!</v>
      </c>
      <c r="BY72" t="e">
        <f>#REF!/#REF!</f>
        <v>#REF!</v>
      </c>
      <c r="BZ72" t="e">
        <f>#REF!/#REF!</f>
        <v>#REF!</v>
      </c>
      <c r="CA72" t="e">
        <f>#REF!/#REF!</f>
        <v>#REF!</v>
      </c>
      <c r="CB72" t="e">
        <f>#REF!/#REF!</f>
        <v>#REF!</v>
      </c>
      <c r="CC72" t="e">
        <f>#REF!/#REF!</f>
        <v>#REF!</v>
      </c>
      <c r="CD72" t="e">
        <f>#REF!/#REF!</f>
        <v>#REF!</v>
      </c>
    </row>
    <row r="73" spans="1:82" x14ac:dyDescent="0.25">
      <c r="A73" s="51" t="s">
        <v>555</v>
      </c>
      <c r="B73" t="e">
        <f>#REF!/#REF!</f>
        <v>#REF!</v>
      </c>
      <c r="C73" t="e">
        <f>#REF!/#REF!</f>
        <v>#REF!</v>
      </c>
      <c r="D73" t="e">
        <f>#REF!/#REF!</f>
        <v>#REF!</v>
      </c>
      <c r="E73" t="e">
        <f>#REF!/#REF!</f>
        <v>#REF!</v>
      </c>
      <c r="F73" t="e">
        <f>#REF!/#REF!</f>
        <v>#REF!</v>
      </c>
      <c r="G73" t="e">
        <f>#REF!/#REF!</f>
        <v>#REF!</v>
      </c>
      <c r="H73">
        <f>B14/B30</f>
        <v>1.0828025477707006</v>
      </c>
      <c r="I73" t="e">
        <f>#REF!/#REF!</f>
        <v>#REF!</v>
      </c>
      <c r="J73">
        <f>C14/C30</f>
        <v>1.2140280561122245</v>
      </c>
      <c r="K73" t="e">
        <f>#REF!/#REF!</f>
        <v>#REF!</v>
      </c>
      <c r="L73">
        <f>D14/D30</f>
        <v>0.69522983521248916</v>
      </c>
      <c r="M73" t="e">
        <f>#REF!/#REF!</f>
        <v>#REF!</v>
      </c>
      <c r="N73" t="e">
        <f>#REF!/#REF!</f>
        <v>#REF!</v>
      </c>
      <c r="O73" t="e">
        <f>#REF!/#REF!</f>
        <v>#REF!</v>
      </c>
      <c r="P73" t="e">
        <f>#REF!/#REF!</f>
        <v>#REF!</v>
      </c>
      <c r="Q73">
        <f>E14/E30</f>
        <v>0.68354430379746833</v>
      </c>
      <c r="R73" t="e">
        <f>#REF!/#REF!</f>
        <v>#REF!</v>
      </c>
      <c r="S73">
        <f>F14/F30</f>
        <v>0</v>
      </c>
      <c r="T73" t="e">
        <f>#REF!/#REF!</f>
        <v>#REF!</v>
      </c>
      <c r="U73" t="e">
        <f>#REF!/#REF!</f>
        <v>#REF!</v>
      </c>
      <c r="V73" t="e">
        <f>#REF!/#REF!</f>
        <v>#REF!</v>
      </c>
      <c r="W73">
        <f>G14/G30</f>
        <v>0.76863354037267084</v>
      </c>
      <c r="X73">
        <f>H14/H30</f>
        <v>0.91208791208791229</v>
      </c>
      <c r="Y73" t="e">
        <f>#REF!/#REF!</f>
        <v>#REF!</v>
      </c>
      <c r="Z73">
        <f>I14/I30</f>
        <v>9.5067734978334983E-2</v>
      </c>
      <c r="AA73">
        <f>J14/J30</f>
        <v>2.0723905723905722</v>
      </c>
      <c r="AB73" t="e">
        <f>#REF!/#REF!</f>
        <v>#REF!</v>
      </c>
      <c r="AC73" t="e">
        <f>#REF!/#REF!</f>
        <v>#REF!</v>
      </c>
      <c r="AD73" t="e">
        <f>#REF!/#REF!</f>
        <v>#REF!</v>
      </c>
      <c r="AE73" t="e">
        <f>#REF!/#REF!</f>
        <v>#REF!</v>
      </c>
      <c r="AF73" t="e">
        <f>#REF!/#REF!</f>
        <v>#REF!</v>
      </c>
      <c r="AG73">
        <f>K14/K30</f>
        <v>4.0775616083009085</v>
      </c>
      <c r="AH73" t="e">
        <f>#REF!/#REF!</f>
        <v>#REF!</v>
      </c>
      <c r="AI73">
        <f>L14/L30</f>
        <v>2.2109479305740987</v>
      </c>
      <c r="AJ73" t="e">
        <f>#REF!/#REF!</f>
        <v>#REF!</v>
      </c>
      <c r="AK73">
        <f>M14/M30</f>
        <v>0.28549540347293151</v>
      </c>
      <c r="AL73" t="e">
        <f>#REF!/#REF!</f>
        <v>#REF!</v>
      </c>
      <c r="AM73" t="e">
        <f>#REF!/#REF!</f>
        <v>#REF!</v>
      </c>
      <c r="AN73">
        <f>N14/N30</f>
        <v>3.8534428300694881E-2</v>
      </c>
      <c r="AO73">
        <f>O14/O30</f>
        <v>0.71230769230769231</v>
      </c>
      <c r="AP73" t="e">
        <f>#REF!/#REF!</f>
        <v>#REF!</v>
      </c>
      <c r="AQ73" t="e">
        <f>#REF!/#REF!</f>
        <v>#REF!</v>
      </c>
      <c r="AR73" t="e">
        <f>#REF!/#REF!</f>
        <v>#REF!</v>
      </c>
      <c r="AS73" t="e">
        <f>#REF!/#REF!</f>
        <v>#REF!</v>
      </c>
      <c r="AT73" t="e">
        <f>#REF!/#REF!</f>
        <v>#REF!</v>
      </c>
      <c r="AU73">
        <f>P14/P30</f>
        <v>4.0803571428571423</v>
      </c>
      <c r="AV73" t="e">
        <f>#REF!/#REF!</f>
        <v>#REF!</v>
      </c>
      <c r="AW73" t="e">
        <f>#REF!/#REF!</f>
        <v>#REF!</v>
      </c>
      <c r="AX73" t="e">
        <f>#REF!/#REF!</f>
        <v>#REF!</v>
      </c>
      <c r="AY73" t="e">
        <f>#REF!/#REF!</f>
        <v>#REF!</v>
      </c>
      <c r="AZ73" t="e">
        <f>#REF!/#REF!</f>
        <v>#REF!</v>
      </c>
      <c r="BA73">
        <f>Q14/Q30</f>
        <v>1.8874999999999997</v>
      </c>
      <c r="BB73" t="e">
        <f>#REF!/#REF!</f>
        <v>#REF!</v>
      </c>
      <c r="BC73" t="e">
        <f>#REF!/#REF!</f>
        <v>#REF!</v>
      </c>
      <c r="BD73">
        <f>R14/R30</f>
        <v>4.1847690387016234</v>
      </c>
      <c r="BE73">
        <f>S14/S30</f>
        <v>0</v>
      </c>
      <c r="BF73" t="e">
        <f>#REF!/#REF!</f>
        <v>#REF!</v>
      </c>
      <c r="BG73" t="e">
        <f>#REF!/#REF!</f>
        <v>#REF!</v>
      </c>
      <c r="BH73" t="e">
        <f>#REF!/#REF!</f>
        <v>#REF!</v>
      </c>
      <c r="BI73" t="e">
        <f>#REF!/#REF!</f>
        <v>#REF!</v>
      </c>
      <c r="BJ73" t="e">
        <f>#REF!/#REF!</f>
        <v>#REF!</v>
      </c>
      <c r="BK73" t="e">
        <f>#REF!/#REF!</f>
        <v>#REF!</v>
      </c>
      <c r="BL73">
        <f>T14/T30</f>
        <v>1.7634146341463417</v>
      </c>
      <c r="BM73" t="e">
        <f>#REF!/#REF!</f>
        <v>#REF!</v>
      </c>
      <c r="BN73">
        <f>U14/U30</f>
        <v>4.5730337078651688</v>
      </c>
      <c r="BO73" t="e">
        <f>#REF!/#REF!</f>
        <v>#REF!</v>
      </c>
      <c r="BP73" t="e">
        <f>#REF!/#REF!</f>
        <v>#REF!</v>
      </c>
      <c r="BQ73" t="e">
        <f>#REF!/#REF!</f>
        <v>#REF!</v>
      </c>
      <c r="BR73" t="e">
        <f>#REF!/#REF!</f>
        <v>#REF!</v>
      </c>
      <c r="BS73" t="e">
        <f>#REF!/#REF!</f>
        <v>#REF!</v>
      </c>
      <c r="BT73" t="e">
        <f>#REF!/#REF!</f>
        <v>#REF!</v>
      </c>
      <c r="BU73" t="e">
        <f>#REF!/#REF!</f>
        <v>#REF!</v>
      </c>
      <c r="BV73" t="e">
        <f>#REF!/#REF!</f>
        <v>#REF!</v>
      </c>
      <c r="BW73" t="e">
        <f>#REF!/#REF!</f>
        <v>#REF!</v>
      </c>
      <c r="BX73" t="e">
        <f>#REF!/#REF!</f>
        <v>#REF!</v>
      </c>
      <c r="BY73" t="e">
        <f>#REF!/#REF!</f>
        <v>#REF!</v>
      </c>
      <c r="BZ73" t="e">
        <f>#REF!/#REF!</f>
        <v>#REF!</v>
      </c>
      <c r="CA73" t="e">
        <f>#REF!/#REF!</f>
        <v>#REF!</v>
      </c>
      <c r="CB73" t="e">
        <f>#REF!/#REF!</f>
        <v>#REF!</v>
      </c>
      <c r="CC73" t="e">
        <f>#REF!/#REF!</f>
        <v>#REF!</v>
      </c>
      <c r="CD73" t="e">
        <f>#REF!/#REF!</f>
        <v>#REF!</v>
      </c>
    </row>
    <row r="74" spans="1:82" x14ac:dyDescent="0.25">
      <c r="A74" s="51" t="s">
        <v>557</v>
      </c>
      <c r="B74" t="e">
        <f>#REF!/#REF!</f>
        <v>#REF!</v>
      </c>
      <c r="C74" t="e">
        <f>#REF!/#REF!</f>
        <v>#REF!</v>
      </c>
      <c r="D74" t="e">
        <f>#REF!/#REF!</f>
        <v>#REF!</v>
      </c>
      <c r="E74" t="e">
        <f>#REF!/#REF!</f>
        <v>#REF!</v>
      </c>
      <c r="F74" t="e">
        <f>#REF!/#REF!</f>
        <v>#REF!</v>
      </c>
      <c r="G74" t="e">
        <f>#REF!/#REF!</f>
        <v>#REF!</v>
      </c>
      <c r="H74">
        <f>B18/B32</f>
        <v>1.1481481481481481</v>
      </c>
      <c r="I74" t="e">
        <f>#REF!/#REF!</f>
        <v>#REF!</v>
      </c>
      <c r="J74">
        <f>C18/C32</f>
        <v>1.2893692104102337</v>
      </c>
      <c r="K74" t="e">
        <f>#REF!/#REF!</f>
        <v>#REF!</v>
      </c>
      <c r="L74">
        <f>D18/D32</f>
        <v>1.4493267186392629</v>
      </c>
      <c r="M74" t="e">
        <f>#REF!/#REF!</f>
        <v>#REF!</v>
      </c>
      <c r="N74" t="e">
        <f>#REF!/#REF!</f>
        <v>#REF!</v>
      </c>
      <c r="O74" t="e">
        <f>#REF!/#REF!</f>
        <v>#REF!</v>
      </c>
      <c r="P74" t="e">
        <f>#REF!/#REF!</f>
        <v>#REF!</v>
      </c>
      <c r="Q74">
        <f>E18/E32</f>
        <v>0.71084337349397586</v>
      </c>
      <c r="R74" t="e">
        <f>#REF!/#REF!</f>
        <v>#REF!</v>
      </c>
      <c r="S74">
        <f>F18/F32</f>
        <v>1.0287253141831239</v>
      </c>
      <c r="T74" t="e">
        <f>#REF!/#REF!</f>
        <v>#REF!</v>
      </c>
      <c r="U74" t="e">
        <f>#REF!/#REF!</f>
        <v>#REF!</v>
      </c>
      <c r="V74" t="e">
        <f>#REF!/#REF!</f>
        <v>#REF!</v>
      </c>
      <c r="W74">
        <f>G18/G32</f>
        <v>0.90405904059040598</v>
      </c>
      <c r="X74">
        <f>H18/H32</f>
        <v>3.4933333333333332</v>
      </c>
      <c r="Y74" t="e">
        <f>#REF!/#REF!</f>
        <v>#REF!</v>
      </c>
      <c r="Z74">
        <f>I18/I32</f>
        <v>1.299430691485959</v>
      </c>
      <c r="AA74">
        <f>J18/J32</f>
        <v>1.4095940959409594</v>
      </c>
      <c r="AB74" t="e">
        <f>#REF!/#REF!</f>
        <v>#REF!</v>
      </c>
      <c r="AC74" t="e">
        <f>#REF!/#REF!</f>
        <v>#REF!</v>
      </c>
      <c r="AD74" t="e">
        <f>#REF!/#REF!</f>
        <v>#REF!</v>
      </c>
      <c r="AE74" t="e">
        <f>#REF!/#REF!</f>
        <v>#REF!</v>
      </c>
      <c r="AF74" t="e">
        <f>#REF!/#REF!</f>
        <v>#REF!</v>
      </c>
      <c r="AG74">
        <f>K18/K32</f>
        <v>1.445996663886572</v>
      </c>
      <c r="AH74" t="e">
        <f>#REF!/#REF!</f>
        <v>#REF!</v>
      </c>
      <c r="AI74" t="e">
        <f>L18/L32</f>
        <v>#DIV/0!</v>
      </c>
      <c r="AJ74" t="e">
        <f>#REF!/#REF!</f>
        <v>#REF!</v>
      </c>
      <c r="AK74">
        <f>M18/M32</f>
        <v>2.0859728506787332</v>
      </c>
      <c r="AL74" t="e">
        <f>#REF!/#REF!</f>
        <v>#REF!</v>
      </c>
      <c r="AM74" t="e">
        <f>#REF!/#REF!</f>
        <v>#REF!</v>
      </c>
      <c r="AN74">
        <f>N18/N32</f>
        <v>1.0245499181669393</v>
      </c>
      <c r="AO74">
        <f>O18/O32</f>
        <v>1.4956268221574343</v>
      </c>
      <c r="AP74" t="e">
        <f>#REF!/#REF!</f>
        <v>#REF!</v>
      </c>
      <c r="AQ74" t="e">
        <f>#REF!/#REF!</f>
        <v>#REF!</v>
      </c>
      <c r="AR74" t="e">
        <f>#REF!/#REF!</f>
        <v>#REF!</v>
      </c>
      <c r="AS74" t="e">
        <f>#REF!/#REF!</f>
        <v>#REF!</v>
      </c>
      <c r="AT74" t="e">
        <f>#REF!/#REF!</f>
        <v>#REF!</v>
      </c>
      <c r="AU74">
        <f>P18/P32</f>
        <v>0.7009803921568627</v>
      </c>
      <c r="AV74" t="e">
        <f>#REF!/#REF!</f>
        <v>#REF!</v>
      </c>
      <c r="AW74" t="e">
        <f>#REF!/#REF!</f>
        <v>#REF!</v>
      </c>
      <c r="AX74" t="e">
        <f>#REF!/#REF!</f>
        <v>#REF!</v>
      </c>
      <c r="AY74" t="e">
        <f>#REF!/#REF!</f>
        <v>#REF!</v>
      </c>
      <c r="AZ74" t="e">
        <f>#REF!/#REF!</f>
        <v>#REF!</v>
      </c>
      <c r="BA74">
        <f>Q18/Q32</f>
        <v>0.29605263157894735</v>
      </c>
      <c r="BB74" t="e">
        <f>#REF!/#REF!</f>
        <v>#REF!</v>
      </c>
      <c r="BC74" t="e">
        <f>#REF!/#REF!</f>
        <v>#REF!</v>
      </c>
      <c r="BD74" t="e">
        <f>R18/R32</f>
        <v>#DIV/0!</v>
      </c>
      <c r="BE74" t="e">
        <f>S18/S32</f>
        <v>#DIV/0!</v>
      </c>
      <c r="BF74" t="e">
        <f>#REF!/#REF!</f>
        <v>#REF!</v>
      </c>
      <c r="BG74" t="e">
        <f>#REF!/#REF!</f>
        <v>#REF!</v>
      </c>
      <c r="BH74" t="e">
        <f>#REF!/#REF!</f>
        <v>#REF!</v>
      </c>
      <c r="BI74" t="e">
        <f>#REF!/#REF!</f>
        <v>#REF!</v>
      </c>
      <c r="BJ74" t="e">
        <f>#REF!/#REF!</f>
        <v>#REF!</v>
      </c>
      <c r="BK74" t="e">
        <f>#REF!/#REF!</f>
        <v>#REF!</v>
      </c>
      <c r="BL74">
        <f>T18/T32</f>
        <v>0.81249999999999989</v>
      </c>
      <c r="BM74" t="e">
        <f>#REF!/#REF!</f>
        <v>#REF!</v>
      </c>
      <c r="BN74">
        <f>U18/U32</f>
        <v>1.2072072072072071</v>
      </c>
      <c r="BO74" t="e">
        <f>#REF!/#REF!</f>
        <v>#REF!</v>
      </c>
      <c r="BP74" t="e">
        <f>#REF!/#REF!</f>
        <v>#REF!</v>
      </c>
      <c r="BQ74" t="e">
        <f>#REF!/#REF!</f>
        <v>#REF!</v>
      </c>
      <c r="BR74" t="e">
        <f>#REF!/#REF!</f>
        <v>#REF!</v>
      </c>
      <c r="BS74" t="e">
        <f>#REF!/#REF!</f>
        <v>#REF!</v>
      </c>
      <c r="BT74" t="e">
        <f>#REF!/#REF!</f>
        <v>#REF!</v>
      </c>
      <c r="BU74" t="e">
        <f>#REF!/#REF!</f>
        <v>#REF!</v>
      </c>
      <c r="BV74" t="e">
        <f>#REF!/#REF!</f>
        <v>#REF!</v>
      </c>
      <c r="BW74" t="e">
        <f>#REF!/#REF!</f>
        <v>#REF!</v>
      </c>
      <c r="BX74" t="e">
        <f>#REF!/#REF!</f>
        <v>#REF!</v>
      </c>
      <c r="BY74" t="e">
        <f>#REF!/#REF!</f>
        <v>#REF!</v>
      </c>
      <c r="BZ74" t="e">
        <f>#REF!/#REF!</f>
        <v>#REF!</v>
      </c>
      <c r="CA74" t="e">
        <f>#REF!/#REF!</f>
        <v>#REF!</v>
      </c>
      <c r="CB74" t="e">
        <f>#REF!/#REF!</f>
        <v>#REF!</v>
      </c>
      <c r="CC74" t="e">
        <f>#REF!/#REF!</f>
        <v>#REF!</v>
      </c>
      <c r="CD74" t="e">
        <f>#REF!/#REF!</f>
        <v>#REF!</v>
      </c>
    </row>
    <row r="75" spans="1:82" x14ac:dyDescent="0.25">
      <c r="A75" s="51" t="s">
        <v>653</v>
      </c>
    </row>
    <row r="76" spans="1:82" x14ac:dyDescent="0.25">
      <c r="A76" s="51" t="s">
        <v>640</v>
      </c>
      <c r="B76" t="e">
        <f>#REF!/#REF!</f>
        <v>#REF!</v>
      </c>
      <c r="C76" t="e">
        <f>#REF!/#REF!</f>
        <v>#REF!</v>
      </c>
      <c r="D76" t="e">
        <f>#REF!/#REF!</f>
        <v>#REF!</v>
      </c>
      <c r="E76" t="e">
        <f>#REF!/#REF!</f>
        <v>#REF!</v>
      </c>
      <c r="F76" t="e">
        <f>#REF!/#REF!</f>
        <v>#REF!</v>
      </c>
      <c r="G76" t="e">
        <f>#REF!/#REF!</f>
        <v>#REF!</v>
      </c>
      <c r="H76">
        <f>B17/B36</f>
        <v>4.166666666666667</v>
      </c>
      <c r="I76" t="e">
        <f>#REF!/#REF!</f>
        <v>#REF!</v>
      </c>
      <c r="J76">
        <f>C17/C36</f>
        <v>1.3536045106725736</v>
      </c>
      <c r="K76" t="e">
        <f>#REF!/#REF!</f>
        <v>#REF!</v>
      </c>
      <c r="L76">
        <f>D17/D36</f>
        <v>0.61731689925639188</v>
      </c>
      <c r="M76" t="e">
        <f>#REF!/#REF!</f>
        <v>#REF!</v>
      </c>
      <c r="N76" t="e">
        <f>#REF!/#REF!</f>
        <v>#REF!</v>
      </c>
      <c r="O76" t="e">
        <f>#REF!/#REF!</f>
        <v>#REF!</v>
      </c>
      <c r="P76" t="e">
        <f>#REF!/#REF!</f>
        <v>#REF!</v>
      </c>
      <c r="Q76">
        <f>E17/E36</f>
        <v>0.36904761904761907</v>
      </c>
      <c r="R76" t="e">
        <f>#REF!/#REF!</f>
        <v>#REF!</v>
      </c>
      <c r="S76">
        <f>F17/F36</f>
        <v>0.46986423638840602</v>
      </c>
      <c r="T76" t="e">
        <f>#REF!/#REF!</f>
        <v>#REF!</v>
      </c>
      <c r="U76" t="e">
        <f>#REF!/#REF!</f>
        <v>#REF!</v>
      </c>
      <c r="V76" t="e">
        <f>#REF!/#REF!</f>
        <v>#REF!</v>
      </c>
      <c r="W76">
        <f>G17/G36</f>
        <v>1.1634408602150537</v>
      </c>
      <c r="X76">
        <f>H17/H36</f>
        <v>12.819338054632173</v>
      </c>
      <c r="Y76" t="e">
        <f>#REF!/#REF!</f>
        <v>#REF!</v>
      </c>
      <c r="Z76">
        <f>I17/I36</f>
        <v>0.17750927821325743</v>
      </c>
      <c r="AA76">
        <f>J17/J36</f>
        <v>2.01453488372093</v>
      </c>
      <c r="AB76" t="e">
        <f>#REF!/#REF!</f>
        <v>#REF!</v>
      </c>
      <c r="AC76" t="e">
        <f>#REF!/#REF!</f>
        <v>#REF!</v>
      </c>
      <c r="AD76" t="e">
        <f>#REF!/#REF!</f>
        <v>#REF!</v>
      </c>
      <c r="AE76" t="e">
        <f>#REF!/#REF!</f>
        <v>#REF!</v>
      </c>
      <c r="AF76" t="e">
        <f>#REF!/#REF!</f>
        <v>#REF!</v>
      </c>
      <c r="AG76">
        <f>K17/K36</f>
        <v>3.1590050639216338</v>
      </c>
      <c r="AH76" t="e">
        <f>#REF!/#REF!</f>
        <v>#REF!</v>
      </c>
      <c r="AI76">
        <f>L17/L36</f>
        <v>0.66408668730650144</v>
      </c>
      <c r="AJ76" t="e">
        <f>#REF!/#REF!</f>
        <v>#REF!</v>
      </c>
      <c r="AK76">
        <f>M17/M36</f>
        <v>2.1786237188872617</v>
      </c>
      <c r="AL76" t="e">
        <f>#REF!/#REF!</f>
        <v>#REF!</v>
      </c>
      <c r="AM76" t="e">
        <f>#REF!/#REF!</f>
        <v>#REF!</v>
      </c>
      <c r="AN76">
        <f>N17/N36</f>
        <v>0.38945907375911482</v>
      </c>
      <c r="AO76">
        <f>O17/O36</f>
        <v>2.8520625889046936</v>
      </c>
      <c r="AP76" t="e">
        <f>#REF!/#REF!</f>
        <v>#REF!</v>
      </c>
      <c r="AQ76" t="e">
        <f>#REF!/#REF!</f>
        <v>#REF!</v>
      </c>
      <c r="AR76" t="e">
        <f>#REF!/#REF!</f>
        <v>#REF!</v>
      </c>
      <c r="AS76" t="e">
        <f>#REF!/#REF!</f>
        <v>#REF!</v>
      </c>
      <c r="AT76" t="e">
        <f>#REF!/#REF!</f>
        <v>#REF!</v>
      </c>
      <c r="AU76">
        <f>P17/P36</f>
        <v>24.136992956035947</v>
      </c>
      <c r="AV76" t="e">
        <f>#REF!/#REF!</f>
        <v>#REF!</v>
      </c>
      <c r="AW76" t="e">
        <f>#REF!/#REF!</f>
        <v>#REF!</v>
      </c>
      <c r="AX76" t="e">
        <f>#REF!/#REF!</f>
        <v>#REF!</v>
      </c>
      <c r="AY76" t="e">
        <f>#REF!/#REF!</f>
        <v>#REF!</v>
      </c>
      <c r="AZ76" t="e">
        <f>#REF!/#REF!</f>
        <v>#REF!</v>
      </c>
      <c r="BA76">
        <f>Q17/Q36</f>
        <v>1.2222222222222223</v>
      </c>
      <c r="BB76" t="e">
        <f>#REF!/#REF!</f>
        <v>#REF!</v>
      </c>
      <c r="BC76" t="e">
        <f>#REF!/#REF!</f>
        <v>#REF!</v>
      </c>
      <c r="BD76" t="e">
        <f>R17/R36</f>
        <v>#DIV/0!</v>
      </c>
      <c r="BE76" t="e">
        <f>S17/S36</f>
        <v>#DIV/0!</v>
      </c>
      <c r="BF76" t="e">
        <f>#REF!/#REF!</f>
        <v>#REF!</v>
      </c>
      <c r="BG76" t="e">
        <f>#REF!/#REF!</f>
        <v>#REF!</v>
      </c>
      <c r="BH76" t="e">
        <f>#REF!/#REF!</f>
        <v>#REF!</v>
      </c>
      <c r="BI76" t="e">
        <f>#REF!/#REF!</f>
        <v>#REF!</v>
      </c>
      <c r="BJ76" t="e">
        <f>#REF!/#REF!</f>
        <v>#REF!</v>
      </c>
      <c r="BK76" t="e">
        <f>#REF!/#REF!</f>
        <v>#REF!</v>
      </c>
      <c r="BL76">
        <f>T17/T36</f>
        <v>5.6407103825136611</v>
      </c>
      <c r="BM76" t="e">
        <f>#REF!/#REF!</f>
        <v>#REF!</v>
      </c>
      <c r="BN76">
        <f>U17/U36</f>
        <v>5.5686274509803919</v>
      </c>
      <c r="BO76" t="e">
        <f>#REF!/#REF!</f>
        <v>#REF!</v>
      </c>
      <c r="BP76" t="e">
        <f>#REF!/#REF!</f>
        <v>#REF!</v>
      </c>
      <c r="BQ76" t="e">
        <f>#REF!/#REF!</f>
        <v>#REF!</v>
      </c>
      <c r="BR76" t="e">
        <f>#REF!/#REF!</f>
        <v>#REF!</v>
      </c>
      <c r="BS76" t="e">
        <f>#REF!/#REF!</f>
        <v>#REF!</v>
      </c>
      <c r="BT76" t="e">
        <f>#REF!/#REF!</f>
        <v>#REF!</v>
      </c>
      <c r="BU76" t="e">
        <f>#REF!/#REF!</f>
        <v>#REF!</v>
      </c>
      <c r="BV76" t="e">
        <f>#REF!/#REF!</f>
        <v>#REF!</v>
      </c>
      <c r="BW76" t="e">
        <f>#REF!/#REF!</f>
        <v>#REF!</v>
      </c>
      <c r="BX76" t="e">
        <f>#REF!/#REF!</f>
        <v>#REF!</v>
      </c>
      <c r="BY76" t="e">
        <f>#REF!/#REF!</f>
        <v>#REF!</v>
      </c>
      <c r="BZ76" t="e">
        <f>#REF!/#REF!</f>
        <v>#REF!</v>
      </c>
      <c r="CA76" t="e">
        <f>#REF!/#REF!</f>
        <v>#REF!</v>
      </c>
      <c r="CB76" t="e">
        <f>#REF!/#REF!</f>
        <v>#REF!</v>
      </c>
      <c r="CC76" t="e">
        <f>#REF!/#REF!</f>
        <v>#REF!</v>
      </c>
      <c r="CD76" t="e">
        <f>#REF!/#REF!</f>
        <v>#REF!</v>
      </c>
    </row>
    <row r="78" spans="1:82" x14ac:dyDescent="0.25">
      <c r="A78" s="51" t="s">
        <v>641</v>
      </c>
      <c r="B78" t="e">
        <f>AVERAGE(B69,B70,B71,B72)</f>
        <v>#REF!</v>
      </c>
      <c r="C78" t="e">
        <f t="shared" ref="C78:BN78" si="18">AVERAGE(C69,C70,C71,C72)</f>
        <v>#REF!</v>
      </c>
      <c r="D78" t="e">
        <f t="shared" si="18"/>
        <v>#REF!</v>
      </c>
      <c r="E78" t="e">
        <f t="shared" si="18"/>
        <v>#REF!</v>
      </c>
      <c r="F78" t="e">
        <f t="shared" si="18"/>
        <v>#REF!</v>
      </c>
      <c r="G78" t="e">
        <f t="shared" si="18"/>
        <v>#REF!</v>
      </c>
      <c r="H78">
        <f t="shared" si="18"/>
        <v>1.6879949407434809</v>
      </c>
      <c r="I78" t="e">
        <f t="shared" si="18"/>
        <v>#REF!</v>
      </c>
      <c r="J78">
        <f t="shared" si="18"/>
        <v>3.3678553202561763</v>
      </c>
      <c r="K78" t="e">
        <f t="shared" si="18"/>
        <v>#REF!</v>
      </c>
      <c r="L78">
        <f t="shared" si="18"/>
        <v>3.6457732643369454</v>
      </c>
      <c r="M78" t="e">
        <f t="shared" si="18"/>
        <v>#REF!</v>
      </c>
      <c r="N78" t="e">
        <f t="shared" si="18"/>
        <v>#REF!</v>
      </c>
      <c r="O78" t="e">
        <f t="shared" si="18"/>
        <v>#REF!</v>
      </c>
      <c r="P78" t="e">
        <f t="shared" si="18"/>
        <v>#REF!</v>
      </c>
      <c r="Q78">
        <f t="shared" si="18"/>
        <v>0.57782345080044195</v>
      </c>
      <c r="R78" t="e">
        <f t="shared" si="18"/>
        <v>#REF!</v>
      </c>
      <c r="S78" t="e">
        <f t="shared" si="18"/>
        <v>#DIV/0!</v>
      </c>
      <c r="T78" t="e">
        <f t="shared" si="18"/>
        <v>#REF!</v>
      </c>
      <c r="U78" t="e">
        <f t="shared" si="18"/>
        <v>#REF!</v>
      </c>
      <c r="V78" t="e">
        <f t="shared" si="18"/>
        <v>#REF!</v>
      </c>
      <c r="W78">
        <f t="shared" si="18"/>
        <v>0.85761805459125218</v>
      </c>
      <c r="X78">
        <f t="shared" si="18"/>
        <v>2.6224965410672283</v>
      </c>
      <c r="Y78" t="e">
        <f t="shared" si="18"/>
        <v>#REF!</v>
      </c>
      <c r="Z78">
        <f t="shared" si="18"/>
        <v>2.4828100944440985</v>
      </c>
      <c r="AA78" t="e">
        <f t="shared" si="18"/>
        <v>#DIV/0!</v>
      </c>
      <c r="AB78" t="e">
        <f t="shared" si="18"/>
        <v>#REF!</v>
      </c>
      <c r="AC78" t="e">
        <f t="shared" si="18"/>
        <v>#REF!</v>
      </c>
      <c r="AD78" t="e">
        <f t="shared" si="18"/>
        <v>#REF!</v>
      </c>
      <c r="AE78" t="e">
        <f t="shared" si="18"/>
        <v>#REF!</v>
      </c>
      <c r="AF78" t="e">
        <f t="shared" si="18"/>
        <v>#REF!</v>
      </c>
      <c r="AG78">
        <f t="shared" si="18"/>
        <v>3.0264923561463659</v>
      </c>
      <c r="AH78" t="e">
        <f t="shared" si="18"/>
        <v>#REF!</v>
      </c>
      <c r="AI78" t="e">
        <f t="shared" si="18"/>
        <v>#DIV/0!</v>
      </c>
      <c r="AJ78" t="e">
        <f t="shared" si="18"/>
        <v>#REF!</v>
      </c>
      <c r="AK78">
        <f t="shared" si="18"/>
        <v>6.6916176699470036</v>
      </c>
      <c r="AL78" t="e">
        <f t="shared" si="18"/>
        <v>#REF!</v>
      </c>
      <c r="AM78" t="e">
        <f t="shared" si="18"/>
        <v>#REF!</v>
      </c>
      <c r="AN78">
        <f t="shared" si="18"/>
        <v>4.4645604039289672</v>
      </c>
      <c r="AO78">
        <f t="shared" si="18"/>
        <v>4.5413937070031611</v>
      </c>
      <c r="AP78" t="e">
        <f t="shared" si="18"/>
        <v>#REF!</v>
      </c>
      <c r="AQ78" t="e">
        <f t="shared" si="18"/>
        <v>#REF!</v>
      </c>
      <c r="AR78" t="e">
        <f t="shared" si="18"/>
        <v>#REF!</v>
      </c>
      <c r="AS78" t="e">
        <f t="shared" si="18"/>
        <v>#REF!</v>
      </c>
      <c r="AT78" t="e">
        <f t="shared" si="18"/>
        <v>#REF!</v>
      </c>
      <c r="AU78">
        <f t="shared" si="18"/>
        <v>0.77136158429984658</v>
      </c>
      <c r="AV78" t="e">
        <f t="shared" si="18"/>
        <v>#REF!</v>
      </c>
      <c r="AW78" t="e">
        <f t="shared" si="18"/>
        <v>#REF!</v>
      </c>
      <c r="AX78" t="e">
        <f t="shared" si="18"/>
        <v>#REF!</v>
      </c>
      <c r="AY78" t="e">
        <f t="shared" si="18"/>
        <v>#REF!</v>
      </c>
      <c r="AZ78" t="e">
        <f t="shared" si="18"/>
        <v>#REF!</v>
      </c>
      <c r="BA78">
        <f t="shared" si="18"/>
        <v>0.41236072350543895</v>
      </c>
      <c r="BB78" t="e">
        <f t="shared" si="18"/>
        <v>#REF!</v>
      </c>
      <c r="BC78" t="e">
        <f t="shared" si="18"/>
        <v>#REF!</v>
      </c>
      <c r="BD78" t="e">
        <f t="shared" si="18"/>
        <v>#DIV/0!</v>
      </c>
      <c r="BE78" t="e">
        <f>AVERAGE(BE69,BE70,BE71,BE72)</f>
        <v>#DIV/0!</v>
      </c>
      <c r="BF78" t="e">
        <f t="shared" si="18"/>
        <v>#REF!</v>
      </c>
      <c r="BG78" t="e">
        <f t="shared" si="18"/>
        <v>#REF!</v>
      </c>
      <c r="BH78" t="e">
        <f t="shared" si="18"/>
        <v>#REF!</v>
      </c>
      <c r="BI78" t="e">
        <f t="shared" si="18"/>
        <v>#REF!</v>
      </c>
      <c r="BJ78" t="e">
        <f t="shared" si="18"/>
        <v>#REF!</v>
      </c>
      <c r="BK78" t="e">
        <f t="shared" si="18"/>
        <v>#REF!</v>
      </c>
      <c r="BL78">
        <f t="shared" si="18"/>
        <v>2.6723246821584645</v>
      </c>
      <c r="BM78" t="e">
        <f t="shared" si="18"/>
        <v>#REF!</v>
      </c>
      <c r="BN78" t="e">
        <f t="shared" si="18"/>
        <v>#DIV/0!</v>
      </c>
      <c r="BO78" t="e">
        <f t="shared" ref="BO78:CD78" si="19">AVERAGE(BO69,BO70,BO71,BO72)</f>
        <v>#REF!</v>
      </c>
      <c r="BP78" t="e">
        <f t="shared" si="19"/>
        <v>#REF!</v>
      </c>
      <c r="BQ78" t="e">
        <f t="shared" si="19"/>
        <v>#REF!</v>
      </c>
      <c r="BR78" t="e">
        <f t="shared" si="19"/>
        <v>#REF!</v>
      </c>
      <c r="BS78" t="e">
        <f t="shared" si="19"/>
        <v>#REF!</v>
      </c>
      <c r="BT78" t="e">
        <f t="shared" si="19"/>
        <v>#REF!</v>
      </c>
      <c r="BU78" t="e">
        <f t="shared" si="19"/>
        <v>#REF!</v>
      </c>
      <c r="BV78" t="e">
        <f t="shared" si="19"/>
        <v>#REF!</v>
      </c>
      <c r="BW78" t="e">
        <f t="shared" si="19"/>
        <v>#REF!</v>
      </c>
      <c r="BX78" t="e">
        <f t="shared" si="19"/>
        <v>#REF!</v>
      </c>
      <c r="BY78" t="e">
        <f t="shared" si="19"/>
        <v>#REF!</v>
      </c>
      <c r="BZ78" t="e">
        <f t="shared" si="19"/>
        <v>#REF!</v>
      </c>
      <c r="CA78" t="e">
        <f t="shared" si="19"/>
        <v>#REF!</v>
      </c>
      <c r="CB78" t="e">
        <f t="shared" si="19"/>
        <v>#REF!</v>
      </c>
      <c r="CC78" t="e">
        <f t="shared" si="19"/>
        <v>#REF!</v>
      </c>
      <c r="CD78" t="e">
        <f t="shared" si="19"/>
        <v>#REF!</v>
      </c>
    </row>
    <row r="79" spans="1:82" x14ac:dyDescent="0.25">
      <c r="A79" s="51" t="s">
        <v>642</v>
      </c>
      <c r="B79" t="e">
        <f>AVERAGE(B66,B67,B68,B73)</f>
        <v>#REF!</v>
      </c>
      <c r="C79" t="e">
        <f t="shared" ref="C79:BN79" si="20">AVERAGE(C66,C67,C68,C73)</f>
        <v>#REF!</v>
      </c>
      <c r="D79" t="e">
        <f t="shared" si="20"/>
        <v>#REF!</v>
      </c>
      <c r="E79" t="e">
        <f t="shared" si="20"/>
        <v>#REF!</v>
      </c>
      <c r="F79" t="e">
        <f t="shared" si="20"/>
        <v>#REF!</v>
      </c>
      <c r="G79" t="e">
        <f t="shared" si="20"/>
        <v>#REF!</v>
      </c>
      <c r="H79">
        <f t="shared" si="20"/>
        <v>0.70136375001514195</v>
      </c>
      <c r="I79" t="e">
        <f t="shared" si="20"/>
        <v>#REF!</v>
      </c>
      <c r="J79">
        <f t="shared" si="20"/>
        <v>1.552454368180042</v>
      </c>
      <c r="K79" t="e">
        <f t="shared" si="20"/>
        <v>#REF!</v>
      </c>
      <c r="L79">
        <f t="shared" si="20"/>
        <v>3.8170131138846712</v>
      </c>
      <c r="M79" t="e">
        <f t="shared" si="20"/>
        <v>#REF!</v>
      </c>
      <c r="N79" t="e">
        <f t="shared" si="20"/>
        <v>#REF!</v>
      </c>
      <c r="O79" t="e">
        <f t="shared" si="20"/>
        <v>#REF!</v>
      </c>
      <c r="P79" t="e">
        <f t="shared" si="20"/>
        <v>#REF!</v>
      </c>
      <c r="Q79">
        <f t="shared" si="20"/>
        <v>0.52173959067912679</v>
      </c>
      <c r="R79" t="e">
        <f t="shared" si="20"/>
        <v>#REF!</v>
      </c>
      <c r="S79" t="e">
        <f t="shared" si="20"/>
        <v>#DIV/0!</v>
      </c>
      <c r="T79" t="e">
        <f t="shared" si="20"/>
        <v>#REF!</v>
      </c>
      <c r="U79" t="e">
        <f t="shared" si="20"/>
        <v>#REF!</v>
      </c>
      <c r="V79" t="e">
        <f t="shared" si="20"/>
        <v>#REF!</v>
      </c>
      <c r="W79">
        <f t="shared" si="20"/>
        <v>0.64060227423446692</v>
      </c>
      <c r="X79">
        <f t="shared" si="20"/>
        <v>1.8372573305542519</v>
      </c>
      <c r="Y79" t="e">
        <f t="shared" si="20"/>
        <v>#REF!</v>
      </c>
      <c r="Z79">
        <f t="shared" si="20"/>
        <v>4.6032822965713702</v>
      </c>
      <c r="AA79" t="e">
        <f t="shared" si="20"/>
        <v>#DIV/0!</v>
      </c>
      <c r="AB79" t="e">
        <f t="shared" si="20"/>
        <v>#REF!</v>
      </c>
      <c r="AC79" t="e">
        <f t="shared" si="20"/>
        <v>#REF!</v>
      </c>
      <c r="AD79" t="e">
        <f t="shared" si="20"/>
        <v>#REF!</v>
      </c>
      <c r="AE79" t="e">
        <f t="shared" si="20"/>
        <v>#REF!</v>
      </c>
      <c r="AF79" t="e">
        <f t="shared" si="20"/>
        <v>#REF!</v>
      </c>
      <c r="AG79">
        <f t="shared" si="20"/>
        <v>3.9384682741938137</v>
      </c>
      <c r="AH79" t="e">
        <f t="shared" si="20"/>
        <v>#REF!</v>
      </c>
      <c r="AI79" t="e">
        <f t="shared" si="20"/>
        <v>#NAME?</v>
      </c>
      <c r="AJ79" t="e">
        <f t="shared" si="20"/>
        <v>#REF!</v>
      </c>
      <c r="AK79">
        <f t="shared" si="20"/>
        <v>6.7892235047092662</v>
      </c>
      <c r="AL79" t="e">
        <f t="shared" si="20"/>
        <v>#REF!</v>
      </c>
      <c r="AM79" t="e">
        <f t="shared" si="20"/>
        <v>#REF!</v>
      </c>
      <c r="AN79" t="e">
        <f t="shared" si="20"/>
        <v>#DIV/0!</v>
      </c>
      <c r="AO79">
        <f t="shared" si="20"/>
        <v>1.3477528906373026</v>
      </c>
      <c r="AP79" t="e">
        <f t="shared" si="20"/>
        <v>#REF!</v>
      </c>
      <c r="AQ79" t="e">
        <f t="shared" si="20"/>
        <v>#REF!</v>
      </c>
      <c r="AR79" t="e">
        <f t="shared" si="20"/>
        <v>#REF!</v>
      </c>
      <c r="AS79" t="e">
        <f t="shared" si="20"/>
        <v>#REF!</v>
      </c>
      <c r="AT79" t="e">
        <f t="shared" si="20"/>
        <v>#REF!</v>
      </c>
      <c r="AU79">
        <f t="shared" si="20"/>
        <v>1.8541492600021534</v>
      </c>
      <c r="AV79" t="e">
        <f t="shared" si="20"/>
        <v>#REF!</v>
      </c>
      <c r="AW79" t="e">
        <f t="shared" si="20"/>
        <v>#REF!</v>
      </c>
      <c r="AX79" t="e">
        <f t="shared" si="20"/>
        <v>#REF!</v>
      </c>
      <c r="AY79" t="e">
        <f t="shared" si="20"/>
        <v>#REF!</v>
      </c>
      <c r="AZ79" t="e">
        <f t="shared" si="20"/>
        <v>#REF!</v>
      </c>
      <c r="BA79">
        <f t="shared" si="20"/>
        <v>0.77289601843103617</v>
      </c>
      <c r="BB79" t="e">
        <f t="shared" si="20"/>
        <v>#REF!</v>
      </c>
      <c r="BC79" t="e">
        <f t="shared" si="20"/>
        <v>#REF!</v>
      </c>
      <c r="BD79" t="e">
        <f t="shared" si="20"/>
        <v>#DIV/0!</v>
      </c>
      <c r="BE79">
        <f t="shared" si="20"/>
        <v>10.783550985013562</v>
      </c>
      <c r="BF79" t="e">
        <f t="shared" si="20"/>
        <v>#REF!</v>
      </c>
      <c r="BG79" t="e">
        <f t="shared" si="20"/>
        <v>#REF!</v>
      </c>
      <c r="BH79" t="e">
        <f t="shared" si="20"/>
        <v>#REF!</v>
      </c>
      <c r="BI79" t="e">
        <f t="shared" si="20"/>
        <v>#REF!</v>
      </c>
      <c r="BJ79" t="e">
        <f t="shared" si="20"/>
        <v>#REF!</v>
      </c>
      <c r="BK79" t="e">
        <f t="shared" si="20"/>
        <v>#REF!</v>
      </c>
      <c r="BL79">
        <f t="shared" si="20"/>
        <v>0.97245717412929833</v>
      </c>
      <c r="BM79" t="e">
        <f t="shared" si="20"/>
        <v>#REF!</v>
      </c>
      <c r="BN79" t="e">
        <f t="shared" si="20"/>
        <v>#DIV/0!</v>
      </c>
      <c r="BO79" t="e">
        <f t="shared" ref="BO79:CD79" si="21">AVERAGE(BO66,BO67,BO68,BO73)</f>
        <v>#REF!</v>
      </c>
      <c r="BP79" t="e">
        <f t="shared" si="21"/>
        <v>#REF!</v>
      </c>
      <c r="BQ79" t="e">
        <f t="shared" si="21"/>
        <v>#REF!</v>
      </c>
      <c r="BR79" t="e">
        <f t="shared" si="21"/>
        <v>#REF!</v>
      </c>
      <c r="BS79" t="e">
        <f t="shared" si="21"/>
        <v>#REF!</v>
      </c>
      <c r="BT79" t="e">
        <f t="shared" si="21"/>
        <v>#REF!</v>
      </c>
      <c r="BU79" t="e">
        <f t="shared" si="21"/>
        <v>#REF!</v>
      </c>
      <c r="BV79" t="e">
        <f t="shared" si="21"/>
        <v>#REF!</v>
      </c>
      <c r="BW79" t="e">
        <f t="shared" si="21"/>
        <v>#REF!</v>
      </c>
      <c r="BX79" t="e">
        <f t="shared" si="21"/>
        <v>#REF!</v>
      </c>
      <c r="BY79" t="e">
        <f t="shared" si="21"/>
        <v>#REF!</v>
      </c>
      <c r="BZ79" t="e">
        <f t="shared" si="21"/>
        <v>#REF!</v>
      </c>
      <c r="CA79" t="e">
        <f t="shared" si="21"/>
        <v>#REF!</v>
      </c>
      <c r="CB79" t="e">
        <f t="shared" si="21"/>
        <v>#REF!</v>
      </c>
      <c r="CC79" t="e">
        <f t="shared" si="21"/>
        <v>#REF!</v>
      </c>
      <c r="CD79" t="e">
        <f t="shared" si="21"/>
        <v>#REF!</v>
      </c>
    </row>
    <row r="80" spans="1:82" x14ac:dyDescent="0.25">
      <c r="A80" s="51" t="s">
        <v>643</v>
      </c>
      <c r="B80" t="e">
        <f>AVERAGE(B76,B74)</f>
        <v>#REF!</v>
      </c>
      <c r="C80" t="e">
        <f t="shared" ref="C80:BN80" si="22">AVERAGE(C76,C74)</f>
        <v>#REF!</v>
      </c>
      <c r="D80" t="e">
        <f t="shared" si="22"/>
        <v>#REF!</v>
      </c>
      <c r="E80" t="e">
        <f t="shared" si="22"/>
        <v>#REF!</v>
      </c>
      <c r="F80" t="e">
        <f t="shared" si="22"/>
        <v>#REF!</v>
      </c>
      <c r="G80" t="e">
        <f t="shared" si="22"/>
        <v>#REF!</v>
      </c>
      <c r="H80">
        <f t="shared" si="22"/>
        <v>2.6574074074074074</v>
      </c>
      <c r="I80" t="e">
        <f t="shared" si="22"/>
        <v>#REF!</v>
      </c>
      <c r="J80">
        <f t="shared" si="22"/>
        <v>1.3214868605414036</v>
      </c>
      <c r="K80" t="e">
        <f t="shared" si="22"/>
        <v>#REF!</v>
      </c>
      <c r="L80">
        <f t="shared" si="22"/>
        <v>1.0333218089478273</v>
      </c>
      <c r="M80" t="e">
        <f t="shared" si="22"/>
        <v>#REF!</v>
      </c>
      <c r="N80" t="e">
        <f t="shared" si="22"/>
        <v>#REF!</v>
      </c>
      <c r="O80" t="e">
        <f t="shared" si="22"/>
        <v>#REF!</v>
      </c>
      <c r="P80" t="e">
        <f t="shared" si="22"/>
        <v>#REF!</v>
      </c>
      <c r="Q80">
        <f t="shared" si="22"/>
        <v>0.53994549627079746</v>
      </c>
      <c r="R80" t="e">
        <f t="shared" si="22"/>
        <v>#REF!</v>
      </c>
      <c r="S80">
        <f t="shared" si="22"/>
        <v>0.74929477528576494</v>
      </c>
      <c r="T80" t="e">
        <f t="shared" si="22"/>
        <v>#REF!</v>
      </c>
      <c r="U80" t="e">
        <f t="shared" si="22"/>
        <v>#REF!</v>
      </c>
      <c r="V80" t="e">
        <f t="shared" si="22"/>
        <v>#REF!</v>
      </c>
      <c r="W80">
        <f t="shared" si="22"/>
        <v>1.0337499504027299</v>
      </c>
      <c r="X80">
        <f t="shared" si="22"/>
        <v>8.1563356939827525</v>
      </c>
      <c r="Y80" t="e">
        <f t="shared" si="22"/>
        <v>#REF!</v>
      </c>
      <c r="Z80">
        <f t="shared" si="22"/>
        <v>0.73846998484960824</v>
      </c>
      <c r="AA80">
        <f t="shared" si="22"/>
        <v>1.7120644898309447</v>
      </c>
      <c r="AB80" t="e">
        <f t="shared" si="22"/>
        <v>#REF!</v>
      </c>
      <c r="AC80" t="e">
        <f t="shared" si="22"/>
        <v>#REF!</v>
      </c>
      <c r="AD80" t="e">
        <f t="shared" si="22"/>
        <v>#REF!</v>
      </c>
      <c r="AE80" t="e">
        <f t="shared" si="22"/>
        <v>#REF!</v>
      </c>
      <c r="AF80" t="e">
        <f t="shared" si="22"/>
        <v>#REF!</v>
      </c>
      <c r="AG80">
        <f t="shared" si="22"/>
        <v>2.3025008639041031</v>
      </c>
      <c r="AH80" t="e">
        <f t="shared" si="22"/>
        <v>#REF!</v>
      </c>
      <c r="AI80" t="e">
        <f t="shared" si="22"/>
        <v>#DIV/0!</v>
      </c>
      <c r="AJ80" t="e">
        <f t="shared" si="22"/>
        <v>#REF!</v>
      </c>
      <c r="AK80">
        <f t="shared" si="22"/>
        <v>2.1322982847829977</v>
      </c>
      <c r="AL80" t="e">
        <f t="shared" si="22"/>
        <v>#REF!</v>
      </c>
      <c r="AM80" t="e">
        <f t="shared" si="22"/>
        <v>#REF!</v>
      </c>
      <c r="AN80">
        <f t="shared" si="22"/>
        <v>0.70700449596302706</v>
      </c>
      <c r="AO80">
        <f t="shared" si="22"/>
        <v>2.1738447055310637</v>
      </c>
      <c r="AP80" t="e">
        <f t="shared" si="22"/>
        <v>#REF!</v>
      </c>
      <c r="AQ80" t="e">
        <f t="shared" si="22"/>
        <v>#REF!</v>
      </c>
      <c r="AR80" t="e">
        <f t="shared" si="22"/>
        <v>#REF!</v>
      </c>
      <c r="AS80" t="e">
        <f t="shared" si="22"/>
        <v>#REF!</v>
      </c>
      <c r="AT80" t="e">
        <f t="shared" si="22"/>
        <v>#REF!</v>
      </c>
      <c r="AU80">
        <f t="shared" si="22"/>
        <v>12.418986674096404</v>
      </c>
      <c r="AV80" t="e">
        <f t="shared" si="22"/>
        <v>#REF!</v>
      </c>
      <c r="AW80" t="e">
        <f t="shared" si="22"/>
        <v>#REF!</v>
      </c>
      <c r="AX80" t="e">
        <f t="shared" si="22"/>
        <v>#REF!</v>
      </c>
      <c r="AY80" t="e">
        <f t="shared" si="22"/>
        <v>#REF!</v>
      </c>
      <c r="AZ80" t="e">
        <f t="shared" si="22"/>
        <v>#REF!</v>
      </c>
      <c r="BA80">
        <f t="shared" si="22"/>
        <v>0.75913742690058483</v>
      </c>
      <c r="BB80" t="e">
        <f t="shared" si="22"/>
        <v>#REF!</v>
      </c>
      <c r="BC80" t="e">
        <f t="shared" si="22"/>
        <v>#REF!</v>
      </c>
      <c r="BD80" t="e">
        <f t="shared" si="22"/>
        <v>#DIV/0!</v>
      </c>
      <c r="BE80" t="e">
        <f t="shared" si="22"/>
        <v>#DIV/0!</v>
      </c>
      <c r="BF80" t="e">
        <f t="shared" si="22"/>
        <v>#REF!</v>
      </c>
      <c r="BG80" t="e">
        <f t="shared" si="22"/>
        <v>#REF!</v>
      </c>
      <c r="BH80" t="e">
        <f t="shared" si="22"/>
        <v>#REF!</v>
      </c>
      <c r="BI80" t="e">
        <f t="shared" si="22"/>
        <v>#REF!</v>
      </c>
      <c r="BJ80" t="e">
        <f t="shared" si="22"/>
        <v>#REF!</v>
      </c>
      <c r="BK80" t="e">
        <f t="shared" si="22"/>
        <v>#REF!</v>
      </c>
      <c r="BL80">
        <f t="shared" si="22"/>
        <v>3.2266051912568305</v>
      </c>
      <c r="BM80" t="e">
        <f t="shared" si="22"/>
        <v>#REF!</v>
      </c>
      <c r="BN80">
        <f t="shared" si="22"/>
        <v>3.3879173290937996</v>
      </c>
      <c r="BO80" t="e">
        <f t="shared" ref="BO80:CD80" si="23">AVERAGE(BO76,BO74)</f>
        <v>#REF!</v>
      </c>
      <c r="BP80" t="e">
        <f t="shared" si="23"/>
        <v>#REF!</v>
      </c>
      <c r="BQ80" t="e">
        <f t="shared" si="23"/>
        <v>#REF!</v>
      </c>
      <c r="BR80" t="e">
        <f t="shared" si="23"/>
        <v>#REF!</v>
      </c>
      <c r="BS80" t="e">
        <f t="shared" si="23"/>
        <v>#REF!</v>
      </c>
      <c r="BT80" t="e">
        <f t="shared" si="23"/>
        <v>#REF!</v>
      </c>
      <c r="BU80" t="e">
        <f t="shared" si="23"/>
        <v>#REF!</v>
      </c>
      <c r="BV80" t="e">
        <f t="shared" si="23"/>
        <v>#REF!</v>
      </c>
      <c r="BW80" t="e">
        <f t="shared" si="23"/>
        <v>#REF!</v>
      </c>
      <c r="BX80" t="e">
        <f t="shared" si="23"/>
        <v>#REF!</v>
      </c>
      <c r="BY80" t="e">
        <f t="shared" si="23"/>
        <v>#REF!</v>
      </c>
      <c r="BZ80" t="e">
        <f t="shared" si="23"/>
        <v>#REF!</v>
      </c>
      <c r="CA80" t="e">
        <f t="shared" si="23"/>
        <v>#REF!</v>
      </c>
      <c r="CB80" t="e">
        <f t="shared" si="23"/>
        <v>#REF!</v>
      </c>
      <c r="CC80" t="e">
        <f t="shared" si="23"/>
        <v>#REF!</v>
      </c>
      <c r="CD80" t="e">
        <f t="shared" si="23"/>
        <v>#REF!</v>
      </c>
    </row>
    <row r="81" spans="1:82" x14ac:dyDescent="0.25">
      <c r="A81" s="51" t="s">
        <v>644</v>
      </c>
      <c r="B81" t="e">
        <f>AVERAGE(#REF!)</f>
        <v>#REF!</v>
      </c>
      <c r="C81" t="e">
        <f>AVERAGE(#REF!)</f>
        <v>#REF!</v>
      </c>
      <c r="D81" t="e">
        <f>AVERAGE(#REF!)</f>
        <v>#REF!</v>
      </c>
      <c r="E81" t="e">
        <f>AVERAGE(#REF!)</f>
        <v>#REF!</v>
      </c>
      <c r="F81" t="e">
        <f>AVERAGE(#REF!)</f>
        <v>#REF!</v>
      </c>
      <c r="G81" t="e">
        <f>AVERAGE(#REF!)</f>
        <v>#REF!</v>
      </c>
      <c r="H81">
        <f>AVERAGE(B37)</f>
        <v>1.5</v>
      </c>
      <c r="I81" t="e">
        <f>AVERAGE(#REF!)</f>
        <v>#REF!</v>
      </c>
      <c r="J81">
        <f>AVERAGE(C37)</f>
        <v>111.21</v>
      </c>
      <c r="K81" t="e">
        <f>AVERAGE(#REF!)</f>
        <v>#REF!</v>
      </c>
      <c r="L81">
        <f>AVERAGE(D37)</f>
        <v>661.81</v>
      </c>
      <c r="M81" t="e">
        <f>AVERAGE(#REF!)</f>
        <v>#REF!</v>
      </c>
      <c r="N81" t="e">
        <f>AVERAGE(#REF!)</f>
        <v>#REF!</v>
      </c>
      <c r="O81" t="e">
        <f>AVERAGE(#REF!)</f>
        <v>#REF!</v>
      </c>
      <c r="P81" t="e">
        <f>AVERAGE(#REF!)</f>
        <v>#REF!</v>
      </c>
      <c r="Q81">
        <f>AVERAGE(E37)</f>
        <v>0.85</v>
      </c>
      <c r="R81" t="e">
        <f>AVERAGE(#REF!)</f>
        <v>#REF!</v>
      </c>
      <c r="S81">
        <f>AVERAGE(F37)</f>
        <v>290.63</v>
      </c>
      <c r="T81" t="e">
        <f>AVERAGE(#REF!)</f>
        <v>#REF!</v>
      </c>
      <c r="U81" t="e">
        <f>AVERAGE(#REF!)</f>
        <v>#REF!</v>
      </c>
      <c r="V81" t="e">
        <f>AVERAGE(#REF!)</f>
        <v>#REF!</v>
      </c>
      <c r="W81">
        <f>AVERAGE(G37)</f>
        <v>9.0799999999999983</v>
      </c>
      <c r="X81">
        <f>AVERAGE(H37)</f>
        <v>55.050000000000004</v>
      </c>
      <c r="Y81" t="e">
        <f>AVERAGE(#REF!)</f>
        <v>#REF!</v>
      </c>
      <c r="Z81">
        <f>AVERAGE(I37)</f>
        <v>258.56</v>
      </c>
      <c r="AA81">
        <f>AVERAGE(J37)</f>
        <v>3.59</v>
      </c>
      <c r="AB81" t="e">
        <f>AVERAGE(#REF!)</f>
        <v>#REF!</v>
      </c>
      <c r="AC81" t="e">
        <f>AVERAGE(#REF!)</f>
        <v>#REF!</v>
      </c>
      <c r="AD81" t="e">
        <f>AVERAGE(#REF!)</f>
        <v>#REF!</v>
      </c>
      <c r="AE81" t="e">
        <f>AVERAGE(#REF!)</f>
        <v>#REF!</v>
      </c>
      <c r="AF81" t="e">
        <f>AVERAGE(#REF!)</f>
        <v>#REF!</v>
      </c>
      <c r="AG81">
        <f>AVERAGE(K37)</f>
        <v>1981.27</v>
      </c>
      <c r="AH81" t="e">
        <f>AVERAGE(#REF!)</f>
        <v>#REF!</v>
      </c>
      <c r="AI81">
        <f>AVERAGE(L37)</f>
        <v>76.62</v>
      </c>
      <c r="AJ81" t="e">
        <f>AVERAGE(#REF!)</f>
        <v>#REF!</v>
      </c>
      <c r="AK81">
        <f>AVERAGE(M37)</f>
        <v>8.9</v>
      </c>
      <c r="AL81" t="e">
        <f>AVERAGE(#REF!)</f>
        <v>#REF!</v>
      </c>
      <c r="AM81" t="e">
        <f>AVERAGE(#REF!)</f>
        <v>#REF!</v>
      </c>
      <c r="AN81">
        <f>AVERAGE(N37)</f>
        <v>677.86</v>
      </c>
      <c r="AO81">
        <f>AVERAGE(O37)</f>
        <v>7.11</v>
      </c>
      <c r="AP81" t="e">
        <f>AVERAGE(#REF!)</f>
        <v>#REF!</v>
      </c>
      <c r="AQ81" t="e">
        <f>AVERAGE(#REF!)</f>
        <v>#REF!</v>
      </c>
      <c r="AR81" t="e">
        <f>AVERAGE(#REF!)</f>
        <v>#REF!</v>
      </c>
      <c r="AS81" t="e">
        <f>AVERAGE(#REF!)</f>
        <v>#REF!</v>
      </c>
      <c r="AT81" t="e">
        <f>AVERAGE(#REF!)</f>
        <v>#REF!</v>
      </c>
      <c r="AU81">
        <f>AVERAGE(P37)</f>
        <v>26.45</v>
      </c>
      <c r="AV81" t="e">
        <f>AVERAGE(#REF!)</f>
        <v>#REF!</v>
      </c>
      <c r="AW81" t="e">
        <f>AVERAGE(#REF!)</f>
        <v>#REF!</v>
      </c>
      <c r="AX81" t="e">
        <f>AVERAGE(#REF!)</f>
        <v>#REF!</v>
      </c>
      <c r="AY81" t="e">
        <f>AVERAGE(#REF!)</f>
        <v>#REF!</v>
      </c>
      <c r="AZ81" t="e">
        <f>AVERAGE(#REF!)</f>
        <v>#REF!</v>
      </c>
      <c r="BA81">
        <f>AVERAGE(Q37)</f>
        <v>1.4</v>
      </c>
      <c r="BB81" t="e">
        <f>AVERAGE(#REF!)</f>
        <v>#REF!</v>
      </c>
      <c r="BC81" t="e">
        <f>AVERAGE(#REF!)</f>
        <v>#REF!</v>
      </c>
      <c r="BD81">
        <f>AVERAGE(R37)</f>
        <v>0</v>
      </c>
      <c r="BE81">
        <f>AVERAGE(S37)</f>
        <v>0</v>
      </c>
      <c r="BF81" t="e">
        <f>AVERAGE(#REF!)</f>
        <v>#REF!</v>
      </c>
      <c r="BG81" t="e">
        <f>AVERAGE(#REF!)</f>
        <v>#REF!</v>
      </c>
      <c r="BH81" t="e">
        <f>AVERAGE(#REF!)</f>
        <v>#REF!</v>
      </c>
      <c r="BI81" t="e">
        <f>AVERAGE(#REF!)</f>
        <v>#REF!</v>
      </c>
      <c r="BJ81" t="e">
        <f>AVERAGE(#REF!)</f>
        <v>#REF!</v>
      </c>
      <c r="BK81" t="e">
        <f>AVERAGE(#REF!)</f>
        <v>#REF!</v>
      </c>
      <c r="BL81">
        <f>AVERAGE(T37)</f>
        <v>7.68</v>
      </c>
      <c r="BM81" t="e">
        <f>AVERAGE(#REF!)</f>
        <v>#REF!</v>
      </c>
      <c r="BN81">
        <f>AVERAGE(U37)</f>
        <v>0</v>
      </c>
      <c r="BO81" t="e">
        <f>AVERAGE(#REF!)</f>
        <v>#REF!</v>
      </c>
      <c r="BP81" t="e">
        <f>AVERAGE(#REF!)</f>
        <v>#REF!</v>
      </c>
      <c r="BQ81" t="e">
        <f>AVERAGE(#REF!)</f>
        <v>#REF!</v>
      </c>
      <c r="BR81" t="e">
        <f>AVERAGE(#REF!)</f>
        <v>#REF!</v>
      </c>
      <c r="BS81" t="e">
        <f>AVERAGE(#REF!)</f>
        <v>#REF!</v>
      </c>
      <c r="BT81" t="e">
        <f>AVERAGE(#REF!)</f>
        <v>#REF!</v>
      </c>
      <c r="BU81" t="e">
        <f>AVERAGE(#REF!)</f>
        <v>#REF!</v>
      </c>
      <c r="BV81" t="e">
        <f>AVERAGE(#REF!)</f>
        <v>#REF!</v>
      </c>
      <c r="BW81" t="e">
        <f>AVERAGE(#REF!)</f>
        <v>#REF!</v>
      </c>
      <c r="BX81" t="e">
        <f>AVERAGE(#REF!)</f>
        <v>#REF!</v>
      </c>
      <c r="BY81" t="e">
        <f>AVERAGE(#REF!)</f>
        <v>#REF!</v>
      </c>
      <c r="BZ81" t="e">
        <f>AVERAGE(#REF!)</f>
        <v>#REF!</v>
      </c>
      <c r="CA81" t="e">
        <f>AVERAGE(#REF!)</f>
        <v>#REF!</v>
      </c>
      <c r="CB81" t="e">
        <f>AVERAGE(#REF!)</f>
        <v>#REF!</v>
      </c>
      <c r="CC81" t="e">
        <f>AVERAGE(#REF!)</f>
        <v>#REF!</v>
      </c>
      <c r="CD81" t="e">
        <f>AVERAGE(#REF!)</f>
        <v>#REF!</v>
      </c>
    </row>
    <row r="82" spans="1:82" x14ac:dyDescent="0.25">
      <c r="A82" s="51" t="s">
        <v>188</v>
      </c>
      <c r="B82" t="e">
        <f>#REF!/#REF!</f>
        <v>#REF!</v>
      </c>
      <c r="C82" t="e">
        <f>#REF!/#REF!</f>
        <v>#REF!</v>
      </c>
      <c r="D82" t="e">
        <f>#REF!/#REF!</f>
        <v>#REF!</v>
      </c>
      <c r="E82" t="e">
        <f>#REF!/#REF!</f>
        <v>#REF!</v>
      </c>
      <c r="F82" t="e">
        <f>#REF!/#REF!</f>
        <v>#REF!</v>
      </c>
      <c r="G82" t="e">
        <f>#REF!/#REF!</f>
        <v>#REF!</v>
      </c>
      <c r="H82">
        <f>B15/B34</f>
        <v>8.3862770012706478E-2</v>
      </c>
      <c r="I82" t="e">
        <f>#REF!/#REF!</f>
        <v>#REF!</v>
      </c>
      <c r="J82">
        <f>C15/C34</f>
        <v>0.82014388489208634</v>
      </c>
      <c r="K82" t="e">
        <f>#REF!/#REF!</f>
        <v>#REF!</v>
      </c>
      <c r="L82">
        <f>D15/D34</f>
        <v>0.634825231954251</v>
      </c>
      <c r="M82" t="e">
        <f>#REF!/#REF!</f>
        <v>#REF!</v>
      </c>
      <c r="N82" t="e">
        <f>#REF!/#REF!</f>
        <v>#REF!</v>
      </c>
      <c r="O82" t="e">
        <f>#REF!/#REF!</f>
        <v>#REF!</v>
      </c>
      <c r="P82" t="e">
        <f>#REF!/#REF!</f>
        <v>#REF!</v>
      </c>
      <c r="Q82">
        <f>E15/E34</f>
        <v>0.50806451612903225</v>
      </c>
      <c r="R82" t="e">
        <f>#REF!/#REF!</f>
        <v>#REF!</v>
      </c>
      <c r="S82">
        <f>F15/F34</f>
        <v>0.87148776540969941</v>
      </c>
      <c r="T82" t="e">
        <f>#REF!/#REF!</f>
        <v>#REF!</v>
      </c>
      <c r="U82" t="e">
        <f>#REF!/#REF!</f>
        <v>#REF!</v>
      </c>
      <c r="V82" t="e">
        <f>#REF!/#REF!</f>
        <v>#REF!</v>
      </c>
      <c r="W82">
        <f>G15/G34</f>
        <v>1.2773019271948609</v>
      </c>
      <c r="X82">
        <f>H15/H34</f>
        <v>2.2797603181911015</v>
      </c>
      <c r="Y82" t="e">
        <f>#REF!/#REF!</f>
        <v>#REF!</v>
      </c>
      <c r="Z82">
        <f>I15/I34</f>
        <v>1.4265935214211076</v>
      </c>
      <c r="AA82">
        <f>J15/J34</f>
        <v>0.89881494986326338</v>
      </c>
      <c r="AB82" t="e">
        <f>#REF!/#REF!</f>
        <v>#REF!</v>
      </c>
      <c r="AC82" t="e">
        <f>#REF!/#REF!</f>
        <v>#REF!</v>
      </c>
      <c r="AD82" t="e">
        <f>#REF!/#REF!</f>
        <v>#REF!</v>
      </c>
      <c r="AE82" t="e">
        <f>#REF!/#REF!</f>
        <v>#REF!</v>
      </c>
      <c r="AF82" t="e">
        <f>#REF!/#REF!</f>
        <v>#REF!</v>
      </c>
      <c r="AG82">
        <f>K15/K34</f>
        <v>0.51526508016000572</v>
      </c>
      <c r="AH82" t="e">
        <f>#REF!/#REF!</f>
        <v>#REF!</v>
      </c>
      <c r="AI82">
        <f>L15/L34</f>
        <v>0.94644317252657395</v>
      </c>
      <c r="AJ82" t="e">
        <f>#REF!/#REF!</f>
        <v>#REF!</v>
      </c>
      <c r="AK82">
        <f>M15/M34</f>
        <v>0.72501823486506201</v>
      </c>
      <c r="AL82" t="e">
        <f>#REF!/#REF!</f>
        <v>#REF!</v>
      </c>
      <c r="AM82" t="e">
        <f>#REF!/#REF!</f>
        <v>#REF!</v>
      </c>
      <c r="AN82">
        <f>N15/N34</f>
        <v>0.92893931766254878</v>
      </c>
      <c r="AO82">
        <f>O15/O34</f>
        <v>9.3648449039881829E-2</v>
      </c>
      <c r="AP82" t="e">
        <f>#REF!/#REF!</f>
        <v>#REF!</v>
      </c>
      <c r="AQ82" t="e">
        <f>#REF!/#REF!</f>
        <v>#REF!</v>
      </c>
      <c r="AR82" t="e">
        <f>#REF!/#REF!</f>
        <v>#REF!</v>
      </c>
      <c r="AS82" t="e">
        <f>#REF!/#REF!</f>
        <v>#REF!</v>
      </c>
      <c r="AT82" t="e">
        <f>#REF!/#REF!</f>
        <v>#REF!</v>
      </c>
      <c r="AU82">
        <f>P15/P34</f>
        <v>5.611586796734092</v>
      </c>
      <c r="AV82" t="e">
        <f>#REF!/#REF!</f>
        <v>#REF!</v>
      </c>
      <c r="AW82" t="e">
        <f>#REF!/#REF!</f>
        <v>#REF!</v>
      </c>
      <c r="AX82" t="e">
        <f>#REF!/#REF!</f>
        <v>#REF!</v>
      </c>
      <c r="AY82" t="e">
        <f>#REF!/#REF!</f>
        <v>#REF!</v>
      </c>
      <c r="AZ82" t="e">
        <f>#REF!/#REF!</f>
        <v>#REF!</v>
      </c>
      <c r="BA82">
        <f>Q15/Q34</f>
        <v>0.61499999999999999</v>
      </c>
      <c r="BB82" t="e">
        <f>#REF!/#REF!</f>
        <v>#REF!</v>
      </c>
      <c r="BC82" t="e">
        <f>#REF!/#REF!</f>
        <v>#REF!</v>
      </c>
      <c r="BD82" t="e">
        <f>R15/R34</f>
        <v>#DIV/0!</v>
      </c>
      <c r="BE82" t="e">
        <f>S15/S34</f>
        <v>#DIV/0!</v>
      </c>
      <c r="BF82" t="e">
        <f>#REF!/#REF!</f>
        <v>#REF!</v>
      </c>
      <c r="BG82" t="e">
        <f>#REF!/#REF!</f>
        <v>#REF!</v>
      </c>
      <c r="BH82" t="e">
        <f>#REF!/#REF!</f>
        <v>#REF!</v>
      </c>
      <c r="BI82" t="e">
        <f>#REF!/#REF!</f>
        <v>#REF!</v>
      </c>
      <c r="BJ82" t="e">
        <f>#REF!/#REF!</f>
        <v>#REF!</v>
      </c>
      <c r="BK82" t="e">
        <f>#REF!/#REF!</f>
        <v>#REF!</v>
      </c>
      <c r="BL82">
        <f>T15/T34</f>
        <v>0.28722653493295697</v>
      </c>
      <c r="BM82" t="e">
        <f>#REF!/#REF!</f>
        <v>#REF!</v>
      </c>
      <c r="BN82">
        <f>U15/U34</f>
        <v>0.19970986460348161</v>
      </c>
      <c r="BO82" t="e">
        <f>#REF!/#REF!</f>
        <v>#REF!</v>
      </c>
      <c r="BP82" t="e">
        <f>#REF!/#REF!</f>
        <v>#REF!</v>
      </c>
      <c r="BQ82" t="e">
        <f>#REF!/#REF!</f>
        <v>#REF!</v>
      </c>
      <c r="BR82" t="e">
        <f>#REF!/#REF!</f>
        <v>#REF!</v>
      </c>
      <c r="BS82" t="e">
        <f>#REF!/#REF!</f>
        <v>#REF!</v>
      </c>
      <c r="BT82" t="e">
        <f>#REF!/#REF!</f>
        <v>#REF!</v>
      </c>
      <c r="BU82" t="e">
        <f>#REF!/#REF!</f>
        <v>#REF!</v>
      </c>
      <c r="BV82" t="e">
        <f>#REF!/#REF!</f>
        <v>#REF!</v>
      </c>
      <c r="BW82" t="e">
        <f>#REF!/#REF!</f>
        <v>#REF!</v>
      </c>
      <c r="BX82" t="e">
        <f>#REF!/#REF!</f>
        <v>#REF!</v>
      </c>
      <c r="BY82" t="e">
        <f>#REF!/#REF!</f>
        <v>#REF!</v>
      </c>
      <c r="BZ82" t="e">
        <f>#REF!/#REF!</f>
        <v>#REF!</v>
      </c>
      <c r="CA82" t="e">
        <f>#REF!/#REF!</f>
        <v>#REF!</v>
      </c>
      <c r="CB82" t="e">
        <f>#REF!/#REF!</f>
        <v>#REF!</v>
      </c>
      <c r="CC82" t="e">
        <f>#REF!/#REF!</f>
        <v>#REF!</v>
      </c>
      <c r="CD82" t="e">
        <f>#REF!/#REF!</f>
        <v>#REF!</v>
      </c>
    </row>
    <row r="84" spans="1:82" x14ac:dyDescent="0.25">
      <c r="A84" t="s">
        <v>654</v>
      </c>
    </row>
    <row r="85" spans="1:82" x14ac:dyDescent="0.25">
      <c r="A85" s="112" t="s">
        <v>655</v>
      </c>
    </row>
    <row r="86" spans="1:82" x14ac:dyDescent="0.25">
      <c r="A86" t="s">
        <v>641</v>
      </c>
      <c r="B86" t="e">
        <f>AVERAGE(#REF!)</f>
        <v>#REF!</v>
      </c>
      <c r="C86" t="e">
        <f>AVERAGE(#REF!)</f>
        <v>#REF!</v>
      </c>
      <c r="D86" t="e">
        <f>AVERAGE(#REF!)</f>
        <v>#REF!</v>
      </c>
      <c r="E86" t="e">
        <f>AVERAGE(#REF!)</f>
        <v>#REF!</v>
      </c>
      <c r="F86" t="e">
        <f>AVERAGE(#REF!)</f>
        <v>#REF!</v>
      </c>
      <c r="G86" t="e">
        <f>AVERAGE(#REF!)</f>
        <v>#REF!</v>
      </c>
      <c r="H86">
        <f>AVERAGE(B10:B13)</f>
        <v>2.6174999999999997</v>
      </c>
      <c r="I86" t="e">
        <f>AVERAGE(#REF!)</f>
        <v>#REF!</v>
      </c>
      <c r="J86">
        <f>AVERAGE(C10:C13)</f>
        <v>164.63749999999999</v>
      </c>
      <c r="K86" t="e">
        <f>AVERAGE(#REF!)</f>
        <v>#REF!</v>
      </c>
      <c r="L86">
        <f>AVERAGE(D10:D13)</f>
        <v>82.210000000000008</v>
      </c>
      <c r="M86" t="e">
        <f>AVERAGE(#REF!)</f>
        <v>#REF!</v>
      </c>
      <c r="N86" t="e">
        <f>AVERAGE(#REF!)</f>
        <v>#REF!</v>
      </c>
      <c r="O86" t="e">
        <f>AVERAGE(#REF!)</f>
        <v>#REF!</v>
      </c>
      <c r="P86" t="e">
        <f>AVERAGE(#REF!)</f>
        <v>#REF!</v>
      </c>
      <c r="Q86">
        <f>AVERAGE(E10:E13)</f>
        <v>1.2374999999999998</v>
      </c>
      <c r="R86" t="e">
        <f>AVERAGE(#REF!)</f>
        <v>#REF!</v>
      </c>
      <c r="S86">
        <f>AVERAGE(F10:F13)</f>
        <v>11.627500000000001</v>
      </c>
      <c r="T86" t="e">
        <f>AVERAGE(#REF!)</f>
        <v>#REF!</v>
      </c>
      <c r="U86" t="e">
        <f>AVERAGE(#REF!)</f>
        <v>#REF!</v>
      </c>
      <c r="V86" t="e">
        <f>AVERAGE(#REF!)</f>
        <v>#REF!</v>
      </c>
      <c r="W86">
        <f>AVERAGE(G10:G13)</f>
        <v>1.6774999999999998</v>
      </c>
      <c r="X86">
        <f>AVERAGE(H10:H13)</f>
        <v>4.6825000000000001</v>
      </c>
      <c r="Y86" t="e">
        <f>AVERAGE(#REF!)</f>
        <v>#REF!</v>
      </c>
      <c r="Z86">
        <f>AVERAGE(I10:I13)</f>
        <v>69730.232499999998</v>
      </c>
      <c r="AA86">
        <f>AVERAGE(J10:J13)</f>
        <v>17.204999999999998</v>
      </c>
      <c r="AB86" t="e">
        <f>AVERAGE(#REF!)</f>
        <v>#REF!</v>
      </c>
      <c r="AC86" t="e">
        <f>AVERAGE(#REF!)</f>
        <v>#REF!</v>
      </c>
      <c r="AD86" t="e">
        <f>AVERAGE(#REF!)</f>
        <v>#REF!</v>
      </c>
      <c r="AE86" t="e">
        <f>AVERAGE(#REF!)</f>
        <v>#REF!</v>
      </c>
      <c r="AF86" t="e">
        <f>AVERAGE(#REF!)</f>
        <v>#REF!</v>
      </c>
      <c r="AG86">
        <f>AVERAGE(K10:K13)</f>
        <v>44.202500000000001</v>
      </c>
      <c r="AH86" t="e">
        <f>AVERAGE(#REF!)</f>
        <v>#REF!</v>
      </c>
      <c r="AI86">
        <f>AVERAGE(L10:L13)</f>
        <v>5.9075000000000006</v>
      </c>
      <c r="AJ86" t="e">
        <f>AVERAGE(#REF!)</f>
        <v>#REF!</v>
      </c>
      <c r="AK86">
        <f>AVERAGE(M10:M13)</f>
        <v>28.667500000000004</v>
      </c>
      <c r="AL86" t="e">
        <f>AVERAGE(#REF!)</f>
        <v>#REF!</v>
      </c>
      <c r="AM86" t="e">
        <f>AVERAGE(#REF!)</f>
        <v>#REF!</v>
      </c>
      <c r="AN86">
        <f>AVERAGE(N10:N13)</f>
        <v>13.434999999999999</v>
      </c>
      <c r="AO86">
        <f>AVERAGE(O10:O13)</f>
        <v>11.100000000000001</v>
      </c>
      <c r="AP86" t="e">
        <f>AVERAGE(#REF!)</f>
        <v>#REF!</v>
      </c>
      <c r="AQ86" t="e">
        <f>AVERAGE(#REF!)</f>
        <v>#REF!</v>
      </c>
      <c r="AR86" t="e">
        <f>AVERAGE(#REF!)</f>
        <v>#REF!</v>
      </c>
      <c r="AS86" t="e">
        <f>AVERAGE(#REF!)</f>
        <v>#REF!</v>
      </c>
      <c r="AT86" t="e">
        <f>AVERAGE(#REF!)</f>
        <v>#REF!</v>
      </c>
      <c r="AU86">
        <f>AVERAGE(P10:P13)</f>
        <v>1.5024999999999999</v>
      </c>
      <c r="AV86" t="e">
        <f>AVERAGE(#REF!)</f>
        <v>#REF!</v>
      </c>
      <c r="AW86" t="e">
        <f>AVERAGE(#REF!)</f>
        <v>#REF!</v>
      </c>
      <c r="AX86" t="e">
        <f>AVERAGE(#REF!)</f>
        <v>#REF!</v>
      </c>
      <c r="AY86" t="e">
        <f>AVERAGE(#REF!)</f>
        <v>#REF!</v>
      </c>
      <c r="AZ86" t="e">
        <f>AVERAGE(#REF!)</f>
        <v>#REF!</v>
      </c>
      <c r="BA86">
        <f>AVERAGE(Q10:Q13)</f>
        <v>1.2324999999999999</v>
      </c>
      <c r="BB86" t="e">
        <f>AVERAGE(#REF!)</f>
        <v>#REF!</v>
      </c>
      <c r="BC86" t="e">
        <f>AVERAGE(#REF!)</f>
        <v>#REF!</v>
      </c>
      <c r="BD86">
        <f>AVERAGE(R10:R13)</f>
        <v>2.62</v>
      </c>
      <c r="BE86">
        <f>AVERAGE(S10:S13)</f>
        <v>63.175000000000004</v>
      </c>
      <c r="BF86" t="e">
        <f>AVERAGE(#REF!)</f>
        <v>#REF!</v>
      </c>
      <c r="BG86" t="e">
        <f>AVERAGE(#REF!)</f>
        <v>#REF!</v>
      </c>
      <c r="BH86" t="e">
        <f>AVERAGE(#REF!)</f>
        <v>#REF!</v>
      </c>
      <c r="BI86" t="e">
        <f>AVERAGE(#REF!)</f>
        <v>#REF!</v>
      </c>
      <c r="BJ86" t="e">
        <f>AVERAGE(#REF!)</f>
        <v>#REF!</v>
      </c>
      <c r="BK86" t="e">
        <f>AVERAGE(#REF!)</f>
        <v>#REF!</v>
      </c>
      <c r="BL86">
        <f>AVERAGE(T10:T13)</f>
        <v>28.877500000000001</v>
      </c>
      <c r="BM86" t="e">
        <f>AVERAGE(#REF!)</f>
        <v>#REF!</v>
      </c>
      <c r="BN86">
        <f>AVERAGE(U10:U13)</f>
        <v>2.3474999999999997</v>
      </c>
      <c r="BO86" t="e">
        <f>AVERAGE(#REF!)</f>
        <v>#REF!</v>
      </c>
      <c r="BP86" t="e">
        <f>AVERAGE(#REF!)</f>
        <v>#REF!</v>
      </c>
      <c r="BQ86" t="e">
        <f>AVERAGE(#REF!)</f>
        <v>#REF!</v>
      </c>
      <c r="BR86" t="e">
        <f>AVERAGE(#REF!)</f>
        <v>#REF!</v>
      </c>
      <c r="BS86" t="e">
        <f>AVERAGE(#REF!)</f>
        <v>#REF!</v>
      </c>
      <c r="BT86" t="e">
        <f>AVERAGE(#REF!)</f>
        <v>#REF!</v>
      </c>
      <c r="BU86" t="e">
        <f>AVERAGE(#REF!)</f>
        <v>#REF!</v>
      </c>
      <c r="BV86" t="e">
        <f>AVERAGE(#REF!)</f>
        <v>#REF!</v>
      </c>
      <c r="BW86" t="e">
        <f>AVERAGE(#REF!)</f>
        <v>#REF!</v>
      </c>
      <c r="BX86" t="e">
        <f>AVERAGE(#REF!)</f>
        <v>#REF!</v>
      </c>
      <c r="BY86" t="e">
        <f>AVERAGE(#REF!)</f>
        <v>#REF!</v>
      </c>
      <c r="BZ86" t="e">
        <f>AVERAGE(#REF!)</f>
        <v>#REF!</v>
      </c>
      <c r="CA86" t="e">
        <f>AVERAGE(#REF!)</f>
        <v>#REF!</v>
      </c>
      <c r="CB86" t="e">
        <f>AVERAGE(#REF!)</f>
        <v>#REF!</v>
      </c>
      <c r="CC86" t="e">
        <f>AVERAGE(#REF!)</f>
        <v>#REF!</v>
      </c>
      <c r="CD86" t="e">
        <f>AVERAGE(#REF!)</f>
        <v>#REF!</v>
      </c>
    </row>
    <row r="87" spans="1:82" x14ac:dyDescent="0.25">
      <c r="A87" t="s">
        <v>642</v>
      </c>
      <c r="B87" t="e">
        <f>AVERAGE(#REF!)</f>
        <v>#REF!</v>
      </c>
      <c r="C87" t="e">
        <f>AVERAGE(#REF!)</f>
        <v>#REF!</v>
      </c>
      <c r="D87" t="e">
        <f>AVERAGE(#REF!)</f>
        <v>#REF!</v>
      </c>
      <c r="E87" t="e">
        <f>AVERAGE(#REF!)</f>
        <v>#REF!</v>
      </c>
      <c r="F87" t="e">
        <f>AVERAGE(#REF!)</f>
        <v>#REF!</v>
      </c>
      <c r="G87" t="e">
        <f>AVERAGE(#REF!)</f>
        <v>#REF!</v>
      </c>
      <c r="H87">
        <f>AVERAGE(B7:B9)</f>
        <v>0.61333333333333329</v>
      </c>
      <c r="I87" t="e">
        <f>AVERAGE(#REF!)</f>
        <v>#REF!</v>
      </c>
      <c r="J87">
        <f>AVERAGE(C7:C9)</f>
        <v>67.203333333333333</v>
      </c>
      <c r="K87" t="e">
        <f>AVERAGE(#REF!)</f>
        <v>#REF!</v>
      </c>
      <c r="L87">
        <f>AVERAGE(D7:D9)</f>
        <v>97.89666666666669</v>
      </c>
      <c r="M87" t="e">
        <f>AVERAGE(#REF!)</f>
        <v>#REF!</v>
      </c>
      <c r="N87" t="e">
        <f>AVERAGE(#REF!)</f>
        <v>#REF!</v>
      </c>
      <c r="O87" t="e">
        <f>AVERAGE(#REF!)</f>
        <v>#REF!</v>
      </c>
      <c r="P87" t="e">
        <f>AVERAGE(#REF!)</f>
        <v>#REF!</v>
      </c>
      <c r="Q87">
        <f>AVERAGE(E7:E9)</f>
        <v>0.98666666666666669</v>
      </c>
      <c r="R87" t="e">
        <f>AVERAGE(#REF!)</f>
        <v>#REF!</v>
      </c>
      <c r="S87">
        <f>AVERAGE(F7:F9)</f>
        <v>2.5466666666666664</v>
      </c>
      <c r="T87" t="e">
        <f>AVERAGE(#REF!)</f>
        <v>#REF!</v>
      </c>
      <c r="U87" t="e">
        <f>AVERAGE(#REF!)</f>
        <v>#REF!</v>
      </c>
      <c r="V87" t="e">
        <f>AVERAGE(#REF!)</f>
        <v>#REF!</v>
      </c>
      <c r="W87">
        <f>AVERAGE(G7:G9)</f>
        <v>0.67666666666666642</v>
      </c>
      <c r="X87">
        <f>AVERAGE(H7:H9)</f>
        <v>1.4433333333333334</v>
      </c>
      <c r="Y87" t="e">
        <f>AVERAGE(#REF!)</f>
        <v>#REF!</v>
      </c>
      <c r="Z87">
        <f>AVERAGE(I7:I9)</f>
        <v>63237.799999999996</v>
      </c>
      <c r="AA87">
        <f>AVERAGE(J7:J9)</f>
        <v>6.8266666666666671</v>
      </c>
      <c r="AB87" t="e">
        <f>AVERAGE(#REF!)</f>
        <v>#REF!</v>
      </c>
      <c r="AC87" t="e">
        <f>AVERAGE(#REF!)</f>
        <v>#REF!</v>
      </c>
      <c r="AD87" t="e">
        <f>AVERAGE(#REF!)</f>
        <v>#REF!</v>
      </c>
      <c r="AE87" t="e">
        <f>AVERAGE(#REF!)</f>
        <v>#REF!</v>
      </c>
      <c r="AF87" t="e">
        <f>AVERAGE(#REF!)</f>
        <v>#REF!</v>
      </c>
      <c r="AG87">
        <f>AVERAGE(K7:K9)</f>
        <v>41.983333333333341</v>
      </c>
      <c r="AH87" t="e">
        <f>AVERAGE(#REF!)</f>
        <v>#REF!</v>
      </c>
      <c r="AI87">
        <f>AVERAGE(L7:L9)</f>
        <v>13.553333333333333</v>
      </c>
      <c r="AJ87" t="e">
        <f>AVERAGE(#REF!)</f>
        <v>#REF!</v>
      </c>
      <c r="AK87">
        <f>AVERAGE(M7:M9)</f>
        <v>10.863333333333335</v>
      </c>
      <c r="AL87" t="e">
        <f>AVERAGE(#REF!)</f>
        <v>#REF!</v>
      </c>
      <c r="AM87" t="e">
        <f>AVERAGE(#REF!)</f>
        <v>#REF!</v>
      </c>
      <c r="AN87">
        <f>AVERAGE(N7:N9)</f>
        <v>2.5366666666666666</v>
      </c>
      <c r="AO87">
        <f>AVERAGE(O7:O9)</f>
        <v>2.1133333333333333</v>
      </c>
      <c r="AP87" t="e">
        <f>AVERAGE(#REF!)</f>
        <v>#REF!</v>
      </c>
      <c r="AQ87" t="e">
        <f>AVERAGE(#REF!)</f>
        <v>#REF!</v>
      </c>
      <c r="AR87" t="e">
        <f>AVERAGE(#REF!)</f>
        <v>#REF!</v>
      </c>
      <c r="AS87" t="e">
        <f>AVERAGE(#REF!)</f>
        <v>#REF!</v>
      </c>
      <c r="AT87" t="e">
        <f>AVERAGE(#REF!)</f>
        <v>#REF!</v>
      </c>
      <c r="AU87">
        <f>AVERAGE(P7:P9)</f>
        <v>2.8366666666666673</v>
      </c>
      <c r="AV87" t="e">
        <f>AVERAGE(#REF!)</f>
        <v>#REF!</v>
      </c>
      <c r="AW87" t="e">
        <f>AVERAGE(#REF!)</f>
        <v>#REF!</v>
      </c>
      <c r="AX87" t="e">
        <f>AVERAGE(#REF!)</f>
        <v>#REF!</v>
      </c>
      <c r="AY87" t="e">
        <f>AVERAGE(#REF!)</f>
        <v>#REF!</v>
      </c>
      <c r="AZ87" t="e">
        <f>AVERAGE(#REF!)</f>
        <v>#REF!</v>
      </c>
      <c r="BA87">
        <f>AVERAGE(Q7:Q9)</f>
        <v>0.98666666666666647</v>
      </c>
      <c r="BB87" t="e">
        <f>AVERAGE(#REF!)</f>
        <v>#REF!</v>
      </c>
      <c r="BC87" t="e">
        <f>AVERAGE(#REF!)</f>
        <v>#REF!</v>
      </c>
      <c r="BD87">
        <f>AVERAGE(R7:R9)</f>
        <v>1.3233333333333333</v>
      </c>
      <c r="BE87">
        <f>AVERAGE(S7:S9)</f>
        <v>44.323333333333331</v>
      </c>
      <c r="BF87" t="e">
        <f>AVERAGE(#REF!)</f>
        <v>#REF!</v>
      </c>
      <c r="BG87" t="e">
        <f>AVERAGE(#REF!)</f>
        <v>#REF!</v>
      </c>
      <c r="BH87" t="e">
        <f>AVERAGE(#REF!)</f>
        <v>#REF!</v>
      </c>
      <c r="BI87" t="e">
        <f>AVERAGE(#REF!)</f>
        <v>#REF!</v>
      </c>
      <c r="BJ87" t="e">
        <f>AVERAGE(#REF!)</f>
        <v>#REF!</v>
      </c>
      <c r="BK87" t="e">
        <f>AVERAGE(#REF!)</f>
        <v>#REF!</v>
      </c>
      <c r="BL87">
        <f>AVERAGE(T7:T9)</f>
        <v>4.3466666666666667</v>
      </c>
      <c r="BM87" t="e">
        <f>AVERAGE(#REF!)</f>
        <v>#REF!</v>
      </c>
      <c r="BN87">
        <f>AVERAGE(U7:U9)</f>
        <v>3.4000000000000004</v>
      </c>
      <c r="BO87" t="e">
        <f>AVERAGE(#REF!)</f>
        <v>#REF!</v>
      </c>
      <c r="BP87" t="e">
        <f>AVERAGE(#REF!)</f>
        <v>#REF!</v>
      </c>
      <c r="BQ87" t="e">
        <f>AVERAGE(#REF!)</f>
        <v>#REF!</v>
      </c>
      <c r="BR87" t="e">
        <f>AVERAGE(#REF!)</f>
        <v>#REF!</v>
      </c>
      <c r="BS87" t="e">
        <f>AVERAGE(#REF!)</f>
        <v>#REF!</v>
      </c>
      <c r="BT87" t="e">
        <f>AVERAGE(#REF!)</f>
        <v>#REF!</v>
      </c>
      <c r="BU87" t="e">
        <f>AVERAGE(#REF!)</f>
        <v>#REF!</v>
      </c>
      <c r="BV87" t="e">
        <f>AVERAGE(#REF!)</f>
        <v>#REF!</v>
      </c>
      <c r="BW87" t="e">
        <f>AVERAGE(#REF!)</f>
        <v>#REF!</v>
      </c>
      <c r="BX87" t="e">
        <f>AVERAGE(#REF!)</f>
        <v>#REF!</v>
      </c>
      <c r="BY87" t="e">
        <f>AVERAGE(#REF!)</f>
        <v>#REF!</v>
      </c>
      <c r="BZ87" t="e">
        <f>AVERAGE(#REF!)</f>
        <v>#REF!</v>
      </c>
      <c r="CA87" t="e">
        <f>AVERAGE(#REF!)</f>
        <v>#REF!</v>
      </c>
      <c r="CB87" t="e">
        <f>AVERAGE(#REF!)</f>
        <v>#REF!</v>
      </c>
      <c r="CC87" t="e">
        <f>AVERAGE(#REF!)</f>
        <v>#REF!</v>
      </c>
      <c r="CD87" t="e">
        <f>AVERAGE(#REF!)</f>
        <v>#REF!</v>
      </c>
    </row>
    <row r="88" spans="1:82" x14ac:dyDescent="0.25">
      <c r="A88" t="s">
        <v>643</v>
      </c>
      <c r="B88" t="e">
        <f>AVERAGE(#REF!)</f>
        <v>#REF!</v>
      </c>
      <c r="C88" t="e">
        <f>AVERAGE(#REF!)</f>
        <v>#REF!</v>
      </c>
      <c r="D88" t="e">
        <f>AVERAGE(#REF!)</f>
        <v>#REF!</v>
      </c>
      <c r="E88" t="e">
        <f>AVERAGE(#REF!)</f>
        <v>#REF!</v>
      </c>
      <c r="F88" t="e">
        <f>AVERAGE(#REF!)</f>
        <v>#REF!</v>
      </c>
      <c r="G88" t="e">
        <f>AVERAGE(#REF!)</f>
        <v>#REF!</v>
      </c>
      <c r="H88">
        <f>AVERAGE(B18)</f>
        <v>2.79</v>
      </c>
      <c r="I88" t="e">
        <f>AVERAGE(#REF!)</f>
        <v>#REF!</v>
      </c>
      <c r="J88">
        <f>AVERAGE(C18)</f>
        <v>29.23</v>
      </c>
      <c r="K88" t="e">
        <f>AVERAGE(#REF!)</f>
        <v>#REF!</v>
      </c>
      <c r="L88">
        <f>AVERAGE(D18)</f>
        <v>20.45</v>
      </c>
      <c r="M88" t="e">
        <f>AVERAGE(#REF!)</f>
        <v>#REF!</v>
      </c>
      <c r="N88" t="e">
        <f>AVERAGE(#REF!)</f>
        <v>#REF!</v>
      </c>
      <c r="O88" t="e">
        <f>AVERAGE(#REF!)</f>
        <v>#REF!</v>
      </c>
      <c r="P88" t="e">
        <f>AVERAGE(#REF!)</f>
        <v>#REF!</v>
      </c>
      <c r="Q88">
        <f>AVERAGE(E18)</f>
        <v>0.59</v>
      </c>
      <c r="R88" t="e">
        <f>AVERAGE(#REF!)</f>
        <v>#REF!</v>
      </c>
      <c r="S88">
        <f>AVERAGE(F18)</f>
        <v>5.73</v>
      </c>
      <c r="T88" t="e">
        <f>AVERAGE(#REF!)</f>
        <v>#REF!</v>
      </c>
      <c r="U88" t="e">
        <f>AVERAGE(#REF!)</f>
        <v>#REF!</v>
      </c>
      <c r="V88" t="e">
        <f>AVERAGE(#REF!)</f>
        <v>#REF!</v>
      </c>
      <c r="W88">
        <f>AVERAGE(G18)</f>
        <v>2.4500000000000002</v>
      </c>
      <c r="X88">
        <f>AVERAGE(H18)</f>
        <v>5.24</v>
      </c>
      <c r="Y88" t="e">
        <f>AVERAGE(#REF!)</f>
        <v>#REF!</v>
      </c>
      <c r="Z88">
        <f>AVERAGE(I18)</f>
        <v>203.14</v>
      </c>
      <c r="AA88">
        <f>AVERAGE(J18)</f>
        <v>3.82</v>
      </c>
      <c r="AB88" t="e">
        <f>AVERAGE(#REF!)</f>
        <v>#REF!</v>
      </c>
      <c r="AC88" t="e">
        <f>AVERAGE(#REF!)</f>
        <v>#REF!</v>
      </c>
      <c r="AD88" t="e">
        <f>AVERAGE(#REF!)</f>
        <v>#REF!</v>
      </c>
      <c r="AE88" t="e">
        <f>AVERAGE(#REF!)</f>
        <v>#REF!</v>
      </c>
      <c r="AF88" t="e">
        <f>AVERAGE(#REF!)</f>
        <v>#REF!</v>
      </c>
      <c r="AG88">
        <f>AVERAGE(K18)</f>
        <v>69.349999999999994</v>
      </c>
      <c r="AH88" t="e">
        <f>AVERAGE(#REF!)</f>
        <v>#REF!</v>
      </c>
      <c r="AI88">
        <f>AVERAGE(L18)</f>
        <v>0</v>
      </c>
      <c r="AJ88" t="e">
        <f>AVERAGE(#REF!)</f>
        <v>#REF!</v>
      </c>
      <c r="AK88">
        <f>AVERAGE(M18)</f>
        <v>9.2200000000000006</v>
      </c>
      <c r="AL88" t="e">
        <f>AVERAGE(#REF!)</f>
        <v>#REF!</v>
      </c>
      <c r="AM88" t="e">
        <f>AVERAGE(#REF!)</f>
        <v>#REF!</v>
      </c>
      <c r="AN88">
        <f>AVERAGE(N18)</f>
        <v>6.26</v>
      </c>
      <c r="AO88">
        <f>AVERAGE(O18)</f>
        <v>5.13</v>
      </c>
      <c r="AP88" t="e">
        <f>AVERAGE(#REF!)</f>
        <v>#REF!</v>
      </c>
      <c r="AQ88" t="e">
        <f>AVERAGE(#REF!)</f>
        <v>#REF!</v>
      </c>
      <c r="AR88" t="e">
        <f>AVERAGE(#REF!)</f>
        <v>#REF!</v>
      </c>
      <c r="AS88" t="e">
        <f>AVERAGE(#REF!)</f>
        <v>#REF!</v>
      </c>
      <c r="AT88" t="e">
        <f>AVERAGE(#REF!)</f>
        <v>#REF!</v>
      </c>
      <c r="AU88">
        <f>AVERAGE(P18)</f>
        <v>1.43</v>
      </c>
      <c r="AV88" t="e">
        <f>AVERAGE(#REF!)</f>
        <v>#REF!</v>
      </c>
      <c r="AW88" t="e">
        <f>AVERAGE(#REF!)</f>
        <v>#REF!</v>
      </c>
      <c r="AX88" t="e">
        <f>AVERAGE(#REF!)</f>
        <v>#REF!</v>
      </c>
      <c r="AY88" t="e">
        <f>AVERAGE(#REF!)</f>
        <v>#REF!</v>
      </c>
      <c r="AZ88" t="e">
        <f>AVERAGE(#REF!)</f>
        <v>#REF!</v>
      </c>
      <c r="BA88">
        <f>AVERAGE(Q18)</f>
        <v>0.44999999999999996</v>
      </c>
      <c r="BB88" t="e">
        <f>AVERAGE(#REF!)</f>
        <v>#REF!</v>
      </c>
      <c r="BC88" t="e">
        <f>AVERAGE(#REF!)</f>
        <v>#REF!</v>
      </c>
      <c r="BD88">
        <f>AVERAGE(R18)</f>
        <v>0</v>
      </c>
      <c r="BE88">
        <f>AVERAGE(S18)</f>
        <v>4.5</v>
      </c>
      <c r="BF88" t="e">
        <f>AVERAGE(#REF!)</f>
        <v>#REF!</v>
      </c>
      <c r="BG88" t="e">
        <f>AVERAGE(#REF!)</f>
        <v>#REF!</v>
      </c>
      <c r="BH88" t="e">
        <f>AVERAGE(#REF!)</f>
        <v>#REF!</v>
      </c>
      <c r="BI88" t="e">
        <f>AVERAGE(#REF!)</f>
        <v>#REF!</v>
      </c>
      <c r="BJ88" t="e">
        <f>AVERAGE(#REF!)</f>
        <v>#REF!</v>
      </c>
      <c r="BK88" t="e">
        <f>AVERAGE(#REF!)</f>
        <v>#REF!</v>
      </c>
      <c r="BL88">
        <f>AVERAGE(T18)</f>
        <v>5.85</v>
      </c>
      <c r="BM88" t="e">
        <f>AVERAGE(#REF!)</f>
        <v>#REF!</v>
      </c>
      <c r="BN88">
        <f>AVERAGE(U18)</f>
        <v>1.34</v>
      </c>
      <c r="BO88" t="e">
        <f>AVERAGE(#REF!)</f>
        <v>#REF!</v>
      </c>
      <c r="BP88" t="e">
        <f>AVERAGE(#REF!)</f>
        <v>#REF!</v>
      </c>
      <c r="BQ88" t="e">
        <f>AVERAGE(#REF!)</f>
        <v>#REF!</v>
      </c>
      <c r="BR88" t="e">
        <f>AVERAGE(#REF!)</f>
        <v>#REF!</v>
      </c>
      <c r="BS88" t="e">
        <f>AVERAGE(#REF!)</f>
        <v>#REF!</v>
      </c>
      <c r="BT88" t="e">
        <f>AVERAGE(#REF!)</f>
        <v>#REF!</v>
      </c>
      <c r="BU88" t="e">
        <f>AVERAGE(#REF!)</f>
        <v>#REF!</v>
      </c>
      <c r="BV88" t="e">
        <f>AVERAGE(#REF!)</f>
        <v>#REF!</v>
      </c>
      <c r="BW88" t="e">
        <f>AVERAGE(#REF!)</f>
        <v>#REF!</v>
      </c>
      <c r="BX88" t="e">
        <f>AVERAGE(#REF!)</f>
        <v>#REF!</v>
      </c>
      <c r="BY88" t="e">
        <f>AVERAGE(#REF!)</f>
        <v>#REF!</v>
      </c>
      <c r="BZ88" t="e">
        <f>AVERAGE(#REF!)</f>
        <v>#REF!</v>
      </c>
      <c r="CA88" t="e">
        <f>AVERAGE(#REF!)</f>
        <v>#REF!</v>
      </c>
      <c r="CB88" t="e">
        <f>AVERAGE(#REF!)</f>
        <v>#REF!</v>
      </c>
      <c r="CC88" t="e">
        <f>AVERAGE(#REF!)</f>
        <v>#REF!</v>
      </c>
      <c r="CD88" t="e">
        <f>AVERAGE(#REF!)</f>
        <v>#REF!</v>
      </c>
    </row>
    <row r="89" spans="1:82" x14ac:dyDescent="0.25">
      <c r="A89" t="s">
        <v>644</v>
      </c>
      <c r="B89" t="e">
        <f>AVERAGE(#REF!)</f>
        <v>#REF!</v>
      </c>
      <c r="C89" t="e">
        <f>AVERAGE(#REF!)</f>
        <v>#REF!</v>
      </c>
      <c r="D89" t="e">
        <f>AVERAGE(#REF!)</f>
        <v>#REF!</v>
      </c>
      <c r="E89" t="e">
        <f>AVERAGE(#REF!)</f>
        <v>#REF!</v>
      </c>
      <c r="F89" t="e">
        <f>AVERAGE(#REF!)</f>
        <v>#REF!</v>
      </c>
      <c r="G89" t="e">
        <f>AVERAGE(#REF!)</f>
        <v>#REF!</v>
      </c>
      <c r="H89">
        <f>AVERAGE(B14)</f>
        <v>1.7</v>
      </c>
      <c r="I89" t="e">
        <f>AVERAGE(#REF!)</f>
        <v>#REF!</v>
      </c>
      <c r="J89">
        <f>AVERAGE(C14)</f>
        <v>30.29</v>
      </c>
      <c r="K89" t="e">
        <f>AVERAGE(#REF!)</f>
        <v>#REF!</v>
      </c>
      <c r="L89">
        <f>AVERAGE(D14)</f>
        <v>80.16</v>
      </c>
      <c r="M89" t="e">
        <f>AVERAGE(#REF!)</f>
        <v>#REF!</v>
      </c>
      <c r="N89" t="e">
        <f>AVERAGE(#REF!)</f>
        <v>#REF!</v>
      </c>
      <c r="O89" t="e">
        <f>AVERAGE(#REF!)</f>
        <v>#REF!</v>
      </c>
      <c r="P89" t="e">
        <f>AVERAGE(#REF!)</f>
        <v>#REF!</v>
      </c>
      <c r="Q89">
        <f>AVERAGE(E14)</f>
        <v>1.08</v>
      </c>
      <c r="R89" t="e">
        <f>AVERAGE(#REF!)</f>
        <v>#REF!</v>
      </c>
      <c r="S89">
        <f>AVERAGE(F14)</f>
        <v>0</v>
      </c>
      <c r="T89" t="e">
        <f>AVERAGE(#REF!)</f>
        <v>#REF!</v>
      </c>
      <c r="U89" t="e">
        <f>AVERAGE(#REF!)</f>
        <v>#REF!</v>
      </c>
      <c r="V89" t="e">
        <f>AVERAGE(#REF!)</f>
        <v>#REF!</v>
      </c>
      <c r="W89">
        <f>AVERAGE(G14)</f>
        <v>4.95</v>
      </c>
      <c r="X89">
        <f>AVERAGE(H14)</f>
        <v>0.83000000000000007</v>
      </c>
      <c r="Y89" t="e">
        <f>AVERAGE(#REF!)</f>
        <v>#REF!</v>
      </c>
      <c r="Z89">
        <f>AVERAGE(I14)</f>
        <v>242.88</v>
      </c>
      <c r="AA89">
        <f>AVERAGE(J14)</f>
        <v>12.31</v>
      </c>
      <c r="AB89" t="e">
        <f>AVERAGE(#REF!)</f>
        <v>#REF!</v>
      </c>
      <c r="AC89" t="e">
        <f>AVERAGE(#REF!)</f>
        <v>#REF!</v>
      </c>
      <c r="AD89" t="e">
        <f>AVERAGE(#REF!)</f>
        <v>#REF!</v>
      </c>
      <c r="AE89" t="e">
        <f>AVERAGE(#REF!)</f>
        <v>#REF!</v>
      </c>
      <c r="AF89" t="e">
        <f>AVERAGE(#REF!)</f>
        <v>#REF!</v>
      </c>
      <c r="AG89">
        <f>AVERAGE(K14)</f>
        <v>157.19</v>
      </c>
      <c r="AH89" t="e">
        <f>AVERAGE(#REF!)</f>
        <v>#REF!</v>
      </c>
      <c r="AI89">
        <f>AVERAGE(L14)</f>
        <v>16.559999999999999</v>
      </c>
      <c r="AJ89" t="e">
        <f>AVERAGE(#REF!)</f>
        <v>#REF!</v>
      </c>
      <c r="AK89">
        <f>AVERAGE(M14)</f>
        <v>5.59</v>
      </c>
      <c r="AL89" t="e">
        <f>AVERAGE(#REF!)</f>
        <v>#REF!</v>
      </c>
      <c r="AM89" t="e">
        <f>AVERAGE(#REF!)</f>
        <v>#REF!</v>
      </c>
      <c r="AN89">
        <f>AVERAGE(N14)</f>
        <v>0.61</v>
      </c>
      <c r="AO89">
        <f>AVERAGE(O14)</f>
        <v>4.63</v>
      </c>
      <c r="AP89" t="e">
        <f>AVERAGE(#REF!)</f>
        <v>#REF!</v>
      </c>
      <c r="AQ89" t="e">
        <f>AVERAGE(#REF!)</f>
        <v>#REF!</v>
      </c>
      <c r="AR89" t="e">
        <f>AVERAGE(#REF!)</f>
        <v>#REF!</v>
      </c>
      <c r="AS89" t="e">
        <f>AVERAGE(#REF!)</f>
        <v>#REF!</v>
      </c>
      <c r="AT89" t="e">
        <f>AVERAGE(#REF!)</f>
        <v>#REF!</v>
      </c>
      <c r="AU89">
        <f>AVERAGE(P14)</f>
        <v>4.57</v>
      </c>
      <c r="AV89" t="e">
        <f>AVERAGE(#REF!)</f>
        <v>#REF!</v>
      </c>
      <c r="AW89" t="e">
        <f>AVERAGE(#REF!)</f>
        <v>#REF!</v>
      </c>
      <c r="AX89" t="e">
        <f>AVERAGE(#REF!)</f>
        <v>#REF!</v>
      </c>
      <c r="AY89" t="e">
        <f>AVERAGE(#REF!)</f>
        <v>#REF!</v>
      </c>
      <c r="AZ89" t="e">
        <f>AVERAGE(#REF!)</f>
        <v>#REF!</v>
      </c>
      <c r="BA89">
        <f>AVERAGE(Q14)</f>
        <v>1.5099999999999998</v>
      </c>
      <c r="BB89" t="e">
        <f>AVERAGE(#REF!)</f>
        <v>#REF!</v>
      </c>
      <c r="BC89" t="e">
        <f>AVERAGE(#REF!)</f>
        <v>#REF!</v>
      </c>
      <c r="BD89">
        <f>AVERAGE(R14)</f>
        <v>33.520000000000003</v>
      </c>
      <c r="BE89">
        <f>AVERAGE(S14)</f>
        <v>0</v>
      </c>
      <c r="BF89" t="e">
        <f>AVERAGE(#REF!)</f>
        <v>#REF!</v>
      </c>
      <c r="BG89" t="e">
        <f>AVERAGE(#REF!)</f>
        <v>#REF!</v>
      </c>
      <c r="BH89" t="e">
        <f>AVERAGE(#REF!)</f>
        <v>#REF!</v>
      </c>
      <c r="BI89" t="e">
        <f>AVERAGE(#REF!)</f>
        <v>#REF!</v>
      </c>
      <c r="BJ89" t="e">
        <f>AVERAGE(#REF!)</f>
        <v>#REF!</v>
      </c>
      <c r="BK89" t="e">
        <f>AVERAGE(#REF!)</f>
        <v>#REF!</v>
      </c>
      <c r="BL89">
        <f>AVERAGE(T14)</f>
        <v>14.46</v>
      </c>
      <c r="BM89" t="e">
        <f>AVERAGE(#REF!)</f>
        <v>#REF!</v>
      </c>
      <c r="BN89">
        <f>AVERAGE(U14)</f>
        <v>4.07</v>
      </c>
      <c r="BO89" t="e">
        <f>AVERAGE(#REF!)</f>
        <v>#REF!</v>
      </c>
      <c r="BP89" t="e">
        <f>AVERAGE(#REF!)</f>
        <v>#REF!</v>
      </c>
      <c r="BQ89" t="e">
        <f>AVERAGE(#REF!)</f>
        <v>#REF!</v>
      </c>
      <c r="BR89" t="e">
        <f>AVERAGE(#REF!)</f>
        <v>#REF!</v>
      </c>
      <c r="BS89" t="e">
        <f>AVERAGE(#REF!)</f>
        <v>#REF!</v>
      </c>
      <c r="BT89" t="e">
        <f>AVERAGE(#REF!)</f>
        <v>#REF!</v>
      </c>
      <c r="BU89" t="e">
        <f>AVERAGE(#REF!)</f>
        <v>#REF!</v>
      </c>
      <c r="BV89" t="e">
        <f>AVERAGE(#REF!)</f>
        <v>#REF!</v>
      </c>
      <c r="BW89" t="e">
        <f>AVERAGE(#REF!)</f>
        <v>#REF!</v>
      </c>
      <c r="BX89" t="e">
        <f>AVERAGE(#REF!)</f>
        <v>#REF!</v>
      </c>
      <c r="BY89" t="e">
        <f>AVERAGE(#REF!)</f>
        <v>#REF!</v>
      </c>
      <c r="BZ89" t="e">
        <f>AVERAGE(#REF!)</f>
        <v>#REF!</v>
      </c>
      <c r="CA89" t="e">
        <f>AVERAGE(#REF!)</f>
        <v>#REF!</v>
      </c>
      <c r="CB89" t="e">
        <f>AVERAGE(#REF!)</f>
        <v>#REF!</v>
      </c>
      <c r="CC89" t="e">
        <f>AVERAGE(#REF!)</f>
        <v>#REF!</v>
      </c>
      <c r="CD89" t="e">
        <f>AVERAGE(#REF!)</f>
        <v>#REF!</v>
      </c>
    </row>
    <row r="90" spans="1:82" x14ac:dyDescent="0.25">
      <c r="A90" t="s">
        <v>188</v>
      </c>
      <c r="B90" t="e">
        <f>#REF!</f>
        <v>#REF!</v>
      </c>
      <c r="C90" t="e">
        <f>#REF!</f>
        <v>#REF!</v>
      </c>
      <c r="D90" t="e">
        <f>#REF!</f>
        <v>#REF!</v>
      </c>
      <c r="E90" t="e">
        <f>#REF!</f>
        <v>#REF!</v>
      </c>
      <c r="F90" t="e">
        <f>#REF!</f>
        <v>#REF!</v>
      </c>
      <c r="G90" t="e">
        <f>#REF!</f>
        <v>#REF!</v>
      </c>
      <c r="H90">
        <f>B15</f>
        <v>0.66</v>
      </c>
      <c r="I90" t="e">
        <f>#REF!</f>
        <v>#REF!</v>
      </c>
      <c r="J90">
        <f>C15</f>
        <v>151.62</v>
      </c>
      <c r="K90" t="e">
        <f>#REF!</f>
        <v>#REF!</v>
      </c>
      <c r="L90">
        <f>D15</f>
        <v>217.58</v>
      </c>
      <c r="M90" t="e">
        <f>#REF!</f>
        <v>#REF!</v>
      </c>
      <c r="N90" t="e">
        <f>#REF!</f>
        <v>#REF!</v>
      </c>
      <c r="O90" t="e">
        <f>#REF!</f>
        <v>#REF!</v>
      </c>
      <c r="P90" t="e">
        <f>#REF!</f>
        <v>#REF!</v>
      </c>
      <c r="Q90">
        <f>E15</f>
        <v>0.63</v>
      </c>
      <c r="R90" t="e">
        <f>#REF!</f>
        <v>#REF!</v>
      </c>
      <c r="S90">
        <f>F15</f>
        <v>710.89</v>
      </c>
      <c r="T90" t="e">
        <f>#REF!</f>
        <v>#REF!</v>
      </c>
      <c r="U90" t="e">
        <f>#REF!</f>
        <v>#REF!</v>
      </c>
      <c r="V90" t="e">
        <f>#REF!</f>
        <v>#REF!</v>
      </c>
      <c r="W90">
        <f>G15</f>
        <v>11.93</v>
      </c>
      <c r="X90">
        <f>H15</f>
        <v>6585.84</v>
      </c>
      <c r="Y90" t="e">
        <f>#REF!</f>
        <v>#REF!</v>
      </c>
      <c r="Z90">
        <f>I15</f>
        <v>109.22</v>
      </c>
      <c r="AA90">
        <f>J15</f>
        <v>9.86</v>
      </c>
      <c r="AB90" t="e">
        <f>#REF!</f>
        <v>#REF!</v>
      </c>
      <c r="AC90" t="e">
        <f>#REF!</f>
        <v>#REF!</v>
      </c>
      <c r="AD90" t="e">
        <f>#REF!</f>
        <v>#REF!</v>
      </c>
      <c r="AE90" t="e">
        <f>#REF!</f>
        <v>#REF!</v>
      </c>
      <c r="AF90" t="e">
        <f>#REF!</f>
        <v>#REF!</v>
      </c>
      <c r="AG90">
        <f>K15</f>
        <v>4918.03</v>
      </c>
      <c r="AH90" t="e">
        <f>#REF!</f>
        <v>#REF!</v>
      </c>
      <c r="AI90">
        <f>L15</f>
        <v>23.15</v>
      </c>
      <c r="AJ90" t="e">
        <f>#REF!</f>
        <v>#REF!</v>
      </c>
      <c r="AK90">
        <f>M15</f>
        <v>9.94</v>
      </c>
      <c r="AL90" t="e">
        <f>#REF!</f>
        <v>#REF!</v>
      </c>
      <c r="AM90" t="e">
        <f>#REF!</f>
        <v>#REF!</v>
      </c>
      <c r="AN90">
        <f>N15</f>
        <v>239.88</v>
      </c>
      <c r="AO90">
        <f>O15</f>
        <v>3.17</v>
      </c>
      <c r="AP90" t="e">
        <f>#REF!</f>
        <v>#REF!</v>
      </c>
      <c r="AQ90" t="e">
        <f>#REF!</f>
        <v>#REF!</v>
      </c>
      <c r="AR90" t="e">
        <f>#REF!</f>
        <v>#REF!</v>
      </c>
      <c r="AS90" t="e">
        <f>#REF!</f>
        <v>#REF!</v>
      </c>
      <c r="AT90" t="e">
        <f>#REF!</f>
        <v>#REF!</v>
      </c>
      <c r="AU90">
        <f>P15</f>
        <v>11574.01</v>
      </c>
      <c r="AV90" t="e">
        <f>#REF!</f>
        <v>#REF!</v>
      </c>
      <c r="AW90" t="e">
        <f>#REF!</f>
        <v>#REF!</v>
      </c>
      <c r="AX90" t="e">
        <f>#REF!</f>
        <v>#REF!</v>
      </c>
      <c r="AY90" t="e">
        <f>#REF!</f>
        <v>#REF!</v>
      </c>
      <c r="AZ90" t="e">
        <f>#REF!</f>
        <v>#REF!</v>
      </c>
      <c r="BA90">
        <f>Q15</f>
        <v>1.23</v>
      </c>
      <c r="BB90" t="e">
        <f>#REF!</f>
        <v>#REF!</v>
      </c>
      <c r="BC90" t="e">
        <f>#REF!</f>
        <v>#REF!</v>
      </c>
      <c r="BD90">
        <f>R15</f>
        <v>5.67</v>
      </c>
      <c r="BE90">
        <f>S15</f>
        <v>0</v>
      </c>
      <c r="BF90" t="e">
        <f>#REF!</f>
        <v>#REF!</v>
      </c>
      <c r="BG90" t="e">
        <f>#REF!</f>
        <v>#REF!</v>
      </c>
      <c r="BH90" t="e">
        <f>#REF!</f>
        <v>#REF!</v>
      </c>
      <c r="BI90" t="e">
        <f>#REF!</f>
        <v>#REF!</v>
      </c>
      <c r="BJ90" t="e">
        <f>#REF!</f>
        <v>#REF!</v>
      </c>
      <c r="BK90" t="e">
        <f>#REF!</f>
        <v>#REF!</v>
      </c>
      <c r="BL90">
        <f>T15</f>
        <v>12.21</v>
      </c>
      <c r="BM90" t="e">
        <f>#REF!</f>
        <v>#REF!</v>
      </c>
      <c r="BN90">
        <f>U15</f>
        <v>4.13</v>
      </c>
      <c r="BO90" t="e">
        <f>#REF!</f>
        <v>#REF!</v>
      </c>
      <c r="BP90" t="e">
        <f>#REF!</f>
        <v>#REF!</v>
      </c>
      <c r="BQ90" t="e">
        <f>#REF!</f>
        <v>#REF!</v>
      </c>
      <c r="BR90" t="e">
        <f>#REF!</f>
        <v>#REF!</v>
      </c>
      <c r="BS90" t="e">
        <f>#REF!</f>
        <v>#REF!</v>
      </c>
      <c r="BT90" t="e">
        <f>#REF!</f>
        <v>#REF!</v>
      </c>
      <c r="BU90" t="e">
        <f>#REF!</f>
        <v>#REF!</v>
      </c>
      <c r="BV90" t="e">
        <f>#REF!</f>
        <v>#REF!</v>
      </c>
      <c r="BW90" t="e">
        <f>#REF!</f>
        <v>#REF!</v>
      </c>
      <c r="BX90" t="e">
        <f>#REF!</f>
        <v>#REF!</v>
      </c>
      <c r="BY90" t="e">
        <f>#REF!</f>
        <v>#REF!</v>
      </c>
      <c r="BZ90" t="e">
        <f>#REF!</f>
        <v>#REF!</v>
      </c>
      <c r="CA90" t="e">
        <f>#REF!</f>
        <v>#REF!</v>
      </c>
      <c r="CB90" t="e">
        <f>#REF!</f>
        <v>#REF!</v>
      </c>
      <c r="CC90" t="e">
        <f>#REF!</f>
        <v>#REF!</v>
      </c>
      <c r="CD90" t="e">
        <f>#REF!</f>
        <v>#REF!</v>
      </c>
    </row>
    <row r="91" spans="1:82" x14ac:dyDescent="0.25">
      <c r="A91" s="112" t="s">
        <v>656</v>
      </c>
    </row>
    <row r="92" spans="1:82" x14ac:dyDescent="0.25">
      <c r="A92" t="s">
        <v>641</v>
      </c>
      <c r="B92" t="e">
        <f>AVERAGE(#REF!,#REF!,#REF!)</f>
        <v>#REF!</v>
      </c>
      <c r="C92" t="e">
        <f>AVERAGE(#REF!,#REF!,#REF!)</f>
        <v>#REF!</v>
      </c>
      <c r="D92" t="e">
        <f>AVERAGE(#REF!,#REF!,#REF!)</f>
        <v>#REF!</v>
      </c>
      <c r="E92" t="e">
        <f>AVERAGE(#REF!,#REF!,#REF!)</f>
        <v>#REF!</v>
      </c>
      <c r="F92" t="e">
        <f>AVERAGE(#REF!,#REF!,#REF!)</f>
        <v>#REF!</v>
      </c>
      <c r="G92" t="e">
        <f>AVERAGE(#REF!,#REF!,#REF!)</f>
        <v>#REF!</v>
      </c>
      <c r="H92">
        <f>AVERAGE(B24:B25,B27,B29)</f>
        <v>2.2225000000000001</v>
      </c>
      <c r="I92" t="e">
        <f>AVERAGE(#REF!,#REF!,#REF!)</f>
        <v>#REF!</v>
      </c>
      <c r="J92">
        <f>AVERAGE(C24:C25,C27,C29)</f>
        <v>61.155000000000001</v>
      </c>
      <c r="K92" t="e">
        <f>AVERAGE(#REF!,#REF!,#REF!)</f>
        <v>#REF!</v>
      </c>
      <c r="L92">
        <f>AVERAGE(D24:D25,D27,D29)</f>
        <v>27.0825</v>
      </c>
      <c r="M92" t="e">
        <f>AVERAGE(#REF!,#REF!,#REF!)</f>
        <v>#REF!</v>
      </c>
      <c r="N92" t="e">
        <f>AVERAGE(#REF!,#REF!,#REF!)</f>
        <v>#REF!</v>
      </c>
      <c r="O92" t="e">
        <f>AVERAGE(#REF!,#REF!,#REF!)</f>
        <v>#REF!</v>
      </c>
      <c r="P92" t="e">
        <f>AVERAGE(#REF!,#REF!,#REF!)</f>
        <v>#REF!</v>
      </c>
      <c r="Q92">
        <f>AVERAGE(E24:E25,E27,E29)</f>
        <v>3.5249999999999999</v>
      </c>
      <c r="R92" t="e">
        <f>AVERAGE(#REF!,#REF!,#REF!)</f>
        <v>#REF!</v>
      </c>
      <c r="S92">
        <f>AVERAGE(F24:F25,F27,F29)</f>
        <v>4.2374999999999998</v>
      </c>
      <c r="T92" t="e">
        <f>AVERAGE(#REF!,#REF!,#REF!)</f>
        <v>#REF!</v>
      </c>
      <c r="U92" t="e">
        <f>AVERAGE(#REF!,#REF!,#REF!)</f>
        <v>#REF!</v>
      </c>
      <c r="V92" t="e">
        <f>AVERAGE(#REF!,#REF!,#REF!)</f>
        <v>#REF!</v>
      </c>
      <c r="W92">
        <f>AVERAGE(G24:G25,G27,G29)</f>
        <v>2.6150000000000002</v>
      </c>
      <c r="X92">
        <f>AVERAGE(H24:H25,H27,H29)</f>
        <v>2.6300000000000003</v>
      </c>
      <c r="Y92" t="e">
        <f>AVERAGE(#REF!,#REF!,#REF!)</f>
        <v>#REF!</v>
      </c>
      <c r="Z92">
        <f>AVERAGE(I24:I25,I27,I29)</f>
        <v>33159.915000000001</v>
      </c>
      <c r="AA92">
        <f>AVERAGE(J24:J25,J27,J29)</f>
        <v>3.6825000000000001</v>
      </c>
      <c r="AB92" t="e">
        <f>AVERAGE(#REF!,#REF!,#REF!)</f>
        <v>#REF!</v>
      </c>
      <c r="AC92" t="e">
        <f>AVERAGE(#REF!,#REF!,#REF!)</f>
        <v>#REF!</v>
      </c>
      <c r="AD92" t="e">
        <f>AVERAGE(#REF!,#REF!,#REF!)</f>
        <v>#REF!</v>
      </c>
      <c r="AE92" t="e">
        <f>AVERAGE(#REF!,#REF!,#REF!)</f>
        <v>#REF!</v>
      </c>
      <c r="AF92" t="e">
        <f>AVERAGE(#REF!,#REF!,#REF!)</f>
        <v>#REF!</v>
      </c>
      <c r="AG92">
        <f>AVERAGE(K24:K25,K27,K29)</f>
        <v>18.64</v>
      </c>
      <c r="AH92" t="e">
        <f>AVERAGE(#REF!,#REF!,#REF!)</f>
        <v>#REF!</v>
      </c>
      <c r="AI92">
        <f>AVERAGE(L24:L25,L27,L29)</f>
        <v>1.5549999999999999</v>
      </c>
      <c r="AJ92" t="e">
        <f>AVERAGE(#REF!,#REF!,#REF!)</f>
        <v>#REF!</v>
      </c>
      <c r="AK92">
        <f>AVERAGE(M24:M25,M27,M29)</f>
        <v>5.9049999999999994</v>
      </c>
      <c r="AL92" t="e">
        <f>AVERAGE(#REF!,#REF!,#REF!)</f>
        <v>#REF!</v>
      </c>
      <c r="AM92" t="e">
        <f>AVERAGE(#REF!,#REF!,#REF!)</f>
        <v>#REF!</v>
      </c>
      <c r="AN92">
        <f>AVERAGE(N24:N25,N27,N29)</f>
        <v>4.51</v>
      </c>
      <c r="AO92">
        <f>AVERAGE(O24:O25,O27,O29)</f>
        <v>4.3625000000000007</v>
      </c>
      <c r="AP92" t="e">
        <f>AVERAGE(#REF!,#REF!,#REF!)</f>
        <v>#REF!</v>
      </c>
      <c r="AQ92" t="e">
        <f>AVERAGE(#REF!,#REF!,#REF!)</f>
        <v>#REF!</v>
      </c>
      <c r="AR92" t="e">
        <f>AVERAGE(#REF!,#REF!,#REF!)</f>
        <v>#REF!</v>
      </c>
      <c r="AS92" t="e">
        <f>AVERAGE(#REF!,#REF!,#REF!)</f>
        <v>#REF!</v>
      </c>
      <c r="AT92" t="e">
        <f>AVERAGE(#REF!,#REF!,#REF!)</f>
        <v>#REF!</v>
      </c>
      <c r="AU92">
        <f>AVERAGE(P24:P25,P27,P29)</f>
        <v>2.3524999999999996</v>
      </c>
      <c r="AV92" t="e">
        <f>AVERAGE(#REF!,#REF!,#REF!)</f>
        <v>#REF!</v>
      </c>
      <c r="AW92" t="e">
        <f>AVERAGE(#REF!,#REF!,#REF!)</f>
        <v>#REF!</v>
      </c>
      <c r="AX92" t="e">
        <f>AVERAGE(#REF!,#REF!,#REF!)</f>
        <v>#REF!</v>
      </c>
      <c r="AY92" t="e">
        <f>AVERAGE(#REF!,#REF!,#REF!)</f>
        <v>#REF!</v>
      </c>
      <c r="AZ92" t="e">
        <f>AVERAGE(#REF!,#REF!,#REF!)</f>
        <v>#REF!</v>
      </c>
      <c r="BA92">
        <f>AVERAGE(Q24:Q25,Q27,Q29)</f>
        <v>2.9949999999999997</v>
      </c>
      <c r="BB92" t="e">
        <f>AVERAGE(#REF!,#REF!,#REF!)</f>
        <v>#REF!</v>
      </c>
      <c r="BC92" t="e">
        <f>AVERAGE(#REF!,#REF!,#REF!)</f>
        <v>#REF!</v>
      </c>
      <c r="BD92">
        <f>AVERAGE(R24:R25,R27,R29)</f>
        <v>0.78500000000000003</v>
      </c>
      <c r="BE92">
        <f>AVERAGE(S24:S25,S27,S29)</f>
        <v>12.66</v>
      </c>
      <c r="BF92" t="e">
        <f>AVERAGE(#REF!,#REF!,#REF!)</f>
        <v>#REF!</v>
      </c>
      <c r="BG92" t="e">
        <f>AVERAGE(#REF!,#REF!,#REF!)</f>
        <v>#REF!</v>
      </c>
      <c r="BH92" t="e">
        <f>AVERAGE(#REF!,#REF!,#REF!)</f>
        <v>#REF!</v>
      </c>
      <c r="BI92" t="e">
        <f>AVERAGE(#REF!,#REF!,#REF!)</f>
        <v>#REF!</v>
      </c>
      <c r="BJ92" t="e">
        <f>AVERAGE(#REF!,#REF!,#REF!)</f>
        <v>#REF!</v>
      </c>
      <c r="BK92" t="e">
        <f>AVERAGE(#REF!,#REF!,#REF!)</f>
        <v>#REF!</v>
      </c>
      <c r="BL92">
        <f>AVERAGE(T24:T25,T27,T29)</f>
        <v>18.8125</v>
      </c>
      <c r="BM92" t="e">
        <f>AVERAGE(#REF!,#REF!,#REF!)</f>
        <v>#REF!</v>
      </c>
      <c r="BN92">
        <f>AVERAGE(U24:U25,U27,U29)</f>
        <v>1.1400000000000001</v>
      </c>
      <c r="BO92" t="e">
        <f>AVERAGE(#REF!,#REF!,#REF!)</f>
        <v>#REF!</v>
      </c>
      <c r="BP92" t="e">
        <f>AVERAGE(#REF!,#REF!,#REF!)</f>
        <v>#REF!</v>
      </c>
      <c r="BQ92" t="e">
        <f>AVERAGE(#REF!,#REF!,#REF!)</f>
        <v>#REF!</v>
      </c>
      <c r="BR92" t="e">
        <f>AVERAGE(#REF!,#REF!,#REF!)</f>
        <v>#REF!</v>
      </c>
      <c r="BS92" t="e">
        <f>AVERAGE(#REF!,#REF!,#REF!)</f>
        <v>#REF!</v>
      </c>
      <c r="BT92" t="e">
        <f>AVERAGE(#REF!,#REF!,#REF!)</f>
        <v>#REF!</v>
      </c>
      <c r="BU92" t="e">
        <f>AVERAGE(#REF!,#REF!,#REF!)</f>
        <v>#REF!</v>
      </c>
      <c r="BV92" t="e">
        <f>AVERAGE(#REF!,#REF!,#REF!)</f>
        <v>#REF!</v>
      </c>
      <c r="BW92" t="e">
        <f>AVERAGE(#REF!,#REF!,#REF!)</f>
        <v>#REF!</v>
      </c>
      <c r="BX92" t="e">
        <f>AVERAGE(#REF!,#REF!,#REF!)</f>
        <v>#REF!</v>
      </c>
      <c r="BY92" t="e">
        <f>AVERAGE(#REF!,#REF!,#REF!)</f>
        <v>#REF!</v>
      </c>
      <c r="BZ92" t="e">
        <f>AVERAGE(#REF!,#REF!,#REF!)</f>
        <v>#REF!</v>
      </c>
      <c r="CA92" t="e">
        <f>AVERAGE(#REF!,#REF!,#REF!)</f>
        <v>#REF!</v>
      </c>
      <c r="CB92" t="e">
        <f>AVERAGE(#REF!,#REF!,#REF!)</f>
        <v>#REF!</v>
      </c>
      <c r="CC92" t="e">
        <f>AVERAGE(#REF!,#REF!,#REF!)</f>
        <v>#REF!</v>
      </c>
      <c r="CD92" t="e">
        <f>AVERAGE(#REF!,#REF!,#REF!)</f>
        <v>#REF!</v>
      </c>
    </row>
    <row r="93" spans="1:82" x14ac:dyDescent="0.25">
      <c r="A93" t="s">
        <v>642</v>
      </c>
      <c r="B93" t="e">
        <f>AVERAGE(#REF!)</f>
        <v>#REF!</v>
      </c>
      <c r="C93" t="e">
        <f>AVERAGE(#REF!)</f>
        <v>#REF!</v>
      </c>
      <c r="D93" t="e">
        <f>AVERAGE(#REF!)</f>
        <v>#REF!</v>
      </c>
      <c r="E93" t="e">
        <f>AVERAGE(#REF!)</f>
        <v>#REF!</v>
      </c>
      <c r="F93" t="e">
        <f>AVERAGE(#REF!)</f>
        <v>#REF!</v>
      </c>
      <c r="G93" t="e">
        <f>AVERAGE(#REF!)</f>
        <v>#REF!</v>
      </c>
      <c r="H93">
        <f>AVERAGE(B21:B23)</f>
        <v>1.2266666666666666</v>
      </c>
      <c r="I93" t="e">
        <f>AVERAGE(#REF!)</f>
        <v>#REF!</v>
      </c>
      <c r="J93">
        <f>AVERAGE(C21:C23)</f>
        <v>48.6</v>
      </c>
      <c r="K93" t="e">
        <f>AVERAGE(#REF!)</f>
        <v>#REF!</v>
      </c>
      <c r="L93">
        <f>AVERAGE(D21:D23)</f>
        <v>21.193333333333332</v>
      </c>
      <c r="M93" t="e">
        <f>AVERAGE(#REF!)</f>
        <v>#REF!</v>
      </c>
      <c r="N93" t="e">
        <f>AVERAGE(#REF!)</f>
        <v>#REF!</v>
      </c>
      <c r="O93" t="e">
        <f>AVERAGE(#REF!)</f>
        <v>#REF!</v>
      </c>
      <c r="P93" t="e">
        <f>AVERAGE(#REF!)</f>
        <v>#REF!</v>
      </c>
      <c r="Q93">
        <f>AVERAGE(E21:E23)</f>
        <v>4.46</v>
      </c>
      <c r="R93" t="e">
        <f>AVERAGE(#REF!)</f>
        <v>#REF!</v>
      </c>
      <c r="S93">
        <f>AVERAGE(F21:F23)</f>
        <v>3.7300000000000004</v>
      </c>
      <c r="T93" t="e">
        <f>AVERAGE(#REF!)</f>
        <v>#REF!</v>
      </c>
      <c r="U93" t="e">
        <f>AVERAGE(#REF!)</f>
        <v>#REF!</v>
      </c>
      <c r="V93" t="e">
        <f>AVERAGE(#REF!)</f>
        <v>#REF!</v>
      </c>
      <c r="W93">
        <f>AVERAGE(G21:G23)</f>
        <v>1.1533333333333333</v>
      </c>
      <c r="X93">
        <f>AVERAGE(H21:H23)</f>
        <v>1.0233333333333334</v>
      </c>
      <c r="Y93" t="e">
        <f>AVERAGE(#REF!)</f>
        <v>#REF!</v>
      </c>
      <c r="Z93">
        <f>AVERAGE(I21:I23)</f>
        <v>19974.27</v>
      </c>
      <c r="AA93">
        <f>AVERAGE(J21:J23)</f>
        <v>0</v>
      </c>
      <c r="AB93" t="e">
        <f>AVERAGE(#REF!)</f>
        <v>#REF!</v>
      </c>
      <c r="AC93" t="e">
        <f>AVERAGE(#REF!)</f>
        <v>#REF!</v>
      </c>
      <c r="AD93" t="e">
        <f>AVERAGE(#REF!)</f>
        <v>#REF!</v>
      </c>
      <c r="AE93" t="e">
        <f>AVERAGE(#REF!)</f>
        <v>#REF!</v>
      </c>
      <c r="AF93" t="e">
        <f>AVERAGE(#REF!)</f>
        <v>#REF!</v>
      </c>
      <c r="AG93">
        <f>AVERAGE(K21:K23)</f>
        <v>11.469999999999999</v>
      </c>
      <c r="AH93" t="e">
        <f>AVERAGE(#REF!)</f>
        <v>#REF!</v>
      </c>
      <c r="AI93">
        <f>AVERAGE(L21:L23)</f>
        <v>4.9466666666666663</v>
      </c>
      <c r="AJ93" t="e">
        <f>AVERAGE(#REF!)</f>
        <v>#REF!</v>
      </c>
      <c r="AK93">
        <f>AVERAGE(M21:M23)</f>
        <v>1.57</v>
      </c>
      <c r="AL93" t="e">
        <f>AVERAGE(#REF!)</f>
        <v>#REF!</v>
      </c>
      <c r="AM93" t="e">
        <f>AVERAGE(#REF!)</f>
        <v>#REF!</v>
      </c>
      <c r="AN93">
        <f>AVERAGE(N21:N23)</f>
        <v>0.45</v>
      </c>
      <c r="AO93">
        <f>AVERAGE(O21:O23)</f>
        <v>1.2666666666666666</v>
      </c>
      <c r="AP93" t="e">
        <f>AVERAGE(#REF!)</f>
        <v>#REF!</v>
      </c>
      <c r="AQ93" t="e">
        <f>AVERAGE(#REF!)</f>
        <v>#REF!</v>
      </c>
      <c r="AR93" t="e">
        <f>AVERAGE(#REF!)</f>
        <v>#REF!</v>
      </c>
      <c r="AS93" t="e">
        <f>AVERAGE(#REF!)</f>
        <v>#REF!</v>
      </c>
      <c r="AT93" t="e">
        <f>AVERAGE(#REF!)</f>
        <v>#REF!</v>
      </c>
      <c r="AU93">
        <f>AVERAGE(P21:P23)</f>
        <v>2.48</v>
      </c>
      <c r="AV93" t="e">
        <f>AVERAGE(#REF!)</f>
        <v>#REF!</v>
      </c>
      <c r="AW93" t="e">
        <f>AVERAGE(#REF!)</f>
        <v>#REF!</v>
      </c>
      <c r="AX93" t="e">
        <f>AVERAGE(#REF!)</f>
        <v>#REF!</v>
      </c>
      <c r="AY93" t="e">
        <f>AVERAGE(#REF!)</f>
        <v>#REF!</v>
      </c>
      <c r="AZ93" t="e">
        <f>AVERAGE(#REF!)</f>
        <v>#REF!</v>
      </c>
      <c r="BA93">
        <f>AVERAGE(Q21:Q23)</f>
        <v>2.3733333333333335</v>
      </c>
      <c r="BB93" t="e">
        <f>AVERAGE(#REF!)</f>
        <v>#REF!</v>
      </c>
      <c r="BC93" t="e">
        <f>AVERAGE(#REF!)</f>
        <v>#REF!</v>
      </c>
      <c r="BD93">
        <f>AVERAGE(R21:R23)</f>
        <v>3.1166666666666667</v>
      </c>
      <c r="BE93">
        <f>AVERAGE(S21:S23)</f>
        <v>6.0333333333333341</v>
      </c>
      <c r="BF93" t="e">
        <f>AVERAGE(#REF!)</f>
        <v>#REF!</v>
      </c>
      <c r="BG93" t="e">
        <f>AVERAGE(#REF!)</f>
        <v>#REF!</v>
      </c>
      <c r="BH93" t="e">
        <f>AVERAGE(#REF!)</f>
        <v>#REF!</v>
      </c>
      <c r="BI93" t="e">
        <f>AVERAGE(#REF!)</f>
        <v>#REF!</v>
      </c>
      <c r="BJ93" t="e">
        <f>AVERAGE(#REF!)</f>
        <v>#REF!</v>
      </c>
      <c r="BK93" t="e">
        <f>AVERAGE(#REF!)</f>
        <v>#REF!</v>
      </c>
      <c r="BL93">
        <f>AVERAGE(T21:T23)</f>
        <v>6.080000000000001</v>
      </c>
      <c r="BM93" t="e">
        <f>AVERAGE(#REF!)</f>
        <v>#REF!</v>
      </c>
      <c r="BN93">
        <f>AVERAGE(U21:U23)</f>
        <v>0</v>
      </c>
      <c r="BO93" t="e">
        <f>AVERAGE(#REF!)</f>
        <v>#REF!</v>
      </c>
      <c r="BP93" t="e">
        <f>AVERAGE(#REF!)</f>
        <v>#REF!</v>
      </c>
      <c r="BQ93" t="e">
        <f>AVERAGE(#REF!)</f>
        <v>#REF!</v>
      </c>
      <c r="BR93" t="e">
        <f>AVERAGE(#REF!)</f>
        <v>#REF!</v>
      </c>
      <c r="BS93" t="e">
        <f>AVERAGE(#REF!)</f>
        <v>#REF!</v>
      </c>
      <c r="BT93" t="e">
        <f>AVERAGE(#REF!)</f>
        <v>#REF!</v>
      </c>
      <c r="BU93" t="e">
        <f>AVERAGE(#REF!)</f>
        <v>#REF!</v>
      </c>
      <c r="BV93" t="e">
        <f>AVERAGE(#REF!)</f>
        <v>#REF!</v>
      </c>
      <c r="BW93" t="e">
        <f>AVERAGE(#REF!)</f>
        <v>#REF!</v>
      </c>
      <c r="BX93" t="e">
        <f>AVERAGE(#REF!)</f>
        <v>#REF!</v>
      </c>
      <c r="BY93" t="e">
        <f>AVERAGE(#REF!)</f>
        <v>#REF!</v>
      </c>
      <c r="BZ93" t="e">
        <f>AVERAGE(#REF!)</f>
        <v>#REF!</v>
      </c>
      <c r="CA93" t="e">
        <f>AVERAGE(#REF!)</f>
        <v>#REF!</v>
      </c>
      <c r="CB93" t="e">
        <f>AVERAGE(#REF!)</f>
        <v>#REF!</v>
      </c>
      <c r="CC93" t="e">
        <f>AVERAGE(#REF!)</f>
        <v>#REF!</v>
      </c>
      <c r="CD93" t="e">
        <f>AVERAGE(#REF!)</f>
        <v>#REF!</v>
      </c>
    </row>
    <row r="94" spans="1:82" x14ac:dyDescent="0.25">
      <c r="A94" t="s">
        <v>643</v>
      </c>
      <c r="B94" t="e">
        <f>AVERAGE(#REF!)</f>
        <v>#REF!</v>
      </c>
      <c r="C94" t="e">
        <f>AVERAGE(#REF!)</f>
        <v>#REF!</v>
      </c>
      <c r="D94" t="e">
        <f>AVERAGE(#REF!)</f>
        <v>#REF!</v>
      </c>
      <c r="E94" t="e">
        <f>AVERAGE(#REF!)</f>
        <v>#REF!</v>
      </c>
      <c r="F94" t="e">
        <f>AVERAGE(#REF!)</f>
        <v>#REF!</v>
      </c>
      <c r="G94" t="e">
        <f>AVERAGE(#REF!)</f>
        <v>#REF!</v>
      </c>
      <c r="H94">
        <f>AVERAGE(B32:B33)</f>
        <v>3.0300000000000002</v>
      </c>
      <c r="I94" t="e">
        <f>AVERAGE(#REF!)</f>
        <v>#REF!</v>
      </c>
      <c r="J94">
        <f>AVERAGE(C32:C33)</f>
        <v>26.450000000000003</v>
      </c>
      <c r="K94" t="e">
        <f>AVERAGE(#REF!)</f>
        <v>#REF!</v>
      </c>
      <c r="L94">
        <f>AVERAGE(D32:D33)</f>
        <v>21.560000000000002</v>
      </c>
      <c r="M94" t="e">
        <f>AVERAGE(#REF!)</f>
        <v>#REF!</v>
      </c>
      <c r="N94" t="e">
        <f>AVERAGE(#REF!)</f>
        <v>#REF!</v>
      </c>
      <c r="O94" t="e">
        <f>AVERAGE(#REF!)</f>
        <v>#REF!</v>
      </c>
      <c r="P94" t="e">
        <f>AVERAGE(#REF!)</f>
        <v>#REF!</v>
      </c>
      <c r="Q94">
        <f>AVERAGE(E32:E33)</f>
        <v>0.86</v>
      </c>
      <c r="R94" t="e">
        <f>AVERAGE(#REF!)</f>
        <v>#REF!</v>
      </c>
      <c r="S94">
        <f>AVERAGE(F32:F33)</f>
        <v>5.3900000000000006</v>
      </c>
      <c r="T94" t="e">
        <f>AVERAGE(#REF!)</f>
        <v>#REF!</v>
      </c>
      <c r="U94" t="e">
        <f>AVERAGE(#REF!)</f>
        <v>#REF!</v>
      </c>
      <c r="V94" t="e">
        <f>AVERAGE(#REF!)</f>
        <v>#REF!</v>
      </c>
      <c r="W94">
        <f>AVERAGE(G32:G33)</f>
        <v>2.4350000000000001</v>
      </c>
      <c r="X94">
        <f>AVERAGE(H32:H33)</f>
        <v>1.405</v>
      </c>
      <c r="Y94" t="e">
        <f>AVERAGE(#REF!)</f>
        <v>#REF!</v>
      </c>
      <c r="Z94">
        <f>AVERAGE(I32:I33)</f>
        <v>166.26499999999999</v>
      </c>
      <c r="AA94">
        <f>AVERAGE(J32:J33)</f>
        <v>319.38</v>
      </c>
      <c r="AB94" t="e">
        <f>AVERAGE(#REF!)</f>
        <v>#REF!</v>
      </c>
      <c r="AC94" t="e">
        <f>AVERAGE(#REF!)</f>
        <v>#REF!</v>
      </c>
      <c r="AD94" t="e">
        <f>AVERAGE(#REF!)</f>
        <v>#REF!</v>
      </c>
      <c r="AE94" t="e">
        <f>AVERAGE(#REF!)</f>
        <v>#REF!</v>
      </c>
      <c r="AF94" t="e">
        <f>AVERAGE(#REF!)</f>
        <v>#REF!</v>
      </c>
      <c r="AG94">
        <f>AVERAGE(K32:K33)</f>
        <v>58.290000000000006</v>
      </c>
      <c r="AH94" t="e">
        <f>AVERAGE(#REF!)</f>
        <v>#REF!</v>
      </c>
      <c r="AI94">
        <f>AVERAGE(L32:L33)</f>
        <v>0</v>
      </c>
      <c r="AJ94" t="e">
        <f>AVERAGE(#REF!)</f>
        <v>#REF!</v>
      </c>
      <c r="AK94">
        <f>AVERAGE(M32:M33)</f>
        <v>4.5250000000000004</v>
      </c>
      <c r="AL94" t="e">
        <f>AVERAGE(#REF!)</f>
        <v>#REF!</v>
      </c>
      <c r="AM94" t="e">
        <f>AVERAGE(#REF!)</f>
        <v>#REF!</v>
      </c>
      <c r="AN94">
        <f>AVERAGE(N32:N33)</f>
        <v>8.0850000000000009</v>
      </c>
      <c r="AO94">
        <f>AVERAGE(O32:O33)</f>
        <v>3.8150000000000004</v>
      </c>
      <c r="AP94" t="e">
        <f>AVERAGE(#REF!)</f>
        <v>#REF!</v>
      </c>
      <c r="AQ94" t="e">
        <f>AVERAGE(#REF!)</f>
        <v>#REF!</v>
      </c>
      <c r="AR94" t="e">
        <f>AVERAGE(#REF!)</f>
        <v>#REF!</v>
      </c>
      <c r="AS94" t="e">
        <f>AVERAGE(#REF!)</f>
        <v>#REF!</v>
      </c>
      <c r="AT94" t="e">
        <f>AVERAGE(#REF!)</f>
        <v>#REF!</v>
      </c>
      <c r="AU94">
        <f>AVERAGE(P32:P33)</f>
        <v>1.5</v>
      </c>
      <c r="AV94" t="e">
        <f>AVERAGE(#REF!)</f>
        <v>#REF!</v>
      </c>
      <c r="AW94" t="e">
        <f>AVERAGE(#REF!)</f>
        <v>#REF!</v>
      </c>
      <c r="AX94" t="e">
        <f>AVERAGE(#REF!)</f>
        <v>#REF!</v>
      </c>
      <c r="AY94" t="e">
        <f>AVERAGE(#REF!)</f>
        <v>#REF!</v>
      </c>
      <c r="AZ94" t="e">
        <f>AVERAGE(#REF!)</f>
        <v>#REF!</v>
      </c>
      <c r="BA94">
        <f>AVERAGE(Q32:Q33)</f>
        <v>1.1800000000000002</v>
      </c>
      <c r="BB94" t="e">
        <f>AVERAGE(#REF!)</f>
        <v>#REF!</v>
      </c>
      <c r="BC94" t="e">
        <f>AVERAGE(#REF!)</f>
        <v>#REF!</v>
      </c>
      <c r="BD94">
        <f>AVERAGE(R32:R33)</f>
        <v>0</v>
      </c>
      <c r="BE94">
        <f>AVERAGE(S32:S33)</f>
        <v>0</v>
      </c>
      <c r="BF94" t="e">
        <f>AVERAGE(#REF!)</f>
        <v>#REF!</v>
      </c>
      <c r="BG94" t="e">
        <f>AVERAGE(#REF!)</f>
        <v>#REF!</v>
      </c>
      <c r="BH94" t="e">
        <f>AVERAGE(#REF!)</f>
        <v>#REF!</v>
      </c>
      <c r="BI94" t="e">
        <f>AVERAGE(#REF!)</f>
        <v>#REF!</v>
      </c>
      <c r="BJ94" t="e">
        <f>AVERAGE(#REF!)</f>
        <v>#REF!</v>
      </c>
      <c r="BK94" t="e">
        <f>AVERAGE(#REF!)</f>
        <v>#REF!</v>
      </c>
      <c r="BL94">
        <f>AVERAGE(T32:T33)</f>
        <v>7.9550000000000001</v>
      </c>
      <c r="BM94" t="e">
        <f>AVERAGE(#REF!)</f>
        <v>#REF!</v>
      </c>
      <c r="BN94">
        <f>AVERAGE(U32:U33)</f>
        <v>1.1100000000000001</v>
      </c>
      <c r="BO94" t="e">
        <f>AVERAGE(#REF!)</f>
        <v>#REF!</v>
      </c>
      <c r="BP94" t="e">
        <f>AVERAGE(#REF!)</f>
        <v>#REF!</v>
      </c>
      <c r="BQ94" t="e">
        <f>AVERAGE(#REF!)</f>
        <v>#REF!</v>
      </c>
      <c r="BR94" t="e">
        <f>AVERAGE(#REF!)</f>
        <v>#REF!</v>
      </c>
      <c r="BS94" t="e">
        <f>AVERAGE(#REF!)</f>
        <v>#REF!</v>
      </c>
      <c r="BT94" t="e">
        <f>AVERAGE(#REF!)</f>
        <v>#REF!</v>
      </c>
      <c r="BU94" t="e">
        <f>AVERAGE(#REF!)</f>
        <v>#REF!</v>
      </c>
      <c r="BV94" t="e">
        <f>AVERAGE(#REF!)</f>
        <v>#REF!</v>
      </c>
      <c r="BW94" t="e">
        <f>AVERAGE(#REF!)</f>
        <v>#REF!</v>
      </c>
      <c r="BX94" t="e">
        <f>AVERAGE(#REF!)</f>
        <v>#REF!</v>
      </c>
      <c r="BY94" t="e">
        <f>AVERAGE(#REF!)</f>
        <v>#REF!</v>
      </c>
      <c r="BZ94" t="e">
        <f>AVERAGE(#REF!)</f>
        <v>#REF!</v>
      </c>
      <c r="CA94" t="e">
        <f>AVERAGE(#REF!)</f>
        <v>#REF!</v>
      </c>
      <c r="CB94" t="e">
        <f>AVERAGE(#REF!)</f>
        <v>#REF!</v>
      </c>
      <c r="CC94" t="e">
        <f>AVERAGE(#REF!)</f>
        <v>#REF!</v>
      </c>
      <c r="CD94" t="e">
        <f>AVERAGE(#REF!)</f>
        <v>#REF!</v>
      </c>
    </row>
    <row r="95" spans="1:82" x14ac:dyDescent="0.25">
      <c r="A95" t="s">
        <v>644</v>
      </c>
      <c r="B95" t="e">
        <f>AVERAGE(#REF!)</f>
        <v>#REF!</v>
      </c>
      <c r="C95" t="e">
        <f>AVERAGE(#REF!)</f>
        <v>#REF!</v>
      </c>
      <c r="D95" t="e">
        <f>AVERAGE(#REF!)</f>
        <v>#REF!</v>
      </c>
      <c r="E95" t="e">
        <f>AVERAGE(#REF!)</f>
        <v>#REF!</v>
      </c>
      <c r="F95" t="e">
        <f>AVERAGE(#REF!)</f>
        <v>#REF!</v>
      </c>
      <c r="G95" t="e">
        <f>AVERAGE(#REF!)</f>
        <v>#REF!</v>
      </c>
      <c r="H95">
        <f>AVERAGE(B30)</f>
        <v>1.57</v>
      </c>
      <c r="I95" t="e">
        <f>AVERAGE(#REF!)</f>
        <v>#REF!</v>
      </c>
      <c r="J95">
        <f>AVERAGE(C30)</f>
        <v>24.95</v>
      </c>
      <c r="K95" t="e">
        <f>AVERAGE(#REF!)</f>
        <v>#REF!</v>
      </c>
      <c r="L95">
        <f>AVERAGE(D30)</f>
        <v>115.3</v>
      </c>
      <c r="M95" t="e">
        <f>AVERAGE(#REF!)</f>
        <v>#REF!</v>
      </c>
      <c r="N95" t="e">
        <f>AVERAGE(#REF!)</f>
        <v>#REF!</v>
      </c>
      <c r="O95" t="e">
        <f>AVERAGE(#REF!)</f>
        <v>#REF!</v>
      </c>
      <c r="P95" t="e">
        <f>AVERAGE(#REF!)</f>
        <v>#REF!</v>
      </c>
      <c r="Q95">
        <f>AVERAGE(E30)</f>
        <v>1.58</v>
      </c>
      <c r="R95" t="e">
        <f>AVERAGE(#REF!)</f>
        <v>#REF!</v>
      </c>
      <c r="S95">
        <f>AVERAGE(F30)</f>
        <v>10.35</v>
      </c>
      <c r="T95" t="e">
        <f>AVERAGE(#REF!)</f>
        <v>#REF!</v>
      </c>
      <c r="U95" t="e">
        <f>AVERAGE(#REF!)</f>
        <v>#REF!</v>
      </c>
      <c r="V95" t="e">
        <f>AVERAGE(#REF!)</f>
        <v>#REF!</v>
      </c>
      <c r="W95">
        <f>AVERAGE(G30)</f>
        <v>6.44</v>
      </c>
      <c r="X95">
        <f>AVERAGE(H30)</f>
        <v>0.90999999999999992</v>
      </c>
      <c r="Y95" t="e">
        <f>AVERAGE(#REF!)</f>
        <v>#REF!</v>
      </c>
      <c r="Z95">
        <f>AVERAGE(I30)</f>
        <v>2554.81</v>
      </c>
      <c r="AA95">
        <f>AVERAGE(J30)</f>
        <v>5.94</v>
      </c>
      <c r="AB95" t="e">
        <f>AVERAGE(#REF!)</f>
        <v>#REF!</v>
      </c>
      <c r="AC95" t="e">
        <f>AVERAGE(#REF!)</f>
        <v>#REF!</v>
      </c>
      <c r="AD95" t="e">
        <f>AVERAGE(#REF!)</f>
        <v>#REF!</v>
      </c>
      <c r="AE95" t="e">
        <f>AVERAGE(#REF!)</f>
        <v>#REF!</v>
      </c>
      <c r="AF95" t="e">
        <f>AVERAGE(#REF!)</f>
        <v>#REF!</v>
      </c>
      <c r="AG95">
        <f>AVERAGE(K30)</f>
        <v>38.549999999999997</v>
      </c>
      <c r="AH95" t="e">
        <f>AVERAGE(#REF!)</f>
        <v>#REF!</v>
      </c>
      <c r="AI95">
        <f>AVERAGE(L30)</f>
        <v>7.49</v>
      </c>
      <c r="AJ95" t="e">
        <f>AVERAGE(#REF!)</f>
        <v>#REF!</v>
      </c>
      <c r="AK95">
        <f>AVERAGE(M30)</f>
        <v>19.580000000000002</v>
      </c>
      <c r="AL95" t="e">
        <f>AVERAGE(#REF!)</f>
        <v>#REF!</v>
      </c>
      <c r="AM95" t="e">
        <f>AVERAGE(#REF!)</f>
        <v>#REF!</v>
      </c>
      <c r="AN95">
        <f>AVERAGE(N30)</f>
        <v>15.83</v>
      </c>
      <c r="AO95">
        <f>AVERAGE(O30)</f>
        <v>6.5</v>
      </c>
      <c r="AP95" t="e">
        <f>AVERAGE(#REF!)</f>
        <v>#REF!</v>
      </c>
      <c r="AQ95" t="e">
        <f>AVERAGE(#REF!)</f>
        <v>#REF!</v>
      </c>
      <c r="AR95" t="e">
        <f>AVERAGE(#REF!)</f>
        <v>#REF!</v>
      </c>
      <c r="AS95" t="e">
        <f>AVERAGE(#REF!)</f>
        <v>#REF!</v>
      </c>
      <c r="AT95" t="e">
        <f>AVERAGE(#REF!)</f>
        <v>#REF!</v>
      </c>
      <c r="AU95">
        <f>AVERAGE(P30)</f>
        <v>1.1200000000000001</v>
      </c>
      <c r="AV95" t="e">
        <f>AVERAGE(#REF!)</f>
        <v>#REF!</v>
      </c>
      <c r="AW95" t="e">
        <f>AVERAGE(#REF!)</f>
        <v>#REF!</v>
      </c>
      <c r="AX95" t="e">
        <f>AVERAGE(#REF!)</f>
        <v>#REF!</v>
      </c>
      <c r="AY95" t="e">
        <f>AVERAGE(#REF!)</f>
        <v>#REF!</v>
      </c>
      <c r="AZ95" t="e">
        <f>AVERAGE(#REF!)</f>
        <v>#REF!</v>
      </c>
      <c r="BA95">
        <f>AVERAGE(Q30)</f>
        <v>0.8</v>
      </c>
      <c r="BB95" t="e">
        <f>AVERAGE(#REF!)</f>
        <v>#REF!</v>
      </c>
      <c r="BC95" t="e">
        <f>AVERAGE(#REF!)</f>
        <v>#REF!</v>
      </c>
      <c r="BD95">
        <f>AVERAGE(R30)</f>
        <v>8.01</v>
      </c>
      <c r="BE95">
        <f>AVERAGE(S30)</f>
        <v>4.71</v>
      </c>
      <c r="BF95" t="e">
        <f>AVERAGE(#REF!)</f>
        <v>#REF!</v>
      </c>
      <c r="BG95" t="e">
        <f>AVERAGE(#REF!)</f>
        <v>#REF!</v>
      </c>
      <c r="BH95" t="e">
        <f>AVERAGE(#REF!)</f>
        <v>#REF!</v>
      </c>
      <c r="BI95" t="e">
        <f>AVERAGE(#REF!)</f>
        <v>#REF!</v>
      </c>
      <c r="BJ95" t="e">
        <f>AVERAGE(#REF!)</f>
        <v>#REF!</v>
      </c>
      <c r="BK95" t="e">
        <f>AVERAGE(#REF!)</f>
        <v>#REF!</v>
      </c>
      <c r="BL95">
        <f>AVERAGE(T30)</f>
        <v>8.1999999999999993</v>
      </c>
      <c r="BM95" t="e">
        <f>AVERAGE(#REF!)</f>
        <v>#REF!</v>
      </c>
      <c r="BN95">
        <f>AVERAGE(U30)</f>
        <v>0.89</v>
      </c>
      <c r="BO95" t="e">
        <f>AVERAGE(#REF!)</f>
        <v>#REF!</v>
      </c>
      <c r="BP95" t="e">
        <f>AVERAGE(#REF!)</f>
        <v>#REF!</v>
      </c>
      <c r="BQ95" t="e">
        <f>AVERAGE(#REF!)</f>
        <v>#REF!</v>
      </c>
      <c r="BR95" t="e">
        <f>AVERAGE(#REF!)</f>
        <v>#REF!</v>
      </c>
      <c r="BS95" t="e">
        <f>AVERAGE(#REF!)</f>
        <v>#REF!</v>
      </c>
      <c r="BT95" t="e">
        <f>AVERAGE(#REF!)</f>
        <v>#REF!</v>
      </c>
      <c r="BU95" t="e">
        <f>AVERAGE(#REF!)</f>
        <v>#REF!</v>
      </c>
      <c r="BV95" t="e">
        <f>AVERAGE(#REF!)</f>
        <v>#REF!</v>
      </c>
      <c r="BW95" t="e">
        <f>AVERAGE(#REF!)</f>
        <v>#REF!</v>
      </c>
      <c r="BX95" t="e">
        <f>AVERAGE(#REF!)</f>
        <v>#REF!</v>
      </c>
      <c r="BY95" t="e">
        <f>AVERAGE(#REF!)</f>
        <v>#REF!</v>
      </c>
      <c r="BZ95" t="e">
        <f>AVERAGE(#REF!)</f>
        <v>#REF!</v>
      </c>
      <c r="CA95" t="e">
        <f>AVERAGE(#REF!)</f>
        <v>#REF!</v>
      </c>
      <c r="CB95" t="e">
        <f>AVERAGE(#REF!)</f>
        <v>#REF!</v>
      </c>
      <c r="CC95" t="e">
        <f>AVERAGE(#REF!)</f>
        <v>#REF!</v>
      </c>
      <c r="CD95" t="e">
        <f>AVERAGE(#REF!)</f>
        <v>#REF!</v>
      </c>
    </row>
    <row r="96" spans="1:82" x14ac:dyDescent="0.25">
      <c r="A96" t="s">
        <v>188</v>
      </c>
      <c r="B96" t="e">
        <f>#REF!</f>
        <v>#REF!</v>
      </c>
      <c r="C96" t="e">
        <f>#REF!</f>
        <v>#REF!</v>
      </c>
      <c r="D96" t="e">
        <f>#REF!</f>
        <v>#REF!</v>
      </c>
      <c r="E96" t="e">
        <f>#REF!</f>
        <v>#REF!</v>
      </c>
      <c r="F96" t="e">
        <f>#REF!</f>
        <v>#REF!</v>
      </c>
      <c r="G96" t="e">
        <f>#REF!</f>
        <v>#REF!</v>
      </c>
      <c r="H96">
        <f>B34</f>
        <v>7.87</v>
      </c>
      <c r="I96" t="e">
        <f>#REF!</f>
        <v>#REF!</v>
      </c>
      <c r="J96">
        <f>C34</f>
        <v>184.87</v>
      </c>
      <c r="K96" t="e">
        <f>#REF!</f>
        <v>#REF!</v>
      </c>
      <c r="L96">
        <f>D34</f>
        <v>342.74</v>
      </c>
      <c r="M96" t="e">
        <f>#REF!</f>
        <v>#REF!</v>
      </c>
      <c r="N96" t="e">
        <f>#REF!</f>
        <v>#REF!</v>
      </c>
      <c r="O96" t="e">
        <f>#REF!</f>
        <v>#REF!</v>
      </c>
      <c r="P96" t="e">
        <f>#REF!</f>
        <v>#REF!</v>
      </c>
      <c r="Q96">
        <f>E34</f>
        <v>1.24</v>
      </c>
      <c r="R96" t="e">
        <f>#REF!</f>
        <v>#REF!</v>
      </c>
      <c r="S96">
        <f>F34</f>
        <v>815.72</v>
      </c>
      <c r="T96" t="e">
        <f>#REF!</f>
        <v>#REF!</v>
      </c>
      <c r="U96" t="e">
        <f>#REF!</f>
        <v>#REF!</v>
      </c>
      <c r="V96" t="e">
        <f>#REF!</f>
        <v>#REF!</v>
      </c>
      <c r="W96">
        <f>G34</f>
        <v>9.34</v>
      </c>
      <c r="X96">
        <f>H34</f>
        <v>2888.8300000000004</v>
      </c>
      <c r="Y96" t="e">
        <f>#REF!</f>
        <v>#REF!</v>
      </c>
      <c r="Z96">
        <f>I34</f>
        <v>76.56</v>
      </c>
      <c r="AA96">
        <f>J34</f>
        <v>10.97</v>
      </c>
      <c r="AB96" t="e">
        <f>#REF!</f>
        <v>#REF!</v>
      </c>
      <c r="AC96" t="e">
        <f>#REF!</f>
        <v>#REF!</v>
      </c>
      <c r="AD96" t="e">
        <f>#REF!</f>
        <v>#REF!</v>
      </c>
      <c r="AE96" t="e">
        <f>#REF!</f>
        <v>#REF!</v>
      </c>
      <c r="AF96" t="e">
        <f>#REF!</f>
        <v>#REF!</v>
      </c>
      <c r="AG96">
        <f>K34</f>
        <v>9544.66</v>
      </c>
      <c r="AH96" t="e">
        <f>#REF!</f>
        <v>#REF!</v>
      </c>
      <c r="AI96">
        <f>L34</f>
        <v>24.46</v>
      </c>
      <c r="AJ96" t="e">
        <f>#REF!</f>
        <v>#REF!</v>
      </c>
      <c r="AK96">
        <f>M34</f>
        <v>13.709999999999999</v>
      </c>
      <c r="AL96" t="e">
        <f>#REF!</f>
        <v>#REF!</v>
      </c>
      <c r="AM96" t="e">
        <f>#REF!</f>
        <v>#REF!</v>
      </c>
      <c r="AN96">
        <f>N34</f>
        <v>258.23</v>
      </c>
      <c r="AO96">
        <f>O34</f>
        <v>33.85</v>
      </c>
      <c r="AP96" t="e">
        <f>#REF!</f>
        <v>#REF!</v>
      </c>
      <c r="AQ96" t="e">
        <f>#REF!</f>
        <v>#REF!</v>
      </c>
      <c r="AR96" t="e">
        <f>#REF!</f>
        <v>#REF!</v>
      </c>
      <c r="AS96" t="e">
        <f>#REF!</f>
        <v>#REF!</v>
      </c>
      <c r="AT96" t="e">
        <f>#REF!</f>
        <v>#REF!</v>
      </c>
      <c r="AU96">
        <f>P34</f>
        <v>2062.52</v>
      </c>
      <c r="AV96" t="e">
        <f>#REF!</f>
        <v>#REF!</v>
      </c>
      <c r="AW96" t="e">
        <f>#REF!</f>
        <v>#REF!</v>
      </c>
      <c r="AX96" t="e">
        <f>#REF!</f>
        <v>#REF!</v>
      </c>
      <c r="AY96" t="e">
        <f>#REF!</f>
        <v>#REF!</v>
      </c>
      <c r="AZ96" t="e">
        <f>#REF!</f>
        <v>#REF!</v>
      </c>
      <c r="BA96">
        <f>Q34</f>
        <v>2</v>
      </c>
      <c r="BB96" t="e">
        <f>#REF!</f>
        <v>#REF!</v>
      </c>
      <c r="BC96" t="e">
        <f>#REF!</f>
        <v>#REF!</v>
      </c>
      <c r="BD96">
        <f>R34</f>
        <v>0</v>
      </c>
      <c r="BE96">
        <f>S34</f>
        <v>0</v>
      </c>
      <c r="BF96" t="e">
        <f>#REF!</f>
        <v>#REF!</v>
      </c>
      <c r="BG96" t="e">
        <f>#REF!</f>
        <v>#REF!</v>
      </c>
      <c r="BH96" t="e">
        <f>#REF!</f>
        <v>#REF!</v>
      </c>
      <c r="BI96" t="e">
        <f>#REF!</f>
        <v>#REF!</v>
      </c>
      <c r="BJ96" t="e">
        <f>#REF!</f>
        <v>#REF!</v>
      </c>
      <c r="BK96" t="e">
        <f>#REF!</f>
        <v>#REF!</v>
      </c>
      <c r="BL96">
        <f>T34</f>
        <v>42.51</v>
      </c>
      <c r="BM96" t="e">
        <f>#REF!</f>
        <v>#REF!</v>
      </c>
      <c r="BN96">
        <f>U34</f>
        <v>20.68</v>
      </c>
      <c r="BO96" t="e">
        <f>#REF!</f>
        <v>#REF!</v>
      </c>
      <c r="BP96" t="e">
        <f>#REF!</f>
        <v>#REF!</v>
      </c>
      <c r="BQ96" t="e">
        <f>#REF!</f>
        <v>#REF!</v>
      </c>
      <c r="BR96" t="e">
        <f>#REF!</f>
        <v>#REF!</v>
      </c>
      <c r="BS96" t="e">
        <f>#REF!</f>
        <v>#REF!</v>
      </c>
      <c r="BT96" t="e">
        <f>#REF!</f>
        <v>#REF!</v>
      </c>
      <c r="BU96" t="e">
        <f>#REF!</f>
        <v>#REF!</v>
      </c>
      <c r="BV96" t="e">
        <f>#REF!</f>
        <v>#REF!</v>
      </c>
      <c r="BW96" t="e">
        <f>#REF!</f>
        <v>#REF!</v>
      </c>
      <c r="BX96" t="e">
        <f>#REF!</f>
        <v>#REF!</v>
      </c>
      <c r="BY96" t="e">
        <f>#REF!</f>
        <v>#REF!</v>
      </c>
      <c r="BZ96" t="e">
        <f>#REF!</f>
        <v>#REF!</v>
      </c>
      <c r="CA96" t="e">
        <f>#REF!</f>
        <v>#REF!</v>
      </c>
      <c r="CB96" t="e">
        <f>#REF!</f>
        <v>#REF!</v>
      </c>
      <c r="CC96" t="e">
        <f>#REF!</f>
        <v>#REF!</v>
      </c>
      <c r="CD96" t="e">
        <f>#REF!</f>
        <v>#REF!</v>
      </c>
    </row>
    <row r="97" spans="1:309" s="44" customFormat="1" x14ac:dyDescent="0.25">
      <c r="B97" s="44" t="s">
        <v>260</v>
      </c>
      <c r="C97" s="44" t="s">
        <v>262</v>
      </c>
      <c r="D97" s="44" t="s">
        <v>264</v>
      </c>
      <c r="E97" s="44" t="s">
        <v>267</v>
      </c>
      <c r="F97" s="44" t="s">
        <v>276</v>
      </c>
      <c r="G97" s="44" t="s">
        <v>277</v>
      </c>
      <c r="H97" s="44" t="s">
        <v>279</v>
      </c>
      <c r="I97" s="44" t="s">
        <v>288</v>
      </c>
      <c r="J97" s="44" t="s">
        <v>290</v>
      </c>
      <c r="K97" s="44" t="s">
        <v>293</v>
      </c>
      <c r="L97" s="44" t="s">
        <v>296</v>
      </c>
      <c r="M97" s="44" t="s">
        <v>297</v>
      </c>
      <c r="N97" s="44" t="s">
        <v>305</v>
      </c>
      <c r="O97" s="44" t="s">
        <v>311</v>
      </c>
      <c r="P97" s="44" t="s">
        <v>315</v>
      </c>
      <c r="Q97" s="44" t="s">
        <v>323</v>
      </c>
      <c r="R97" s="44" t="s">
        <v>325</v>
      </c>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row>
    <row r="98" spans="1:309" x14ac:dyDescent="0.25">
      <c r="A98" t="s">
        <v>553</v>
      </c>
    </row>
    <row r="99" spans="1:309" x14ac:dyDescent="0.25">
      <c r="A99" t="s">
        <v>415</v>
      </c>
      <c r="B99">
        <v>1.8730158730158699</v>
      </c>
      <c r="C99">
        <v>1.2808743169398908</v>
      </c>
      <c r="D99">
        <v>1.111197992008695</v>
      </c>
      <c r="E99" t="e">
        <v>#VALUE!</v>
      </c>
      <c r="F99">
        <v>1.0758853288364247</v>
      </c>
      <c r="G99">
        <v>38.033210332103323</v>
      </c>
      <c r="H99">
        <v>23.986653645833336</v>
      </c>
      <c r="I99">
        <v>1.7484582927620902</v>
      </c>
      <c r="J99">
        <v>0.63739787737649845</v>
      </c>
      <c r="K99">
        <v>1.166240409207161</v>
      </c>
      <c r="L99">
        <v>1.299804635229888</v>
      </c>
      <c r="M99">
        <v>0.42138364779874216</v>
      </c>
      <c r="N99">
        <v>27</v>
      </c>
      <c r="O99">
        <v>2.5735849056603777</v>
      </c>
      <c r="P99" t="e">
        <v>#VALUE!</v>
      </c>
      <c r="Q99">
        <v>1.26</v>
      </c>
      <c r="R99">
        <v>0.59668508287292821</v>
      </c>
      <c r="S99">
        <f>COUNTIF(B99:R99,"&gt;1")</f>
        <v>12</v>
      </c>
    </row>
    <row r="100" spans="1:309" x14ac:dyDescent="0.25">
      <c r="A100" t="s">
        <v>181</v>
      </c>
      <c r="B100">
        <v>0.98347107438016523</v>
      </c>
      <c r="C100">
        <v>2.8527929901423876</v>
      </c>
      <c r="D100">
        <v>10.857343969967152</v>
      </c>
      <c r="E100">
        <v>0.15407262021589796</v>
      </c>
      <c r="F100">
        <v>0.80645161290322565</v>
      </c>
      <c r="G100">
        <v>2.4473684210526305</v>
      </c>
      <c r="H100">
        <v>14.328956319603058</v>
      </c>
      <c r="I100">
        <v>8.7205607476635514</v>
      </c>
      <c r="J100">
        <v>3.7678339818417639</v>
      </c>
      <c r="K100">
        <v>23.267857142857142</v>
      </c>
      <c r="L100">
        <v>3.992592592592592</v>
      </c>
      <c r="M100">
        <v>2.7086092715231787</v>
      </c>
      <c r="N100">
        <v>0.98029556650246319</v>
      </c>
      <c r="O100">
        <v>0.62454873646209386</v>
      </c>
      <c r="P100">
        <v>36.612000000000002</v>
      </c>
      <c r="Q100">
        <v>1.1466876971608833</v>
      </c>
      <c r="R100" t="e">
        <v>#VALUE!</v>
      </c>
      <c r="S100">
        <f t="shared" ref="S100:S108" si="24">COUNTIF(B100:R100,"&gt;1")</f>
        <v>11</v>
      </c>
    </row>
    <row r="101" spans="1:309" x14ac:dyDescent="0.25">
      <c r="A101" t="s">
        <v>182</v>
      </c>
      <c r="B101">
        <v>0.63513513513513509</v>
      </c>
      <c r="C101">
        <v>1.8747744496571634</v>
      </c>
      <c r="D101">
        <v>2.9246676514032499</v>
      </c>
      <c r="E101">
        <v>1.0238095238095237</v>
      </c>
      <c r="F101">
        <v>0.59999999999999953</v>
      </c>
      <c r="G101">
        <v>3.263157894736842</v>
      </c>
      <c r="H101">
        <v>3.0387579359614127</v>
      </c>
      <c r="I101">
        <v>1.8026960784313726</v>
      </c>
      <c r="J101" t="e">
        <v>#VALUE!</v>
      </c>
      <c r="K101">
        <v>2.3621621621621625</v>
      </c>
      <c r="L101" t="e">
        <v>#VALUE!</v>
      </c>
      <c r="M101">
        <v>1.1769911504424779</v>
      </c>
      <c r="N101">
        <v>1.0088105726872247</v>
      </c>
      <c r="O101">
        <v>0.42233009708737856</v>
      </c>
      <c r="P101">
        <v>5.4548672566371676</v>
      </c>
      <c r="Q101">
        <v>0.51287553648068673</v>
      </c>
      <c r="R101" t="e">
        <v>#VALUE!</v>
      </c>
      <c r="S101">
        <f t="shared" si="24"/>
        <v>10</v>
      </c>
    </row>
    <row r="102" spans="1:309" x14ac:dyDescent="0.25">
      <c r="A102" t="s">
        <v>183</v>
      </c>
      <c r="B102">
        <v>0.10404624277456648</v>
      </c>
      <c r="C102">
        <v>0.26822197680839316</v>
      </c>
      <c r="D102">
        <v>0.79081099895579532</v>
      </c>
      <c r="E102">
        <v>0.22553191489361701</v>
      </c>
      <c r="F102">
        <v>0.3873239436619717</v>
      </c>
      <c r="G102">
        <v>0.72641509433962248</v>
      </c>
      <c r="H102">
        <v>0.95034719574267179</v>
      </c>
      <c r="I102">
        <v>1.1530546623794211</v>
      </c>
      <c r="J102">
        <v>0.71248246844319774</v>
      </c>
      <c r="K102">
        <v>1.2413793103448276</v>
      </c>
      <c r="L102" t="e">
        <v>#VALUE!</v>
      </c>
      <c r="M102">
        <v>0.7931034482758621</v>
      </c>
      <c r="N102">
        <v>1.3471337579617835</v>
      </c>
      <c r="O102">
        <v>0.15720524017467247</v>
      </c>
      <c r="P102">
        <v>1.0673366834170854</v>
      </c>
      <c r="Q102">
        <v>0.46685082872928174</v>
      </c>
      <c r="R102" t="e">
        <v>#VALUE!</v>
      </c>
      <c r="S102" s="112">
        <f t="shared" si="24"/>
        <v>4</v>
      </c>
    </row>
    <row r="103" spans="1:309" x14ac:dyDescent="0.25">
      <c r="A103" t="s">
        <v>184</v>
      </c>
      <c r="B103">
        <v>0.91612903225806441</v>
      </c>
      <c r="C103">
        <v>1.80529197080292</v>
      </c>
      <c r="D103">
        <v>2.2029494382022472</v>
      </c>
      <c r="E103">
        <v>0.21640091116173121</v>
      </c>
      <c r="F103">
        <v>0.27547169811320732</v>
      </c>
      <c r="G103">
        <v>1.5930232558139532</v>
      </c>
      <c r="H103">
        <v>2.052557762405312</v>
      </c>
      <c r="I103">
        <v>2.3597033374536465</v>
      </c>
      <c r="J103" t="e">
        <v>#VALUE!</v>
      </c>
      <c r="K103">
        <v>5.2281105990783416</v>
      </c>
      <c r="L103">
        <v>3.8119999999999998</v>
      </c>
      <c r="M103">
        <v>4.6860465116279064</v>
      </c>
      <c r="N103">
        <v>0.62439024390243913</v>
      </c>
      <c r="O103">
        <v>0.32658959537572252</v>
      </c>
      <c r="P103">
        <v>3.705079191698526</v>
      </c>
      <c r="Q103">
        <v>1.2960325534079349</v>
      </c>
      <c r="R103" t="e">
        <v>#VALUE!</v>
      </c>
      <c r="S103">
        <f t="shared" si="24"/>
        <v>10</v>
      </c>
    </row>
    <row r="104" spans="1:309" x14ac:dyDescent="0.25">
      <c r="A104" t="s">
        <v>185</v>
      </c>
      <c r="B104">
        <v>1.4901960784313724</v>
      </c>
      <c r="C104">
        <v>6.4785591766723849</v>
      </c>
      <c r="D104">
        <v>4.1550736497545007</v>
      </c>
      <c r="E104">
        <v>0.56037151702786381</v>
      </c>
      <c r="F104">
        <v>1.3926940639269403</v>
      </c>
      <c r="G104">
        <v>2.8071748878923763</v>
      </c>
      <c r="H104">
        <v>2.4543095990273156</v>
      </c>
      <c r="I104">
        <v>3.7522306108442005</v>
      </c>
      <c r="J104" t="e">
        <v>#VALUE!</v>
      </c>
      <c r="K104">
        <v>10.18732782369146</v>
      </c>
      <c r="L104">
        <v>5.0658914728682172</v>
      </c>
      <c r="M104">
        <v>6.4768518518518512</v>
      </c>
      <c r="N104">
        <v>0.73170731707317072</v>
      </c>
      <c r="O104">
        <v>0.4043126684636118</v>
      </c>
      <c r="P104">
        <v>9.4154929577464799</v>
      </c>
      <c r="Q104">
        <v>5.2679900744416868</v>
      </c>
      <c r="R104">
        <v>5.8035714285714279</v>
      </c>
      <c r="S104">
        <f t="shared" si="24"/>
        <v>13</v>
      </c>
    </row>
    <row r="105" spans="1:309" x14ac:dyDescent="0.25">
      <c r="A105" t="s">
        <v>186</v>
      </c>
      <c r="B105">
        <v>2.3535911602209945</v>
      </c>
      <c r="C105">
        <v>2.3583476764199656</v>
      </c>
      <c r="D105">
        <v>3.9560482302605986</v>
      </c>
      <c r="E105">
        <v>0.69325153374233128</v>
      </c>
      <c r="F105">
        <v>1.1488095238095237</v>
      </c>
      <c r="G105">
        <v>4.0747126436781604</v>
      </c>
      <c r="H105">
        <v>1.3933991322020003</v>
      </c>
      <c r="I105">
        <v>2.7943696450428397</v>
      </c>
      <c r="J105">
        <v>1.4201312910284463</v>
      </c>
      <c r="K105">
        <v>4.4297124600638984</v>
      </c>
      <c r="L105">
        <v>5.5809248554913289</v>
      </c>
      <c r="M105">
        <v>5.2730627306273066</v>
      </c>
      <c r="N105">
        <v>0.77622377622377636</v>
      </c>
      <c r="O105">
        <v>0.18222222222222223</v>
      </c>
      <c r="P105">
        <v>2.6485507246376807</v>
      </c>
      <c r="Q105">
        <v>2.8766917293233081</v>
      </c>
      <c r="R105">
        <v>0.42992874109263657</v>
      </c>
      <c r="S105">
        <f t="shared" si="24"/>
        <v>13</v>
      </c>
    </row>
    <row r="106" spans="1:309" x14ac:dyDescent="0.25">
      <c r="A106" t="s">
        <v>657</v>
      </c>
      <c r="B106">
        <v>1.9920634920634919</v>
      </c>
      <c r="C106">
        <v>2.829222457129434</v>
      </c>
      <c r="D106">
        <v>4.2690217391304346</v>
      </c>
      <c r="E106">
        <v>0.84126984126984128</v>
      </c>
      <c r="F106">
        <v>0.61349693251533743</v>
      </c>
      <c r="G106">
        <v>2.0150753768844223</v>
      </c>
      <c r="H106">
        <v>4.0309738841417664</v>
      </c>
      <c r="I106">
        <v>3.1996658312447783</v>
      </c>
      <c r="J106" t="e">
        <v>#VALUE!</v>
      </c>
      <c r="K106">
        <v>6.9213197969543163</v>
      </c>
      <c r="L106">
        <v>3.3994252873563218</v>
      </c>
      <c r="M106">
        <v>1.7296137339055795</v>
      </c>
      <c r="N106">
        <v>0.953125</v>
      </c>
      <c r="O106">
        <v>0.7363184079601991</v>
      </c>
      <c r="P106" t="e">
        <v>#VALUE!</v>
      </c>
      <c r="Q106">
        <v>1.2485843714609286</v>
      </c>
      <c r="R106">
        <v>2.2589285714285712</v>
      </c>
      <c r="S106">
        <f t="shared" si="24"/>
        <v>11</v>
      </c>
    </row>
    <row r="107" spans="1:309" x14ac:dyDescent="0.25">
      <c r="A107" t="s">
        <v>335</v>
      </c>
      <c r="B107">
        <v>1.0828025477707006</v>
      </c>
      <c r="C107">
        <v>1.2140280561122245</v>
      </c>
      <c r="D107">
        <v>0.69522983521248916</v>
      </c>
      <c r="E107">
        <v>0.68354430379746833</v>
      </c>
      <c r="F107">
        <v>0.76863354037267084</v>
      </c>
      <c r="G107">
        <v>0.91208791208791229</v>
      </c>
      <c r="H107">
        <v>9.5067734978334983E-2</v>
      </c>
      <c r="I107">
        <v>4.0775616083009085</v>
      </c>
      <c r="J107">
        <v>2.2109479305740987</v>
      </c>
      <c r="K107">
        <v>0.28549540347293151</v>
      </c>
      <c r="L107">
        <v>3.8534428300694881E-2</v>
      </c>
      <c r="M107">
        <v>0.71230769230769231</v>
      </c>
      <c r="N107">
        <v>4.0803571428571423</v>
      </c>
      <c r="O107">
        <v>1.8874999999999997</v>
      </c>
      <c r="P107" t="e">
        <v>#VALUE!</v>
      </c>
      <c r="Q107">
        <v>1.7634146341463417</v>
      </c>
      <c r="R107">
        <v>4.5730337078651688</v>
      </c>
      <c r="S107">
        <f t="shared" si="24"/>
        <v>8</v>
      </c>
    </row>
    <row r="108" spans="1:309" x14ac:dyDescent="0.25">
      <c r="A108" t="s">
        <v>329</v>
      </c>
      <c r="B108">
        <v>1.1481481481481481</v>
      </c>
      <c r="C108">
        <v>1.2893692104102337</v>
      </c>
      <c r="D108">
        <v>1.4493267186392629</v>
      </c>
      <c r="E108">
        <v>0.71084337349397586</v>
      </c>
      <c r="F108">
        <v>0.90405904059040598</v>
      </c>
      <c r="G108">
        <v>3.4933333333333332</v>
      </c>
      <c r="H108">
        <v>1.299430691485959</v>
      </c>
      <c r="I108">
        <v>1.445996663886572</v>
      </c>
      <c r="J108" t="e">
        <v>#VALUE!</v>
      </c>
      <c r="K108">
        <v>2.0859728506787332</v>
      </c>
      <c r="L108">
        <v>1.0245499181669393</v>
      </c>
      <c r="M108">
        <v>1.4956268221574343</v>
      </c>
      <c r="N108">
        <v>0.7009803921568627</v>
      </c>
      <c r="O108">
        <v>0.29605263157894735</v>
      </c>
      <c r="P108" t="e">
        <v>#VALUE!</v>
      </c>
      <c r="Q108">
        <v>0.81249999999999989</v>
      </c>
      <c r="R108">
        <v>1.2072072072072071</v>
      </c>
      <c r="S108">
        <f t="shared" si="24"/>
        <v>10</v>
      </c>
      <c r="T108" s="115" t="s">
        <v>659</v>
      </c>
    </row>
    <row r="109" spans="1:309" x14ac:dyDescent="0.25">
      <c r="A109" t="s">
        <v>188</v>
      </c>
      <c r="T109" s="115"/>
    </row>
    <row r="110" spans="1:309" x14ac:dyDescent="0.25">
      <c r="B110">
        <f t="shared" ref="B110:R110" si="25">COUNTIF(B100:B108,"&gt;1")</f>
        <v>5</v>
      </c>
      <c r="C110">
        <f t="shared" si="25"/>
        <v>8</v>
      </c>
      <c r="D110">
        <f t="shared" si="25"/>
        <v>7</v>
      </c>
      <c r="E110" s="115">
        <f t="shared" si="25"/>
        <v>1</v>
      </c>
      <c r="F110" s="115">
        <f t="shared" si="25"/>
        <v>2</v>
      </c>
      <c r="G110">
        <f t="shared" si="25"/>
        <v>7</v>
      </c>
      <c r="H110">
        <f t="shared" si="25"/>
        <v>7</v>
      </c>
      <c r="I110">
        <f t="shared" si="25"/>
        <v>9</v>
      </c>
      <c r="J110" s="115">
        <f t="shared" si="25"/>
        <v>3</v>
      </c>
      <c r="K110">
        <f t="shared" si="25"/>
        <v>8</v>
      </c>
      <c r="L110">
        <f t="shared" si="25"/>
        <v>6</v>
      </c>
      <c r="M110">
        <f t="shared" si="25"/>
        <v>7</v>
      </c>
      <c r="N110" s="115">
        <f t="shared" si="25"/>
        <v>3</v>
      </c>
      <c r="O110" s="115">
        <f t="shared" si="25"/>
        <v>1</v>
      </c>
      <c r="P110">
        <f t="shared" si="25"/>
        <v>6</v>
      </c>
      <c r="Q110">
        <f t="shared" si="25"/>
        <v>6</v>
      </c>
      <c r="R110" s="115">
        <f t="shared" si="25"/>
        <v>4</v>
      </c>
      <c r="S110" s="112">
        <f>AVERAGE(B110:R110)</f>
        <v>5.2941176470588234</v>
      </c>
      <c r="T110" s="115">
        <f>AVERAGE(S99:S108)</f>
        <v>10.199999999999999</v>
      </c>
    </row>
    <row r="111" spans="1:309" x14ac:dyDescent="0.25">
      <c r="A111" t="s">
        <v>653</v>
      </c>
      <c r="S111" s="112" t="s">
        <v>660</v>
      </c>
    </row>
    <row r="112" spans="1:309" x14ac:dyDescent="0.25">
      <c r="A112" t="s">
        <v>640</v>
      </c>
      <c r="B112">
        <v>4.166666666666667</v>
      </c>
      <c r="C112">
        <v>1.3536045106725736</v>
      </c>
      <c r="D112">
        <v>0.61731689925639188</v>
      </c>
      <c r="E112">
        <v>0.36904761904761907</v>
      </c>
      <c r="F112">
        <v>1.1634408602150537</v>
      </c>
      <c r="G112">
        <v>12.819338054632173</v>
      </c>
      <c r="H112">
        <v>0.17750927821325743</v>
      </c>
      <c r="I112">
        <v>3.1590050639216338</v>
      </c>
      <c r="J112">
        <v>0.66408668730650144</v>
      </c>
      <c r="K112">
        <v>2.1786237188872617</v>
      </c>
      <c r="L112">
        <v>0.38945907375911482</v>
      </c>
      <c r="M112">
        <v>2.8520625889046936</v>
      </c>
      <c r="N112">
        <v>24.136992956035947</v>
      </c>
      <c r="O112">
        <v>1.2222222222222223</v>
      </c>
      <c r="P112" t="e">
        <v>#VALUE!</v>
      </c>
      <c r="Q112">
        <v>5.6407103825136611</v>
      </c>
      <c r="R112">
        <v>5.5686274509803919</v>
      </c>
    </row>
    <row r="113" spans="1:19" x14ac:dyDescent="0.25">
      <c r="A113" s="99" t="s">
        <v>658</v>
      </c>
    </row>
    <row r="114" spans="1:19" x14ac:dyDescent="0.25">
      <c r="A114" t="s">
        <v>641</v>
      </c>
      <c r="B114">
        <v>1.68799494074348</v>
      </c>
      <c r="C114">
        <v>3.3678553202561763</v>
      </c>
      <c r="D114">
        <v>3.6457732643369454</v>
      </c>
      <c r="E114">
        <v>0.57782345080044195</v>
      </c>
      <c r="F114">
        <v>0.85761805459125218</v>
      </c>
      <c r="G114">
        <v>2.6224965410672283</v>
      </c>
      <c r="H114">
        <v>2.4828100944440985</v>
      </c>
      <c r="I114">
        <v>3.0264923561463659</v>
      </c>
      <c r="J114" t="e">
        <v>#VALUE!</v>
      </c>
      <c r="K114">
        <v>6.6916176699470036</v>
      </c>
      <c r="L114">
        <v>4.4645604039289672</v>
      </c>
      <c r="M114">
        <v>4.5413937070031611</v>
      </c>
      <c r="N114">
        <v>0.77136158429984658</v>
      </c>
      <c r="O114">
        <v>0.41236072350543895</v>
      </c>
      <c r="P114" t="e">
        <v>#VALUE!</v>
      </c>
      <c r="Q114">
        <v>2.6723246821584645</v>
      </c>
      <c r="R114" t="e">
        <v>#VALUE!</v>
      </c>
    </row>
    <row r="115" spans="1:19" x14ac:dyDescent="0.25">
      <c r="A115" t="s">
        <v>642</v>
      </c>
      <c r="B115">
        <v>0.70136375001514195</v>
      </c>
      <c r="C115">
        <v>1.552454368180042</v>
      </c>
      <c r="D115">
        <v>3.8170131138846712</v>
      </c>
      <c r="E115">
        <v>0.52173959067912679</v>
      </c>
      <c r="F115">
        <v>0.64060227423446692</v>
      </c>
      <c r="G115">
        <v>1.8372573305542519</v>
      </c>
      <c r="H115">
        <v>4.6032822965713702</v>
      </c>
      <c r="I115">
        <v>3.9384682741938137</v>
      </c>
      <c r="J115" t="e">
        <v>#VALUE!</v>
      </c>
      <c r="K115">
        <v>6.7892235047092662</v>
      </c>
      <c r="L115" t="e">
        <v>#VALUE!</v>
      </c>
      <c r="M115">
        <v>1.3477528906373026</v>
      </c>
      <c r="N115">
        <v>1.8541492600021534</v>
      </c>
      <c r="O115">
        <v>0.77289601843103617</v>
      </c>
      <c r="P115" t="e">
        <v>#VALUE!</v>
      </c>
      <c r="Q115">
        <v>0.97245717412929833</v>
      </c>
      <c r="R115" t="e">
        <v>#VALUE!</v>
      </c>
    </row>
    <row r="116" spans="1:19" x14ac:dyDescent="0.25">
      <c r="A116" t="s">
        <v>643</v>
      </c>
      <c r="B116">
        <v>2.6574074074074074</v>
      </c>
      <c r="C116">
        <v>1.3214868605414036</v>
      </c>
      <c r="D116">
        <v>1.0333218089478273</v>
      </c>
      <c r="E116">
        <v>0.53994549627079746</v>
      </c>
      <c r="F116">
        <v>1.0337499504027299</v>
      </c>
      <c r="G116">
        <v>8.1563356939827525</v>
      </c>
      <c r="H116">
        <v>0.73846998484960824</v>
      </c>
      <c r="I116">
        <v>2.3025008639041031</v>
      </c>
      <c r="J116" t="e">
        <v>#VALUE!</v>
      </c>
      <c r="K116">
        <v>2.1322982847829977</v>
      </c>
      <c r="L116">
        <v>0.70700449596302706</v>
      </c>
      <c r="M116">
        <v>2.1738447055310637</v>
      </c>
      <c r="N116">
        <v>12.418986674096404</v>
      </c>
      <c r="O116">
        <v>0.75913742690058483</v>
      </c>
      <c r="P116" t="e">
        <v>#VALUE!</v>
      </c>
      <c r="Q116">
        <v>3.2266051912568305</v>
      </c>
      <c r="R116">
        <v>3.3879173290937996</v>
      </c>
    </row>
    <row r="117" spans="1:19" x14ac:dyDescent="0.25">
      <c r="A117" t="s">
        <v>644</v>
      </c>
      <c r="B117">
        <v>1.5</v>
      </c>
      <c r="C117">
        <v>111.21</v>
      </c>
      <c r="D117">
        <v>661.81</v>
      </c>
      <c r="E117">
        <v>0.85</v>
      </c>
      <c r="F117">
        <v>9.0799999999999983</v>
      </c>
      <c r="G117">
        <v>55.050000000000004</v>
      </c>
      <c r="H117">
        <v>258.56</v>
      </c>
      <c r="I117">
        <v>1981.27</v>
      </c>
      <c r="J117">
        <v>76.62</v>
      </c>
      <c r="K117">
        <v>8.9</v>
      </c>
      <c r="L117">
        <v>677.86</v>
      </c>
      <c r="M117">
        <v>7.11</v>
      </c>
      <c r="N117">
        <v>26.45</v>
      </c>
      <c r="O117">
        <v>1.4</v>
      </c>
      <c r="P117" t="e">
        <v>#DIV/0!</v>
      </c>
      <c r="Q117">
        <v>7.68</v>
      </c>
      <c r="R117" t="e">
        <v>#DIV/0!</v>
      </c>
    </row>
    <row r="118" spans="1:19" x14ac:dyDescent="0.25">
      <c r="A118" t="s">
        <v>188</v>
      </c>
      <c r="B118">
        <v>8.3862770012706478E-2</v>
      </c>
      <c r="C118">
        <v>0.82014388489208634</v>
      </c>
      <c r="D118">
        <v>0.634825231954251</v>
      </c>
      <c r="E118">
        <v>0.50806451612903225</v>
      </c>
      <c r="F118">
        <v>1.2773019271948609</v>
      </c>
      <c r="G118">
        <v>2.2797603181911015</v>
      </c>
      <c r="H118">
        <v>1.4265935214211076</v>
      </c>
      <c r="I118">
        <v>0.51526508016000572</v>
      </c>
      <c r="J118">
        <v>0.94644317252657395</v>
      </c>
      <c r="K118">
        <v>0.72501823486506201</v>
      </c>
      <c r="L118">
        <v>0.92893931766254878</v>
      </c>
      <c r="M118">
        <v>9.3648449039881829E-2</v>
      </c>
      <c r="N118">
        <v>5.611586796734092</v>
      </c>
      <c r="O118">
        <v>0.61499999999999999</v>
      </c>
      <c r="P118" t="e">
        <v>#VALUE!</v>
      </c>
      <c r="Q118">
        <v>0.28722653493295697</v>
      </c>
      <c r="R118">
        <v>0.19970986460348161</v>
      </c>
    </row>
    <row r="119" spans="1:19" x14ac:dyDescent="0.25">
      <c r="A119" t="s">
        <v>654</v>
      </c>
    </row>
    <row r="120" spans="1:19" s="112" customFormat="1" x14ac:dyDescent="0.25">
      <c r="A120" s="112" t="s">
        <v>655</v>
      </c>
    </row>
    <row r="121" spans="1:19" x14ac:dyDescent="0.25">
      <c r="A121" t="s">
        <v>641</v>
      </c>
      <c r="B121">
        <v>2.6174999999999997</v>
      </c>
      <c r="C121">
        <v>164.63749999999999</v>
      </c>
      <c r="D121">
        <v>82.210000000000008</v>
      </c>
      <c r="E121">
        <v>1.2374999999999998</v>
      </c>
      <c r="F121">
        <v>1.6774999999999998</v>
      </c>
      <c r="G121">
        <v>4.6825000000000001</v>
      </c>
      <c r="H121">
        <v>69730.232499999998</v>
      </c>
      <c r="I121">
        <v>44.202500000000001</v>
      </c>
      <c r="J121">
        <v>5.9075000000000006</v>
      </c>
      <c r="K121">
        <v>28.667500000000004</v>
      </c>
      <c r="L121">
        <v>13.434999999999999</v>
      </c>
      <c r="M121">
        <v>11.100000000000001</v>
      </c>
      <c r="N121">
        <v>1.5024999999999999</v>
      </c>
      <c r="O121">
        <v>1.2324999999999999</v>
      </c>
      <c r="P121">
        <v>63.175000000000004</v>
      </c>
      <c r="Q121">
        <v>28.877500000000001</v>
      </c>
      <c r="R121">
        <v>2.3474999999999997</v>
      </c>
      <c r="S121">
        <f>IF(ISERROR(AVERAGE(B121:R121)),"",(AVERAGE(B121:R121)))</f>
        <v>4128.690735294118</v>
      </c>
    </row>
    <row r="122" spans="1:19" x14ac:dyDescent="0.25">
      <c r="A122" t="s">
        <v>642</v>
      </c>
      <c r="B122">
        <v>0.61333333333333329</v>
      </c>
      <c r="C122">
        <v>67.203333333333333</v>
      </c>
      <c r="D122">
        <v>97.89666666666669</v>
      </c>
      <c r="E122">
        <v>0.98666666666666669</v>
      </c>
      <c r="F122">
        <v>0.67666666666666642</v>
      </c>
      <c r="G122">
        <v>1.4433333333333334</v>
      </c>
      <c r="H122">
        <v>63237.799999999996</v>
      </c>
      <c r="I122">
        <v>41.983333333333341</v>
      </c>
      <c r="J122">
        <v>13.553333333333333</v>
      </c>
      <c r="K122">
        <v>10.863333333333335</v>
      </c>
      <c r="L122">
        <v>2.5366666666666666</v>
      </c>
      <c r="M122">
        <v>2.1133333333333333</v>
      </c>
      <c r="N122">
        <v>2.8366666666666673</v>
      </c>
      <c r="O122">
        <v>0.98666666666666647</v>
      </c>
      <c r="P122">
        <v>44.323333333333331</v>
      </c>
      <c r="Q122">
        <v>4.3466666666666667</v>
      </c>
      <c r="R122">
        <v>5.1000000000000005</v>
      </c>
      <c r="S122">
        <f t="shared" ref="S122:S131" si="26">IF(ISERROR(AVERAGE(B122:R122)),"",(AVERAGE(B122:R122)))</f>
        <v>3737.3684313725489</v>
      </c>
    </row>
    <row r="123" spans="1:19" x14ac:dyDescent="0.25">
      <c r="A123" t="s">
        <v>643</v>
      </c>
      <c r="B123">
        <v>2.79</v>
      </c>
      <c r="C123">
        <v>29.23</v>
      </c>
      <c r="D123">
        <v>20.45</v>
      </c>
      <c r="E123">
        <v>0.59</v>
      </c>
      <c r="F123">
        <v>2.4500000000000002</v>
      </c>
      <c r="G123">
        <v>5.24</v>
      </c>
      <c r="H123">
        <v>203.14</v>
      </c>
      <c r="I123">
        <v>69.349999999999994</v>
      </c>
      <c r="J123">
        <v>0</v>
      </c>
      <c r="K123">
        <v>9.2200000000000006</v>
      </c>
      <c r="L123">
        <v>6.26</v>
      </c>
      <c r="M123">
        <v>5.13</v>
      </c>
      <c r="N123">
        <v>1.43</v>
      </c>
      <c r="O123">
        <v>0.44999999999999996</v>
      </c>
      <c r="P123">
        <v>4.5</v>
      </c>
      <c r="Q123">
        <v>5.85</v>
      </c>
      <c r="R123">
        <v>1.34</v>
      </c>
      <c r="S123">
        <f>IF(ISERROR(AVERAGE(B123:R123)),"",(AVERAGE(B123:R123)))</f>
        <v>21.612941176470589</v>
      </c>
    </row>
    <row r="124" spans="1:19" x14ac:dyDescent="0.25">
      <c r="A124" t="s">
        <v>644</v>
      </c>
      <c r="B124">
        <v>1.7</v>
      </c>
      <c r="C124">
        <v>30.29</v>
      </c>
      <c r="D124">
        <v>80.16</v>
      </c>
      <c r="E124">
        <v>1.08</v>
      </c>
      <c r="F124">
        <v>4.95</v>
      </c>
      <c r="G124">
        <v>0.83000000000000007</v>
      </c>
      <c r="H124">
        <v>242.88</v>
      </c>
      <c r="I124">
        <v>157.19</v>
      </c>
      <c r="J124">
        <v>16.559999999999999</v>
      </c>
      <c r="K124">
        <v>5.59</v>
      </c>
      <c r="L124">
        <v>0.61</v>
      </c>
      <c r="M124">
        <v>4.63</v>
      </c>
      <c r="N124">
        <v>4.57</v>
      </c>
      <c r="O124">
        <v>1.5099999999999998</v>
      </c>
      <c r="P124">
        <v>0</v>
      </c>
      <c r="Q124">
        <v>14.46</v>
      </c>
      <c r="R124">
        <v>4.07</v>
      </c>
      <c r="S124">
        <f t="shared" si="26"/>
        <v>33.592941176470589</v>
      </c>
    </row>
    <row r="125" spans="1:19" x14ac:dyDescent="0.25">
      <c r="A125" t="s">
        <v>188</v>
      </c>
      <c r="B125">
        <v>0.66</v>
      </c>
      <c r="C125">
        <v>151.62</v>
      </c>
      <c r="D125">
        <v>217.58</v>
      </c>
      <c r="E125">
        <v>0.63</v>
      </c>
      <c r="F125">
        <v>11.93</v>
      </c>
      <c r="G125">
        <v>6585.84</v>
      </c>
      <c r="H125">
        <v>109.22</v>
      </c>
      <c r="I125">
        <v>4918.03</v>
      </c>
      <c r="J125">
        <v>23.15</v>
      </c>
      <c r="K125">
        <v>9.94</v>
      </c>
      <c r="L125">
        <v>239.88</v>
      </c>
      <c r="M125">
        <v>3.17</v>
      </c>
      <c r="N125">
        <v>11574.01</v>
      </c>
      <c r="O125">
        <v>1.23</v>
      </c>
      <c r="P125">
        <v>0</v>
      </c>
      <c r="Q125">
        <v>12.21</v>
      </c>
      <c r="R125">
        <v>4.13</v>
      </c>
      <c r="S125">
        <f t="shared" si="26"/>
        <v>1403.7194117647059</v>
      </c>
    </row>
    <row r="126" spans="1:19" s="112" customFormat="1" x14ac:dyDescent="0.25">
      <c r="A126" s="112" t="s">
        <v>656</v>
      </c>
      <c r="S126" t="str">
        <f t="shared" si="26"/>
        <v/>
      </c>
    </row>
    <row r="127" spans="1:19" x14ac:dyDescent="0.25">
      <c r="A127" t="s">
        <v>641</v>
      </c>
      <c r="B127">
        <v>2.2225000000000001</v>
      </c>
      <c r="C127">
        <v>61.155000000000001</v>
      </c>
      <c r="D127">
        <v>27.0825</v>
      </c>
      <c r="E127">
        <v>3.5249999999999999</v>
      </c>
      <c r="F127">
        <v>2.6150000000000002</v>
      </c>
      <c r="G127">
        <v>2.6300000000000003</v>
      </c>
      <c r="H127">
        <v>33159.915000000001</v>
      </c>
      <c r="I127">
        <v>18.64</v>
      </c>
      <c r="J127">
        <v>6.22</v>
      </c>
      <c r="K127">
        <v>5.9049999999999994</v>
      </c>
      <c r="L127">
        <v>4.51</v>
      </c>
      <c r="M127">
        <v>4.3625000000000007</v>
      </c>
      <c r="N127">
        <v>2.3524999999999996</v>
      </c>
      <c r="O127">
        <v>2.9949999999999997</v>
      </c>
      <c r="P127">
        <v>16.88</v>
      </c>
      <c r="Q127">
        <v>18.8125</v>
      </c>
      <c r="R127">
        <v>1.5200000000000002</v>
      </c>
      <c r="S127">
        <f t="shared" si="26"/>
        <v>1961.2554411764709</v>
      </c>
    </row>
    <row r="128" spans="1:19" x14ac:dyDescent="0.25">
      <c r="A128" t="s">
        <v>642</v>
      </c>
      <c r="B128">
        <v>1.2266666666666666</v>
      </c>
      <c r="C128">
        <v>48.6</v>
      </c>
      <c r="D128">
        <v>21.193333333333332</v>
      </c>
      <c r="E128">
        <v>4.46</v>
      </c>
      <c r="F128">
        <v>1.1533333333333333</v>
      </c>
      <c r="G128">
        <v>1.0233333333333334</v>
      </c>
      <c r="H128">
        <v>19974.27</v>
      </c>
      <c r="I128">
        <v>11.469999999999999</v>
      </c>
      <c r="J128">
        <v>7.42</v>
      </c>
      <c r="K128">
        <v>1.57</v>
      </c>
      <c r="L128">
        <v>1.35</v>
      </c>
      <c r="M128">
        <v>1.2666666666666666</v>
      </c>
      <c r="N128">
        <v>2.48</v>
      </c>
      <c r="O128">
        <v>2.3733333333333335</v>
      </c>
      <c r="P128">
        <v>6.0333333333333341</v>
      </c>
      <c r="Q128">
        <v>6.080000000000001</v>
      </c>
      <c r="R128">
        <v>0</v>
      </c>
      <c r="S128">
        <f t="shared" si="26"/>
        <v>1181.880588235294</v>
      </c>
    </row>
    <row r="129" spans="1:19" x14ac:dyDescent="0.25">
      <c r="A129" t="s">
        <v>643</v>
      </c>
      <c r="B129">
        <v>3.0300000000000002</v>
      </c>
      <c r="C129">
        <v>26.450000000000003</v>
      </c>
      <c r="D129">
        <v>21.560000000000002</v>
      </c>
      <c r="E129">
        <v>0.86</v>
      </c>
      <c r="F129">
        <v>2.4350000000000001</v>
      </c>
      <c r="G129">
        <v>1.405</v>
      </c>
      <c r="H129">
        <v>166.26499999999999</v>
      </c>
      <c r="I129">
        <v>58.290000000000006</v>
      </c>
      <c r="J129">
        <v>0</v>
      </c>
      <c r="K129">
        <v>4.5250000000000004</v>
      </c>
      <c r="L129">
        <v>8.0850000000000009</v>
      </c>
      <c r="M129">
        <v>3.8150000000000004</v>
      </c>
      <c r="N129">
        <v>1.5</v>
      </c>
      <c r="O129">
        <v>1.1800000000000002</v>
      </c>
      <c r="P129">
        <v>0</v>
      </c>
      <c r="Q129">
        <v>7.9550000000000001</v>
      </c>
      <c r="R129">
        <v>1.1100000000000001</v>
      </c>
      <c r="S129">
        <f t="shared" si="26"/>
        <v>18.145</v>
      </c>
    </row>
    <row r="130" spans="1:19" x14ac:dyDescent="0.25">
      <c r="A130" t="s">
        <v>644</v>
      </c>
      <c r="B130">
        <v>1.57</v>
      </c>
      <c r="C130">
        <v>24.95</v>
      </c>
      <c r="D130">
        <v>115.3</v>
      </c>
      <c r="E130">
        <v>1.58</v>
      </c>
      <c r="F130">
        <v>6.44</v>
      </c>
      <c r="G130">
        <v>0.90999999999999992</v>
      </c>
      <c r="H130">
        <v>2554.81</v>
      </c>
      <c r="I130">
        <v>38.549999999999997</v>
      </c>
      <c r="J130">
        <v>7.49</v>
      </c>
      <c r="K130">
        <v>19.580000000000002</v>
      </c>
      <c r="L130">
        <v>15.83</v>
      </c>
      <c r="M130">
        <v>6.5</v>
      </c>
      <c r="N130">
        <v>1.1200000000000001</v>
      </c>
      <c r="O130">
        <v>0.8</v>
      </c>
      <c r="P130">
        <v>4.71</v>
      </c>
      <c r="Q130">
        <v>8.1999999999999993</v>
      </c>
      <c r="R130">
        <v>0.89</v>
      </c>
      <c r="S130">
        <f t="shared" si="26"/>
        <v>165.24882352941174</v>
      </c>
    </row>
    <row r="131" spans="1:19" x14ac:dyDescent="0.25">
      <c r="A131" t="s">
        <v>188</v>
      </c>
      <c r="B131">
        <v>7.87</v>
      </c>
      <c r="C131">
        <v>184.87</v>
      </c>
      <c r="D131">
        <v>342.74</v>
      </c>
      <c r="E131">
        <v>1.24</v>
      </c>
      <c r="F131">
        <v>9.34</v>
      </c>
      <c r="G131">
        <v>2888.8300000000004</v>
      </c>
      <c r="H131">
        <v>76.56</v>
      </c>
      <c r="I131">
        <v>9544.66</v>
      </c>
      <c r="J131">
        <v>24.46</v>
      </c>
      <c r="K131">
        <v>13.709999999999999</v>
      </c>
      <c r="L131">
        <v>258.23</v>
      </c>
      <c r="M131">
        <v>33.85</v>
      </c>
      <c r="N131">
        <v>2062.52</v>
      </c>
      <c r="O131">
        <v>2</v>
      </c>
      <c r="P131" t="s">
        <v>4</v>
      </c>
      <c r="Q131">
        <v>42.51</v>
      </c>
      <c r="R131">
        <v>20.68</v>
      </c>
      <c r="S131">
        <f t="shared" si="26"/>
        <v>969.62937499999998</v>
      </c>
    </row>
  </sheetData>
  <conditionalFormatting sqref="A65:CD74 A41:U51 BE41:XFD51 A54:A58">
    <cfRule type="cellIs" dxfId="15" priority="11" operator="lessThan">
      <formula>1</formula>
    </cfRule>
    <cfRule type="cellIs" dxfId="14" priority="12" operator="greaterThan">
      <formula>1</formula>
    </cfRule>
  </conditionalFormatting>
  <conditionalFormatting sqref="A76:CD76 A78:A82">
    <cfRule type="cellIs" dxfId="13" priority="9" operator="lessThan">
      <formula>1</formula>
    </cfRule>
  </conditionalFormatting>
  <conditionalFormatting sqref="A76:CD76">
    <cfRule type="cellIs" dxfId="12" priority="10" operator="greaterThan">
      <formula>1</formula>
    </cfRule>
  </conditionalFormatting>
  <conditionalFormatting sqref="A78:CD82">
    <cfRule type="cellIs" dxfId="11" priority="8" operator="greaterThan">
      <formula>1</formula>
    </cfRule>
  </conditionalFormatting>
  <conditionalFormatting sqref="A65:XFD74 A76:XFD76 A78:XFD82">
    <cfRule type="cellIs" dxfId="10" priority="4" operator="lessThan">
      <formula>1</formula>
    </cfRule>
    <cfRule type="cellIs" dxfId="9" priority="5" operator="greaterThan">
      <formula>1</formula>
    </cfRule>
  </conditionalFormatting>
  <conditionalFormatting sqref="B99:R109 B112:R112 B114:R118">
    <cfRule type="cellIs" dxfId="8" priority="6" operator="lessThan">
      <formula>1</formula>
    </cfRule>
    <cfRule type="cellIs" dxfId="7" priority="7" operator="greaterThan">
      <formula>1</formula>
    </cfRule>
  </conditionalFormatting>
  <conditionalFormatting sqref="B52:U52">
    <cfRule type="cellIs" dxfId="6" priority="1" operator="greaterThan">
      <formula>6</formula>
    </cfRule>
  </conditionalFormatting>
  <conditionalFormatting sqref="S121:S125">
    <cfRule type="cellIs" dxfId="5" priority="2" operator="lessThan">
      <formula>$S$127</formula>
    </cfRule>
    <cfRule type="cellIs" dxfId="4" priority="3" operator="greaterThan">
      <formula>$S$127</formula>
    </cfRule>
  </conditionalFormatting>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A7CB-CEAE-4DD4-B1E6-B297CE966A42}">
  <dimension ref="A1:Z66"/>
  <sheetViews>
    <sheetView workbookViewId="0">
      <pane ySplit="1" topLeftCell="A2" activePane="bottomLeft" state="frozen"/>
      <selection activeCell="B1" sqref="B1"/>
      <selection pane="bottomLeft" activeCell="S4" sqref="S4"/>
    </sheetView>
  </sheetViews>
  <sheetFormatPr defaultRowHeight="13.8" x14ac:dyDescent="0.25"/>
  <cols>
    <col min="1" max="1" width="17.59765625" customWidth="1"/>
    <col min="2" max="2" width="13.8984375" customWidth="1"/>
    <col min="4" max="4" width="2.5" customWidth="1"/>
    <col min="5" max="5" width="12.09765625" customWidth="1"/>
    <col min="7" max="7" width="4.3984375" customWidth="1"/>
    <col min="8" max="8" width="3.296875" customWidth="1"/>
    <col min="10" max="10" width="1.8984375" customWidth="1"/>
    <col min="11" max="11" width="1.59765625" customWidth="1"/>
    <col min="14" max="14" width="17.69921875" customWidth="1"/>
    <col min="15" max="15" width="8.796875" style="49"/>
    <col min="16" max="16" width="2.59765625" customWidth="1"/>
    <col min="17" max="17" width="2.69921875" customWidth="1"/>
    <col min="18" max="18" width="8.59765625" customWidth="1"/>
    <col min="20" max="20" width="10.8984375" customWidth="1"/>
    <col min="21" max="21" width="2.09765625" customWidth="1"/>
    <col min="22" max="22" width="9" customWidth="1"/>
    <col min="23" max="23" width="10.796875" customWidth="1"/>
  </cols>
  <sheetData>
    <row r="1" spans="1:26" x14ac:dyDescent="0.25">
      <c r="A1" t="s">
        <v>477</v>
      </c>
      <c r="B1" s="32" t="s">
        <v>448</v>
      </c>
      <c r="C1" s="32" t="s">
        <v>478</v>
      </c>
      <c r="D1" s="32" t="s">
        <v>479</v>
      </c>
      <c r="E1" s="32" t="s">
        <v>480</v>
      </c>
      <c r="F1" s="32" t="s">
        <v>450</v>
      </c>
      <c r="G1" s="32" t="s">
        <v>481</v>
      </c>
      <c r="H1" s="32" t="s">
        <v>482</v>
      </c>
      <c r="I1" s="32" t="s">
        <v>483</v>
      </c>
      <c r="J1" s="32" t="s">
        <v>484</v>
      </c>
      <c r="K1" s="32" t="s">
        <v>485</v>
      </c>
      <c r="L1" s="32" t="s">
        <v>486</v>
      </c>
      <c r="M1" s="32" t="s">
        <v>487</v>
      </c>
      <c r="N1" s="32" t="s">
        <v>539</v>
      </c>
      <c r="R1" s="71" t="s">
        <v>480</v>
      </c>
      <c r="S1" s="32" t="s">
        <v>450</v>
      </c>
      <c r="T1" s="32" t="s">
        <v>481</v>
      </c>
      <c r="U1" s="32" t="s">
        <v>482</v>
      </c>
      <c r="V1" s="32" t="s">
        <v>483</v>
      </c>
      <c r="W1" s="32" t="s">
        <v>484</v>
      </c>
      <c r="X1" s="32" t="s">
        <v>485</v>
      </c>
      <c r="Y1" s="32" t="s">
        <v>542</v>
      </c>
      <c r="Z1" s="32"/>
    </row>
    <row r="2" spans="1:26" ht="26.4" x14ac:dyDescent="0.25">
      <c r="A2" t="s">
        <v>256</v>
      </c>
      <c r="B2" t="s">
        <v>256</v>
      </c>
      <c r="C2">
        <v>227.33</v>
      </c>
      <c r="D2">
        <v>3.9000000000000002E-9</v>
      </c>
      <c r="E2">
        <v>2.98</v>
      </c>
      <c r="F2">
        <v>316</v>
      </c>
      <c r="G2">
        <v>0</v>
      </c>
      <c r="I2">
        <v>200</v>
      </c>
      <c r="J2" t="s">
        <v>494</v>
      </c>
      <c r="K2" t="s">
        <v>495</v>
      </c>
      <c r="L2">
        <v>62</v>
      </c>
      <c r="M2">
        <v>62</v>
      </c>
      <c r="N2" t="s">
        <v>543</v>
      </c>
      <c r="O2" s="95" t="s">
        <v>254</v>
      </c>
      <c r="P2" s="95">
        <v>1</v>
      </c>
      <c r="Q2">
        <v>0</v>
      </c>
      <c r="R2" s="49" t="s">
        <v>544</v>
      </c>
    </row>
    <row r="3" spans="1:26" ht="26.4" x14ac:dyDescent="0.25">
      <c r="A3" t="s">
        <v>263</v>
      </c>
      <c r="B3" t="s">
        <v>263</v>
      </c>
      <c r="C3">
        <v>194.29</v>
      </c>
      <c r="D3">
        <v>1.1000000000000001E-11</v>
      </c>
      <c r="E3">
        <v>-7.0000000000000007E-2</v>
      </c>
      <c r="F3">
        <f>AVERAGE(741, 7762,71)</f>
        <v>2858</v>
      </c>
      <c r="G3">
        <v>0</v>
      </c>
      <c r="H3" t="s">
        <v>503</v>
      </c>
      <c r="I3">
        <v>2800</v>
      </c>
      <c r="N3" t="s">
        <v>472</v>
      </c>
      <c r="O3" s="95" t="s">
        <v>594</v>
      </c>
      <c r="P3" s="95">
        <v>1</v>
      </c>
      <c r="Q3">
        <v>0</v>
      </c>
      <c r="R3" s="49"/>
    </row>
    <row r="4" spans="1:26" ht="26.4" x14ac:dyDescent="0.25">
      <c r="A4" t="s">
        <v>267</v>
      </c>
      <c r="B4" t="s">
        <v>267</v>
      </c>
      <c r="C4">
        <v>191.19</v>
      </c>
      <c r="D4">
        <v>1.5000000000000001E-12</v>
      </c>
      <c r="E4">
        <v>1.52</v>
      </c>
      <c r="F4">
        <f>AVERAGE(122.3,2805)</f>
        <v>1463.65</v>
      </c>
      <c r="G4">
        <v>0</v>
      </c>
      <c r="H4">
        <v>4.29</v>
      </c>
      <c r="I4">
        <v>8</v>
      </c>
      <c r="J4" t="s">
        <v>505</v>
      </c>
      <c r="K4" t="s">
        <v>501</v>
      </c>
      <c r="M4">
        <v>500</v>
      </c>
      <c r="N4" t="s">
        <v>472</v>
      </c>
      <c r="O4" s="95" t="s">
        <v>595</v>
      </c>
      <c r="P4" s="95">
        <v>1</v>
      </c>
      <c r="Q4">
        <v>0</v>
      </c>
      <c r="R4" s="49"/>
    </row>
    <row r="5" spans="1:26" x14ac:dyDescent="0.25">
      <c r="A5" t="s">
        <v>273</v>
      </c>
      <c r="B5" t="s">
        <v>273</v>
      </c>
      <c r="C5">
        <v>304.35000000000002</v>
      </c>
      <c r="D5">
        <v>1.17E-7</v>
      </c>
      <c r="E5">
        <v>3.81</v>
      </c>
      <c r="F5">
        <v>609</v>
      </c>
      <c r="G5">
        <v>0</v>
      </c>
      <c r="H5">
        <v>2.6</v>
      </c>
      <c r="I5">
        <v>60</v>
      </c>
      <c r="J5" t="s">
        <v>498</v>
      </c>
      <c r="K5" t="s">
        <v>501</v>
      </c>
      <c r="L5" t="s">
        <v>512</v>
      </c>
      <c r="M5">
        <v>35</v>
      </c>
      <c r="N5" t="s">
        <v>472</v>
      </c>
      <c r="O5" s="95" t="s">
        <v>596</v>
      </c>
      <c r="P5" s="95">
        <v>1</v>
      </c>
      <c r="Q5">
        <v>0</v>
      </c>
      <c r="R5" s="49"/>
    </row>
    <row r="6" spans="1:26" x14ac:dyDescent="0.25">
      <c r="A6" t="s">
        <v>297</v>
      </c>
      <c r="B6" t="s">
        <v>297</v>
      </c>
      <c r="C6">
        <v>283.79000000000002</v>
      </c>
      <c r="D6">
        <v>8.9999999999999995E-9</v>
      </c>
      <c r="E6">
        <v>3.13</v>
      </c>
      <c r="F6">
        <v>120</v>
      </c>
      <c r="G6">
        <v>1</v>
      </c>
      <c r="I6">
        <v>530</v>
      </c>
      <c r="J6" t="s">
        <v>525</v>
      </c>
      <c r="K6" t="s">
        <v>514</v>
      </c>
      <c r="L6" t="s">
        <v>526</v>
      </c>
      <c r="M6">
        <v>78</v>
      </c>
      <c r="N6" t="s">
        <v>472</v>
      </c>
      <c r="O6" s="95" t="s">
        <v>263</v>
      </c>
      <c r="P6" s="95">
        <v>1</v>
      </c>
      <c r="Q6">
        <v>0</v>
      </c>
      <c r="R6" s="49"/>
    </row>
    <row r="7" spans="1:26" ht="39.6" x14ac:dyDescent="0.25">
      <c r="A7" s="29" t="s">
        <v>311</v>
      </c>
      <c r="B7" t="s">
        <v>311</v>
      </c>
      <c r="C7">
        <v>188.27</v>
      </c>
      <c r="D7">
        <v>1.4800000000000001E-9</v>
      </c>
      <c r="E7">
        <v>1.1200000000000001</v>
      </c>
      <c r="F7">
        <v>100</v>
      </c>
      <c r="G7">
        <v>0</v>
      </c>
      <c r="H7">
        <v>9.5</v>
      </c>
      <c r="I7">
        <v>900000</v>
      </c>
      <c r="J7" t="s">
        <v>493</v>
      </c>
      <c r="K7" t="s">
        <v>499</v>
      </c>
      <c r="L7" t="s">
        <v>531</v>
      </c>
      <c r="M7">
        <v>1500</v>
      </c>
      <c r="N7" t="s">
        <v>472</v>
      </c>
      <c r="O7" s="95" t="s">
        <v>163</v>
      </c>
      <c r="P7" s="95">
        <v>1</v>
      </c>
      <c r="Q7">
        <v>1</v>
      </c>
      <c r="R7" s="49"/>
    </row>
    <row r="8" spans="1:26" ht="26.4" x14ac:dyDescent="0.25">
      <c r="A8" t="s">
        <v>319</v>
      </c>
      <c r="B8" t="s">
        <v>319</v>
      </c>
      <c r="C8">
        <v>201.66</v>
      </c>
      <c r="D8">
        <v>9.4000000000000006E-10</v>
      </c>
      <c r="E8">
        <v>2.1800000000000002</v>
      </c>
      <c r="F8">
        <v>130</v>
      </c>
      <c r="G8">
        <v>1</v>
      </c>
      <c r="H8">
        <v>1.62</v>
      </c>
      <c r="I8">
        <v>5</v>
      </c>
      <c r="J8" t="s">
        <v>534</v>
      </c>
      <c r="K8" t="s">
        <v>514</v>
      </c>
      <c r="L8">
        <v>24</v>
      </c>
      <c r="M8">
        <v>384</v>
      </c>
      <c r="N8" t="s">
        <v>472</v>
      </c>
      <c r="O8" s="95" t="s">
        <v>597</v>
      </c>
      <c r="P8" s="95">
        <v>1</v>
      </c>
      <c r="Q8">
        <v>0</v>
      </c>
      <c r="R8" s="72">
        <f>AVERAGE(E3:E9)</f>
        <v>2.2042857142857146</v>
      </c>
      <c r="S8" s="44">
        <f>AVERAGE(F2:F9)</f>
        <v>1003.58125</v>
      </c>
      <c r="T8">
        <f>AVERAGE(G3:G9)</f>
        <v>0.2857142857142857</v>
      </c>
      <c r="U8">
        <f>AVERAGE(H3:H9)</f>
        <v>4.4620000000000006</v>
      </c>
      <c r="V8" s="44">
        <f>AVERAGE(I2:I6,I8:I9)</f>
        <v>518.28571428571433</v>
      </c>
      <c r="W8" t="e">
        <f>AVERAGE(J3:J9)</f>
        <v>#DIV/0!</v>
      </c>
      <c r="X8" t="e">
        <f>AVERAGE(K3:K9)</f>
        <v>#DIV/0!</v>
      </c>
      <c r="Y8" s="44">
        <f>AVERAGE(M2:M9)</f>
        <v>369.85714285714283</v>
      </c>
    </row>
    <row r="9" spans="1:26" ht="26.4" x14ac:dyDescent="0.25">
      <c r="A9" t="s">
        <v>325</v>
      </c>
      <c r="B9" t="s">
        <v>325</v>
      </c>
      <c r="C9">
        <v>241.36</v>
      </c>
      <c r="D9">
        <v>1.15E-8</v>
      </c>
      <c r="E9">
        <v>3.74</v>
      </c>
      <c r="F9">
        <v>2432</v>
      </c>
      <c r="G9">
        <v>0</v>
      </c>
      <c r="H9">
        <v>4.3</v>
      </c>
      <c r="I9">
        <v>25</v>
      </c>
      <c r="J9" t="s">
        <v>537</v>
      </c>
      <c r="K9" t="s">
        <v>514</v>
      </c>
      <c r="L9" t="s">
        <v>538</v>
      </c>
      <c r="M9">
        <v>30</v>
      </c>
      <c r="N9" t="s">
        <v>472</v>
      </c>
      <c r="O9" s="95" t="s">
        <v>271</v>
      </c>
      <c r="P9" s="95">
        <v>1</v>
      </c>
      <c r="Q9">
        <v>1</v>
      </c>
      <c r="R9" s="49">
        <f t="shared" ref="R9:Y9" si="0">_xlfn.STDEV.P(E3:E9)</f>
        <v>1.3422034883286629</v>
      </c>
      <c r="S9">
        <f t="shared" si="0"/>
        <v>1078.3179667653599</v>
      </c>
      <c r="T9">
        <f t="shared" si="0"/>
        <v>0.45175395145262565</v>
      </c>
      <c r="U9">
        <f t="shared" si="0"/>
        <v>2.7196058537957293</v>
      </c>
      <c r="V9">
        <f t="shared" si="0"/>
        <v>314735.86999824317</v>
      </c>
      <c r="W9" t="e">
        <f t="shared" si="0"/>
        <v>#DIV/0!</v>
      </c>
      <c r="X9" t="e">
        <f t="shared" si="0"/>
        <v>#DIV/0!</v>
      </c>
      <c r="Y9">
        <f t="shared" si="0"/>
        <v>0</v>
      </c>
    </row>
    <row r="10" spans="1:26" ht="26.4" x14ac:dyDescent="0.25">
      <c r="A10" t="s">
        <v>254</v>
      </c>
      <c r="B10" t="s">
        <v>254</v>
      </c>
      <c r="C10">
        <v>222.67</v>
      </c>
      <c r="D10">
        <v>6.9199999999999998E-8</v>
      </c>
      <c r="E10">
        <v>0.8</v>
      </c>
      <c r="F10">
        <v>200</v>
      </c>
      <c r="G10">
        <v>1</v>
      </c>
      <c r="H10">
        <v>0.7</v>
      </c>
      <c r="I10">
        <v>4250</v>
      </c>
      <c r="J10" t="s">
        <v>489</v>
      </c>
      <c r="K10" t="s">
        <v>490</v>
      </c>
      <c r="L10" t="s">
        <v>491</v>
      </c>
      <c r="M10" t="s">
        <v>492</v>
      </c>
      <c r="N10" t="s">
        <v>473</v>
      </c>
      <c r="O10" s="95" t="s">
        <v>598</v>
      </c>
      <c r="P10" s="95">
        <v>1</v>
      </c>
      <c r="Q10">
        <v>0</v>
      </c>
      <c r="R10" s="49"/>
    </row>
    <row r="11" spans="1:26" ht="26.4" x14ac:dyDescent="0.25">
      <c r="A11" s="30" t="s">
        <v>257</v>
      </c>
      <c r="B11" t="s">
        <v>257</v>
      </c>
      <c r="C11">
        <v>215.68</v>
      </c>
      <c r="D11">
        <v>2.6000000000000001E-9</v>
      </c>
      <c r="E11">
        <v>2.61</v>
      </c>
      <c r="F11">
        <v>100</v>
      </c>
      <c r="G11">
        <v>1</v>
      </c>
      <c r="I11">
        <v>35</v>
      </c>
      <c r="J11" t="s">
        <v>496</v>
      </c>
      <c r="K11" t="s">
        <v>495</v>
      </c>
      <c r="L11">
        <v>30</v>
      </c>
      <c r="M11">
        <v>35</v>
      </c>
      <c r="N11" t="s">
        <v>473</v>
      </c>
      <c r="O11" s="95" t="s">
        <v>599</v>
      </c>
      <c r="P11" s="95">
        <v>1</v>
      </c>
      <c r="Q11">
        <v>0</v>
      </c>
      <c r="R11" s="49"/>
    </row>
    <row r="12" spans="1:26" ht="26.4" x14ac:dyDescent="0.25">
      <c r="A12" t="s">
        <v>260</v>
      </c>
      <c r="B12" t="s">
        <v>260</v>
      </c>
      <c r="C12">
        <v>403.4</v>
      </c>
      <c r="D12">
        <v>7.3000000000000004E-14</v>
      </c>
      <c r="E12">
        <v>2.5</v>
      </c>
      <c r="F12">
        <v>589</v>
      </c>
      <c r="G12">
        <v>0</v>
      </c>
      <c r="I12">
        <v>6.7</v>
      </c>
      <c r="J12" t="s">
        <v>498</v>
      </c>
      <c r="K12" t="s">
        <v>499</v>
      </c>
      <c r="L12">
        <v>116</v>
      </c>
      <c r="M12">
        <v>353</v>
      </c>
      <c r="N12" t="s">
        <v>473</v>
      </c>
      <c r="O12" s="95" t="s">
        <v>600</v>
      </c>
      <c r="P12" s="95">
        <v>1</v>
      </c>
      <c r="Q12">
        <v>0</v>
      </c>
      <c r="R12" s="49"/>
      <c r="Y12" t="s">
        <v>593</v>
      </c>
    </row>
    <row r="13" spans="1:26" ht="26.4" x14ac:dyDescent="0.25">
      <c r="A13" s="30" t="s">
        <v>261</v>
      </c>
      <c r="B13" t="s">
        <v>261</v>
      </c>
      <c r="C13">
        <v>361.8</v>
      </c>
      <c r="G13">
        <v>1</v>
      </c>
      <c r="I13" t="s">
        <v>545</v>
      </c>
      <c r="N13" t="s">
        <v>473</v>
      </c>
      <c r="O13" s="95" t="s">
        <v>601</v>
      </c>
      <c r="P13" s="95">
        <v>1</v>
      </c>
      <c r="Q13">
        <v>0</v>
      </c>
      <c r="R13" s="94">
        <f>AVERAGE(E6:E12)</f>
        <v>2.2971428571428567</v>
      </c>
      <c r="S13" s="41">
        <f>AVERAGE(F5:F12)</f>
        <v>535</v>
      </c>
      <c r="T13">
        <f>AVERAGE(G6:G12)</f>
        <v>0.5714285714285714</v>
      </c>
      <c r="U13">
        <f>AVERAGE(H6:H12)</f>
        <v>4.03</v>
      </c>
      <c r="V13" s="41">
        <f>AVERAGE(I5:I9,I11:I12)</f>
        <v>128665.95714285714</v>
      </c>
      <c r="W13" t="e">
        <f>AVERAGE(J6:J12)</f>
        <v>#DIV/0!</v>
      </c>
      <c r="X13" t="e">
        <f>AVERAGE(K6:K12)</f>
        <v>#DIV/0!</v>
      </c>
      <c r="Y13" s="41">
        <f>AVERAGE(M5:M12)</f>
        <v>345</v>
      </c>
    </row>
    <row r="14" spans="1:26" x14ac:dyDescent="0.25">
      <c r="A14" t="s">
        <v>262</v>
      </c>
      <c r="B14" t="s">
        <v>262</v>
      </c>
      <c r="C14">
        <v>343.2</v>
      </c>
      <c r="D14">
        <v>5.1700000000000003E-5</v>
      </c>
      <c r="E14">
        <v>2.96</v>
      </c>
      <c r="F14">
        <v>9500</v>
      </c>
      <c r="G14">
        <v>2</v>
      </c>
      <c r="I14">
        <v>4.5999999999999996</v>
      </c>
      <c r="J14" t="s">
        <v>500</v>
      </c>
      <c r="K14" t="s">
        <v>501</v>
      </c>
      <c r="L14">
        <v>96</v>
      </c>
      <c r="M14">
        <v>484</v>
      </c>
      <c r="N14" t="s">
        <v>473</v>
      </c>
      <c r="O14" s="95" t="s">
        <v>602</v>
      </c>
      <c r="P14" s="95">
        <v>1</v>
      </c>
      <c r="Q14">
        <v>0</v>
      </c>
      <c r="R14" s="49">
        <f t="shared" ref="R14:Y14" si="1">_xlfn.STDEV.P(E6:E12)</f>
        <v>0.96771770213239849</v>
      </c>
      <c r="S14">
        <f t="shared" si="1"/>
        <v>795.31374889641734</v>
      </c>
      <c r="T14">
        <f t="shared" si="1"/>
        <v>0.49487165930539351</v>
      </c>
      <c r="U14">
        <f t="shared" si="1"/>
        <v>3.4238428702263768</v>
      </c>
      <c r="V14">
        <f t="shared" si="1"/>
        <v>314654.71254611196</v>
      </c>
      <c r="W14" t="e">
        <f t="shared" si="1"/>
        <v>#DIV/0!</v>
      </c>
      <c r="X14" t="e">
        <f t="shared" si="1"/>
        <v>#DIV/0!</v>
      </c>
      <c r="Y14">
        <f t="shared" si="1"/>
        <v>42.026446699931959</v>
      </c>
    </row>
    <row r="15" spans="1:26" ht="27.6" x14ac:dyDescent="0.25">
      <c r="A15" s="43" t="s">
        <v>163</v>
      </c>
      <c r="N15" t="s">
        <v>473</v>
      </c>
      <c r="O15" s="95" t="s">
        <v>603</v>
      </c>
      <c r="P15" s="95">
        <v>1</v>
      </c>
      <c r="Q15">
        <v>0</v>
      </c>
      <c r="R15" s="49"/>
    </row>
    <row r="16" spans="1:26" ht="39.6" x14ac:dyDescent="0.25">
      <c r="A16" s="30" t="s">
        <v>270</v>
      </c>
      <c r="B16" t="s">
        <v>270</v>
      </c>
      <c r="C16">
        <v>483.1</v>
      </c>
      <c r="D16">
        <v>1.4E-21</v>
      </c>
      <c r="E16">
        <v>2.76</v>
      </c>
      <c r="F16">
        <v>362</v>
      </c>
      <c r="G16">
        <v>3</v>
      </c>
      <c r="H16">
        <v>10.88</v>
      </c>
      <c r="I16">
        <v>0.8</v>
      </c>
      <c r="J16" t="s">
        <v>509</v>
      </c>
      <c r="K16" t="s">
        <v>502</v>
      </c>
      <c r="L16">
        <v>597</v>
      </c>
      <c r="M16">
        <v>597</v>
      </c>
      <c r="N16" t="s">
        <v>473</v>
      </c>
      <c r="O16" s="95" t="s">
        <v>281</v>
      </c>
      <c r="P16" s="95">
        <v>1</v>
      </c>
      <c r="Q16">
        <v>0</v>
      </c>
      <c r="R16" s="49"/>
    </row>
    <row r="17" spans="1:25" ht="26.4" x14ac:dyDescent="0.25">
      <c r="A17" t="s">
        <v>271</v>
      </c>
      <c r="B17" t="s">
        <v>271</v>
      </c>
      <c r="C17">
        <v>291.77</v>
      </c>
      <c r="D17">
        <v>7.1000000000000003E-10</v>
      </c>
      <c r="E17">
        <v>2.9</v>
      </c>
      <c r="F17">
        <v>900</v>
      </c>
      <c r="G17">
        <v>1</v>
      </c>
      <c r="I17">
        <v>93</v>
      </c>
      <c r="J17" t="s">
        <v>511</v>
      </c>
      <c r="K17" t="s">
        <v>501</v>
      </c>
      <c r="L17">
        <v>142</v>
      </c>
      <c r="M17">
        <v>129</v>
      </c>
      <c r="N17" t="s">
        <v>473</v>
      </c>
      <c r="O17" s="95" t="s">
        <v>604</v>
      </c>
      <c r="P17" s="95">
        <v>1</v>
      </c>
      <c r="Q17">
        <v>0</v>
      </c>
      <c r="R17" s="49"/>
      <c r="S17" t="s">
        <v>549</v>
      </c>
    </row>
    <row r="18" spans="1:25" ht="15" x14ac:dyDescent="0.35">
      <c r="A18" s="30" t="s">
        <v>274</v>
      </c>
      <c r="B18" t="s">
        <v>274</v>
      </c>
      <c r="C18" s="68">
        <v>296.10000000000002</v>
      </c>
      <c r="D18" s="68" t="s">
        <v>546</v>
      </c>
      <c r="E18">
        <v>4.51</v>
      </c>
      <c r="F18">
        <v>245</v>
      </c>
      <c r="G18">
        <v>2</v>
      </c>
      <c r="I18" s="67">
        <v>2</v>
      </c>
      <c r="J18" s="69">
        <v>2.37</v>
      </c>
      <c r="L18" t="s">
        <v>547</v>
      </c>
      <c r="M18">
        <v>0</v>
      </c>
      <c r="N18" t="s">
        <v>473</v>
      </c>
      <c r="O18" s="95" t="s">
        <v>605</v>
      </c>
      <c r="P18" s="95">
        <v>1</v>
      </c>
      <c r="Q18">
        <v>1</v>
      </c>
      <c r="R18" s="49"/>
    </row>
    <row r="19" spans="1:25" x14ac:dyDescent="0.25">
      <c r="A19" s="31" t="s">
        <v>276</v>
      </c>
      <c r="B19" t="s">
        <v>276</v>
      </c>
      <c r="C19">
        <v>406.3</v>
      </c>
      <c r="D19">
        <v>8.8999999999999996E-12</v>
      </c>
      <c r="E19">
        <v>4.4000000000000004</v>
      </c>
      <c r="F19">
        <f>AVERAGE(3200,7734)</f>
        <v>5467</v>
      </c>
      <c r="G19">
        <v>2</v>
      </c>
      <c r="H19">
        <v>1.07</v>
      </c>
      <c r="I19">
        <v>15</v>
      </c>
      <c r="J19" t="s">
        <v>513</v>
      </c>
      <c r="K19" t="s">
        <v>510</v>
      </c>
      <c r="L19">
        <v>1</v>
      </c>
      <c r="M19">
        <v>3</v>
      </c>
      <c r="N19" t="s">
        <v>473</v>
      </c>
      <c r="O19" s="95" t="s">
        <v>606</v>
      </c>
      <c r="P19" s="95">
        <v>1</v>
      </c>
      <c r="Q19">
        <v>0</v>
      </c>
      <c r="R19" s="49"/>
    </row>
    <row r="20" spans="1:25" x14ac:dyDescent="0.25">
      <c r="A20" s="30" t="s">
        <v>277</v>
      </c>
      <c r="B20" t="s">
        <v>277</v>
      </c>
      <c r="C20">
        <v>394.3</v>
      </c>
      <c r="D20">
        <v>3.2500000000000001E-7</v>
      </c>
      <c r="E20">
        <v>4.9000000000000004</v>
      </c>
      <c r="F20">
        <v>5504</v>
      </c>
      <c r="G20">
        <v>5</v>
      </c>
      <c r="I20">
        <v>0.05</v>
      </c>
      <c r="M20">
        <v>94.5</v>
      </c>
      <c r="N20" t="s">
        <v>473</v>
      </c>
      <c r="O20" s="95" t="s">
        <v>607</v>
      </c>
      <c r="P20" s="95">
        <v>1</v>
      </c>
      <c r="Q20">
        <v>1</v>
      </c>
      <c r="R20" s="49"/>
    </row>
    <row r="21" spans="1:25" ht="26.4" x14ac:dyDescent="0.25">
      <c r="A21" t="s">
        <v>279</v>
      </c>
      <c r="B21" t="s">
        <v>279</v>
      </c>
      <c r="C21">
        <v>233.09</v>
      </c>
      <c r="D21">
        <v>5.0400000000000002E-10</v>
      </c>
      <c r="E21">
        <v>2.68</v>
      </c>
      <c r="F21">
        <v>680</v>
      </c>
      <c r="G21">
        <v>2</v>
      </c>
      <c r="I21">
        <v>35.6</v>
      </c>
      <c r="J21" t="s">
        <v>500</v>
      </c>
      <c r="K21" t="s">
        <v>514</v>
      </c>
      <c r="L21" t="s">
        <v>516</v>
      </c>
      <c r="M21">
        <v>146</v>
      </c>
      <c r="N21" t="s">
        <v>473</v>
      </c>
      <c r="O21" s="95" t="s">
        <v>608</v>
      </c>
      <c r="P21" s="95">
        <v>1</v>
      </c>
      <c r="Q21">
        <v>1</v>
      </c>
      <c r="R21" s="49"/>
    </row>
    <row r="22" spans="1:25" ht="26.4" x14ac:dyDescent="0.25">
      <c r="A22" t="s">
        <v>281</v>
      </c>
      <c r="B22" t="s">
        <v>518</v>
      </c>
      <c r="C22">
        <v>319.36</v>
      </c>
      <c r="N22" t="s">
        <v>473</v>
      </c>
      <c r="O22" s="95" t="s">
        <v>609</v>
      </c>
      <c r="P22" s="95">
        <v>1</v>
      </c>
      <c r="Q22">
        <v>0</v>
      </c>
      <c r="R22" s="49"/>
    </row>
    <row r="23" spans="1:25" ht="26.4" x14ac:dyDescent="0.25">
      <c r="A23" t="s">
        <v>548</v>
      </c>
      <c r="B23" t="s">
        <v>288</v>
      </c>
      <c r="C23">
        <v>255.66</v>
      </c>
      <c r="D23">
        <v>1.65E-15</v>
      </c>
      <c r="E23">
        <v>0.56999999999999995</v>
      </c>
      <c r="F23">
        <f>AVERAGE(156,800)</f>
        <v>478</v>
      </c>
      <c r="G23">
        <v>1</v>
      </c>
      <c r="H23">
        <v>11.2</v>
      </c>
      <c r="I23">
        <v>610</v>
      </c>
      <c r="J23" t="s">
        <v>498</v>
      </c>
      <c r="K23" t="s">
        <v>514</v>
      </c>
      <c r="L23" t="s">
        <v>520</v>
      </c>
      <c r="M23">
        <v>190</v>
      </c>
      <c r="N23" t="s">
        <v>473</v>
      </c>
      <c r="O23" s="95" t="s">
        <v>304</v>
      </c>
      <c r="P23" s="95">
        <v>1</v>
      </c>
      <c r="Q23">
        <v>0</v>
      </c>
      <c r="R23" s="49"/>
    </row>
    <row r="24" spans="1:25" ht="26.4" x14ac:dyDescent="0.25">
      <c r="A24" t="s">
        <v>293</v>
      </c>
      <c r="B24" t="s">
        <v>293</v>
      </c>
      <c r="C24">
        <v>279.33</v>
      </c>
      <c r="D24">
        <v>3E-9</v>
      </c>
      <c r="E24">
        <v>1.65</v>
      </c>
      <c r="F24">
        <v>162</v>
      </c>
      <c r="G24">
        <v>0</v>
      </c>
      <c r="H24" t="s">
        <v>507</v>
      </c>
      <c r="I24">
        <v>8400</v>
      </c>
      <c r="J24" t="s">
        <v>508</v>
      </c>
      <c r="K24" t="s">
        <v>499</v>
      </c>
      <c r="L24">
        <v>6</v>
      </c>
      <c r="M24">
        <v>40</v>
      </c>
      <c r="N24" t="s">
        <v>473</v>
      </c>
      <c r="O24" s="95" t="s">
        <v>610</v>
      </c>
      <c r="P24" s="95">
        <v>1</v>
      </c>
      <c r="Q24">
        <v>0</v>
      </c>
      <c r="R24" s="49"/>
    </row>
    <row r="25" spans="1:25" ht="26.4" x14ac:dyDescent="0.25">
      <c r="A25" t="s">
        <v>302</v>
      </c>
      <c r="B25" t="s">
        <v>302</v>
      </c>
      <c r="C25">
        <v>345.2</v>
      </c>
      <c r="D25">
        <v>7.0000000000000005E-8</v>
      </c>
      <c r="E25">
        <v>4.8</v>
      </c>
      <c r="F25">
        <v>3200</v>
      </c>
      <c r="G25">
        <v>2</v>
      </c>
      <c r="H25" t="s">
        <v>507</v>
      </c>
      <c r="I25">
        <v>0.56999999999999995</v>
      </c>
      <c r="J25" t="s">
        <v>527</v>
      </c>
      <c r="K25" t="s">
        <v>523</v>
      </c>
      <c r="L25" t="s">
        <v>528</v>
      </c>
      <c r="M25">
        <v>502</v>
      </c>
      <c r="N25" t="s">
        <v>473</v>
      </c>
      <c r="O25" s="95" t="s">
        <v>313</v>
      </c>
      <c r="P25" s="95">
        <v>1</v>
      </c>
      <c r="Q25">
        <v>1</v>
      </c>
      <c r="R25" s="49"/>
    </row>
    <row r="26" spans="1:25" ht="26.4" x14ac:dyDescent="0.25">
      <c r="A26" t="s">
        <v>304</v>
      </c>
      <c r="B26" t="s">
        <v>304</v>
      </c>
      <c r="C26">
        <v>284.18</v>
      </c>
      <c r="D26">
        <v>6.5136935603256802E-9</v>
      </c>
      <c r="G26">
        <v>2</v>
      </c>
      <c r="H26" t="s">
        <v>529</v>
      </c>
      <c r="I26">
        <v>93</v>
      </c>
      <c r="K26" t="s">
        <v>499</v>
      </c>
      <c r="L26">
        <v>89</v>
      </c>
      <c r="M26">
        <v>117</v>
      </c>
      <c r="N26" t="s">
        <v>473</v>
      </c>
      <c r="O26" s="95" t="s">
        <v>611</v>
      </c>
      <c r="P26" s="95">
        <v>1</v>
      </c>
      <c r="Q26">
        <v>1</v>
      </c>
      <c r="R26" s="49"/>
    </row>
    <row r="27" spans="1:25" x14ac:dyDescent="0.25">
      <c r="A27" t="s">
        <v>305</v>
      </c>
      <c r="B27" t="s">
        <v>305</v>
      </c>
      <c r="C27">
        <v>281.31</v>
      </c>
      <c r="D27">
        <v>8.5600000000000004E-7</v>
      </c>
      <c r="E27">
        <v>5.2</v>
      </c>
      <c r="F27">
        <f>17491</f>
        <v>17491</v>
      </c>
      <c r="G27">
        <v>0</v>
      </c>
      <c r="H27">
        <v>2.8</v>
      </c>
      <c r="I27">
        <v>0.33</v>
      </c>
      <c r="J27" t="s">
        <v>530</v>
      </c>
      <c r="K27" t="s">
        <v>499</v>
      </c>
      <c r="L27">
        <v>90</v>
      </c>
      <c r="M27">
        <v>120</v>
      </c>
      <c r="N27" t="s">
        <v>473</v>
      </c>
      <c r="O27" s="95" t="s">
        <v>612</v>
      </c>
      <c r="P27" s="95">
        <v>1</v>
      </c>
      <c r="Q27">
        <v>0</v>
      </c>
      <c r="R27" s="49"/>
    </row>
    <row r="28" spans="1:25" ht="26.4" x14ac:dyDescent="0.25">
      <c r="A28" t="s">
        <v>315</v>
      </c>
      <c r="B28" t="s">
        <v>315</v>
      </c>
      <c r="C28">
        <v>256.12</v>
      </c>
      <c r="D28">
        <v>1.9E-6</v>
      </c>
      <c r="E28">
        <v>3.43</v>
      </c>
      <c r="F28">
        <v>840</v>
      </c>
      <c r="G28">
        <v>2</v>
      </c>
      <c r="H28">
        <v>10.38</v>
      </c>
      <c r="I28">
        <v>9</v>
      </c>
      <c r="J28" t="s">
        <v>533</v>
      </c>
      <c r="K28" t="s">
        <v>499</v>
      </c>
      <c r="L28">
        <v>50</v>
      </c>
      <c r="M28">
        <v>50</v>
      </c>
      <c r="N28" t="s">
        <v>473</v>
      </c>
      <c r="O28" s="95" t="s">
        <v>613</v>
      </c>
      <c r="P28" s="95">
        <v>1</v>
      </c>
      <c r="Q28">
        <v>0</v>
      </c>
      <c r="R28" s="49"/>
    </row>
    <row r="29" spans="1:25" ht="26.4" x14ac:dyDescent="0.25">
      <c r="A29" t="s">
        <v>323</v>
      </c>
      <c r="B29" t="s">
        <v>323</v>
      </c>
      <c r="C29">
        <v>307.82</v>
      </c>
      <c r="D29">
        <v>1.4499999999999999E-10</v>
      </c>
      <c r="E29">
        <v>3.7</v>
      </c>
      <c r="F29">
        <f>AVERAGE(470,6000)</f>
        <v>3235</v>
      </c>
      <c r="G29">
        <v>1</v>
      </c>
      <c r="H29">
        <v>2.2999999999999998</v>
      </c>
      <c r="I29">
        <v>36</v>
      </c>
      <c r="J29" t="s">
        <v>535</v>
      </c>
      <c r="K29" t="s">
        <v>490</v>
      </c>
      <c r="L29">
        <v>47</v>
      </c>
      <c r="M29">
        <v>365</v>
      </c>
      <c r="N29" t="s">
        <v>473</v>
      </c>
      <c r="O29" s="95" t="s">
        <v>326</v>
      </c>
      <c r="P29" s="95">
        <v>1</v>
      </c>
      <c r="Q29">
        <v>1</v>
      </c>
      <c r="R29" s="72">
        <f t="shared" ref="R29:X29" si="2">AVERAGE(E10:E30)</f>
        <v>3.1529411764705877</v>
      </c>
      <c r="S29" s="44">
        <f t="shared" si="2"/>
        <v>2905.8352941176468</v>
      </c>
      <c r="T29">
        <f t="shared" si="2"/>
        <v>1.4736842105263157</v>
      </c>
      <c r="U29">
        <f t="shared" si="2"/>
        <v>6.2287499999999998</v>
      </c>
      <c r="V29" s="44">
        <f t="shared" si="2"/>
        <v>774.25833333333333</v>
      </c>
      <c r="W29">
        <f t="shared" si="2"/>
        <v>2.37</v>
      </c>
      <c r="X29" t="e">
        <f t="shared" si="2"/>
        <v>#DIV/0!</v>
      </c>
      <c r="Y29" s="44">
        <f>AVERAGE(M10:M30)</f>
        <v>192.26470588235293</v>
      </c>
    </row>
    <row r="30" spans="1:25" ht="26.4" x14ac:dyDescent="0.25">
      <c r="A30" t="s">
        <v>282</v>
      </c>
      <c r="B30" t="s">
        <v>282</v>
      </c>
      <c r="C30">
        <v>303.36</v>
      </c>
      <c r="D30">
        <v>8.9999999999999995E-9</v>
      </c>
      <c r="E30">
        <v>3.23</v>
      </c>
      <c r="F30">
        <v>446.2</v>
      </c>
      <c r="G30">
        <v>0</v>
      </c>
      <c r="H30">
        <v>10.5</v>
      </c>
      <c r="I30">
        <v>345</v>
      </c>
      <c r="J30" t="s">
        <v>517</v>
      </c>
      <c r="K30" t="s">
        <v>514</v>
      </c>
      <c r="L30">
        <v>2.1</v>
      </c>
      <c r="M30">
        <v>43</v>
      </c>
      <c r="N30" t="s">
        <v>541</v>
      </c>
      <c r="O30" s="95" t="s">
        <v>328</v>
      </c>
      <c r="P30" s="95">
        <v>1</v>
      </c>
      <c r="Q30">
        <v>0</v>
      </c>
      <c r="R30" s="49">
        <f t="shared" ref="R30:X30" si="3">_xlfn.STDEV.P(E11:E31)</f>
        <v>1.1852224471106465</v>
      </c>
      <c r="S30">
        <f t="shared" si="3"/>
        <v>4440.4780213699851</v>
      </c>
      <c r="T30">
        <f t="shared" si="3"/>
        <v>1.1862555441668048</v>
      </c>
      <c r="U30">
        <f t="shared" si="3"/>
        <v>4.3303131809255992</v>
      </c>
      <c r="V30">
        <f t="shared" si="3"/>
        <v>1912.3774835593235</v>
      </c>
      <c r="W30">
        <f t="shared" si="3"/>
        <v>0</v>
      </c>
      <c r="X30" t="e">
        <f t="shared" si="3"/>
        <v>#DIV/0!</v>
      </c>
      <c r="Y30">
        <f>_xlfn.STDEV.P(M11:M31)</f>
        <v>186.34961746887447</v>
      </c>
    </row>
    <row r="31" spans="1:25" ht="26.4" x14ac:dyDescent="0.25">
      <c r="A31" s="30" t="s">
        <v>278</v>
      </c>
      <c r="B31" t="s">
        <v>278</v>
      </c>
      <c r="C31">
        <v>387.9</v>
      </c>
      <c r="D31">
        <v>1.0000000000000001E-15</v>
      </c>
      <c r="E31">
        <v>2.68</v>
      </c>
      <c r="F31">
        <v>5690</v>
      </c>
      <c r="G31">
        <v>1</v>
      </c>
      <c r="I31">
        <v>28.95</v>
      </c>
      <c r="J31" t="s">
        <v>515</v>
      </c>
      <c r="N31" t="s">
        <v>540</v>
      </c>
      <c r="O31" s="95" t="s">
        <v>253</v>
      </c>
      <c r="P31" s="95">
        <v>2</v>
      </c>
      <c r="Q31">
        <v>0</v>
      </c>
      <c r="R31" s="49"/>
    </row>
    <row r="32" spans="1:25" x14ac:dyDescent="0.25">
      <c r="A32" s="41" t="s">
        <v>253</v>
      </c>
      <c r="B32" t="s">
        <v>253</v>
      </c>
      <c r="C32">
        <v>151.16</v>
      </c>
      <c r="D32">
        <v>8.9300000000000002E-10</v>
      </c>
      <c r="E32">
        <v>0.46</v>
      </c>
      <c r="F32">
        <v>21</v>
      </c>
      <c r="G32">
        <v>0</v>
      </c>
      <c r="H32">
        <v>9.3800000000000008</v>
      </c>
      <c r="I32">
        <v>14000</v>
      </c>
      <c r="J32" t="s">
        <v>488</v>
      </c>
      <c r="L32">
        <v>13</v>
      </c>
      <c r="M32">
        <v>40</v>
      </c>
      <c r="N32" t="s">
        <v>474</v>
      </c>
      <c r="O32" s="95" t="s">
        <v>614</v>
      </c>
      <c r="P32" s="95">
        <v>2</v>
      </c>
      <c r="Q32">
        <v>0</v>
      </c>
      <c r="R32" s="49"/>
      <c r="Y32" t="s">
        <v>593</v>
      </c>
    </row>
    <row r="33" spans="1:25" ht="26.4" x14ac:dyDescent="0.25">
      <c r="A33" t="s">
        <v>258</v>
      </c>
      <c r="B33" t="s">
        <v>258</v>
      </c>
      <c r="C33">
        <v>187.63</v>
      </c>
      <c r="D33">
        <v>1.5E-9</v>
      </c>
      <c r="E33">
        <v>1.51</v>
      </c>
      <c r="G33">
        <v>1</v>
      </c>
      <c r="J33" t="s">
        <v>493</v>
      </c>
      <c r="L33" t="s">
        <v>497</v>
      </c>
      <c r="M33">
        <v>0</v>
      </c>
      <c r="N33" t="s">
        <v>474</v>
      </c>
      <c r="O33" s="95" t="s">
        <v>615</v>
      </c>
      <c r="P33" s="95">
        <v>2</v>
      </c>
      <c r="Q33">
        <v>0</v>
      </c>
      <c r="R33" s="94">
        <f>AVERAGE(E14:E34)</f>
        <v>3.0788235294117645</v>
      </c>
      <c r="S33" s="41">
        <f>AVERAGE(F14:F34)</f>
        <v>3388.8249999999998</v>
      </c>
      <c r="T33">
        <f t="shared" ref="T33" si="4">AVERAGE(G14:G34)</f>
        <v>1.4736842105263157</v>
      </c>
      <c r="U33">
        <f>AVERAGE(H14:H34)</f>
        <v>7.3137499999999998</v>
      </c>
      <c r="V33" s="41">
        <f>AVERAGE(I14:I34)</f>
        <v>1392.5823529411766</v>
      </c>
      <c r="W33">
        <f>AVERAGE(J14:J34)</f>
        <v>2.37</v>
      </c>
      <c r="X33" t="e">
        <f t="shared" ref="X33" si="5">AVERAGE(K14:K34)</f>
        <v>#DIV/0!</v>
      </c>
      <c r="Y33" s="41">
        <f>AVERAGE(M14:M34)</f>
        <v>171.79411764705881</v>
      </c>
    </row>
    <row r="34" spans="1:25" ht="39.6" x14ac:dyDescent="0.25">
      <c r="A34" s="32" t="s">
        <v>259</v>
      </c>
      <c r="B34" t="s">
        <v>259</v>
      </c>
      <c r="C34">
        <v>173.6</v>
      </c>
      <c r="E34" s="44"/>
      <c r="G34">
        <v>1</v>
      </c>
      <c r="N34" t="s">
        <v>474</v>
      </c>
      <c r="O34" s="95" t="s">
        <v>616</v>
      </c>
      <c r="P34" s="95">
        <v>2</v>
      </c>
      <c r="Q34">
        <v>0</v>
      </c>
      <c r="R34" s="49">
        <f t="shared" ref="R34" si="6">_xlfn.STDEV.P(E15:E35)</f>
        <v>1.4056896249881434</v>
      </c>
      <c r="S34">
        <f>_xlfn.STDEV.P(F15:F35)</f>
        <v>4288.1785366866434</v>
      </c>
      <c r="T34">
        <f t="shared" ref="T34" si="7">_xlfn.STDEV.P(G15:G35)</f>
        <v>1.2120791238484128</v>
      </c>
      <c r="U34">
        <f t="shared" ref="U34" si="8">_xlfn.STDEV.P(H15:H35)</f>
        <v>4.1252361674818099</v>
      </c>
      <c r="V34">
        <f t="shared" ref="V34" si="9">_xlfn.STDEV.P(I15:I35)</f>
        <v>3711.0097401285288</v>
      </c>
      <c r="W34">
        <f t="shared" ref="W34" si="10">_xlfn.STDEV.P(J15:J35)</f>
        <v>0</v>
      </c>
      <c r="X34" t="e">
        <f t="shared" ref="X34" si="11">_xlfn.STDEV.P(K15:K35)</f>
        <v>#DIV/0!</v>
      </c>
      <c r="Y34">
        <f>_xlfn.STDEV.P(M15:M35)</f>
        <v>174.86405154701609</v>
      </c>
    </row>
    <row r="35" spans="1:25" x14ac:dyDescent="0.25">
      <c r="A35" t="s">
        <v>264</v>
      </c>
      <c r="B35" t="s">
        <v>264</v>
      </c>
      <c r="C35">
        <v>236.27</v>
      </c>
      <c r="D35">
        <v>1.08E-7</v>
      </c>
      <c r="E35">
        <v>2.4500000000000002</v>
      </c>
      <c r="F35">
        <v>510</v>
      </c>
      <c r="H35" t="s">
        <v>504</v>
      </c>
      <c r="I35">
        <v>1.6999999999999999E-3</v>
      </c>
      <c r="L35">
        <v>63</v>
      </c>
      <c r="N35" t="s">
        <v>474</v>
      </c>
      <c r="O35" s="95" t="s">
        <v>617</v>
      </c>
      <c r="P35" s="95">
        <v>2</v>
      </c>
      <c r="Q35">
        <v>0</v>
      </c>
      <c r="R35" s="49"/>
    </row>
    <row r="36" spans="1:25" ht="39.6" x14ac:dyDescent="0.25">
      <c r="A36" s="43" t="s">
        <v>265</v>
      </c>
      <c r="N36" t="s">
        <v>474</v>
      </c>
      <c r="O36" s="95" t="s">
        <v>618</v>
      </c>
      <c r="P36" s="95">
        <v>2</v>
      </c>
      <c r="Q36">
        <v>0</v>
      </c>
      <c r="R36" s="49"/>
    </row>
    <row r="37" spans="1:25" ht="26.4" x14ac:dyDescent="0.25">
      <c r="A37" s="30" t="s">
        <v>165</v>
      </c>
      <c r="N37" t="s">
        <v>474</v>
      </c>
      <c r="O37" s="95" t="s">
        <v>264</v>
      </c>
      <c r="P37" s="95">
        <v>2</v>
      </c>
      <c r="Q37">
        <v>0</v>
      </c>
      <c r="R37" s="49"/>
    </row>
    <row r="38" spans="1:25" ht="52.8" x14ac:dyDescent="0.25">
      <c r="A38" t="s">
        <v>284</v>
      </c>
      <c r="B38" t="s">
        <v>284</v>
      </c>
      <c r="C38">
        <v>232.2</v>
      </c>
      <c r="D38">
        <v>2.6000000000000001E-9</v>
      </c>
      <c r="E38">
        <v>2.42</v>
      </c>
      <c r="F38">
        <f>AVERAGE(29,173)</f>
        <v>101</v>
      </c>
      <c r="G38">
        <v>3</v>
      </c>
      <c r="H38" t="s">
        <v>507</v>
      </c>
      <c r="I38">
        <v>111</v>
      </c>
      <c r="J38" t="s">
        <v>493</v>
      </c>
      <c r="K38" t="s">
        <v>514</v>
      </c>
      <c r="L38">
        <v>10</v>
      </c>
      <c r="M38">
        <v>171</v>
      </c>
      <c r="N38" t="s">
        <v>474</v>
      </c>
      <c r="O38" s="95" t="s">
        <v>265</v>
      </c>
      <c r="P38" s="95">
        <v>2</v>
      </c>
      <c r="Q38">
        <v>0</v>
      </c>
      <c r="R38" s="49"/>
    </row>
    <row r="39" spans="1:25" ht="39.6" x14ac:dyDescent="0.25">
      <c r="A39" t="s">
        <v>290</v>
      </c>
      <c r="B39" t="s">
        <v>290</v>
      </c>
      <c r="C39">
        <v>256.08999999999997</v>
      </c>
      <c r="D39" t="s">
        <v>521</v>
      </c>
      <c r="E39">
        <v>2.57</v>
      </c>
      <c r="F39">
        <v>1900</v>
      </c>
      <c r="G39">
        <v>2</v>
      </c>
      <c r="H39" t="s">
        <v>522</v>
      </c>
      <c r="I39">
        <v>170</v>
      </c>
      <c r="N39" t="s">
        <v>474</v>
      </c>
      <c r="O39" s="95" t="s">
        <v>442</v>
      </c>
      <c r="P39" s="95">
        <v>2</v>
      </c>
      <c r="Q39">
        <v>0</v>
      </c>
      <c r="R39" s="49"/>
    </row>
    <row r="40" spans="1:25" ht="26.4" x14ac:dyDescent="0.25">
      <c r="A40" t="s">
        <v>296</v>
      </c>
      <c r="B40" t="s">
        <v>296</v>
      </c>
      <c r="C40">
        <v>368.5</v>
      </c>
      <c r="D40">
        <v>3.8399999999999998E-12</v>
      </c>
      <c r="E40">
        <v>3.7</v>
      </c>
      <c r="F40">
        <v>402</v>
      </c>
      <c r="G40">
        <v>0</v>
      </c>
      <c r="H40">
        <v>12.2</v>
      </c>
      <c r="I40">
        <v>3.3</v>
      </c>
      <c r="J40" t="s">
        <v>506</v>
      </c>
      <c r="K40" t="s">
        <v>502</v>
      </c>
      <c r="L40" t="s">
        <v>524</v>
      </c>
      <c r="M40">
        <v>456</v>
      </c>
      <c r="N40" t="s">
        <v>474</v>
      </c>
      <c r="O40" s="95" t="s">
        <v>619</v>
      </c>
      <c r="P40" s="95">
        <v>2</v>
      </c>
      <c r="Q40">
        <v>1</v>
      </c>
      <c r="R40" s="49"/>
    </row>
    <row r="41" spans="1:25" ht="26.4" x14ac:dyDescent="0.25">
      <c r="A41" t="s">
        <v>309</v>
      </c>
      <c r="B41" t="s">
        <v>309</v>
      </c>
      <c r="C41">
        <v>241.36</v>
      </c>
      <c r="D41">
        <v>1.3200000000000001E-8</v>
      </c>
      <c r="E41">
        <v>3.51</v>
      </c>
      <c r="F41">
        <v>400</v>
      </c>
      <c r="G41">
        <v>0</v>
      </c>
      <c r="H41">
        <v>4.0999999999999996</v>
      </c>
      <c r="I41">
        <v>33</v>
      </c>
      <c r="K41" t="s">
        <v>514</v>
      </c>
      <c r="L41">
        <v>150</v>
      </c>
      <c r="M41">
        <v>360</v>
      </c>
      <c r="N41" t="s">
        <v>474</v>
      </c>
      <c r="O41" s="95" t="s">
        <v>620</v>
      </c>
      <c r="P41" s="95">
        <v>2</v>
      </c>
      <c r="Q41">
        <v>0</v>
      </c>
      <c r="R41" s="49"/>
    </row>
    <row r="42" spans="1:25" ht="26.4" x14ac:dyDescent="0.25">
      <c r="A42" s="29" t="s">
        <v>314</v>
      </c>
      <c r="B42" t="s">
        <v>314</v>
      </c>
      <c r="C42">
        <v>209.24</v>
      </c>
      <c r="D42" t="s">
        <v>532</v>
      </c>
      <c r="E42">
        <v>1.52</v>
      </c>
      <c r="F42">
        <v>30</v>
      </c>
      <c r="G42">
        <v>0</v>
      </c>
      <c r="I42">
        <v>1800</v>
      </c>
      <c r="J42">
        <v>80</v>
      </c>
      <c r="K42">
        <v>210</v>
      </c>
      <c r="L42">
        <v>79</v>
      </c>
      <c r="M42">
        <v>79</v>
      </c>
      <c r="N42" t="s">
        <v>474</v>
      </c>
      <c r="O42" s="95" t="s">
        <v>621</v>
      </c>
      <c r="P42" s="95">
        <v>2</v>
      </c>
      <c r="Q42">
        <v>1</v>
      </c>
      <c r="R42" s="49"/>
    </row>
    <row r="43" spans="1:25" ht="13.8" customHeight="1" x14ac:dyDescent="0.25">
      <c r="A43" t="s">
        <v>324</v>
      </c>
      <c r="B43" t="s">
        <v>324</v>
      </c>
      <c r="C43">
        <v>228.32</v>
      </c>
      <c r="D43">
        <v>1.2E-10</v>
      </c>
      <c r="E43">
        <v>1.79</v>
      </c>
      <c r="F43">
        <v>80</v>
      </c>
      <c r="G43">
        <v>0</v>
      </c>
      <c r="H43">
        <v>1.2</v>
      </c>
      <c r="I43">
        <v>2500</v>
      </c>
      <c r="J43" t="s">
        <v>536</v>
      </c>
      <c r="K43" t="s">
        <v>514</v>
      </c>
      <c r="M43">
        <v>1032</v>
      </c>
      <c r="N43" t="s">
        <v>474</v>
      </c>
      <c r="O43" s="95" t="s">
        <v>622</v>
      </c>
      <c r="P43" s="95">
        <v>2</v>
      </c>
      <c r="Q43">
        <v>0</v>
      </c>
      <c r="R43" s="49"/>
    </row>
    <row r="44" spans="1:25" ht="13.8" customHeight="1" x14ac:dyDescent="0.45">
      <c r="A44" t="s">
        <v>391</v>
      </c>
      <c r="B44" t="s">
        <v>391</v>
      </c>
      <c r="C44" s="65">
        <v>261.12</v>
      </c>
      <c r="D44" s="66">
        <v>1.2999999999999999E-10</v>
      </c>
      <c r="E44">
        <v>2.11</v>
      </c>
      <c r="F44">
        <v>32</v>
      </c>
      <c r="G44">
        <v>1</v>
      </c>
      <c r="I44" s="67">
        <v>815</v>
      </c>
      <c r="L44">
        <v>5429</v>
      </c>
      <c r="M44">
        <v>60</v>
      </c>
      <c r="N44" t="s">
        <v>474</v>
      </c>
      <c r="O44" s="95" t="s">
        <v>623</v>
      </c>
      <c r="P44" s="95">
        <v>2</v>
      </c>
      <c r="Q44">
        <v>0</v>
      </c>
      <c r="R44" s="72">
        <f>AVERAGE(E32:E35,E38:E45)</f>
        <v>2.3645454545454538</v>
      </c>
      <c r="S44" s="44">
        <f t="shared" ref="S44:X44" si="12">AVERAGE(F32:F45)</f>
        <v>687.6</v>
      </c>
      <c r="T44">
        <f t="shared" si="12"/>
        <v>0.72727272727272729</v>
      </c>
      <c r="U44">
        <f t="shared" si="12"/>
        <v>6.3559999999999999</v>
      </c>
      <c r="V44" s="44">
        <f t="shared" si="12"/>
        <v>2159.1446333333333</v>
      </c>
      <c r="W44">
        <f t="shared" si="12"/>
        <v>80</v>
      </c>
      <c r="X44">
        <f t="shared" si="12"/>
        <v>210</v>
      </c>
      <c r="Y44" s="44">
        <f>AVERAGE(M32:M45)</f>
        <v>274.75</v>
      </c>
    </row>
    <row r="45" spans="1:25" ht="26.4" x14ac:dyDescent="0.25">
      <c r="A45" t="s">
        <v>394</v>
      </c>
      <c r="B45" t="s">
        <v>394</v>
      </c>
      <c r="C45">
        <v>206.28</v>
      </c>
      <c r="D45">
        <v>1.4999999999999999E-7</v>
      </c>
      <c r="E45">
        <v>3.97</v>
      </c>
      <c r="F45">
        <v>3400</v>
      </c>
      <c r="G45">
        <v>0</v>
      </c>
      <c r="H45">
        <v>4.9000000000000004</v>
      </c>
      <c r="J45" t="s">
        <v>519</v>
      </c>
      <c r="N45" t="s">
        <v>474</v>
      </c>
      <c r="O45" s="95" t="s">
        <v>624</v>
      </c>
      <c r="P45" s="95">
        <v>2</v>
      </c>
      <c r="Q45">
        <v>1</v>
      </c>
      <c r="R45" s="49">
        <f t="shared" ref="R45:X45" si="13">_xlfn.STDEV.P((E32:E45))</f>
        <v>1.0086567452568136</v>
      </c>
      <c r="S45">
        <f t="shared" si="13"/>
        <v>1050.844060743553</v>
      </c>
      <c r="T45">
        <f t="shared" si="13"/>
        <v>0.96209138584166931</v>
      </c>
      <c r="U45">
        <f t="shared" si="13"/>
        <v>3.926594453212604</v>
      </c>
      <c r="V45">
        <f t="shared" si="13"/>
        <v>4271.8639694469794</v>
      </c>
      <c r="W45">
        <f t="shared" si="13"/>
        <v>0</v>
      </c>
      <c r="X45">
        <f t="shared" si="13"/>
        <v>0</v>
      </c>
      <c r="Y45">
        <f>_xlfn.STDEV.P((M32:M45))</f>
        <v>323.90999907381678</v>
      </c>
    </row>
    <row r="46" spans="1:25" ht="19.2" customHeight="1" x14ac:dyDescent="0.25">
      <c r="O46" s="95" t="s">
        <v>625</v>
      </c>
      <c r="P46" s="95">
        <v>2</v>
      </c>
      <c r="Q46">
        <v>0</v>
      </c>
      <c r="R46" s="49"/>
    </row>
    <row r="47" spans="1:25" x14ac:dyDescent="0.25">
      <c r="O47" s="95" t="s">
        <v>626</v>
      </c>
      <c r="P47" s="95">
        <v>2</v>
      </c>
      <c r="Q47">
        <v>0</v>
      </c>
      <c r="R47" s="49"/>
      <c r="Y47" t="s">
        <v>593</v>
      </c>
    </row>
    <row r="48" spans="1:25" ht="26.4" x14ac:dyDescent="0.25">
      <c r="O48" s="95" t="s">
        <v>627</v>
      </c>
      <c r="P48" s="95">
        <v>2</v>
      </c>
      <c r="Q48">
        <v>1</v>
      </c>
      <c r="R48" s="94">
        <f>AVERAGE(E36:E39,E42:E49)</f>
        <v>2.3966666666666669</v>
      </c>
      <c r="S48" s="41">
        <f t="shared" ref="S48" si="14">AVERAGE(F36:F49)</f>
        <v>793.125</v>
      </c>
      <c r="T48">
        <f t="shared" ref="T48" si="15">AVERAGE(G36:G49)</f>
        <v>0.75</v>
      </c>
      <c r="U48">
        <f t="shared" ref="U48" si="16">AVERAGE(H36:H49)</f>
        <v>5.6</v>
      </c>
      <c r="V48" s="41">
        <f t="shared" ref="V48" si="17">AVERAGE(I36:I49)</f>
        <v>776.0428571428572</v>
      </c>
      <c r="W48">
        <f t="shared" ref="W48" si="18">AVERAGE(J36:J49)</f>
        <v>80</v>
      </c>
      <c r="X48">
        <f t="shared" ref="X48" si="19">AVERAGE(K36:K49)</f>
        <v>210</v>
      </c>
      <c r="Y48" s="41">
        <f>AVERAGE(M36:M49)</f>
        <v>359.66666666666669</v>
      </c>
    </row>
    <row r="49" spans="15:25" x14ac:dyDescent="0.25">
      <c r="O49" s="95" t="s">
        <v>308</v>
      </c>
      <c r="P49" s="95">
        <v>2</v>
      </c>
      <c r="Q49">
        <v>1</v>
      </c>
      <c r="R49" s="49">
        <f t="shared" ref="R49" si="20">_xlfn.STDEV.P((E36:E49))</f>
        <v>0.86116835607214404</v>
      </c>
      <c r="S49">
        <f t="shared" ref="S49" si="21">_xlfn.STDEV.P((F36:F49))</f>
        <v>1144.4294907835083</v>
      </c>
      <c r="T49">
        <f t="shared" ref="T49" si="22">_xlfn.STDEV.P((G36:G49))</f>
        <v>1.0897247358851685</v>
      </c>
      <c r="U49">
        <f t="shared" ref="U49" si="23">_xlfn.STDEV.P((H36:H49))</f>
        <v>4.0515429159765786</v>
      </c>
      <c r="V49">
        <f t="shared" ref="V49" si="24">_xlfn.STDEV.P((I36:I49))</f>
        <v>924.3413312920145</v>
      </c>
      <c r="W49">
        <f t="shared" ref="W49" si="25">_xlfn.STDEV.P((J36:J49))</f>
        <v>0</v>
      </c>
      <c r="X49">
        <f t="shared" ref="X49" si="26">_xlfn.STDEV.P((K36:K49))</f>
        <v>0</v>
      </c>
      <c r="Y49">
        <f>_xlfn.STDEV.P((M36:M49))</f>
        <v>333.03686816260381</v>
      </c>
    </row>
    <row r="50" spans="15:25" ht="26.4" x14ac:dyDescent="0.25">
      <c r="O50" s="95" t="s">
        <v>628</v>
      </c>
      <c r="P50" s="95">
        <v>2</v>
      </c>
      <c r="Q50">
        <v>0</v>
      </c>
      <c r="R50" s="49"/>
    </row>
    <row r="51" spans="15:25" x14ac:dyDescent="0.25">
      <c r="O51" s="95" t="s">
        <v>629</v>
      </c>
      <c r="P51" s="95">
        <v>2</v>
      </c>
      <c r="Q51">
        <v>0</v>
      </c>
      <c r="R51" s="49"/>
    </row>
    <row r="52" spans="15:25" x14ac:dyDescent="0.25">
      <c r="O52" s="95" t="s">
        <v>314</v>
      </c>
      <c r="P52" s="95">
        <v>2</v>
      </c>
      <c r="Q52">
        <v>0</v>
      </c>
      <c r="R52" s="49"/>
    </row>
    <row r="53" spans="15:25" ht="26.4" x14ac:dyDescent="0.25">
      <c r="O53" s="95" t="s">
        <v>320</v>
      </c>
      <c r="P53" s="95">
        <v>2</v>
      </c>
      <c r="Q53">
        <v>1</v>
      </c>
      <c r="R53" s="49"/>
    </row>
    <row r="54" spans="15:25" ht="26.4" x14ac:dyDescent="0.25">
      <c r="O54" s="95" t="s">
        <v>321</v>
      </c>
      <c r="P54" s="95">
        <v>2</v>
      </c>
      <c r="Q54">
        <v>0</v>
      </c>
      <c r="R54" s="49"/>
    </row>
    <row r="55" spans="15:25" ht="26.4" x14ac:dyDescent="0.25">
      <c r="O55" s="95" t="s">
        <v>630</v>
      </c>
      <c r="P55" s="95">
        <v>2</v>
      </c>
      <c r="Q55">
        <v>1</v>
      </c>
      <c r="R55" s="49"/>
    </row>
    <row r="56" spans="15:25" x14ac:dyDescent="0.25">
      <c r="O56" s="95" t="s">
        <v>631</v>
      </c>
      <c r="P56" s="95">
        <v>3</v>
      </c>
      <c r="Q56">
        <v>0</v>
      </c>
      <c r="R56" s="49"/>
    </row>
    <row r="57" spans="15:25" ht="26.4" x14ac:dyDescent="0.25">
      <c r="O57" s="95" t="s">
        <v>632</v>
      </c>
      <c r="P57" s="95">
        <v>3</v>
      </c>
      <c r="Q57">
        <v>0</v>
      </c>
      <c r="R57" s="49"/>
    </row>
    <row r="58" spans="15:25" ht="26.4" x14ac:dyDescent="0.25">
      <c r="O58" s="95" t="s">
        <v>633</v>
      </c>
      <c r="P58" s="95">
        <v>3</v>
      </c>
      <c r="Q58">
        <v>1</v>
      </c>
      <c r="R58" s="49"/>
    </row>
    <row r="59" spans="15:25" x14ac:dyDescent="0.25">
      <c r="O59" s="95" t="s">
        <v>273</v>
      </c>
      <c r="P59" s="96">
        <v>3</v>
      </c>
      <c r="Q59">
        <v>0</v>
      </c>
      <c r="R59" s="49"/>
    </row>
    <row r="60" spans="15:25" x14ac:dyDescent="0.25">
      <c r="O60" s="95" t="s">
        <v>634</v>
      </c>
      <c r="P60" s="95">
        <v>3</v>
      </c>
      <c r="Q60">
        <v>1</v>
      </c>
      <c r="R60" s="49"/>
    </row>
    <row r="61" spans="15:25" ht="26.4" x14ac:dyDescent="0.25">
      <c r="O61" s="95" t="s">
        <v>635</v>
      </c>
      <c r="P61" s="95">
        <v>3</v>
      </c>
      <c r="Q61">
        <v>0</v>
      </c>
      <c r="R61" s="49"/>
    </row>
    <row r="62" spans="15:25" x14ac:dyDescent="0.25">
      <c r="O62" s="95" t="s">
        <v>636</v>
      </c>
      <c r="P62" s="95">
        <v>3</v>
      </c>
      <c r="Q62">
        <v>1</v>
      </c>
      <c r="R62" s="49"/>
    </row>
    <row r="63" spans="15:25" ht="26.4" x14ac:dyDescent="0.25">
      <c r="O63" s="95" t="s">
        <v>637</v>
      </c>
      <c r="P63" s="95">
        <v>3</v>
      </c>
      <c r="Q63">
        <v>1</v>
      </c>
      <c r="R63" s="49"/>
    </row>
    <row r="64" spans="15:25" ht="26.4" x14ac:dyDescent="0.25">
      <c r="O64" s="95" t="s">
        <v>311</v>
      </c>
      <c r="P64" s="95">
        <v>3</v>
      </c>
      <c r="Q64">
        <v>0</v>
      </c>
      <c r="R64" s="49"/>
    </row>
    <row r="65" spans="15:18" x14ac:dyDescent="0.25">
      <c r="O65" s="95" t="s">
        <v>638</v>
      </c>
      <c r="P65" s="95">
        <v>3</v>
      </c>
      <c r="Q65">
        <v>0</v>
      </c>
      <c r="R65" s="49"/>
    </row>
    <row r="66" spans="15:18" x14ac:dyDescent="0.25">
      <c r="O66" s="95" t="s">
        <v>325</v>
      </c>
      <c r="P66" s="95">
        <v>3</v>
      </c>
      <c r="Q66">
        <v>0</v>
      </c>
    </row>
  </sheetData>
  <sortState xmlns:xlrd2="http://schemas.microsoft.com/office/spreadsheetml/2017/richdata2" ref="A2:Y47">
    <sortCondition ref="N28:N47"/>
  </sortState>
  <phoneticPr fontId="30" type="noConversion"/>
  <conditionalFormatting sqref="J46">
    <cfRule type="containsText" dxfId="3" priority="15" operator="containsText" text="few">
      <formula>NOT(ISERROR(SEARCH("few",J46)))</formula>
    </cfRule>
    <cfRule type="containsText" dxfId="2" priority="16" operator="containsText" text="Forbidden">
      <formula>NOT(ISERROR(SEARCH("Forbidden",J46)))</formula>
    </cfRule>
    <cfRule type="containsText" dxfId="1" priority="17" operator="containsText" text="not">
      <formula>NOT(ISERROR(SEARCH("not",J46)))</formula>
    </cfRule>
  </conditionalFormatting>
  <conditionalFormatting sqref="P2:P66">
    <cfRule type="colorScale" priority="5">
      <colorScale>
        <cfvo type="min"/>
        <cfvo type="max"/>
        <color rgb="FF00B050"/>
        <color rgb="FFFF0066"/>
      </colorScale>
    </cfRule>
    <cfRule type="colorScale" priority="13">
      <colorScale>
        <cfvo type="min"/>
        <cfvo type="max"/>
        <color rgb="FF00B050"/>
        <color rgb="FFFF0066"/>
      </colorScale>
    </cfRule>
    <cfRule type="colorScale" priority="14">
      <colorScale>
        <cfvo type="min"/>
        <cfvo type="max"/>
        <color rgb="FF00B050"/>
        <color rgb="FFFF0066"/>
      </colorScale>
    </cfRule>
  </conditionalFormatting>
  <conditionalFormatting sqref="P30">
    <cfRule type="colorScale" priority="9">
      <colorScale>
        <cfvo type="min"/>
        <cfvo type="max"/>
        <color rgb="FF00B050"/>
        <color rgb="FFFF0066"/>
      </colorScale>
    </cfRule>
    <cfRule type="colorScale" priority="10">
      <colorScale>
        <cfvo type="min"/>
        <cfvo type="percentile" val="50"/>
        <cfvo type="max"/>
        <color rgb="FFF8696B"/>
        <color rgb="FFFFEB84"/>
        <color rgb="FF63BE7B"/>
      </colorScale>
    </cfRule>
  </conditionalFormatting>
  <conditionalFormatting sqref="P41">
    <cfRule type="colorScale" priority="6">
      <colorScale>
        <cfvo type="min"/>
        <cfvo type="max"/>
        <color rgb="FF00B050"/>
        <color rgb="FFFF0066"/>
      </colorScale>
    </cfRule>
    <cfRule type="colorScale" priority="7">
      <colorScale>
        <cfvo type="min"/>
        <cfvo type="max"/>
        <color rgb="FF00B050"/>
        <color rgb="FFFF0066"/>
      </colorScale>
    </cfRule>
    <cfRule type="colorScale" priority="8">
      <colorScale>
        <cfvo type="min"/>
        <cfvo type="percentile" val="50"/>
        <cfvo type="max"/>
        <color rgb="FFF8696B"/>
        <color rgb="FFFFEB84"/>
        <color rgb="FF63BE7B"/>
      </colorScale>
    </cfRule>
  </conditionalFormatting>
  <conditionalFormatting sqref="P42:P66 P2:P40">
    <cfRule type="colorScale" priority="11">
      <colorScale>
        <cfvo type="min"/>
        <cfvo type="max"/>
        <color rgb="FF00B050"/>
        <color rgb="FFFF0066"/>
      </colorScale>
    </cfRule>
    <cfRule type="colorScale" priority="12">
      <colorScale>
        <cfvo type="min"/>
        <cfvo type="percentile" val="50"/>
        <cfvo type="max"/>
        <color rgb="FFF8696B"/>
        <color rgb="FFFFEB84"/>
        <color rgb="FF63BE7B"/>
      </colorScale>
    </cfRule>
  </conditionalFormatting>
  <conditionalFormatting sqref="Q2:Q66">
    <cfRule type="colorScale" priority="1">
      <colorScale>
        <cfvo type="min"/>
        <cfvo type="max"/>
        <color rgb="FFFFCC66"/>
        <color rgb="FFCC6600"/>
      </colorScale>
    </cfRule>
    <cfRule type="colorScale" priority="3">
      <colorScale>
        <cfvo type="min"/>
        <cfvo type="max"/>
        <color rgb="FFCC6600"/>
        <color rgb="FFFFCC66"/>
      </colorScale>
    </cfRule>
    <cfRule type="colorScale" priority="4">
      <colorScale>
        <cfvo type="min"/>
        <cfvo type="max"/>
        <color rgb="FFCCCC00"/>
        <color rgb="FF669900"/>
      </colorScale>
    </cfRule>
  </conditionalFormatting>
  <conditionalFormatting sqref="Q19">
    <cfRule type="colorScale" priority="2">
      <colorScale>
        <cfvo type="min"/>
        <cfvo type="max"/>
        <color rgb="FFFFCC66"/>
        <color rgb="FFCC6600"/>
      </colorScale>
    </cfRule>
  </conditionalFormatting>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D3C76-241A-4675-BDC4-0BB237D301E6}">
  <dimension ref="A1:E107"/>
  <sheetViews>
    <sheetView topLeftCell="A13" workbookViewId="0">
      <selection activeCell="B19" sqref="B19"/>
    </sheetView>
  </sheetViews>
  <sheetFormatPr defaultRowHeight="13.8" x14ac:dyDescent="0.25"/>
  <sheetData>
    <row r="1" spans="1:5" x14ac:dyDescent="0.25">
      <c r="A1" t="s">
        <v>228</v>
      </c>
      <c r="C1" s="51"/>
    </row>
    <row r="2" spans="1:5" x14ac:dyDescent="0.25">
      <c r="A2" t="s">
        <v>243</v>
      </c>
      <c r="C2" s="51"/>
      <c r="E2" t="s">
        <v>568</v>
      </c>
    </row>
    <row r="3" spans="1:5" x14ac:dyDescent="0.25">
      <c r="A3" t="s">
        <v>231</v>
      </c>
      <c r="C3" s="51"/>
    </row>
    <row r="4" spans="1:5" x14ac:dyDescent="0.25">
      <c r="A4" t="s">
        <v>180</v>
      </c>
      <c r="C4" s="51"/>
    </row>
    <row r="5" spans="1:5" x14ac:dyDescent="0.25">
      <c r="A5" t="s">
        <v>181</v>
      </c>
      <c r="C5" s="51"/>
    </row>
    <row r="6" spans="1:5" x14ac:dyDescent="0.25">
      <c r="A6" t="s">
        <v>182</v>
      </c>
      <c r="C6" s="51"/>
    </row>
    <row r="7" spans="1:5" x14ac:dyDescent="0.25">
      <c r="A7" t="s">
        <v>183</v>
      </c>
      <c r="C7" s="51"/>
    </row>
    <row r="8" spans="1:5" x14ac:dyDescent="0.25">
      <c r="A8" t="s">
        <v>184</v>
      </c>
      <c r="C8" s="51"/>
    </row>
    <row r="9" spans="1:5" x14ac:dyDescent="0.25">
      <c r="A9" t="s">
        <v>185</v>
      </c>
      <c r="C9" s="51"/>
    </row>
    <row r="10" spans="1:5" x14ac:dyDescent="0.25">
      <c r="A10" t="s">
        <v>186</v>
      </c>
      <c r="C10" s="51"/>
    </row>
    <row r="11" spans="1:5" x14ac:dyDescent="0.25">
      <c r="A11" t="s">
        <v>187</v>
      </c>
      <c r="C11" s="51"/>
    </row>
    <row r="12" spans="1:5" x14ac:dyDescent="0.25">
      <c r="A12" t="s">
        <v>241</v>
      </c>
      <c r="C12" s="51"/>
    </row>
    <row r="13" spans="1:5" x14ac:dyDescent="0.25">
      <c r="A13" t="s">
        <v>244</v>
      </c>
      <c r="C13" s="51"/>
    </row>
    <row r="14" spans="1:5" x14ac:dyDescent="0.25">
      <c r="A14" t="s">
        <v>188</v>
      </c>
      <c r="C14" s="51"/>
    </row>
    <row r="15" spans="1:5" x14ac:dyDescent="0.25">
      <c r="A15" t="s">
        <v>179</v>
      </c>
      <c r="C15" s="51"/>
    </row>
    <row r="16" spans="1:5" x14ac:dyDescent="0.25">
      <c r="A16" t="s">
        <v>329</v>
      </c>
      <c r="C16" s="51"/>
    </row>
    <row r="17" spans="1:3" x14ac:dyDescent="0.25">
      <c r="A17" t="s">
        <v>232</v>
      </c>
      <c r="C17" s="51"/>
    </row>
    <row r="18" spans="1:3" x14ac:dyDescent="0.25">
      <c r="A18" t="s">
        <v>229</v>
      </c>
      <c r="C18" s="51"/>
    </row>
    <row r="19" spans="1:3" x14ac:dyDescent="0.25">
      <c r="A19" t="s">
        <v>415</v>
      </c>
      <c r="C19" s="51"/>
    </row>
    <row r="20" spans="1:3" x14ac:dyDescent="0.25">
      <c r="A20" t="s">
        <v>191</v>
      </c>
      <c r="C20" s="51"/>
    </row>
    <row r="21" spans="1:3" x14ac:dyDescent="0.25">
      <c r="A21" t="s">
        <v>189</v>
      </c>
      <c r="C21" s="51"/>
    </row>
    <row r="22" spans="1:3" x14ac:dyDescent="0.25">
      <c r="A22" t="s">
        <v>190</v>
      </c>
      <c r="C22" s="51"/>
    </row>
    <row r="23" spans="1:3" x14ac:dyDescent="0.25">
      <c r="A23" t="s">
        <v>192</v>
      </c>
      <c r="C23" s="51"/>
    </row>
    <row r="24" spans="1:3" x14ac:dyDescent="0.25">
      <c r="A24" t="s">
        <v>193</v>
      </c>
      <c r="C24" s="51"/>
    </row>
    <row r="25" spans="1:3" x14ac:dyDescent="0.25">
      <c r="A25" t="s">
        <v>194</v>
      </c>
      <c r="C25" s="51"/>
    </row>
    <row r="26" spans="1:3" x14ac:dyDescent="0.25">
      <c r="A26" t="s">
        <v>240</v>
      </c>
      <c r="C26" s="51"/>
    </row>
    <row r="27" spans="1:3" x14ac:dyDescent="0.25">
      <c r="A27" t="s">
        <v>248</v>
      </c>
      <c r="C27" s="51"/>
    </row>
    <row r="28" spans="1:3" x14ac:dyDescent="0.25">
      <c r="A28" t="s">
        <v>195</v>
      </c>
      <c r="C28" s="51"/>
    </row>
    <row r="29" spans="1:3" x14ac:dyDescent="0.25">
      <c r="A29" t="s">
        <v>196</v>
      </c>
      <c r="C29" s="51"/>
    </row>
    <row r="30" spans="1:3" x14ac:dyDescent="0.25">
      <c r="A30" t="s">
        <v>197</v>
      </c>
      <c r="C30" s="51"/>
    </row>
    <row r="31" spans="1:3" x14ac:dyDescent="0.25">
      <c r="A31" t="s">
        <v>198</v>
      </c>
      <c r="C31" s="51"/>
    </row>
    <row r="32" spans="1:3" x14ac:dyDescent="0.25">
      <c r="A32" t="s">
        <v>199</v>
      </c>
      <c r="C32" s="51"/>
    </row>
    <row r="33" spans="1:3" x14ac:dyDescent="0.25">
      <c r="A33" t="s">
        <v>331</v>
      </c>
      <c r="C33" s="51"/>
    </row>
    <row r="34" spans="1:3" x14ac:dyDescent="0.25">
      <c r="A34" t="s">
        <v>203</v>
      </c>
      <c r="C34" s="51"/>
    </row>
    <row r="35" spans="1:3" x14ac:dyDescent="0.25">
      <c r="A35" t="s">
        <v>202</v>
      </c>
      <c r="C35" s="51"/>
    </row>
    <row r="36" spans="1:3" x14ac:dyDescent="0.25">
      <c r="A36" t="s">
        <v>201</v>
      </c>
      <c r="C36" s="51"/>
    </row>
    <row r="37" spans="1:3" x14ac:dyDescent="0.25">
      <c r="A37" t="s">
        <v>200</v>
      </c>
      <c r="C37" s="51"/>
    </row>
    <row r="38" spans="1:3" x14ac:dyDescent="0.25">
      <c r="A38" t="s">
        <v>333</v>
      </c>
      <c r="C38" s="51"/>
    </row>
    <row r="39" spans="1:3" x14ac:dyDescent="0.25">
      <c r="A39" t="s">
        <v>204</v>
      </c>
      <c r="C39" s="51"/>
    </row>
    <row r="40" spans="1:3" x14ac:dyDescent="0.25">
      <c r="A40" t="s">
        <v>205</v>
      </c>
      <c r="C40" s="51"/>
    </row>
    <row r="41" spans="1:3" x14ac:dyDescent="0.25">
      <c r="A41" t="s">
        <v>206</v>
      </c>
      <c r="C41" s="51"/>
    </row>
    <row r="42" spans="1:3" x14ac:dyDescent="0.25">
      <c r="A42" t="s">
        <v>207</v>
      </c>
      <c r="C42" s="58"/>
    </row>
    <row r="43" spans="1:3" x14ac:dyDescent="0.25">
      <c r="A43" t="s">
        <v>208</v>
      </c>
      <c r="C43" s="51"/>
    </row>
    <row r="44" spans="1:3" x14ac:dyDescent="0.25">
      <c r="A44" t="s">
        <v>209</v>
      </c>
      <c r="C44" s="51"/>
    </row>
    <row r="45" spans="1:3" x14ac:dyDescent="0.25">
      <c r="A45" t="s">
        <v>210</v>
      </c>
      <c r="C45" s="51"/>
    </row>
    <row r="46" spans="1:3" x14ac:dyDescent="0.25">
      <c r="A46" t="s">
        <v>211</v>
      </c>
      <c r="C46" s="58"/>
    </row>
    <row r="47" spans="1:3" x14ac:dyDescent="0.25">
      <c r="A47" t="s">
        <v>212</v>
      </c>
      <c r="C47" s="51"/>
    </row>
    <row r="48" spans="1:3" x14ac:dyDescent="0.25">
      <c r="A48" t="s">
        <v>213</v>
      </c>
      <c r="C48" s="51"/>
    </row>
    <row r="49" spans="1:3" x14ac:dyDescent="0.25">
      <c r="A49" t="s">
        <v>214</v>
      </c>
      <c r="C49" s="51"/>
    </row>
    <row r="50" spans="1:3" x14ac:dyDescent="0.25">
      <c r="A50" t="s">
        <v>215</v>
      </c>
      <c r="C50" s="58"/>
    </row>
    <row r="51" spans="1:3" x14ac:dyDescent="0.25">
      <c r="A51" t="s">
        <v>216</v>
      </c>
      <c r="C51" s="51"/>
    </row>
    <row r="52" spans="1:3" x14ac:dyDescent="0.25">
      <c r="A52" t="s">
        <v>217</v>
      </c>
      <c r="C52" s="51"/>
    </row>
    <row r="53" spans="1:3" x14ac:dyDescent="0.25">
      <c r="A53" t="s">
        <v>218</v>
      </c>
      <c r="C53" s="51"/>
    </row>
    <row r="54" spans="1:3" x14ac:dyDescent="0.25">
      <c r="A54" t="s">
        <v>219</v>
      </c>
      <c r="C54" s="58"/>
    </row>
    <row r="55" spans="1:3" x14ac:dyDescent="0.25">
      <c r="A55" t="s">
        <v>220</v>
      </c>
      <c r="C55" s="51"/>
    </row>
    <row r="56" spans="1:3" x14ac:dyDescent="0.25">
      <c r="A56" t="s">
        <v>221</v>
      </c>
      <c r="C56" s="51"/>
    </row>
    <row r="57" spans="1:3" x14ac:dyDescent="0.25">
      <c r="A57" t="s">
        <v>222</v>
      </c>
      <c r="C57" s="51"/>
    </row>
    <row r="58" spans="1:3" x14ac:dyDescent="0.25">
      <c r="A58" t="s">
        <v>223</v>
      </c>
      <c r="C58" s="58"/>
    </row>
    <row r="59" spans="1:3" x14ac:dyDescent="0.25">
      <c r="A59" t="s">
        <v>224</v>
      </c>
      <c r="C59" s="51"/>
    </row>
    <row r="60" spans="1:3" x14ac:dyDescent="0.25">
      <c r="A60" t="s">
        <v>225</v>
      </c>
      <c r="C60" s="51"/>
    </row>
    <row r="61" spans="1:3" x14ac:dyDescent="0.25">
      <c r="A61" t="s">
        <v>226</v>
      </c>
      <c r="C61" s="51"/>
    </row>
    <row r="62" spans="1:3" x14ac:dyDescent="0.25">
      <c r="A62" t="s">
        <v>227</v>
      </c>
      <c r="C62" s="51"/>
    </row>
    <row r="63" spans="1:3" x14ac:dyDescent="0.25">
      <c r="A63" t="s">
        <v>234</v>
      </c>
      <c r="C63" s="51"/>
    </row>
    <row r="64" spans="1:3" x14ac:dyDescent="0.25">
      <c r="A64" t="s">
        <v>235</v>
      </c>
      <c r="C64" s="51"/>
    </row>
    <row r="65" spans="1:3" x14ac:dyDescent="0.25">
      <c r="A65" t="s">
        <v>236</v>
      </c>
      <c r="C65" s="51"/>
    </row>
    <row r="66" spans="1:3" x14ac:dyDescent="0.25">
      <c r="A66" t="s">
        <v>237</v>
      </c>
      <c r="C66" s="51"/>
    </row>
    <row r="67" spans="1:3" x14ac:dyDescent="0.25">
      <c r="A67" t="s">
        <v>238</v>
      </c>
      <c r="C67" s="51"/>
    </row>
    <row r="68" spans="1:3" x14ac:dyDescent="0.25">
      <c r="A68" t="s">
        <v>239</v>
      </c>
      <c r="C68" s="51"/>
    </row>
    <row r="69" spans="1:3" x14ac:dyDescent="0.25">
      <c r="A69" t="s">
        <v>245</v>
      </c>
      <c r="C69" s="51"/>
    </row>
    <row r="70" spans="1:3" x14ac:dyDescent="0.25">
      <c r="A70" t="s">
        <v>246</v>
      </c>
      <c r="C70" s="51"/>
    </row>
    <row r="71" spans="1:3" x14ac:dyDescent="0.25">
      <c r="A71" t="s">
        <v>247</v>
      </c>
      <c r="C71" s="51"/>
    </row>
    <row r="72" spans="1:3" x14ac:dyDescent="0.25">
      <c r="A72" t="s">
        <v>249</v>
      </c>
      <c r="C72" s="51"/>
    </row>
    <row r="73" spans="1:3" x14ac:dyDescent="0.25">
      <c r="A73" t="s">
        <v>250</v>
      </c>
      <c r="C73" s="51"/>
    </row>
    <row r="74" spans="1:3" x14ac:dyDescent="0.25">
      <c r="A74" t="s">
        <v>251</v>
      </c>
      <c r="C74" s="51"/>
    </row>
    <row r="75" spans="1:3" x14ac:dyDescent="0.25">
      <c r="A75" t="s">
        <v>252</v>
      </c>
      <c r="C75" s="51"/>
    </row>
    <row r="76" spans="1:3" x14ac:dyDescent="0.25">
      <c r="A76" t="s">
        <v>403</v>
      </c>
      <c r="C76" s="51"/>
    </row>
    <row r="77" spans="1:3" x14ac:dyDescent="0.25">
      <c r="A77" t="s">
        <v>404</v>
      </c>
      <c r="C77" s="51"/>
    </row>
    <row r="78" spans="1:3" x14ac:dyDescent="0.25">
      <c r="A78" t="s">
        <v>405</v>
      </c>
      <c r="C78" s="51"/>
    </row>
    <row r="79" spans="1:3" x14ac:dyDescent="0.25">
      <c r="A79" t="s">
        <v>406</v>
      </c>
      <c r="C79" s="51"/>
    </row>
    <row r="80" spans="1:3" x14ac:dyDescent="0.25">
      <c r="A80" t="s">
        <v>407</v>
      </c>
      <c r="C80" s="51"/>
    </row>
    <row r="81" spans="1:3" x14ac:dyDescent="0.25">
      <c r="A81" t="s">
        <v>408</v>
      </c>
      <c r="C81" s="51"/>
    </row>
    <row r="82" spans="1:3" x14ac:dyDescent="0.25">
      <c r="A82" t="s">
        <v>411</v>
      </c>
      <c r="C82" s="51"/>
    </row>
    <row r="83" spans="1:3" x14ac:dyDescent="0.25">
      <c r="A83" t="s">
        <v>409</v>
      </c>
      <c r="C83" s="51"/>
    </row>
    <row r="84" spans="1:3" x14ac:dyDescent="0.25">
      <c r="A84" t="s">
        <v>410</v>
      </c>
      <c r="C84" s="51"/>
    </row>
    <row r="85" spans="1:3" x14ac:dyDescent="0.25">
      <c r="A85" t="s">
        <v>412</v>
      </c>
      <c r="C85" s="51"/>
    </row>
    <row r="86" spans="1:3" x14ac:dyDescent="0.25">
      <c r="A86" t="s">
        <v>413</v>
      </c>
      <c r="C86" s="51"/>
    </row>
    <row r="87" spans="1:3" x14ac:dyDescent="0.25">
      <c r="A87">
        <v>23</v>
      </c>
      <c r="C87" s="51"/>
    </row>
    <row r="88" spans="1:3" x14ac:dyDescent="0.25">
      <c r="A88" t="s">
        <v>350</v>
      </c>
      <c r="C88" s="51"/>
    </row>
    <row r="89" spans="1:3" x14ac:dyDescent="0.25">
      <c r="A89" t="s">
        <v>352</v>
      </c>
      <c r="C89" s="51"/>
    </row>
    <row r="90" spans="1:3" x14ac:dyDescent="0.25">
      <c r="A90" t="s">
        <v>354</v>
      </c>
      <c r="C90" s="51"/>
    </row>
    <row r="91" spans="1:3" x14ac:dyDescent="0.25">
      <c r="A91" t="s">
        <v>356</v>
      </c>
      <c r="C91" s="51"/>
    </row>
    <row r="92" spans="1:3" x14ac:dyDescent="0.25">
      <c r="A92" t="s">
        <v>358</v>
      </c>
      <c r="C92" s="51"/>
    </row>
    <row r="93" spans="1:3" x14ac:dyDescent="0.25">
      <c r="A93" t="s">
        <v>360</v>
      </c>
      <c r="C93" s="51"/>
    </row>
    <row r="94" spans="1:3" x14ac:dyDescent="0.25">
      <c r="A94" t="s">
        <v>362</v>
      </c>
      <c r="C94" s="51"/>
    </row>
    <row r="95" spans="1:3" x14ac:dyDescent="0.25">
      <c r="A95" t="s">
        <v>364</v>
      </c>
      <c r="C95" s="51"/>
    </row>
    <row r="96" spans="1:3" x14ac:dyDescent="0.25">
      <c r="A96" t="s">
        <v>366</v>
      </c>
      <c r="C96" s="51"/>
    </row>
    <row r="97" spans="1:3" x14ac:dyDescent="0.25">
      <c r="A97" t="s">
        <v>368</v>
      </c>
      <c r="C97" s="51"/>
    </row>
    <row r="98" spans="1:3" x14ac:dyDescent="0.25">
      <c r="A98" t="s">
        <v>370</v>
      </c>
      <c r="C98" s="51"/>
    </row>
    <row r="99" spans="1:3" x14ac:dyDescent="0.25">
      <c r="A99" t="s">
        <v>372</v>
      </c>
      <c r="C99" s="51"/>
    </row>
    <row r="100" spans="1:3" x14ac:dyDescent="0.25">
      <c r="A100" t="s">
        <v>374</v>
      </c>
      <c r="C100" s="51"/>
    </row>
    <row r="101" spans="1:3" x14ac:dyDescent="0.25">
      <c r="A101" t="s">
        <v>376</v>
      </c>
      <c r="C101" s="51"/>
    </row>
    <row r="102" spans="1:3" x14ac:dyDescent="0.25">
      <c r="A102" t="s">
        <v>378</v>
      </c>
      <c r="C102" s="51"/>
    </row>
    <row r="103" spans="1:3" x14ac:dyDescent="0.25">
      <c r="A103" t="s">
        <v>380</v>
      </c>
      <c r="C103" s="51"/>
    </row>
    <row r="104" spans="1:3" x14ac:dyDescent="0.25">
      <c r="A104" t="s">
        <v>382</v>
      </c>
      <c r="C104" s="51"/>
    </row>
    <row r="105" spans="1:3" x14ac:dyDescent="0.25">
      <c r="A105" t="s">
        <v>384</v>
      </c>
      <c r="C105" s="51"/>
    </row>
    <row r="106" spans="1:3" x14ac:dyDescent="0.25">
      <c r="A106" t="s">
        <v>386</v>
      </c>
      <c r="C106" s="51"/>
    </row>
    <row r="107" spans="1:3" x14ac:dyDescent="0.25">
      <c r="A107" t="s">
        <v>388</v>
      </c>
      <c r="C107" s="51"/>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H108"/>
  <sheetViews>
    <sheetView topLeftCell="A16" workbookViewId="0">
      <selection activeCell="O25" sqref="O25"/>
    </sheetView>
  </sheetViews>
  <sheetFormatPr defaultRowHeight="13.8" x14ac:dyDescent="0.25"/>
  <cols>
    <col min="1" max="1" width="9"/>
  </cols>
  <sheetData>
    <row r="1" spans="1:112" x14ac:dyDescent="0.25">
      <c r="A1" t="s">
        <v>228</v>
      </c>
      <c r="E1" t="s">
        <v>228</v>
      </c>
      <c r="F1" t="s">
        <v>243</v>
      </c>
      <c r="G1" t="s">
        <v>231</v>
      </c>
      <c r="H1" t="s">
        <v>180</v>
      </c>
      <c r="I1" t="s">
        <v>181</v>
      </c>
      <c r="J1" t="s">
        <v>182</v>
      </c>
      <c r="K1" t="s">
        <v>183</v>
      </c>
      <c r="L1" t="s">
        <v>184</v>
      </c>
      <c r="M1" t="s">
        <v>185</v>
      </c>
      <c r="N1" t="s">
        <v>186</v>
      </c>
      <c r="O1" t="s">
        <v>187</v>
      </c>
      <c r="P1" t="s">
        <v>241</v>
      </c>
      <c r="Q1" t="s">
        <v>244</v>
      </c>
      <c r="R1" t="s">
        <v>188</v>
      </c>
      <c r="S1" t="s">
        <v>179</v>
      </c>
      <c r="T1" t="s">
        <v>329</v>
      </c>
      <c r="U1" t="s">
        <v>229</v>
      </c>
      <c r="V1" t="s">
        <v>232</v>
      </c>
      <c r="W1" t="s">
        <v>233</v>
      </c>
      <c r="X1" t="s">
        <v>191</v>
      </c>
      <c r="Y1" t="s">
        <v>189</v>
      </c>
      <c r="Z1" t="s">
        <v>190</v>
      </c>
      <c r="AA1" t="s">
        <v>192</v>
      </c>
      <c r="AB1" t="s">
        <v>193</v>
      </c>
      <c r="AC1" t="s">
        <v>194</v>
      </c>
      <c r="AD1" t="s">
        <v>240</v>
      </c>
      <c r="AE1" t="s">
        <v>248</v>
      </c>
      <c r="AF1" t="s">
        <v>195</v>
      </c>
      <c r="AG1" t="s">
        <v>196</v>
      </c>
      <c r="AH1" t="s">
        <v>197</v>
      </c>
      <c r="AI1" t="s">
        <v>198</v>
      </c>
      <c r="AJ1" t="s">
        <v>199</v>
      </c>
      <c r="AK1" t="s">
        <v>331</v>
      </c>
      <c r="AL1" t="s">
        <v>203</v>
      </c>
      <c r="AM1" t="s">
        <v>202</v>
      </c>
      <c r="AN1" t="s">
        <v>201</v>
      </c>
      <c r="AO1" t="s">
        <v>200</v>
      </c>
      <c r="AP1" t="s">
        <v>333</v>
      </c>
      <c r="AQ1" t="s">
        <v>233</v>
      </c>
      <c r="AR1" t="s">
        <v>204</v>
      </c>
      <c r="AS1" t="s">
        <v>205</v>
      </c>
      <c r="AT1" t="s">
        <v>206</v>
      </c>
      <c r="AU1" t="s">
        <v>207</v>
      </c>
      <c r="AV1" t="s">
        <v>208</v>
      </c>
      <c r="AW1" t="s">
        <v>209</v>
      </c>
      <c r="AX1" t="s">
        <v>210</v>
      </c>
      <c r="AY1" t="s">
        <v>211</v>
      </c>
      <c r="AZ1" t="s">
        <v>212</v>
      </c>
      <c r="BA1" t="s">
        <v>213</v>
      </c>
      <c r="BB1" t="s">
        <v>214</v>
      </c>
      <c r="BC1" t="s">
        <v>215</v>
      </c>
      <c r="BD1" t="s">
        <v>216</v>
      </c>
      <c r="BE1" t="s">
        <v>217</v>
      </c>
      <c r="BF1" t="s">
        <v>218</v>
      </c>
      <c r="BG1" t="s">
        <v>219</v>
      </c>
      <c r="BH1" t="s">
        <v>220</v>
      </c>
      <c r="BI1" t="s">
        <v>221</v>
      </c>
      <c r="BJ1" t="s">
        <v>222</v>
      </c>
      <c r="BK1" t="s">
        <v>223</v>
      </c>
      <c r="BL1" t="s">
        <v>224</v>
      </c>
      <c r="BM1" t="s">
        <v>225</v>
      </c>
      <c r="BN1" t="s">
        <v>226</v>
      </c>
      <c r="BO1" t="s">
        <v>227</v>
      </c>
      <c r="BP1" t="s">
        <v>416</v>
      </c>
      <c r="BQ1" t="s">
        <v>417</v>
      </c>
      <c r="BR1" t="s">
        <v>418</v>
      </c>
      <c r="BS1" t="s">
        <v>419</v>
      </c>
      <c r="BT1" t="s">
        <v>420</v>
      </c>
      <c r="BU1" t="s">
        <v>421</v>
      </c>
      <c r="BV1" t="s">
        <v>422</v>
      </c>
      <c r="BW1" t="s">
        <v>423</v>
      </c>
      <c r="BX1" t="s">
        <v>424</v>
      </c>
      <c r="BY1" t="s">
        <v>425</v>
      </c>
      <c r="BZ1" t="s">
        <v>426</v>
      </c>
      <c r="CA1" t="s">
        <v>427</v>
      </c>
      <c r="CB1" t="s">
        <v>428</v>
      </c>
      <c r="CC1" t="s">
        <v>403</v>
      </c>
      <c r="CD1" t="s">
        <v>404</v>
      </c>
      <c r="CE1" t="s">
        <v>405</v>
      </c>
      <c r="CF1" t="s">
        <v>406</v>
      </c>
      <c r="CG1" t="s">
        <v>407</v>
      </c>
      <c r="CH1" t="s">
        <v>408</v>
      </c>
      <c r="CI1" t="s">
        <v>429</v>
      </c>
      <c r="CJ1" t="s">
        <v>430</v>
      </c>
      <c r="CK1" t="s">
        <v>431</v>
      </c>
      <c r="CL1" t="s">
        <v>432</v>
      </c>
      <c r="CM1" t="s">
        <v>433</v>
      </c>
      <c r="CN1">
        <v>23</v>
      </c>
      <c r="CO1" t="s">
        <v>350</v>
      </c>
      <c r="CP1" t="s">
        <v>352</v>
      </c>
      <c r="CQ1" t="s">
        <v>354</v>
      </c>
      <c r="CR1" t="s">
        <v>356</v>
      </c>
      <c r="CS1" t="s">
        <v>358</v>
      </c>
      <c r="CT1" t="s">
        <v>360</v>
      </c>
      <c r="CU1" t="s">
        <v>362</v>
      </c>
      <c r="CV1" t="s">
        <v>364</v>
      </c>
      <c r="CW1" t="s">
        <v>366</v>
      </c>
      <c r="CX1" t="s">
        <v>368</v>
      </c>
      <c r="CY1" t="s">
        <v>370</v>
      </c>
      <c r="CZ1" t="s">
        <v>372</v>
      </c>
      <c r="DA1" t="s">
        <v>374</v>
      </c>
      <c r="DB1" t="s">
        <v>376</v>
      </c>
      <c r="DC1" t="s">
        <v>378</v>
      </c>
      <c r="DD1" t="s">
        <v>380</v>
      </c>
      <c r="DE1" t="s">
        <v>382</v>
      </c>
      <c r="DF1" t="s">
        <v>384</v>
      </c>
      <c r="DG1" t="s">
        <v>386</v>
      </c>
      <c r="DH1" t="s">
        <v>388</v>
      </c>
    </row>
    <row r="2" spans="1:112" x14ac:dyDescent="0.25">
      <c r="A2" t="s">
        <v>243</v>
      </c>
    </row>
    <row r="3" spans="1:112" x14ac:dyDescent="0.25">
      <c r="A3" t="s">
        <v>231</v>
      </c>
    </row>
    <row r="4" spans="1:112" x14ac:dyDescent="0.25">
      <c r="A4" t="s">
        <v>180</v>
      </c>
    </row>
    <row r="5" spans="1:112" x14ac:dyDescent="0.25">
      <c r="A5" t="s">
        <v>181</v>
      </c>
    </row>
    <row r="6" spans="1:112" x14ac:dyDescent="0.25">
      <c r="A6" t="s">
        <v>182</v>
      </c>
    </row>
    <row r="7" spans="1:112" x14ac:dyDescent="0.25">
      <c r="A7" t="s">
        <v>183</v>
      </c>
    </row>
    <row r="8" spans="1:112" x14ac:dyDescent="0.25">
      <c r="A8" t="s">
        <v>184</v>
      </c>
    </row>
    <row r="9" spans="1:112" x14ac:dyDescent="0.25">
      <c r="A9" t="s">
        <v>185</v>
      </c>
    </row>
    <row r="10" spans="1:112" x14ac:dyDescent="0.25">
      <c r="A10" t="s">
        <v>186</v>
      </c>
    </row>
    <row r="11" spans="1:112" x14ac:dyDescent="0.25">
      <c r="A11" t="s">
        <v>187</v>
      </c>
    </row>
    <row r="12" spans="1:112" x14ac:dyDescent="0.25">
      <c r="A12" t="s">
        <v>241</v>
      </c>
    </row>
    <row r="13" spans="1:112" x14ac:dyDescent="0.25">
      <c r="A13" t="s">
        <v>244</v>
      </c>
    </row>
    <row r="14" spans="1:112" x14ac:dyDescent="0.25">
      <c r="A14" t="s">
        <v>188</v>
      </c>
    </row>
    <row r="15" spans="1:112" x14ac:dyDescent="0.25">
      <c r="A15" t="s">
        <v>179</v>
      </c>
    </row>
    <row r="16" spans="1:112" x14ac:dyDescent="0.25">
      <c r="A16" t="s">
        <v>329</v>
      </c>
    </row>
    <row r="17" spans="1:1" x14ac:dyDescent="0.25">
      <c r="A17" t="s">
        <v>229</v>
      </c>
    </row>
    <row r="18" spans="1:1" x14ac:dyDescent="0.25">
      <c r="A18" t="s">
        <v>232</v>
      </c>
    </row>
    <row r="19" spans="1:1" x14ac:dyDescent="0.25">
      <c r="A19" t="s">
        <v>233</v>
      </c>
    </row>
    <row r="20" spans="1:1" x14ac:dyDescent="0.25">
      <c r="A20" t="s">
        <v>191</v>
      </c>
    </row>
    <row r="21" spans="1:1" x14ac:dyDescent="0.25">
      <c r="A21" t="s">
        <v>189</v>
      </c>
    </row>
    <row r="22" spans="1:1" x14ac:dyDescent="0.25">
      <c r="A22" t="s">
        <v>190</v>
      </c>
    </row>
    <row r="23" spans="1:1" x14ac:dyDescent="0.25">
      <c r="A23" t="s">
        <v>192</v>
      </c>
    </row>
    <row r="24" spans="1:1" x14ac:dyDescent="0.25">
      <c r="A24" t="s">
        <v>193</v>
      </c>
    </row>
    <row r="25" spans="1:1" x14ac:dyDescent="0.25">
      <c r="A25" t="s">
        <v>194</v>
      </c>
    </row>
    <row r="26" spans="1:1" x14ac:dyDescent="0.25">
      <c r="A26" t="s">
        <v>240</v>
      </c>
    </row>
    <row r="27" spans="1:1" x14ac:dyDescent="0.25">
      <c r="A27" t="s">
        <v>248</v>
      </c>
    </row>
    <row r="28" spans="1:1" x14ac:dyDescent="0.25">
      <c r="A28" t="s">
        <v>195</v>
      </c>
    </row>
    <row r="29" spans="1:1" x14ac:dyDescent="0.25">
      <c r="A29" t="s">
        <v>196</v>
      </c>
    </row>
    <row r="30" spans="1:1" x14ac:dyDescent="0.25">
      <c r="A30" t="s">
        <v>197</v>
      </c>
    </row>
    <row r="31" spans="1:1" x14ac:dyDescent="0.25">
      <c r="A31" t="s">
        <v>198</v>
      </c>
    </row>
    <row r="32" spans="1:1" x14ac:dyDescent="0.25">
      <c r="A32" t="s">
        <v>199</v>
      </c>
    </row>
    <row r="33" spans="1:1" x14ac:dyDescent="0.25">
      <c r="A33" t="s">
        <v>331</v>
      </c>
    </row>
    <row r="34" spans="1:1" x14ac:dyDescent="0.25">
      <c r="A34" t="s">
        <v>203</v>
      </c>
    </row>
    <row r="35" spans="1:1" x14ac:dyDescent="0.25">
      <c r="A35" t="s">
        <v>202</v>
      </c>
    </row>
    <row r="36" spans="1:1" x14ac:dyDescent="0.25">
      <c r="A36" t="s">
        <v>201</v>
      </c>
    </row>
    <row r="37" spans="1:1" x14ac:dyDescent="0.25">
      <c r="A37" t="s">
        <v>200</v>
      </c>
    </row>
    <row r="38" spans="1:1" x14ac:dyDescent="0.25">
      <c r="A38" t="s">
        <v>333</v>
      </c>
    </row>
    <row r="39" spans="1:1" x14ac:dyDescent="0.25">
      <c r="A39" t="s">
        <v>233</v>
      </c>
    </row>
    <row r="40" spans="1:1" x14ac:dyDescent="0.25">
      <c r="A40" t="s">
        <v>204</v>
      </c>
    </row>
    <row r="41" spans="1:1" x14ac:dyDescent="0.25">
      <c r="A41" t="s">
        <v>205</v>
      </c>
    </row>
    <row r="42" spans="1:1" x14ac:dyDescent="0.25">
      <c r="A42" t="s">
        <v>206</v>
      </c>
    </row>
    <row r="43" spans="1:1" x14ac:dyDescent="0.25">
      <c r="A43" t="s">
        <v>207</v>
      </c>
    </row>
    <row r="44" spans="1:1" x14ac:dyDescent="0.25">
      <c r="A44" t="s">
        <v>208</v>
      </c>
    </row>
    <row r="45" spans="1:1" x14ac:dyDescent="0.25">
      <c r="A45" t="s">
        <v>209</v>
      </c>
    </row>
    <row r="46" spans="1:1" x14ac:dyDescent="0.25">
      <c r="A46" t="s">
        <v>210</v>
      </c>
    </row>
    <row r="47" spans="1:1" x14ac:dyDescent="0.25">
      <c r="A47" t="s">
        <v>211</v>
      </c>
    </row>
    <row r="48" spans="1:1" x14ac:dyDescent="0.25">
      <c r="A48" t="s">
        <v>212</v>
      </c>
    </row>
    <row r="49" spans="1:1" x14ac:dyDescent="0.25">
      <c r="A49" t="s">
        <v>213</v>
      </c>
    </row>
    <row r="50" spans="1:1" x14ac:dyDescent="0.25">
      <c r="A50" t="s">
        <v>214</v>
      </c>
    </row>
    <row r="51" spans="1:1" x14ac:dyDescent="0.25">
      <c r="A51" t="s">
        <v>215</v>
      </c>
    </row>
    <row r="52" spans="1:1" x14ac:dyDescent="0.25">
      <c r="A52" t="s">
        <v>216</v>
      </c>
    </row>
    <row r="53" spans="1:1" x14ac:dyDescent="0.25">
      <c r="A53" t="s">
        <v>217</v>
      </c>
    </row>
    <row r="54" spans="1:1" x14ac:dyDescent="0.25">
      <c r="A54" t="s">
        <v>218</v>
      </c>
    </row>
    <row r="55" spans="1:1" x14ac:dyDescent="0.25">
      <c r="A55" t="s">
        <v>219</v>
      </c>
    </row>
    <row r="56" spans="1:1" x14ac:dyDescent="0.25">
      <c r="A56" t="s">
        <v>220</v>
      </c>
    </row>
    <row r="57" spans="1:1" x14ac:dyDescent="0.25">
      <c r="A57" t="s">
        <v>221</v>
      </c>
    </row>
    <row r="58" spans="1:1" x14ac:dyDescent="0.25">
      <c r="A58" t="s">
        <v>222</v>
      </c>
    </row>
    <row r="59" spans="1:1" x14ac:dyDescent="0.25">
      <c r="A59" t="s">
        <v>223</v>
      </c>
    </row>
    <row r="60" spans="1:1" x14ac:dyDescent="0.25">
      <c r="A60" t="s">
        <v>224</v>
      </c>
    </row>
    <row r="61" spans="1:1" x14ac:dyDescent="0.25">
      <c r="A61" t="s">
        <v>225</v>
      </c>
    </row>
    <row r="62" spans="1:1" x14ac:dyDescent="0.25">
      <c r="A62" t="s">
        <v>226</v>
      </c>
    </row>
    <row r="63" spans="1:1" x14ac:dyDescent="0.25">
      <c r="A63" t="s">
        <v>227</v>
      </c>
    </row>
    <row r="64" spans="1:1" x14ac:dyDescent="0.25">
      <c r="A64" t="s">
        <v>416</v>
      </c>
    </row>
    <row r="65" spans="1:1" x14ac:dyDescent="0.25">
      <c r="A65" t="s">
        <v>417</v>
      </c>
    </row>
    <row r="66" spans="1:1" x14ac:dyDescent="0.25">
      <c r="A66" t="s">
        <v>418</v>
      </c>
    </row>
    <row r="67" spans="1:1" x14ac:dyDescent="0.25">
      <c r="A67" t="s">
        <v>419</v>
      </c>
    </row>
    <row r="68" spans="1:1" x14ac:dyDescent="0.25">
      <c r="A68" t="s">
        <v>420</v>
      </c>
    </row>
    <row r="69" spans="1:1" x14ac:dyDescent="0.25">
      <c r="A69" t="s">
        <v>421</v>
      </c>
    </row>
    <row r="70" spans="1:1" x14ac:dyDescent="0.25">
      <c r="A70" t="s">
        <v>422</v>
      </c>
    </row>
    <row r="71" spans="1:1" x14ac:dyDescent="0.25">
      <c r="A71" t="s">
        <v>423</v>
      </c>
    </row>
    <row r="72" spans="1:1" x14ac:dyDescent="0.25">
      <c r="A72" t="s">
        <v>424</v>
      </c>
    </row>
    <row r="73" spans="1:1" x14ac:dyDescent="0.25">
      <c r="A73" t="s">
        <v>425</v>
      </c>
    </row>
    <row r="74" spans="1:1" x14ac:dyDescent="0.25">
      <c r="A74" t="s">
        <v>426</v>
      </c>
    </row>
    <row r="75" spans="1:1" x14ac:dyDescent="0.25">
      <c r="A75" t="s">
        <v>427</v>
      </c>
    </row>
    <row r="76" spans="1:1" x14ac:dyDescent="0.25">
      <c r="A76" t="s">
        <v>428</v>
      </c>
    </row>
    <row r="77" spans="1:1" x14ac:dyDescent="0.25">
      <c r="A77" t="s">
        <v>403</v>
      </c>
    </row>
    <row r="78" spans="1:1" x14ac:dyDescent="0.25">
      <c r="A78" t="s">
        <v>404</v>
      </c>
    </row>
    <row r="79" spans="1:1" x14ac:dyDescent="0.25">
      <c r="A79" t="s">
        <v>405</v>
      </c>
    </row>
    <row r="80" spans="1:1" x14ac:dyDescent="0.25">
      <c r="A80" t="s">
        <v>406</v>
      </c>
    </row>
    <row r="81" spans="1:1" x14ac:dyDescent="0.25">
      <c r="A81" t="s">
        <v>407</v>
      </c>
    </row>
    <row r="82" spans="1:1" x14ac:dyDescent="0.25">
      <c r="A82" t="s">
        <v>408</v>
      </c>
    </row>
    <row r="83" spans="1:1" x14ac:dyDescent="0.25">
      <c r="A83" t="s">
        <v>429</v>
      </c>
    </row>
    <row r="84" spans="1:1" x14ac:dyDescent="0.25">
      <c r="A84" t="s">
        <v>430</v>
      </c>
    </row>
    <row r="85" spans="1:1" x14ac:dyDescent="0.25">
      <c r="A85" t="s">
        <v>431</v>
      </c>
    </row>
    <row r="86" spans="1:1" x14ac:dyDescent="0.25">
      <c r="A86" t="s">
        <v>432</v>
      </c>
    </row>
    <row r="87" spans="1:1" x14ac:dyDescent="0.25">
      <c r="A87" t="s">
        <v>433</v>
      </c>
    </row>
    <row r="88" spans="1:1" x14ac:dyDescent="0.25">
      <c r="A88">
        <v>23</v>
      </c>
    </row>
    <row r="89" spans="1:1" x14ac:dyDescent="0.25">
      <c r="A89" t="s">
        <v>350</v>
      </c>
    </row>
    <row r="90" spans="1:1" x14ac:dyDescent="0.25">
      <c r="A90" t="s">
        <v>352</v>
      </c>
    </row>
    <row r="91" spans="1:1" x14ac:dyDescent="0.25">
      <c r="A91" t="s">
        <v>354</v>
      </c>
    </row>
    <row r="92" spans="1:1" x14ac:dyDescent="0.25">
      <c r="A92" t="s">
        <v>356</v>
      </c>
    </row>
    <row r="93" spans="1:1" x14ac:dyDescent="0.25">
      <c r="A93" t="s">
        <v>358</v>
      </c>
    </row>
    <row r="94" spans="1:1" x14ac:dyDescent="0.25">
      <c r="A94" t="s">
        <v>360</v>
      </c>
    </row>
    <row r="95" spans="1:1" x14ac:dyDescent="0.25">
      <c r="A95" t="s">
        <v>362</v>
      </c>
    </row>
    <row r="96" spans="1:1" x14ac:dyDescent="0.25">
      <c r="A96" t="s">
        <v>364</v>
      </c>
    </row>
    <row r="97" spans="1:1" x14ac:dyDescent="0.25">
      <c r="A97" t="s">
        <v>366</v>
      </c>
    </row>
    <row r="98" spans="1:1" x14ac:dyDescent="0.25">
      <c r="A98" t="s">
        <v>368</v>
      </c>
    </row>
    <row r="99" spans="1:1" x14ac:dyDescent="0.25">
      <c r="A99" t="s">
        <v>370</v>
      </c>
    </row>
    <row r="100" spans="1:1" x14ac:dyDescent="0.25">
      <c r="A100" t="s">
        <v>372</v>
      </c>
    </row>
    <row r="101" spans="1:1" x14ac:dyDescent="0.25">
      <c r="A101" t="s">
        <v>374</v>
      </c>
    </row>
    <row r="102" spans="1:1" x14ac:dyDescent="0.25">
      <c r="A102" t="s">
        <v>376</v>
      </c>
    </row>
    <row r="103" spans="1:1" x14ac:dyDescent="0.25">
      <c r="A103" t="s">
        <v>378</v>
      </c>
    </row>
    <row r="104" spans="1:1" x14ac:dyDescent="0.25">
      <c r="A104" t="s">
        <v>380</v>
      </c>
    </row>
    <row r="105" spans="1:1" x14ac:dyDescent="0.25">
      <c r="A105" t="s">
        <v>382</v>
      </c>
    </row>
    <row r="106" spans="1:1" x14ac:dyDescent="0.25">
      <c r="A106" t="s">
        <v>384</v>
      </c>
    </row>
    <row r="107" spans="1:1" x14ac:dyDescent="0.25">
      <c r="A107" t="s">
        <v>386</v>
      </c>
    </row>
    <row r="108" spans="1:1" x14ac:dyDescent="0.25">
      <c r="A108" t="s">
        <v>388</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N81"/>
  <sheetViews>
    <sheetView workbookViewId="0">
      <selection activeCell="R21" sqref="R21"/>
    </sheetView>
  </sheetViews>
  <sheetFormatPr defaultRowHeight="13.8" x14ac:dyDescent="0.25"/>
  <cols>
    <col min="1" max="1" width="9"/>
  </cols>
  <sheetData>
    <row r="1" spans="1:14" x14ac:dyDescent="0.25">
      <c r="A1" t="s">
        <v>253</v>
      </c>
      <c r="D1" t="s">
        <v>253</v>
      </c>
      <c r="F1" t="s">
        <v>253</v>
      </c>
      <c r="H1" t="s">
        <v>441</v>
      </c>
      <c r="J1" t="s">
        <v>294</v>
      </c>
      <c r="L1" t="s">
        <v>314</v>
      </c>
      <c r="N1" t="s">
        <v>394</v>
      </c>
    </row>
    <row r="2" spans="1:14" x14ac:dyDescent="0.25">
      <c r="A2" s="41" t="s">
        <v>254</v>
      </c>
      <c r="D2" t="s">
        <v>254</v>
      </c>
      <c r="F2" t="s">
        <v>254</v>
      </c>
      <c r="H2" t="s">
        <v>273</v>
      </c>
      <c r="J2" t="s">
        <v>295</v>
      </c>
      <c r="L2" t="s">
        <v>315</v>
      </c>
      <c r="N2" t="s">
        <v>395</v>
      </c>
    </row>
    <row r="3" spans="1:14" x14ac:dyDescent="0.25">
      <c r="A3" t="s">
        <v>256</v>
      </c>
      <c r="D3" t="s">
        <v>256</v>
      </c>
      <c r="F3" t="s">
        <v>256</v>
      </c>
      <c r="H3" t="s">
        <v>274</v>
      </c>
      <c r="J3" t="s">
        <v>296</v>
      </c>
      <c r="L3" t="s">
        <v>316</v>
      </c>
      <c r="N3" t="s">
        <v>396</v>
      </c>
    </row>
    <row r="4" spans="1:14" x14ac:dyDescent="0.25">
      <c r="A4" t="s">
        <v>257</v>
      </c>
      <c r="D4" t="s">
        <v>257</v>
      </c>
      <c r="F4" t="s">
        <v>257</v>
      </c>
      <c r="H4" t="s">
        <v>440</v>
      </c>
      <c r="J4" t="s">
        <v>297</v>
      </c>
      <c r="L4" t="s">
        <v>318</v>
      </c>
      <c r="N4" t="s">
        <v>397</v>
      </c>
    </row>
    <row r="5" spans="1:14" x14ac:dyDescent="0.25">
      <c r="A5" s="30" t="s">
        <v>258</v>
      </c>
      <c r="D5" t="s">
        <v>258</v>
      </c>
      <c r="F5" t="s">
        <v>258</v>
      </c>
      <c r="H5" t="s">
        <v>277</v>
      </c>
      <c r="J5" t="s">
        <v>298</v>
      </c>
      <c r="L5" t="s">
        <v>319</v>
      </c>
      <c r="N5" t="s">
        <v>438</v>
      </c>
    </row>
    <row r="6" spans="1:14" x14ac:dyDescent="0.25">
      <c r="A6" t="s">
        <v>259</v>
      </c>
      <c r="D6" t="s">
        <v>259</v>
      </c>
      <c r="F6" t="s">
        <v>259</v>
      </c>
      <c r="H6" t="s">
        <v>437</v>
      </c>
      <c r="J6" t="s">
        <v>299</v>
      </c>
      <c r="L6" t="s">
        <v>439</v>
      </c>
      <c r="N6" t="s">
        <v>399</v>
      </c>
    </row>
    <row r="7" spans="1:14" x14ac:dyDescent="0.25">
      <c r="A7" s="32" t="s">
        <v>260</v>
      </c>
      <c r="D7" t="s">
        <v>260</v>
      </c>
      <c r="F7" t="s">
        <v>260</v>
      </c>
      <c r="H7" t="s">
        <v>279</v>
      </c>
      <c r="J7" t="s">
        <v>302</v>
      </c>
      <c r="L7" t="s">
        <v>321</v>
      </c>
      <c r="N7" t="s">
        <v>400</v>
      </c>
    </row>
    <row r="8" spans="1:14" x14ac:dyDescent="0.25">
      <c r="A8" t="s">
        <v>261</v>
      </c>
      <c r="D8" t="s">
        <v>261</v>
      </c>
      <c r="F8" t="s">
        <v>261</v>
      </c>
      <c r="H8" t="s">
        <v>443</v>
      </c>
      <c r="J8" t="s">
        <v>171</v>
      </c>
      <c r="L8" t="s">
        <v>322</v>
      </c>
      <c r="N8" t="s">
        <v>401</v>
      </c>
    </row>
    <row r="9" spans="1:14" x14ac:dyDescent="0.25">
      <c r="A9" s="30" t="s">
        <v>262</v>
      </c>
      <c r="D9" t="s">
        <v>262</v>
      </c>
      <c r="F9" t="s">
        <v>262</v>
      </c>
      <c r="H9" t="s">
        <v>282</v>
      </c>
      <c r="J9" t="s">
        <v>304</v>
      </c>
      <c r="L9" t="s">
        <v>323</v>
      </c>
      <c r="N9" t="s">
        <v>402</v>
      </c>
    </row>
    <row r="10" spans="1:14" x14ac:dyDescent="0.25">
      <c r="A10" t="s">
        <v>263</v>
      </c>
      <c r="D10" t="s">
        <v>263</v>
      </c>
      <c r="F10" t="s">
        <v>263</v>
      </c>
      <c r="H10" t="s">
        <v>283</v>
      </c>
      <c r="J10" t="s">
        <v>305</v>
      </c>
      <c r="L10" t="s">
        <v>324</v>
      </c>
    </row>
    <row r="11" spans="1:14" x14ac:dyDescent="0.25">
      <c r="A11" t="s">
        <v>264</v>
      </c>
      <c r="D11" t="s">
        <v>264</v>
      </c>
      <c r="F11" t="s">
        <v>264</v>
      </c>
      <c r="H11" t="s">
        <v>284</v>
      </c>
      <c r="J11" t="s">
        <v>306</v>
      </c>
      <c r="L11" t="s">
        <v>325</v>
      </c>
    </row>
    <row r="12" spans="1:14" x14ac:dyDescent="0.25">
      <c r="A12" t="s">
        <v>434</v>
      </c>
      <c r="D12" t="s">
        <v>434</v>
      </c>
      <c r="F12" t="s">
        <v>434</v>
      </c>
      <c r="H12" t="s">
        <v>285</v>
      </c>
      <c r="J12" t="s">
        <v>307</v>
      </c>
      <c r="L12" t="s">
        <v>326</v>
      </c>
    </row>
    <row r="13" spans="1:14" x14ac:dyDescent="0.25">
      <c r="A13" t="s">
        <v>435</v>
      </c>
      <c r="D13" t="s">
        <v>435</v>
      </c>
      <c r="F13" t="s">
        <v>435</v>
      </c>
      <c r="H13" t="s">
        <v>286</v>
      </c>
      <c r="J13" t="s">
        <v>308</v>
      </c>
      <c r="L13" t="s">
        <v>328</v>
      </c>
    </row>
    <row r="14" spans="1:14" x14ac:dyDescent="0.25">
      <c r="A14" t="s">
        <v>436</v>
      </c>
      <c r="D14" t="s">
        <v>436</v>
      </c>
      <c r="F14" t="s">
        <v>436</v>
      </c>
      <c r="H14" t="s">
        <v>288</v>
      </c>
      <c r="J14" t="s">
        <v>309</v>
      </c>
      <c r="L14" t="s">
        <v>389</v>
      </c>
    </row>
    <row r="15" spans="1:14" x14ac:dyDescent="0.25">
      <c r="A15" t="s">
        <v>442</v>
      </c>
      <c r="D15" t="s">
        <v>442</v>
      </c>
      <c r="F15" t="s">
        <v>442</v>
      </c>
      <c r="H15" t="s">
        <v>289</v>
      </c>
      <c r="J15" t="s">
        <v>310</v>
      </c>
      <c r="L15" t="s">
        <v>390</v>
      </c>
    </row>
    <row r="16" spans="1:14" x14ac:dyDescent="0.25">
      <c r="A16" s="29" t="s">
        <v>267</v>
      </c>
      <c r="D16" t="s">
        <v>267</v>
      </c>
      <c r="F16" t="s">
        <v>267</v>
      </c>
      <c r="H16" t="s">
        <v>290</v>
      </c>
      <c r="J16" t="s">
        <v>311</v>
      </c>
      <c r="L16" t="s">
        <v>391</v>
      </c>
    </row>
    <row r="17" spans="1:12" x14ac:dyDescent="0.25">
      <c r="A17" t="s">
        <v>268</v>
      </c>
      <c r="D17" t="s">
        <v>268</v>
      </c>
      <c r="F17" t="s">
        <v>268</v>
      </c>
      <c r="H17" t="s">
        <v>291</v>
      </c>
      <c r="J17" t="s">
        <v>312</v>
      </c>
      <c r="L17" t="s">
        <v>392</v>
      </c>
    </row>
    <row r="18" spans="1:12" x14ac:dyDescent="0.25">
      <c r="A18" t="s">
        <v>270</v>
      </c>
      <c r="D18" t="s">
        <v>270</v>
      </c>
      <c r="F18" t="s">
        <v>270</v>
      </c>
      <c r="H18" t="s">
        <v>293</v>
      </c>
      <c r="J18" t="s">
        <v>313</v>
      </c>
      <c r="L18" t="s">
        <v>393</v>
      </c>
    </row>
    <row r="19" spans="1:12" x14ac:dyDescent="0.25">
      <c r="A19" s="30" t="s">
        <v>441</v>
      </c>
      <c r="D19" t="s">
        <v>441</v>
      </c>
    </row>
    <row r="20" spans="1:12" x14ac:dyDescent="0.25">
      <c r="A20" t="s">
        <v>273</v>
      </c>
      <c r="D20" t="s">
        <v>273</v>
      </c>
    </row>
    <row r="21" spans="1:12" x14ac:dyDescent="0.25">
      <c r="A21" t="s">
        <v>274</v>
      </c>
      <c r="D21" t="s">
        <v>274</v>
      </c>
    </row>
    <row r="22" spans="1:12" x14ac:dyDescent="0.25">
      <c r="A22" s="30" t="s">
        <v>440</v>
      </c>
      <c r="D22" t="s">
        <v>440</v>
      </c>
    </row>
    <row r="23" spans="1:12" x14ac:dyDescent="0.25">
      <c r="A23" s="31" t="s">
        <v>277</v>
      </c>
      <c r="D23" t="s">
        <v>277</v>
      </c>
    </row>
    <row r="24" spans="1:12" x14ac:dyDescent="0.25">
      <c r="A24" s="30" t="s">
        <v>437</v>
      </c>
      <c r="D24" t="s">
        <v>437</v>
      </c>
    </row>
    <row r="25" spans="1:12" x14ac:dyDescent="0.25">
      <c r="A25" s="30" t="s">
        <v>279</v>
      </c>
      <c r="D25" t="s">
        <v>279</v>
      </c>
    </row>
    <row r="26" spans="1:12" x14ac:dyDescent="0.25">
      <c r="A26" t="s">
        <v>443</v>
      </c>
      <c r="D26" t="s">
        <v>443</v>
      </c>
    </row>
    <row r="27" spans="1:12" x14ac:dyDescent="0.25">
      <c r="A27" t="s">
        <v>282</v>
      </c>
      <c r="D27" t="s">
        <v>282</v>
      </c>
    </row>
    <row r="28" spans="1:12" x14ac:dyDescent="0.25">
      <c r="A28" t="s">
        <v>283</v>
      </c>
      <c r="D28" t="s">
        <v>283</v>
      </c>
    </row>
    <row r="29" spans="1:12" x14ac:dyDescent="0.25">
      <c r="A29" s="29" t="s">
        <v>284</v>
      </c>
      <c r="D29" t="s">
        <v>284</v>
      </c>
    </row>
    <row r="30" spans="1:12" x14ac:dyDescent="0.25">
      <c r="A30" t="s">
        <v>285</v>
      </c>
      <c r="D30" t="s">
        <v>285</v>
      </c>
    </row>
    <row r="31" spans="1:12" x14ac:dyDescent="0.25">
      <c r="A31" t="s">
        <v>286</v>
      </c>
      <c r="D31" t="s">
        <v>286</v>
      </c>
    </row>
    <row r="32" spans="1:12" x14ac:dyDescent="0.25">
      <c r="A32" s="32" t="s">
        <v>288</v>
      </c>
      <c r="D32" t="s">
        <v>288</v>
      </c>
    </row>
    <row r="33" spans="1:4" x14ac:dyDescent="0.25">
      <c r="A33" t="s">
        <v>289</v>
      </c>
      <c r="D33" t="s">
        <v>289</v>
      </c>
    </row>
    <row r="34" spans="1:4" x14ac:dyDescent="0.25">
      <c r="A34" t="s">
        <v>290</v>
      </c>
      <c r="D34" t="s">
        <v>290</v>
      </c>
    </row>
    <row r="35" spans="1:4" x14ac:dyDescent="0.25">
      <c r="A35" t="s">
        <v>291</v>
      </c>
      <c r="D35" t="s">
        <v>291</v>
      </c>
    </row>
    <row r="36" spans="1:4" x14ac:dyDescent="0.25">
      <c r="A36" s="29" t="s">
        <v>293</v>
      </c>
      <c r="D36" t="s">
        <v>293</v>
      </c>
    </row>
    <row r="37" spans="1:4" x14ac:dyDescent="0.25">
      <c r="A37" t="s">
        <v>294</v>
      </c>
      <c r="D37" t="s">
        <v>294</v>
      </c>
    </row>
    <row r="38" spans="1:4" x14ac:dyDescent="0.25">
      <c r="A38" t="s">
        <v>295</v>
      </c>
      <c r="D38" t="s">
        <v>295</v>
      </c>
    </row>
    <row r="39" spans="1:4" x14ac:dyDescent="0.25">
      <c r="A39" s="30" t="s">
        <v>296</v>
      </c>
      <c r="D39" t="s">
        <v>296</v>
      </c>
    </row>
    <row r="40" spans="1:4" x14ac:dyDescent="0.25">
      <c r="A40" s="29" t="s">
        <v>297</v>
      </c>
      <c r="D40" t="s">
        <v>297</v>
      </c>
    </row>
    <row r="41" spans="1:4" x14ac:dyDescent="0.25">
      <c r="A41" t="s">
        <v>298</v>
      </c>
      <c r="D41" t="s">
        <v>298</v>
      </c>
    </row>
    <row r="42" spans="1:4" x14ac:dyDescent="0.25">
      <c r="A42" t="s">
        <v>299</v>
      </c>
      <c r="D42" t="s">
        <v>299</v>
      </c>
    </row>
    <row r="43" spans="1:4" x14ac:dyDescent="0.25">
      <c r="A43" s="30" t="s">
        <v>302</v>
      </c>
      <c r="D43" t="s">
        <v>302</v>
      </c>
    </row>
    <row r="44" spans="1:4" x14ac:dyDescent="0.25">
      <c r="A44" t="s">
        <v>171</v>
      </c>
      <c r="D44" t="s">
        <v>171</v>
      </c>
    </row>
    <row r="45" spans="1:4" x14ac:dyDescent="0.25">
      <c r="A45" t="s">
        <v>304</v>
      </c>
      <c r="D45" t="s">
        <v>304</v>
      </c>
    </row>
    <row r="46" spans="1:4" x14ac:dyDescent="0.25">
      <c r="A46" s="30" t="s">
        <v>305</v>
      </c>
      <c r="D46" t="s">
        <v>305</v>
      </c>
    </row>
    <row r="47" spans="1:4" x14ac:dyDescent="0.25">
      <c r="A47" t="s">
        <v>306</v>
      </c>
      <c r="D47" t="s">
        <v>306</v>
      </c>
    </row>
    <row r="48" spans="1:4" x14ac:dyDescent="0.25">
      <c r="A48" t="s">
        <v>307</v>
      </c>
      <c r="D48" t="s">
        <v>307</v>
      </c>
    </row>
    <row r="49" spans="1:4" x14ac:dyDescent="0.25">
      <c r="A49" t="s">
        <v>308</v>
      </c>
      <c r="D49" t="s">
        <v>308</v>
      </c>
    </row>
    <row r="50" spans="1:4" x14ac:dyDescent="0.25">
      <c r="A50" t="s">
        <v>309</v>
      </c>
      <c r="D50" t="s">
        <v>309</v>
      </c>
    </row>
    <row r="51" spans="1:4" x14ac:dyDescent="0.25">
      <c r="A51" t="s">
        <v>310</v>
      </c>
      <c r="D51" t="s">
        <v>310</v>
      </c>
    </row>
    <row r="52" spans="1:4" x14ac:dyDescent="0.25">
      <c r="A52" s="29" t="s">
        <v>311</v>
      </c>
      <c r="D52" t="s">
        <v>311</v>
      </c>
    </row>
    <row r="53" spans="1:4" x14ac:dyDescent="0.25">
      <c r="A53" t="s">
        <v>312</v>
      </c>
      <c r="D53" t="s">
        <v>312</v>
      </c>
    </row>
    <row r="54" spans="1:4" x14ac:dyDescent="0.25">
      <c r="A54" t="s">
        <v>313</v>
      </c>
      <c r="D54" t="s">
        <v>313</v>
      </c>
    </row>
    <row r="55" spans="1:4" x14ac:dyDescent="0.25">
      <c r="A55" t="s">
        <v>314</v>
      </c>
      <c r="D55" t="s">
        <v>314</v>
      </c>
    </row>
    <row r="56" spans="1:4" x14ac:dyDescent="0.25">
      <c r="A56" s="32" t="s">
        <v>315</v>
      </c>
      <c r="D56" t="s">
        <v>315</v>
      </c>
    </row>
    <row r="57" spans="1:4" x14ac:dyDescent="0.25">
      <c r="A57" t="s">
        <v>316</v>
      </c>
      <c r="D57" t="s">
        <v>316</v>
      </c>
    </row>
    <row r="58" spans="1:4" x14ac:dyDescent="0.25">
      <c r="A58" t="s">
        <v>318</v>
      </c>
      <c r="D58" t="s">
        <v>318</v>
      </c>
    </row>
    <row r="59" spans="1:4" x14ac:dyDescent="0.25">
      <c r="A59" t="s">
        <v>319</v>
      </c>
      <c r="D59" t="s">
        <v>319</v>
      </c>
    </row>
    <row r="60" spans="1:4" x14ac:dyDescent="0.25">
      <c r="A60" t="s">
        <v>439</v>
      </c>
      <c r="D60" t="s">
        <v>439</v>
      </c>
    </row>
    <row r="61" spans="1:4" x14ac:dyDescent="0.25">
      <c r="A61" t="s">
        <v>321</v>
      </c>
      <c r="D61" t="s">
        <v>321</v>
      </c>
    </row>
    <row r="62" spans="1:4" x14ac:dyDescent="0.25">
      <c r="A62" t="s">
        <v>322</v>
      </c>
      <c r="D62" t="s">
        <v>322</v>
      </c>
    </row>
    <row r="63" spans="1:4" x14ac:dyDescent="0.25">
      <c r="A63" t="s">
        <v>323</v>
      </c>
      <c r="D63" t="s">
        <v>323</v>
      </c>
    </row>
    <row r="64" spans="1:4" x14ac:dyDescent="0.25">
      <c r="A64" t="s">
        <v>324</v>
      </c>
      <c r="D64" t="s">
        <v>324</v>
      </c>
    </row>
    <row r="65" spans="1:4" x14ac:dyDescent="0.25">
      <c r="A65" s="32" t="s">
        <v>325</v>
      </c>
      <c r="D65" t="s">
        <v>325</v>
      </c>
    </row>
    <row r="66" spans="1:4" x14ac:dyDescent="0.25">
      <c r="A66" t="s">
        <v>326</v>
      </c>
      <c r="D66" t="s">
        <v>326</v>
      </c>
    </row>
    <row r="67" spans="1:4" x14ac:dyDescent="0.25">
      <c r="A67" t="s">
        <v>328</v>
      </c>
      <c r="D67" t="s">
        <v>328</v>
      </c>
    </row>
    <row r="68" spans="1:4" x14ac:dyDescent="0.25">
      <c r="A68" t="s">
        <v>389</v>
      </c>
      <c r="D68" t="s">
        <v>389</v>
      </c>
    </row>
    <row r="69" spans="1:4" x14ac:dyDescent="0.25">
      <c r="A69" t="s">
        <v>390</v>
      </c>
      <c r="D69" t="s">
        <v>390</v>
      </c>
    </row>
    <row r="70" spans="1:4" x14ac:dyDescent="0.25">
      <c r="A70" t="s">
        <v>391</v>
      </c>
      <c r="D70" t="s">
        <v>391</v>
      </c>
    </row>
    <row r="71" spans="1:4" x14ac:dyDescent="0.25">
      <c r="A71" t="s">
        <v>392</v>
      </c>
      <c r="D71" t="s">
        <v>392</v>
      </c>
    </row>
    <row r="72" spans="1:4" x14ac:dyDescent="0.25">
      <c r="A72" t="s">
        <v>393</v>
      </c>
      <c r="D72" t="s">
        <v>393</v>
      </c>
    </row>
    <row r="73" spans="1:4" x14ac:dyDescent="0.25">
      <c r="A73" t="s">
        <v>394</v>
      </c>
      <c r="D73" t="s">
        <v>394</v>
      </c>
    </row>
    <row r="74" spans="1:4" x14ac:dyDescent="0.25">
      <c r="A74" t="s">
        <v>395</v>
      </c>
      <c r="D74" t="s">
        <v>395</v>
      </c>
    </row>
    <row r="75" spans="1:4" x14ac:dyDescent="0.25">
      <c r="A75" t="s">
        <v>396</v>
      </c>
      <c r="D75" t="s">
        <v>396</v>
      </c>
    </row>
    <row r="76" spans="1:4" x14ac:dyDescent="0.25">
      <c r="A76" t="s">
        <v>397</v>
      </c>
      <c r="D76" t="s">
        <v>397</v>
      </c>
    </row>
    <row r="77" spans="1:4" x14ac:dyDescent="0.25">
      <c r="A77" t="s">
        <v>438</v>
      </c>
      <c r="D77" t="s">
        <v>438</v>
      </c>
    </row>
    <row r="78" spans="1:4" x14ac:dyDescent="0.25">
      <c r="A78" t="s">
        <v>399</v>
      </c>
      <c r="D78" t="s">
        <v>399</v>
      </c>
    </row>
    <row r="79" spans="1:4" x14ac:dyDescent="0.25">
      <c r="A79" t="s">
        <v>400</v>
      </c>
      <c r="D79" t="s">
        <v>400</v>
      </c>
    </row>
    <row r="80" spans="1:4" x14ac:dyDescent="0.25">
      <c r="A80" t="s">
        <v>401</v>
      </c>
      <c r="D80" t="s">
        <v>401</v>
      </c>
    </row>
    <row r="81" spans="1:4" x14ac:dyDescent="0.25">
      <c r="A81" t="s">
        <v>402</v>
      </c>
      <c r="D81" t="s">
        <v>402</v>
      </c>
    </row>
  </sheetData>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12</vt:i4>
      </vt:variant>
      <vt:variant>
        <vt:lpstr>טווחים בעלי שם</vt:lpstr>
      </vt:variant>
      <vt:variant>
        <vt:i4>1</vt:i4>
      </vt:variant>
    </vt:vector>
  </HeadingPairs>
  <TitlesOfParts>
    <vt:vector size="13" baseType="lpstr">
      <vt:lpstr>Working file- semi Matlab </vt:lpstr>
      <vt:lpstr>win22_3 (Matlab input)</vt:lpstr>
      <vt:lpstr>Lab raw data</vt:lpstr>
      <vt:lpstr>Raw data extraction</vt:lpstr>
      <vt:lpstr>low detection materials-ETES </vt:lpstr>
      <vt:lpstr>runoff components-ETES</vt:lpstr>
      <vt:lpstr>Channels vs field-ETES</vt:lpstr>
      <vt:lpstr>1st vs 2nd storm2-ETES</vt:lpstr>
      <vt:lpstr>dominance by flowpath-ETES</vt:lpstr>
      <vt:lpstr>loc_name-Matlab input</vt:lpstr>
      <vt:lpstr>loc names- Matlab inut</vt:lpstr>
      <vt:lpstr>win22_pestNames-Matlab input</vt:lpstr>
      <vt:lpstr>'Raw data extraction'!WPrint_Area_W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Shulamit Nussboim</dc:creator>
  <cp:lastModifiedBy>Shulamit Nussboim</cp:lastModifiedBy>
  <dcterms:created xsi:type="dcterms:W3CDTF">2022-02-21T14:09:26Z</dcterms:created>
  <dcterms:modified xsi:type="dcterms:W3CDTF">2025-03-16T06:52:46Z</dcterms:modified>
</cp:coreProperties>
</file>