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Shulamit\PhD\Chemistry\"/>
    </mc:Choice>
  </mc:AlternateContent>
  <xr:revisionPtr revIDLastSave="0" documentId="13_ncr:1_{1B388A42-535D-43DC-8AFA-63950505BC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גיליון1" sheetId="1" r:id="rId1"/>
    <sheet name="Bottles sorted by type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1" l="1"/>
  <c r="W3" i="1"/>
  <c r="W11" i="1"/>
  <c r="W13" i="1"/>
  <c r="W12" i="1"/>
  <c r="Y14" i="1"/>
  <c r="Y12" i="1"/>
  <c r="Y13" i="1"/>
  <c r="Y11" i="1"/>
  <c r="O11" i="1"/>
  <c r="Q11" i="1"/>
  <c r="S11" i="1"/>
  <c r="U11" i="1"/>
  <c r="W14" i="1"/>
  <c r="U13" i="1"/>
  <c r="U12" i="1"/>
  <c r="U14" i="1"/>
  <c r="S12" i="1"/>
  <c r="S13" i="1"/>
  <c r="S14" i="1"/>
  <c r="Q12" i="1"/>
  <c r="Q13" i="1"/>
  <c r="Q14" i="1"/>
  <c r="O12" i="1"/>
  <c r="O13" i="1"/>
  <c r="O14" i="1"/>
  <c r="M25" i="2" l="1"/>
  <c r="M22" i="2"/>
  <c r="M20" i="2"/>
</calcChain>
</file>

<file path=xl/sharedStrings.xml><?xml version="1.0" encoding="utf-8"?>
<sst xmlns="http://schemas.openxmlformats.org/spreadsheetml/2006/main" count="390" uniqueCount="218">
  <si>
    <t>EF- east field</t>
  </si>
  <si>
    <t>WF- West filed</t>
  </si>
  <si>
    <t>The number to the left is the location</t>
  </si>
  <si>
    <t>010-depth of 0-10cm</t>
  </si>
  <si>
    <t>2030- depth of 20-30 cm</t>
  </si>
  <si>
    <t>1SEF010</t>
  </si>
  <si>
    <t>1SEF2030</t>
  </si>
  <si>
    <t>2SEF010</t>
  </si>
  <si>
    <t>2SEF2030</t>
  </si>
  <si>
    <t>3SEF010</t>
  </si>
  <si>
    <t>3SEF2030</t>
  </si>
  <si>
    <t>4SEF010</t>
  </si>
  <si>
    <t>4SEF2030</t>
  </si>
  <si>
    <t>1SWF010</t>
  </si>
  <si>
    <t>1SWF2030</t>
  </si>
  <si>
    <t>2SWF010</t>
  </si>
  <si>
    <t>2SWF2030</t>
  </si>
  <si>
    <t>Samples list:</t>
  </si>
  <si>
    <t xml:space="preserve">Soil samples from 18/11/21, </t>
  </si>
  <si>
    <t>41SEF010</t>
  </si>
  <si>
    <t>41SEF2030</t>
  </si>
  <si>
    <t>21SEF010</t>
  </si>
  <si>
    <t>21SEF2030</t>
  </si>
  <si>
    <t>31SEF010</t>
  </si>
  <si>
    <t>31SEF2030</t>
  </si>
  <si>
    <t>11SEF010</t>
  </si>
  <si>
    <t>11SEF2030</t>
  </si>
  <si>
    <t>41SWF010</t>
  </si>
  <si>
    <t>41SWF2030</t>
  </si>
  <si>
    <t>21SWF010</t>
  </si>
  <si>
    <t>21SWF2030</t>
  </si>
  <si>
    <t>11SWF010</t>
  </si>
  <si>
    <t>SEF010</t>
  </si>
  <si>
    <t>SEF2030</t>
  </si>
  <si>
    <t>SWF010</t>
  </si>
  <si>
    <t>Soil- 1st round</t>
  </si>
  <si>
    <t>Soil- 2nd round</t>
  </si>
  <si>
    <t>OPWF14</t>
  </si>
  <si>
    <t>O-onion</t>
  </si>
  <si>
    <t>P-ponding water</t>
  </si>
  <si>
    <t>C-cotton</t>
  </si>
  <si>
    <t>W-wheat</t>
  </si>
  <si>
    <t>WF9</t>
  </si>
  <si>
    <t>CWF15</t>
  </si>
  <si>
    <t>WWM</t>
  </si>
  <si>
    <t>WW-WESTWEST</t>
  </si>
  <si>
    <t>M-Manhole</t>
  </si>
  <si>
    <t>WFWF8</t>
  </si>
  <si>
    <t>EF1</t>
  </si>
  <si>
    <t>EF3</t>
  </si>
  <si>
    <t>EF4</t>
  </si>
  <si>
    <t>EF2</t>
  </si>
  <si>
    <t>EF5</t>
  </si>
  <si>
    <t>EF6</t>
  </si>
  <si>
    <t>EF7</t>
  </si>
  <si>
    <t>S</t>
  </si>
  <si>
    <t>WPD</t>
  </si>
  <si>
    <t>WPSh</t>
  </si>
  <si>
    <t>Piezometers-no purging</t>
  </si>
  <si>
    <t>EPD</t>
  </si>
  <si>
    <t>EPSh</t>
  </si>
  <si>
    <t>Piezometers-1 purging</t>
  </si>
  <si>
    <t>1WPzD</t>
  </si>
  <si>
    <t>1EPzD</t>
  </si>
  <si>
    <t>1WPzSh</t>
  </si>
  <si>
    <t>1EPzSh</t>
  </si>
  <si>
    <t>12:45?</t>
  </si>
  <si>
    <t>Pz-piezometer (in the first round only P)</t>
  </si>
  <si>
    <t>Sample Id</t>
  </si>
  <si>
    <t>Time</t>
  </si>
  <si>
    <t>S-stream</t>
  </si>
  <si>
    <t>WF14</t>
  </si>
  <si>
    <t>18/</t>
  </si>
  <si>
    <t>16/1/2022 After weekend</t>
  </si>
  <si>
    <t>SCWF15010</t>
  </si>
  <si>
    <t>SCWF152030</t>
  </si>
  <si>
    <t>SOWF14010</t>
  </si>
  <si>
    <t>SOWF142030</t>
  </si>
  <si>
    <t>11SWF2030</t>
  </si>
  <si>
    <t>P2</t>
  </si>
  <si>
    <t>Piezometers-2 purging</t>
  </si>
  <si>
    <t>2WPzD</t>
  </si>
  <si>
    <t>2WPzSh</t>
  </si>
  <si>
    <t>2EPzD</t>
  </si>
  <si>
    <t>2EPzSh</t>
  </si>
  <si>
    <t>Flowpaths-2st round</t>
  </si>
  <si>
    <t>Flowpaths-1st round</t>
  </si>
  <si>
    <t>Comments</t>
  </si>
  <si>
    <t>כנראה טובע חלקית התעלת ניקוז משנית</t>
  </si>
  <si>
    <t>בשונה מהרגיל ללא סדימנטים רבים בתחתית</t>
  </si>
  <si>
    <t>הצנצנת היתה מלאה בסדימנטים ולכן נאספו מים מהבור של ה-RCU במקום.</t>
  </si>
  <si>
    <t>דוגמה צלולה</t>
  </si>
  <si>
    <t>דוגמה עכורה מסדימנטים</t>
  </si>
  <si>
    <t>2OPF14</t>
  </si>
  <si>
    <t>Piezometers-3 purging</t>
  </si>
  <si>
    <t>3WPzD</t>
  </si>
  <si>
    <t>3WPzSh</t>
  </si>
  <si>
    <t>3EPzD</t>
  </si>
  <si>
    <t>3EPzSh</t>
  </si>
  <si>
    <t>EEM</t>
  </si>
  <si>
    <t>מים חומים זרמו בבוקר</t>
  </si>
  <si>
    <t>ב-9:30 "שוקו" זרם לתוך הבקבוק ונדגם גם מהזרם עצמו (I2EF6). בצנצנת שב-RCU היו מעט מים ומלא סדימנטים. ב-14:00 נלקחה דגמה נוספת (F2EF6)</t>
  </si>
  <si>
    <t>Piezometers-4 purging</t>
  </si>
  <si>
    <t>4WPzD</t>
  </si>
  <si>
    <t>4WPzSh</t>
  </si>
  <si>
    <t>4EPzD</t>
  </si>
  <si>
    <t>4EPzSh</t>
  </si>
  <si>
    <t>12:10:00 *stopped to do the shallow purging, then back to th deep</t>
  </si>
  <si>
    <t>דוגמה אבדה, נלקחה אחרת במקומה מתעלת הניקוז הראשית</t>
  </si>
  <si>
    <t>Piezometers-5 purging</t>
  </si>
  <si>
    <t>5WPzD</t>
  </si>
  <si>
    <t>5WPzSh</t>
  </si>
  <si>
    <t>5EPzD</t>
  </si>
  <si>
    <t>5EPzSh</t>
  </si>
  <si>
    <t>נאספו ב-12.1 14:00-15:00</t>
  </si>
  <si>
    <t xml:space="preserve">נשלחו לאנליזה </t>
  </si>
  <si>
    <t>לנווה יער:</t>
  </si>
  <si>
    <t>6WPzD</t>
  </si>
  <si>
    <t>6WPzSh</t>
  </si>
  <si>
    <t>6EPzD</t>
  </si>
  <si>
    <t>6EPzSh</t>
  </si>
  <si>
    <t>WM</t>
  </si>
  <si>
    <t>3S</t>
  </si>
  <si>
    <t>2EF4</t>
  </si>
  <si>
    <t>2EF3</t>
  </si>
  <si>
    <t>2EF1</t>
  </si>
  <si>
    <t>2EF2</t>
  </si>
  <si>
    <t>2EF5</t>
  </si>
  <si>
    <t>2EF6</t>
  </si>
  <si>
    <t>2F2EF6</t>
  </si>
  <si>
    <t>2I2EF6</t>
  </si>
  <si>
    <t>2EF7</t>
  </si>
  <si>
    <t>2WF8</t>
  </si>
  <si>
    <t>2WF9</t>
  </si>
  <si>
    <t>2WF10</t>
  </si>
  <si>
    <t>2WF12</t>
  </si>
  <si>
    <t>2WF18</t>
  </si>
  <si>
    <t>2WF17</t>
  </si>
  <si>
    <t>2WF16</t>
  </si>
  <si>
    <t>2WF15</t>
  </si>
  <si>
    <t>2S</t>
  </si>
  <si>
    <t>S-soil sample (as prefix)</t>
  </si>
  <si>
    <t>Soil samples</t>
  </si>
  <si>
    <t>Flowpaths samples</t>
  </si>
  <si>
    <t>No</t>
  </si>
  <si>
    <t>Piezometers</t>
  </si>
  <si>
    <t>Stream</t>
  </si>
  <si>
    <t>Pipes and manholes</t>
  </si>
  <si>
    <t>15-16</t>
  </si>
  <si>
    <t>17-18</t>
  </si>
  <si>
    <t>19-20</t>
  </si>
  <si>
    <t>21-22</t>
  </si>
  <si>
    <t>Proposed composite of soil samples</t>
  </si>
  <si>
    <t>Sum total:</t>
  </si>
  <si>
    <t>Total costs:</t>
  </si>
  <si>
    <t>2SCWF15010</t>
  </si>
  <si>
    <t>2SCWF15011</t>
  </si>
  <si>
    <t>2SOWF14010</t>
  </si>
  <si>
    <t>2SOWF142030</t>
  </si>
  <si>
    <t>נאספו ב-25.1</t>
  </si>
  <si>
    <t>Water</t>
  </si>
  <si>
    <t>2SCWF152030</t>
  </si>
  <si>
    <t>pipes sampling (only pipe 2 -West- was unsubmerged)</t>
  </si>
  <si>
    <t>Date+Time</t>
  </si>
  <si>
    <t>Pesticides only</t>
  </si>
  <si>
    <t>Nutrients only</t>
  </si>
  <si>
    <t>4P2</t>
  </si>
  <si>
    <t>5P2</t>
  </si>
  <si>
    <t>6P2</t>
  </si>
  <si>
    <t>נמסרו לנווה יער:</t>
  </si>
  <si>
    <t>SWF010 10:00</t>
  </si>
  <si>
    <t>SWF2030 10:00</t>
  </si>
  <si>
    <t>SEF2030 10:31</t>
  </si>
  <si>
    <t>SEF010 10:30</t>
  </si>
  <si>
    <t>וכן שאריות מדיגום קרקע בתחילת החורף:(לאחר שרציתי לדעת מה היו ריכוזי הנוטריינטים ההתחלתיים לעונה)</t>
  </si>
  <si>
    <t>0SEF010</t>
  </si>
  <si>
    <t>0SEF2030</t>
  </si>
  <si>
    <t>0SWF010</t>
  </si>
  <si>
    <t>7P2</t>
  </si>
  <si>
    <t>8P2</t>
  </si>
  <si>
    <t>1S</t>
  </si>
  <si>
    <t>9P2</t>
  </si>
  <si>
    <t>Kishon Jalame (quary)</t>
  </si>
  <si>
    <t xml:space="preserve"> 4-7</t>
  </si>
  <si>
    <t xml:space="preserve"> 8-9</t>
  </si>
  <si>
    <t xml:space="preserve"> 10-11</t>
  </si>
  <si>
    <t xml:space="preserve"> 12-13</t>
  </si>
  <si>
    <t xml:space="preserve"> 19-20</t>
  </si>
  <si>
    <t xml:space="preserve"> 21 22</t>
  </si>
  <si>
    <t>23-24</t>
  </si>
  <si>
    <t xml:space="preserve"> 5-6</t>
  </si>
  <si>
    <t xml:space="preserve"> 17-18</t>
  </si>
  <si>
    <t xml:space="preserve"> 21-22</t>
  </si>
  <si>
    <t xml:space="preserve"> 23-24</t>
  </si>
  <si>
    <t xml:space="preserve"> 1-2</t>
  </si>
  <si>
    <t xml:space="preserve"> 3-5</t>
  </si>
  <si>
    <t xml:space="preserve"> 6-8</t>
  </si>
  <si>
    <t xml:space="preserve"> 9-11</t>
  </si>
  <si>
    <t xml:space="preserve"> 19-21</t>
  </si>
  <si>
    <t>&gt;was not analyzed</t>
  </si>
  <si>
    <t>מים נקיים יותר אחהצ</t>
  </si>
  <si>
    <t>WF10</t>
  </si>
  <si>
    <t>מלא בסדימנטים. נאסף ידנית</t>
  </si>
  <si>
    <t>Was collected after 8 days, was in muddy area. This sample collected first surfaceflow, but maybe later mixed with ponding water</t>
  </si>
  <si>
    <t>שוחה מוצפת</t>
  </si>
  <si>
    <t>שוחה לא מוצפת</t>
  </si>
  <si>
    <t>נראה לא טובע בתעלת ניקוז משנית. דוגמה זו נאספה ממים עומדים בבוקר מיד לאחר הסערה (שיא הסערה היה בשבת אחרי הצהריים ובמוצאי שבת בלילה והדוגמה נאספה בראשון בבוקר).</t>
  </si>
  <si>
    <t>27/1/22-after rainy afternoon and night o Wednesday. Was sampled late because I had to be in LSPIV. Oh No…</t>
  </si>
  <si>
    <r>
      <t>נאספו ב-1</t>
    </r>
    <r>
      <rPr>
        <strike/>
        <sz val="11"/>
        <color theme="1"/>
        <rFont val="Arial"/>
        <family val="2"/>
        <scheme val="minor"/>
      </rPr>
      <t>8</t>
    </r>
    <r>
      <rPr>
        <sz val="11"/>
        <color theme="1"/>
        <rFont val="Arial"/>
        <family val="2"/>
        <charset val="177"/>
        <scheme val="minor"/>
      </rPr>
      <t xml:space="preserve">.16.1.22 12:00 </t>
    </r>
  </si>
  <si>
    <t>ב-16 היתה סופה, יותר הגיוני ב-18</t>
  </si>
  <si>
    <t xml:space="preserve">אולי בכלל נאספו ב-25.12 </t>
  </si>
  <si>
    <t>התמלא בסדימנטים. נאסף ידנית ממעלה תעלת הניקוז המשנית (במעלה של WF17).</t>
  </si>
  <si>
    <t>*WWM-WM1 in groundwater paper</t>
  </si>
  <si>
    <t>WWM*</t>
  </si>
  <si>
    <t>EEM*</t>
  </si>
  <si>
    <t>WM3 in groundwater paper</t>
  </si>
  <si>
    <t>WM*</t>
  </si>
  <si>
    <t>*WM2 in groundwater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</si>
</sst>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2" borderId="0" xfId="0" applyFont="1" applyFill="1"/>
    <xf numFmtId="0" fontId="2" fillId="0" borderId="0" xfId="0" applyFont="1"/>
    <xf numFmtId="14" fontId="1" fillId="0" borderId="0" xfId="0" applyNumberFormat="1" applyFont="1"/>
    <xf numFmtId="16" fontId="0" fillId="0" borderId="0" xfId="0" applyNumberFormat="1"/>
    <xf numFmtId="16" fontId="1" fillId="0" borderId="0" xfId="0" applyNumberFormat="1" applyFont="1"/>
    <xf numFmtId="2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2" fillId="2" borderId="0" xfId="0" applyNumberFormat="1" applyFont="1" applyFill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0" fontId="0" fillId="5" borderId="0" xfId="0" applyNumberFormat="1" applyFill="1"/>
    <xf numFmtId="0" fontId="3" fillId="0" borderId="0" xfId="0" applyFont="1"/>
    <xf numFmtId="14" fontId="1" fillId="2" borderId="0" xfId="0" applyNumberFormat="1" applyFont="1" applyFill="1"/>
    <xf numFmtId="20" fontId="0" fillId="3" borderId="0" xfId="0" applyNumberFormat="1" applyFill="1"/>
    <xf numFmtId="22" fontId="0" fillId="3" borderId="0" xfId="0" applyNumberFormat="1" applyFill="1"/>
    <xf numFmtId="0" fontId="0" fillId="0" borderId="0" xfId="0" applyAlignment="1">
      <alignment horizontal="left"/>
    </xf>
    <xf numFmtId="0" fontId="0" fillId="6" borderId="0" xfId="0" applyFill="1"/>
    <xf numFmtId="14" fontId="4" fillId="0" borderId="0" xfId="0" applyNumberFormat="1" applyFont="1"/>
    <xf numFmtId="14" fontId="0" fillId="0" borderId="0" xfId="0" applyNumberForma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43"/>
  <sheetViews>
    <sheetView tabSelected="1" topLeftCell="M7" workbookViewId="0">
      <selection activeCell="X27" sqref="X27"/>
    </sheetView>
  </sheetViews>
  <sheetFormatPr defaultRowHeight="13.8" x14ac:dyDescent="0.25"/>
  <cols>
    <col min="1" max="1" width="9.8984375" bestFit="1" customWidth="1"/>
    <col min="3" max="3" width="9.8984375" bestFit="1" customWidth="1"/>
    <col min="11" max="11" width="19.59765625" customWidth="1"/>
    <col min="14" max="14" width="9.8984375" bestFit="1" customWidth="1"/>
    <col min="15" max="15" width="15" bestFit="1" customWidth="1"/>
    <col min="16" max="16" width="9.8984375" bestFit="1" customWidth="1"/>
    <col min="17" max="17" width="16.796875" customWidth="1"/>
    <col min="18" max="18" width="9.8984375" bestFit="1" customWidth="1"/>
    <col min="20" max="20" width="9.8984375" bestFit="1" customWidth="1"/>
    <col min="21" max="21" width="15" bestFit="1" customWidth="1"/>
    <col min="22" max="22" width="10.3984375" customWidth="1"/>
    <col min="23" max="23" width="9.8984375" style="9" bestFit="1" customWidth="1"/>
    <col min="24" max="24" width="9.8984375" bestFit="1" customWidth="1"/>
    <col min="25" max="25" width="15" bestFit="1" customWidth="1"/>
    <col min="26" max="26" width="15" customWidth="1"/>
    <col min="28" max="28" width="15" bestFit="1" customWidth="1"/>
    <col min="29" max="31" width="9.8984375" bestFit="1" customWidth="1"/>
  </cols>
  <sheetData>
    <row r="2" spans="1:31" x14ac:dyDescent="0.25">
      <c r="A2" t="s">
        <v>18</v>
      </c>
      <c r="P2" t="s">
        <v>45</v>
      </c>
    </row>
    <row r="3" spans="1:31" x14ac:dyDescent="0.25">
      <c r="A3" t="s">
        <v>0</v>
      </c>
      <c r="C3" t="s">
        <v>3</v>
      </c>
      <c r="G3" t="s">
        <v>4</v>
      </c>
      <c r="M3" t="s">
        <v>67</v>
      </c>
      <c r="P3" t="s">
        <v>46</v>
      </c>
      <c r="W3" s="9">
        <f>$V$9+W9</f>
        <v>44593</v>
      </c>
    </row>
    <row r="4" spans="1:31" x14ac:dyDescent="0.25">
      <c r="A4" t="s">
        <v>1</v>
      </c>
    </row>
    <row r="5" spans="1:31" x14ac:dyDescent="0.25">
      <c r="A5" t="s">
        <v>141</v>
      </c>
      <c r="C5" t="s">
        <v>2</v>
      </c>
      <c r="I5" t="s">
        <v>38</v>
      </c>
      <c r="L5" t="s">
        <v>39</v>
      </c>
      <c r="N5" t="s">
        <v>40</v>
      </c>
      <c r="P5" t="s">
        <v>41</v>
      </c>
    </row>
    <row r="6" spans="1:31" x14ac:dyDescent="0.25">
      <c r="C6" t="s">
        <v>72</v>
      </c>
      <c r="N6" t="s">
        <v>70</v>
      </c>
    </row>
    <row r="7" spans="1:31" x14ac:dyDescent="0.25">
      <c r="A7" s="1" t="s">
        <v>17</v>
      </c>
      <c r="C7" s="1" t="s">
        <v>36</v>
      </c>
    </row>
    <row r="8" spans="1:31" s="1" customFormat="1" x14ac:dyDescent="0.25">
      <c r="A8" s="1" t="s">
        <v>35</v>
      </c>
      <c r="C8" s="24">
        <v>44550</v>
      </c>
      <c r="E8" s="1" t="s">
        <v>86</v>
      </c>
      <c r="I8" s="1" t="s">
        <v>85</v>
      </c>
      <c r="L8" s="1" t="s">
        <v>58</v>
      </c>
      <c r="N8" s="1" t="s">
        <v>61</v>
      </c>
      <c r="P8" s="1" t="s">
        <v>80</v>
      </c>
      <c r="R8" s="1" t="s">
        <v>94</v>
      </c>
      <c r="T8" s="1" t="s">
        <v>102</v>
      </c>
      <c r="V8" s="1" t="s">
        <v>109</v>
      </c>
      <c r="W8" s="10"/>
      <c r="X8" s="1" t="s">
        <v>109</v>
      </c>
      <c r="Y8" s="10"/>
      <c r="Z8" s="10"/>
      <c r="AA8" s="1" t="s">
        <v>162</v>
      </c>
      <c r="AC8" s="1" t="s">
        <v>146</v>
      </c>
      <c r="AD8" s="1" t="s">
        <v>146</v>
      </c>
      <c r="AE8" s="1" t="s">
        <v>146</v>
      </c>
    </row>
    <row r="9" spans="1:31" s="1" customFormat="1" x14ac:dyDescent="0.25">
      <c r="A9" s="5">
        <v>44518</v>
      </c>
      <c r="C9" s="5">
        <v>44920</v>
      </c>
      <c r="E9" s="1" t="s">
        <v>73</v>
      </c>
      <c r="I9" s="1" t="s">
        <v>207</v>
      </c>
      <c r="L9" s="7">
        <v>44573</v>
      </c>
      <c r="N9" s="5">
        <v>44584</v>
      </c>
      <c r="P9" s="5">
        <v>44586</v>
      </c>
      <c r="R9" s="5">
        <v>44588</v>
      </c>
      <c r="T9" s="5">
        <v>44591</v>
      </c>
      <c r="V9" s="5">
        <v>44593</v>
      </c>
      <c r="W9" s="10"/>
      <c r="X9" s="5">
        <v>44595</v>
      </c>
      <c r="Y9" s="10"/>
      <c r="Z9" s="10"/>
      <c r="AC9" s="5">
        <v>44551</v>
      </c>
      <c r="AD9" s="5">
        <v>44588</v>
      </c>
      <c r="AE9" s="5">
        <v>44619</v>
      </c>
    </row>
    <row r="10" spans="1:31" s="4" customFormat="1" x14ac:dyDescent="0.25">
      <c r="A10" s="3" t="s">
        <v>68</v>
      </c>
      <c r="B10" s="3" t="s">
        <v>69</v>
      </c>
      <c r="C10" s="3" t="s">
        <v>68</v>
      </c>
      <c r="D10" s="3" t="s">
        <v>69</v>
      </c>
      <c r="E10" s="3" t="s">
        <v>68</v>
      </c>
      <c r="F10" s="3"/>
      <c r="G10" s="3" t="s">
        <v>69</v>
      </c>
      <c r="H10" s="3"/>
      <c r="I10" s="3"/>
      <c r="J10" s="3"/>
      <c r="K10" s="3" t="s">
        <v>87</v>
      </c>
      <c r="L10" s="3" t="s">
        <v>68</v>
      </c>
      <c r="M10" s="3" t="s">
        <v>69</v>
      </c>
      <c r="N10" s="3" t="s">
        <v>68</v>
      </c>
      <c r="O10" s="3" t="s">
        <v>69</v>
      </c>
      <c r="P10" s="3" t="s">
        <v>68</v>
      </c>
      <c r="Q10" s="3" t="s">
        <v>69</v>
      </c>
      <c r="R10" s="3" t="s">
        <v>68</v>
      </c>
      <c r="S10" s="3" t="s">
        <v>69</v>
      </c>
      <c r="T10" s="3" t="s">
        <v>68</v>
      </c>
      <c r="U10" s="3" t="s">
        <v>69</v>
      </c>
      <c r="V10" s="3" t="s">
        <v>68</v>
      </c>
      <c r="W10" s="11" t="s">
        <v>69</v>
      </c>
      <c r="X10" s="3" t="s">
        <v>68</v>
      </c>
      <c r="Y10" s="11" t="s">
        <v>69</v>
      </c>
      <c r="Z10" s="11"/>
      <c r="AA10" s="3" t="s">
        <v>68</v>
      </c>
      <c r="AB10" s="11" t="s">
        <v>163</v>
      </c>
      <c r="AC10" s="3" t="s">
        <v>68</v>
      </c>
      <c r="AD10" s="3" t="s">
        <v>68</v>
      </c>
      <c r="AE10" s="3" t="s">
        <v>68</v>
      </c>
    </row>
    <row r="11" spans="1:31" x14ac:dyDescent="0.25">
      <c r="A11" s="16" t="s">
        <v>5</v>
      </c>
      <c r="B11" s="17">
        <v>0.6875</v>
      </c>
      <c r="C11" s="16" t="s">
        <v>19</v>
      </c>
      <c r="D11" s="16">
        <v>0.41666666666666669</v>
      </c>
      <c r="E11" t="s">
        <v>37</v>
      </c>
      <c r="G11" s="2">
        <v>0.4375</v>
      </c>
      <c r="H11" s="2"/>
      <c r="I11" t="s">
        <v>123</v>
      </c>
      <c r="J11" s="2">
        <v>0.58333333333333337</v>
      </c>
      <c r="K11" s="2" t="s">
        <v>206</v>
      </c>
      <c r="L11" t="s">
        <v>56</v>
      </c>
      <c r="M11" s="2">
        <v>0.5625</v>
      </c>
      <c r="N11" t="s">
        <v>62</v>
      </c>
      <c r="O11" s="8">
        <f>$N$9+O17</f>
        <v>44584.486111111109</v>
      </c>
      <c r="P11" t="s">
        <v>81</v>
      </c>
      <c r="Q11" s="2">
        <f>$P$9+Q17</f>
        <v>44586.442361111112</v>
      </c>
      <c r="R11" t="s">
        <v>95</v>
      </c>
      <c r="S11" s="2">
        <f>$R$9+S17</f>
        <v>44588.645833333336</v>
      </c>
      <c r="T11" t="s">
        <v>103</v>
      </c>
      <c r="U11" s="8">
        <f>$T$9+U17</f>
        <v>44591.4375</v>
      </c>
      <c r="V11" t="s">
        <v>110</v>
      </c>
      <c r="W11" s="9">
        <f>$V$9+W17</f>
        <v>44593.430555555555</v>
      </c>
      <c r="X11" t="s">
        <v>117</v>
      </c>
      <c r="Y11" s="8">
        <f>$X$9+Y19</f>
        <v>44595.472222222219</v>
      </c>
      <c r="Z11" s="8"/>
      <c r="AA11" t="s">
        <v>166</v>
      </c>
      <c r="AB11" s="25">
        <v>44614.40625</v>
      </c>
      <c r="AC11" s="6" t="s">
        <v>190</v>
      </c>
      <c r="AD11" s="6" t="s">
        <v>183</v>
      </c>
      <c r="AE11" s="6" t="s">
        <v>194</v>
      </c>
    </row>
    <row r="12" spans="1:31" x14ac:dyDescent="0.25">
      <c r="A12" s="16" t="s">
        <v>6</v>
      </c>
      <c r="B12" s="17">
        <v>0.67708333333333337</v>
      </c>
      <c r="C12" s="16" t="s">
        <v>20</v>
      </c>
      <c r="D12" s="16">
        <v>0.42708333333333331</v>
      </c>
      <c r="E12" t="s">
        <v>201</v>
      </c>
      <c r="G12" s="2">
        <v>0.54166666666666663</v>
      </c>
      <c r="H12" s="2"/>
      <c r="I12" t="s">
        <v>124</v>
      </c>
      <c r="J12" s="2">
        <v>0.58680555555555558</v>
      </c>
      <c r="K12" s="2" t="s">
        <v>88</v>
      </c>
      <c r="L12" t="s">
        <v>57</v>
      </c>
      <c r="M12" s="2">
        <v>0.57291666666666663</v>
      </c>
      <c r="N12" t="s">
        <v>64</v>
      </c>
      <c r="O12" s="8">
        <f t="shared" ref="O12:O14" si="0">$N$9+O18</f>
        <v>44584.472222222219</v>
      </c>
      <c r="P12" t="s">
        <v>82</v>
      </c>
      <c r="Q12" s="2">
        <f t="shared" ref="Q12:Q14" si="1">$P$9+Q18</f>
        <v>44586.451388888891</v>
      </c>
      <c r="R12" t="s">
        <v>96</v>
      </c>
      <c r="S12" s="2">
        <f t="shared" ref="S12:S14" si="2">$R$9+S18</f>
        <v>44588.645833333336</v>
      </c>
      <c r="T12" t="s">
        <v>104</v>
      </c>
      <c r="U12" s="8">
        <f t="shared" ref="U12:U14" si="3">$T$9+U18</f>
        <v>44591.447916666664</v>
      </c>
      <c r="V12" t="s">
        <v>111</v>
      </c>
      <c r="W12" s="9">
        <f>$V$9+W18</f>
        <v>44593.444444444445</v>
      </c>
      <c r="X12" t="s">
        <v>118</v>
      </c>
      <c r="Y12" s="8">
        <f t="shared" ref="Y12:Y13" si="4">$X$9+Y20</f>
        <v>44595.472222222219</v>
      </c>
      <c r="Z12" s="8"/>
      <c r="AA12" t="s">
        <v>167</v>
      </c>
      <c r="AB12" s="8">
        <v>44615.385416666664</v>
      </c>
      <c r="AC12" t="s">
        <v>148</v>
      </c>
      <c r="AD12" t="s">
        <v>184</v>
      </c>
      <c r="AE12" t="s">
        <v>195</v>
      </c>
    </row>
    <row r="13" spans="1:31" x14ac:dyDescent="0.25">
      <c r="A13" s="16" t="s">
        <v>7</v>
      </c>
      <c r="B13" s="17">
        <v>0.6875</v>
      </c>
      <c r="C13" s="16" t="s">
        <v>21</v>
      </c>
      <c r="D13" s="16">
        <v>0.4375</v>
      </c>
      <c r="E13" t="s">
        <v>43</v>
      </c>
      <c r="G13" s="2">
        <v>0.51041666666666663</v>
      </c>
      <c r="H13" s="2"/>
      <c r="I13" t="s">
        <v>125</v>
      </c>
      <c r="J13" s="2">
        <v>0.58680555555555558</v>
      </c>
      <c r="K13" s="2"/>
      <c r="L13" t="s">
        <v>59</v>
      </c>
      <c r="M13" s="2">
        <v>0.60416666666666663</v>
      </c>
      <c r="N13" t="s">
        <v>63</v>
      </c>
      <c r="O13" s="8">
        <f t="shared" si="0"/>
        <v>44584.4375</v>
      </c>
      <c r="P13" t="s">
        <v>83</v>
      </c>
      <c r="Q13" s="2">
        <f t="shared" si="1"/>
        <v>44586.506944444445</v>
      </c>
      <c r="R13" t="s">
        <v>97</v>
      </c>
      <c r="S13" s="2">
        <f t="shared" si="2"/>
        <v>44588.725694444445</v>
      </c>
      <c r="T13" t="s">
        <v>105</v>
      </c>
      <c r="U13" s="8">
        <f>$T$9+T19</f>
        <v>44591.506944444445</v>
      </c>
      <c r="V13" t="s">
        <v>112</v>
      </c>
      <c r="W13" s="9">
        <f>$V$9+W19</f>
        <v>44593.5</v>
      </c>
      <c r="X13" t="s">
        <v>119</v>
      </c>
      <c r="Y13" s="8">
        <f t="shared" si="4"/>
        <v>44595.5625</v>
      </c>
      <c r="Z13" s="8"/>
      <c r="AA13" t="s">
        <v>168</v>
      </c>
      <c r="AB13" s="8">
        <v>44616.586805555555</v>
      </c>
      <c r="AC13" t="s">
        <v>149</v>
      </c>
      <c r="AD13" t="s">
        <v>185</v>
      </c>
      <c r="AE13" t="s">
        <v>196</v>
      </c>
    </row>
    <row r="14" spans="1:31" x14ac:dyDescent="0.25">
      <c r="A14" s="16" t="s">
        <v>8</v>
      </c>
      <c r="B14" s="17">
        <v>0.67708333333333337</v>
      </c>
      <c r="C14" s="16" t="s">
        <v>22</v>
      </c>
      <c r="D14" s="16">
        <v>0.44791666666666669</v>
      </c>
      <c r="E14" s="14" t="s">
        <v>213</v>
      </c>
      <c r="F14" s="14"/>
      <c r="G14" s="20">
        <v>0.52083333333333337</v>
      </c>
      <c r="H14" s="20" t="s">
        <v>204</v>
      </c>
      <c r="I14" t="s">
        <v>126</v>
      </c>
      <c r="J14" s="2">
        <v>0.59027777777777779</v>
      </c>
      <c r="K14" s="2"/>
      <c r="L14" t="s">
        <v>60</v>
      </c>
      <c r="M14" s="2">
        <v>0.60763888888888895</v>
      </c>
      <c r="N14" t="s">
        <v>65</v>
      </c>
      <c r="O14" s="8">
        <f t="shared" si="0"/>
        <v>44584.427083333336</v>
      </c>
      <c r="P14" t="s">
        <v>84</v>
      </c>
      <c r="Q14" s="2">
        <f t="shared" si="1"/>
        <v>44586.5</v>
      </c>
      <c r="R14" t="s">
        <v>98</v>
      </c>
      <c r="S14" s="2">
        <f t="shared" si="2"/>
        <v>44588.725694444445</v>
      </c>
      <c r="T14" t="s">
        <v>106</v>
      </c>
      <c r="U14" s="8">
        <f t="shared" si="3"/>
        <v>44591.503472222219</v>
      </c>
      <c r="V14" t="s">
        <v>113</v>
      </c>
      <c r="W14" s="9">
        <f t="shared" ref="W14" si="5">$V$9+W20</f>
        <v>44593.493055555555</v>
      </c>
      <c r="X14" t="s">
        <v>120</v>
      </c>
      <c r="Y14" s="8">
        <f>$X$9+Y22</f>
        <v>44595.5625</v>
      </c>
      <c r="Z14" s="8"/>
      <c r="AA14" t="s">
        <v>178</v>
      </c>
      <c r="AB14" s="8">
        <v>44616.930555555555</v>
      </c>
      <c r="AC14" t="s">
        <v>150</v>
      </c>
      <c r="AD14" t="s">
        <v>186</v>
      </c>
      <c r="AE14" t="s">
        <v>197</v>
      </c>
    </row>
    <row r="15" spans="1:31" x14ac:dyDescent="0.25">
      <c r="A15" s="16" t="s">
        <v>9</v>
      </c>
      <c r="B15" s="17">
        <v>0.6875</v>
      </c>
      <c r="C15" s="16" t="s">
        <v>23</v>
      </c>
      <c r="D15" s="16">
        <v>0.45833333333333331</v>
      </c>
      <c r="E15" t="s">
        <v>47</v>
      </c>
      <c r="G15" t="s">
        <v>66</v>
      </c>
      <c r="I15" s="2" t="s">
        <v>127</v>
      </c>
      <c r="J15" s="2">
        <v>0.59027777777777779</v>
      </c>
      <c r="K15" s="2" t="s">
        <v>89</v>
      </c>
      <c r="L15" s="14" t="s">
        <v>79</v>
      </c>
      <c r="M15" s="20">
        <v>0.625</v>
      </c>
      <c r="AA15" t="s">
        <v>179</v>
      </c>
      <c r="AB15" s="8">
        <v>44617.534722222219</v>
      </c>
      <c r="AC15" s="3" t="s">
        <v>151</v>
      </c>
      <c r="AD15" t="s">
        <v>150</v>
      </c>
      <c r="AE15" t="s">
        <v>198</v>
      </c>
    </row>
    <row r="16" spans="1:31" x14ac:dyDescent="0.25">
      <c r="A16" s="16" t="s">
        <v>10</v>
      </c>
      <c r="B16" s="17">
        <v>0.66388888888888886</v>
      </c>
      <c r="C16" s="16" t="s">
        <v>24</v>
      </c>
      <c r="D16" s="16">
        <v>0.46875</v>
      </c>
      <c r="E16" t="s">
        <v>48</v>
      </c>
      <c r="G16" s="2">
        <v>0.5625</v>
      </c>
      <c r="H16" s="2"/>
      <c r="I16" t="s">
        <v>128</v>
      </c>
      <c r="J16" s="2">
        <v>0.39583333333333331</v>
      </c>
      <c r="K16" s="2" t="s">
        <v>101</v>
      </c>
      <c r="L16" s="23" t="s">
        <v>55</v>
      </c>
      <c r="M16" s="2">
        <v>0.63194444444444442</v>
      </c>
      <c r="X16" s="14" t="s">
        <v>216</v>
      </c>
      <c r="Y16" s="20">
        <v>0.57291666666666663</v>
      </c>
      <c r="Z16" s="20" t="s">
        <v>204</v>
      </c>
      <c r="AA16" t="s">
        <v>181</v>
      </c>
      <c r="AB16" s="8">
        <v>44619.618055555555</v>
      </c>
      <c r="AC16" t="s">
        <v>189</v>
      </c>
      <c r="AD16" t="s">
        <v>151</v>
      </c>
      <c r="AE16" s="22">
        <v>22</v>
      </c>
    </row>
    <row r="17" spans="1:30" x14ac:dyDescent="0.25">
      <c r="A17" s="16" t="s">
        <v>11</v>
      </c>
      <c r="B17" s="17">
        <v>0.67361111111111116</v>
      </c>
      <c r="C17" s="16" t="s">
        <v>25</v>
      </c>
      <c r="D17" s="16">
        <v>0.47916666666666669</v>
      </c>
      <c r="E17" t="s">
        <v>49</v>
      </c>
      <c r="G17" s="2">
        <v>0.5625</v>
      </c>
      <c r="H17" s="2"/>
      <c r="I17" t="s">
        <v>129</v>
      </c>
      <c r="J17" s="2">
        <v>0.58333333333333337</v>
      </c>
      <c r="K17" s="2" t="s">
        <v>200</v>
      </c>
      <c r="O17" s="2">
        <v>0.4861111111111111</v>
      </c>
      <c r="Q17" s="2">
        <v>0.44236111111111115</v>
      </c>
      <c r="S17" s="2">
        <v>0.64583333333333337</v>
      </c>
      <c r="U17" s="2">
        <v>0.4375</v>
      </c>
      <c r="W17" s="9">
        <v>0.43055555555555558</v>
      </c>
      <c r="X17" s="23" t="s">
        <v>122</v>
      </c>
      <c r="Y17" s="2">
        <v>0.58333333333333337</v>
      </c>
      <c r="Z17" s="2"/>
      <c r="AD17" t="s">
        <v>189</v>
      </c>
    </row>
    <row r="18" spans="1:30" x14ac:dyDescent="0.25">
      <c r="A18" s="16" t="s">
        <v>12</v>
      </c>
      <c r="B18" s="17">
        <v>0.72222222222222221</v>
      </c>
      <c r="C18" s="16" t="s">
        <v>26</v>
      </c>
      <c r="D18" s="16">
        <v>0.48958333333333331</v>
      </c>
      <c r="E18" t="s">
        <v>50</v>
      </c>
      <c r="G18" s="2">
        <v>0.59375</v>
      </c>
      <c r="H18" s="2"/>
      <c r="I18" t="s">
        <v>130</v>
      </c>
      <c r="J18" s="2">
        <v>0.39583333333333331</v>
      </c>
      <c r="K18" t="s">
        <v>100</v>
      </c>
      <c r="O18" s="2">
        <v>0.47222222222222227</v>
      </c>
      <c r="Q18" s="2">
        <v>0.4513888888888889</v>
      </c>
      <c r="S18" s="2">
        <v>0.64583333333333337</v>
      </c>
      <c r="U18" s="2">
        <v>0.44791666666666669</v>
      </c>
      <c r="W18" s="9">
        <v>0.44444444444444442</v>
      </c>
    </row>
    <row r="19" spans="1:30" x14ac:dyDescent="0.25">
      <c r="A19" s="16"/>
      <c r="B19" s="16"/>
      <c r="C19" s="16" t="s">
        <v>27</v>
      </c>
      <c r="D19" s="16">
        <v>0.5</v>
      </c>
      <c r="E19" t="s">
        <v>51</v>
      </c>
      <c r="G19" s="2">
        <v>0.59722222222222221</v>
      </c>
      <c r="H19" s="2"/>
      <c r="I19" t="s">
        <v>131</v>
      </c>
      <c r="J19" s="2">
        <v>0.39930555555555558</v>
      </c>
      <c r="O19" s="2">
        <v>0.4375</v>
      </c>
      <c r="Q19" s="2">
        <v>0.50694444444444442</v>
      </c>
      <c r="S19" s="2">
        <v>0.72569444444444453</v>
      </c>
      <c r="T19" s="2">
        <v>0.50694444444444442</v>
      </c>
      <c r="U19" s="2" t="s">
        <v>107</v>
      </c>
      <c r="W19" s="9">
        <v>0.5</v>
      </c>
      <c r="Y19" s="9">
        <v>0.47222222222222227</v>
      </c>
      <c r="Z19" s="9"/>
      <c r="AB19" t="s">
        <v>169</v>
      </c>
    </row>
    <row r="20" spans="1:30" x14ac:dyDescent="0.25">
      <c r="A20" s="16" t="s">
        <v>13</v>
      </c>
      <c r="B20" s="17">
        <v>0.71875</v>
      </c>
      <c r="C20" s="16" t="s">
        <v>28</v>
      </c>
      <c r="D20" s="16">
        <v>0.51041666666666663</v>
      </c>
      <c r="E20" t="s">
        <v>52</v>
      </c>
      <c r="G20" s="2">
        <v>0.60069444444444442</v>
      </c>
      <c r="H20" s="2"/>
      <c r="I20" t="s">
        <v>132</v>
      </c>
      <c r="J20" s="2">
        <v>0.54166666666666663</v>
      </c>
      <c r="K20" t="s">
        <v>91</v>
      </c>
      <c r="O20" s="2">
        <v>0.42708333333333331</v>
      </c>
      <c r="Q20" s="2">
        <v>0.5</v>
      </c>
      <c r="S20" s="2">
        <v>0.72569444444444453</v>
      </c>
      <c r="U20" s="2">
        <v>0.50347222222222221</v>
      </c>
      <c r="W20" s="9">
        <v>0.49305555555555558</v>
      </c>
      <c r="Y20" s="9">
        <v>0.47222222222222227</v>
      </c>
      <c r="Z20" s="9"/>
      <c r="AB20" s="15" t="s">
        <v>170</v>
      </c>
    </row>
    <row r="21" spans="1:30" x14ac:dyDescent="0.25">
      <c r="A21" s="16" t="s">
        <v>14</v>
      </c>
      <c r="B21" s="17">
        <v>0.71875</v>
      </c>
      <c r="C21" s="16" t="s">
        <v>29</v>
      </c>
      <c r="D21" s="16">
        <v>0.52083333333333337</v>
      </c>
      <c r="E21" t="s">
        <v>53</v>
      </c>
      <c r="F21" s="2" t="s">
        <v>90</v>
      </c>
      <c r="G21" s="2">
        <v>0.60763888888888895</v>
      </c>
      <c r="H21" s="2"/>
      <c r="I21" s="2" t="s">
        <v>133</v>
      </c>
      <c r="J21" s="2">
        <v>0.54166666666666663</v>
      </c>
      <c r="K21" t="s">
        <v>91</v>
      </c>
      <c r="Y21" s="9">
        <v>0.5625</v>
      </c>
      <c r="Z21" s="9"/>
      <c r="AB21" s="15" t="s">
        <v>171</v>
      </c>
    </row>
    <row r="22" spans="1:30" x14ac:dyDescent="0.25">
      <c r="A22" s="16" t="s">
        <v>15</v>
      </c>
      <c r="B22" s="17">
        <v>0.73263888888888884</v>
      </c>
      <c r="C22" s="16" t="s">
        <v>30</v>
      </c>
      <c r="D22" s="16">
        <v>0.53125</v>
      </c>
      <c r="E22" t="s">
        <v>54</v>
      </c>
      <c r="G22" s="2">
        <v>0.60416666666666663</v>
      </c>
      <c r="H22" s="2"/>
      <c r="I22" t="s">
        <v>134</v>
      </c>
      <c r="J22" s="2">
        <v>0.54513888888888895</v>
      </c>
      <c r="P22" s="14" t="s">
        <v>214</v>
      </c>
      <c r="Q22" s="21">
        <v>44586.645833333336</v>
      </c>
      <c r="R22" s="21" t="s">
        <v>205</v>
      </c>
      <c r="Y22" s="9">
        <v>0.5625</v>
      </c>
      <c r="Z22" s="9"/>
      <c r="AB22" s="15" t="s">
        <v>173</v>
      </c>
    </row>
    <row r="23" spans="1:30" x14ac:dyDescent="0.25">
      <c r="A23" s="16" t="s">
        <v>16</v>
      </c>
      <c r="B23" s="17">
        <v>0.72916666666666663</v>
      </c>
      <c r="C23" s="16" t="s">
        <v>31</v>
      </c>
      <c r="D23" s="16">
        <v>0.53819444444444442</v>
      </c>
      <c r="E23" s="23" t="s">
        <v>55</v>
      </c>
      <c r="G23" s="2">
        <v>0.58333333333333337</v>
      </c>
      <c r="H23" s="2"/>
      <c r="I23" t="s">
        <v>135</v>
      </c>
      <c r="J23" s="2">
        <v>0.54861111111111105</v>
      </c>
      <c r="AB23" s="15" t="s">
        <v>172</v>
      </c>
    </row>
    <row r="24" spans="1:30" x14ac:dyDescent="0.25">
      <c r="A24" s="16"/>
      <c r="B24" s="16"/>
      <c r="C24" s="16" t="s">
        <v>78</v>
      </c>
      <c r="D24" s="16">
        <v>0.54513888888888895</v>
      </c>
      <c r="E24" t="s">
        <v>71</v>
      </c>
      <c r="G24" t="s">
        <v>203</v>
      </c>
      <c r="I24" t="s">
        <v>136</v>
      </c>
      <c r="J24" s="2">
        <v>0.5</v>
      </c>
      <c r="K24" t="s">
        <v>108</v>
      </c>
      <c r="P24" t="s">
        <v>215</v>
      </c>
      <c r="AB24" s="15" t="s">
        <v>174</v>
      </c>
    </row>
    <row r="25" spans="1:30" x14ac:dyDescent="0.25">
      <c r="C25" t="s">
        <v>115</v>
      </c>
      <c r="I25" t="s">
        <v>137</v>
      </c>
      <c r="J25" s="2">
        <v>0.50347222222222221</v>
      </c>
      <c r="K25" t="s">
        <v>202</v>
      </c>
      <c r="AB25" s="15" t="s">
        <v>175</v>
      </c>
    </row>
    <row r="26" spans="1:30" x14ac:dyDescent="0.25">
      <c r="A26" s="16" t="s">
        <v>164</v>
      </c>
      <c r="C26" t="s">
        <v>116</v>
      </c>
      <c r="I26" t="s">
        <v>138</v>
      </c>
      <c r="J26" s="2">
        <v>0.51388888888888895</v>
      </c>
      <c r="K26" t="s">
        <v>211</v>
      </c>
      <c r="AB26" s="15" t="s">
        <v>176</v>
      </c>
    </row>
    <row r="27" spans="1:30" x14ac:dyDescent="0.25">
      <c r="A27" s="15" t="s">
        <v>165</v>
      </c>
      <c r="C27" s="15" t="s">
        <v>32</v>
      </c>
      <c r="E27" t="s">
        <v>212</v>
      </c>
      <c r="I27" t="s">
        <v>139</v>
      </c>
      <c r="J27" s="2">
        <v>0.50694444444444442</v>
      </c>
      <c r="K27" t="s">
        <v>92</v>
      </c>
      <c r="X27" t="s">
        <v>217</v>
      </c>
      <c r="AB27" s="15" t="s">
        <v>177</v>
      </c>
    </row>
    <row r="28" spans="1:30" x14ac:dyDescent="0.25">
      <c r="C28" s="15" t="s">
        <v>33</v>
      </c>
      <c r="I28" s="23" t="s">
        <v>140</v>
      </c>
      <c r="J28" s="2">
        <v>0.69444444444444453</v>
      </c>
      <c r="R28">
        <f>42/95</f>
        <v>0.44210526315789472</v>
      </c>
    </row>
    <row r="29" spans="1:30" x14ac:dyDescent="0.25">
      <c r="C29" s="15" t="s">
        <v>34</v>
      </c>
      <c r="I29" t="s">
        <v>93</v>
      </c>
      <c r="J29" s="2">
        <v>0.71875</v>
      </c>
    </row>
    <row r="30" spans="1:30" x14ac:dyDescent="0.25">
      <c r="C30" s="15" t="s">
        <v>33</v>
      </c>
    </row>
    <row r="31" spans="1:30" x14ac:dyDescent="0.25">
      <c r="K31" t="s">
        <v>159</v>
      </c>
    </row>
    <row r="32" spans="1:30" x14ac:dyDescent="0.25">
      <c r="B32" t="s">
        <v>209</v>
      </c>
      <c r="D32" t="s">
        <v>208</v>
      </c>
      <c r="E32" t="s">
        <v>210</v>
      </c>
      <c r="I32" s="16" t="s">
        <v>155</v>
      </c>
    </row>
    <row r="33" spans="3:9" x14ac:dyDescent="0.25">
      <c r="C33" s="16" t="s">
        <v>74</v>
      </c>
      <c r="I33" s="16" t="s">
        <v>156</v>
      </c>
    </row>
    <row r="34" spans="3:9" x14ac:dyDescent="0.25">
      <c r="C34" s="16" t="s">
        <v>75</v>
      </c>
      <c r="I34" s="16" t="s">
        <v>157</v>
      </c>
    </row>
    <row r="35" spans="3:9" x14ac:dyDescent="0.25">
      <c r="C35" s="16" t="s">
        <v>76</v>
      </c>
      <c r="I35" s="16" t="s">
        <v>158</v>
      </c>
    </row>
    <row r="36" spans="3:9" x14ac:dyDescent="0.25">
      <c r="C36" s="16" t="s">
        <v>77</v>
      </c>
    </row>
    <row r="37" spans="3:9" x14ac:dyDescent="0.25">
      <c r="D37" t="s">
        <v>114</v>
      </c>
    </row>
    <row r="38" spans="3:9" x14ac:dyDescent="0.25">
      <c r="C38" t="s">
        <v>79</v>
      </c>
      <c r="D38" s="2">
        <v>0.625</v>
      </c>
      <c r="E38" s="6">
        <v>44573</v>
      </c>
      <c r="F38" s="6"/>
    </row>
    <row r="39" spans="3:9" x14ac:dyDescent="0.25">
      <c r="C39" t="s">
        <v>55</v>
      </c>
      <c r="D39" s="2">
        <v>0.63194444444444442</v>
      </c>
      <c r="E39" s="6">
        <v>44573</v>
      </c>
      <c r="F39" s="6"/>
    </row>
    <row r="40" spans="3:9" x14ac:dyDescent="0.25">
      <c r="C40" t="s">
        <v>56</v>
      </c>
      <c r="D40" s="2">
        <v>0.5625</v>
      </c>
      <c r="E40" s="6">
        <v>44573</v>
      </c>
      <c r="F40" s="6"/>
    </row>
    <row r="41" spans="3:9" x14ac:dyDescent="0.25">
      <c r="C41" t="s">
        <v>57</v>
      </c>
      <c r="D41" s="2">
        <v>0.57291666666666663</v>
      </c>
      <c r="E41" s="6">
        <v>44573</v>
      </c>
      <c r="F41" s="6"/>
    </row>
    <row r="42" spans="3:9" x14ac:dyDescent="0.25">
      <c r="C42" t="s">
        <v>59</v>
      </c>
      <c r="D42" s="2">
        <v>0.61111111111111105</v>
      </c>
      <c r="E42" s="6">
        <v>44573</v>
      </c>
      <c r="F42" s="6"/>
    </row>
    <row r="43" spans="3:9" x14ac:dyDescent="0.25">
      <c r="C43" t="s">
        <v>60</v>
      </c>
      <c r="D43" s="2">
        <v>0.61458333333333337</v>
      </c>
      <c r="E43" s="6">
        <v>44573</v>
      </c>
      <c r="F43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34"/>
  <sheetViews>
    <sheetView workbookViewId="0">
      <selection activeCell="P29" sqref="P29"/>
    </sheetView>
  </sheetViews>
  <sheetFormatPr defaultRowHeight="13.8" x14ac:dyDescent="0.25"/>
  <cols>
    <col min="4" max="4" width="14" customWidth="1"/>
    <col min="12" max="12" width="10.59765625" customWidth="1"/>
    <col min="14" max="14" width="9.8984375" bestFit="1" customWidth="1"/>
  </cols>
  <sheetData>
    <row r="3" spans="1:14" s="1" customFormat="1" ht="41.4" x14ac:dyDescent="0.25">
      <c r="A3" s="1" t="s">
        <v>144</v>
      </c>
      <c r="B3" s="1" t="s">
        <v>142</v>
      </c>
      <c r="D3" s="12" t="s">
        <v>152</v>
      </c>
      <c r="F3" s="1" t="s">
        <v>143</v>
      </c>
      <c r="I3" s="1" t="s">
        <v>145</v>
      </c>
      <c r="K3" s="1" t="s">
        <v>147</v>
      </c>
      <c r="M3" s="1" t="s">
        <v>146</v>
      </c>
      <c r="N3" s="1" t="s">
        <v>182</v>
      </c>
    </row>
    <row r="4" spans="1:14" x14ac:dyDescent="0.25">
      <c r="A4" s="1">
        <v>1</v>
      </c>
      <c r="B4" t="s">
        <v>5</v>
      </c>
      <c r="C4" s="1">
        <v>1</v>
      </c>
      <c r="D4" s="14" t="s">
        <v>9</v>
      </c>
      <c r="E4" s="1">
        <v>1</v>
      </c>
      <c r="F4" t="s">
        <v>37</v>
      </c>
      <c r="H4" s="1">
        <v>1</v>
      </c>
      <c r="I4" t="s">
        <v>56</v>
      </c>
      <c r="J4" s="1">
        <v>1</v>
      </c>
      <c r="K4" t="s">
        <v>79</v>
      </c>
      <c r="L4" s="1">
        <v>1</v>
      </c>
      <c r="M4" t="s">
        <v>55</v>
      </c>
      <c r="N4" s="5">
        <v>44582</v>
      </c>
    </row>
    <row r="5" spans="1:14" x14ac:dyDescent="0.25">
      <c r="A5" s="1">
        <v>2</v>
      </c>
      <c r="B5" t="s">
        <v>6</v>
      </c>
      <c r="C5" s="1">
        <v>2</v>
      </c>
      <c r="D5" s="14" t="s">
        <v>10</v>
      </c>
      <c r="E5" s="1">
        <v>2</v>
      </c>
      <c r="F5" t="s">
        <v>42</v>
      </c>
      <c r="H5" s="1">
        <v>2</v>
      </c>
      <c r="I5" t="s">
        <v>57</v>
      </c>
      <c r="J5" s="1">
        <v>2</v>
      </c>
      <c r="K5" t="s">
        <v>99</v>
      </c>
      <c r="L5" s="1">
        <v>2</v>
      </c>
      <c r="M5" t="s">
        <v>180</v>
      </c>
      <c r="N5" s="6" t="s">
        <v>183</v>
      </c>
    </row>
    <row r="6" spans="1:14" x14ac:dyDescent="0.25">
      <c r="A6" s="1">
        <v>3</v>
      </c>
      <c r="B6" t="s">
        <v>7</v>
      </c>
      <c r="C6" s="1">
        <v>3</v>
      </c>
      <c r="D6" s="14" t="s">
        <v>7</v>
      </c>
      <c r="E6" s="1">
        <v>3</v>
      </c>
      <c r="F6" t="s">
        <v>43</v>
      </c>
      <c r="H6" s="1">
        <v>3</v>
      </c>
      <c r="I6" t="s">
        <v>59</v>
      </c>
      <c r="J6" s="1">
        <v>3</v>
      </c>
      <c r="K6" t="s">
        <v>121</v>
      </c>
      <c r="L6" s="1">
        <v>3</v>
      </c>
      <c r="M6" t="s">
        <v>140</v>
      </c>
      <c r="N6" s="18" t="s">
        <v>184</v>
      </c>
    </row>
    <row r="7" spans="1:14" x14ac:dyDescent="0.25">
      <c r="A7" s="1">
        <v>4</v>
      </c>
      <c r="B7" t="s">
        <v>8</v>
      </c>
      <c r="C7" s="1">
        <v>4</v>
      </c>
      <c r="D7" s="14" t="s">
        <v>8</v>
      </c>
      <c r="E7" s="1">
        <v>4</v>
      </c>
      <c r="F7" t="s">
        <v>44</v>
      </c>
      <c r="H7" s="1">
        <v>4</v>
      </c>
      <c r="I7" t="s">
        <v>60</v>
      </c>
      <c r="J7" s="1">
        <v>4</v>
      </c>
      <c r="K7" t="s">
        <v>44</v>
      </c>
      <c r="L7" s="1">
        <v>4</v>
      </c>
      <c r="M7" t="s">
        <v>122</v>
      </c>
      <c r="N7" t="s">
        <v>185</v>
      </c>
    </row>
    <row r="8" spans="1:14" x14ac:dyDescent="0.25">
      <c r="A8" s="1">
        <v>5</v>
      </c>
      <c r="B8" t="s">
        <v>9</v>
      </c>
      <c r="C8" s="1">
        <v>5</v>
      </c>
      <c r="D8" s="14" t="s">
        <v>15</v>
      </c>
      <c r="E8" s="1">
        <v>5</v>
      </c>
      <c r="F8" t="s">
        <v>47</v>
      </c>
      <c r="H8" s="1">
        <v>5</v>
      </c>
      <c r="I8" t="s">
        <v>62</v>
      </c>
      <c r="J8" s="1">
        <v>5</v>
      </c>
      <c r="K8" t="s">
        <v>166</v>
      </c>
      <c r="L8" s="1"/>
      <c r="N8" t="s">
        <v>186</v>
      </c>
    </row>
    <row r="9" spans="1:14" x14ac:dyDescent="0.25">
      <c r="A9" s="1">
        <v>6</v>
      </c>
      <c r="B9" t="s">
        <v>10</v>
      </c>
      <c r="C9" s="1">
        <v>6</v>
      </c>
      <c r="D9" s="14" t="s">
        <v>16</v>
      </c>
      <c r="E9" s="1">
        <v>6</v>
      </c>
      <c r="F9" t="s">
        <v>48</v>
      </c>
      <c r="H9" s="1">
        <v>6</v>
      </c>
      <c r="I9" t="s">
        <v>64</v>
      </c>
      <c r="J9" s="1">
        <v>6</v>
      </c>
      <c r="K9" t="s">
        <v>167</v>
      </c>
      <c r="L9" s="1"/>
      <c r="N9" t="s">
        <v>187</v>
      </c>
    </row>
    <row r="10" spans="1:14" x14ac:dyDescent="0.25">
      <c r="A10" s="1">
        <v>7</v>
      </c>
      <c r="B10" t="s">
        <v>11</v>
      </c>
      <c r="C10" s="1">
        <v>7</v>
      </c>
      <c r="D10" t="s">
        <v>74</v>
      </c>
      <c r="E10" s="1">
        <v>7</v>
      </c>
      <c r="F10" t="s">
        <v>49</v>
      </c>
      <c r="H10" s="1">
        <v>7</v>
      </c>
      <c r="I10" t="s">
        <v>63</v>
      </c>
      <c r="J10" s="1">
        <v>7</v>
      </c>
      <c r="K10" t="s">
        <v>168</v>
      </c>
      <c r="L10" s="1"/>
      <c r="N10" t="s">
        <v>188</v>
      </c>
    </row>
    <row r="11" spans="1:14" x14ac:dyDescent="0.25">
      <c r="A11" s="1">
        <v>8</v>
      </c>
      <c r="B11" t="s">
        <v>12</v>
      </c>
      <c r="C11" s="1">
        <v>8</v>
      </c>
      <c r="D11" t="s">
        <v>75</v>
      </c>
      <c r="E11" s="1">
        <v>8</v>
      </c>
      <c r="F11" t="s">
        <v>50</v>
      </c>
      <c r="H11" s="1">
        <v>8</v>
      </c>
      <c r="I11" t="s">
        <v>65</v>
      </c>
      <c r="J11" s="1">
        <v>8</v>
      </c>
      <c r="K11" t="s">
        <v>178</v>
      </c>
      <c r="L11" s="1"/>
      <c r="N11" t="s">
        <v>189</v>
      </c>
    </row>
    <row r="12" spans="1:14" x14ac:dyDescent="0.25">
      <c r="A12" s="1">
        <v>9</v>
      </c>
      <c r="B12" t="s">
        <v>13</v>
      </c>
      <c r="C12" s="1">
        <v>9</v>
      </c>
      <c r="D12" s="14" t="s">
        <v>76</v>
      </c>
      <c r="E12" s="1">
        <v>9</v>
      </c>
      <c r="F12" t="s">
        <v>51</v>
      </c>
      <c r="H12" s="1">
        <v>9</v>
      </c>
      <c r="I12" t="s">
        <v>81</v>
      </c>
      <c r="J12" s="1">
        <v>9</v>
      </c>
      <c r="K12" t="s">
        <v>179</v>
      </c>
      <c r="L12" s="1"/>
      <c r="N12" s="5">
        <v>44916</v>
      </c>
    </row>
    <row r="13" spans="1:14" x14ac:dyDescent="0.25">
      <c r="A13" s="1">
        <v>10</v>
      </c>
      <c r="B13" t="s">
        <v>14</v>
      </c>
      <c r="C13" s="1">
        <v>10</v>
      </c>
      <c r="D13" s="14" t="s">
        <v>77</v>
      </c>
      <c r="E13" s="1">
        <v>10</v>
      </c>
      <c r="F13" t="s">
        <v>52</v>
      </c>
      <c r="H13" s="1">
        <v>10</v>
      </c>
      <c r="I13" t="s">
        <v>82</v>
      </c>
      <c r="J13" s="1">
        <v>10</v>
      </c>
      <c r="K13" t="s">
        <v>181</v>
      </c>
      <c r="L13" s="1"/>
      <c r="N13" t="s">
        <v>190</v>
      </c>
    </row>
    <row r="14" spans="1:14" x14ac:dyDescent="0.25">
      <c r="A14" s="1">
        <v>11</v>
      </c>
      <c r="B14" t="s">
        <v>15</v>
      </c>
      <c r="C14" s="1">
        <v>11</v>
      </c>
      <c r="D14" s="14" t="s">
        <v>23</v>
      </c>
      <c r="E14" s="1">
        <v>11</v>
      </c>
      <c r="F14" t="s">
        <v>53</v>
      </c>
      <c r="H14" s="1">
        <v>11</v>
      </c>
      <c r="I14" t="s">
        <v>83</v>
      </c>
      <c r="J14" s="1"/>
      <c r="L14" s="1"/>
      <c r="N14" t="s">
        <v>148</v>
      </c>
    </row>
    <row r="15" spans="1:14" x14ac:dyDescent="0.25">
      <c r="A15" s="1">
        <v>12</v>
      </c>
      <c r="B15" t="s">
        <v>16</v>
      </c>
      <c r="C15" s="1">
        <v>12</v>
      </c>
      <c r="D15" s="14" t="s">
        <v>24</v>
      </c>
      <c r="E15" s="1">
        <v>12</v>
      </c>
      <c r="F15" t="s">
        <v>54</v>
      </c>
      <c r="H15" s="1">
        <v>12</v>
      </c>
      <c r="I15" t="s">
        <v>84</v>
      </c>
      <c r="J15" s="1"/>
      <c r="L15" s="1"/>
      <c r="N15" t="s">
        <v>191</v>
      </c>
    </row>
    <row r="16" spans="1:14" x14ac:dyDescent="0.25">
      <c r="A16" s="1">
        <v>13</v>
      </c>
      <c r="B16" t="s">
        <v>19</v>
      </c>
      <c r="C16" s="1">
        <v>13</v>
      </c>
      <c r="D16" s="14" t="s">
        <v>21</v>
      </c>
      <c r="E16" s="1">
        <v>13</v>
      </c>
      <c r="F16" t="s">
        <v>71</v>
      </c>
      <c r="H16" s="1">
        <v>13</v>
      </c>
      <c r="I16" t="s">
        <v>95</v>
      </c>
      <c r="J16" s="1"/>
      <c r="L16" s="1"/>
      <c r="N16" t="s">
        <v>187</v>
      </c>
    </row>
    <row r="17" spans="1:15" x14ac:dyDescent="0.25">
      <c r="A17" s="1">
        <v>14</v>
      </c>
      <c r="B17" t="s">
        <v>20</v>
      </c>
      <c r="C17" s="1">
        <v>14</v>
      </c>
      <c r="D17" s="14" t="s">
        <v>22</v>
      </c>
      <c r="E17" s="1">
        <v>14</v>
      </c>
      <c r="F17" t="s">
        <v>123</v>
      </c>
      <c r="H17" s="1">
        <v>14</v>
      </c>
      <c r="I17" t="s">
        <v>96</v>
      </c>
      <c r="J17" s="1"/>
      <c r="L17" s="1"/>
      <c r="N17" t="s">
        <v>192</v>
      </c>
    </row>
    <row r="18" spans="1:15" x14ac:dyDescent="0.25">
      <c r="A18" s="1">
        <v>15</v>
      </c>
      <c r="B18" t="s">
        <v>21</v>
      </c>
      <c r="C18" s="1">
        <v>15</v>
      </c>
      <c r="D18" s="14" t="s">
        <v>29</v>
      </c>
      <c r="E18" s="1">
        <v>15</v>
      </c>
      <c r="F18" t="s">
        <v>124</v>
      </c>
      <c r="H18" s="1">
        <v>15</v>
      </c>
      <c r="I18" t="s">
        <v>97</v>
      </c>
      <c r="J18" s="1"/>
      <c r="L18" s="1"/>
      <c r="N18" t="s">
        <v>193</v>
      </c>
    </row>
    <row r="19" spans="1:15" x14ac:dyDescent="0.25">
      <c r="A19" s="1">
        <v>16</v>
      </c>
      <c r="B19" t="s">
        <v>22</v>
      </c>
      <c r="C19" s="1">
        <v>16</v>
      </c>
      <c r="D19" s="14" t="s">
        <v>30</v>
      </c>
      <c r="E19" s="1">
        <v>16</v>
      </c>
      <c r="F19" t="s">
        <v>125</v>
      </c>
      <c r="H19" s="1">
        <v>16</v>
      </c>
      <c r="I19" t="s">
        <v>98</v>
      </c>
      <c r="J19" s="1"/>
      <c r="L19" s="1"/>
      <c r="N19" s="5">
        <v>44619</v>
      </c>
    </row>
    <row r="20" spans="1:15" x14ac:dyDescent="0.25">
      <c r="A20" s="1">
        <v>17</v>
      </c>
      <c r="B20" t="s">
        <v>23</v>
      </c>
      <c r="C20" s="1">
        <v>17</v>
      </c>
      <c r="D20" t="s">
        <v>155</v>
      </c>
      <c r="E20" s="1">
        <v>17</v>
      </c>
      <c r="F20" t="s">
        <v>126</v>
      </c>
      <c r="H20" s="1">
        <v>17</v>
      </c>
      <c r="I20" t="s">
        <v>103</v>
      </c>
      <c r="L20" t="s">
        <v>153</v>
      </c>
      <c r="M20">
        <f>SUM(L17,H31,E34,C19,J13)</f>
        <v>85</v>
      </c>
      <c r="N20" t="s">
        <v>194</v>
      </c>
    </row>
    <row r="21" spans="1:15" x14ac:dyDescent="0.25">
      <c r="A21" s="1">
        <v>18</v>
      </c>
      <c r="B21" t="s">
        <v>24</v>
      </c>
      <c r="C21" s="1">
        <v>18</v>
      </c>
      <c r="D21" t="s">
        <v>161</v>
      </c>
      <c r="E21" s="1">
        <v>18</v>
      </c>
      <c r="F21" s="2" t="s">
        <v>127</v>
      </c>
      <c r="H21" s="1">
        <v>18</v>
      </c>
      <c r="I21" t="s">
        <v>104</v>
      </c>
      <c r="N21" t="s">
        <v>195</v>
      </c>
    </row>
    <row r="22" spans="1:15" x14ac:dyDescent="0.25">
      <c r="A22" s="1">
        <v>19</v>
      </c>
      <c r="B22" t="s">
        <v>25</v>
      </c>
      <c r="C22" s="1">
        <v>19</v>
      </c>
      <c r="D22" t="s">
        <v>157</v>
      </c>
      <c r="E22" s="1">
        <v>19</v>
      </c>
      <c r="F22" t="s">
        <v>128</v>
      </c>
      <c r="H22" s="1">
        <v>19</v>
      </c>
      <c r="I22" t="s">
        <v>105</v>
      </c>
      <c r="L22" t="s">
        <v>154</v>
      </c>
      <c r="M22">
        <f>SUM(E34,H31,J13,L17)*800+C19*1000</f>
        <v>71200</v>
      </c>
      <c r="N22" t="s">
        <v>196</v>
      </c>
    </row>
    <row r="23" spans="1:15" x14ac:dyDescent="0.25">
      <c r="A23" s="1">
        <v>20</v>
      </c>
      <c r="B23" t="s">
        <v>26</v>
      </c>
      <c r="C23" s="1">
        <v>20</v>
      </c>
      <c r="D23" t="s">
        <v>158</v>
      </c>
      <c r="E23" s="1">
        <v>20</v>
      </c>
      <c r="F23" t="s">
        <v>129</v>
      </c>
      <c r="H23" s="1">
        <v>20</v>
      </c>
      <c r="I23" t="s">
        <v>106</v>
      </c>
      <c r="N23" t="s">
        <v>197</v>
      </c>
    </row>
    <row r="24" spans="1:15" x14ac:dyDescent="0.25">
      <c r="A24" s="1">
        <v>21</v>
      </c>
      <c r="B24" t="s">
        <v>27</v>
      </c>
      <c r="E24" s="1">
        <v>21</v>
      </c>
      <c r="F24" t="s">
        <v>130</v>
      </c>
      <c r="H24" s="1">
        <v>21</v>
      </c>
      <c r="I24" t="s">
        <v>110</v>
      </c>
      <c r="N24" t="s">
        <v>198</v>
      </c>
    </row>
    <row r="25" spans="1:15" x14ac:dyDescent="0.25">
      <c r="A25" s="1">
        <v>22</v>
      </c>
      <c r="B25" t="s">
        <v>28</v>
      </c>
      <c r="E25" s="1">
        <v>22</v>
      </c>
      <c r="F25" t="s">
        <v>131</v>
      </c>
      <c r="H25" s="1">
        <v>22</v>
      </c>
      <c r="I25" t="s">
        <v>111</v>
      </c>
      <c r="L25" t="s">
        <v>160</v>
      </c>
      <c r="M25">
        <f>SUM(E34,H27,J7,L17)</f>
        <v>59</v>
      </c>
      <c r="N25">
        <v>22</v>
      </c>
    </row>
    <row r="26" spans="1:15" x14ac:dyDescent="0.25">
      <c r="A26" s="1">
        <v>23</v>
      </c>
      <c r="B26" t="s">
        <v>29</v>
      </c>
      <c r="E26" s="1">
        <v>23</v>
      </c>
      <c r="F26" t="s">
        <v>132</v>
      </c>
      <c r="H26" s="1">
        <v>23</v>
      </c>
      <c r="I26" t="s">
        <v>112</v>
      </c>
      <c r="N26" s="19">
        <v>44596</v>
      </c>
      <c r="O26" t="s">
        <v>199</v>
      </c>
    </row>
    <row r="27" spans="1:15" x14ac:dyDescent="0.25">
      <c r="A27" s="1">
        <v>24</v>
      </c>
      <c r="B27" t="s">
        <v>30</v>
      </c>
      <c r="E27" s="1">
        <v>24</v>
      </c>
      <c r="F27" s="2" t="s">
        <v>133</v>
      </c>
      <c r="H27" s="1">
        <v>24</v>
      </c>
      <c r="I27" t="s">
        <v>113</v>
      </c>
      <c r="N27" s="13" t="s">
        <v>149</v>
      </c>
    </row>
    <row r="28" spans="1:15" x14ac:dyDescent="0.25">
      <c r="A28" s="1">
        <v>25</v>
      </c>
      <c r="B28" t="s">
        <v>31</v>
      </c>
      <c r="E28" s="1">
        <v>25</v>
      </c>
      <c r="F28" t="s">
        <v>134</v>
      </c>
      <c r="H28" s="1">
        <v>25</v>
      </c>
      <c r="I28" t="s">
        <v>117</v>
      </c>
      <c r="N28" s="13" t="s">
        <v>150</v>
      </c>
    </row>
    <row r="29" spans="1:15" x14ac:dyDescent="0.25">
      <c r="A29" s="1">
        <v>26</v>
      </c>
      <c r="B29" t="s">
        <v>78</v>
      </c>
      <c r="E29" s="1">
        <v>26</v>
      </c>
      <c r="F29" t="s">
        <v>135</v>
      </c>
      <c r="H29" s="1">
        <v>26</v>
      </c>
      <c r="I29" t="s">
        <v>118</v>
      </c>
      <c r="N29" s="13" t="s">
        <v>151</v>
      </c>
    </row>
    <row r="30" spans="1:15" x14ac:dyDescent="0.25">
      <c r="A30" s="1">
        <v>27</v>
      </c>
      <c r="B30" t="s">
        <v>74</v>
      </c>
      <c r="E30" s="1">
        <v>27</v>
      </c>
      <c r="F30" t="s">
        <v>136</v>
      </c>
      <c r="H30" s="1">
        <v>27</v>
      </c>
      <c r="I30" t="s">
        <v>119</v>
      </c>
      <c r="N30" s="13">
        <v>23</v>
      </c>
    </row>
    <row r="31" spans="1:15" x14ac:dyDescent="0.25">
      <c r="A31" s="1">
        <v>28</v>
      </c>
      <c r="B31" t="s">
        <v>75</v>
      </c>
      <c r="E31" s="1">
        <v>28</v>
      </c>
      <c r="F31" t="s">
        <v>137</v>
      </c>
      <c r="H31" s="1">
        <v>28</v>
      </c>
      <c r="I31" t="s">
        <v>120</v>
      </c>
      <c r="N31" s="13">
        <v>24</v>
      </c>
    </row>
    <row r="32" spans="1:15" x14ac:dyDescent="0.25">
      <c r="A32" s="1">
        <v>29</v>
      </c>
      <c r="B32" t="s">
        <v>76</v>
      </c>
      <c r="E32" s="1">
        <v>29</v>
      </c>
      <c r="F32" t="s">
        <v>138</v>
      </c>
    </row>
    <row r="33" spans="1:6" x14ac:dyDescent="0.25">
      <c r="A33" s="1">
        <v>30</v>
      </c>
      <c r="B33" t="s">
        <v>77</v>
      </c>
      <c r="E33" s="1">
        <v>30</v>
      </c>
      <c r="F33" t="s">
        <v>139</v>
      </c>
    </row>
    <row r="34" spans="1:6" x14ac:dyDescent="0.25">
      <c r="A34" s="1"/>
      <c r="E34" s="1">
        <v>31</v>
      </c>
      <c r="F34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Bottles sorted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Shulamit Nussboim</dc:creator>
  <cp:lastModifiedBy>Shulamit Nussboim</cp:lastModifiedBy>
  <dcterms:created xsi:type="dcterms:W3CDTF">2021-12-23T11:37:59Z</dcterms:created>
  <dcterms:modified xsi:type="dcterms:W3CDTF">2025-02-14T14:41:03Z</dcterms:modified>
</cp:coreProperties>
</file>